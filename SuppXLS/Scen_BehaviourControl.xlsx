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92888E46-3055-4FA4-A09B-380699EED1CC}" xr6:coauthVersionLast="47" xr6:coauthVersionMax="47" xr10:uidLastSave="{00000000-0000-0000-0000-000000000000}"/>
  <bookViews>
    <workbookView xWindow="1140" yWindow="1140" windowWidth="14400" windowHeight="8260" firstSheet="2" activeTab="2" xr2:uid="{00000000-000D-0000-FFFF-FFFF00000000}"/>
  </bookViews>
  <sheets>
    <sheet name="Readme" sheetId="14" r:id="rId1"/>
    <sheet name="Cap decay limits" sheetId="11" r:id="rId2"/>
    <sheet name="monetize ILED" sheetId="6" r:id="rId3"/>
    <sheet name="AFR" sheetId="35" r:id="rId4"/>
    <sheet name="CSA" sheetId="36" r:id="rId5"/>
    <sheet name="EUR" sheetId="37" r:id="rId6"/>
    <sheet name="OAS" sheetId="38" r:id="rId7"/>
    <sheet name="ANZ" sheetId="17" r:id="rId8"/>
    <sheet name="BRZ" sheetId="18" r:id="rId9"/>
    <sheet name="CAN" sheetId="31" r:id="rId10"/>
    <sheet name="CHI" sheetId="19" r:id="rId11"/>
    <sheet name="IND" sheetId="22" r:id="rId12"/>
    <sheet name="JPN" sheetId="23" r:id="rId13"/>
    <sheet name="MID" sheetId="24" r:id="rId14"/>
    <sheet name="MXC" sheetId="25" r:id="rId15"/>
    <sheet name="RUS" sheetId="27" r:id="rId16"/>
    <sheet name="SKO" sheetId="28" r:id="rId17"/>
    <sheet name="URA" sheetId="29" r:id="rId18"/>
    <sheet name="USA" sheetId="30" r:id="rId19"/>
    <sheet name="togetInvCosts" sheetId="12" r:id="rId20"/>
    <sheet name="HistoricalBuilds" sheetId="9" r:id="rId21"/>
    <sheet name="Base_ELE_Costs" sheetId="13" r:id="rId22"/>
    <sheet name="WEPSReg-Countrymap" sheetId="16" r:id="rId23"/>
  </sheets>
  <definedNames>
    <definedName name="_xlnm._FilterDatabase" localSheetId="21" hidden="1">Base_ELE_Costs!$A$1:$M$3477</definedName>
    <definedName name="_xlnm._FilterDatabase" localSheetId="20" hidden="1">HistoricalBuilds!$A$1:$C$184</definedName>
    <definedName name="_xlnm._FilterDatabase" localSheetId="22" hidden="1">'WEPSReg-Countrymap'!$A$1:$E$232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6" l="1"/>
  <c r="L1" i="30"/>
  <c r="L1" i="29"/>
  <c r="L1" i="28"/>
  <c r="L1" i="27"/>
  <c r="L1" i="25"/>
  <c r="L1" i="24"/>
  <c r="L1" i="23"/>
  <c r="L1" i="22"/>
  <c r="L1" i="19"/>
  <c r="L1" i="18"/>
  <c r="L1" i="17"/>
  <c r="L1" i="38"/>
  <c r="L1" i="37"/>
  <c r="L1" i="36"/>
  <c r="I17" i="38"/>
  <c r="I23" i="38" s="1"/>
  <c r="I15" i="38"/>
  <c r="I21" i="38" s="1"/>
  <c r="A1" i="38"/>
  <c r="I17" i="37"/>
  <c r="I23" i="37" s="1"/>
  <c r="I15" i="37"/>
  <c r="I21" i="37" s="1"/>
  <c r="A1" i="37"/>
  <c r="I17" i="36"/>
  <c r="I23" i="36" s="1"/>
  <c r="I15" i="36"/>
  <c r="I21" i="36" s="1"/>
  <c r="A1" i="36"/>
  <c r="I17" i="35"/>
  <c r="I23" i="35" s="1"/>
  <c r="I15" i="35"/>
  <c r="I21" i="35" s="1"/>
  <c r="A1" i="35"/>
  <c r="L27" i="35" s="1"/>
  <c r="K21" i="11"/>
  <c r="K20" i="11"/>
  <c r="K19" i="11"/>
  <c r="R2" i="9"/>
  <c r="R3" i="9" s="1"/>
  <c r="E4" i="11" s="1"/>
  <c r="P4998" i="13"/>
  <c r="O4998" i="13"/>
  <c r="P4997" i="13"/>
  <c r="O4997" i="13"/>
  <c r="P4996" i="13"/>
  <c r="O4996" i="13"/>
  <c r="P4995" i="13"/>
  <c r="O4995" i="13"/>
  <c r="P4994" i="13"/>
  <c r="O4994" i="13"/>
  <c r="P4993" i="13"/>
  <c r="O4993" i="13"/>
  <c r="P4992" i="13"/>
  <c r="O4992" i="13"/>
  <c r="P4991" i="13"/>
  <c r="O4991" i="13"/>
  <c r="P4990" i="13"/>
  <c r="O4990" i="13"/>
  <c r="P4989" i="13"/>
  <c r="O4989" i="13"/>
  <c r="P4988" i="13"/>
  <c r="O4988" i="13"/>
  <c r="P4987" i="13"/>
  <c r="O4987" i="13"/>
  <c r="P4986" i="13"/>
  <c r="O4986" i="13"/>
  <c r="P4985" i="13"/>
  <c r="O4985" i="13"/>
  <c r="P4984" i="13"/>
  <c r="O4984" i="13"/>
  <c r="P4983" i="13"/>
  <c r="O4983" i="13"/>
  <c r="P4982" i="13"/>
  <c r="O4982" i="13"/>
  <c r="P4981" i="13"/>
  <c r="O4981" i="13"/>
  <c r="P4980" i="13"/>
  <c r="O4980" i="13"/>
  <c r="P4979" i="13"/>
  <c r="O4979" i="13"/>
  <c r="P4978" i="13"/>
  <c r="O4978" i="13"/>
  <c r="P4977" i="13"/>
  <c r="O4977" i="13"/>
  <c r="P4976" i="13"/>
  <c r="O4976" i="13"/>
  <c r="P4975" i="13"/>
  <c r="O4975" i="13"/>
  <c r="P4974" i="13"/>
  <c r="O4974" i="13"/>
  <c r="P4973" i="13"/>
  <c r="O4973" i="13"/>
  <c r="P4972" i="13"/>
  <c r="O4972" i="13"/>
  <c r="P4971" i="13"/>
  <c r="O4971" i="13"/>
  <c r="P4970" i="13"/>
  <c r="O4970" i="13"/>
  <c r="P4969" i="13"/>
  <c r="O4969" i="13"/>
  <c r="P4968" i="13"/>
  <c r="O4968" i="13"/>
  <c r="P4967" i="13"/>
  <c r="O4967" i="13"/>
  <c r="P4966" i="13"/>
  <c r="O4966" i="13"/>
  <c r="P4965" i="13"/>
  <c r="O4965" i="13"/>
  <c r="P4964" i="13"/>
  <c r="O4964" i="13"/>
  <c r="P4963" i="13"/>
  <c r="O4963" i="13"/>
  <c r="P4962" i="13"/>
  <c r="O4962" i="13"/>
  <c r="P4961" i="13"/>
  <c r="O4961" i="13"/>
  <c r="P4960" i="13"/>
  <c r="O4960" i="13"/>
  <c r="P4959" i="13"/>
  <c r="O4959" i="13"/>
  <c r="P4958" i="13"/>
  <c r="O4958" i="13"/>
  <c r="P4957" i="13"/>
  <c r="O4957" i="13"/>
  <c r="P4956" i="13"/>
  <c r="O4956" i="13"/>
  <c r="P4955" i="13"/>
  <c r="O4955" i="13"/>
  <c r="P4954" i="13"/>
  <c r="O4954" i="13"/>
  <c r="P4953" i="13"/>
  <c r="O4953" i="13"/>
  <c r="P4952" i="13"/>
  <c r="O4952" i="13"/>
  <c r="P4951" i="13"/>
  <c r="O4951" i="13"/>
  <c r="P4950" i="13"/>
  <c r="O4950" i="13"/>
  <c r="P4949" i="13"/>
  <c r="O4949" i="13"/>
  <c r="P4948" i="13"/>
  <c r="O4948" i="13"/>
  <c r="P4947" i="13"/>
  <c r="O4947" i="13"/>
  <c r="P4946" i="13"/>
  <c r="O4946" i="13"/>
  <c r="P4945" i="13"/>
  <c r="O4945" i="13"/>
  <c r="P4944" i="13"/>
  <c r="O4944" i="13"/>
  <c r="P4943" i="13"/>
  <c r="O4943" i="13"/>
  <c r="P4942" i="13"/>
  <c r="O4942" i="13"/>
  <c r="P4941" i="13"/>
  <c r="O4941" i="13"/>
  <c r="P4940" i="13"/>
  <c r="O4940" i="13"/>
  <c r="P4939" i="13"/>
  <c r="O4939" i="13"/>
  <c r="P4938" i="13"/>
  <c r="O4938" i="13"/>
  <c r="P4937" i="13"/>
  <c r="O4937" i="13"/>
  <c r="P4936" i="13"/>
  <c r="O4936" i="13"/>
  <c r="P4935" i="13"/>
  <c r="O4935" i="13"/>
  <c r="P4934" i="13"/>
  <c r="O4934" i="13"/>
  <c r="P4933" i="13"/>
  <c r="O4933" i="13"/>
  <c r="P4932" i="13"/>
  <c r="O4932" i="13"/>
  <c r="P4931" i="13"/>
  <c r="O4931" i="13"/>
  <c r="P4930" i="13"/>
  <c r="O4930" i="13"/>
  <c r="P4929" i="13"/>
  <c r="O4929" i="13"/>
  <c r="P4928" i="13"/>
  <c r="O4928" i="13"/>
  <c r="P4927" i="13"/>
  <c r="O4927" i="13"/>
  <c r="P4926" i="13"/>
  <c r="O4926" i="13"/>
  <c r="P4925" i="13"/>
  <c r="O4925" i="13"/>
  <c r="P4924" i="13"/>
  <c r="O4924" i="13"/>
  <c r="P4923" i="13"/>
  <c r="O4923" i="13"/>
  <c r="P4922" i="13"/>
  <c r="O4922" i="13"/>
  <c r="P4921" i="13"/>
  <c r="O4921" i="13"/>
  <c r="P4920" i="13"/>
  <c r="O4920" i="13"/>
  <c r="P4919" i="13"/>
  <c r="O4919" i="13"/>
  <c r="P4918" i="13"/>
  <c r="O4918" i="13"/>
  <c r="P4917" i="13"/>
  <c r="O4917" i="13"/>
  <c r="P4916" i="13"/>
  <c r="O4916" i="13"/>
  <c r="P4915" i="13"/>
  <c r="O4915" i="13"/>
  <c r="P4914" i="13"/>
  <c r="O4914" i="13"/>
  <c r="P4913" i="13"/>
  <c r="O4913" i="13"/>
  <c r="P4912" i="13"/>
  <c r="O4912" i="13"/>
  <c r="P4911" i="13"/>
  <c r="O4911" i="13"/>
  <c r="P4910" i="13"/>
  <c r="O4910" i="13"/>
  <c r="P4909" i="13"/>
  <c r="O4909" i="13"/>
  <c r="P4908" i="13"/>
  <c r="O4908" i="13"/>
  <c r="P4907" i="13"/>
  <c r="O4907" i="13"/>
  <c r="P4906" i="13"/>
  <c r="O4906" i="13"/>
  <c r="P4905" i="13"/>
  <c r="O4905" i="13"/>
  <c r="P4904" i="13"/>
  <c r="O4904" i="13"/>
  <c r="P4903" i="13"/>
  <c r="O4903" i="13"/>
  <c r="P4902" i="13"/>
  <c r="O4902" i="13"/>
  <c r="P4901" i="13"/>
  <c r="O4901" i="13"/>
  <c r="P4900" i="13"/>
  <c r="O4900" i="13"/>
  <c r="P4899" i="13"/>
  <c r="O4899" i="13"/>
  <c r="P4898" i="13"/>
  <c r="O4898" i="13"/>
  <c r="P4897" i="13"/>
  <c r="O4897" i="13"/>
  <c r="P4896" i="13"/>
  <c r="O4896" i="13"/>
  <c r="P4895" i="13"/>
  <c r="O4895" i="13"/>
  <c r="P4894" i="13"/>
  <c r="O4894" i="13"/>
  <c r="P4893" i="13"/>
  <c r="O4893" i="13"/>
  <c r="P4892" i="13"/>
  <c r="O4892" i="13"/>
  <c r="P4891" i="13"/>
  <c r="O4891" i="13"/>
  <c r="P4890" i="13"/>
  <c r="O4890" i="13"/>
  <c r="P4889" i="13"/>
  <c r="O4889" i="13"/>
  <c r="P4888" i="13"/>
  <c r="O4888" i="13"/>
  <c r="P4887" i="13"/>
  <c r="O4887" i="13"/>
  <c r="P4886" i="13"/>
  <c r="O4886" i="13"/>
  <c r="P4885" i="13"/>
  <c r="O4885" i="13"/>
  <c r="P4884" i="13"/>
  <c r="O4884" i="13"/>
  <c r="P4883" i="13"/>
  <c r="O4883" i="13"/>
  <c r="P4882" i="13"/>
  <c r="O4882" i="13"/>
  <c r="P4881" i="13"/>
  <c r="O4881" i="13"/>
  <c r="P4880" i="13"/>
  <c r="O4880" i="13"/>
  <c r="P4879" i="13"/>
  <c r="O4879" i="13"/>
  <c r="P4878" i="13"/>
  <c r="O4878" i="13"/>
  <c r="P4877" i="13"/>
  <c r="O4877" i="13"/>
  <c r="P4876" i="13"/>
  <c r="O4876" i="13"/>
  <c r="P4875" i="13"/>
  <c r="O4875" i="13"/>
  <c r="P4874" i="13"/>
  <c r="O4874" i="13"/>
  <c r="P4873" i="13"/>
  <c r="O4873" i="13"/>
  <c r="P4872" i="13"/>
  <c r="O4872" i="13"/>
  <c r="P4871" i="13"/>
  <c r="O4871" i="13"/>
  <c r="P4870" i="13"/>
  <c r="O4870" i="13"/>
  <c r="P4869" i="13"/>
  <c r="O4869" i="13"/>
  <c r="P4868" i="13"/>
  <c r="O4868" i="13"/>
  <c r="P4867" i="13"/>
  <c r="O4867" i="13"/>
  <c r="P4866" i="13"/>
  <c r="O4866" i="13"/>
  <c r="P4865" i="13"/>
  <c r="O4865" i="13"/>
  <c r="P4864" i="13"/>
  <c r="O4864" i="13"/>
  <c r="P4863" i="13"/>
  <c r="O4863" i="13"/>
  <c r="P4862" i="13"/>
  <c r="O4862" i="13"/>
  <c r="P4861" i="13"/>
  <c r="O4861" i="13"/>
  <c r="P4860" i="13"/>
  <c r="O4860" i="13"/>
  <c r="P4859" i="13"/>
  <c r="O4859" i="13"/>
  <c r="P4858" i="13"/>
  <c r="O4858" i="13"/>
  <c r="P4857" i="13"/>
  <c r="O4857" i="13"/>
  <c r="P4856" i="13"/>
  <c r="O4856" i="13"/>
  <c r="P4855" i="13"/>
  <c r="O4855" i="13"/>
  <c r="P4854" i="13"/>
  <c r="O4854" i="13"/>
  <c r="P4853" i="13"/>
  <c r="O4853" i="13"/>
  <c r="P4852" i="13"/>
  <c r="O4852" i="13"/>
  <c r="P4851" i="13"/>
  <c r="O4851" i="13"/>
  <c r="P4850" i="13"/>
  <c r="O4850" i="13"/>
  <c r="P4849" i="13"/>
  <c r="O4849" i="13"/>
  <c r="P4848" i="13"/>
  <c r="O4848" i="13"/>
  <c r="P4847" i="13"/>
  <c r="O4847" i="13"/>
  <c r="P4846" i="13"/>
  <c r="O4846" i="13"/>
  <c r="P4845" i="13"/>
  <c r="O4845" i="13"/>
  <c r="P4844" i="13"/>
  <c r="O4844" i="13"/>
  <c r="P4843" i="13"/>
  <c r="O4843" i="13"/>
  <c r="P4842" i="13"/>
  <c r="O4842" i="13"/>
  <c r="P4841" i="13"/>
  <c r="O4841" i="13"/>
  <c r="P4840" i="13"/>
  <c r="O4840" i="13"/>
  <c r="P4839" i="13"/>
  <c r="O4839" i="13"/>
  <c r="P4838" i="13"/>
  <c r="O4838" i="13"/>
  <c r="P4837" i="13"/>
  <c r="O4837" i="13"/>
  <c r="P4836" i="13"/>
  <c r="O4836" i="13"/>
  <c r="P4835" i="13"/>
  <c r="O4835" i="13"/>
  <c r="P4834" i="13"/>
  <c r="O4834" i="13"/>
  <c r="P4833" i="13"/>
  <c r="O4833" i="13"/>
  <c r="P4832" i="13"/>
  <c r="O4832" i="13"/>
  <c r="P4831" i="13"/>
  <c r="O4831" i="13"/>
  <c r="P4830" i="13"/>
  <c r="O4830" i="13"/>
  <c r="P4829" i="13"/>
  <c r="O4829" i="13"/>
  <c r="P4828" i="13"/>
  <c r="O4828" i="13"/>
  <c r="P4827" i="13"/>
  <c r="O4827" i="13"/>
  <c r="P4826" i="13"/>
  <c r="O4826" i="13"/>
  <c r="P4825" i="13"/>
  <c r="O4825" i="13"/>
  <c r="P4824" i="13"/>
  <c r="O4824" i="13"/>
  <c r="P4823" i="13"/>
  <c r="O4823" i="13"/>
  <c r="P4822" i="13"/>
  <c r="O4822" i="13"/>
  <c r="P4821" i="13"/>
  <c r="O4821" i="13"/>
  <c r="P4820" i="13"/>
  <c r="O4820" i="13"/>
  <c r="P4819" i="13"/>
  <c r="O4819" i="13"/>
  <c r="P4818" i="13"/>
  <c r="O4818" i="13"/>
  <c r="P4817" i="13"/>
  <c r="O4817" i="13"/>
  <c r="P4816" i="13"/>
  <c r="O4816" i="13"/>
  <c r="P4815" i="13"/>
  <c r="O4815" i="13"/>
  <c r="P4814" i="13"/>
  <c r="O4814" i="13"/>
  <c r="P4813" i="13"/>
  <c r="O4813" i="13"/>
  <c r="P4812" i="13"/>
  <c r="O4812" i="13"/>
  <c r="P4811" i="13"/>
  <c r="O4811" i="13"/>
  <c r="P4810" i="13"/>
  <c r="O4810" i="13"/>
  <c r="P4809" i="13"/>
  <c r="O4809" i="13"/>
  <c r="P4808" i="13"/>
  <c r="O4808" i="13"/>
  <c r="P4807" i="13"/>
  <c r="O4807" i="13"/>
  <c r="P4806" i="13"/>
  <c r="O4806" i="13"/>
  <c r="P4805" i="13"/>
  <c r="O4805" i="13"/>
  <c r="P4804" i="13"/>
  <c r="O4804" i="13"/>
  <c r="P4803" i="13"/>
  <c r="O4803" i="13"/>
  <c r="P4802" i="13"/>
  <c r="O4802" i="13"/>
  <c r="P4801" i="13"/>
  <c r="O4801" i="13"/>
  <c r="P4800" i="13"/>
  <c r="O4800" i="13"/>
  <c r="P4799" i="13"/>
  <c r="O4799" i="13"/>
  <c r="P4798" i="13"/>
  <c r="O4798" i="13"/>
  <c r="P4797" i="13"/>
  <c r="O4797" i="13"/>
  <c r="P4796" i="13"/>
  <c r="O4796" i="13"/>
  <c r="P4795" i="13"/>
  <c r="O4795" i="13"/>
  <c r="P4794" i="13"/>
  <c r="O4794" i="13"/>
  <c r="P4793" i="13"/>
  <c r="O4793" i="13"/>
  <c r="P4792" i="13"/>
  <c r="O4792" i="13"/>
  <c r="P4791" i="13"/>
  <c r="O4791" i="13"/>
  <c r="P4790" i="13"/>
  <c r="O4790" i="13"/>
  <c r="P4789" i="13"/>
  <c r="O4789" i="13"/>
  <c r="P4788" i="13"/>
  <c r="O4788" i="13"/>
  <c r="P4787" i="13"/>
  <c r="O4787" i="13"/>
  <c r="P4786" i="13"/>
  <c r="O4786" i="13"/>
  <c r="P4785" i="13"/>
  <c r="O4785" i="13"/>
  <c r="P4784" i="13"/>
  <c r="O4784" i="13"/>
  <c r="P4783" i="13"/>
  <c r="O4783" i="13"/>
  <c r="P4782" i="13"/>
  <c r="O4782" i="13"/>
  <c r="P4781" i="13"/>
  <c r="O4781" i="13"/>
  <c r="P4780" i="13"/>
  <c r="O4780" i="13"/>
  <c r="P4779" i="13"/>
  <c r="O4779" i="13"/>
  <c r="P4778" i="13"/>
  <c r="O4778" i="13"/>
  <c r="P4777" i="13"/>
  <c r="O4777" i="13"/>
  <c r="P4776" i="13"/>
  <c r="O4776" i="13"/>
  <c r="P4775" i="13"/>
  <c r="O4775" i="13"/>
  <c r="P4774" i="13"/>
  <c r="O4774" i="13"/>
  <c r="P4773" i="13"/>
  <c r="O4773" i="13"/>
  <c r="P4772" i="13"/>
  <c r="O4772" i="13"/>
  <c r="P4771" i="13"/>
  <c r="O4771" i="13"/>
  <c r="P4770" i="13"/>
  <c r="O4770" i="13"/>
  <c r="P4769" i="13"/>
  <c r="O4769" i="13"/>
  <c r="P4768" i="13"/>
  <c r="O4768" i="13"/>
  <c r="P4767" i="13"/>
  <c r="O4767" i="13"/>
  <c r="P4766" i="13"/>
  <c r="O4766" i="13"/>
  <c r="P4765" i="13"/>
  <c r="O4765" i="13"/>
  <c r="P4764" i="13"/>
  <c r="O4764" i="13"/>
  <c r="P4763" i="13"/>
  <c r="O4763" i="13"/>
  <c r="P4762" i="13"/>
  <c r="O4762" i="13"/>
  <c r="P4761" i="13"/>
  <c r="O4761" i="13"/>
  <c r="P4760" i="13"/>
  <c r="O4760" i="13"/>
  <c r="P4759" i="13"/>
  <c r="O4759" i="13"/>
  <c r="P4758" i="13"/>
  <c r="O4758" i="13"/>
  <c r="P4757" i="13"/>
  <c r="O4757" i="13"/>
  <c r="P4756" i="13"/>
  <c r="O4756" i="13"/>
  <c r="P4755" i="13"/>
  <c r="O4755" i="13"/>
  <c r="P4754" i="13"/>
  <c r="O4754" i="13"/>
  <c r="P4753" i="13"/>
  <c r="O4753" i="13"/>
  <c r="P4752" i="13"/>
  <c r="O4752" i="13"/>
  <c r="P4751" i="13"/>
  <c r="O4751" i="13"/>
  <c r="P4750" i="13"/>
  <c r="O4750" i="13"/>
  <c r="P4749" i="13"/>
  <c r="O4749" i="13"/>
  <c r="P4748" i="13"/>
  <c r="O4748" i="13"/>
  <c r="P4747" i="13"/>
  <c r="O4747" i="13"/>
  <c r="P4746" i="13"/>
  <c r="O4746" i="13"/>
  <c r="P4745" i="13"/>
  <c r="O4745" i="13"/>
  <c r="P4744" i="13"/>
  <c r="O4744" i="13"/>
  <c r="P4743" i="13"/>
  <c r="O4743" i="13"/>
  <c r="P4742" i="13"/>
  <c r="O4742" i="13"/>
  <c r="P4741" i="13"/>
  <c r="O4741" i="13"/>
  <c r="P4740" i="13"/>
  <c r="O4740" i="13"/>
  <c r="P4739" i="13"/>
  <c r="O4739" i="13"/>
  <c r="P4738" i="13"/>
  <c r="O4738" i="13"/>
  <c r="P4737" i="13"/>
  <c r="O4737" i="13"/>
  <c r="P4736" i="13"/>
  <c r="O4736" i="13"/>
  <c r="P4735" i="13"/>
  <c r="O4735" i="13"/>
  <c r="P4734" i="13"/>
  <c r="O4734" i="13"/>
  <c r="P4733" i="13"/>
  <c r="O4733" i="13"/>
  <c r="P4732" i="13"/>
  <c r="O4732" i="13"/>
  <c r="P4731" i="13"/>
  <c r="O4731" i="13"/>
  <c r="P4730" i="13"/>
  <c r="O4730" i="13"/>
  <c r="P4729" i="13"/>
  <c r="O4729" i="13"/>
  <c r="P4728" i="13"/>
  <c r="O4728" i="13"/>
  <c r="P4727" i="13"/>
  <c r="O4727" i="13"/>
  <c r="P4726" i="13"/>
  <c r="O4726" i="13"/>
  <c r="P4725" i="13"/>
  <c r="O4725" i="13"/>
  <c r="P4724" i="13"/>
  <c r="O4724" i="13"/>
  <c r="P4723" i="13"/>
  <c r="O4723" i="13"/>
  <c r="P4722" i="13"/>
  <c r="O4722" i="13"/>
  <c r="P4721" i="13"/>
  <c r="O4721" i="13"/>
  <c r="P4720" i="13"/>
  <c r="O4720" i="13"/>
  <c r="P4719" i="13"/>
  <c r="O4719" i="13"/>
  <c r="P4718" i="13"/>
  <c r="O4718" i="13"/>
  <c r="P4717" i="13"/>
  <c r="O4717" i="13"/>
  <c r="P4716" i="13"/>
  <c r="O4716" i="13"/>
  <c r="P4715" i="13"/>
  <c r="O4715" i="13"/>
  <c r="P4714" i="13"/>
  <c r="O4714" i="13"/>
  <c r="P4713" i="13"/>
  <c r="O4713" i="13"/>
  <c r="P4712" i="13"/>
  <c r="O4712" i="13"/>
  <c r="P4711" i="13"/>
  <c r="O4711" i="13"/>
  <c r="P4710" i="13"/>
  <c r="O4710" i="13"/>
  <c r="P4709" i="13"/>
  <c r="O4709" i="13"/>
  <c r="P4708" i="13"/>
  <c r="O4708" i="13"/>
  <c r="P4707" i="13"/>
  <c r="O4707" i="13"/>
  <c r="P4706" i="13"/>
  <c r="O4706" i="13"/>
  <c r="P4705" i="13"/>
  <c r="O4705" i="13"/>
  <c r="P4704" i="13"/>
  <c r="O4704" i="13"/>
  <c r="P4703" i="13"/>
  <c r="O4703" i="13"/>
  <c r="P4702" i="13"/>
  <c r="O4702" i="13"/>
  <c r="P4701" i="13"/>
  <c r="O4701" i="13"/>
  <c r="P4700" i="13"/>
  <c r="O4700" i="13"/>
  <c r="P4699" i="13"/>
  <c r="O4699" i="13"/>
  <c r="P4698" i="13"/>
  <c r="O4698" i="13"/>
  <c r="P4697" i="13"/>
  <c r="O4697" i="13"/>
  <c r="P4696" i="13"/>
  <c r="O4696" i="13"/>
  <c r="P4695" i="13"/>
  <c r="O4695" i="13"/>
  <c r="P4694" i="13"/>
  <c r="O4694" i="13"/>
  <c r="P4693" i="13"/>
  <c r="O4693" i="13"/>
  <c r="P4692" i="13"/>
  <c r="O4692" i="13"/>
  <c r="P4691" i="13"/>
  <c r="O4691" i="13"/>
  <c r="P4690" i="13"/>
  <c r="O4690" i="13"/>
  <c r="P4689" i="13"/>
  <c r="O4689" i="13"/>
  <c r="P4688" i="13"/>
  <c r="O4688" i="13"/>
  <c r="P4687" i="13"/>
  <c r="O4687" i="13"/>
  <c r="P4686" i="13"/>
  <c r="O4686" i="13"/>
  <c r="P4685" i="13"/>
  <c r="O4685" i="13"/>
  <c r="P4684" i="13"/>
  <c r="O4684" i="13"/>
  <c r="P4683" i="13"/>
  <c r="O4683" i="13"/>
  <c r="P4682" i="13"/>
  <c r="O4682" i="13"/>
  <c r="P4681" i="13"/>
  <c r="O4681" i="13"/>
  <c r="P4680" i="13"/>
  <c r="O4680" i="13"/>
  <c r="P4679" i="13"/>
  <c r="O4679" i="13"/>
  <c r="P4678" i="13"/>
  <c r="O4678" i="13"/>
  <c r="P4677" i="13"/>
  <c r="O4677" i="13"/>
  <c r="P4676" i="13"/>
  <c r="O4676" i="13"/>
  <c r="P4675" i="13"/>
  <c r="O4675" i="13"/>
  <c r="P4674" i="13"/>
  <c r="O4674" i="13"/>
  <c r="P4673" i="13"/>
  <c r="O4673" i="13"/>
  <c r="P4672" i="13"/>
  <c r="O4672" i="13"/>
  <c r="P4671" i="13"/>
  <c r="O4671" i="13"/>
  <c r="P4670" i="13"/>
  <c r="O4670" i="13"/>
  <c r="P4669" i="13"/>
  <c r="O4669" i="13"/>
  <c r="P4668" i="13"/>
  <c r="O4668" i="13"/>
  <c r="P4667" i="13"/>
  <c r="O4667" i="13"/>
  <c r="P4666" i="13"/>
  <c r="O4666" i="13"/>
  <c r="P4665" i="13"/>
  <c r="O4665" i="13"/>
  <c r="P4664" i="13"/>
  <c r="O4664" i="13"/>
  <c r="P4663" i="13"/>
  <c r="O4663" i="13"/>
  <c r="P4662" i="13"/>
  <c r="O4662" i="13"/>
  <c r="P4661" i="13"/>
  <c r="O4661" i="13"/>
  <c r="P4660" i="13"/>
  <c r="O4660" i="13"/>
  <c r="P4659" i="13"/>
  <c r="O4659" i="13"/>
  <c r="P4658" i="13"/>
  <c r="O4658" i="13"/>
  <c r="P4657" i="13"/>
  <c r="O4657" i="13"/>
  <c r="P4656" i="13"/>
  <c r="O4656" i="13"/>
  <c r="P4655" i="13"/>
  <c r="O4655" i="13"/>
  <c r="P4654" i="13"/>
  <c r="O4654" i="13"/>
  <c r="P4653" i="13"/>
  <c r="O4653" i="13"/>
  <c r="P4652" i="13"/>
  <c r="O4652" i="13"/>
  <c r="P4651" i="13"/>
  <c r="O4651" i="13"/>
  <c r="P4650" i="13"/>
  <c r="O4650" i="13"/>
  <c r="P4649" i="13"/>
  <c r="O4649" i="13"/>
  <c r="P4648" i="13"/>
  <c r="O4648" i="13"/>
  <c r="P4647" i="13"/>
  <c r="O4647" i="13"/>
  <c r="P4646" i="13"/>
  <c r="O4646" i="13"/>
  <c r="P4645" i="13"/>
  <c r="O4645" i="13"/>
  <c r="P4644" i="13"/>
  <c r="O4644" i="13"/>
  <c r="P4643" i="13"/>
  <c r="O4643" i="13"/>
  <c r="P4642" i="13"/>
  <c r="O4642" i="13"/>
  <c r="P4641" i="13"/>
  <c r="O4641" i="13"/>
  <c r="P4640" i="13"/>
  <c r="O4640" i="13"/>
  <c r="P4639" i="13"/>
  <c r="O4639" i="13"/>
  <c r="P4638" i="13"/>
  <c r="O4638" i="13"/>
  <c r="P4637" i="13"/>
  <c r="O4637" i="13"/>
  <c r="P4636" i="13"/>
  <c r="O4636" i="13"/>
  <c r="P4635" i="13"/>
  <c r="O4635" i="13"/>
  <c r="P4634" i="13"/>
  <c r="O4634" i="13"/>
  <c r="P4633" i="13"/>
  <c r="O4633" i="13"/>
  <c r="P4632" i="13"/>
  <c r="O4632" i="13"/>
  <c r="P4631" i="13"/>
  <c r="O4631" i="13"/>
  <c r="P4630" i="13"/>
  <c r="O4630" i="13"/>
  <c r="P4629" i="13"/>
  <c r="O4629" i="13"/>
  <c r="P4628" i="13"/>
  <c r="O4628" i="13"/>
  <c r="P4627" i="13"/>
  <c r="O4627" i="13"/>
  <c r="P4626" i="13"/>
  <c r="O4626" i="13"/>
  <c r="P4625" i="13"/>
  <c r="O4625" i="13"/>
  <c r="P4624" i="13"/>
  <c r="O4624" i="13"/>
  <c r="P4623" i="13"/>
  <c r="O4623" i="13"/>
  <c r="P4622" i="13"/>
  <c r="O4622" i="13"/>
  <c r="P4621" i="13"/>
  <c r="O4621" i="13"/>
  <c r="P4620" i="13"/>
  <c r="O4620" i="13"/>
  <c r="P4619" i="13"/>
  <c r="O4619" i="13"/>
  <c r="P4618" i="13"/>
  <c r="O4618" i="13"/>
  <c r="P4617" i="13"/>
  <c r="O4617" i="13"/>
  <c r="P4616" i="13"/>
  <c r="O4616" i="13"/>
  <c r="P4615" i="13"/>
  <c r="O4615" i="13"/>
  <c r="P4614" i="13"/>
  <c r="O4614" i="13"/>
  <c r="P4613" i="13"/>
  <c r="O4613" i="13"/>
  <c r="P4612" i="13"/>
  <c r="O4612" i="13"/>
  <c r="P4611" i="13"/>
  <c r="O4611" i="13"/>
  <c r="P4610" i="13"/>
  <c r="O4610" i="13"/>
  <c r="P4609" i="13"/>
  <c r="O4609" i="13"/>
  <c r="P4608" i="13"/>
  <c r="O4608" i="13"/>
  <c r="P4607" i="13"/>
  <c r="O4607" i="13"/>
  <c r="P4606" i="13"/>
  <c r="O4606" i="13"/>
  <c r="P4605" i="13"/>
  <c r="O4605" i="13"/>
  <c r="P4604" i="13"/>
  <c r="O4604" i="13"/>
  <c r="P4603" i="13"/>
  <c r="O4603" i="13"/>
  <c r="P4602" i="13"/>
  <c r="O4602" i="13"/>
  <c r="P4601" i="13"/>
  <c r="O4601" i="13"/>
  <c r="P4600" i="13"/>
  <c r="O4600" i="13"/>
  <c r="P4599" i="13"/>
  <c r="O4599" i="13"/>
  <c r="P4598" i="13"/>
  <c r="O4598" i="13"/>
  <c r="P4597" i="13"/>
  <c r="O4597" i="13"/>
  <c r="P4596" i="13"/>
  <c r="O4596" i="13"/>
  <c r="P4595" i="13"/>
  <c r="O4595" i="13"/>
  <c r="P4594" i="13"/>
  <c r="O4594" i="13"/>
  <c r="P4593" i="13"/>
  <c r="O4593" i="13"/>
  <c r="P4592" i="13"/>
  <c r="O4592" i="13"/>
  <c r="P4591" i="13"/>
  <c r="O4591" i="13"/>
  <c r="P4590" i="13"/>
  <c r="O4590" i="13"/>
  <c r="P4589" i="13"/>
  <c r="O4589" i="13"/>
  <c r="P4588" i="13"/>
  <c r="O4588" i="13"/>
  <c r="P4587" i="13"/>
  <c r="O4587" i="13"/>
  <c r="P4586" i="13"/>
  <c r="O4586" i="13"/>
  <c r="P4585" i="13"/>
  <c r="O4585" i="13"/>
  <c r="P4584" i="13"/>
  <c r="O4584" i="13"/>
  <c r="P4583" i="13"/>
  <c r="O4583" i="13"/>
  <c r="P4582" i="13"/>
  <c r="O4582" i="13"/>
  <c r="P4581" i="13"/>
  <c r="O4581" i="13"/>
  <c r="P4580" i="13"/>
  <c r="O4580" i="13"/>
  <c r="P4579" i="13"/>
  <c r="O4579" i="13"/>
  <c r="P4578" i="13"/>
  <c r="O4578" i="13"/>
  <c r="P4577" i="13"/>
  <c r="O4577" i="13"/>
  <c r="P4576" i="13"/>
  <c r="O4576" i="13"/>
  <c r="P4575" i="13"/>
  <c r="O4575" i="13"/>
  <c r="P4574" i="13"/>
  <c r="O4574" i="13"/>
  <c r="P4573" i="13"/>
  <c r="O4573" i="13"/>
  <c r="P4572" i="13"/>
  <c r="O4572" i="13"/>
  <c r="P4571" i="13"/>
  <c r="O4571" i="13"/>
  <c r="P4570" i="13"/>
  <c r="O4570" i="13"/>
  <c r="P4569" i="13"/>
  <c r="O4569" i="13"/>
  <c r="P4568" i="13"/>
  <c r="O4568" i="13"/>
  <c r="P4567" i="13"/>
  <c r="O4567" i="13"/>
  <c r="P4566" i="13"/>
  <c r="O4566" i="13"/>
  <c r="P4565" i="13"/>
  <c r="O4565" i="13"/>
  <c r="P4564" i="13"/>
  <c r="O4564" i="13"/>
  <c r="P4563" i="13"/>
  <c r="O4563" i="13"/>
  <c r="P4562" i="13"/>
  <c r="O4562" i="13"/>
  <c r="P4561" i="13"/>
  <c r="O4561" i="13"/>
  <c r="P4560" i="13"/>
  <c r="O4560" i="13"/>
  <c r="P4559" i="13"/>
  <c r="O4559" i="13"/>
  <c r="P4558" i="13"/>
  <c r="O4558" i="13"/>
  <c r="P4557" i="13"/>
  <c r="O4557" i="13"/>
  <c r="P4556" i="13"/>
  <c r="O4556" i="13"/>
  <c r="P4555" i="13"/>
  <c r="O4555" i="13"/>
  <c r="P4554" i="13"/>
  <c r="O4554" i="13"/>
  <c r="P4553" i="13"/>
  <c r="O4553" i="13"/>
  <c r="P4552" i="13"/>
  <c r="O4552" i="13"/>
  <c r="P4551" i="13"/>
  <c r="O4551" i="13"/>
  <c r="P4550" i="13"/>
  <c r="O4550" i="13"/>
  <c r="P4549" i="13"/>
  <c r="O4549" i="13"/>
  <c r="P4548" i="13"/>
  <c r="O4548" i="13"/>
  <c r="P4547" i="13"/>
  <c r="O4547" i="13"/>
  <c r="P4546" i="13"/>
  <c r="O4546" i="13"/>
  <c r="P4545" i="13"/>
  <c r="O4545" i="13"/>
  <c r="P4544" i="13"/>
  <c r="O4544" i="13"/>
  <c r="P4543" i="13"/>
  <c r="O4543" i="13"/>
  <c r="P4542" i="13"/>
  <c r="O4542" i="13"/>
  <c r="P4541" i="13"/>
  <c r="O4541" i="13"/>
  <c r="P4540" i="13"/>
  <c r="O4540" i="13"/>
  <c r="P4539" i="13"/>
  <c r="O4539" i="13"/>
  <c r="P4538" i="13"/>
  <c r="O4538" i="13"/>
  <c r="P4537" i="13"/>
  <c r="O4537" i="13"/>
  <c r="P4536" i="13"/>
  <c r="O4536" i="13"/>
  <c r="P4535" i="13"/>
  <c r="O4535" i="13"/>
  <c r="P4534" i="13"/>
  <c r="O4534" i="13"/>
  <c r="P4533" i="13"/>
  <c r="O4533" i="13"/>
  <c r="P4532" i="13"/>
  <c r="O4532" i="13"/>
  <c r="P4531" i="13"/>
  <c r="O4531" i="13"/>
  <c r="P4530" i="13"/>
  <c r="O4530" i="13"/>
  <c r="P4529" i="13"/>
  <c r="O4529" i="13"/>
  <c r="P4528" i="13"/>
  <c r="O4528" i="13"/>
  <c r="P4527" i="13"/>
  <c r="O4527" i="13"/>
  <c r="P4526" i="13"/>
  <c r="O4526" i="13"/>
  <c r="P4525" i="13"/>
  <c r="O4525" i="13"/>
  <c r="P4524" i="13"/>
  <c r="O4524" i="13"/>
  <c r="P4523" i="13"/>
  <c r="O4523" i="13"/>
  <c r="P4522" i="13"/>
  <c r="O4522" i="13"/>
  <c r="P4521" i="13"/>
  <c r="O4521" i="13"/>
  <c r="P4520" i="13"/>
  <c r="O4520" i="13"/>
  <c r="P4519" i="13"/>
  <c r="O4519" i="13"/>
  <c r="P4518" i="13"/>
  <c r="O4518" i="13"/>
  <c r="P4517" i="13"/>
  <c r="O4517" i="13"/>
  <c r="P4516" i="13"/>
  <c r="O4516" i="13"/>
  <c r="P4515" i="13"/>
  <c r="O4515" i="13"/>
  <c r="P4514" i="13"/>
  <c r="O4514" i="13"/>
  <c r="P4513" i="13"/>
  <c r="O4513" i="13"/>
  <c r="P4512" i="13"/>
  <c r="O4512" i="13"/>
  <c r="P4511" i="13"/>
  <c r="O4511" i="13"/>
  <c r="P4510" i="13"/>
  <c r="O4510" i="13"/>
  <c r="P4509" i="13"/>
  <c r="O4509" i="13"/>
  <c r="P4508" i="13"/>
  <c r="O4508" i="13"/>
  <c r="P4507" i="13"/>
  <c r="O4507" i="13"/>
  <c r="P4506" i="13"/>
  <c r="O4506" i="13"/>
  <c r="P4505" i="13"/>
  <c r="O4505" i="13"/>
  <c r="P4504" i="13"/>
  <c r="O4504" i="13"/>
  <c r="P4503" i="13"/>
  <c r="O4503" i="13"/>
  <c r="P4502" i="13"/>
  <c r="O4502" i="13"/>
  <c r="P4501" i="13"/>
  <c r="O4501" i="13"/>
  <c r="P4500" i="13"/>
  <c r="O4500" i="13"/>
  <c r="P4499" i="13"/>
  <c r="O4499" i="13"/>
  <c r="P4498" i="13"/>
  <c r="O4498" i="13"/>
  <c r="P4497" i="13"/>
  <c r="O4497" i="13"/>
  <c r="P4496" i="13"/>
  <c r="O4496" i="13"/>
  <c r="P4495" i="13"/>
  <c r="O4495" i="13"/>
  <c r="P4494" i="13"/>
  <c r="O4494" i="13"/>
  <c r="P4493" i="13"/>
  <c r="O4493" i="13"/>
  <c r="P4492" i="13"/>
  <c r="O4492" i="13"/>
  <c r="P4491" i="13"/>
  <c r="O4491" i="13"/>
  <c r="P4490" i="13"/>
  <c r="O4490" i="13"/>
  <c r="P4489" i="13"/>
  <c r="O4489" i="13"/>
  <c r="P4488" i="13"/>
  <c r="O4488" i="13"/>
  <c r="P4487" i="13"/>
  <c r="O4487" i="13"/>
  <c r="P4486" i="13"/>
  <c r="O4486" i="13"/>
  <c r="P4485" i="13"/>
  <c r="O4485" i="13"/>
  <c r="P4484" i="13"/>
  <c r="O4484" i="13"/>
  <c r="P4483" i="13"/>
  <c r="O4483" i="13"/>
  <c r="P4482" i="13"/>
  <c r="O4482" i="13"/>
  <c r="P4481" i="13"/>
  <c r="O4481" i="13"/>
  <c r="P4480" i="13"/>
  <c r="O4480" i="13"/>
  <c r="P4479" i="13"/>
  <c r="O4479" i="13"/>
  <c r="P4478" i="13"/>
  <c r="O4478" i="13"/>
  <c r="P4477" i="13"/>
  <c r="O4477" i="13"/>
  <c r="P4476" i="13"/>
  <c r="O4476" i="13"/>
  <c r="P4475" i="13"/>
  <c r="O4475" i="13"/>
  <c r="P4474" i="13"/>
  <c r="O4474" i="13"/>
  <c r="P4473" i="13"/>
  <c r="O4473" i="13"/>
  <c r="P4472" i="13"/>
  <c r="O4472" i="13"/>
  <c r="P4471" i="13"/>
  <c r="O4471" i="13"/>
  <c r="P4470" i="13"/>
  <c r="O4470" i="13"/>
  <c r="P4469" i="13"/>
  <c r="O4469" i="13"/>
  <c r="P4468" i="13"/>
  <c r="O4468" i="13"/>
  <c r="P4467" i="13"/>
  <c r="O4467" i="13"/>
  <c r="P4466" i="13"/>
  <c r="O4466" i="13"/>
  <c r="P4465" i="13"/>
  <c r="O4465" i="13"/>
  <c r="P4464" i="13"/>
  <c r="O4464" i="13"/>
  <c r="P4463" i="13"/>
  <c r="O4463" i="13"/>
  <c r="P4462" i="13"/>
  <c r="O4462" i="13"/>
  <c r="P4461" i="13"/>
  <c r="O4461" i="13"/>
  <c r="P4460" i="13"/>
  <c r="O4460" i="13"/>
  <c r="P4459" i="13"/>
  <c r="O4459" i="13"/>
  <c r="P4458" i="13"/>
  <c r="O4458" i="13"/>
  <c r="P4457" i="13"/>
  <c r="O4457" i="13"/>
  <c r="P4456" i="13"/>
  <c r="O4456" i="13"/>
  <c r="P4455" i="13"/>
  <c r="O4455" i="13"/>
  <c r="P4454" i="13"/>
  <c r="O4454" i="13"/>
  <c r="P4453" i="13"/>
  <c r="O4453" i="13"/>
  <c r="P4452" i="13"/>
  <c r="O4452" i="13"/>
  <c r="P4451" i="13"/>
  <c r="O4451" i="13"/>
  <c r="P4450" i="13"/>
  <c r="O4450" i="13"/>
  <c r="P4449" i="13"/>
  <c r="O4449" i="13"/>
  <c r="P4448" i="13"/>
  <c r="O4448" i="13"/>
  <c r="P4447" i="13"/>
  <c r="O4447" i="13"/>
  <c r="P4446" i="13"/>
  <c r="O4446" i="13"/>
  <c r="P4445" i="13"/>
  <c r="O4445" i="13"/>
  <c r="P4444" i="13"/>
  <c r="O4444" i="13"/>
  <c r="P4443" i="13"/>
  <c r="O4443" i="13"/>
  <c r="P4442" i="13"/>
  <c r="O4442" i="13"/>
  <c r="P4441" i="13"/>
  <c r="O4441" i="13"/>
  <c r="P4440" i="13"/>
  <c r="O4440" i="13"/>
  <c r="P4439" i="13"/>
  <c r="O4439" i="13"/>
  <c r="P4438" i="13"/>
  <c r="O4438" i="13"/>
  <c r="P4437" i="13"/>
  <c r="O4437" i="13"/>
  <c r="P4436" i="13"/>
  <c r="O4436" i="13"/>
  <c r="P4435" i="13"/>
  <c r="O4435" i="13"/>
  <c r="P4434" i="13"/>
  <c r="O4434" i="13"/>
  <c r="P4433" i="13"/>
  <c r="O4433" i="13"/>
  <c r="P4432" i="13"/>
  <c r="O4432" i="13"/>
  <c r="P4431" i="13"/>
  <c r="O4431" i="13"/>
  <c r="P4430" i="13"/>
  <c r="O4430" i="13"/>
  <c r="P4429" i="13"/>
  <c r="O4429" i="13"/>
  <c r="P4428" i="13"/>
  <c r="O4428" i="13"/>
  <c r="P4427" i="13"/>
  <c r="O4427" i="13"/>
  <c r="P4426" i="13"/>
  <c r="O4426" i="13"/>
  <c r="P4425" i="13"/>
  <c r="O4425" i="13"/>
  <c r="P4424" i="13"/>
  <c r="O4424" i="13"/>
  <c r="P4423" i="13"/>
  <c r="O4423" i="13"/>
  <c r="P4422" i="13"/>
  <c r="O4422" i="13"/>
  <c r="P4421" i="13"/>
  <c r="O4421" i="13"/>
  <c r="P4420" i="13"/>
  <c r="O4420" i="13"/>
  <c r="P4419" i="13"/>
  <c r="O4419" i="13"/>
  <c r="P4418" i="13"/>
  <c r="O4418" i="13"/>
  <c r="P4417" i="13"/>
  <c r="O4417" i="13"/>
  <c r="P4416" i="13"/>
  <c r="O4416" i="13"/>
  <c r="P4415" i="13"/>
  <c r="O4415" i="13"/>
  <c r="P4414" i="13"/>
  <c r="O4414" i="13"/>
  <c r="P4413" i="13"/>
  <c r="O4413" i="13"/>
  <c r="P4412" i="13"/>
  <c r="O4412" i="13"/>
  <c r="P4411" i="13"/>
  <c r="O4411" i="13"/>
  <c r="P4410" i="13"/>
  <c r="O4410" i="13"/>
  <c r="P4409" i="13"/>
  <c r="O4409" i="13"/>
  <c r="P4408" i="13"/>
  <c r="O4408" i="13"/>
  <c r="P4407" i="13"/>
  <c r="O4407" i="13"/>
  <c r="P4406" i="13"/>
  <c r="O4406" i="13"/>
  <c r="P4405" i="13"/>
  <c r="O4405" i="13"/>
  <c r="P4404" i="13"/>
  <c r="O4404" i="13"/>
  <c r="P4403" i="13"/>
  <c r="O4403" i="13"/>
  <c r="P4402" i="13"/>
  <c r="O4402" i="13"/>
  <c r="P4401" i="13"/>
  <c r="O4401" i="13"/>
  <c r="P4400" i="13"/>
  <c r="O4400" i="13"/>
  <c r="P4399" i="13"/>
  <c r="O4399" i="13"/>
  <c r="P4398" i="13"/>
  <c r="O4398" i="13"/>
  <c r="P4397" i="13"/>
  <c r="O4397" i="13"/>
  <c r="P4396" i="13"/>
  <c r="O4396" i="13"/>
  <c r="P4395" i="13"/>
  <c r="O4395" i="13"/>
  <c r="P4394" i="13"/>
  <c r="O4394" i="13"/>
  <c r="P4393" i="13"/>
  <c r="O4393" i="13"/>
  <c r="P4392" i="13"/>
  <c r="O4392" i="13"/>
  <c r="P4391" i="13"/>
  <c r="O4391" i="13"/>
  <c r="P4390" i="13"/>
  <c r="O4390" i="13"/>
  <c r="P4389" i="13"/>
  <c r="O4389" i="13"/>
  <c r="P4388" i="13"/>
  <c r="O4388" i="13"/>
  <c r="P4387" i="13"/>
  <c r="O4387" i="13"/>
  <c r="P4386" i="13"/>
  <c r="O4386" i="13"/>
  <c r="P4385" i="13"/>
  <c r="O4385" i="13"/>
  <c r="P4384" i="13"/>
  <c r="O4384" i="13"/>
  <c r="P4383" i="13"/>
  <c r="O4383" i="13"/>
  <c r="P4382" i="13"/>
  <c r="O4382" i="13"/>
  <c r="P4381" i="13"/>
  <c r="O4381" i="13"/>
  <c r="P4380" i="13"/>
  <c r="O4380" i="13"/>
  <c r="P4379" i="13"/>
  <c r="O4379" i="13"/>
  <c r="P4378" i="13"/>
  <c r="O4378" i="13"/>
  <c r="P4377" i="13"/>
  <c r="O4377" i="13"/>
  <c r="P4376" i="13"/>
  <c r="O4376" i="13"/>
  <c r="P4375" i="13"/>
  <c r="O4375" i="13"/>
  <c r="P4374" i="13"/>
  <c r="O4374" i="13"/>
  <c r="P4373" i="13"/>
  <c r="O4373" i="13"/>
  <c r="P4372" i="13"/>
  <c r="O4372" i="13"/>
  <c r="P4371" i="13"/>
  <c r="O4371" i="13"/>
  <c r="P4370" i="13"/>
  <c r="O4370" i="13"/>
  <c r="P4369" i="13"/>
  <c r="O4369" i="13"/>
  <c r="P4368" i="13"/>
  <c r="O4368" i="13"/>
  <c r="P4367" i="13"/>
  <c r="O4367" i="13"/>
  <c r="P4366" i="13"/>
  <c r="O4366" i="13"/>
  <c r="P4365" i="13"/>
  <c r="O4365" i="13"/>
  <c r="P4364" i="13"/>
  <c r="O4364" i="13"/>
  <c r="P4363" i="13"/>
  <c r="O4363" i="13"/>
  <c r="P4362" i="13"/>
  <c r="O4362" i="13"/>
  <c r="P4361" i="13"/>
  <c r="O4361" i="13"/>
  <c r="P4360" i="13"/>
  <c r="O4360" i="13"/>
  <c r="P4359" i="13"/>
  <c r="O4359" i="13"/>
  <c r="P4358" i="13"/>
  <c r="O4358" i="13"/>
  <c r="P4357" i="13"/>
  <c r="O4357" i="13"/>
  <c r="P4356" i="13"/>
  <c r="O4356" i="13"/>
  <c r="P4355" i="13"/>
  <c r="O4355" i="13"/>
  <c r="P4354" i="13"/>
  <c r="O4354" i="13"/>
  <c r="P4353" i="13"/>
  <c r="O4353" i="13"/>
  <c r="P4352" i="13"/>
  <c r="O4352" i="13"/>
  <c r="P4351" i="13"/>
  <c r="O4351" i="13"/>
  <c r="P4350" i="13"/>
  <c r="O4350" i="13"/>
  <c r="P4349" i="13"/>
  <c r="O4349" i="13"/>
  <c r="P4348" i="13"/>
  <c r="O4348" i="13"/>
  <c r="P4347" i="13"/>
  <c r="O4347" i="13"/>
  <c r="P4346" i="13"/>
  <c r="O4346" i="13"/>
  <c r="P4345" i="13"/>
  <c r="O4345" i="13"/>
  <c r="P4344" i="13"/>
  <c r="O4344" i="13"/>
  <c r="P4343" i="13"/>
  <c r="O4343" i="13"/>
  <c r="P4342" i="13"/>
  <c r="O4342" i="13"/>
  <c r="P4341" i="13"/>
  <c r="O4341" i="13"/>
  <c r="P4340" i="13"/>
  <c r="O4340" i="13"/>
  <c r="P4339" i="13"/>
  <c r="O4339" i="13"/>
  <c r="P4338" i="13"/>
  <c r="O4338" i="13"/>
  <c r="P4337" i="13"/>
  <c r="O4337" i="13"/>
  <c r="P4336" i="13"/>
  <c r="O4336" i="13"/>
  <c r="P4335" i="13"/>
  <c r="O4335" i="13"/>
  <c r="P4334" i="13"/>
  <c r="O4334" i="13"/>
  <c r="P4333" i="13"/>
  <c r="O4333" i="13"/>
  <c r="P4332" i="13"/>
  <c r="O4332" i="13"/>
  <c r="P4331" i="13"/>
  <c r="O4331" i="13"/>
  <c r="P4330" i="13"/>
  <c r="O4330" i="13"/>
  <c r="P4329" i="13"/>
  <c r="O4329" i="13"/>
  <c r="P4328" i="13"/>
  <c r="O4328" i="13"/>
  <c r="P4327" i="13"/>
  <c r="O4327" i="13"/>
  <c r="P4326" i="13"/>
  <c r="O4326" i="13"/>
  <c r="P4325" i="13"/>
  <c r="O4325" i="13"/>
  <c r="P4324" i="13"/>
  <c r="O4324" i="13"/>
  <c r="P4323" i="13"/>
  <c r="O4323" i="13"/>
  <c r="P4322" i="13"/>
  <c r="O4322" i="13"/>
  <c r="P4321" i="13"/>
  <c r="O4321" i="13"/>
  <c r="P4320" i="13"/>
  <c r="O4320" i="13"/>
  <c r="P4319" i="13"/>
  <c r="O4319" i="13"/>
  <c r="P4318" i="13"/>
  <c r="O4318" i="13"/>
  <c r="P4317" i="13"/>
  <c r="O4317" i="13"/>
  <c r="P4316" i="13"/>
  <c r="O4316" i="13"/>
  <c r="P4315" i="13"/>
  <c r="O4315" i="13"/>
  <c r="P4314" i="13"/>
  <c r="O4314" i="13"/>
  <c r="P4313" i="13"/>
  <c r="O4313" i="13"/>
  <c r="P4312" i="13"/>
  <c r="O4312" i="13"/>
  <c r="P4311" i="13"/>
  <c r="O4311" i="13"/>
  <c r="P4310" i="13"/>
  <c r="O4310" i="13"/>
  <c r="P4309" i="13"/>
  <c r="O4309" i="13"/>
  <c r="P4308" i="13"/>
  <c r="O4308" i="13"/>
  <c r="P4307" i="13"/>
  <c r="O4307" i="13"/>
  <c r="P4306" i="13"/>
  <c r="O4306" i="13"/>
  <c r="P4305" i="13"/>
  <c r="O4305" i="13"/>
  <c r="P4304" i="13"/>
  <c r="O4304" i="13"/>
  <c r="P4303" i="13"/>
  <c r="O4303" i="13"/>
  <c r="P4302" i="13"/>
  <c r="O4302" i="13"/>
  <c r="P4301" i="13"/>
  <c r="O4301" i="13"/>
  <c r="P4300" i="13"/>
  <c r="O4300" i="13"/>
  <c r="P4299" i="13"/>
  <c r="O4299" i="13"/>
  <c r="P4298" i="13"/>
  <c r="O4298" i="13"/>
  <c r="P4297" i="13"/>
  <c r="O4297" i="13"/>
  <c r="P4296" i="13"/>
  <c r="O4296" i="13"/>
  <c r="P4295" i="13"/>
  <c r="O4295" i="13"/>
  <c r="P4294" i="13"/>
  <c r="O4294" i="13"/>
  <c r="P4293" i="13"/>
  <c r="O4293" i="13"/>
  <c r="P4292" i="13"/>
  <c r="O4292" i="13"/>
  <c r="P4291" i="13"/>
  <c r="O4291" i="13"/>
  <c r="P4290" i="13"/>
  <c r="O4290" i="13"/>
  <c r="P4289" i="13"/>
  <c r="O4289" i="13"/>
  <c r="P4288" i="13"/>
  <c r="O4288" i="13"/>
  <c r="P4287" i="13"/>
  <c r="O4287" i="13"/>
  <c r="P4286" i="13"/>
  <c r="O4286" i="13"/>
  <c r="P4285" i="13"/>
  <c r="O4285" i="13"/>
  <c r="P4284" i="13"/>
  <c r="O4284" i="13"/>
  <c r="P4283" i="13"/>
  <c r="O4283" i="13"/>
  <c r="P4282" i="13"/>
  <c r="O4282" i="13"/>
  <c r="P4281" i="13"/>
  <c r="O4281" i="13"/>
  <c r="P4280" i="13"/>
  <c r="O4280" i="13"/>
  <c r="P4279" i="13"/>
  <c r="O4279" i="13"/>
  <c r="P4278" i="13"/>
  <c r="O4278" i="13"/>
  <c r="P4277" i="13"/>
  <c r="O4277" i="13"/>
  <c r="P4276" i="13"/>
  <c r="O4276" i="13"/>
  <c r="P4275" i="13"/>
  <c r="O4275" i="13"/>
  <c r="P4274" i="13"/>
  <c r="O4274" i="13"/>
  <c r="P4273" i="13"/>
  <c r="O4273" i="13"/>
  <c r="P4272" i="13"/>
  <c r="O4272" i="13"/>
  <c r="P4271" i="13"/>
  <c r="O4271" i="13"/>
  <c r="P4270" i="13"/>
  <c r="O4270" i="13"/>
  <c r="P4269" i="13"/>
  <c r="O4269" i="13"/>
  <c r="P4268" i="13"/>
  <c r="O4268" i="13"/>
  <c r="P4267" i="13"/>
  <c r="O4267" i="13"/>
  <c r="P4266" i="13"/>
  <c r="O4266" i="13"/>
  <c r="P4265" i="13"/>
  <c r="O4265" i="13"/>
  <c r="P4264" i="13"/>
  <c r="O4264" i="13"/>
  <c r="P4263" i="13"/>
  <c r="O4263" i="13"/>
  <c r="P4262" i="13"/>
  <c r="O4262" i="13"/>
  <c r="P4261" i="13"/>
  <c r="O4261" i="13"/>
  <c r="P4260" i="13"/>
  <c r="O4260" i="13"/>
  <c r="P4259" i="13"/>
  <c r="O4259" i="13"/>
  <c r="P4258" i="13"/>
  <c r="O4258" i="13"/>
  <c r="P4257" i="13"/>
  <c r="O4257" i="13"/>
  <c r="P4256" i="13"/>
  <c r="O4256" i="13"/>
  <c r="P4255" i="13"/>
  <c r="O4255" i="13"/>
  <c r="P4254" i="13"/>
  <c r="O4254" i="13"/>
  <c r="P4253" i="13"/>
  <c r="O4253" i="13"/>
  <c r="P4252" i="13"/>
  <c r="O4252" i="13"/>
  <c r="P4251" i="13"/>
  <c r="O4251" i="13"/>
  <c r="P4250" i="13"/>
  <c r="O4250" i="13"/>
  <c r="P4249" i="13"/>
  <c r="O4249" i="13"/>
  <c r="P4248" i="13"/>
  <c r="O4248" i="13"/>
  <c r="P4247" i="13"/>
  <c r="O4247" i="13"/>
  <c r="P4246" i="13"/>
  <c r="O4246" i="13"/>
  <c r="P4245" i="13"/>
  <c r="O4245" i="13"/>
  <c r="P4244" i="13"/>
  <c r="O4244" i="13"/>
  <c r="P4243" i="13"/>
  <c r="O4243" i="13"/>
  <c r="P4242" i="13"/>
  <c r="O4242" i="13"/>
  <c r="P4241" i="13"/>
  <c r="O4241" i="13"/>
  <c r="P4240" i="13"/>
  <c r="O4240" i="13"/>
  <c r="P4239" i="13"/>
  <c r="O4239" i="13"/>
  <c r="P4238" i="13"/>
  <c r="O4238" i="13"/>
  <c r="P4237" i="13"/>
  <c r="O4237" i="13"/>
  <c r="P4236" i="13"/>
  <c r="O4236" i="13"/>
  <c r="P4235" i="13"/>
  <c r="O4235" i="13"/>
  <c r="P4234" i="13"/>
  <c r="O4234" i="13"/>
  <c r="P4233" i="13"/>
  <c r="O4233" i="13"/>
  <c r="P4232" i="13"/>
  <c r="O4232" i="13"/>
  <c r="P4231" i="13"/>
  <c r="O4231" i="13"/>
  <c r="P4230" i="13"/>
  <c r="O4230" i="13"/>
  <c r="P4229" i="13"/>
  <c r="O4229" i="13"/>
  <c r="P4228" i="13"/>
  <c r="O4228" i="13"/>
  <c r="P4227" i="13"/>
  <c r="O4227" i="13"/>
  <c r="P4226" i="13"/>
  <c r="O4226" i="13"/>
  <c r="P4225" i="13"/>
  <c r="O4225" i="13"/>
  <c r="P4224" i="13"/>
  <c r="O4224" i="13"/>
  <c r="P4223" i="13"/>
  <c r="O4223" i="13"/>
  <c r="P4222" i="13"/>
  <c r="O4222" i="13"/>
  <c r="P4221" i="13"/>
  <c r="O4221" i="13"/>
  <c r="P4220" i="13"/>
  <c r="O4220" i="13"/>
  <c r="P4219" i="13"/>
  <c r="O4219" i="13"/>
  <c r="P4218" i="13"/>
  <c r="O4218" i="13"/>
  <c r="P4217" i="13"/>
  <c r="O4217" i="13"/>
  <c r="P4216" i="13"/>
  <c r="O4216" i="13"/>
  <c r="P4215" i="13"/>
  <c r="O4215" i="13"/>
  <c r="P4214" i="13"/>
  <c r="O4214" i="13"/>
  <c r="P4213" i="13"/>
  <c r="O4213" i="13"/>
  <c r="P4212" i="13"/>
  <c r="O4212" i="13"/>
  <c r="P4211" i="13"/>
  <c r="O4211" i="13"/>
  <c r="P4210" i="13"/>
  <c r="O4210" i="13"/>
  <c r="P4209" i="13"/>
  <c r="O4209" i="13"/>
  <c r="P4208" i="13"/>
  <c r="O4208" i="13"/>
  <c r="P4207" i="13"/>
  <c r="O4207" i="13"/>
  <c r="P4206" i="13"/>
  <c r="O4206" i="13"/>
  <c r="P4205" i="13"/>
  <c r="O4205" i="13"/>
  <c r="P4204" i="13"/>
  <c r="O4204" i="13"/>
  <c r="P4203" i="13"/>
  <c r="O4203" i="13"/>
  <c r="P4202" i="13"/>
  <c r="O4202" i="13"/>
  <c r="P4201" i="13"/>
  <c r="O4201" i="13"/>
  <c r="P4200" i="13"/>
  <c r="O4200" i="13"/>
  <c r="P4199" i="13"/>
  <c r="O4199" i="13"/>
  <c r="P4198" i="13"/>
  <c r="O4198" i="13"/>
  <c r="P4197" i="13"/>
  <c r="O4197" i="13"/>
  <c r="P4196" i="13"/>
  <c r="O4196" i="13"/>
  <c r="P4195" i="13"/>
  <c r="O4195" i="13"/>
  <c r="P4194" i="13"/>
  <c r="O4194" i="13"/>
  <c r="P4193" i="13"/>
  <c r="O4193" i="13"/>
  <c r="P4192" i="13"/>
  <c r="O4192" i="13"/>
  <c r="P4191" i="13"/>
  <c r="O4191" i="13"/>
  <c r="P4190" i="13"/>
  <c r="O4190" i="13"/>
  <c r="P4189" i="13"/>
  <c r="O4189" i="13"/>
  <c r="P4188" i="13"/>
  <c r="O4188" i="13"/>
  <c r="P4187" i="13"/>
  <c r="O4187" i="13"/>
  <c r="P4186" i="13"/>
  <c r="O4186" i="13"/>
  <c r="P4185" i="13"/>
  <c r="O4185" i="13"/>
  <c r="P4184" i="13"/>
  <c r="O4184" i="13"/>
  <c r="P4183" i="13"/>
  <c r="O4183" i="13"/>
  <c r="P4182" i="13"/>
  <c r="O4182" i="13"/>
  <c r="P4181" i="13"/>
  <c r="O4181" i="13"/>
  <c r="P4180" i="13"/>
  <c r="O4180" i="13"/>
  <c r="P4179" i="13"/>
  <c r="O4179" i="13"/>
  <c r="P4178" i="13"/>
  <c r="O4178" i="13"/>
  <c r="P4177" i="13"/>
  <c r="O4177" i="13"/>
  <c r="P4176" i="13"/>
  <c r="O4176" i="13"/>
  <c r="P4175" i="13"/>
  <c r="O4175" i="13"/>
  <c r="P4174" i="13"/>
  <c r="O4174" i="13"/>
  <c r="P4173" i="13"/>
  <c r="O4173" i="13"/>
  <c r="P4172" i="13"/>
  <c r="O4172" i="13"/>
  <c r="P4171" i="13"/>
  <c r="O4171" i="13"/>
  <c r="P4170" i="13"/>
  <c r="O4170" i="13"/>
  <c r="P4169" i="13"/>
  <c r="O4169" i="13"/>
  <c r="P4168" i="13"/>
  <c r="O4168" i="13"/>
  <c r="P4167" i="13"/>
  <c r="O4167" i="13"/>
  <c r="P4166" i="13"/>
  <c r="O4166" i="13"/>
  <c r="P4165" i="13"/>
  <c r="O4165" i="13"/>
  <c r="P4164" i="13"/>
  <c r="O4164" i="13"/>
  <c r="P4163" i="13"/>
  <c r="O4163" i="13"/>
  <c r="P4162" i="13"/>
  <c r="O4162" i="13"/>
  <c r="P4161" i="13"/>
  <c r="O4161" i="13"/>
  <c r="P4160" i="13"/>
  <c r="O4160" i="13"/>
  <c r="P4159" i="13"/>
  <c r="O4159" i="13"/>
  <c r="P4158" i="13"/>
  <c r="O4158" i="13"/>
  <c r="P4157" i="13"/>
  <c r="O4157" i="13"/>
  <c r="P4156" i="13"/>
  <c r="O4156" i="13"/>
  <c r="P4155" i="13"/>
  <c r="O4155" i="13"/>
  <c r="P4154" i="13"/>
  <c r="O4154" i="13"/>
  <c r="P4153" i="13"/>
  <c r="O4153" i="13"/>
  <c r="P4152" i="13"/>
  <c r="O4152" i="13"/>
  <c r="P4151" i="13"/>
  <c r="O4151" i="13"/>
  <c r="P4150" i="13"/>
  <c r="O4150" i="13"/>
  <c r="P4149" i="13"/>
  <c r="O4149" i="13"/>
  <c r="P4148" i="13"/>
  <c r="O4148" i="13"/>
  <c r="P4147" i="13"/>
  <c r="O4147" i="13"/>
  <c r="P4146" i="13"/>
  <c r="O4146" i="13"/>
  <c r="P4145" i="13"/>
  <c r="O4145" i="13"/>
  <c r="P4144" i="13"/>
  <c r="O4144" i="13"/>
  <c r="P4143" i="13"/>
  <c r="O4143" i="13"/>
  <c r="P4142" i="13"/>
  <c r="O4142" i="13"/>
  <c r="P4141" i="13"/>
  <c r="O4141" i="13"/>
  <c r="P4140" i="13"/>
  <c r="O4140" i="13"/>
  <c r="P4139" i="13"/>
  <c r="O4139" i="13"/>
  <c r="P4138" i="13"/>
  <c r="O4138" i="13"/>
  <c r="P4137" i="13"/>
  <c r="O4137" i="13"/>
  <c r="P4136" i="13"/>
  <c r="O4136" i="13"/>
  <c r="P4135" i="13"/>
  <c r="O4135" i="13"/>
  <c r="P4134" i="13"/>
  <c r="O4134" i="13"/>
  <c r="P4133" i="13"/>
  <c r="O4133" i="13"/>
  <c r="P4132" i="13"/>
  <c r="O4132" i="13"/>
  <c r="P4131" i="13"/>
  <c r="O4131" i="13"/>
  <c r="P4130" i="13"/>
  <c r="O4130" i="13"/>
  <c r="P4129" i="13"/>
  <c r="O4129" i="13"/>
  <c r="P4128" i="13"/>
  <c r="O4128" i="13"/>
  <c r="P4127" i="13"/>
  <c r="O4127" i="13"/>
  <c r="P4126" i="13"/>
  <c r="O4126" i="13"/>
  <c r="P4125" i="13"/>
  <c r="O4125" i="13"/>
  <c r="P4124" i="13"/>
  <c r="O4124" i="13"/>
  <c r="P4123" i="13"/>
  <c r="O4123" i="13"/>
  <c r="P4122" i="13"/>
  <c r="O4122" i="13"/>
  <c r="P4121" i="13"/>
  <c r="O4121" i="13"/>
  <c r="P4120" i="13"/>
  <c r="O4120" i="13"/>
  <c r="P4119" i="13"/>
  <c r="O4119" i="13"/>
  <c r="P4118" i="13"/>
  <c r="O4118" i="13"/>
  <c r="P4117" i="13"/>
  <c r="O4117" i="13"/>
  <c r="P4116" i="13"/>
  <c r="O4116" i="13"/>
  <c r="P4115" i="13"/>
  <c r="O4115" i="13"/>
  <c r="P4114" i="13"/>
  <c r="O4114" i="13"/>
  <c r="P4113" i="13"/>
  <c r="O4113" i="13"/>
  <c r="P4112" i="13"/>
  <c r="O4112" i="13"/>
  <c r="P4111" i="13"/>
  <c r="O4111" i="13"/>
  <c r="P4110" i="13"/>
  <c r="O4110" i="13"/>
  <c r="P4109" i="13"/>
  <c r="O4109" i="13"/>
  <c r="P4108" i="13"/>
  <c r="O4108" i="13"/>
  <c r="P4107" i="13"/>
  <c r="O4107" i="13"/>
  <c r="P4106" i="13"/>
  <c r="O4106" i="13"/>
  <c r="P4105" i="13"/>
  <c r="O4105" i="13"/>
  <c r="P4104" i="13"/>
  <c r="O4104" i="13"/>
  <c r="P4103" i="13"/>
  <c r="O4103" i="13"/>
  <c r="P4102" i="13"/>
  <c r="O4102" i="13"/>
  <c r="P4101" i="13"/>
  <c r="O4101" i="13"/>
  <c r="P4100" i="13"/>
  <c r="O4100" i="13"/>
  <c r="P4099" i="13"/>
  <c r="O4099" i="13"/>
  <c r="P4098" i="13"/>
  <c r="O4098" i="13"/>
  <c r="P4097" i="13"/>
  <c r="O4097" i="13"/>
  <c r="P4096" i="13"/>
  <c r="O4096" i="13"/>
  <c r="P4095" i="13"/>
  <c r="O4095" i="13"/>
  <c r="P4094" i="13"/>
  <c r="O4094" i="13"/>
  <c r="P4093" i="13"/>
  <c r="O4093" i="13"/>
  <c r="P4092" i="13"/>
  <c r="O4092" i="13"/>
  <c r="P4091" i="13"/>
  <c r="O4091" i="13"/>
  <c r="P4090" i="13"/>
  <c r="O4090" i="13"/>
  <c r="P4089" i="13"/>
  <c r="O4089" i="13"/>
  <c r="P4088" i="13"/>
  <c r="O4088" i="13"/>
  <c r="P4087" i="13"/>
  <c r="O4087" i="13"/>
  <c r="P4086" i="13"/>
  <c r="O4086" i="13"/>
  <c r="P4085" i="13"/>
  <c r="O4085" i="13"/>
  <c r="P4084" i="13"/>
  <c r="O4084" i="13"/>
  <c r="P4083" i="13"/>
  <c r="O4083" i="13"/>
  <c r="P4082" i="13"/>
  <c r="O4082" i="13"/>
  <c r="P4081" i="13"/>
  <c r="O4081" i="13"/>
  <c r="P4080" i="13"/>
  <c r="O4080" i="13"/>
  <c r="P4079" i="13"/>
  <c r="O4079" i="13"/>
  <c r="P4078" i="13"/>
  <c r="O4078" i="13"/>
  <c r="P4077" i="13"/>
  <c r="O4077" i="13"/>
  <c r="P4076" i="13"/>
  <c r="O4076" i="13"/>
  <c r="P4075" i="13"/>
  <c r="O4075" i="13"/>
  <c r="P4074" i="13"/>
  <c r="O4074" i="13"/>
  <c r="P4073" i="13"/>
  <c r="O4073" i="13"/>
  <c r="P4072" i="13"/>
  <c r="O4072" i="13"/>
  <c r="P4071" i="13"/>
  <c r="O4071" i="13"/>
  <c r="P4070" i="13"/>
  <c r="O4070" i="13"/>
  <c r="P4069" i="13"/>
  <c r="O4069" i="13"/>
  <c r="P4068" i="13"/>
  <c r="O4068" i="13"/>
  <c r="P4067" i="13"/>
  <c r="O4067" i="13"/>
  <c r="P4066" i="13"/>
  <c r="O4066" i="13"/>
  <c r="P4065" i="13"/>
  <c r="O4065" i="13"/>
  <c r="P4064" i="13"/>
  <c r="O4064" i="13"/>
  <c r="P4063" i="13"/>
  <c r="O4063" i="13"/>
  <c r="P4062" i="13"/>
  <c r="O4062" i="13"/>
  <c r="P4061" i="13"/>
  <c r="O4061" i="13"/>
  <c r="P4060" i="13"/>
  <c r="O4060" i="13"/>
  <c r="P4059" i="13"/>
  <c r="O4059" i="13"/>
  <c r="P4058" i="13"/>
  <c r="O4058" i="13"/>
  <c r="P4057" i="13"/>
  <c r="O4057" i="13"/>
  <c r="P4056" i="13"/>
  <c r="O4056" i="13"/>
  <c r="P4055" i="13"/>
  <c r="O4055" i="13"/>
  <c r="P4054" i="13"/>
  <c r="O4054" i="13"/>
  <c r="P4053" i="13"/>
  <c r="O4053" i="13"/>
  <c r="P4052" i="13"/>
  <c r="O4052" i="13"/>
  <c r="P4051" i="13"/>
  <c r="O4051" i="13"/>
  <c r="P4050" i="13"/>
  <c r="O4050" i="13"/>
  <c r="P4049" i="13"/>
  <c r="O4049" i="13"/>
  <c r="P4048" i="13"/>
  <c r="O4048" i="13"/>
  <c r="P4047" i="13"/>
  <c r="O4047" i="13"/>
  <c r="P4046" i="13"/>
  <c r="O4046" i="13"/>
  <c r="P4045" i="13"/>
  <c r="O4045" i="13"/>
  <c r="P4044" i="13"/>
  <c r="O4044" i="13"/>
  <c r="P4043" i="13"/>
  <c r="O4043" i="13"/>
  <c r="P4042" i="13"/>
  <c r="O4042" i="13"/>
  <c r="P4041" i="13"/>
  <c r="O4041" i="13"/>
  <c r="P4040" i="13"/>
  <c r="O4040" i="13"/>
  <c r="P4039" i="13"/>
  <c r="O4039" i="13"/>
  <c r="P4038" i="13"/>
  <c r="O4038" i="13"/>
  <c r="P4037" i="13"/>
  <c r="O4037" i="13"/>
  <c r="P4036" i="13"/>
  <c r="O4036" i="13"/>
  <c r="P4035" i="13"/>
  <c r="O4035" i="13"/>
  <c r="P4034" i="13"/>
  <c r="O4034" i="13"/>
  <c r="P4033" i="13"/>
  <c r="O4033" i="13"/>
  <c r="P4032" i="13"/>
  <c r="O4032" i="13"/>
  <c r="P4031" i="13"/>
  <c r="O4031" i="13"/>
  <c r="P4030" i="13"/>
  <c r="O4030" i="13"/>
  <c r="P4029" i="13"/>
  <c r="O4029" i="13"/>
  <c r="P4028" i="13"/>
  <c r="O4028" i="13"/>
  <c r="P4027" i="13"/>
  <c r="O4027" i="13"/>
  <c r="P4026" i="13"/>
  <c r="O4026" i="13"/>
  <c r="P4025" i="13"/>
  <c r="O4025" i="13"/>
  <c r="P4024" i="13"/>
  <c r="O4024" i="13"/>
  <c r="P4023" i="13"/>
  <c r="O4023" i="13"/>
  <c r="P4022" i="13"/>
  <c r="O4022" i="13"/>
  <c r="P4021" i="13"/>
  <c r="O4021" i="13"/>
  <c r="P4020" i="13"/>
  <c r="O4020" i="13"/>
  <c r="P4019" i="13"/>
  <c r="O4019" i="13"/>
  <c r="P4018" i="13"/>
  <c r="O4018" i="13"/>
  <c r="P4017" i="13"/>
  <c r="O4017" i="13"/>
  <c r="P4016" i="13"/>
  <c r="O4016" i="13"/>
  <c r="P4015" i="13"/>
  <c r="O4015" i="13"/>
  <c r="P4014" i="13"/>
  <c r="O4014" i="13"/>
  <c r="P4013" i="13"/>
  <c r="O4013" i="13"/>
  <c r="P4012" i="13"/>
  <c r="O4012" i="13"/>
  <c r="P4011" i="13"/>
  <c r="O4011" i="13"/>
  <c r="P4010" i="13"/>
  <c r="O4010" i="13"/>
  <c r="P4009" i="13"/>
  <c r="O4009" i="13"/>
  <c r="P4008" i="13"/>
  <c r="O4008" i="13"/>
  <c r="P4007" i="13"/>
  <c r="O4007" i="13"/>
  <c r="P4006" i="13"/>
  <c r="O4006" i="13"/>
  <c r="P4005" i="13"/>
  <c r="O4005" i="13"/>
  <c r="P4004" i="13"/>
  <c r="O4004" i="13"/>
  <c r="P4003" i="13"/>
  <c r="O4003" i="13"/>
  <c r="P4002" i="13"/>
  <c r="O4002" i="13"/>
  <c r="P4001" i="13"/>
  <c r="O4001" i="13"/>
  <c r="P4000" i="13"/>
  <c r="O4000" i="13"/>
  <c r="P3999" i="13"/>
  <c r="O3999" i="13"/>
  <c r="P3998" i="13"/>
  <c r="O3998" i="13"/>
  <c r="P3997" i="13"/>
  <c r="O3997" i="13"/>
  <c r="P3996" i="13"/>
  <c r="O3996" i="13"/>
  <c r="P3995" i="13"/>
  <c r="O3995" i="13"/>
  <c r="P3994" i="13"/>
  <c r="O3994" i="13"/>
  <c r="P3993" i="13"/>
  <c r="O3993" i="13"/>
  <c r="P3992" i="13"/>
  <c r="O3992" i="13"/>
  <c r="P3991" i="13"/>
  <c r="O3991" i="13"/>
  <c r="P3990" i="13"/>
  <c r="O3990" i="13"/>
  <c r="P3989" i="13"/>
  <c r="O3989" i="13"/>
  <c r="P3988" i="13"/>
  <c r="O3988" i="13"/>
  <c r="P3987" i="13"/>
  <c r="O3987" i="13"/>
  <c r="P3986" i="13"/>
  <c r="O3986" i="13"/>
  <c r="P3985" i="13"/>
  <c r="O3985" i="13"/>
  <c r="P3984" i="13"/>
  <c r="O3984" i="13"/>
  <c r="P3983" i="13"/>
  <c r="O3983" i="13"/>
  <c r="P3982" i="13"/>
  <c r="O3982" i="13"/>
  <c r="P3981" i="13"/>
  <c r="O3981" i="13"/>
  <c r="P3980" i="13"/>
  <c r="O3980" i="13"/>
  <c r="P3979" i="13"/>
  <c r="O3979" i="13"/>
  <c r="P3978" i="13"/>
  <c r="O3978" i="13"/>
  <c r="P3977" i="13"/>
  <c r="O3977" i="13"/>
  <c r="P3976" i="13"/>
  <c r="O3976" i="13"/>
  <c r="P3975" i="13"/>
  <c r="O3975" i="13"/>
  <c r="P3974" i="13"/>
  <c r="O3974" i="13"/>
  <c r="P3973" i="13"/>
  <c r="O3973" i="13"/>
  <c r="P3972" i="13"/>
  <c r="O3972" i="13"/>
  <c r="P3971" i="13"/>
  <c r="O3971" i="13"/>
  <c r="P3970" i="13"/>
  <c r="O3970" i="13"/>
  <c r="P3969" i="13"/>
  <c r="O3969" i="13"/>
  <c r="P3968" i="13"/>
  <c r="O3968" i="13"/>
  <c r="P3967" i="13"/>
  <c r="O3967" i="13"/>
  <c r="P3966" i="13"/>
  <c r="O3966" i="13"/>
  <c r="P3965" i="13"/>
  <c r="O3965" i="13"/>
  <c r="P3964" i="13"/>
  <c r="O3964" i="13"/>
  <c r="P3963" i="13"/>
  <c r="O3963" i="13"/>
  <c r="P3962" i="13"/>
  <c r="O3962" i="13"/>
  <c r="P3961" i="13"/>
  <c r="O3961" i="13"/>
  <c r="P3960" i="13"/>
  <c r="O3960" i="13"/>
  <c r="P3959" i="13"/>
  <c r="O3959" i="13"/>
  <c r="P3958" i="13"/>
  <c r="O3958" i="13"/>
  <c r="P3957" i="13"/>
  <c r="O3957" i="13"/>
  <c r="P3956" i="13"/>
  <c r="O3956" i="13"/>
  <c r="P3955" i="13"/>
  <c r="O3955" i="13"/>
  <c r="P3954" i="13"/>
  <c r="O3954" i="13"/>
  <c r="P3953" i="13"/>
  <c r="O3953" i="13"/>
  <c r="P3952" i="13"/>
  <c r="O3952" i="13"/>
  <c r="P3951" i="13"/>
  <c r="O3951" i="13"/>
  <c r="P3950" i="13"/>
  <c r="O3950" i="13"/>
  <c r="P3949" i="13"/>
  <c r="O3949" i="13"/>
  <c r="P3948" i="13"/>
  <c r="O3948" i="13"/>
  <c r="P3947" i="13"/>
  <c r="O3947" i="13"/>
  <c r="P3946" i="13"/>
  <c r="O3946" i="13"/>
  <c r="P3945" i="13"/>
  <c r="O3945" i="13"/>
  <c r="P3944" i="13"/>
  <c r="O3944" i="13"/>
  <c r="P3943" i="13"/>
  <c r="O3943" i="13"/>
  <c r="P3942" i="13"/>
  <c r="O3942" i="13"/>
  <c r="P3941" i="13"/>
  <c r="O3941" i="13"/>
  <c r="P3940" i="13"/>
  <c r="O3940" i="13"/>
  <c r="P3939" i="13"/>
  <c r="O3939" i="13"/>
  <c r="P3938" i="13"/>
  <c r="O3938" i="13"/>
  <c r="P3937" i="13"/>
  <c r="O3937" i="13"/>
  <c r="P3936" i="13"/>
  <c r="O3936" i="13"/>
  <c r="P3935" i="13"/>
  <c r="O3935" i="13"/>
  <c r="P3934" i="13"/>
  <c r="O3934" i="13"/>
  <c r="P3933" i="13"/>
  <c r="O3933" i="13"/>
  <c r="P3932" i="13"/>
  <c r="O3932" i="13"/>
  <c r="P3931" i="13"/>
  <c r="O3931" i="13"/>
  <c r="P3930" i="13"/>
  <c r="O3930" i="13"/>
  <c r="P3929" i="13"/>
  <c r="O3929" i="13"/>
  <c r="P3928" i="13"/>
  <c r="O3928" i="13"/>
  <c r="P3927" i="13"/>
  <c r="O3927" i="13"/>
  <c r="P3926" i="13"/>
  <c r="O3926" i="13"/>
  <c r="P3925" i="13"/>
  <c r="O3925" i="13"/>
  <c r="P3924" i="13"/>
  <c r="O3924" i="13"/>
  <c r="P3923" i="13"/>
  <c r="O3923" i="13"/>
  <c r="P3922" i="13"/>
  <c r="O3922" i="13"/>
  <c r="P3921" i="13"/>
  <c r="O3921" i="13"/>
  <c r="P3920" i="13"/>
  <c r="O3920" i="13"/>
  <c r="P3919" i="13"/>
  <c r="O3919" i="13"/>
  <c r="P3918" i="13"/>
  <c r="O3918" i="13"/>
  <c r="P3917" i="13"/>
  <c r="O3917" i="13"/>
  <c r="P3916" i="13"/>
  <c r="O3916" i="13"/>
  <c r="P3915" i="13"/>
  <c r="O3915" i="13"/>
  <c r="P3914" i="13"/>
  <c r="O3914" i="13"/>
  <c r="P3913" i="13"/>
  <c r="O3913" i="13"/>
  <c r="P3912" i="13"/>
  <c r="O3912" i="13"/>
  <c r="P3911" i="13"/>
  <c r="O3911" i="13"/>
  <c r="P3910" i="13"/>
  <c r="O3910" i="13"/>
  <c r="P3909" i="13"/>
  <c r="O3909" i="13"/>
  <c r="P3908" i="13"/>
  <c r="O3908" i="13"/>
  <c r="P3907" i="13"/>
  <c r="O3907" i="13"/>
  <c r="P3906" i="13"/>
  <c r="O3906" i="13"/>
  <c r="P3905" i="13"/>
  <c r="O3905" i="13"/>
  <c r="P3904" i="13"/>
  <c r="O3904" i="13"/>
  <c r="P3903" i="13"/>
  <c r="O3903" i="13"/>
  <c r="P3902" i="13"/>
  <c r="O3902" i="13"/>
  <c r="P3901" i="13"/>
  <c r="O3901" i="13"/>
  <c r="P3900" i="13"/>
  <c r="O3900" i="13"/>
  <c r="P3899" i="13"/>
  <c r="O3899" i="13"/>
  <c r="P3898" i="13"/>
  <c r="O3898" i="13"/>
  <c r="P3897" i="13"/>
  <c r="O3897" i="13"/>
  <c r="P3896" i="13"/>
  <c r="O3896" i="13"/>
  <c r="P3895" i="13"/>
  <c r="O3895" i="13"/>
  <c r="P3894" i="13"/>
  <c r="O3894" i="13"/>
  <c r="P3893" i="13"/>
  <c r="O3893" i="13"/>
  <c r="P3892" i="13"/>
  <c r="O3892" i="13"/>
  <c r="P3891" i="13"/>
  <c r="O3891" i="13"/>
  <c r="P3890" i="13"/>
  <c r="O3890" i="13"/>
  <c r="P3889" i="13"/>
  <c r="O3889" i="13"/>
  <c r="P3888" i="13"/>
  <c r="O3888" i="13"/>
  <c r="P3887" i="13"/>
  <c r="O3887" i="13"/>
  <c r="P3886" i="13"/>
  <c r="O3886" i="13"/>
  <c r="P3885" i="13"/>
  <c r="O3885" i="13"/>
  <c r="P3884" i="13"/>
  <c r="O3884" i="13"/>
  <c r="P3883" i="13"/>
  <c r="O3883" i="13"/>
  <c r="P3882" i="13"/>
  <c r="O3882" i="13"/>
  <c r="P3881" i="13"/>
  <c r="O3881" i="13"/>
  <c r="P3880" i="13"/>
  <c r="O3880" i="13"/>
  <c r="P3879" i="13"/>
  <c r="O3879" i="13"/>
  <c r="P3878" i="13"/>
  <c r="O3878" i="13"/>
  <c r="P3877" i="13"/>
  <c r="O3877" i="13"/>
  <c r="P3876" i="13"/>
  <c r="O3876" i="13"/>
  <c r="P3875" i="13"/>
  <c r="O3875" i="13"/>
  <c r="P3874" i="13"/>
  <c r="O3874" i="13"/>
  <c r="P3873" i="13"/>
  <c r="O3873" i="13"/>
  <c r="P3872" i="13"/>
  <c r="O3872" i="13"/>
  <c r="P3871" i="13"/>
  <c r="O3871" i="13"/>
  <c r="P3870" i="13"/>
  <c r="O3870" i="13"/>
  <c r="P3869" i="13"/>
  <c r="O3869" i="13"/>
  <c r="P3868" i="13"/>
  <c r="O3868" i="13"/>
  <c r="P3867" i="13"/>
  <c r="O3867" i="13"/>
  <c r="P3866" i="13"/>
  <c r="O3866" i="13"/>
  <c r="P3865" i="13"/>
  <c r="O3865" i="13"/>
  <c r="P3864" i="13"/>
  <c r="O3864" i="13"/>
  <c r="P3863" i="13"/>
  <c r="O3863" i="13"/>
  <c r="P3862" i="13"/>
  <c r="O3862" i="13"/>
  <c r="P3861" i="13"/>
  <c r="O3861" i="13"/>
  <c r="P3860" i="13"/>
  <c r="O3860" i="13"/>
  <c r="P3859" i="13"/>
  <c r="O3859" i="13"/>
  <c r="P3858" i="13"/>
  <c r="O3858" i="13"/>
  <c r="P3857" i="13"/>
  <c r="O3857" i="13"/>
  <c r="P3856" i="13"/>
  <c r="O3856" i="13"/>
  <c r="P3855" i="13"/>
  <c r="O3855" i="13"/>
  <c r="P3854" i="13"/>
  <c r="O3854" i="13"/>
  <c r="P3853" i="13"/>
  <c r="O3853" i="13"/>
  <c r="P3852" i="13"/>
  <c r="O3852" i="13"/>
  <c r="P3851" i="13"/>
  <c r="O3851" i="13"/>
  <c r="P3850" i="13"/>
  <c r="O3850" i="13"/>
  <c r="P3849" i="13"/>
  <c r="O3849" i="13"/>
  <c r="P3848" i="13"/>
  <c r="O3848" i="13"/>
  <c r="P3847" i="13"/>
  <c r="O3847" i="13"/>
  <c r="P3846" i="13"/>
  <c r="O3846" i="13"/>
  <c r="P3845" i="13"/>
  <c r="O3845" i="13"/>
  <c r="P3844" i="13"/>
  <c r="O3844" i="13"/>
  <c r="P3843" i="13"/>
  <c r="O3843" i="13"/>
  <c r="P3842" i="13"/>
  <c r="O3842" i="13"/>
  <c r="P3841" i="13"/>
  <c r="O3841" i="13"/>
  <c r="P3840" i="13"/>
  <c r="O3840" i="13"/>
  <c r="P3839" i="13"/>
  <c r="O3839" i="13"/>
  <c r="P3838" i="13"/>
  <c r="O3838" i="13"/>
  <c r="P3837" i="13"/>
  <c r="O3837" i="13"/>
  <c r="P3836" i="13"/>
  <c r="O3836" i="13"/>
  <c r="P3835" i="13"/>
  <c r="O3835" i="13"/>
  <c r="P3834" i="13"/>
  <c r="O3834" i="13"/>
  <c r="P3833" i="13"/>
  <c r="O3833" i="13"/>
  <c r="P3832" i="13"/>
  <c r="O3832" i="13"/>
  <c r="P3831" i="13"/>
  <c r="O3831" i="13"/>
  <c r="P3830" i="13"/>
  <c r="O3830" i="13"/>
  <c r="P3829" i="13"/>
  <c r="O3829" i="13"/>
  <c r="P3828" i="13"/>
  <c r="O3828" i="13"/>
  <c r="P3827" i="13"/>
  <c r="O3827" i="13"/>
  <c r="P3826" i="13"/>
  <c r="O3826" i="13"/>
  <c r="P3825" i="13"/>
  <c r="O3825" i="13"/>
  <c r="P3824" i="13"/>
  <c r="O3824" i="13"/>
  <c r="P3823" i="13"/>
  <c r="O3823" i="13"/>
  <c r="P3822" i="13"/>
  <c r="O3822" i="13"/>
  <c r="P3821" i="13"/>
  <c r="O3821" i="13"/>
  <c r="P3820" i="13"/>
  <c r="O3820" i="13"/>
  <c r="P3819" i="13"/>
  <c r="O3819" i="13"/>
  <c r="P3818" i="13"/>
  <c r="O3818" i="13"/>
  <c r="P3817" i="13"/>
  <c r="O3817" i="13"/>
  <c r="P3816" i="13"/>
  <c r="O3816" i="13"/>
  <c r="P3815" i="13"/>
  <c r="O3815" i="13"/>
  <c r="P3814" i="13"/>
  <c r="O3814" i="13"/>
  <c r="P3813" i="13"/>
  <c r="O3813" i="13"/>
  <c r="P3812" i="13"/>
  <c r="O3812" i="13"/>
  <c r="P3811" i="13"/>
  <c r="O3811" i="13"/>
  <c r="P3810" i="13"/>
  <c r="O3810" i="13"/>
  <c r="P3809" i="13"/>
  <c r="O3809" i="13"/>
  <c r="P3808" i="13"/>
  <c r="O3808" i="13"/>
  <c r="P3807" i="13"/>
  <c r="O3807" i="13"/>
  <c r="P3806" i="13"/>
  <c r="O3806" i="13"/>
  <c r="P3805" i="13"/>
  <c r="O3805" i="13"/>
  <c r="P3804" i="13"/>
  <c r="O3804" i="13"/>
  <c r="P3803" i="13"/>
  <c r="O3803" i="13"/>
  <c r="P3802" i="13"/>
  <c r="O3802" i="13"/>
  <c r="P3801" i="13"/>
  <c r="O3801" i="13"/>
  <c r="P3800" i="13"/>
  <c r="O3800" i="13"/>
  <c r="P3799" i="13"/>
  <c r="O3799" i="13"/>
  <c r="P3798" i="13"/>
  <c r="O3798" i="13"/>
  <c r="P3797" i="13"/>
  <c r="O3797" i="13"/>
  <c r="P3796" i="13"/>
  <c r="O3796" i="13"/>
  <c r="P3795" i="13"/>
  <c r="O3795" i="13"/>
  <c r="P3794" i="13"/>
  <c r="O3794" i="13"/>
  <c r="P3793" i="13"/>
  <c r="O3793" i="13"/>
  <c r="P3792" i="13"/>
  <c r="O3792" i="13"/>
  <c r="P3791" i="13"/>
  <c r="O3791" i="13"/>
  <c r="P3790" i="13"/>
  <c r="O3790" i="13"/>
  <c r="P3789" i="13"/>
  <c r="O3789" i="13"/>
  <c r="P3788" i="13"/>
  <c r="O3788" i="13"/>
  <c r="P3787" i="13"/>
  <c r="O3787" i="13"/>
  <c r="P3786" i="13"/>
  <c r="O3786" i="13"/>
  <c r="P3785" i="13"/>
  <c r="O3785" i="13"/>
  <c r="P3784" i="13"/>
  <c r="O3784" i="13"/>
  <c r="P3783" i="13"/>
  <c r="O3783" i="13"/>
  <c r="P3782" i="13"/>
  <c r="O3782" i="13"/>
  <c r="P3781" i="13"/>
  <c r="O3781" i="13"/>
  <c r="P3780" i="13"/>
  <c r="O3780" i="13"/>
  <c r="P3779" i="13"/>
  <c r="O3779" i="13"/>
  <c r="P3778" i="13"/>
  <c r="O3778" i="13"/>
  <c r="P3777" i="13"/>
  <c r="O3777" i="13"/>
  <c r="P3776" i="13"/>
  <c r="O3776" i="13"/>
  <c r="P3775" i="13"/>
  <c r="O3775" i="13"/>
  <c r="P3774" i="13"/>
  <c r="O3774" i="13"/>
  <c r="P3773" i="13"/>
  <c r="O3773" i="13"/>
  <c r="P3772" i="13"/>
  <c r="O3772" i="13"/>
  <c r="P3771" i="13"/>
  <c r="O3771" i="13"/>
  <c r="P3770" i="13"/>
  <c r="O3770" i="13"/>
  <c r="P3769" i="13"/>
  <c r="O3769" i="13"/>
  <c r="P3768" i="13"/>
  <c r="O3768" i="13"/>
  <c r="P3767" i="13"/>
  <c r="O3767" i="13"/>
  <c r="P3766" i="13"/>
  <c r="O3766" i="13"/>
  <c r="P3765" i="13"/>
  <c r="O3765" i="13"/>
  <c r="P3764" i="13"/>
  <c r="O3764" i="13"/>
  <c r="P3763" i="13"/>
  <c r="O3763" i="13"/>
  <c r="P3762" i="13"/>
  <c r="O3762" i="13"/>
  <c r="P3761" i="13"/>
  <c r="O3761" i="13"/>
  <c r="P3760" i="13"/>
  <c r="O3760" i="13"/>
  <c r="P3759" i="13"/>
  <c r="O3759" i="13"/>
  <c r="P3758" i="13"/>
  <c r="O3758" i="13"/>
  <c r="P3757" i="13"/>
  <c r="O3757" i="13"/>
  <c r="P3756" i="13"/>
  <c r="O3756" i="13"/>
  <c r="P3755" i="13"/>
  <c r="O3755" i="13"/>
  <c r="P3754" i="13"/>
  <c r="O3754" i="13"/>
  <c r="P3753" i="13"/>
  <c r="O3753" i="13"/>
  <c r="P3752" i="13"/>
  <c r="O3752" i="13"/>
  <c r="P3751" i="13"/>
  <c r="O3751" i="13"/>
  <c r="P3750" i="13"/>
  <c r="O3750" i="13"/>
  <c r="P3749" i="13"/>
  <c r="O3749" i="13"/>
  <c r="P3748" i="13"/>
  <c r="O3748" i="13"/>
  <c r="P3747" i="13"/>
  <c r="O3747" i="13"/>
  <c r="P3746" i="13"/>
  <c r="O3746" i="13"/>
  <c r="P3745" i="13"/>
  <c r="O3745" i="13"/>
  <c r="P3744" i="13"/>
  <c r="O3744" i="13"/>
  <c r="P3743" i="13"/>
  <c r="O3743" i="13"/>
  <c r="P3742" i="13"/>
  <c r="O3742" i="13"/>
  <c r="P3741" i="13"/>
  <c r="O3741" i="13"/>
  <c r="P3740" i="13"/>
  <c r="O3740" i="13"/>
  <c r="P3739" i="13"/>
  <c r="O3739" i="13"/>
  <c r="P3738" i="13"/>
  <c r="O3738" i="13"/>
  <c r="P3737" i="13"/>
  <c r="O3737" i="13"/>
  <c r="P3736" i="13"/>
  <c r="O3736" i="13"/>
  <c r="P3735" i="13"/>
  <c r="O3735" i="13"/>
  <c r="P3734" i="13"/>
  <c r="O3734" i="13"/>
  <c r="P3733" i="13"/>
  <c r="O3733" i="13"/>
  <c r="P3732" i="13"/>
  <c r="O3732" i="13"/>
  <c r="P3731" i="13"/>
  <c r="O3731" i="13"/>
  <c r="P3730" i="13"/>
  <c r="O3730" i="13"/>
  <c r="P3729" i="13"/>
  <c r="O3729" i="13"/>
  <c r="P3728" i="13"/>
  <c r="O3728" i="13"/>
  <c r="P3727" i="13"/>
  <c r="O3727" i="13"/>
  <c r="P3726" i="13"/>
  <c r="O3726" i="13"/>
  <c r="P3725" i="13"/>
  <c r="O3725" i="13"/>
  <c r="P3724" i="13"/>
  <c r="O3724" i="13"/>
  <c r="P3723" i="13"/>
  <c r="O3723" i="13"/>
  <c r="P3722" i="13"/>
  <c r="O3722" i="13"/>
  <c r="P3721" i="13"/>
  <c r="O3721" i="13"/>
  <c r="P3720" i="13"/>
  <c r="O3720" i="13"/>
  <c r="P3719" i="13"/>
  <c r="O3719" i="13"/>
  <c r="P3718" i="13"/>
  <c r="O3718" i="13"/>
  <c r="P3717" i="13"/>
  <c r="O3717" i="13"/>
  <c r="P3716" i="13"/>
  <c r="O3716" i="13"/>
  <c r="P3715" i="13"/>
  <c r="O3715" i="13"/>
  <c r="P3714" i="13"/>
  <c r="O3714" i="13"/>
  <c r="P3713" i="13"/>
  <c r="O3713" i="13"/>
  <c r="P3712" i="13"/>
  <c r="O3712" i="13"/>
  <c r="P3711" i="13"/>
  <c r="O3711" i="13"/>
  <c r="P3710" i="13"/>
  <c r="O3710" i="13"/>
  <c r="P3709" i="13"/>
  <c r="O3709" i="13"/>
  <c r="P3708" i="13"/>
  <c r="O3708" i="13"/>
  <c r="P3707" i="13"/>
  <c r="O3707" i="13"/>
  <c r="P3706" i="13"/>
  <c r="O3706" i="13"/>
  <c r="P3705" i="13"/>
  <c r="O3705" i="13"/>
  <c r="P3704" i="13"/>
  <c r="O3704" i="13"/>
  <c r="P3703" i="13"/>
  <c r="O3703" i="13"/>
  <c r="P3702" i="13"/>
  <c r="O3702" i="13"/>
  <c r="P3701" i="13"/>
  <c r="O3701" i="13"/>
  <c r="P3700" i="13"/>
  <c r="O3700" i="13"/>
  <c r="P3699" i="13"/>
  <c r="O3699" i="13"/>
  <c r="P3698" i="13"/>
  <c r="O3698" i="13"/>
  <c r="P3697" i="13"/>
  <c r="O3697" i="13"/>
  <c r="P3696" i="13"/>
  <c r="O3696" i="13"/>
  <c r="P3695" i="13"/>
  <c r="O3695" i="13"/>
  <c r="P3694" i="13"/>
  <c r="O3694" i="13"/>
  <c r="P3693" i="13"/>
  <c r="O3693" i="13"/>
  <c r="P3692" i="13"/>
  <c r="O3692" i="13"/>
  <c r="P3691" i="13"/>
  <c r="O3691" i="13"/>
  <c r="P3690" i="13"/>
  <c r="O3690" i="13"/>
  <c r="P3689" i="13"/>
  <c r="O3689" i="13"/>
  <c r="P3688" i="13"/>
  <c r="O3688" i="13"/>
  <c r="P3687" i="13"/>
  <c r="O3687" i="13"/>
  <c r="P3686" i="13"/>
  <c r="O3686" i="13"/>
  <c r="P3685" i="13"/>
  <c r="O3685" i="13"/>
  <c r="P3684" i="13"/>
  <c r="O3684" i="13"/>
  <c r="P3683" i="13"/>
  <c r="O3683" i="13"/>
  <c r="P3682" i="13"/>
  <c r="O3682" i="13"/>
  <c r="P3681" i="13"/>
  <c r="O3681" i="13"/>
  <c r="P3680" i="13"/>
  <c r="O3680" i="13"/>
  <c r="P3679" i="13"/>
  <c r="O3679" i="13"/>
  <c r="P3678" i="13"/>
  <c r="O3678" i="13"/>
  <c r="P3677" i="13"/>
  <c r="O3677" i="13"/>
  <c r="P3676" i="13"/>
  <c r="O3676" i="13"/>
  <c r="P3675" i="13"/>
  <c r="O3675" i="13"/>
  <c r="P3674" i="13"/>
  <c r="O3674" i="13"/>
  <c r="P3673" i="13"/>
  <c r="O3673" i="13"/>
  <c r="P3672" i="13"/>
  <c r="O3672" i="13"/>
  <c r="P3671" i="13"/>
  <c r="O3671" i="13"/>
  <c r="P3670" i="13"/>
  <c r="O3670" i="13"/>
  <c r="P3669" i="13"/>
  <c r="O3669" i="13"/>
  <c r="P3668" i="13"/>
  <c r="O3668" i="13"/>
  <c r="P3667" i="13"/>
  <c r="O3667" i="13"/>
  <c r="P3666" i="13"/>
  <c r="O3666" i="13"/>
  <c r="P3665" i="13"/>
  <c r="O3665" i="13"/>
  <c r="P3664" i="13"/>
  <c r="O3664" i="13"/>
  <c r="P3663" i="13"/>
  <c r="O3663" i="13"/>
  <c r="P3662" i="13"/>
  <c r="O3662" i="13"/>
  <c r="P3661" i="13"/>
  <c r="O3661" i="13"/>
  <c r="P3660" i="13"/>
  <c r="O3660" i="13"/>
  <c r="P3659" i="13"/>
  <c r="O3659" i="13"/>
  <c r="P3658" i="13"/>
  <c r="O3658" i="13"/>
  <c r="P3657" i="13"/>
  <c r="O3657" i="13"/>
  <c r="P3656" i="13"/>
  <c r="O3656" i="13"/>
  <c r="P3655" i="13"/>
  <c r="O3655" i="13"/>
  <c r="P3654" i="13"/>
  <c r="O3654" i="13"/>
  <c r="P3653" i="13"/>
  <c r="O3653" i="13"/>
  <c r="P3652" i="13"/>
  <c r="O3652" i="13"/>
  <c r="P3651" i="13"/>
  <c r="O3651" i="13"/>
  <c r="P3650" i="13"/>
  <c r="O3650" i="13"/>
  <c r="P3649" i="13"/>
  <c r="O3649" i="13"/>
  <c r="P3648" i="13"/>
  <c r="O3648" i="13"/>
  <c r="P3647" i="13"/>
  <c r="O3647" i="13"/>
  <c r="P3646" i="13"/>
  <c r="O3646" i="13"/>
  <c r="P3645" i="13"/>
  <c r="O3645" i="13"/>
  <c r="P3644" i="13"/>
  <c r="O3644" i="13"/>
  <c r="P3643" i="13"/>
  <c r="O3643" i="13"/>
  <c r="P3642" i="13"/>
  <c r="O3642" i="13"/>
  <c r="P3641" i="13"/>
  <c r="O3641" i="13"/>
  <c r="P3640" i="13"/>
  <c r="O3640" i="13"/>
  <c r="P3639" i="13"/>
  <c r="O3639" i="13"/>
  <c r="P3638" i="13"/>
  <c r="O3638" i="13"/>
  <c r="P3637" i="13"/>
  <c r="O3637" i="13"/>
  <c r="P3636" i="13"/>
  <c r="O3636" i="13"/>
  <c r="P3635" i="13"/>
  <c r="O3635" i="13"/>
  <c r="P3634" i="13"/>
  <c r="O3634" i="13"/>
  <c r="P3633" i="13"/>
  <c r="O3633" i="13"/>
  <c r="P3632" i="13"/>
  <c r="O3632" i="13"/>
  <c r="P3631" i="13"/>
  <c r="O3631" i="13"/>
  <c r="P3630" i="13"/>
  <c r="O3630" i="13"/>
  <c r="P3629" i="13"/>
  <c r="O3629" i="13"/>
  <c r="P3628" i="13"/>
  <c r="O3628" i="13"/>
  <c r="P3627" i="13"/>
  <c r="O3627" i="13"/>
  <c r="P3626" i="13"/>
  <c r="O3626" i="13"/>
  <c r="P3625" i="13"/>
  <c r="O3625" i="13"/>
  <c r="P3624" i="13"/>
  <c r="O3624" i="13"/>
  <c r="P3623" i="13"/>
  <c r="O3623" i="13"/>
  <c r="P3622" i="13"/>
  <c r="O3622" i="13"/>
  <c r="P3621" i="13"/>
  <c r="O3621" i="13"/>
  <c r="P3620" i="13"/>
  <c r="O3620" i="13"/>
  <c r="P3619" i="13"/>
  <c r="O3619" i="13"/>
  <c r="P3618" i="13"/>
  <c r="O3618" i="13"/>
  <c r="P3617" i="13"/>
  <c r="O3617" i="13"/>
  <c r="P3616" i="13"/>
  <c r="O3616" i="13"/>
  <c r="P3615" i="13"/>
  <c r="O3615" i="13"/>
  <c r="P3614" i="13"/>
  <c r="O3614" i="13"/>
  <c r="P3613" i="13"/>
  <c r="O3613" i="13"/>
  <c r="P3612" i="13"/>
  <c r="O3612" i="13"/>
  <c r="P3611" i="13"/>
  <c r="O3611" i="13"/>
  <c r="P3610" i="13"/>
  <c r="O3610" i="13"/>
  <c r="P3609" i="13"/>
  <c r="O3609" i="13"/>
  <c r="P3608" i="13"/>
  <c r="O3608" i="13"/>
  <c r="P3607" i="13"/>
  <c r="O3607" i="13"/>
  <c r="P3606" i="13"/>
  <c r="O3606" i="13"/>
  <c r="P3605" i="13"/>
  <c r="O3605" i="13"/>
  <c r="P3604" i="13"/>
  <c r="O3604" i="13"/>
  <c r="P3603" i="13"/>
  <c r="O3603" i="13"/>
  <c r="P3602" i="13"/>
  <c r="O3602" i="13"/>
  <c r="P3601" i="13"/>
  <c r="O3601" i="13"/>
  <c r="P3600" i="13"/>
  <c r="O3600" i="13"/>
  <c r="P3599" i="13"/>
  <c r="O3599" i="13"/>
  <c r="P3598" i="13"/>
  <c r="O3598" i="13"/>
  <c r="P3597" i="13"/>
  <c r="O3597" i="13"/>
  <c r="P3596" i="13"/>
  <c r="O3596" i="13"/>
  <c r="P3595" i="13"/>
  <c r="O3595" i="13"/>
  <c r="P3594" i="13"/>
  <c r="O3594" i="13"/>
  <c r="P3593" i="13"/>
  <c r="O3593" i="13"/>
  <c r="P3592" i="13"/>
  <c r="O3592" i="13"/>
  <c r="P3591" i="13"/>
  <c r="O3591" i="13"/>
  <c r="P3590" i="13"/>
  <c r="O3590" i="13"/>
  <c r="P3589" i="13"/>
  <c r="O3589" i="13"/>
  <c r="P3588" i="13"/>
  <c r="O3588" i="13"/>
  <c r="P3587" i="13"/>
  <c r="O3587" i="13"/>
  <c r="P3586" i="13"/>
  <c r="O3586" i="13"/>
  <c r="P3585" i="13"/>
  <c r="O3585" i="13"/>
  <c r="P3584" i="13"/>
  <c r="O3584" i="13"/>
  <c r="P3583" i="13"/>
  <c r="O3583" i="13"/>
  <c r="P3582" i="13"/>
  <c r="O3582" i="13"/>
  <c r="P3581" i="13"/>
  <c r="O3581" i="13"/>
  <c r="P3580" i="13"/>
  <c r="O3580" i="13"/>
  <c r="P3579" i="13"/>
  <c r="O3579" i="13"/>
  <c r="P3578" i="13"/>
  <c r="O3578" i="13"/>
  <c r="P3577" i="13"/>
  <c r="O3577" i="13"/>
  <c r="P3576" i="13"/>
  <c r="O3576" i="13"/>
  <c r="P3575" i="13"/>
  <c r="O3575" i="13"/>
  <c r="P3574" i="13"/>
  <c r="O3574" i="13"/>
  <c r="P3573" i="13"/>
  <c r="O3573" i="13"/>
  <c r="P3572" i="13"/>
  <c r="O3572" i="13"/>
  <c r="P3571" i="13"/>
  <c r="O3571" i="13"/>
  <c r="P3570" i="13"/>
  <c r="O3570" i="13"/>
  <c r="P3569" i="13"/>
  <c r="O3569" i="13"/>
  <c r="P3568" i="13"/>
  <c r="O3568" i="13"/>
  <c r="P3567" i="13"/>
  <c r="O3567" i="13"/>
  <c r="P3566" i="13"/>
  <c r="O3566" i="13"/>
  <c r="P3565" i="13"/>
  <c r="O3565" i="13"/>
  <c r="P3564" i="13"/>
  <c r="O3564" i="13"/>
  <c r="P3563" i="13"/>
  <c r="O3563" i="13"/>
  <c r="P3562" i="13"/>
  <c r="O3562" i="13"/>
  <c r="P3561" i="13"/>
  <c r="O3561" i="13"/>
  <c r="P3560" i="13"/>
  <c r="O3560" i="13"/>
  <c r="P3559" i="13"/>
  <c r="O3559" i="13"/>
  <c r="P3558" i="13"/>
  <c r="O3558" i="13"/>
  <c r="P3557" i="13"/>
  <c r="O3557" i="13"/>
  <c r="P3556" i="13"/>
  <c r="O3556" i="13"/>
  <c r="P3555" i="13"/>
  <c r="O3555" i="13"/>
  <c r="P3554" i="13"/>
  <c r="O3554" i="13"/>
  <c r="P3553" i="13"/>
  <c r="O3553" i="13"/>
  <c r="P3552" i="13"/>
  <c r="O3552" i="13"/>
  <c r="P3551" i="13"/>
  <c r="O3551" i="13"/>
  <c r="P3550" i="13"/>
  <c r="O3550" i="13"/>
  <c r="P3549" i="13"/>
  <c r="O3549" i="13"/>
  <c r="P3548" i="13"/>
  <c r="O3548" i="13"/>
  <c r="P3547" i="13"/>
  <c r="O3547" i="13"/>
  <c r="P3546" i="13"/>
  <c r="O3546" i="13"/>
  <c r="P3545" i="13"/>
  <c r="O3545" i="13"/>
  <c r="P3544" i="13"/>
  <c r="O3544" i="13"/>
  <c r="P3543" i="13"/>
  <c r="O3543" i="13"/>
  <c r="P3542" i="13"/>
  <c r="O3542" i="13"/>
  <c r="P3541" i="13"/>
  <c r="O3541" i="13"/>
  <c r="P3540" i="13"/>
  <c r="O3540" i="13"/>
  <c r="P3539" i="13"/>
  <c r="O3539" i="13"/>
  <c r="P3538" i="13"/>
  <c r="O3538" i="13"/>
  <c r="P3537" i="13"/>
  <c r="O3537" i="13"/>
  <c r="P3536" i="13"/>
  <c r="O3536" i="13"/>
  <c r="P3535" i="13"/>
  <c r="O3535" i="13"/>
  <c r="P3534" i="13"/>
  <c r="O3534" i="13"/>
  <c r="P3533" i="13"/>
  <c r="O3533" i="13"/>
  <c r="P3532" i="13"/>
  <c r="O3532" i="13"/>
  <c r="P3531" i="13"/>
  <c r="O3531" i="13"/>
  <c r="P3530" i="13"/>
  <c r="O3530" i="13"/>
  <c r="P3529" i="13"/>
  <c r="O3529" i="13"/>
  <c r="P3528" i="13"/>
  <c r="O3528" i="13"/>
  <c r="P3527" i="13"/>
  <c r="O3527" i="13"/>
  <c r="P3526" i="13"/>
  <c r="O3526" i="13"/>
  <c r="P3525" i="13"/>
  <c r="O3525" i="13"/>
  <c r="P3524" i="13"/>
  <c r="O3524" i="13"/>
  <c r="P3523" i="13"/>
  <c r="O3523" i="13"/>
  <c r="P3522" i="13"/>
  <c r="O3522" i="13"/>
  <c r="P3521" i="13"/>
  <c r="O3521" i="13"/>
  <c r="P3520" i="13"/>
  <c r="O3520" i="13"/>
  <c r="P3519" i="13"/>
  <c r="O3519" i="13"/>
  <c r="P3518" i="13"/>
  <c r="O3518" i="13"/>
  <c r="P3517" i="13"/>
  <c r="O3517" i="13"/>
  <c r="P3516" i="13"/>
  <c r="O3516" i="13"/>
  <c r="P3515" i="13"/>
  <c r="O3515" i="13"/>
  <c r="P3514" i="13"/>
  <c r="O3514" i="13"/>
  <c r="P3513" i="13"/>
  <c r="O3513" i="13"/>
  <c r="P3512" i="13"/>
  <c r="O3512" i="13"/>
  <c r="P3511" i="13"/>
  <c r="O3511" i="13"/>
  <c r="P3510" i="13"/>
  <c r="O3510" i="13"/>
  <c r="P3509" i="13"/>
  <c r="O3509" i="13"/>
  <c r="P3508" i="13"/>
  <c r="O3508" i="13"/>
  <c r="P3507" i="13"/>
  <c r="O3507" i="13"/>
  <c r="P3506" i="13"/>
  <c r="O3506" i="13"/>
  <c r="P3505" i="13"/>
  <c r="O3505" i="13"/>
  <c r="P3504" i="13"/>
  <c r="O3504" i="13"/>
  <c r="P3503" i="13"/>
  <c r="O3503" i="13"/>
  <c r="P3502" i="13"/>
  <c r="O3502" i="13"/>
  <c r="P3501" i="13"/>
  <c r="O3501" i="13"/>
  <c r="P3500" i="13"/>
  <c r="O3500" i="13"/>
  <c r="P3499" i="13"/>
  <c r="O3499" i="13"/>
  <c r="P3498" i="13"/>
  <c r="O3498" i="13"/>
  <c r="P3497" i="13"/>
  <c r="O3497" i="13"/>
  <c r="P3496" i="13"/>
  <c r="O3496" i="13"/>
  <c r="P3495" i="13"/>
  <c r="O3495" i="13"/>
  <c r="P3494" i="13"/>
  <c r="O3494" i="13"/>
  <c r="P3493" i="13"/>
  <c r="O3493" i="13"/>
  <c r="P3492" i="13"/>
  <c r="O3492" i="13"/>
  <c r="P3491" i="13"/>
  <c r="O3491" i="13"/>
  <c r="P3490" i="13"/>
  <c r="O3490" i="13"/>
  <c r="P3489" i="13"/>
  <c r="O3489" i="13"/>
  <c r="P3488" i="13"/>
  <c r="O3488" i="13"/>
  <c r="P3487" i="13"/>
  <c r="O3487" i="13"/>
  <c r="P3486" i="13"/>
  <c r="O3486" i="13"/>
  <c r="P3485" i="13"/>
  <c r="O3485" i="13"/>
  <c r="P3484" i="13"/>
  <c r="O3484" i="13"/>
  <c r="P3483" i="13"/>
  <c r="O3483" i="13"/>
  <c r="P3482" i="13"/>
  <c r="O3482" i="13"/>
  <c r="P3481" i="13"/>
  <c r="O3481" i="13"/>
  <c r="P3480" i="13"/>
  <c r="O3480" i="13"/>
  <c r="P3479" i="13"/>
  <c r="O3479" i="13"/>
  <c r="P3478" i="13"/>
  <c r="O3478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710" i="13"/>
  <c r="O711" i="13"/>
  <c r="O712" i="13"/>
  <c r="O713" i="13"/>
  <c r="O714" i="13"/>
  <c r="O715" i="13"/>
  <c r="O716" i="13"/>
  <c r="O717" i="13"/>
  <c r="O718" i="13"/>
  <c r="O719" i="13"/>
  <c r="O720" i="13"/>
  <c r="O721" i="13"/>
  <c r="O722" i="13"/>
  <c r="O723" i="13"/>
  <c r="O724" i="13"/>
  <c r="O725" i="13"/>
  <c r="O726" i="13"/>
  <c r="O727" i="13"/>
  <c r="O728" i="13"/>
  <c r="O729" i="13"/>
  <c r="O730" i="13"/>
  <c r="O731" i="13"/>
  <c r="O732" i="13"/>
  <c r="O733" i="13"/>
  <c r="O734" i="13"/>
  <c r="O735" i="13"/>
  <c r="O736" i="13"/>
  <c r="O737" i="13"/>
  <c r="O738" i="13"/>
  <c r="O739" i="13"/>
  <c r="O740" i="13"/>
  <c r="O741" i="13"/>
  <c r="O742" i="13"/>
  <c r="O743" i="13"/>
  <c r="O744" i="13"/>
  <c r="O745" i="13"/>
  <c r="O746" i="13"/>
  <c r="O747" i="13"/>
  <c r="O748" i="13"/>
  <c r="O749" i="13"/>
  <c r="O750" i="13"/>
  <c r="O751" i="13"/>
  <c r="O752" i="13"/>
  <c r="O753" i="13"/>
  <c r="O754" i="13"/>
  <c r="O755" i="13"/>
  <c r="O756" i="13"/>
  <c r="O757" i="13"/>
  <c r="O758" i="13"/>
  <c r="O759" i="13"/>
  <c r="O760" i="13"/>
  <c r="O761" i="13"/>
  <c r="O762" i="13"/>
  <c r="O763" i="13"/>
  <c r="O764" i="13"/>
  <c r="O765" i="13"/>
  <c r="O766" i="13"/>
  <c r="O767" i="13"/>
  <c r="O768" i="13"/>
  <c r="O769" i="13"/>
  <c r="O770" i="13"/>
  <c r="O771" i="13"/>
  <c r="O772" i="13"/>
  <c r="O773" i="13"/>
  <c r="O774" i="13"/>
  <c r="O775" i="13"/>
  <c r="O776" i="13"/>
  <c r="O777" i="13"/>
  <c r="O778" i="13"/>
  <c r="O779" i="13"/>
  <c r="O780" i="13"/>
  <c r="O781" i="13"/>
  <c r="O782" i="13"/>
  <c r="O783" i="13"/>
  <c r="O784" i="13"/>
  <c r="O785" i="13"/>
  <c r="O786" i="13"/>
  <c r="O787" i="13"/>
  <c r="O788" i="13"/>
  <c r="O789" i="13"/>
  <c r="O790" i="13"/>
  <c r="O791" i="13"/>
  <c r="O792" i="13"/>
  <c r="O793" i="13"/>
  <c r="O794" i="13"/>
  <c r="O795" i="13"/>
  <c r="O796" i="13"/>
  <c r="O797" i="13"/>
  <c r="O798" i="13"/>
  <c r="O799" i="13"/>
  <c r="O800" i="13"/>
  <c r="O801" i="13"/>
  <c r="O802" i="13"/>
  <c r="O803" i="13"/>
  <c r="O804" i="13"/>
  <c r="O805" i="13"/>
  <c r="O806" i="13"/>
  <c r="O807" i="13"/>
  <c r="O808" i="13"/>
  <c r="O809" i="13"/>
  <c r="O810" i="13"/>
  <c r="O811" i="13"/>
  <c r="O812" i="13"/>
  <c r="O813" i="13"/>
  <c r="O814" i="13"/>
  <c r="O815" i="13"/>
  <c r="O816" i="13"/>
  <c r="O817" i="13"/>
  <c r="O818" i="13"/>
  <c r="O819" i="13"/>
  <c r="O820" i="13"/>
  <c r="O821" i="13"/>
  <c r="O822" i="13"/>
  <c r="O823" i="13"/>
  <c r="O824" i="13"/>
  <c r="O825" i="13"/>
  <c r="O826" i="13"/>
  <c r="O827" i="13"/>
  <c r="O828" i="13"/>
  <c r="O829" i="13"/>
  <c r="O830" i="13"/>
  <c r="O831" i="13"/>
  <c r="O832" i="13"/>
  <c r="O833" i="13"/>
  <c r="O834" i="13"/>
  <c r="O835" i="13"/>
  <c r="O836" i="13"/>
  <c r="O837" i="13"/>
  <c r="O838" i="13"/>
  <c r="O839" i="13"/>
  <c r="O840" i="13"/>
  <c r="O841" i="13"/>
  <c r="O842" i="13"/>
  <c r="O843" i="13"/>
  <c r="O844" i="13"/>
  <c r="O845" i="13"/>
  <c r="O846" i="13"/>
  <c r="O847" i="13"/>
  <c r="O848" i="13"/>
  <c r="O849" i="13"/>
  <c r="O850" i="13"/>
  <c r="O851" i="13"/>
  <c r="O852" i="13"/>
  <c r="O853" i="13"/>
  <c r="O854" i="13"/>
  <c r="O855" i="13"/>
  <c r="O856" i="13"/>
  <c r="O857" i="13"/>
  <c r="O858" i="13"/>
  <c r="O859" i="13"/>
  <c r="O860" i="13"/>
  <c r="O861" i="13"/>
  <c r="O862" i="13"/>
  <c r="O863" i="13"/>
  <c r="O864" i="13"/>
  <c r="O865" i="13"/>
  <c r="O866" i="13"/>
  <c r="O867" i="13"/>
  <c r="O868" i="13"/>
  <c r="O869" i="13"/>
  <c r="O870" i="13"/>
  <c r="O871" i="13"/>
  <c r="O872" i="13"/>
  <c r="O873" i="13"/>
  <c r="O874" i="13"/>
  <c r="O875" i="13"/>
  <c r="O876" i="13"/>
  <c r="O877" i="13"/>
  <c r="O878" i="13"/>
  <c r="O879" i="13"/>
  <c r="O880" i="13"/>
  <c r="O881" i="13"/>
  <c r="O882" i="13"/>
  <c r="O883" i="13"/>
  <c r="O884" i="13"/>
  <c r="O885" i="13"/>
  <c r="O886" i="13"/>
  <c r="O887" i="13"/>
  <c r="O888" i="13"/>
  <c r="O889" i="13"/>
  <c r="O890" i="13"/>
  <c r="O891" i="13"/>
  <c r="O892" i="13"/>
  <c r="O893" i="13"/>
  <c r="O894" i="13"/>
  <c r="O895" i="13"/>
  <c r="O896" i="13"/>
  <c r="O897" i="13"/>
  <c r="O898" i="13"/>
  <c r="O899" i="13"/>
  <c r="O900" i="13"/>
  <c r="O901" i="13"/>
  <c r="O902" i="13"/>
  <c r="O903" i="13"/>
  <c r="O904" i="13"/>
  <c r="O905" i="13"/>
  <c r="O906" i="13"/>
  <c r="O907" i="13"/>
  <c r="O908" i="13"/>
  <c r="O909" i="13"/>
  <c r="O910" i="13"/>
  <c r="O911" i="13"/>
  <c r="O912" i="13"/>
  <c r="O913" i="13"/>
  <c r="O914" i="13"/>
  <c r="O915" i="13"/>
  <c r="O916" i="13"/>
  <c r="O917" i="13"/>
  <c r="O918" i="13"/>
  <c r="O919" i="13"/>
  <c r="O920" i="13"/>
  <c r="O921" i="13"/>
  <c r="O922" i="13"/>
  <c r="O923" i="13"/>
  <c r="O924" i="13"/>
  <c r="O925" i="13"/>
  <c r="O926" i="13"/>
  <c r="O927" i="13"/>
  <c r="O928" i="13"/>
  <c r="O929" i="13"/>
  <c r="O930" i="13"/>
  <c r="O931" i="13"/>
  <c r="O932" i="13"/>
  <c r="O933" i="13"/>
  <c r="O934" i="13"/>
  <c r="O935" i="13"/>
  <c r="O936" i="13"/>
  <c r="O937" i="13"/>
  <c r="O938" i="13"/>
  <c r="O939" i="13"/>
  <c r="O940" i="13"/>
  <c r="O941" i="13"/>
  <c r="O942" i="13"/>
  <c r="O943" i="13"/>
  <c r="O944" i="13"/>
  <c r="O945" i="13"/>
  <c r="O946" i="13"/>
  <c r="O947" i="13"/>
  <c r="O948" i="13"/>
  <c r="O949" i="13"/>
  <c r="O950" i="13"/>
  <c r="O951" i="13"/>
  <c r="O952" i="13"/>
  <c r="O953" i="13"/>
  <c r="O954" i="13"/>
  <c r="O955" i="13"/>
  <c r="O956" i="13"/>
  <c r="O957" i="13"/>
  <c r="O958" i="13"/>
  <c r="O959" i="13"/>
  <c r="O960" i="13"/>
  <c r="O961" i="13"/>
  <c r="O962" i="13"/>
  <c r="O963" i="13"/>
  <c r="O964" i="13"/>
  <c r="O965" i="13"/>
  <c r="O966" i="13"/>
  <c r="O967" i="13"/>
  <c r="O968" i="13"/>
  <c r="O969" i="13"/>
  <c r="O970" i="13"/>
  <c r="O971" i="13"/>
  <c r="O972" i="13"/>
  <c r="O973" i="13"/>
  <c r="O974" i="13"/>
  <c r="O975" i="13"/>
  <c r="O976" i="13"/>
  <c r="O977" i="13"/>
  <c r="O978" i="13"/>
  <c r="O979" i="13"/>
  <c r="O980" i="13"/>
  <c r="O981" i="13"/>
  <c r="O982" i="13"/>
  <c r="O983" i="13"/>
  <c r="O984" i="13"/>
  <c r="O985" i="13"/>
  <c r="O986" i="13"/>
  <c r="O987" i="13"/>
  <c r="O988" i="13"/>
  <c r="O989" i="13"/>
  <c r="O990" i="13"/>
  <c r="O991" i="13"/>
  <c r="O992" i="13"/>
  <c r="O993" i="13"/>
  <c r="O994" i="13"/>
  <c r="O995" i="13"/>
  <c r="O996" i="13"/>
  <c r="O997" i="13"/>
  <c r="O998" i="13"/>
  <c r="O999" i="13"/>
  <c r="O1000" i="13"/>
  <c r="O1001" i="13"/>
  <c r="O1002" i="13"/>
  <c r="O1003" i="13"/>
  <c r="O1004" i="13"/>
  <c r="O1005" i="13"/>
  <c r="O1006" i="13"/>
  <c r="O1007" i="13"/>
  <c r="O1008" i="13"/>
  <c r="O1009" i="13"/>
  <c r="O1010" i="13"/>
  <c r="O1011" i="13"/>
  <c r="O1012" i="13"/>
  <c r="O1013" i="13"/>
  <c r="O1014" i="13"/>
  <c r="O1015" i="13"/>
  <c r="O1016" i="13"/>
  <c r="O1017" i="13"/>
  <c r="O1018" i="13"/>
  <c r="O1019" i="13"/>
  <c r="O1020" i="13"/>
  <c r="O1021" i="13"/>
  <c r="O1022" i="13"/>
  <c r="O1023" i="13"/>
  <c r="O1024" i="13"/>
  <c r="O1025" i="13"/>
  <c r="O1026" i="13"/>
  <c r="O1027" i="13"/>
  <c r="O1028" i="13"/>
  <c r="O1029" i="13"/>
  <c r="O1030" i="13"/>
  <c r="O1031" i="13"/>
  <c r="O1032" i="13"/>
  <c r="O1033" i="13"/>
  <c r="O1034" i="13"/>
  <c r="O1035" i="13"/>
  <c r="O1036" i="13"/>
  <c r="O1037" i="13"/>
  <c r="O1038" i="13"/>
  <c r="O1039" i="13"/>
  <c r="O1040" i="13"/>
  <c r="O1041" i="13"/>
  <c r="O1042" i="13"/>
  <c r="O1043" i="13"/>
  <c r="O1044" i="13"/>
  <c r="O1045" i="13"/>
  <c r="O1046" i="13"/>
  <c r="O1047" i="13"/>
  <c r="O1048" i="13"/>
  <c r="O1049" i="13"/>
  <c r="O1050" i="13"/>
  <c r="O1051" i="13"/>
  <c r="O1052" i="13"/>
  <c r="O1053" i="13"/>
  <c r="O1054" i="13"/>
  <c r="O1055" i="13"/>
  <c r="O1056" i="13"/>
  <c r="O1057" i="13"/>
  <c r="O1058" i="13"/>
  <c r="O1059" i="13"/>
  <c r="O1060" i="13"/>
  <c r="O1061" i="13"/>
  <c r="O1062" i="13"/>
  <c r="O1063" i="13"/>
  <c r="O1064" i="13"/>
  <c r="O1065" i="13"/>
  <c r="O1066" i="13"/>
  <c r="O1067" i="13"/>
  <c r="O1068" i="13"/>
  <c r="O1069" i="13"/>
  <c r="O1070" i="13"/>
  <c r="O1071" i="13"/>
  <c r="O1072" i="13"/>
  <c r="O1073" i="13"/>
  <c r="O1074" i="13"/>
  <c r="O1075" i="13"/>
  <c r="O1076" i="13"/>
  <c r="O1077" i="13"/>
  <c r="O1078" i="13"/>
  <c r="O1079" i="13"/>
  <c r="O1080" i="13"/>
  <c r="O1081" i="13"/>
  <c r="O1082" i="13"/>
  <c r="O1083" i="13"/>
  <c r="O1084" i="13"/>
  <c r="O1085" i="13"/>
  <c r="O1086" i="13"/>
  <c r="O1087" i="13"/>
  <c r="O1088" i="13"/>
  <c r="O1089" i="13"/>
  <c r="O1090" i="13"/>
  <c r="O1091" i="13"/>
  <c r="O1092" i="13"/>
  <c r="O1093" i="13"/>
  <c r="O1094" i="13"/>
  <c r="O1095" i="13"/>
  <c r="O1096" i="13"/>
  <c r="O1097" i="13"/>
  <c r="O1098" i="13"/>
  <c r="O1099" i="13"/>
  <c r="O1100" i="13"/>
  <c r="O1101" i="13"/>
  <c r="O1102" i="13"/>
  <c r="O1103" i="13"/>
  <c r="O1104" i="13"/>
  <c r="O1105" i="13"/>
  <c r="O1106" i="13"/>
  <c r="O1107" i="13"/>
  <c r="O1108" i="13"/>
  <c r="O1109" i="13"/>
  <c r="O1110" i="13"/>
  <c r="O1111" i="13"/>
  <c r="O1112" i="13"/>
  <c r="O1113" i="13"/>
  <c r="O1114" i="13"/>
  <c r="O1115" i="13"/>
  <c r="O1116" i="13"/>
  <c r="O1117" i="13"/>
  <c r="O1118" i="13"/>
  <c r="O1119" i="13"/>
  <c r="O1120" i="13"/>
  <c r="O1121" i="13"/>
  <c r="O1122" i="13"/>
  <c r="O1123" i="13"/>
  <c r="O1124" i="13"/>
  <c r="O1125" i="13"/>
  <c r="O1126" i="13"/>
  <c r="O1127" i="13"/>
  <c r="O1128" i="13"/>
  <c r="O1129" i="13"/>
  <c r="O1130" i="13"/>
  <c r="O1131" i="13"/>
  <c r="O1132" i="13"/>
  <c r="O1133" i="13"/>
  <c r="O1134" i="13"/>
  <c r="O1135" i="13"/>
  <c r="O1136" i="13"/>
  <c r="O1137" i="13"/>
  <c r="O1138" i="13"/>
  <c r="O1139" i="13"/>
  <c r="O1140" i="13"/>
  <c r="O1141" i="13"/>
  <c r="O1142" i="13"/>
  <c r="O1143" i="13"/>
  <c r="O1144" i="13"/>
  <c r="O1145" i="13"/>
  <c r="O1146" i="13"/>
  <c r="O1147" i="13"/>
  <c r="O1148" i="13"/>
  <c r="O1149" i="13"/>
  <c r="O1150" i="13"/>
  <c r="O1151" i="13"/>
  <c r="O1152" i="13"/>
  <c r="O1153" i="13"/>
  <c r="O1154" i="13"/>
  <c r="O1155" i="13"/>
  <c r="O1156" i="13"/>
  <c r="O1157" i="13"/>
  <c r="O1158" i="13"/>
  <c r="O1159" i="13"/>
  <c r="O1160" i="13"/>
  <c r="O1161" i="13"/>
  <c r="O1162" i="13"/>
  <c r="O1163" i="13"/>
  <c r="O1164" i="13"/>
  <c r="O1165" i="13"/>
  <c r="O1166" i="13"/>
  <c r="O1167" i="13"/>
  <c r="O1168" i="13"/>
  <c r="O1169" i="13"/>
  <c r="O1170" i="13"/>
  <c r="O1171" i="13"/>
  <c r="O1172" i="13"/>
  <c r="O1173" i="13"/>
  <c r="O1174" i="13"/>
  <c r="O1175" i="13"/>
  <c r="O1176" i="13"/>
  <c r="O1177" i="13"/>
  <c r="O1178" i="13"/>
  <c r="O1179" i="13"/>
  <c r="O1180" i="13"/>
  <c r="O1181" i="13"/>
  <c r="O1182" i="13"/>
  <c r="O1183" i="13"/>
  <c r="O1184" i="13"/>
  <c r="O1185" i="13"/>
  <c r="O1186" i="13"/>
  <c r="O1187" i="13"/>
  <c r="O1188" i="13"/>
  <c r="O1189" i="13"/>
  <c r="O1190" i="13"/>
  <c r="O1191" i="13"/>
  <c r="O1192" i="13"/>
  <c r="O1193" i="13"/>
  <c r="O1194" i="13"/>
  <c r="O1195" i="13"/>
  <c r="O1196" i="13"/>
  <c r="O1197" i="13"/>
  <c r="O1198" i="13"/>
  <c r="O1199" i="13"/>
  <c r="O1200" i="13"/>
  <c r="O1201" i="13"/>
  <c r="O1202" i="13"/>
  <c r="O1203" i="13"/>
  <c r="O1204" i="13"/>
  <c r="O1205" i="13"/>
  <c r="O1206" i="13"/>
  <c r="O1207" i="13"/>
  <c r="O1208" i="13"/>
  <c r="O1209" i="13"/>
  <c r="O1210" i="13"/>
  <c r="O1211" i="13"/>
  <c r="O1212" i="13"/>
  <c r="O1213" i="13"/>
  <c r="O1214" i="13"/>
  <c r="O1215" i="13"/>
  <c r="O1216" i="13"/>
  <c r="O1217" i="13"/>
  <c r="O1218" i="13"/>
  <c r="O1219" i="13"/>
  <c r="O1220" i="13"/>
  <c r="O1221" i="13"/>
  <c r="O1222" i="13"/>
  <c r="O1223" i="13"/>
  <c r="O1224" i="13"/>
  <c r="O1225" i="13"/>
  <c r="O1226" i="13"/>
  <c r="O1227" i="13"/>
  <c r="O1228" i="13"/>
  <c r="O1229" i="13"/>
  <c r="O1230" i="13"/>
  <c r="O1231" i="13"/>
  <c r="O1232" i="13"/>
  <c r="O1233" i="13"/>
  <c r="O1234" i="13"/>
  <c r="O1235" i="13"/>
  <c r="O1236" i="13"/>
  <c r="O1237" i="13"/>
  <c r="O1238" i="13"/>
  <c r="O1239" i="13"/>
  <c r="O1240" i="13"/>
  <c r="O1241" i="13"/>
  <c r="O1242" i="13"/>
  <c r="O1243" i="13"/>
  <c r="O1244" i="13"/>
  <c r="O1245" i="13"/>
  <c r="O1246" i="13"/>
  <c r="O1247" i="13"/>
  <c r="O1248" i="13"/>
  <c r="O1249" i="13"/>
  <c r="O1250" i="13"/>
  <c r="O1251" i="13"/>
  <c r="O1252" i="13"/>
  <c r="O1253" i="13"/>
  <c r="O1254" i="13"/>
  <c r="O1255" i="13"/>
  <c r="O1256" i="13"/>
  <c r="O1257" i="13"/>
  <c r="O1258" i="13"/>
  <c r="O1259" i="13"/>
  <c r="O1260" i="13"/>
  <c r="O1261" i="13"/>
  <c r="O1262" i="13"/>
  <c r="O1263" i="13"/>
  <c r="O1264" i="13"/>
  <c r="O1265" i="13"/>
  <c r="O1266" i="13"/>
  <c r="O1267" i="13"/>
  <c r="O1268" i="13"/>
  <c r="O1269" i="13"/>
  <c r="O1270" i="13"/>
  <c r="O1271" i="13"/>
  <c r="O1272" i="13"/>
  <c r="O1273" i="13"/>
  <c r="O1274" i="13"/>
  <c r="O1275" i="13"/>
  <c r="O1276" i="13"/>
  <c r="O1277" i="13"/>
  <c r="O1278" i="13"/>
  <c r="O1279" i="13"/>
  <c r="O1280" i="13"/>
  <c r="O1281" i="13"/>
  <c r="O1282" i="13"/>
  <c r="O1283" i="13"/>
  <c r="O1284" i="13"/>
  <c r="O1285" i="13"/>
  <c r="O1286" i="13"/>
  <c r="O1287" i="13"/>
  <c r="O1288" i="13"/>
  <c r="O1289" i="13"/>
  <c r="O1290" i="13"/>
  <c r="O1291" i="13"/>
  <c r="O1292" i="13"/>
  <c r="O1293" i="13"/>
  <c r="O1294" i="13"/>
  <c r="O1295" i="13"/>
  <c r="O1296" i="13"/>
  <c r="O1297" i="13"/>
  <c r="O1298" i="13"/>
  <c r="O1299" i="13"/>
  <c r="O1300" i="13"/>
  <c r="O1301" i="13"/>
  <c r="O1302" i="13"/>
  <c r="O1303" i="13"/>
  <c r="O1304" i="13"/>
  <c r="O1305" i="13"/>
  <c r="O1306" i="13"/>
  <c r="O1307" i="13"/>
  <c r="O1308" i="13"/>
  <c r="O1309" i="13"/>
  <c r="O1310" i="13"/>
  <c r="O1311" i="13"/>
  <c r="O1312" i="13"/>
  <c r="O1313" i="13"/>
  <c r="O1314" i="13"/>
  <c r="O1315" i="13"/>
  <c r="O1316" i="13"/>
  <c r="O1317" i="13"/>
  <c r="O1318" i="13"/>
  <c r="O1319" i="13"/>
  <c r="O1320" i="13"/>
  <c r="O1321" i="13"/>
  <c r="O1322" i="13"/>
  <c r="O1323" i="13"/>
  <c r="O1324" i="13"/>
  <c r="O1325" i="13"/>
  <c r="O1326" i="13"/>
  <c r="O1327" i="13"/>
  <c r="O1328" i="13"/>
  <c r="O1329" i="13"/>
  <c r="O1330" i="13"/>
  <c r="O1331" i="13"/>
  <c r="O1332" i="13"/>
  <c r="O1333" i="13"/>
  <c r="O1334" i="13"/>
  <c r="O1335" i="13"/>
  <c r="O1336" i="13"/>
  <c r="O1337" i="13"/>
  <c r="O1338" i="13"/>
  <c r="O1339" i="13"/>
  <c r="O1340" i="13"/>
  <c r="O1341" i="13"/>
  <c r="O1342" i="13"/>
  <c r="O1343" i="13"/>
  <c r="O1344" i="13"/>
  <c r="O1345" i="13"/>
  <c r="O1346" i="13"/>
  <c r="O1347" i="13"/>
  <c r="O1348" i="13"/>
  <c r="O1349" i="13"/>
  <c r="O1350" i="13"/>
  <c r="O1351" i="13"/>
  <c r="O1352" i="13"/>
  <c r="O1353" i="13"/>
  <c r="O1354" i="13"/>
  <c r="O1355" i="13"/>
  <c r="O1356" i="13"/>
  <c r="O1357" i="13"/>
  <c r="O1358" i="13"/>
  <c r="O1359" i="13"/>
  <c r="O1360" i="13"/>
  <c r="O1361" i="13"/>
  <c r="O1362" i="13"/>
  <c r="O1363" i="13"/>
  <c r="O1364" i="13"/>
  <c r="O1365" i="13"/>
  <c r="O1366" i="13"/>
  <c r="O1367" i="13"/>
  <c r="O1368" i="13"/>
  <c r="O1369" i="13"/>
  <c r="O1370" i="13"/>
  <c r="O1371" i="13"/>
  <c r="O1372" i="13"/>
  <c r="O1373" i="13"/>
  <c r="O1374" i="13"/>
  <c r="O1375" i="13"/>
  <c r="O1376" i="13"/>
  <c r="O1377" i="13"/>
  <c r="O1378" i="13"/>
  <c r="O1379" i="13"/>
  <c r="O1380" i="13"/>
  <c r="O1381" i="13"/>
  <c r="O1382" i="13"/>
  <c r="O1383" i="13"/>
  <c r="O1384" i="13"/>
  <c r="O1385" i="13"/>
  <c r="O1386" i="13"/>
  <c r="O1387" i="13"/>
  <c r="O1388" i="13"/>
  <c r="O1389" i="13"/>
  <c r="O1390" i="13"/>
  <c r="O1391" i="13"/>
  <c r="O1392" i="13"/>
  <c r="O1393" i="13"/>
  <c r="O1394" i="13"/>
  <c r="O1395" i="13"/>
  <c r="O1396" i="13"/>
  <c r="O1397" i="13"/>
  <c r="O1398" i="13"/>
  <c r="O1399" i="13"/>
  <c r="O1400" i="13"/>
  <c r="O1401" i="13"/>
  <c r="O1402" i="13"/>
  <c r="O1403" i="13"/>
  <c r="O1404" i="13"/>
  <c r="O1405" i="13"/>
  <c r="O1406" i="13"/>
  <c r="O1407" i="13"/>
  <c r="O1408" i="13"/>
  <c r="O1409" i="13"/>
  <c r="O1410" i="13"/>
  <c r="O1411" i="13"/>
  <c r="O1412" i="13"/>
  <c r="O1413" i="13"/>
  <c r="O1414" i="13"/>
  <c r="O1415" i="13"/>
  <c r="O1416" i="13"/>
  <c r="O1417" i="13"/>
  <c r="O1418" i="13"/>
  <c r="O1419" i="13"/>
  <c r="O1420" i="13"/>
  <c r="O1421" i="13"/>
  <c r="O1422" i="13"/>
  <c r="O1423" i="13"/>
  <c r="O1424" i="13"/>
  <c r="O1425" i="13"/>
  <c r="O1426" i="13"/>
  <c r="O1427" i="13"/>
  <c r="O1428" i="13"/>
  <c r="O1429" i="13"/>
  <c r="O1430" i="13"/>
  <c r="O1431" i="13"/>
  <c r="O1432" i="13"/>
  <c r="O1433" i="13"/>
  <c r="O1434" i="13"/>
  <c r="O1435" i="13"/>
  <c r="O1436" i="13"/>
  <c r="O1437" i="13"/>
  <c r="O1438" i="13"/>
  <c r="O1439" i="13"/>
  <c r="O1440" i="13"/>
  <c r="O1441" i="13"/>
  <c r="O1442" i="13"/>
  <c r="O1443" i="13"/>
  <c r="O1444" i="13"/>
  <c r="O1445" i="13"/>
  <c r="O1446" i="13"/>
  <c r="O1447" i="13"/>
  <c r="O1448" i="13"/>
  <c r="O1449" i="13"/>
  <c r="O1450" i="13"/>
  <c r="O1451" i="13"/>
  <c r="O1452" i="13"/>
  <c r="O1453" i="13"/>
  <c r="O1454" i="13"/>
  <c r="O1455" i="13"/>
  <c r="O1456" i="13"/>
  <c r="O1457" i="13"/>
  <c r="O1458" i="13"/>
  <c r="O1459" i="13"/>
  <c r="O1460" i="13"/>
  <c r="O1461" i="13"/>
  <c r="O1462" i="13"/>
  <c r="O1463" i="13"/>
  <c r="O1464" i="13"/>
  <c r="O1465" i="13"/>
  <c r="O1466" i="13"/>
  <c r="O1467" i="13"/>
  <c r="O1468" i="13"/>
  <c r="O1469" i="13"/>
  <c r="O1470" i="13"/>
  <c r="O1471" i="13"/>
  <c r="O1472" i="13"/>
  <c r="O1473" i="13"/>
  <c r="O1474" i="13"/>
  <c r="O1475" i="13"/>
  <c r="O1476" i="13"/>
  <c r="O1477" i="13"/>
  <c r="O1478" i="13"/>
  <c r="O1479" i="13"/>
  <c r="O1480" i="13"/>
  <c r="O1481" i="13"/>
  <c r="O1482" i="13"/>
  <c r="O1483" i="13"/>
  <c r="O1484" i="13"/>
  <c r="O1485" i="13"/>
  <c r="O1486" i="13"/>
  <c r="O1487" i="13"/>
  <c r="O1488" i="13"/>
  <c r="O1489" i="13"/>
  <c r="O1490" i="13"/>
  <c r="O1491" i="13"/>
  <c r="O1492" i="13"/>
  <c r="O1493" i="13"/>
  <c r="O1494" i="13"/>
  <c r="O1495" i="13"/>
  <c r="O1496" i="13"/>
  <c r="O1497" i="13"/>
  <c r="O1498" i="13"/>
  <c r="O1499" i="13"/>
  <c r="O1500" i="13"/>
  <c r="O1501" i="13"/>
  <c r="O1502" i="13"/>
  <c r="O1503" i="13"/>
  <c r="O1504" i="13"/>
  <c r="O1505" i="13"/>
  <c r="O1506" i="13"/>
  <c r="O1507" i="13"/>
  <c r="O1508" i="13"/>
  <c r="O1509" i="13"/>
  <c r="O1510" i="13"/>
  <c r="O1511" i="13"/>
  <c r="O1512" i="13"/>
  <c r="O1513" i="13"/>
  <c r="O1514" i="13"/>
  <c r="O1515" i="13"/>
  <c r="O1516" i="13"/>
  <c r="O1517" i="13"/>
  <c r="O1518" i="13"/>
  <c r="O1519" i="13"/>
  <c r="O1520" i="13"/>
  <c r="O1521" i="13"/>
  <c r="O1522" i="13"/>
  <c r="O1523" i="13"/>
  <c r="O1524" i="13"/>
  <c r="O1525" i="13"/>
  <c r="O1526" i="13"/>
  <c r="O1527" i="13"/>
  <c r="O1528" i="13"/>
  <c r="O1529" i="13"/>
  <c r="O1530" i="13"/>
  <c r="O1531" i="13"/>
  <c r="O1532" i="13"/>
  <c r="O1533" i="13"/>
  <c r="O1534" i="13"/>
  <c r="O1535" i="13"/>
  <c r="O1536" i="13"/>
  <c r="O1537" i="13"/>
  <c r="O1538" i="13"/>
  <c r="O1539" i="13"/>
  <c r="O1540" i="13"/>
  <c r="O1541" i="13"/>
  <c r="O1542" i="13"/>
  <c r="O1543" i="13"/>
  <c r="O1544" i="13"/>
  <c r="O1545" i="13"/>
  <c r="O1546" i="13"/>
  <c r="O1547" i="13"/>
  <c r="O1548" i="13"/>
  <c r="O1549" i="13"/>
  <c r="O1550" i="13"/>
  <c r="O1551" i="13"/>
  <c r="O1552" i="13"/>
  <c r="O1553" i="13"/>
  <c r="O1554" i="13"/>
  <c r="O1555" i="13"/>
  <c r="O1556" i="13"/>
  <c r="O1557" i="13"/>
  <c r="O1558" i="13"/>
  <c r="O1559" i="13"/>
  <c r="O1560" i="13"/>
  <c r="O1561" i="13"/>
  <c r="O1562" i="13"/>
  <c r="O1563" i="13"/>
  <c r="O1564" i="13"/>
  <c r="O1565" i="13"/>
  <c r="O1566" i="13"/>
  <c r="O1567" i="13"/>
  <c r="O1568" i="13"/>
  <c r="O1569" i="13"/>
  <c r="O1570" i="13"/>
  <c r="O1571" i="13"/>
  <c r="O1572" i="13"/>
  <c r="O1573" i="13"/>
  <c r="O1574" i="13"/>
  <c r="O1575" i="13"/>
  <c r="O1576" i="13"/>
  <c r="O1577" i="13"/>
  <c r="O1578" i="13"/>
  <c r="O1579" i="13"/>
  <c r="O1580" i="13"/>
  <c r="O1581" i="13"/>
  <c r="O1582" i="13"/>
  <c r="O1583" i="13"/>
  <c r="O1584" i="13"/>
  <c r="O1585" i="13"/>
  <c r="O1586" i="13"/>
  <c r="O1587" i="13"/>
  <c r="O1588" i="13"/>
  <c r="O1589" i="13"/>
  <c r="O1590" i="13"/>
  <c r="O1591" i="13"/>
  <c r="O1592" i="13"/>
  <c r="O1593" i="13"/>
  <c r="O1594" i="13"/>
  <c r="O1595" i="13"/>
  <c r="O1596" i="13"/>
  <c r="O1597" i="13"/>
  <c r="O1598" i="13"/>
  <c r="O1599" i="13"/>
  <c r="O1600" i="13"/>
  <c r="O1601" i="13"/>
  <c r="O1602" i="13"/>
  <c r="O1603" i="13"/>
  <c r="O1604" i="13"/>
  <c r="O1605" i="13"/>
  <c r="O1606" i="13"/>
  <c r="O1607" i="13"/>
  <c r="O1608" i="13"/>
  <c r="O1609" i="13"/>
  <c r="O1610" i="13"/>
  <c r="O1611" i="13"/>
  <c r="O1612" i="13"/>
  <c r="O1613" i="13"/>
  <c r="O1614" i="13"/>
  <c r="O1615" i="13"/>
  <c r="O1616" i="13"/>
  <c r="O1617" i="13"/>
  <c r="O1618" i="13"/>
  <c r="O1619" i="13"/>
  <c r="O1620" i="13"/>
  <c r="O1621" i="13"/>
  <c r="O1622" i="13"/>
  <c r="O1623" i="13"/>
  <c r="O1624" i="13"/>
  <c r="O1625" i="13"/>
  <c r="O1626" i="13"/>
  <c r="O1627" i="13"/>
  <c r="O1628" i="13"/>
  <c r="O1629" i="13"/>
  <c r="O1630" i="13"/>
  <c r="O1631" i="13"/>
  <c r="O1632" i="13"/>
  <c r="O1633" i="13"/>
  <c r="O1634" i="13"/>
  <c r="O1635" i="13"/>
  <c r="O1636" i="13"/>
  <c r="O1637" i="13"/>
  <c r="O1638" i="13"/>
  <c r="O1639" i="13"/>
  <c r="O1640" i="13"/>
  <c r="O1641" i="13"/>
  <c r="O1642" i="13"/>
  <c r="O1643" i="13"/>
  <c r="O1644" i="13"/>
  <c r="O1645" i="13"/>
  <c r="O1646" i="13"/>
  <c r="O1647" i="13"/>
  <c r="O1648" i="13"/>
  <c r="O1649" i="13"/>
  <c r="O1650" i="13"/>
  <c r="O1651" i="13"/>
  <c r="O1652" i="13"/>
  <c r="O1653" i="13"/>
  <c r="O1654" i="13"/>
  <c r="O1655" i="13"/>
  <c r="O1656" i="13"/>
  <c r="O1657" i="13"/>
  <c r="O1658" i="13"/>
  <c r="O1659" i="13"/>
  <c r="O1660" i="13"/>
  <c r="O1661" i="13"/>
  <c r="O1662" i="13"/>
  <c r="O1663" i="13"/>
  <c r="O1664" i="13"/>
  <c r="O1665" i="13"/>
  <c r="O1666" i="13"/>
  <c r="O1667" i="13"/>
  <c r="O1668" i="13"/>
  <c r="O1669" i="13"/>
  <c r="O1670" i="13"/>
  <c r="O1671" i="13"/>
  <c r="O1672" i="13"/>
  <c r="O1673" i="13"/>
  <c r="O1674" i="13"/>
  <c r="O1675" i="13"/>
  <c r="O1676" i="13"/>
  <c r="O1677" i="13"/>
  <c r="O1678" i="13"/>
  <c r="O1679" i="13"/>
  <c r="O1680" i="13"/>
  <c r="O1681" i="13"/>
  <c r="O1682" i="13"/>
  <c r="O1683" i="13"/>
  <c r="O1684" i="13"/>
  <c r="O1685" i="13"/>
  <c r="O1686" i="13"/>
  <c r="O1687" i="13"/>
  <c r="O1688" i="13"/>
  <c r="O1689" i="13"/>
  <c r="O1690" i="13"/>
  <c r="O1691" i="13"/>
  <c r="O1692" i="13"/>
  <c r="O1693" i="13"/>
  <c r="O1694" i="13"/>
  <c r="O1695" i="13"/>
  <c r="O1696" i="13"/>
  <c r="O1697" i="13"/>
  <c r="O1698" i="13"/>
  <c r="O1699" i="13"/>
  <c r="O1700" i="13"/>
  <c r="O1701" i="13"/>
  <c r="O1702" i="13"/>
  <c r="O1703" i="13"/>
  <c r="O1704" i="13"/>
  <c r="O1705" i="13"/>
  <c r="O1706" i="13"/>
  <c r="O1707" i="13"/>
  <c r="O1708" i="13"/>
  <c r="O1709" i="13"/>
  <c r="O1710" i="13"/>
  <c r="O1711" i="13"/>
  <c r="O1712" i="13"/>
  <c r="O1713" i="13"/>
  <c r="O1714" i="13"/>
  <c r="O1715" i="13"/>
  <c r="O1716" i="13"/>
  <c r="O1717" i="13"/>
  <c r="O1718" i="13"/>
  <c r="O1719" i="13"/>
  <c r="O1720" i="13"/>
  <c r="O1721" i="13"/>
  <c r="O1722" i="13"/>
  <c r="O1723" i="13"/>
  <c r="O1724" i="13"/>
  <c r="O1725" i="13"/>
  <c r="O1726" i="13"/>
  <c r="O1727" i="13"/>
  <c r="O1728" i="13"/>
  <c r="O1729" i="13"/>
  <c r="O1730" i="13"/>
  <c r="O1731" i="13"/>
  <c r="O1732" i="13"/>
  <c r="O1733" i="13"/>
  <c r="O1734" i="13"/>
  <c r="O1735" i="13"/>
  <c r="O1736" i="13"/>
  <c r="O1737" i="13"/>
  <c r="O1738" i="13"/>
  <c r="O1739" i="13"/>
  <c r="O1740" i="13"/>
  <c r="O1741" i="13"/>
  <c r="O1742" i="13"/>
  <c r="O1743" i="13"/>
  <c r="O1744" i="13"/>
  <c r="O1745" i="13"/>
  <c r="O1746" i="13"/>
  <c r="O1747" i="13"/>
  <c r="O1748" i="13"/>
  <c r="O1749" i="13"/>
  <c r="O1750" i="13"/>
  <c r="O1751" i="13"/>
  <c r="O1752" i="13"/>
  <c r="O1753" i="13"/>
  <c r="O1754" i="13"/>
  <c r="O1755" i="13"/>
  <c r="O1756" i="13"/>
  <c r="O1757" i="13"/>
  <c r="O1758" i="13"/>
  <c r="O1759" i="13"/>
  <c r="O1760" i="13"/>
  <c r="O1761" i="13"/>
  <c r="O1762" i="13"/>
  <c r="O1763" i="13"/>
  <c r="O1764" i="13"/>
  <c r="O1765" i="13"/>
  <c r="O1766" i="13"/>
  <c r="O1767" i="13"/>
  <c r="O1768" i="13"/>
  <c r="O1769" i="13"/>
  <c r="O1770" i="13"/>
  <c r="O1771" i="13"/>
  <c r="O1772" i="13"/>
  <c r="O1773" i="13"/>
  <c r="O1774" i="13"/>
  <c r="O1775" i="13"/>
  <c r="O1776" i="13"/>
  <c r="O1777" i="13"/>
  <c r="O1778" i="13"/>
  <c r="O1779" i="13"/>
  <c r="O1780" i="13"/>
  <c r="O1781" i="13"/>
  <c r="O1782" i="13"/>
  <c r="O1783" i="13"/>
  <c r="O1784" i="13"/>
  <c r="O1785" i="13"/>
  <c r="O1786" i="13"/>
  <c r="O1787" i="13"/>
  <c r="O1788" i="13"/>
  <c r="O1789" i="13"/>
  <c r="O1790" i="13"/>
  <c r="O1791" i="13"/>
  <c r="O1792" i="13"/>
  <c r="O1793" i="13"/>
  <c r="O1794" i="13"/>
  <c r="O1795" i="13"/>
  <c r="O1796" i="13"/>
  <c r="O1797" i="13"/>
  <c r="O1798" i="13"/>
  <c r="O1799" i="13"/>
  <c r="O1800" i="13"/>
  <c r="O1801" i="13"/>
  <c r="O1802" i="13"/>
  <c r="O1803" i="13"/>
  <c r="O1804" i="13"/>
  <c r="O1805" i="13"/>
  <c r="O1806" i="13"/>
  <c r="O1807" i="13"/>
  <c r="O1808" i="13"/>
  <c r="O1809" i="13"/>
  <c r="O1810" i="13"/>
  <c r="O1811" i="13"/>
  <c r="O1812" i="13"/>
  <c r="O1813" i="13"/>
  <c r="O1814" i="13"/>
  <c r="O1815" i="13"/>
  <c r="O1816" i="13"/>
  <c r="O1817" i="13"/>
  <c r="O1818" i="13"/>
  <c r="O1819" i="13"/>
  <c r="O1820" i="13"/>
  <c r="O1821" i="13"/>
  <c r="O1822" i="13"/>
  <c r="O1823" i="13"/>
  <c r="O1824" i="13"/>
  <c r="O1825" i="13"/>
  <c r="O1826" i="13"/>
  <c r="O1827" i="13"/>
  <c r="O1828" i="13"/>
  <c r="O1829" i="13"/>
  <c r="O1830" i="13"/>
  <c r="O1831" i="13"/>
  <c r="O1832" i="13"/>
  <c r="O1833" i="13"/>
  <c r="O1834" i="13"/>
  <c r="O1835" i="13"/>
  <c r="O1836" i="13"/>
  <c r="O1837" i="13"/>
  <c r="O1838" i="13"/>
  <c r="O1839" i="13"/>
  <c r="O1840" i="13"/>
  <c r="O1841" i="13"/>
  <c r="O1842" i="13"/>
  <c r="O1843" i="13"/>
  <c r="O1844" i="13"/>
  <c r="O1845" i="13"/>
  <c r="O1846" i="13"/>
  <c r="O1847" i="13"/>
  <c r="O1848" i="13"/>
  <c r="O1849" i="13"/>
  <c r="O1850" i="13"/>
  <c r="O1851" i="13"/>
  <c r="O1852" i="13"/>
  <c r="O1853" i="13"/>
  <c r="O1854" i="13"/>
  <c r="O1855" i="13"/>
  <c r="O1856" i="13"/>
  <c r="O1857" i="13"/>
  <c r="O1858" i="13"/>
  <c r="O1859" i="13"/>
  <c r="O1860" i="13"/>
  <c r="O1861" i="13"/>
  <c r="O1862" i="13"/>
  <c r="O1863" i="13"/>
  <c r="O1864" i="13"/>
  <c r="O1865" i="13"/>
  <c r="O1866" i="13"/>
  <c r="O1867" i="13"/>
  <c r="O1868" i="13"/>
  <c r="O1869" i="13"/>
  <c r="O1870" i="13"/>
  <c r="O1871" i="13"/>
  <c r="O1872" i="13"/>
  <c r="O1873" i="13"/>
  <c r="O1874" i="13"/>
  <c r="O1875" i="13"/>
  <c r="O1876" i="13"/>
  <c r="O1877" i="13"/>
  <c r="O1878" i="13"/>
  <c r="O1879" i="13"/>
  <c r="O1880" i="13"/>
  <c r="O1881" i="13"/>
  <c r="O1882" i="13"/>
  <c r="O1883" i="13"/>
  <c r="O1884" i="13"/>
  <c r="O1885" i="13"/>
  <c r="O1886" i="13"/>
  <c r="O1887" i="13"/>
  <c r="O1888" i="13"/>
  <c r="O1889" i="13"/>
  <c r="O1890" i="13"/>
  <c r="O1891" i="13"/>
  <c r="O1892" i="13"/>
  <c r="O1893" i="13"/>
  <c r="O1894" i="13"/>
  <c r="O1895" i="13"/>
  <c r="O1896" i="13"/>
  <c r="O1897" i="13"/>
  <c r="O1898" i="13"/>
  <c r="O1899" i="13"/>
  <c r="O1900" i="13"/>
  <c r="O1901" i="13"/>
  <c r="O1902" i="13"/>
  <c r="O1903" i="13"/>
  <c r="O1904" i="13"/>
  <c r="O1905" i="13"/>
  <c r="O1906" i="13"/>
  <c r="O1907" i="13"/>
  <c r="O1908" i="13"/>
  <c r="O1909" i="13"/>
  <c r="O1910" i="13"/>
  <c r="O1911" i="13"/>
  <c r="O1912" i="13"/>
  <c r="O1913" i="13"/>
  <c r="O1914" i="13"/>
  <c r="O1915" i="13"/>
  <c r="O1916" i="13"/>
  <c r="O1917" i="13"/>
  <c r="O1918" i="13"/>
  <c r="O1919" i="13"/>
  <c r="O1920" i="13"/>
  <c r="O1921" i="13"/>
  <c r="O1922" i="13"/>
  <c r="O1923" i="13"/>
  <c r="O1924" i="13"/>
  <c r="O1925" i="13"/>
  <c r="O1926" i="13"/>
  <c r="O1927" i="13"/>
  <c r="O1928" i="13"/>
  <c r="O1929" i="13"/>
  <c r="O1930" i="13"/>
  <c r="O1931" i="13"/>
  <c r="O1932" i="13"/>
  <c r="O1933" i="13"/>
  <c r="O1934" i="13"/>
  <c r="O1935" i="13"/>
  <c r="O1936" i="13"/>
  <c r="O1937" i="13"/>
  <c r="O1938" i="13"/>
  <c r="O1939" i="13"/>
  <c r="O1940" i="13"/>
  <c r="O1941" i="13"/>
  <c r="O1942" i="13"/>
  <c r="O1943" i="13"/>
  <c r="O1944" i="13"/>
  <c r="O1945" i="13"/>
  <c r="O1946" i="13"/>
  <c r="O1947" i="13"/>
  <c r="O1948" i="13"/>
  <c r="O1949" i="13"/>
  <c r="O1950" i="13"/>
  <c r="O1951" i="13"/>
  <c r="O1952" i="13"/>
  <c r="O1953" i="13"/>
  <c r="O1954" i="13"/>
  <c r="O1955" i="13"/>
  <c r="O1956" i="13"/>
  <c r="O1957" i="13"/>
  <c r="O1958" i="13"/>
  <c r="O1959" i="13"/>
  <c r="O1960" i="13"/>
  <c r="O1961" i="13"/>
  <c r="O1962" i="13"/>
  <c r="O1963" i="13"/>
  <c r="O1964" i="13"/>
  <c r="O1965" i="13"/>
  <c r="O1966" i="13"/>
  <c r="O1967" i="13"/>
  <c r="O1968" i="13"/>
  <c r="O1969" i="13"/>
  <c r="O1970" i="13"/>
  <c r="O1971" i="13"/>
  <c r="O1972" i="13"/>
  <c r="O1973" i="13"/>
  <c r="O1974" i="13"/>
  <c r="O1975" i="13"/>
  <c r="O1976" i="13"/>
  <c r="O1977" i="13"/>
  <c r="O1978" i="13"/>
  <c r="O1979" i="13"/>
  <c r="O1980" i="13"/>
  <c r="O1981" i="13"/>
  <c r="O1982" i="13"/>
  <c r="O1983" i="13"/>
  <c r="O1984" i="13"/>
  <c r="O1985" i="13"/>
  <c r="O1986" i="13"/>
  <c r="O1987" i="13"/>
  <c r="O1988" i="13"/>
  <c r="O1989" i="13"/>
  <c r="O1990" i="13"/>
  <c r="O1991" i="13"/>
  <c r="O1992" i="13"/>
  <c r="O1993" i="13"/>
  <c r="O1994" i="13"/>
  <c r="O1995" i="13"/>
  <c r="O1996" i="13"/>
  <c r="O1997" i="13"/>
  <c r="O1998" i="13"/>
  <c r="O1999" i="13"/>
  <c r="O2000" i="13"/>
  <c r="O2001" i="13"/>
  <c r="O2002" i="13"/>
  <c r="O2003" i="13"/>
  <c r="O2004" i="13"/>
  <c r="O2005" i="13"/>
  <c r="O2006" i="13"/>
  <c r="O2007" i="13"/>
  <c r="O2008" i="13"/>
  <c r="O2009" i="13"/>
  <c r="O2010" i="13"/>
  <c r="O2011" i="13"/>
  <c r="O2012" i="13"/>
  <c r="O2013" i="13"/>
  <c r="O2014" i="13"/>
  <c r="O2015" i="13"/>
  <c r="O2016" i="13"/>
  <c r="O2017" i="13"/>
  <c r="O2018" i="13"/>
  <c r="O2019" i="13"/>
  <c r="O2020" i="13"/>
  <c r="O2021" i="13"/>
  <c r="O2022" i="13"/>
  <c r="O2023" i="13"/>
  <c r="O2024" i="13"/>
  <c r="O2025" i="13"/>
  <c r="O2026" i="13"/>
  <c r="O2027" i="13"/>
  <c r="O2028" i="13"/>
  <c r="O2029" i="13"/>
  <c r="O2030" i="13"/>
  <c r="O2031" i="13"/>
  <c r="O2032" i="13"/>
  <c r="O2033" i="13"/>
  <c r="O2034" i="13"/>
  <c r="O2035" i="13"/>
  <c r="O2036" i="13"/>
  <c r="O2037" i="13"/>
  <c r="O2038" i="13"/>
  <c r="O2039" i="13"/>
  <c r="O2040" i="13"/>
  <c r="O2041" i="13"/>
  <c r="O2042" i="13"/>
  <c r="O2043" i="13"/>
  <c r="O2044" i="13"/>
  <c r="O2045" i="13"/>
  <c r="O2046" i="13"/>
  <c r="O2047" i="13"/>
  <c r="O2048" i="13"/>
  <c r="O2049" i="13"/>
  <c r="O2050" i="13"/>
  <c r="O2051" i="13"/>
  <c r="O2052" i="13"/>
  <c r="O2053" i="13"/>
  <c r="O2054" i="13"/>
  <c r="O2055" i="13"/>
  <c r="O2056" i="13"/>
  <c r="O2057" i="13"/>
  <c r="O2058" i="13"/>
  <c r="O2059" i="13"/>
  <c r="O2060" i="13"/>
  <c r="O2061" i="13"/>
  <c r="O2062" i="13"/>
  <c r="O2063" i="13"/>
  <c r="O2064" i="13"/>
  <c r="O2065" i="13"/>
  <c r="O2066" i="13"/>
  <c r="O2067" i="13"/>
  <c r="O2068" i="13"/>
  <c r="O2069" i="13"/>
  <c r="O2070" i="13"/>
  <c r="O2071" i="13"/>
  <c r="O2072" i="13"/>
  <c r="O2073" i="13"/>
  <c r="O2074" i="13"/>
  <c r="O2075" i="13"/>
  <c r="O2076" i="13"/>
  <c r="O2077" i="13"/>
  <c r="O2078" i="13"/>
  <c r="O2079" i="13"/>
  <c r="O2080" i="13"/>
  <c r="O2081" i="13"/>
  <c r="O2082" i="13"/>
  <c r="O2083" i="13"/>
  <c r="O2084" i="13"/>
  <c r="O2085" i="13"/>
  <c r="O2086" i="13"/>
  <c r="O2087" i="13"/>
  <c r="O2088" i="13"/>
  <c r="O2089" i="13"/>
  <c r="O2090" i="13"/>
  <c r="O2091" i="13"/>
  <c r="O2092" i="13"/>
  <c r="O2093" i="13"/>
  <c r="O2094" i="13"/>
  <c r="O2095" i="13"/>
  <c r="O2096" i="13"/>
  <c r="O2097" i="13"/>
  <c r="O2098" i="13"/>
  <c r="O2099" i="13"/>
  <c r="O2100" i="13"/>
  <c r="O2101" i="13"/>
  <c r="O2102" i="13"/>
  <c r="O2103" i="13"/>
  <c r="O2104" i="13"/>
  <c r="O2105" i="13"/>
  <c r="O2106" i="13"/>
  <c r="O2107" i="13"/>
  <c r="O2108" i="13"/>
  <c r="O2109" i="13"/>
  <c r="O2110" i="13"/>
  <c r="O2111" i="13"/>
  <c r="O2112" i="13"/>
  <c r="O2113" i="13"/>
  <c r="O2114" i="13"/>
  <c r="O2115" i="13"/>
  <c r="O2116" i="13"/>
  <c r="O2117" i="13"/>
  <c r="O2118" i="13"/>
  <c r="O2119" i="13"/>
  <c r="O2120" i="13"/>
  <c r="O2121" i="13"/>
  <c r="O2122" i="13"/>
  <c r="O2123" i="13"/>
  <c r="O2124" i="13"/>
  <c r="O2125" i="13"/>
  <c r="O2126" i="13"/>
  <c r="O2127" i="13"/>
  <c r="O2128" i="13"/>
  <c r="O2129" i="13"/>
  <c r="O2130" i="13"/>
  <c r="O2131" i="13"/>
  <c r="O2132" i="13"/>
  <c r="O2133" i="13"/>
  <c r="O2134" i="13"/>
  <c r="O2135" i="13"/>
  <c r="O2136" i="13"/>
  <c r="O2137" i="13"/>
  <c r="O2138" i="13"/>
  <c r="O2139" i="13"/>
  <c r="O2140" i="13"/>
  <c r="O2141" i="13"/>
  <c r="O2142" i="13"/>
  <c r="O2143" i="13"/>
  <c r="O2144" i="13"/>
  <c r="O2145" i="13"/>
  <c r="O2146" i="13"/>
  <c r="O2147" i="13"/>
  <c r="O2148" i="13"/>
  <c r="O2149" i="13"/>
  <c r="O2150" i="13"/>
  <c r="O2151" i="13"/>
  <c r="O2152" i="13"/>
  <c r="O2153" i="13"/>
  <c r="O2154" i="13"/>
  <c r="O2155" i="13"/>
  <c r="O2156" i="13"/>
  <c r="O2157" i="13"/>
  <c r="O2158" i="13"/>
  <c r="O2159" i="13"/>
  <c r="O2160" i="13"/>
  <c r="O2161" i="13"/>
  <c r="O2162" i="13"/>
  <c r="O2163" i="13"/>
  <c r="O2164" i="13"/>
  <c r="O2165" i="13"/>
  <c r="O2166" i="13"/>
  <c r="O2167" i="13"/>
  <c r="O2168" i="13"/>
  <c r="O2169" i="13"/>
  <c r="O2170" i="13"/>
  <c r="O2171" i="13"/>
  <c r="O2172" i="13"/>
  <c r="O2173" i="13"/>
  <c r="O2174" i="13"/>
  <c r="O2175" i="13"/>
  <c r="O2176" i="13"/>
  <c r="O2177" i="13"/>
  <c r="O2178" i="13"/>
  <c r="O2179" i="13"/>
  <c r="O2180" i="13"/>
  <c r="O2181" i="13"/>
  <c r="O2182" i="13"/>
  <c r="O2183" i="13"/>
  <c r="O2184" i="13"/>
  <c r="O2185" i="13"/>
  <c r="O2186" i="13"/>
  <c r="O2187" i="13"/>
  <c r="O2188" i="13"/>
  <c r="O2189" i="13"/>
  <c r="O2190" i="13"/>
  <c r="O2191" i="13"/>
  <c r="O2192" i="13"/>
  <c r="O2193" i="13"/>
  <c r="O2194" i="13"/>
  <c r="O2195" i="13"/>
  <c r="O2196" i="13"/>
  <c r="O2197" i="13"/>
  <c r="O2198" i="13"/>
  <c r="O2199" i="13"/>
  <c r="O2200" i="13"/>
  <c r="O2201" i="13"/>
  <c r="O2202" i="13"/>
  <c r="O2203" i="13"/>
  <c r="O2204" i="13"/>
  <c r="O2205" i="13"/>
  <c r="O2206" i="13"/>
  <c r="O2207" i="13"/>
  <c r="O2208" i="13"/>
  <c r="O2209" i="13"/>
  <c r="O2210" i="13"/>
  <c r="O2211" i="13"/>
  <c r="O2212" i="13"/>
  <c r="O2213" i="13"/>
  <c r="O2214" i="13"/>
  <c r="O2215" i="13"/>
  <c r="O2216" i="13"/>
  <c r="O2217" i="13"/>
  <c r="O2218" i="13"/>
  <c r="O2219" i="13"/>
  <c r="O2220" i="13"/>
  <c r="O2221" i="13"/>
  <c r="O2222" i="13"/>
  <c r="O2223" i="13"/>
  <c r="O2224" i="13"/>
  <c r="O2225" i="13"/>
  <c r="O2226" i="13"/>
  <c r="O2227" i="13"/>
  <c r="O2228" i="13"/>
  <c r="O2229" i="13"/>
  <c r="O2230" i="13"/>
  <c r="O2231" i="13"/>
  <c r="O2232" i="13"/>
  <c r="O2233" i="13"/>
  <c r="O2234" i="13"/>
  <c r="O2235" i="13"/>
  <c r="O2236" i="13"/>
  <c r="O2237" i="13"/>
  <c r="O2238" i="13"/>
  <c r="O2239" i="13"/>
  <c r="O2240" i="13"/>
  <c r="O2241" i="13"/>
  <c r="O2242" i="13"/>
  <c r="O2243" i="13"/>
  <c r="O2244" i="13"/>
  <c r="O2245" i="13"/>
  <c r="O2246" i="13"/>
  <c r="O2247" i="13"/>
  <c r="O2248" i="13"/>
  <c r="O2249" i="13"/>
  <c r="O2250" i="13"/>
  <c r="O2251" i="13"/>
  <c r="O2252" i="13"/>
  <c r="O2253" i="13"/>
  <c r="O2254" i="13"/>
  <c r="O2255" i="13"/>
  <c r="O2256" i="13"/>
  <c r="O2257" i="13"/>
  <c r="O2258" i="13"/>
  <c r="O2259" i="13"/>
  <c r="O2260" i="13"/>
  <c r="O2261" i="13"/>
  <c r="O2262" i="13"/>
  <c r="O2263" i="13"/>
  <c r="O2264" i="13"/>
  <c r="O2265" i="13"/>
  <c r="O2266" i="13"/>
  <c r="O2267" i="13"/>
  <c r="O2268" i="13"/>
  <c r="O2269" i="13"/>
  <c r="O2270" i="13"/>
  <c r="O2271" i="13"/>
  <c r="O2272" i="13"/>
  <c r="O2273" i="13"/>
  <c r="O2274" i="13"/>
  <c r="O2275" i="13"/>
  <c r="O2276" i="13"/>
  <c r="O2277" i="13"/>
  <c r="O2278" i="13"/>
  <c r="O2279" i="13"/>
  <c r="O2280" i="13"/>
  <c r="O2281" i="13"/>
  <c r="O2282" i="13"/>
  <c r="O2283" i="13"/>
  <c r="O2284" i="13"/>
  <c r="O2285" i="13"/>
  <c r="O2286" i="13"/>
  <c r="O2287" i="13"/>
  <c r="O2288" i="13"/>
  <c r="O2289" i="13"/>
  <c r="O2290" i="13"/>
  <c r="O2291" i="13"/>
  <c r="O2292" i="13"/>
  <c r="O2293" i="13"/>
  <c r="O2294" i="13"/>
  <c r="O2295" i="13"/>
  <c r="O2296" i="13"/>
  <c r="O2297" i="13"/>
  <c r="O2298" i="13"/>
  <c r="O2299" i="13"/>
  <c r="O2300" i="13"/>
  <c r="O2301" i="13"/>
  <c r="O2302" i="13"/>
  <c r="O2303" i="13"/>
  <c r="O2304" i="13"/>
  <c r="O2305" i="13"/>
  <c r="O2306" i="13"/>
  <c r="O2307" i="13"/>
  <c r="O2308" i="13"/>
  <c r="O2309" i="13"/>
  <c r="O2310" i="13"/>
  <c r="O2311" i="13"/>
  <c r="O2312" i="13"/>
  <c r="O2313" i="13"/>
  <c r="O2314" i="13"/>
  <c r="O2315" i="13"/>
  <c r="O2316" i="13"/>
  <c r="O2317" i="13"/>
  <c r="O2318" i="13"/>
  <c r="O2319" i="13"/>
  <c r="O2320" i="13"/>
  <c r="O2321" i="13"/>
  <c r="O2322" i="13"/>
  <c r="O2323" i="13"/>
  <c r="O2324" i="13"/>
  <c r="O2325" i="13"/>
  <c r="O2326" i="13"/>
  <c r="O2327" i="13"/>
  <c r="O2328" i="13"/>
  <c r="O2329" i="13"/>
  <c r="O2330" i="13"/>
  <c r="O2331" i="13"/>
  <c r="O2332" i="13"/>
  <c r="O2333" i="13"/>
  <c r="O2334" i="13"/>
  <c r="O2335" i="13"/>
  <c r="O2336" i="13"/>
  <c r="O2337" i="13"/>
  <c r="O2338" i="13"/>
  <c r="O2339" i="13"/>
  <c r="O2340" i="13"/>
  <c r="O2341" i="13"/>
  <c r="O2342" i="13"/>
  <c r="O2343" i="13"/>
  <c r="O2344" i="13"/>
  <c r="O2345" i="13"/>
  <c r="O2346" i="13"/>
  <c r="O2347" i="13"/>
  <c r="O2348" i="13"/>
  <c r="O2349" i="13"/>
  <c r="O2350" i="13"/>
  <c r="O2351" i="13"/>
  <c r="O2352" i="13"/>
  <c r="O2353" i="13"/>
  <c r="O2354" i="13"/>
  <c r="O2355" i="13"/>
  <c r="O2356" i="13"/>
  <c r="O2357" i="13"/>
  <c r="O2358" i="13"/>
  <c r="O2359" i="13"/>
  <c r="O2360" i="13"/>
  <c r="O2361" i="13"/>
  <c r="O2362" i="13"/>
  <c r="O2363" i="13"/>
  <c r="O2364" i="13"/>
  <c r="O2365" i="13"/>
  <c r="O2366" i="13"/>
  <c r="O2367" i="13"/>
  <c r="O2368" i="13"/>
  <c r="O2369" i="13"/>
  <c r="O2370" i="13"/>
  <c r="O2371" i="13"/>
  <c r="O2372" i="13"/>
  <c r="O2373" i="13"/>
  <c r="O2374" i="13"/>
  <c r="O2375" i="13"/>
  <c r="O2376" i="13"/>
  <c r="O2377" i="13"/>
  <c r="O2378" i="13"/>
  <c r="O2379" i="13"/>
  <c r="O2380" i="13"/>
  <c r="O2381" i="13"/>
  <c r="O2382" i="13"/>
  <c r="O2383" i="13"/>
  <c r="O2384" i="13"/>
  <c r="O2385" i="13"/>
  <c r="O2386" i="13"/>
  <c r="O2387" i="13"/>
  <c r="O2388" i="13"/>
  <c r="O2389" i="13"/>
  <c r="O2390" i="13"/>
  <c r="O2391" i="13"/>
  <c r="O2392" i="13"/>
  <c r="O2393" i="13"/>
  <c r="O2394" i="13"/>
  <c r="O2395" i="13"/>
  <c r="O2396" i="13"/>
  <c r="O2397" i="13"/>
  <c r="O2398" i="13"/>
  <c r="O2399" i="13"/>
  <c r="O2400" i="13"/>
  <c r="O2401" i="13"/>
  <c r="O2402" i="13"/>
  <c r="O2403" i="13"/>
  <c r="O2404" i="13"/>
  <c r="O2405" i="13"/>
  <c r="O2406" i="13"/>
  <c r="O2407" i="13"/>
  <c r="O2408" i="13"/>
  <c r="O2409" i="13"/>
  <c r="O2410" i="13"/>
  <c r="O2411" i="13"/>
  <c r="O2412" i="13"/>
  <c r="O2413" i="13"/>
  <c r="O2414" i="13"/>
  <c r="O2415" i="13"/>
  <c r="O2416" i="13"/>
  <c r="O2417" i="13"/>
  <c r="O2418" i="13"/>
  <c r="O2419" i="13"/>
  <c r="O2420" i="13"/>
  <c r="O2421" i="13"/>
  <c r="O2422" i="13"/>
  <c r="O2423" i="13"/>
  <c r="O2424" i="13"/>
  <c r="O2425" i="13"/>
  <c r="O2426" i="13"/>
  <c r="O2427" i="13"/>
  <c r="O2428" i="13"/>
  <c r="O2429" i="13"/>
  <c r="O2430" i="13"/>
  <c r="O2431" i="13"/>
  <c r="O2432" i="13"/>
  <c r="O2433" i="13"/>
  <c r="O2434" i="13"/>
  <c r="O2435" i="13"/>
  <c r="O2436" i="13"/>
  <c r="O2437" i="13"/>
  <c r="O2438" i="13"/>
  <c r="O2439" i="13"/>
  <c r="O2440" i="13"/>
  <c r="O2441" i="13"/>
  <c r="O2442" i="13"/>
  <c r="O2443" i="13"/>
  <c r="O2444" i="13"/>
  <c r="O2445" i="13"/>
  <c r="O2446" i="13"/>
  <c r="O2447" i="13"/>
  <c r="O2448" i="13"/>
  <c r="O2449" i="13"/>
  <c r="O2450" i="13"/>
  <c r="O2451" i="13"/>
  <c r="O2452" i="13"/>
  <c r="O2453" i="13"/>
  <c r="O2454" i="13"/>
  <c r="O2455" i="13"/>
  <c r="O2456" i="13"/>
  <c r="O2457" i="13"/>
  <c r="O2458" i="13"/>
  <c r="O2459" i="13"/>
  <c r="O2460" i="13"/>
  <c r="O2461" i="13"/>
  <c r="O2462" i="13"/>
  <c r="O2463" i="13"/>
  <c r="O2464" i="13"/>
  <c r="O2465" i="13"/>
  <c r="O2466" i="13"/>
  <c r="O2467" i="13"/>
  <c r="O2468" i="13"/>
  <c r="O2469" i="13"/>
  <c r="O2470" i="13"/>
  <c r="O2471" i="13"/>
  <c r="O2472" i="13"/>
  <c r="O2473" i="13"/>
  <c r="O2474" i="13"/>
  <c r="O2475" i="13"/>
  <c r="O2476" i="13"/>
  <c r="O2477" i="13"/>
  <c r="O2478" i="13"/>
  <c r="O2479" i="13"/>
  <c r="O2480" i="13"/>
  <c r="O2481" i="13"/>
  <c r="O2482" i="13"/>
  <c r="O2483" i="13"/>
  <c r="O2484" i="13"/>
  <c r="O2485" i="13"/>
  <c r="O2486" i="13"/>
  <c r="O2487" i="13"/>
  <c r="O2488" i="13"/>
  <c r="O2489" i="13"/>
  <c r="O2490" i="13"/>
  <c r="O2491" i="13"/>
  <c r="O2492" i="13"/>
  <c r="O2493" i="13"/>
  <c r="O2494" i="13"/>
  <c r="O2495" i="13"/>
  <c r="O2496" i="13"/>
  <c r="O2497" i="13"/>
  <c r="O2498" i="13"/>
  <c r="O2499" i="13"/>
  <c r="O2500" i="13"/>
  <c r="O2501" i="13"/>
  <c r="O2502" i="13"/>
  <c r="O2503" i="13"/>
  <c r="O2504" i="13"/>
  <c r="O2505" i="13"/>
  <c r="O2506" i="13"/>
  <c r="O2507" i="13"/>
  <c r="O2508" i="13"/>
  <c r="O2509" i="13"/>
  <c r="O2510" i="13"/>
  <c r="O2511" i="13"/>
  <c r="O2512" i="13"/>
  <c r="O2513" i="13"/>
  <c r="O2514" i="13"/>
  <c r="O2515" i="13"/>
  <c r="O2516" i="13"/>
  <c r="O2517" i="13"/>
  <c r="O2518" i="13"/>
  <c r="O2519" i="13"/>
  <c r="O2520" i="13"/>
  <c r="O2521" i="13"/>
  <c r="O2522" i="13"/>
  <c r="O2523" i="13"/>
  <c r="O2524" i="13"/>
  <c r="O2525" i="13"/>
  <c r="O2526" i="13"/>
  <c r="O2527" i="13"/>
  <c r="O2528" i="13"/>
  <c r="O2529" i="13"/>
  <c r="O2530" i="13"/>
  <c r="O2531" i="13"/>
  <c r="O2532" i="13"/>
  <c r="O2533" i="13"/>
  <c r="O2534" i="13"/>
  <c r="O2535" i="13"/>
  <c r="O2536" i="13"/>
  <c r="O2537" i="13"/>
  <c r="O2538" i="13"/>
  <c r="O2539" i="13"/>
  <c r="O2540" i="13"/>
  <c r="O2541" i="13"/>
  <c r="O2542" i="13"/>
  <c r="O2543" i="13"/>
  <c r="O2544" i="13"/>
  <c r="O2545" i="13"/>
  <c r="O2546" i="13"/>
  <c r="O2547" i="13"/>
  <c r="O2548" i="13"/>
  <c r="O2549" i="13"/>
  <c r="O2550" i="13"/>
  <c r="O2551" i="13"/>
  <c r="O2552" i="13"/>
  <c r="O2553" i="13"/>
  <c r="O2554" i="13"/>
  <c r="O2555" i="13"/>
  <c r="O2556" i="13"/>
  <c r="O2557" i="13"/>
  <c r="O2558" i="13"/>
  <c r="O2559" i="13"/>
  <c r="O2560" i="13"/>
  <c r="O2561" i="13"/>
  <c r="O2562" i="13"/>
  <c r="O2563" i="13"/>
  <c r="O2564" i="13"/>
  <c r="O2565" i="13"/>
  <c r="O2566" i="13"/>
  <c r="O2567" i="13"/>
  <c r="O2568" i="13"/>
  <c r="O2569" i="13"/>
  <c r="O2570" i="13"/>
  <c r="O2571" i="13"/>
  <c r="O2572" i="13"/>
  <c r="O2573" i="13"/>
  <c r="O2574" i="13"/>
  <c r="O2575" i="13"/>
  <c r="O2576" i="13"/>
  <c r="O2577" i="13"/>
  <c r="O2578" i="13"/>
  <c r="O2579" i="13"/>
  <c r="O2580" i="13"/>
  <c r="O2581" i="13"/>
  <c r="O2582" i="13"/>
  <c r="O2583" i="13"/>
  <c r="O2584" i="13"/>
  <c r="O2585" i="13"/>
  <c r="O2586" i="13"/>
  <c r="O2587" i="13"/>
  <c r="O2588" i="13"/>
  <c r="O2589" i="13"/>
  <c r="O2590" i="13"/>
  <c r="O2591" i="13"/>
  <c r="O2592" i="13"/>
  <c r="O2593" i="13"/>
  <c r="O2594" i="13"/>
  <c r="O2595" i="13"/>
  <c r="O2596" i="13"/>
  <c r="O2597" i="13"/>
  <c r="O2598" i="13"/>
  <c r="O2599" i="13"/>
  <c r="O2600" i="13"/>
  <c r="O2601" i="13"/>
  <c r="O2602" i="13"/>
  <c r="O2603" i="13"/>
  <c r="O2604" i="13"/>
  <c r="O2605" i="13"/>
  <c r="O2606" i="13"/>
  <c r="O2607" i="13"/>
  <c r="O2608" i="13"/>
  <c r="O2609" i="13"/>
  <c r="O2610" i="13"/>
  <c r="O2611" i="13"/>
  <c r="O2612" i="13"/>
  <c r="O2613" i="13"/>
  <c r="O2614" i="13"/>
  <c r="O2615" i="13"/>
  <c r="O2616" i="13"/>
  <c r="O2617" i="13"/>
  <c r="O2618" i="13"/>
  <c r="O2619" i="13"/>
  <c r="O2620" i="13"/>
  <c r="O2621" i="13"/>
  <c r="O2622" i="13"/>
  <c r="O2623" i="13"/>
  <c r="O2624" i="13"/>
  <c r="O2625" i="13"/>
  <c r="O2626" i="13"/>
  <c r="O2627" i="13"/>
  <c r="O2628" i="13"/>
  <c r="O2629" i="13"/>
  <c r="O2630" i="13"/>
  <c r="O2631" i="13"/>
  <c r="O2632" i="13"/>
  <c r="O2633" i="13"/>
  <c r="O2634" i="13"/>
  <c r="O2635" i="13"/>
  <c r="O2636" i="13"/>
  <c r="O2637" i="13"/>
  <c r="O2638" i="13"/>
  <c r="O2639" i="13"/>
  <c r="O2640" i="13"/>
  <c r="O2641" i="13"/>
  <c r="O2642" i="13"/>
  <c r="O2643" i="13"/>
  <c r="O2644" i="13"/>
  <c r="O2645" i="13"/>
  <c r="O2646" i="13"/>
  <c r="O2647" i="13"/>
  <c r="O2648" i="13"/>
  <c r="O2649" i="13"/>
  <c r="O2650" i="13"/>
  <c r="O2651" i="13"/>
  <c r="O2652" i="13"/>
  <c r="O2653" i="13"/>
  <c r="O2654" i="13"/>
  <c r="O2655" i="13"/>
  <c r="O2656" i="13"/>
  <c r="O2657" i="13"/>
  <c r="O2658" i="13"/>
  <c r="O2659" i="13"/>
  <c r="O2660" i="13"/>
  <c r="O2661" i="13"/>
  <c r="O2662" i="13"/>
  <c r="O2663" i="13"/>
  <c r="O2664" i="13"/>
  <c r="O2665" i="13"/>
  <c r="O2666" i="13"/>
  <c r="O2667" i="13"/>
  <c r="O2668" i="13"/>
  <c r="O2669" i="13"/>
  <c r="O2670" i="13"/>
  <c r="O2671" i="13"/>
  <c r="O2672" i="13"/>
  <c r="O2673" i="13"/>
  <c r="O2674" i="13"/>
  <c r="O2675" i="13"/>
  <c r="O2676" i="13"/>
  <c r="O2677" i="13"/>
  <c r="O2678" i="13"/>
  <c r="O2679" i="13"/>
  <c r="O2680" i="13"/>
  <c r="O2681" i="13"/>
  <c r="O2682" i="13"/>
  <c r="O2683" i="13"/>
  <c r="O2684" i="13"/>
  <c r="O2685" i="13"/>
  <c r="O2686" i="13"/>
  <c r="O2687" i="13"/>
  <c r="O2688" i="13"/>
  <c r="O2689" i="13"/>
  <c r="O2690" i="13"/>
  <c r="O2691" i="13"/>
  <c r="O2692" i="13"/>
  <c r="O2693" i="13"/>
  <c r="O2694" i="13"/>
  <c r="O2695" i="13"/>
  <c r="O2696" i="13"/>
  <c r="O2697" i="13"/>
  <c r="O2698" i="13"/>
  <c r="O2699" i="13"/>
  <c r="O2700" i="13"/>
  <c r="O2701" i="13"/>
  <c r="O2702" i="13"/>
  <c r="O2703" i="13"/>
  <c r="O2704" i="13"/>
  <c r="O2705" i="13"/>
  <c r="O2706" i="13"/>
  <c r="O2707" i="13"/>
  <c r="O2708" i="13"/>
  <c r="O2709" i="13"/>
  <c r="O2710" i="13"/>
  <c r="O2711" i="13"/>
  <c r="O2712" i="13"/>
  <c r="O2713" i="13"/>
  <c r="O2714" i="13"/>
  <c r="O2715" i="13"/>
  <c r="O2716" i="13"/>
  <c r="O2717" i="13"/>
  <c r="O2718" i="13"/>
  <c r="O2719" i="13"/>
  <c r="O2720" i="13"/>
  <c r="O2721" i="13"/>
  <c r="O2722" i="13"/>
  <c r="O2723" i="13"/>
  <c r="O2724" i="13"/>
  <c r="O2725" i="13"/>
  <c r="O2726" i="13"/>
  <c r="O2727" i="13"/>
  <c r="O2728" i="13"/>
  <c r="O2729" i="13"/>
  <c r="O2730" i="13"/>
  <c r="O2731" i="13"/>
  <c r="O2732" i="13"/>
  <c r="O2733" i="13"/>
  <c r="O2734" i="13"/>
  <c r="O2735" i="13"/>
  <c r="O2736" i="13"/>
  <c r="O2737" i="13"/>
  <c r="O2738" i="13"/>
  <c r="O2739" i="13"/>
  <c r="O2740" i="13"/>
  <c r="O2741" i="13"/>
  <c r="O2742" i="13"/>
  <c r="O2743" i="13"/>
  <c r="O2744" i="13"/>
  <c r="O2745" i="13"/>
  <c r="O2746" i="13"/>
  <c r="O2747" i="13"/>
  <c r="O2748" i="13"/>
  <c r="O2749" i="13"/>
  <c r="O2750" i="13"/>
  <c r="O2751" i="13"/>
  <c r="O2752" i="13"/>
  <c r="O2753" i="13"/>
  <c r="O2754" i="13"/>
  <c r="O2755" i="13"/>
  <c r="O2756" i="13"/>
  <c r="O2757" i="13"/>
  <c r="O2758" i="13"/>
  <c r="O2759" i="13"/>
  <c r="O2760" i="13"/>
  <c r="O2761" i="13"/>
  <c r="O2762" i="13"/>
  <c r="O2763" i="13"/>
  <c r="O2764" i="13"/>
  <c r="O2765" i="13"/>
  <c r="O2766" i="13"/>
  <c r="O2767" i="13"/>
  <c r="O2768" i="13"/>
  <c r="O2769" i="13"/>
  <c r="O2770" i="13"/>
  <c r="O2771" i="13"/>
  <c r="O2772" i="13"/>
  <c r="O2773" i="13"/>
  <c r="O2774" i="13"/>
  <c r="O2775" i="13"/>
  <c r="O2776" i="13"/>
  <c r="O2777" i="13"/>
  <c r="O2778" i="13"/>
  <c r="O2779" i="13"/>
  <c r="O2780" i="13"/>
  <c r="O2781" i="13"/>
  <c r="O2782" i="13"/>
  <c r="O2783" i="13"/>
  <c r="O2784" i="13"/>
  <c r="O2785" i="13"/>
  <c r="O2786" i="13"/>
  <c r="O2787" i="13"/>
  <c r="O2788" i="13"/>
  <c r="O2789" i="13"/>
  <c r="O2790" i="13"/>
  <c r="O2791" i="13"/>
  <c r="O2792" i="13"/>
  <c r="O2793" i="13"/>
  <c r="O2794" i="13"/>
  <c r="O2795" i="13"/>
  <c r="O2796" i="13"/>
  <c r="O2797" i="13"/>
  <c r="O2798" i="13"/>
  <c r="O2799" i="13"/>
  <c r="O2800" i="13"/>
  <c r="O2801" i="13"/>
  <c r="O2802" i="13"/>
  <c r="O2803" i="13"/>
  <c r="O2804" i="13"/>
  <c r="O2805" i="13"/>
  <c r="O2806" i="13"/>
  <c r="O2807" i="13"/>
  <c r="O2808" i="13"/>
  <c r="O2809" i="13"/>
  <c r="O2810" i="13"/>
  <c r="O2811" i="13"/>
  <c r="O2812" i="13"/>
  <c r="O2813" i="13"/>
  <c r="O2814" i="13"/>
  <c r="O2815" i="13"/>
  <c r="O2816" i="13"/>
  <c r="O2817" i="13"/>
  <c r="O2818" i="13"/>
  <c r="O2819" i="13"/>
  <c r="O2820" i="13"/>
  <c r="O2821" i="13"/>
  <c r="O2822" i="13"/>
  <c r="O2823" i="13"/>
  <c r="O2824" i="13"/>
  <c r="O2825" i="13"/>
  <c r="O2826" i="13"/>
  <c r="O2827" i="13"/>
  <c r="O2828" i="13"/>
  <c r="O2829" i="13"/>
  <c r="O2830" i="13"/>
  <c r="O2831" i="13"/>
  <c r="O2832" i="13"/>
  <c r="O2833" i="13"/>
  <c r="O2834" i="13"/>
  <c r="O2835" i="13"/>
  <c r="O2836" i="13"/>
  <c r="O2837" i="13"/>
  <c r="O2838" i="13"/>
  <c r="O2839" i="13"/>
  <c r="O2840" i="13"/>
  <c r="O2841" i="13"/>
  <c r="O2842" i="13"/>
  <c r="O2843" i="13"/>
  <c r="O2844" i="13"/>
  <c r="O2845" i="13"/>
  <c r="O2846" i="13"/>
  <c r="O2847" i="13"/>
  <c r="O2848" i="13"/>
  <c r="O2849" i="13"/>
  <c r="O2850" i="13"/>
  <c r="O2851" i="13"/>
  <c r="O2852" i="13"/>
  <c r="O2853" i="13"/>
  <c r="O2854" i="13"/>
  <c r="O2855" i="13"/>
  <c r="O2856" i="13"/>
  <c r="O2857" i="13"/>
  <c r="O2858" i="13"/>
  <c r="O2859" i="13"/>
  <c r="O2860" i="13"/>
  <c r="O2861" i="13"/>
  <c r="O2862" i="13"/>
  <c r="O2863" i="13"/>
  <c r="O2864" i="13"/>
  <c r="O2865" i="13"/>
  <c r="O2866" i="13"/>
  <c r="O2867" i="13"/>
  <c r="O2868" i="13"/>
  <c r="O2869" i="13"/>
  <c r="O2870" i="13"/>
  <c r="O2871" i="13"/>
  <c r="O2872" i="13"/>
  <c r="O2873" i="13"/>
  <c r="O2874" i="13"/>
  <c r="O2875" i="13"/>
  <c r="O2876" i="13"/>
  <c r="O2877" i="13"/>
  <c r="O2878" i="13"/>
  <c r="O2879" i="13"/>
  <c r="O2880" i="13"/>
  <c r="O2881" i="13"/>
  <c r="O2882" i="13"/>
  <c r="O2883" i="13"/>
  <c r="O2884" i="13"/>
  <c r="O2885" i="13"/>
  <c r="O2886" i="13"/>
  <c r="O2887" i="13"/>
  <c r="O2888" i="13"/>
  <c r="O2889" i="13"/>
  <c r="O2890" i="13"/>
  <c r="O2891" i="13"/>
  <c r="O2892" i="13"/>
  <c r="O2893" i="13"/>
  <c r="O2894" i="13"/>
  <c r="O2895" i="13"/>
  <c r="O2896" i="13"/>
  <c r="O2897" i="13"/>
  <c r="O2898" i="13"/>
  <c r="O2899" i="13"/>
  <c r="O2900" i="13"/>
  <c r="O2901" i="13"/>
  <c r="O2902" i="13"/>
  <c r="O2903" i="13"/>
  <c r="O2904" i="13"/>
  <c r="O2905" i="13"/>
  <c r="O2906" i="13"/>
  <c r="O2907" i="13"/>
  <c r="O2908" i="13"/>
  <c r="O2909" i="13"/>
  <c r="O2910" i="13"/>
  <c r="O2911" i="13"/>
  <c r="O2912" i="13"/>
  <c r="O2913" i="13"/>
  <c r="O2914" i="13"/>
  <c r="O2915" i="13"/>
  <c r="O2916" i="13"/>
  <c r="O2917" i="13"/>
  <c r="O2918" i="13"/>
  <c r="O2919" i="13"/>
  <c r="O2920" i="13"/>
  <c r="O2921" i="13"/>
  <c r="O2922" i="13"/>
  <c r="O2923" i="13"/>
  <c r="O2924" i="13"/>
  <c r="O2925" i="13"/>
  <c r="O2926" i="13"/>
  <c r="O2927" i="13"/>
  <c r="O2928" i="13"/>
  <c r="O2929" i="13"/>
  <c r="O2930" i="13"/>
  <c r="O2931" i="13"/>
  <c r="O2932" i="13"/>
  <c r="O2933" i="13"/>
  <c r="O2934" i="13"/>
  <c r="O2935" i="13"/>
  <c r="O2936" i="13"/>
  <c r="O2937" i="13"/>
  <c r="O2938" i="13"/>
  <c r="O2939" i="13"/>
  <c r="O2940" i="13"/>
  <c r="O2941" i="13"/>
  <c r="O2942" i="13"/>
  <c r="O2943" i="13"/>
  <c r="O2944" i="13"/>
  <c r="O2945" i="13"/>
  <c r="O2946" i="13"/>
  <c r="O2947" i="13"/>
  <c r="O2948" i="13"/>
  <c r="O2949" i="13"/>
  <c r="O2950" i="13"/>
  <c r="O2951" i="13"/>
  <c r="O2952" i="13"/>
  <c r="O2953" i="13"/>
  <c r="O2954" i="13"/>
  <c r="O2955" i="13"/>
  <c r="O2956" i="13"/>
  <c r="O2957" i="13"/>
  <c r="O2958" i="13"/>
  <c r="O2959" i="13"/>
  <c r="O2960" i="13"/>
  <c r="O2961" i="13"/>
  <c r="O2962" i="13"/>
  <c r="O2963" i="13"/>
  <c r="O2964" i="13"/>
  <c r="O2965" i="13"/>
  <c r="O2966" i="13"/>
  <c r="O2967" i="13"/>
  <c r="O2968" i="13"/>
  <c r="O2969" i="13"/>
  <c r="O2970" i="13"/>
  <c r="O2971" i="13"/>
  <c r="O2972" i="13"/>
  <c r="O2973" i="13"/>
  <c r="O2974" i="13"/>
  <c r="O2975" i="13"/>
  <c r="O2976" i="13"/>
  <c r="O2977" i="13"/>
  <c r="O2978" i="13"/>
  <c r="O2979" i="13"/>
  <c r="O2980" i="13"/>
  <c r="O2981" i="13"/>
  <c r="O2982" i="13"/>
  <c r="O2983" i="13"/>
  <c r="O2984" i="13"/>
  <c r="O2985" i="13"/>
  <c r="O2986" i="13"/>
  <c r="O2987" i="13"/>
  <c r="O2988" i="13"/>
  <c r="O2989" i="13"/>
  <c r="O2990" i="13"/>
  <c r="O2991" i="13"/>
  <c r="O2992" i="13"/>
  <c r="O2993" i="13"/>
  <c r="O2994" i="13"/>
  <c r="O2995" i="13"/>
  <c r="O2996" i="13"/>
  <c r="O2997" i="13"/>
  <c r="O2998" i="13"/>
  <c r="O2999" i="13"/>
  <c r="O3000" i="13"/>
  <c r="O3001" i="13"/>
  <c r="O3002" i="13"/>
  <c r="O3003" i="13"/>
  <c r="O3004" i="13"/>
  <c r="O3005" i="13"/>
  <c r="O3006" i="13"/>
  <c r="O3007" i="13"/>
  <c r="O3008" i="13"/>
  <c r="O3009" i="13"/>
  <c r="O3010" i="13"/>
  <c r="O3011" i="13"/>
  <c r="O3012" i="13"/>
  <c r="O3013" i="13"/>
  <c r="O3014" i="13"/>
  <c r="O3015" i="13"/>
  <c r="O3016" i="13"/>
  <c r="O3017" i="13"/>
  <c r="O3018" i="13"/>
  <c r="O3019" i="13"/>
  <c r="O3020" i="13"/>
  <c r="O3021" i="13"/>
  <c r="O3022" i="13"/>
  <c r="O3023" i="13"/>
  <c r="O3024" i="13"/>
  <c r="O3025" i="13"/>
  <c r="O3026" i="13"/>
  <c r="O3027" i="13"/>
  <c r="O3028" i="13"/>
  <c r="O3029" i="13"/>
  <c r="O3030" i="13"/>
  <c r="O3031" i="13"/>
  <c r="O3032" i="13"/>
  <c r="O3033" i="13"/>
  <c r="O3034" i="13"/>
  <c r="O3035" i="13"/>
  <c r="O3036" i="13"/>
  <c r="O3037" i="13"/>
  <c r="O3038" i="13"/>
  <c r="O3039" i="13"/>
  <c r="O3040" i="13"/>
  <c r="O3041" i="13"/>
  <c r="O3042" i="13"/>
  <c r="O3043" i="13"/>
  <c r="O3044" i="13"/>
  <c r="O3045" i="13"/>
  <c r="O3046" i="13"/>
  <c r="O3047" i="13"/>
  <c r="O3048" i="13"/>
  <c r="O3049" i="13"/>
  <c r="O3050" i="13"/>
  <c r="O3051" i="13"/>
  <c r="O3052" i="13"/>
  <c r="O3053" i="13"/>
  <c r="O3054" i="13"/>
  <c r="O3055" i="13"/>
  <c r="O3056" i="13"/>
  <c r="O3057" i="13"/>
  <c r="O3058" i="13"/>
  <c r="O3059" i="13"/>
  <c r="O3060" i="13"/>
  <c r="O3061" i="13"/>
  <c r="O3062" i="13"/>
  <c r="O3063" i="13"/>
  <c r="O3064" i="13"/>
  <c r="O3065" i="13"/>
  <c r="O3066" i="13"/>
  <c r="O3067" i="13"/>
  <c r="O3068" i="13"/>
  <c r="O3069" i="13"/>
  <c r="O3070" i="13"/>
  <c r="O3071" i="13"/>
  <c r="O3072" i="13"/>
  <c r="O3073" i="13"/>
  <c r="O3074" i="13"/>
  <c r="O3075" i="13"/>
  <c r="O3076" i="13"/>
  <c r="O3077" i="13"/>
  <c r="O3078" i="13"/>
  <c r="O3079" i="13"/>
  <c r="O3080" i="13"/>
  <c r="O3081" i="13"/>
  <c r="O3082" i="13"/>
  <c r="O3083" i="13"/>
  <c r="O3084" i="13"/>
  <c r="O3085" i="13"/>
  <c r="O3086" i="13"/>
  <c r="O3087" i="13"/>
  <c r="O3088" i="13"/>
  <c r="O3089" i="13"/>
  <c r="O3090" i="13"/>
  <c r="O3091" i="13"/>
  <c r="O3092" i="13"/>
  <c r="O3093" i="13"/>
  <c r="O3094" i="13"/>
  <c r="O3095" i="13"/>
  <c r="O3096" i="13"/>
  <c r="O3097" i="13"/>
  <c r="O3098" i="13"/>
  <c r="O3099" i="13"/>
  <c r="O3100" i="13"/>
  <c r="O3101" i="13"/>
  <c r="O3102" i="13"/>
  <c r="O3103" i="13"/>
  <c r="O3104" i="13"/>
  <c r="O3105" i="13"/>
  <c r="O3106" i="13"/>
  <c r="O3107" i="13"/>
  <c r="O3108" i="13"/>
  <c r="O3109" i="13"/>
  <c r="O3110" i="13"/>
  <c r="O3111" i="13"/>
  <c r="O3112" i="13"/>
  <c r="O3113" i="13"/>
  <c r="O3114" i="13"/>
  <c r="O3115" i="13"/>
  <c r="O3116" i="13"/>
  <c r="O3117" i="13"/>
  <c r="O3118" i="13"/>
  <c r="O3119" i="13"/>
  <c r="O3120" i="13"/>
  <c r="O3121" i="13"/>
  <c r="O3122" i="13"/>
  <c r="O3123" i="13"/>
  <c r="O3124" i="13"/>
  <c r="O3125" i="13"/>
  <c r="O3126" i="13"/>
  <c r="O3127" i="13"/>
  <c r="O3128" i="13"/>
  <c r="O3129" i="13"/>
  <c r="O3130" i="13"/>
  <c r="O3131" i="13"/>
  <c r="O3132" i="13"/>
  <c r="O3133" i="13"/>
  <c r="O3134" i="13"/>
  <c r="O3135" i="13"/>
  <c r="O3136" i="13"/>
  <c r="O3137" i="13"/>
  <c r="O3138" i="13"/>
  <c r="O3139" i="13"/>
  <c r="O3140" i="13"/>
  <c r="O3141" i="13"/>
  <c r="O3142" i="13"/>
  <c r="O3143" i="13"/>
  <c r="O3144" i="13"/>
  <c r="O3145" i="13"/>
  <c r="O3146" i="13"/>
  <c r="O3147" i="13"/>
  <c r="O3148" i="13"/>
  <c r="O3149" i="13"/>
  <c r="O3150" i="13"/>
  <c r="O3151" i="13"/>
  <c r="O3152" i="13"/>
  <c r="O3153" i="13"/>
  <c r="O3154" i="13"/>
  <c r="O3155" i="13"/>
  <c r="O3156" i="13"/>
  <c r="O3157" i="13"/>
  <c r="O3158" i="13"/>
  <c r="O3159" i="13"/>
  <c r="O3160" i="13"/>
  <c r="O3161" i="13"/>
  <c r="O3162" i="13"/>
  <c r="O3163" i="13"/>
  <c r="O3164" i="13"/>
  <c r="O3165" i="13"/>
  <c r="O3166" i="13"/>
  <c r="O3167" i="13"/>
  <c r="O3168" i="13"/>
  <c r="O3169" i="13"/>
  <c r="O3170" i="13"/>
  <c r="O3171" i="13"/>
  <c r="O3172" i="13"/>
  <c r="O3173" i="13"/>
  <c r="O3174" i="13"/>
  <c r="O3175" i="13"/>
  <c r="O3176" i="13"/>
  <c r="O3177" i="13"/>
  <c r="O3178" i="13"/>
  <c r="O3179" i="13"/>
  <c r="O3180" i="13"/>
  <c r="O3181" i="13"/>
  <c r="O3182" i="13"/>
  <c r="O3183" i="13"/>
  <c r="O3184" i="13"/>
  <c r="O3185" i="13"/>
  <c r="O3186" i="13"/>
  <c r="O3187" i="13"/>
  <c r="O3188" i="13"/>
  <c r="O3189" i="13"/>
  <c r="O3190" i="13"/>
  <c r="O3191" i="13"/>
  <c r="O3192" i="13"/>
  <c r="O3193" i="13"/>
  <c r="O3194" i="13"/>
  <c r="O3195" i="13"/>
  <c r="O3196" i="13"/>
  <c r="O3197" i="13"/>
  <c r="O3198" i="13"/>
  <c r="O3199" i="13"/>
  <c r="O3200" i="13"/>
  <c r="O3201" i="13"/>
  <c r="O3202" i="13"/>
  <c r="O3203" i="13"/>
  <c r="O3204" i="13"/>
  <c r="O3205" i="13"/>
  <c r="O3206" i="13"/>
  <c r="O3207" i="13"/>
  <c r="O3208" i="13"/>
  <c r="O3209" i="13"/>
  <c r="O3210" i="13"/>
  <c r="O3211" i="13"/>
  <c r="O3212" i="13"/>
  <c r="O3213" i="13"/>
  <c r="O3214" i="13"/>
  <c r="O3215" i="13"/>
  <c r="O3216" i="13"/>
  <c r="O3217" i="13"/>
  <c r="O3218" i="13"/>
  <c r="O3219" i="13"/>
  <c r="O3220" i="13"/>
  <c r="O3221" i="13"/>
  <c r="O3222" i="13"/>
  <c r="O3223" i="13"/>
  <c r="O3224" i="13"/>
  <c r="O3225" i="13"/>
  <c r="O3226" i="13"/>
  <c r="O3227" i="13"/>
  <c r="O3228" i="13"/>
  <c r="O3229" i="13"/>
  <c r="O3230" i="13"/>
  <c r="O3231" i="13"/>
  <c r="O3232" i="13"/>
  <c r="O3233" i="13"/>
  <c r="O3234" i="13"/>
  <c r="O3235" i="13"/>
  <c r="O3236" i="13"/>
  <c r="O3237" i="13"/>
  <c r="O3238" i="13"/>
  <c r="O3239" i="13"/>
  <c r="O3240" i="13"/>
  <c r="O3241" i="13"/>
  <c r="O3242" i="13"/>
  <c r="O3243" i="13"/>
  <c r="O3244" i="13"/>
  <c r="O3245" i="13"/>
  <c r="O3246" i="13"/>
  <c r="O3247" i="13"/>
  <c r="O3248" i="13"/>
  <c r="O3249" i="13"/>
  <c r="O3250" i="13"/>
  <c r="O3251" i="13"/>
  <c r="O3252" i="13"/>
  <c r="O3253" i="13"/>
  <c r="O3254" i="13"/>
  <c r="O3255" i="13"/>
  <c r="O3256" i="13"/>
  <c r="O3257" i="13"/>
  <c r="O3258" i="13"/>
  <c r="O3259" i="13"/>
  <c r="O3260" i="13"/>
  <c r="O3261" i="13"/>
  <c r="O3262" i="13"/>
  <c r="O3263" i="13"/>
  <c r="O3264" i="13"/>
  <c r="O3265" i="13"/>
  <c r="O3266" i="13"/>
  <c r="O3267" i="13"/>
  <c r="O3268" i="13"/>
  <c r="O3269" i="13"/>
  <c r="O3270" i="13"/>
  <c r="O3271" i="13"/>
  <c r="O3272" i="13"/>
  <c r="O3273" i="13"/>
  <c r="O3274" i="13"/>
  <c r="O3275" i="13"/>
  <c r="O3276" i="13"/>
  <c r="O3277" i="13"/>
  <c r="O3278" i="13"/>
  <c r="O3279" i="13"/>
  <c r="O3280" i="13"/>
  <c r="O3281" i="13"/>
  <c r="O3282" i="13"/>
  <c r="O3283" i="13"/>
  <c r="O3284" i="13"/>
  <c r="O3285" i="13"/>
  <c r="O3286" i="13"/>
  <c r="O3287" i="13"/>
  <c r="O3288" i="13"/>
  <c r="O3289" i="13"/>
  <c r="O3290" i="13"/>
  <c r="O3291" i="13"/>
  <c r="O3292" i="13"/>
  <c r="O3293" i="13"/>
  <c r="O3294" i="13"/>
  <c r="O3295" i="13"/>
  <c r="O3296" i="13"/>
  <c r="O3297" i="13"/>
  <c r="O3298" i="13"/>
  <c r="O3299" i="13"/>
  <c r="O3300" i="13"/>
  <c r="O3301" i="13"/>
  <c r="O3302" i="13"/>
  <c r="O3303" i="13"/>
  <c r="O3304" i="13"/>
  <c r="O3305" i="13"/>
  <c r="O3306" i="13"/>
  <c r="O3307" i="13"/>
  <c r="O3308" i="13"/>
  <c r="O3309" i="13"/>
  <c r="O3310" i="13"/>
  <c r="O3311" i="13"/>
  <c r="O3312" i="13"/>
  <c r="O3313" i="13"/>
  <c r="O3314" i="13"/>
  <c r="O3315" i="13"/>
  <c r="O3316" i="13"/>
  <c r="O3317" i="13"/>
  <c r="O3318" i="13"/>
  <c r="O3319" i="13"/>
  <c r="O3320" i="13"/>
  <c r="O3321" i="13"/>
  <c r="O3322" i="13"/>
  <c r="O3323" i="13"/>
  <c r="O3324" i="13"/>
  <c r="O3325" i="13"/>
  <c r="O3326" i="13"/>
  <c r="O3327" i="13"/>
  <c r="O3328" i="13"/>
  <c r="O3329" i="13"/>
  <c r="O3330" i="13"/>
  <c r="O3331" i="13"/>
  <c r="O3332" i="13"/>
  <c r="O3333" i="13"/>
  <c r="O3334" i="13"/>
  <c r="O3335" i="13"/>
  <c r="O3336" i="13"/>
  <c r="O3337" i="13"/>
  <c r="O3338" i="13"/>
  <c r="O3339" i="13"/>
  <c r="O3340" i="13"/>
  <c r="O3341" i="13"/>
  <c r="O3342" i="13"/>
  <c r="O3343" i="13"/>
  <c r="O3344" i="13"/>
  <c r="O3345" i="13"/>
  <c r="O3346" i="13"/>
  <c r="O3347" i="13"/>
  <c r="O3348" i="13"/>
  <c r="O3349" i="13"/>
  <c r="O3350" i="13"/>
  <c r="O3351" i="13"/>
  <c r="O3352" i="13"/>
  <c r="O3353" i="13"/>
  <c r="O3354" i="13"/>
  <c r="O3355" i="13"/>
  <c r="O3356" i="13"/>
  <c r="O3357" i="13"/>
  <c r="O3358" i="13"/>
  <c r="O3359" i="13"/>
  <c r="O3360" i="13"/>
  <c r="O3361" i="13"/>
  <c r="O3362" i="13"/>
  <c r="O3363" i="13"/>
  <c r="O3364" i="13"/>
  <c r="O3365" i="13"/>
  <c r="O3366" i="13"/>
  <c r="O3367" i="13"/>
  <c r="O3368" i="13"/>
  <c r="O3369" i="13"/>
  <c r="O3370" i="13"/>
  <c r="O3371" i="13"/>
  <c r="O3372" i="13"/>
  <c r="O3373" i="13"/>
  <c r="O3374" i="13"/>
  <c r="O3375" i="13"/>
  <c r="O3376" i="13"/>
  <c r="O3377" i="13"/>
  <c r="O3378" i="13"/>
  <c r="O3379" i="13"/>
  <c r="O3380" i="13"/>
  <c r="O3381" i="13"/>
  <c r="O3382" i="13"/>
  <c r="O3383" i="13"/>
  <c r="O3384" i="13"/>
  <c r="O3385" i="13"/>
  <c r="O3386" i="13"/>
  <c r="O3387" i="13"/>
  <c r="O3388" i="13"/>
  <c r="O3389" i="13"/>
  <c r="O3390" i="13"/>
  <c r="O3391" i="13"/>
  <c r="O3392" i="13"/>
  <c r="O3393" i="13"/>
  <c r="O3394" i="13"/>
  <c r="O3395" i="13"/>
  <c r="O3396" i="13"/>
  <c r="O3397" i="13"/>
  <c r="O3398" i="13"/>
  <c r="O3399" i="13"/>
  <c r="O3400" i="13"/>
  <c r="O3401" i="13"/>
  <c r="O3402" i="13"/>
  <c r="O3403" i="13"/>
  <c r="O3404" i="13"/>
  <c r="O3405" i="13"/>
  <c r="O3406" i="13"/>
  <c r="O3407" i="13"/>
  <c r="O3408" i="13"/>
  <c r="O3409" i="13"/>
  <c r="O3410" i="13"/>
  <c r="O3411" i="13"/>
  <c r="O3412" i="13"/>
  <c r="O3413" i="13"/>
  <c r="O3414" i="13"/>
  <c r="O3415" i="13"/>
  <c r="O3416" i="13"/>
  <c r="O3417" i="13"/>
  <c r="O3418" i="13"/>
  <c r="O3419" i="13"/>
  <c r="O3420" i="13"/>
  <c r="O3421" i="13"/>
  <c r="O3422" i="13"/>
  <c r="O3423" i="13"/>
  <c r="O3424" i="13"/>
  <c r="O3425" i="13"/>
  <c r="O3426" i="13"/>
  <c r="O3427" i="13"/>
  <c r="O3428" i="13"/>
  <c r="O3429" i="13"/>
  <c r="O3430" i="13"/>
  <c r="O3431" i="13"/>
  <c r="O3432" i="13"/>
  <c r="O3433" i="13"/>
  <c r="O3434" i="13"/>
  <c r="O3435" i="13"/>
  <c r="O3436" i="13"/>
  <c r="O3437" i="13"/>
  <c r="O3438" i="13"/>
  <c r="O3439" i="13"/>
  <c r="O3440" i="13"/>
  <c r="O3441" i="13"/>
  <c r="O3442" i="13"/>
  <c r="O3443" i="13"/>
  <c r="O3444" i="13"/>
  <c r="O3445" i="13"/>
  <c r="O3446" i="13"/>
  <c r="O3447" i="13"/>
  <c r="O3448" i="13"/>
  <c r="O3449" i="13"/>
  <c r="O3450" i="13"/>
  <c r="O3451" i="13"/>
  <c r="O3452" i="13"/>
  <c r="O3453" i="13"/>
  <c r="O3454" i="13"/>
  <c r="O3455" i="13"/>
  <c r="O3456" i="13"/>
  <c r="O3457" i="13"/>
  <c r="O3458" i="13"/>
  <c r="O3459" i="13"/>
  <c r="O3460" i="13"/>
  <c r="O3461" i="13"/>
  <c r="O3462" i="13"/>
  <c r="O3463" i="13"/>
  <c r="O3464" i="13"/>
  <c r="O3465" i="13"/>
  <c r="O3466" i="13"/>
  <c r="O3467" i="13"/>
  <c r="O3468" i="13"/>
  <c r="O3469" i="13"/>
  <c r="O3470" i="13"/>
  <c r="O3471" i="13"/>
  <c r="O3472" i="13"/>
  <c r="O3473" i="13"/>
  <c r="O3474" i="13"/>
  <c r="O3475" i="13"/>
  <c r="O3476" i="13"/>
  <c r="O3477" i="13"/>
  <c r="O2" i="13"/>
  <c r="P3477" i="13"/>
  <c r="P3476" i="13"/>
  <c r="P3475" i="13"/>
  <c r="P3474" i="13"/>
  <c r="P3473" i="13"/>
  <c r="P3472" i="13"/>
  <c r="P3471" i="13"/>
  <c r="P3470" i="13"/>
  <c r="P3469" i="13"/>
  <c r="P3468" i="13"/>
  <c r="P3467" i="13"/>
  <c r="P3466" i="13"/>
  <c r="P3465" i="13"/>
  <c r="P3464" i="13"/>
  <c r="P3463" i="13"/>
  <c r="P3462" i="13"/>
  <c r="P3461" i="13"/>
  <c r="P3460" i="13"/>
  <c r="P3459" i="13"/>
  <c r="P3458" i="13"/>
  <c r="P3457" i="13"/>
  <c r="P3456" i="13"/>
  <c r="P3455" i="13"/>
  <c r="P3454" i="13"/>
  <c r="P3453" i="13"/>
  <c r="P3452" i="13"/>
  <c r="P3451" i="13"/>
  <c r="P3450" i="13"/>
  <c r="P3449" i="13"/>
  <c r="P3448" i="13"/>
  <c r="P3447" i="13"/>
  <c r="P3446" i="13"/>
  <c r="P3445" i="13"/>
  <c r="P3444" i="13"/>
  <c r="P3443" i="13"/>
  <c r="P3442" i="13"/>
  <c r="P3441" i="13"/>
  <c r="P3440" i="13"/>
  <c r="P3439" i="13"/>
  <c r="P3438" i="13"/>
  <c r="P3437" i="13"/>
  <c r="P3436" i="13"/>
  <c r="P3435" i="13"/>
  <c r="P3434" i="13"/>
  <c r="P3433" i="13"/>
  <c r="P3432" i="13"/>
  <c r="P3431" i="13"/>
  <c r="P3430" i="13"/>
  <c r="P3429" i="13"/>
  <c r="P3428" i="13"/>
  <c r="P3427" i="13"/>
  <c r="P3426" i="13"/>
  <c r="P3425" i="13"/>
  <c r="P3424" i="13"/>
  <c r="P3423" i="13"/>
  <c r="P3422" i="13"/>
  <c r="P3421" i="13"/>
  <c r="P3420" i="13"/>
  <c r="P3419" i="13"/>
  <c r="P3418" i="13"/>
  <c r="P3417" i="13"/>
  <c r="P3416" i="13"/>
  <c r="P3415" i="13"/>
  <c r="P3414" i="13"/>
  <c r="P3413" i="13"/>
  <c r="P3412" i="13"/>
  <c r="P3411" i="13"/>
  <c r="P3410" i="13"/>
  <c r="P3409" i="13"/>
  <c r="P3408" i="13"/>
  <c r="P3407" i="13"/>
  <c r="P3406" i="13"/>
  <c r="P3405" i="13"/>
  <c r="P3404" i="13"/>
  <c r="P3403" i="13"/>
  <c r="P3402" i="13"/>
  <c r="P3401" i="13"/>
  <c r="P3400" i="13"/>
  <c r="P3399" i="13"/>
  <c r="P3398" i="13"/>
  <c r="P3397" i="13"/>
  <c r="P3396" i="13"/>
  <c r="P3395" i="13"/>
  <c r="P3394" i="13"/>
  <c r="P3393" i="13"/>
  <c r="P3392" i="13"/>
  <c r="P3391" i="13"/>
  <c r="P3390" i="13"/>
  <c r="P3389" i="13"/>
  <c r="P3388" i="13"/>
  <c r="P3387" i="13"/>
  <c r="P3386" i="13"/>
  <c r="P3385" i="13"/>
  <c r="P3384" i="13"/>
  <c r="P3383" i="13"/>
  <c r="P3382" i="13"/>
  <c r="P3381" i="13"/>
  <c r="P3380" i="13"/>
  <c r="P3379" i="13"/>
  <c r="P3378" i="13"/>
  <c r="P3377" i="13"/>
  <c r="P3376" i="13"/>
  <c r="P3375" i="13"/>
  <c r="P3374" i="13"/>
  <c r="P3373" i="13"/>
  <c r="P3372" i="13"/>
  <c r="P3371" i="13"/>
  <c r="P3370" i="13"/>
  <c r="P3369" i="13"/>
  <c r="P3368" i="13"/>
  <c r="P3367" i="13"/>
  <c r="P3366" i="13"/>
  <c r="P3365" i="13"/>
  <c r="P3364" i="13"/>
  <c r="P3363" i="13"/>
  <c r="P3362" i="13"/>
  <c r="P3361" i="13"/>
  <c r="P3360" i="13"/>
  <c r="P3359" i="13"/>
  <c r="P3358" i="13"/>
  <c r="P3357" i="13"/>
  <c r="P3356" i="13"/>
  <c r="P3355" i="13"/>
  <c r="P3354" i="13"/>
  <c r="P3353" i="13"/>
  <c r="P3352" i="13"/>
  <c r="P3351" i="13"/>
  <c r="P3350" i="13"/>
  <c r="P3349" i="13"/>
  <c r="P3348" i="13"/>
  <c r="P3347" i="13"/>
  <c r="P3346" i="13"/>
  <c r="P3345" i="13"/>
  <c r="P3344" i="13"/>
  <c r="P3343" i="13"/>
  <c r="P3342" i="13"/>
  <c r="P3341" i="13"/>
  <c r="P3340" i="13"/>
  <c r="P3339" i="13"/>
  <c r="P3338" i="13"/>
  <c r="P3337" i="13"/>
  <c r="P3336" i="13"/>
  <c r="P3335" i="13"/>
  <c r="P3334" i="13"/>
  <c r="P3333" i="13"/>
  <c r="P3332" i="13"/>
  <c r="P3331" i="13"/>
  <c r="P3330" i="13"/>
  <c r="P3329" i="13"/>
  <c r="P3328" i="13"/>
  <c r="P3327" i="13"/>
  <c r="P3326" i="13"/>
  <c r="P3325" i="13"/>
  <c r="P3324" i="13"/>
  <c r="P3323" i="13"/>
  <c r="P3322" i="13"/>
  <c r="P3321" i="13"/>
  <c r="P3320" i="13"/>
  <c r="P3319" i="13"/>
  <c r="P3318" i="13"/>
  <c r="P3317" i="13"/>
  <c r="P3316" i="13"/>
  <c r="P3315" i="13"/>
  <c r="P3314" i="13"/>
  <c r="P3313" i="13"/>
  <c r="P3312" i="13"/>
  <c r="P3311" i="13"/>
  <c r="P3310" i="13"/>
  <c r="P3309" i="13"/>
  <c r="P3308" i="13"/>
  <c r="P3307" i="13"/>
  <c r="P3306" i="13"/>
  <c r="P3305" i="13"/>
  <c r="P3304" i="13"/>
  <c r="P3303" i="13"/>
  <c r="P3302" i="13"/>
  <c r="P3301" i="13"/>
  <c r="P3300" i="13"/>
  <c r="P3299" i="13"/>
  <c r="P3298" i="13"/>
  <c r="P3297" i="13"/>
  <c r="P3296" i="13"/>
  <c r="P3295" i="13"/>
  <c r="P3294" i="13"/>
  <c r="P3293" i="13"/>
  <c r="P3292" i="13"/>
  <c r="P3291" i="13"/>
  <c r="P3290" i="13"/>
  <c r="P3289" i="13"/>
  <c r="P3288" i="13"/>
  <c r="N1" i="9"/>
  <c r="H5" i="36" s="1"/>
  <c r="F13" i="6"/>
  <c r="G13" i="6"/>
  <c r="F34" i="6"/>
  <c r="I34" i="6"/>
  <c r="L27" i="37" l="1"/>
  <c r="H5" i="37"/>
  <c r="H5" i="35"/>
  <c r="H5" i="38"/>
  <c r="L27" i="36"/>
  <c r="L27" i="38"/>
  <c r="C11" i="38"/>
  <c r="D14" i="38"/>
  <c r="N13" i="38"/>
  <c r="D18" i="38"/>
  <c r="C19" i="38"/>
  <c r="N7" i="38"/>
  <c r="N19" i="38"/>
  <c r="D8" i="38"/>
  <c r="D20" i="38"/>
  <c r="C9" i="38"/>
  <c r="C21" i="38"/>
  <c r="N9" i="38"/>
  <c r="D10" i="38"/>
  <c r="N23" i="38"/>
  <c r="C15" i="38"/>
  <c r="D24" i="38"/>
  <c r="C25" i="38"/>
  <c r="N15" i="38"/>
  <c r="L25" i="38"/>
  <c r="D16" i="38"/>
  <c r="C26" i="38"/>
  <c r="C17" i="38"/>
  <c r="N21" i="38"/>
  <c r="L26" i="38"/>
  <c r="N11" i="38"/>
  <c r="D22" i="38"/>
  <c r="C27" i="38"/>
  <c r="D12" i="38"/>
  <c r="C23" i="38"/>
  <c r="C7" i="38"/>
  <c r="C13" i="38"/>
  <c r="N17" i="38"/>
  <c r="D14" i="37"/>
  <c r="D20" i="36"/>
  <c r="C15" i="37"/>
  <c r="N19" i="36"/>
  <c r="C21" i="36"/>
  <c r="D18" i="37"/>
  <c r="N7" i="36"/>
  <c r="D8" i="36"/>
  <c r="C19" i="37"/>
  <c r="C9" i="36"/>
  <c r="N19" i="37"/>
  <c r="N9" i="36"/>
  <c r="D20" i="37"/>
  <c r="C15" i="36"/>
  <c r="N7" i="37"/>
  <c r="D8" i="37"/>
  <c r="N23" i="37"/>
  <c r="C9" i="37"/>
  <c r="D24" i="37"/>
  <c r="C19" i="36"/>
  <c r="N13" i="37"/>
  <c r="C25" i="37"/>
  <c r="D10" i="36"/>
  <c r="N23" i="36"/>
  <c r="N9" i="37"/>
  <c r="C21" i="37"/>
  <c r="L25" i="37"/>
  <c r="N13" i="36"/>
  <c r="D24" i="36"/>
  <c r="D10" i="37"/>
  <c r="N15" i="37"/>
  <c r="C26" i="37"/>
  <c r="D14" i="36"/>
  <c r="C25" i="36"/>
  <c r="C11" i="37"/>
  <c r="D16" i="37"/>
  <c r="C17" i="37"/>
  <c r="N21" i="37"/>
  <c r="L26" i="37"/>
  <c r="N11" i="37"/>
  <c r="D22" i="37"/>
  <c r="C27" i="37"/>
  <c r="D12" i="37"/>
  <c r="C23" i="37"/>
  <c r="D18" i="36"/>
  <c r="C7" i="37"/>
  <c r="C13" i="37"/>
  <c r="N17" i="37"/>
  <c r="L25" i="36"/>
  <c r="N15" i="36"/>
  <c r="C26" i="36"/>
  <c r="C11" i="36"/>
  <c r="D16" i="36"/>
  <c r="C17" i="36"/>
  <c r="N21" i="36"/>
  <c r="L26" i="36"/>
  <c r="N11" i="36"/>
  <c r="D22" i="36"/>
  <c r="C27" i="36"/>
  <c r="D12" i="36"/>
  <c r="C23" i="36"/>
  <c r="C7" i="36"/>
  <c r="C13" i="36"/>
  <c r="N17" i="36"/>
  <c r="N21" i="35"/>
  <c r="D18" i="35"/>
  <c r="N7" i="35"/>
  <c r="N13" i="35"/>
  <c r="C19" i="35"/>
  <c r="N23" i="35"/>
  <c r="D8" i="35"/>
  <c r="D14" i="35"/>
  <c r="D24" i="35"/>
  <c r="C9" i="35"/>
  <c r="C15" i="35"/>
  <c r="N19" i="35"/>
  <c r="C25" i="35"/>
  <c r="N9" i="35"/>
  <c r="C21" i="35"/>
  <c r="L25" i="35"/>
  <c r="D10" i="35"/>
  <c r="N15" i="35"/>
  <c r="C26" i="35"/>
  <c r="D20" i="35"/>
  <c r="C11" i="35"/>
  <c r="D16" i="35"/>
  <c r="L26" i="35"/>
  <c r="N11" i="35"/>
  <c r="C27" i="35"/>
  <c r="C17" i="35"/>
  <c r="D22" i="35"/>
  <c r="D12" i="35"/>
  <c r="C23" i="35"/>
  <c r="C7" i="35"/>
  <c r="C13" i="35"/>
  <c r="N17" i="35"/>
  <c r="F17" i="11"/>
  <c r="H5" i="19"/>
  <c r="H5" i="25"/>
  <c r="H5" i="22"/>
  <c r="H5" i="31"/>
  <c r="H5" i="24"/>
  <c r="H5" i="23"/>
  <c r="H5" i="18"/>
  <c r="H5" i="17"/>
  <c r="H5" i="30"/>
  <c r="H5" i="29"/>
  <c r="H5" i="28"/>
  <c r="H5" i="27"/>
  <c r="E232" i="16"/>
  <c r="A70" i="16"/>
  <c r="D70" i="16" s="1"/>
  <c r="A71" i="16"/>
  <c r="D71" i="16" s="1"/>
  <c r="R31" i="13" l="1"/>
  <c r="R37" i="13" s="1"/>
  <c r="R43" i="13" s="1"/>
  <c r="R49" i="13" s="1"/>
  <c r="R55" i="13" s="1"/>
  <c r="R61" i="13" s="1"/>
  <c r="R67" i="13" s="1"/>
  <c r="R73" i="13" s="1"/>
  <c r="R79" i="13" s="1"/>
  <c r="R85" i="13" s="1"/>
  <c r="R91" i="13" s="1"/>
  <c r="R97" i="13" s="1"/>
  <c r="R103" i="13" s="1"/>
  <c r="R109" i="13" s="1"/>
  <c r="R115" i="13" s="1"/>
  <c r="R30" i="13"/>
  <c r="R36" i="13" s="1"/>
  <c r="R29" i="13"/>
  <c r="R35" i="13" s="1"/>
  <c r="R28" i="13"/>
  <c r="R34" i="13" s="1"/>
  <c r="R40" i="13" s="1"/>
  <c r="R46" i="13" s="1"/>
  <c r="R52" i="13" s="1"/>
  <c r="R58" i="13" s="1"/>
  <c r="R64" i="13" s="1"/>
  <c r="R70" i="13" s="1"/>
  <c r="R76" i="13" s="1"/>
  <c r="R82" i="13" s="1"/>
  <c r="R88" i="13" s="1"/>
  <c r="R94" i="13" s="1"/>
  <c r="R100" i="13" s="1"/>
  <c r="R106" i="13" s="1"/>
  <c r="R112" i="13" s="1"/>
  <c r="R27" i="13"/>
  <c r="R33" i="13" s="1"/>
  <c r="R39" i="13" s="1"/>
  <c r="R45" i="13" s="1"/>
  <c r="R51" i="13" s="1"/>
  <c r="R57" i="13" s="1"/>
  <c r="R63" i="13" s="1"/>
  <c r="R69" i="13" s="1"/>
  <c r="R75" i="13" s="1"/>
  <c r="R81" i="13" s="1"/>
  <c r="R87" i="13" s="1"/>
  <c r="R93" i="13" s="1"/>
  <c r="R99" i="13" s="1"/>
  <c r="R105" i="13" s="1"/>
  <c r="R111" i="13" s="1"/>
  <c r="R26" i="13"/>
  <c r="R32" i="13" s="1"/>
  <c r="R38" i="13" s="1"/>
  <c r="R44" i="13" s="1"/>
  <c r="R50" i="13" s="1"/>
  <c r="R56" i="13" s="1"/>
  <c r="R62" i="13" s="1"/>
  <c r="R68" i="13" s="1"/>
  <c r="R74" i="13" s="1"/>
  <c r="R80" i="13" s="1"/>
  <c r="R86" i="13" s="1"/>
  <c r="R92" i="13" s="1"/>
  <c r="R98" i="13" s="1"/>
  <c r="R104" i="13" s="1"/>
  <c r="R110" i="13" s="1"/>
  <c r="T25" i="13"/>
  <c r="X25" i="13" s="1"/>
  <c r="T24" i="13"/>
  <c r="X24" i="13" s="1"/>
  <c r="T23" i="13"/>
  <c r="X23" i="13" s="1"/>
  <c r="T22" i="13"/>
  <c r="X22" i="13" s="1"/>
  <c r="T21" i="13"/>
  <c r="X21" i="13" s="1"/>
  <c r="T20" i="13"/>
  <c r="X20" i="13" s="1"/>
  <c r="L1" i="31"/>
  <c r="I17" i="31"/>
  <c r="I23" i="31" s="1"/>
  <c r="I15" i="31"/>
  <c r="I21" i="31" s="1"/>
  <c r="A1" i="31"/>
  <c r="I17" i="30"/>
  <c r="I23" i="30" s="1"/>
  <c r="I15" i="30"/>
  <c r="I21" i="30" s="1"/>
  <c r="A1" i="30"/>
  <c r="I17" i="29"/>
  <c r="I23" i="29" s="1"/>
  <c r="I15" i="29"/>
  <c r="I21" i="29" s="1"/>
  <c r="A1" i="29"/>
  <c r="I17" i="28"/>
  <c r="I23" i="28" s="1"/>
  <c r="I15" i="28"/>
  <c r="I21" i="28" s="1"/>
  <c r="A1" i="28"/>
  <c r="I17" i="27"/>
  <c r="I23" i="27" s="1"/>
  <c r="I15" i="27"/>
  <c r="I21" i="27" s="1"/>
  <c r="A1" i="27"/>
  <c r="I17" i="25"/>
  <c r="I23" i="25" s="1"/>
  <c r="I15" i="25"/>
  <c r="I21" i="25" s="1"/>
  <c r="A1" i="25"/>
  <c r="I17" i="24"/>
  <c r="I23" i="24" s="1"/>
  <c r="I15" i="24"/>
  <c r="I21" i="24" s="1"/>
  <c r="A1" i="24"/>
  <c r="I17" i="23"/>
  <c r="I23" i="23" s="1"/>
  <c r="I15" i="23"/>
  <c r="I21" i="23" s="1"/>
  <c r="A1" i="23"/>
  <c r="I17" i="22"/>
  <c r="I23" i="22" s="1"/>
  <c r="I15" i="22"/>
  <c r="I21" i="22" s="1"/>
  <c r="A1" i="22"/>
  <c r="I17" i="19"/>
  <c r="I23" i="19" s="1"/>
  <c r="I15" i="19"/>
  <c r="I21" i="19" s="1"/>
  <c r="A1" i="19"/>
  <c r="I17" i="18"/>
  <c r="I23" i="18" s="1"/>
  <c r="I15" i="18"/>
  <c r="I21" i="18" s="1"/>
  <c r="A1" i="18"/>
  <c r="I17" i="17"/>
  <c r="I23" i="17" s="1"/>
  <c r="I15" i="17"/>
  <c r="I21" i="17" s="1"/>
  <c r="A1" i="17"/>
  <c r="E56" i="16"/>
  <c r="E57" i="16" s="1"/>
  <c r="E58" i="16"/>
  <c r="E59" i="16"/>
  <c r="E60" i="16"/>
  <c r="E61" i="16"/>
  <c r="E62" i="16" s="1"/>
  <c r="E63" i="16" s="1"/>
  <c r="E64" i="16" s="1"/>
  <c r="E65" i="16" s="1"/>
  <c r="E66" i="16" s="1"/>
  <c r="E67" i="16" s="1"/>
  <c r="E68" i="16" s="1"/>
  <c r="E69" i="16" s="1"/>
  <c r="E155" i="16"/>
  <c r="E156" i="16" s="1"/>
  <c r="E157" i="16" s="1"/>
  <c r="E158" i="16" s="1"/>
  <c r="E159" i="16" s="1"/>
  <c r="E160" i="16" s="1"/>
  <c r="E161" i="16" s="1"/>
  <c r="E162" i="16" s="1"/>
  <c r="E163" i="16" s="1"/>
  <c r="E164" i="16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" i="16"/>
  <c r="E3" i="16" s="1"/>
  <c r="E4" i="16" s="1"/>
  <c r="E5" i="16" s="1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A3" i="16"/>
  <c r="D3" i="16" s="1"/>
  <c r="A4" i="16"/>
  <c r="D4" i="16" s="1"/>
  <c r="A5" i="16"/>
  <c r="D5" i="16" s="1"/>
  <c r="A6" i="16"/>
  <c r="D6" i="16" s="1"/>
  <c r="A7" i="16"/>
  <c r="D7" i="16" s="1"/>
  <c r="A8" i="16"/>
  <c r="D8" i="16" s="1"/>
  <c r="A9" i="16"/>
  <c r="D9" i="16" s="1"/>
  <c r="A10" i="16"/>
  <c r="D10" i="16" s="1"/>
  <c r="A11" i="16"/>
  <c r="D11" i="16" s="1"/>
  <c r="A12" i="16"/>
  <c r="D12" i="16" s="1"/>
  <c r="A13" i="16"/>
  <c r="D13" i="16" s="1"/>
  <c r="A14" i="16"/>
  <c r="D14" i="16" s="1"/>
  <c r="A15" i="16"/>
  <c r="D15" i="16" s="1"/>
  <c r="A16" i="16"/>
  <c r="D16" i="16" s="1"/>
  <c r="A17" i="16"/>
  <c r="D17" i="16" s="1"/>
  <c r="A18" i="16"/>
  <c r="D18" i="16" s="1"/>
  <c r="A19" i="16"/>
  <c r="D19" i="16" s="1"/>
  <c r="A20" i="16"/>
  <c r="D20" i="16" s="1"/>
  <c r="A21" i="16"/>
  <c r="D21" i="16" s="1"/>
  <c r="A22" i="16"/>
  <c r="D22" i="16" s="1"/>
  <c r="A23" i="16"/>
  <c r="D23" i="16" s="1"/>
  <c r="A24" i="16"/>
  <c r="D24" i="16" s="1"/>
  <c r="A25" i="16"/>
  <c r="D25" i="16" s="1"/>
  <c r="A26" i="16"/>
  <c r="D26" i="16" s="1"/>
  <c r="A27" i="16"/>
  <c r="D27" i="16" s="1"/>
  <c r="A28" i="16"/>
  <c r="D28" i="16" s="1"/>
  <c r="A29" i="16"/>
  <c r="D29" i="16" s="1"/>
  <c r="A30" i="16"/>
  <c r="D30" i="16" s="1"/>
  <c r="A31" i="16"/>
  <c r="D31" i="16" s="1"/>
  <c r="A32" i="16"/>
  <c r="D32" i="16" s="1"/>
  <c r="A33" i="16"/>
  <c r="D33" i="16" s="1"/>
  <c r="A34" i="16"/>
  <c r="D34" i="16" s="1"/>
  <c r="A35" i="16"/>
  <c r="D35" i="16" s="1"/>
  <c r="A36" i="16"/>
  <c r="D36" i="16" s="1"/>
  <c r="A37" i="16"/>
  <c r="D37" i="16" s="1"/>
  <c r="A38" i="16"/>
  <c r="D38" i="16" s="1"/>
  <c r="A39" i="16"/>
  <c r="D39" i="16" s="1"/>
  <c r="A40" i="16"/>
  <c r="D40" i="16" s="1"/>
  <c r="A41" i="16"/>
  <c r="D41" i="16" s="1"/>
  <c r="A42" i="16"/>
  <c r="D42" i="16" s="1"/>
  <c r="A43" i="16"/>
  <c r="D43" i="16" s="1"/>
  <c r="A44" i="16"/>
  <c r="D44" i="16" s="1"/>
  <c r="A45" i="16"/>
  <c r="D45" i="16" s="1"/>
  <c r="A46" i="16"/>
  <c r="D46" i="16" s="1"/>
  <c r="A47" i="16"/>
  <c r="D47" i="16" s="1"/>
  <c r="A48" i="16"/>
  <c r="D48" i="16" s="1"/>
  <c r="A49" i="16"/>
  <c r="D49" i="16" s="1"/>
  <c r="A50" i="16"/>
  <c r="D50" i="16" s="1"/>
  <c r="A51" i="16"/>
  <c r="D51" i="16" s="1"/>
  <c r="A52" i="16"/>
  <c r="D52" i="16" s="1"/>
  <c r="A53" i="16"/>
  <c r="D53" i="16" s="1"/>
  <c r="A54" i="16"/>
  <c r="D54" i="16" s="1"/>
  <c r="A55" i="16"/>
  <c r="D55" i="16" s="1"/>
  <c r="A56" i="16"/>
  <c r="D56" i="16" s="1"/>
  <c r="A57" i="16"/>
  <c r="D57" i="16" s="1"/>
  <c r="A58" i="16"/>
  <c r="D58" i="16" s="1"/>
  <c r="A59" i="16"/>
  <c r="D59" i="16" s="1"/>
  <c r="A60" i="16"/>
  <c r="D60" i="16" s="1"/>
  <c r="A61" i="16"/>
  <c r="D61" i="16" s="1"/>
  <c r="A62" i="16"/>
  <c r="D62" i="16" s="1"/>
  <c r="A63" i="16"/>
  <c r="D63" i="16" s="1"/>
  <c r="A64" i="16"/>
  <c r="D64" i="16" s="1"/>
  <c r="A65" i="16"/>
  <c r="D65" i="16" s="1"/>
  <c r="A66" i="16"/>
  <c r="D66" i="16" s="1"/>
  <c r="A67" i="16"/>
  <c r="D67" i="16" s="1"/>
  <c r="A68" i="16"/>
  <c r="D68" i="16" s="1"/>
  <c r="A69" i="16"/>
  <c r="D69" i="16" s="1"/>
  <c r="A72" i="16"/>
  <c r="D72" i="16" s="1"/>
  <c r="A73" i="16"/>
  <c r="D73" i="16" s="1"/>
  <c r="A74" i="16"/>
  <c r="D74" i="16" s="1"/>
  <c r="A75" i="16"/>
  <c r="D75" i="16" s="1"/>
  <c r="A76" i="16"/>
  <c r="D76" i="16" s="1"/>
  <c r="A77" i="16"/>
  <c r="D77" i="16" s="1"/>
  <c r="A78" i="16"/>
  <c r="D78" i="16" s="1"/>
  <c r="A79" i="16"/>
  <c r="D79" i="16" s="1"/>
  <c r="A80" i="16"/>
  <c r="D80" i="16" s="1"/>
  <c r="A81" i="16"/>
  <c r="D81" i="16" s="1"/>
  <c r="A82" i="16"/>
  <c r="D82" i="16" s="1"/>
  <c r="A83" i="16"/>
  <c r="D83" i="16" s="1"/>
  <c r="A84" i="16"/>
  <c r="D84" i="16" s="1"/>
  <c r="A85" i="16"/>
  <c r="D85" i="16" s="1"/>
  <c r="A86" i="16"/>
  <c r="D86" i="16" s="1"/>
  <c r="A87" i="16"/>
  <c r="D87" i="16" s="1"/>
  <c r="A88" i="16"/>
  <c r="D88" i="16" s="1"/>
  <c r="A89" i="16"/>
  <c r="D89" i="16" s="1"/>
  <c r="A90" i="16"/>
  <c r="D90" i="16" s="1"/>
  <c r="A91" i="16"/>
  <c r="D91" i="16" s="1"/>
  <c r="A92" i="16"/>
  <c r="D92" i="16" s="1"/>
  <c r="A93" i="16"/>
  <c r="D93" i="16" s="1"/>
  <c r="A94" i="16"/>
  <c r="D94" i="16" s="1"/>
  <c r="A95" i="16"/>
  <c r="D95" i="16" s="1"/>
  <c r="A96" i="16"/>
  <c r="D96" i="16" s="1"/>
  <c r="A97" i="16"/>
  <c r="D97" i="16" s="1"/>
  <c r="A98" i="16"/>
  <c r="D98" i="16" s="1"/>
  <c r="A99" i="16"/>
  <c r="D99" i="16" s="1"/>
  <c r="A100" i="16"/>
  <c r="D100" i="16" s="1"/>
  <c r="A101" i="16"/>
  <c r="D101" i="16" s="1"/>
  <c r="A102" i="16"/>
  <c r="D102" i="16" s="1"/>
  <c r="A103" i="16"/>
  <c r="D103" i="16" s="1"/>
  <c r="A104" i="16"/>
  <c r="D104" i="16" s="1"/>
  <c r="A105" i="16"/>
  <c r="D105" i="16" s="1"/>
  <c r="A106" i="16"/>
  <c r="D106" i="16" s="1"/>
  <c r="A107" i="16"/>
  <c r="D107" i="16" s="1"/>
  <c r="A108" i="16"/>
  <c r="D108" i="16" s="1"/>
  <c r="A109" i="16"/>
  <c r="D109" i="16" s="1"/>
  <c r="A110" i="16"/>
  <c r="D110" i="16" s="1"/>
  <c r="A111" i="16"/>
  <c r="D111" i="16" s="1"/>
  <c r="A112" i="16"/>
  <c r="D112" i="16" s="1"/>
  <c r="A113" i="16"/>
  <c r="D113" i="16" s="1"/>
  <c r="A114" i="16"/>
  <c r="D114" i="16" s="1"/>
  <c r="A115" i="16"/>
  <c r="D115" i="16" s="1"/>
  <c r="A116" i="16"/>
  <c r="D116" i="16" s="1"/>
  <c r="A117" i="16"/>
  <c r="D117" i="16" s="1"/>
  <c r="A118" i="16"/>
  <c r="D118" i="16" s="1"/>
  <c r="A119" i="16"/>
  <c r="D119" i="16" s="1"/>
  <c r="A120" i="16"/>
  <c r="D120" i="16" s="1"/>
  <c r="A121" i="16"/>
  <c r="D121" i="16" s="1"/>
  <c r="A122" i="16"/>
  <c r="D122" i="16" s="1"/>
  <c r="A123" i="16"/>
  <c r="D123" i="16" s="1"/>
  <c r="A124" i="16"/>
  <c r="D124" i="16" s="1"/>
  <c r="A125" i="16"/>
  <c r="D125" i="16" s="1"/>
  <c r="A126" i="16"/>
  <c r="D126" i="16" s="1"/>
  <c r="A127" i="16"/>
  <c r="D127" i="16" s="1"/>
  <c r="A128" i="16"/>
  <c r="D128" i="16" s="1"/>
  <c r="A129" i="16"/>
  <c r="D129" i="16" s="1"/>
  <c r="A130" i="16"/>
  <c r="D130" i="16" s="1"/>
  <c r="A131" i="16"/>
  <c r="D131" i="16" s="1"/>
  <c r="A132" i="16"/>
  <c r="D132" i="16" s="1"/>
  <c r="A133" i="16"/>
  <c r="D133" i="16" s="1"/>
  <c r="A134" i="16"/>
  <c r="D134" i="16" s="1"/>
  <c r="A135" i="16"/>
  <c r="D135" i="16" s="1"/>
  <c r="A136" i="16"/>
  <c r="D136" i="16" s="1"/>
  <c r="A137" i="16"/>
  <c r="D137" i="16" s="1"/>
  <c r="A138" i="16"/>
  <c r="D138" i="16" s="1"/>
  <c r="A139" i="16"/>
  <c r="D139" i="16" s="1"/>
  <c r="A140" i="16"/>
  <c r="D140" i="16" s="1"/>
  <c r="A141" i="16"/>
  <c r="D141" i="16" s="1"/>
  <c r="A142" i="16"/>
  <c r="D142" i="16" s="1"/>
  <c r="A143" i="16"/>
  <c r="D143" i="16" s="1"/>
  <c r="A144" i="16"/>
  <c r="D144" i="16" s="1"/>
  <c r="A145" i="16"/>
  <c r="D145" i="16" s="1"/>
  <c r="A146" i="16"/>
  <c r="D146" i="16" s="1"/>
  <c r="A147" i="16"/>
  <c r="D147" i="16" s="1"/>
  <c r="A148" i="16"/>
  <c r="D148" i="16" s="1"/>
  <c r="A149" i="16"/>
  <c r="D149" i="16" s="1"/>
  <c r="A150" i="16"/>
  <c r="D150" i="16" s="1"/>
  <c r="A151" i="16"/>
  <c r="D151" i="16" s="1"/>
  <c r="A152" i="16"/>
  <c r="D152" i="16" s="1"/>
  <c r="A153" i="16"/>
  <c r="D153" i="16" s="1"/>
  <c r="A154" i="16"/>
  <c r="D154" i="16" s="1"/>
  <c r="A155" i="16"/>
  <c r="D155" i="16" s="1"/>
  <c r="A156" i="16"/>
  <c r="D156" i="16" s="1"/>
  <c r="A157" i="16"/>
  <c r="D157" i="16" s="1"/>
  <c r="A158" i="16"/>
  <c r="D158" i="16" s="1"/>
  <c r="A159" i="16"/>
  <c r="D159" i="16" s="1"/>
  <c r="A160" i="16"/>
  <c r="D160" i="16" s="1"/>
  <c r="A161" i="16"/>
  <c r="D161" i="16" s="1"/>
  <c r="A162" i="16"/>
  <c r="D162" i="16" s="1"/>
  <c r="A163" i="16"/>
  <c r="D163" i="16" s="1"/>
  <c r="A164" i="16"/>
  <c r="D164" i="16" s="1"/>
  <c r="A165" i="16"/>
  <c r="D165" i="16" s="1"/>
  <c r="A166" i="16"/>
  <c r="D166" i="16" s="1"/>
  <c r="A167" i="16"/>
  <c r="D167" i="16" s="1"/>
  <c r="A168" i="16"/>
  <c r="D168" i="16" s="1"/>
  <c r="A169" i="16"/>
  <c r="D169" i="16" s="1"/>
  <c r="A170" i="16"/>
  <c r="D170" i="16" s="1"/>
  <c r="A171" i="16"/>
  <c r="D171" i="16" s="1"/>
  <c r="A172" i="16"/>
  <c r="D172" i="16" s="1"/>
  <c r="A173" i="16"/>
  <c r="D173" i="16" s="1"/>
  <c r="A174" i="16"/>
  <c r="D174" i="16" s="1"/>
  <c r="A175" i="16"/>
  <c r="D175" i="16" s="1"/>
  <c r="A176" i="16"/>
  <c r="D176" i="16" s="1"/>
  <c r="A177" i="16"/>
  <c r="D177" i="16" s="1"/>
  <c r="A178" i="16"/>
  <c r="D178" i="16" s="1"/>
  <c r="A179" i="16"/>
  <c r="D179" i="16" s="1"/>
  <c r="A180" i="16"/>
  <c r="D180" i="16" s="1"/>
  <c r="A181" i="16"/>
  <c r="D181" i="16" s="1"/>
  <c r="A182" i="16"/>
  <c r="D182" i="16" s="1"/>
  <c r="A183" i="16"/>
  <c r="D183" i="16" s="1"/>
  <c r="A184" i="16"/>
  <c r="D184" i="16" s="1"/>
  <c r="A185" i="16"/>
  <c r="D185" i="16" s="1"/>
  <c r="A186" i="16"/>
  <c r="D186" i="16" s="1"/>
  <c r="A187" i="16"/>
  <c r="D187" i="16" s="1"/>
  <c r="A188" i="16"/>
  <c r="D188" i="16" s="1"/>
  <c r="A189" i="16"/>
  <c r="D189" i="16" s="1"/>
  <c r="A190" i="16"/>
  <c r="D190" i="16" s="1"/>
  <c r="A191" i="16"/>
  <c r="D191" i="16" s="1"/>
  <c r="A192" i="16"/>
  <c r="D192" i="16" s="1"/>
  <c r="A193" i="16"/>
  <c r="D193" i="16" s="1"/>
  <c r="A194" i="16"/>
  <c r="D194" i="16" s="1"/>
  <c r="A195" i="16"/>
  <c r="D195" i="16" s="1"/>
  <c r="A196" i="16"/>
  <c r="D196" i="16" s="1"/>
  <c r="A197" i="16"/>
  <c r="D197" i="16" s="1"/>
  <c r="A198" i="16"/>
  <c r="D198" i="16" s="1"/>
  <c r="A199" i="16"/>
  <c r="D199" i="16" s="1"/>
  <c r="A200" i="16"/>
  <c r="D200" i="16" s="1"/>
  <c r="A201" i="16"/>
  <c r="D201" i="16" s="1"/>
  <c r="A202" i="16"/>
  <c r="D202" i="16" s="1"/>
  <c r="A203" i="16"/>
  <c r="D203" i="16" s="1"/>
  <c r="A204" i="16"/>
  <c r="D204" i="16" s="1"/>
  <c r="A205" i="16"/>
  <c r="D205" i="16" s="1"/>
  <c r="A206" i="16"/>
  <c r="D206" i="16" s="1"/>
  <c r="A207" i="16"/>
  <c r="D207" i="16" s="1"/>
  <c r="A208" i="16"/>
  <c r="D208" i="16" s="1"/>
  <c r="A209" i="16"/>
  <c r="D209" i="16" s="1"/>
  <c r="A210" i="16"/>
  <c r="D210" i="16" s="1"/>
  <c r="A211" i="16"/>
  <c r="D211" i="16" s="1"/>
  <c r="A212" i="16"/>
  <c r="D212" i="16" s="1"/>
  <c r="A213" i="16"/>
  <c r="D213" i="16" s="1"/>
  <c r="A214" i="16"/>
  <c r="D214" i="16" s="1"/>
  <c r="A215" i="16"/>
  <c r="D215" i="16" s="1"/>
  <c r="A216" i="16"/>
  <c r="D216" i="16" s="1"/>
  <c r="A217" i="16"/>
  <c r="D217" i="16" s="1"/>
  <c r="A218" i="16"/>
  <c r="D218" i="16" s="1"/>
  <c r="A219" i="16"/>
  <c r="D219" i="16" s="1"/>
  <c r="A220" i="16"/>
  <c r="D220" i="16" s="1"/>
  <c r="A221" i="16"/>
  <c r="D221" i="16" s="1"/>
  <c r="A222" i="16"/>
  <c r="D222" i="16" s="1"/>
  <c r="A223" i="16"/>
  <c r="D223" i="16" s="1"/>
  <c r="A224" i="16"/>
  <c r="D224" i="16" s="1"/>
  <c r="A225" i="16"/>
  <c r="D225" i="16" s="1"/>
  <c r="A226" i="16"/>
  <c r="D226" i="16" s="1"/>
  <c r="A227" i="16"/>
  <c r="D227" i="16" s="1"/>
  <c r="A228" i="16"/>
  <c r="D228" i="16" s="1"/>
  <c r="A229" i="16"/>
  <c r="D229" i="16" s="1"/>
  <c r="A230" i="16"/>
  <c r="D230" i="16" s="1"/>
  <c r="A231" i="16"/>
  <c r="D231" i="16" s="1"/>
  <c r="A232" i="16"/>
  <c r="D232" i="16" s="1"/>
  <c r="A2" i="16"/>
  <c r="D2" i="16" s="1"/>
  <c r="D7" i="38" l="1"/>
  <c r="D7" i="35"/>
  <c r="T26" i="13"/>
  <c r="T32" i="13" s="1"/>
  <c r="T38" i="13" s="1"/>
  <c r="C27" i="17"/>
  <c r="C26" i="17"/>
  <c r="C25" i="17"/>
  <c r="C27" i="18"/>
  <c r="C26" i="18"/>
  <c r="C25" i="18"/>
  <c r="C27" i="31"/>
  <c r="C26" i="31"/>
  <c r="C25" i="31"/>
  <c r="C27" i="19"/>
  <c r="C26" i="19"/>
  <c r="C25" i="19"/>
  <c r="C27" i="22"/>
  <c r="C26" i="22"/>
  <c r="C25" i="22"/>
  <c r="C27" i="23"/>
  <c r="C26" i="23"/>
  <c r="C25" i="23"/>
  <c r="C27" i="24"/>
  <c r="C26" i="24"/>
  <c r="C25" i="24"/>
  <c r="C27" i="25"/>
  <c r="C26" i="25"/>
  <c r="C25" i="25"/>
  <c r="C27" i="27"/>
  <c r="C26" i="27"/>
  <c r="C25" i="27"/>
  <c r="C27" i="28"/>
  <c r="C26" i="28"/>
  <c r="C25" i="28"/>
  <c r="C27" i="29"/>
  <c r="C26" i="29"/>
  <c r="C25" i="29"/>
  <c r="C26" i="30"/>
  <c r="C27" i="30"/>
  <c r="C25" i="30"/>
  <c r="D20" i="17"/>
  <c r="L27" i="18"/>
  <c r="L27" i="31"/>
  <c r="L27" i="27"/>
  <c r="E70" i="16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D7" i="25" s="1"/>
  <c r="D27" i="25" s="1"/>
  <c r="T30" i="13"/>
  <c r="T36" i="13" s="1"/>
  <c r="T42" i="13" s="1"/>
  <c r="T48" i="13" s="1"/>
  <c r="T54" i="13" s="1"/>
  <c r="T60" i="13" s="1"/>
  <c r="T66" i="13" s="1"/>
  <c r="T72" i="13" s="1"/>
  <c r="T78" i="13" s="1"/>
  <c r="T84" i="13" s="1"/>
  <c r="T90" i="13" s="1"/>
  <c r="T96" i="13" s="1"/>
  <c r="T102" i="13" s="1"/>
  <c r="T108" i="13" s="1"/>
  <c r="T114" i="13" s="1"/>
  <c r="T28" i="13"/>
  <c r="T29" i="13"/>
  <c r="T35" i="13" s="1"/>
  <c r="T41" i="13" s="1"/>
  <c r="T47" i="13" s="1"/>
  <c r="T53" i="13" s="1"/>
  <c r="T59" i="13" s="1"/>
  <c r="T65" i="13" s="1"/>
  <c r="T71" i="13" s="1"/>
  <c r="T77" i="13" s="1"/>
  <c r="T83" i="13" s="1"/>
  <c r="T89" i="13" s="1"/>
  <c r="T95" i="13" s="1"/>
  <c r="T101" i="13" s="1"/>
  <c r="T107" i="13" s="1"/>
  <c r="T113" i="13" s="1"/>
  <c r="R42" i="13"/>
  <c r="R48" i="13" s="1"/>
  <c r="R54" i="13" s="1"/>
  <c r="R60" i="13" s="1"/>
  <c r="R41" i="13"/>
  <c r="R47" i="13" s="1"/>
  <c r="R53" i="13" s="1"/>
  <c r="R59" i="13" s="1"/>
  <c r="X32" i="13"/>
  <c r="T27" i="13"/>
  <c r="T31" i="13"/>
  <c r="L25" i="25"/>
  <c r="L27" i="25"/>
  <c r="L26" i="25"/>
  <c r="L25" i="17"/>
  <c r="L26" i="17"/>
  <c r="L27" i="17"/>
  <c r="L25" i="18"/>
  <c r="L26" i="18"/>
  <c r="L25" i="31"/>
  <c r="L26" i="31"/>
  <c r="L26" i="19"/>
  <c r="L25" i="19"/>
  <c r="L27" i="19"/>
  <c r="L25" i="22"/>
  <c r="L26" i="22"/>
  <c r="L27" i="22"/>
  <c r="L25" i="23"/>
  <c r="L26" i="23"/>
  <c r="L27" i="23"/>
  <c r="L25" i="24"/>
  <c r="L26" i="24"/>
  <c r="L27" i="24"/>
  <c r="L25" i="27"/>
  <c r="L26" i="27"/>
  <c r="L25" i="28"/>
  <c r="L26" i="28"/>
  <c r="L27" i="28"/>
  <c r="L25" i="29"/>
  <c r="L26" i="29"/>
  <c r="L27" i="29"/>
  <c r="L25" i="30"/>
  <c r="L26" i="30"/>
  <c r="L27" i="30"/>
  <c r="D16" i="30"/>
  <c r="D7" i="29"/>
  <c r="D27" i="29" s="1"/>
  <c r="C9" i="29"/>
  <c r="N11" i="29"/>
  <c r="D7" i="30"/>
  <c r="D27" i="30" s="1"/>
  <c r="D18" i="30"/>
  <c r="D7" i="31"/>
  <c r="D18" i="31"/>
  <c r="N21" i="31"/>
  <c r="N7" i="30"/>
  <c r="C19" i="30"/>
  <c r="N7" i="31"/>
  <c r="N11" i="31"/>
  <c r="C19" i="31"/>
  <c r="D22" i="31"/>
  <c r="C9" i="30"/>
  <c r="N19" i="30"/>
  <c r="D8" i="31"/>
  <c r="D12" i="31"/>
  <c r="N15" i="31"/>
  <c r="C23" i="31"/>
  <c r="C19" i="29"/>
  <c r="N11" i="30"/>
  <c r="N21" i="30"/>
  <c r="C9" i="31"/>
  <c r="C13" i="31"/>
  <c r="D16" i="31"/>
  <c r="N19" i="31"/>
  <c r="N19" i="29"/>
  <c r="C13" i="30"/>
  <c r="D22" i="30"/>
  <c r="C17" i="31"/>
  <c r="D20" i="31"/>
  <c r="N21" i="29"/>
  <c r="N9" i="31"/>
  <c r="N13" i="31"/>
  <c r="C21" i="31"/>
  <c r="N23" i="31"/>
  <c r="D10" i="31"/>
  <c r="D14" i="31"/>
  <c r="D24" i="31"/>
  <c r="C7" i="31"/>
  <c r="C11" i="31"/>
  <c r="C15" i="31"/>
  <c r="N17" i="31"/>
  <c r="C13" i="29"/>
  <c r="D20" i="29"/>
  <c r="D8" i="30"/>
  <c r="D12" i="30"/>
  <c r="N15" i="30"/>
  <c r="C23" i="30"/>
  <c r="D16" i="29"/>
  <c r="D22" i="29"/>
  <c r="C17" i="30"/>
  <c r="D20" i="30"/>
  <c r="C17" i="29"/>
  <c r="N9" i="30"/>
  <c r="N13" i="30"/>
  <c r="C21" i="30"/>
  <c r="N23" i="30"/>
  <c r="D10" i="30"/>
  <c r="D14" i="30"/>
  <c r="D24" i="30"/>
  <c r="N7" i="29"/>
  <c r="D18" i="29"/>
  <c r="C7" i="30"/>
  <c r="C11" i="30"/>
  <c r="C15" i="30"/>
  <c r="N17" i="30"/>
  <c r="D7" i="28"/>
  <c r="D25" i="28" s="1"/>
  <c r="D8" i="29"/>
  <c r="D12" i="29"/>
  <c r="N15" i="29"/>
  <c r="C23" i="29"/>
  <c r="D18" i="28"/>
  <c r="N21" i="28"/>
  <c r="N9" i="29"/>
  <c r="N13" i="29"/>
  <c r="C21" i="29"/>
  <c r="N23" i="29"/>
  <c r="D10" i="29"/>
  <c r="D14" i="29"/>
  <c r="D24" i="29"/>
  <c r="C7" i="29"/>
  <c r="C11" i="29"/>
  <c r="C15" i="29"/>
  <c r="N17" i="29"/>
  <c r="N7" i="28"/>
  <c r="N11" i="28"/>
  <c r="C19" i="28"/>
  <c r="D22" i="28"/>
  <c r="D8" i="28"/>
  <c r="D12" i="28"/>
  <c r="N15" i="28"/>
  <c r="C23" i="28"/>
  <c r="C9" i="28"/>
  <c r="C13" i="28"/>
  <c r="D16" i="28"/>
  <c r="N19" i="28"/>
  <c r="C17" i="28"/>
  <c r="D20" i="28"/>
  <c r="N9" i="28"/>
  <c r="N13" i="28"/>
  <c r="C21" i="28"/>
  <c r="N23" i="28"/>
  <c r="D10" i="28"/>
  <c r="D14" i="28"/>
  <c r="D24" i="28"/>
  <c r="C7" i="28"/>
  <c r="C11" i="28"/>
  <c r="C15" i="28"/>
  <c r="N17" i="28"/>
  <c r="D18" i="25"/>
  <c r="D7" i="27"/>
  <c r="D18" i="27"/>
  <c r="N21" i="27"/>
  <c r="N7" i="27"/>
  <c r="N11" i="27"/>
  <c r="C19" i="27"/>
  <c r="D22" i="27"/>
  <c r="D8" i="27"/>
  <c r="D12" i="27"/>
  <c r="N15" i="27"/>
  <c r="C23" i="27"/>
  <c r="C9" i="27"/>
  <c r="C13" i="27"/>
  <c r="D16" i="27"/>
  <c r="N19" i="27"/>
  <c r="N7" i="25"/>
  <c r="C17" i="27"/>
  <c r="D20" i="27"/>
  <c r="N9" i="27"/>
  <c r="N13" i="27"/>
  <c r="C21" i="27"/>
  <c r="N23" i="27"/>
  <c r="D16" i="25"/>
  <c r="D10" i="27"/>
  <c r="D14" i="27"/>
  <c r="D24" i="27"/>
  <c r="C7" i="27"/>
  <c r="C11" i="27"/>
  <c r="C15" i="27"/>
  <c r="N17" i="27"/>
  <c r="C13" i="24"/>
  <c r="C9" i="25"/>
  <c r="N19" i="25"/>
  <c r="C13" i="25"/>
  <c r="N21" i="25"/>
  <c r="N11" i="25"/>
  <c r="D20" i="25"/>
  <c r="N19" i="24"/>
  <c r="C17" i="25"/>
  <c r="C19" i="25"/>
  <c r="D22" i="25"/>
  <c r="D16" i="24"/>
  <c r="D8" i="25"/>
  <c r="D12" i="25"/>
  <c r="N15" i="25"/>
  <c r="C23" i="25"/>
  <c r="N9" i="25"/>
  <c r="N13" i="25"/>
  <c r="C21" i="25"/>
  <c r="N23" i="25"/>
  <c r="D10" i="25"/>
  <c r="D14" i="25"/>
  <c r="D24" i="25"/>
  <c r="C9" i="24"/>
  <c r="C7" i="25"/>
  <c r="C11" i="25"/>
  <c r="C15" i="25"/>
  <c r="N17" i="25"/>
  <c r="N7" i="24"/>
  <c r="N11" i="24"/>
  <c r="C19" i="24"/>
  <c r="D22" i="24"/>
  <c r="D18" i="24"/>
  <c r="N21" i="24"/>
  <c r="D8" i="24"/>
  <c r="D12" i="24"/>
  <c r="N15" i="24"/>
  <c r="C23" i="24"/>
  <c r="C17" i="24"/>
  <c r="D20" i="24"/>
  <c r="N9" i="24"/>
  <c r="N13" i="24"/>
  <c r="C21" i="24"/>
  <c r="N23" i="24"/>
  <c r="D10" i="24"/>
  <c r="D14" i="24"/>
  <c r="D24" i="24"/>
  <c r="C7" i="24"/>
  <c r="C11" i="24"/>
  <c r="C15" i="24"/>
  <c r="N17" i="24"/>
  <c r="D18" i="23"/>
  <c r="N21" i="23"/>
  <c r="N7" i="23"/>
  <c r="N11" i="23"/>
  <c r="C19" i="23"/>
  <c r="D8" i="23"/>
  <c r="D12" i="23"/>
  <c r="N15" i="23"/>
  <c r="C23" i="23"/>
  <c r="D22" i="23"/>
  <c r="D18" i="22"/>
  <c r="C9" i="23"/>
  <c r="C13" i="23"/>
  <c r="D16" i="23"/>
  <c r="N19" i="23"/>
  <c r="N21" i="22"/>
  <c r="C17" i="23"/>
  <c r="D20" i="23"/>
  <c r="N9" i="23"/>
  <c r="N13" i="23"/>
  <c r="C21" i="23"/>
  <c r="N23" i="23"/>
  <c r="D10" i="23"/>
  <c r="D14" i="23"/>
  <c r="D24" i="23"/>
  <c r="C7" i="23"/>
  <c r="C11" i="23"/>
  <c r="C15" i="23"/>
  <c r="N17" i="23"/>
  <c r="N7" i="22"/>
  <c r="N11" i="22"/>
  <c r="C19" i="22"/>
  <c r="D22" i="22"/>
  <c r="D8" i="22"/>
  <c r="D12" i="22"/>
  <c r="N15" i="22"/>
  <c r="C23" i="22"/>
  <c r="C17" i="22"/>
  <c r="D20" i="22"/>
  <c r="C9" i="22"/>
  <c r="C13" i="22"/>
  <c r="D16" i="22"/>
  <c r="N19" i="22"/>
  <c r="N9" i="22"/>
  <c r="N13" i="22"/>
  <c r="C21" i="22"/>
  <c r="N23" i="22"/>
  <c r="D10" i="22"/>
  <c r="D14" i="22"/>
  <c r="D24" i="22"/>
  <c r="C7" i="22"/>
  <c r="C11" i="22"/>
  <c r="C15" i="22"/>
  <c r="N17" i="22"/>
  <c r="N21" i="19"/>
  <c r="C19" i="19"/>
  <c r="D22" i="19"/>
  <c r="D8" i="19"/>
  <c r="D12" i="19"/>
  <c r="N15" i="19"/>
  <c r="C23" i="19"/>
  <c r="C9" i="19"/>
  <c r="C13" i="19"/>
  <c r="D16" i="19"/>
  <c r="N19" i="19"/>
  <c r="D7" i="19"/>
  <c r="D18" i="19"/>
  <c r="N7" i="19"/>
  <c r="C17" i="19"/>
  <c r="D20" i="19"/>
  <c r="N11" i="19"/>
  <c r="N9" i="19"/>
  <c r="N13" i="19"/>
  <c r="C21" i="19"/>
  <c r="N23" i="19"/>
  <c r="D10" i="19"/>
  <c r="D14" i="19"/>
  <c r="D24" i="19"/>
  <c r="C7" i="19"/>
  <c r="C11" i="19"/>
  <c r="C15" i="19"/>
  <c r="N17" i="19"/>
  <c r="N7" i="18"/>
  <c r="N11" i="18"/>
  <c r="C19" i="18"/>
  <c r="D22" i="18"/>
  <c r="N21" i="18"/>
  <c r="N15" i="18"/>
  <c r="D12" i="18"/>
  <c r="C9" i="18"/>
  <c r="C13" i="18"/>
  <c r="D16" i="18"/>
  <c r="N19" i="18"/>
  <c r="D18" i="18"/>
  <c r="D8" i="18"/>
  <c r="C17" i="18"/>
  <c r="D20" i="18"/>
  <c r="D7" i="18"/>
  <c r="C23" i="18"/>
  <c r="N9" i="18"/>
  <c r="N13" i="18"/>
  <c r="C21" i="18"/>
  <c r="N23" i="18"/>
  <c r="D10" i="18"/>
  <c r="D14" i="18"/>
  <c r="D24" i="18"/>
  <c r="C7" i="18"/>
  <c r="C11" i="18"/>
  <c r="C15" i="18"/>
  <c r="N17" i="18"/>
  <c r="D10" i="17"/>
  <c r="D14" i="17"/>
  <c r="D24" i="17"/>
  <c r="C7" i="17"/>
  <c r="C11" i="17"/>
  <c r="C15" i="17"/>
  <c r="N17" i="17"/>
  <c r="D7" i="17"/>
  <c r="D18" i="17"/>
  <c r="N21" i="17"/>
  <c r="N13" i="17"/>
  <c r="C17" i="17"/>
  <c r="N9" i="17"/>
  <c r="C21" i="17"/>
  <c r="N23" i="17"/>
  <c r="N7" i="17"/>
  <c r="N11" i="17"/>
  <c r="C19" i="17"/>
  <c r="D22" i="17"/>
  <c r="D8" i="17"/>
  <c r="D12" i="17"/>
  <c r="N15" i="17"/>
  <c r="C23" i="17"/>
  <c r="C9" i="17"/>
  <c r="C13" i="17"/>
  <c r="D16" i="17"/>
  <c r="N19" i="17"/>
  <c r="X26" i="13" l="1"/>
  <c r="D7" i="22"/>
  <c r="D27" i="22" s="1"/>
  <c r="D7" i="23"/>
  <c r="D27" i="23" s="1"/>
  <c r="X36" i="13"/>
  <c r="D25" i="35"/>
  <c r="D15" i="35"/>
  <c r="D9" i="35"/>
  <c r="D19" i="35"/>
  <c r="D13" i="35"/>
  <c r="D23" i="35"/>
  <c r="D27" i="35"/>
  <c r="D26" i="35"/>
  <c r="D17" i="35"/>
  <c r="D11" i="35"/>
  <c r="D21" i="35"/>
  <c r="D7" i="24"/>
  <c r="D9" i="24" s="1"/>
  <c r="D7" i="36"/>
  <c r="D7" i="37"/>
  <c r="D23" i="38"/>
  <c r="D15" i="38"/>
  <c r="D19" i="38"/>
  <c r="D9" i="38"/>
  <c r="D13" i="38"/>
  <c r="D26" i="38"/>
  <c r="D27" i="38"/>
  <c r="D17" i="38"/>
  <c r="D25" i="38"/>
  <c r="D11" i="38"/>
  <c r="D21" i="38"/>
  <c r="X30" i="13"/>
  <c r="X41" i="13"/>
  <c r="X47" i="13"/>
  <c r="X53" i="13"/>
  <c r="X42" i="13"/>
  <c r="X48" i="13"/>
  <c r="X35" i="13"/>
  <c r="X54" i="13"/>
  <c r="X29" i="13"/>
  <c r="T34" i="13"/>
  <c r="X28" i="13"/>
  <c r="T37" i="13"/>
  <c r="X31" i="13"/>
  <c r="R65" i="13"/>
  <c r="X59" i="13"/>
  <c r="T33" i="13"/>
  <c r="X27" i="13"/>
  <c r="T44" i="13"/>
  <c r="X38" i="13"/>
  <c r="R66" i="13"/>
  <c r="X60" i="13"/>
  <c r="D23" i="29"/>
  <c r="D17" i="29"/>
  <c r="D19" i="30"/>
  <c r="D9" i="29"/>
  <c r="D26" i="29"/>
  <c r="D19" i="29"/>
  <c r="D11" i="29"/>
  <c r="D13" i="29"/>
  <c r="D21" i="29"/>
  <c r="D25" i="29"/>
  <c r="D15" i="29"/>
  <c r="D21" i="30"/>
  <c r="D11" i="28"/>
  <c r="D13" i="28"/>
  <c r="D26" i="30"/>
  <c r="D15" i="30"/>
  <c r="D23" i="30"/>
  <c r="D25" i="30"/>
  <c r="D17" i="30"/>
  <c r="D13" i="30"/>
  <c r="D11" i="30"/>
  <c r="D9" i="30"/>
  <c r="D27" i="31"/>
  <c r="D21" i="31"/>
  <c r="D17" i="31"/>
  <c r="D13" i="31"/>
  <c r="D9" i="31"/>
  <c r="D26" i="31"/>
  <c r="D23" i="31"/>
  <c r="D19" i="31"/>
  <c r="D25" i="31"/>
  <c r="D15" i="31"/>
  <c r="D11" i="31"/>
  <c r="D27" i="28"/>
  <c r="D15" i="28"/>
  <c r="D9" i="28"/>
  <c r="D17" i="28"/>
  <c r="D26" i="28"/>
  <c r="D23" i="28"/>
  <c r="D21" i="28"/>
  <c r="D19" i="28"/>
  <c r="D17" i="25"/>
  <c r="D19" i="25"/>
  <c r="D23" i="25"/>
  <c r="D25" i="25"/>
  <c r="D11" i="25"/>
  <c r="D26" i="25"/>
  <c r="D15" i="25"/>
  <c r="D13" i="25"/>
  <c r="D21" i="25"/>
  <c r="D9" i="25"/>
  <c r="D27" i="27"/>
  <c r="D21" i="27"/>
  <c r="D17" i="27"/>
  <c r="D13" i="27"/>
  <c r="D9" i="27"/>
  <c r="D26" i="27"/>
  <c r="D23" i="27"/>
  <c r="D19" i="27"/>
  <c r="D25" i="27"/>
  <c r="D15" i="27"/>
  <c r="D11" i="27"/>
  <c r="D27" i="19"/>
  <c r="D21" i="19"/>
  <c r="D17" i="19"/>
  <c r="D25" i="19"/>
  <c r="D15" i="19"/>
  <c r="D13" i="19"/>
  <c r="D9" i="19"/>
  <c r="D26" i="19"/>
  <c r="D23" i="19"/>
  <c r="D19" i="19"/>
  <c r="D11" i="19"/>
  <c r="D15" i="18"/>
  <c r="D27" i="18"/>
  <c r="D21" i="18"/>
  <c r="D17" i="18"/>
  <c r="D25" i="18"/>
  <c r="D13" i="18"/>
  <c r="D9" i="18"/>
  <c r="D26" i="18"/>
  <c r="D23" i="18"/>
  <c r="D19" i="18"/>
  <c r="D11" i="18"/>
  <c r="D17" i="17"/>
  <c r="D9" i="17"/>
  <c r="D26" i="17"/>
  <c r="D23" i="17"/>
  <c r="D19" i="17"/>
  <c r="D13" i="17"/>
  <c r="D25" i="17"/>
  <c r="D15" i="17"/>
  <c r="D11" i="17"/>
  <c r="D27" i="17"/>
  <c r="D21" i="17"/>
  <c r="D15" i="23" l="1"/>
  <c r="D13" i="23"/>
  <c r="D25" i="23"/>
  <c r="D19" i="23"/>
  <c r="D17" i="23"/>
  <c r="D9" i="23"/>
  <c r="D21" i="23"/>
  <c r="D23" i="23"/>
  <c r="D26" i="23"/>
  <c r="D11" i="23"/>
  <c r="D11" i="22"/>
  <c r="D26" i="22"/>
  <c r="D13" i="22"/>
  <c r="D15" i="22"/>
  <c r="D9" i="22"/>
  <c r="D21" i="22"/>
  <c r="D23" i="22"/>
  <c r="D19" i="22"/>
  <c r="D17" i="22"/>
  <c r="D25" i="22"/>
  <c r="D23" i="24"/>
  <c r="D17" i="24"/>
  <c r="D21" i="24"/>
  <c r="D27" i="24"/>
  <c r="D13" i="24"/>
  <c r="D26" i="24"/>
  <c r="D11" i="24"/>
  <c r="D15" i="24"/>
  <c r="D25" i="24"/>
  <c r="D19" i="24"/>
  <c r="D23" i="37"/>
  <c r="D26" i="37"/>
  <c r="D21" i="37"/>
  <c r="D11" i="37"/>
  <c r="D9" i="37"/>
  <c r="D13" i="37"/>
  <c r="D25" i="37"/>
  <c r="D15" i="37"/>
  <c r="D17" i="37"/>
  <c r="D19" i="37"/>
  <c r="D27" i="37"/>
  <c r="D23" i="36"/>
  <c r="D9" i="36"/>
  <c r="D13" i="36"/>
  <c r="D11" i="36"/>
  <c r="D27" i="36"/>
  <c r="D19" i="36"/>
  <c r="D26" i="36"/>
  <c r="D25" i="36"/>
  <c r="D17" i="36"/>
  <c r="D21" i="36"/>
  <c r="D15" i="36"/>
  <c r="T40" i="13"/>
  <c r="X34" i="13"/>
  <c r="T39" i="13"/>
  <c r="X33" i="13"/>
  <c r="R72" i="13"/>
  <c r="X66" i="13"/>
  <c r="R71" i="13"/>
  <c r="X65" i="13"/>
  <c r="T50" i="13"/>
  <c r="X44" i="13"/>
  <c r="T43" i="13"/>
  <c r="X37" i="13"/>
  <c r="T46" i="13" l="1"/>
  <c r="X40" i="13"/>
  <c r="R77" i="13"/>
  <c r="X71" i="13"/>
  <c r="T45" i="13"/>
  <c r="X39" i="13"/>
  <c r="T49" i="13"/>
  <c r="X43" i="13"/>
  <c r="R78" i="13"/>
  <c r="X72" i="13"/>
  <c r="T56" i="13"/>
  <c r="X50" i="13"/>
  <c r="Q15" i="13"/>
  <c r="Q13" i="13"/>
  <c r="Q11" i="13"/>
  <c r="Q9" i="13"/>
  <c r="R11" i="13"/>
  <c r="R13" i="13" s="1"/>
  <c r="R15" i="13" s="1"/>
  <c r="R10" i="13"/>
  <c r="P3287" i="13"/>
  <c r="P3286" i="13"/>
  <c r="P3285" i="13"/>
  <c r="P3284" i="13"/>
  <c r="P3283" i="13"/>
  <c r="P3282" i="13"/>
  <c r="P3281" i="13"/>
  <c r="P3280" i="13"/>
  <c r="P3279" i="13"/>
  <c r="P3278" i="13"/>
  <c r="P3277" i="13"/>
  <c r="P3276" i="13"/>
  <c r="P3275" i="13"/>
  <c r="P3274" i="13"/>
  <c r="P3273" i="13"/>
  <c r="P3272" i="13"/>
  <c r="P3271" i="13"/>
  <c r="P3270" i="13"/>
  <c r="P3269" i="13"/>
  <c r="P3268" i="13"/>
  <c r="P3267" i="13"/>
  <c r="P3266" i="13"/>
  <c r="P3265" i="13"/>
  <c r="P3264" i="13"/>
  <c r="P3263" i="13"/>
  <c r="P3262" i="13"/>
  <c r="P3261" i="13"/>
  <c r="P3260" i="13"/>
  <c r="P3259" i="13"/>
  <c r="P3258" i="13"/>
  <c r="P3257" i="13"/>
  <c r="P3256" i="13"/>
  <c r="P3255" i="13"/>
  <c r="P3254" i="13"/>
  <c r="P3253" i="13"/>
  <c r="P3252" i="13"/>
  <c r="P3251" i="13"/>
  <c r="P3250" i="13"/>
  <c r="P3249" i="13"/>
  <c r="P3248" i="13"/>
  <c r="P3247" i="13"/>
  <c r="P3246" i="13"/>
  <c r="P3245" i="13"/>
  <c r="P3244" i="13"/>
  <c r="P3243" i="13"/>
  <c r="P3242" i="13"/>
  <c r="P3241" i="13"/>
  <c r="P3240" i="13"/>
  <c r="P3239" i="13"/>
  <c r="P3238" i="13"/>
  <c r="P3237" i="13"/>
  <c r="P3236" i="13"/>
  <c r="P3235" i="13"/>
  <c r="P3234" i="13"/>
  <c r="P3233" i="13"/>
  <c r="P3232" i="13"/>
  <c r="P3231" i="13"/>
  <c r="P3230" i="13"/>
  <c r="P3229" i="13"/>
  <c r="P3228" i="13"/>
  <c r="P3227" i="13"/>
  <c r="P3226" i="13"/>
  <c r="P3225" i="13"/>
  <c r="P3224" i="13"/>
  <c r="P3223" i="13"/>
  <c r="P3222" i="13"/>
  <c r="P3221" i="13"/>
  <c r="P3220" i="13"/>
  <c r="P3219" i="13"/>
  <c r="P3218" i="13"/>
  <c r="P3217" i="13"/>
  <c r="P3216" i="13"/>
  <c r="P3215" i="13"/>
  <c r="P3214" i="13"/>
  <c r="P3213" i="13"/>
  <c r="P3212" i="13"/>
  <c r="P3211" i="13"/>
  <c r="P3210" i="13"/>
  <c r="P3209" i="13"/>
  <c r="P3208" i="13"/>
  <c r="P3207" i="13"/>
  <c r="P3206" i="13"/>
  <c r="P3205" i="13"/>
  <c r="P3204" i="13"/>
  <c r="P3203" i="13"/>
  <c r="P3202" i="13"/>
  <c r="P3201" i="13"/>
  <c r="P3200" i="13"/>
  <c r="P3199" i="13"/>
  <c r="P3198" i="13"/>
  <c r="P3197" i="13"/>
  <c r="P3196" i="13"/>
  <c r="P3195" i="13"/>
  <c r="P3194" i="13"/>
  <c r="P3193" i="13"/>
  <c r="P3192" i="13"/>
  <c r="P3191" i="13"/>
  <c r="P3190" i="13"/>
  <c r="P3189" i="13"/>
  <c r="P3188" i="13"/>
  <c r="P3187" i="13"/>
  <c r="P3186" i="13"/>
  <c r="P3185" i="13"/>
  <c r="P3184" i="13"/>
  <c r="P3183" i="13"/>
  <c r="P3182" i="13"/>
  <c r="P3181" i="13"/>
  <c r="P3180" i="13"/>
  <c r="P3179" i="13"/>
  <c r="P3178" i="13"/>
  <c r="P3177" i="13"/>
  <c r="P3176" i="13"/>
  <c r="P3175" i="13"/>
  <c r="P3174" i="13"/>
  <c r="P3173" i="13"/>
  <c r="P3172" i="13"/>
  <c r="P3171" i="13"/>
  <c r="P3170" i="13"/>
  <c r="P3169" i="13"/>
  <c r="P3168" i="13"/>
  <c r="P3167" i="13"/>
  <c r="P3166" i="13"/>
  <c r="P3165" i="13"/>
  <c r="P3164" i="13"/>
  <c r="P3163" i="13"/>
  <c r="P3162" i="13"/>
  <c r="P3161" i="13"/>
  <c r="P3160" i="13"/>
  <c r="P3159" i="13"/>
  <c r="P3158" i="13"/>
  <c r="P3157" i="13"/>
  <c r="P3156" i="13"/>
  <c r="P3155" i="13"/>
  <c r="P3154" i="13"/>
  <c r="P3153" i="13"/>
  <c r="P3152" i="13"/>
  <c r="P3151" i="13"/>
  <c r="P3150" i="13"/>
  <c r="P3149" i="13"/>
  <c r="P3148" i="13"/>
  <c r="P3147" i="13"/>
  <c r="P3146" i="13"/>
  <c r="P3145" i="13"/>
  <c r="P3144" i="13"/>
  <c r="P3143" i="13"/>
  <c r="P3142" i="13"/>
  <c r="P3141" i="13"/>
  <c r="P3140" i="13"/>
  <c r="P3139" i="13"/>
  <c r="P3138" i="13"/>
  <c r="P3137" i="13"/>
  <c r="P3136" i="13"/>
  <c r="P3135" i="13"/>
  <c r="P3134" i="13"/>
  <c r="P3133" i="13"/>
  <c r="P3132" i="13"/>
  <c r="P3131" i="13"/>
  <c r="P3130" i="13"/>
  <c r="P3129" i="13"/>
  <c r="P3128" i="13"/>
  <c r="P3127" i="13"/>
  <c r="P3126" i="13"/>
  <c r="P3125" i="13"/>
  <c r="P3124" i="13"/>
  <c r="P3123" i="13"/>
  <c r="P3122" i="13"/>
  <c r="P3121" i="13"/>
  <c r="P3120" i="13"/>
  <c r="P3119" i="13"/>
  <c r="P3118" i="13"/>
  <c r="P3117" i="13"/>
  <c r="P3116" i="13"/>
  <c r="P3115" i="13"/>
  <c r="P3114" i="13"/>
  <c r="P3113" i="13"/>
  <c r="P3112" i="13"/>
  <c r="P3111" i="13"/>
  <c r="P3110" i="13"/>
  <c r="P3109" i="13"/>
  <c r="P3108" i="13"/>
  <c r="P3107" i="13"/>
  <c r="P3106" i="13"/>
  <c r="P3105" i="13"/>
  <c r="P3104" i="13"/>
  <c r="P3103" i="13"/>
  <c r="P3102" i="13"/>
  <c r="P3101" i="13"/>
  <c r="P3100" i="13"/>
  <c r="P3099" i="13"/>
  <c r="P3098" i="13"/>
  <c r="P3097" i="13"/>
  <c r="P3096" i="13"/>
  <c r="P3095" i="13"/>
  <c r="P3094" i="13"/>
  <c r="P3093" i="13"/>
  <c r="P3092" i="13"/>
  <c r="P3091" i="13"/>
  <c r="P3090" i="13"/>
  <c r="P3089" i="13"/>
  <c r="P3088" i="13"/>
  <c r="P3087" i="13"/>
  <c r="P3086" i="13"/>
  <c r="P3085" i="13"/>
  <c r="P3084" i="13"/>
  <c r="P3083" i="13"/>
  <c r="P3082" i="13"/>
  <c r="P3081" i="13"/>
  <c r="P3080" i="13"/>
  <c r="P3079" i="13"/>
  <c r="P3078" i="13"/>
  <c r="P3077" i="13"/>
  <c r="P3076" i="13"/>
  <c r="P3075" i="13"/>
  <c r="P3074" i="13"/>
  <c r="P3073" i="13"/>
  <c r="P3072" i="13"/>
  <c r="P3071" i="13"/>
  <c r="P3070" i="13"/>
  <c r="P3069" i="13"/>
  <c r="P3068" i="13"/>
  <c r="P3067" i="13"/>
  <c r="P3066" i="13"/>
  <c r="P3065" i="13"/>
  <c r="P3064" i="13"/>
  <c r="P3063" i="13"/>
  <c r="P3062" i="13"/>
  <c r="P3061" i="13"/>
  <c r="P3060" i="13"/>
  <c r="P3059" i="13"/>
  <c r="P3058" i="13"/>
  <c r="P3057" i="13"/>
  <c r="P3056" i="13"/>
  <c r="P3055" i="13"/>
  <c r="P3054" i="13"/>
  <c r="P3053" i="13"/>
  <c r="P3052" i="13"/>
  <c r="P3051" i="13"/>
  <c r="P3050" i="13"/>
  <c r="P3049" i="13"/>
  <c r="P3048" i="13"/>
  <c r="P3047" i="13"/>
  <c r="P3046" i="13"/>
  <c r="P3045" i="13"/>
  <c r="P3044" i="13"/>
  <c r="P3043" i="13"/>
  <c r="P3042" i="13"/>
  <c r="P3041" i="13"/>
  <c r="P3040" i="13"/>
  <c r="P3039" i="13"/>
  <c r="P3038" i="13"/>
  <c r="P3037" i="13"/>
  <c r="P3036" i="13"/>
  <c r="P3035" i="13"/>
  <c r="P3034" i="13"/>
  <c r="P3033" i="13"/>
  <c r="P3032" i="13"/>
  <c r="P3031" i="13"/>
  <c r="P3030" i="13"/>
  <c r="P3029" i="13"/>
  <c r="P3028" i="13"/>
  <c r="P3027" i="13"/>
  <c r="P3026" i="13"/>
  <c r="P3025" i="13"/>
  <c r="P3024" i="13"/>
  <c r="P3023" i="13"/>
  <c r="P3022" i="13"/>
  <c r="P3021" i="13"/>
  <c r="P3020" i="13"/>
  <c r="P3019" i="13"/>
  <c r="P3018" i="13"/>
  <c r="P3017" i="13"/>
  <c r="P3016" i="13"/>
  <c r="P3015" i="13"/>
  <c r="P3014" i="13"/>
  <c r="P3013" i="13"/>
  <c r="P3012" i="13"/>
  <c r="P3011" i="13"/>
  <c r="P3010" i="13"/>
  <c r="P3009" i="13"/>
  <c r="P3008" i="13"/>
  <c r="P3007" i="13"/>
  <c r="P3006" i="13"/>
  <c r="P3005" i="13"/>
  <c r="P3004" i="13"/>
  <c r="P3003" i="13"/>
  <c r="P3002" i="13"/>
  <c r="P3001" i="13"/>
  <c r="P3000" i="13"/>
  <c r="P2999" i="13"/>
  <c r="P2998" i="13"/>
  <c r="P2997" i="13"/>
  <c r="P2996" i="13"/>
  <c r="P2995" i="13"/>
  <c r="P2994" i="13"/>
  <c r="P2993" i="13"/>
  <c r="P2992" i="13"/>
  <c r="P2991" i="13"/>
  <c r="P2990" i="13"/>
  <c r="P2989" i="13"/>
  <c r="P2988" i="13"/>
  <c r="P2987" i="13"/>
  <c r="P2986" i="13"/>
  <c r="P2985" i="13"/>
  <c r="P2984" i="13"/>
  <c r="P2983" i="13"/>
  <c r="P2982" i="13"/>
  <c r="P2981" i="13"/>
  <c r="P2980" i="13"/>
  <c r="P2979" i="13"/>
  <c r="P2978" i="13"/>
  <c r="P2977" i="13"/>
  <c r="P2976" i="13"/>
  <c r="P2975" i="13"/>
  <c r="P2974" i="13"/>
  <c r="P2973" i="13"/>
  <c r="P2972" i="13"/>
  <c r="P2971" i="13"/>
  <c r="P2970" i="13"/>
  <c r="P2969" i="13"/>
  <c r="P2968" i="13"/>
  <c r="P2967" i="13"/>
  <c r="P2966" i="13"/>
  <c r="P2965" i="13"/>
  <c r="P2964" i="13"/>
  <c r="P2963" i="13"/>
  <c r="P2962" i="13"/>
  <c r="P2961" i="13"/>
  <c r="P2960" i="13"/>
  <c r="P2959" i="13"/>
  <c r="P2958" i="13"/>
  <c r="P2957" i="13"/>
  <c r="P2956" i="13"/>
  <c r="P2955" i="13"/>
  <c r="P2954" i="13"/>
  <c r="P2953" i="13"/>
  <c r="P2952" i="13"/>
  <c r="P2951" i="13"/>
  <c r="P2950" i="13"/>
  <c r="P2949" i="13"/>
  <c r="P2948" i="13"/>
  <c r="P2947" i="13"/>
  <c r="P2946" i="13"/>
  <c r="P2945" i="13"/>
  <c r="P2944" i="13"/>
  <c r="P2943" i="13"/>
  <c r="P2942" i="13"/>
  <c r="P2941" i="13"/>
  <c r="P2940" i="13"/>
  <c r="P2939" i="13"/>
  <c r="P2938" i="13"/>
  <c r="P2937" i="13"/>
  <c r="P2936" i="13"/>
  <c r="P2935" i="13"/>
  <c r="P2934" i="13"/>
  <c r="P2933" i="13"/>
  <c r="P2932" i="13"/>
  <c r="P2931" i="13"/>
  <c r="P2930" i="13"/>
  <c r="P2929" i="13"/>
  <c r="P2928" i="13"/>
  <c r="P2927" i="13"/>
  <c r="P2926" i="13"/>
  <c r="P2925" i="13"/>
  <c r="P2924" i="13"/>
  <c r="P2923" i="13"/>
  <c r="P2922" i="13"/>
  <c r="P2921" i="13"/>
  <c r="P2920" i="13"/>
  <c r="P2919" i="13"/>
  <c r="P2918" i="13"/>
  <c r="P2917" i="13"/>
  <c r="P2916" i="13"/>
  <c r="P2915" i="13"/>
  <c r="P2914" i="13"/>
  <c r="P2913" i="13"/>
  <c r="P2912" i="13"/>
  <c r="P2911" i="13"/>
  <c r="P2910" i="13"/>
  <c r="P2909" i="13"/>
  <c r="P2908" i="13"/>
  <c r="P2907" i="13"/>
  <c r="P2906" i="13"/>
  <c r="P2905" i="13"/>
  <c r="P2904" i="13"/>
  <c r="P2903" i="13"/>
  <c r="P2902" i="13"/>
  <c r="P2901" i="13"/>
  <c r="P2900" i="13"/>
  <c r="P2899" i="13"/>
  <c r="P2898" i="13"/>
  <c r="P2897" i="13"/>
  <c r="P2896" i="13"/>
  <c r="P2895" i="13"/>
  <c r="P2894" i="13"/>
  <c r="P2893" i="13"/>
  <c r="P2892" i="13"/>
  <c r="P2891" i="13"/>
  <c r="P2890" i="13"/>
  <c r="P2889" i="13"/>
  <c r="P2888" i="13"/>
  <c r="P2887" i="13"/>
  <c r="P2886" i="13"/>
  <c r="P2885" i="13"/>
  <c r="P2884" i="13"/>
  <c r="P2883" i="13"/>
  <c r="P2882" i="13"/>
  <c r="P2881" i="13"/>
  <c r="P2880" i="13"/>
  <c r="P2879" i="13"/>
  <c r="P2878" i="13"/>
  <c r="P2877" i="13"/>
  <c r="P2876" i="13"/>
  <c r="P2875" i="13"/>
  <c r="P2874" i="13"/>
  <c r="P2873" i="13"/>
  <c r="P2872" i="13"/>
  <c r="P2871" i="13"/>
  <c r="P2870" i="13"/>
  <c r="P2869" i="13"/>
  <c r="P2868" i="13"/>
  <c r="P2867" i="13"/>
  <c r="P2866" i="13"/>
  <c r="P2865" i="13"/>
  <c r="P2864" i="13"/>
  <c r="P2863" i="13"/>
  <c r="P2862" i="13"/>
  <c r="P2861" i="13"/>
  <c r="P2860" i="13"/>
  <c r="P2859" i="13"/>
  <c r="P2858" i="13"/>
  <c r="P2857" i="13"/>
  <c r="P2856" i="13"/>
  <c r="P2855" i="13"/>
  <c r="P2854" i="13"/>
  <c r="P2853" i="13"/>
  <c r="P2852" i="13"/>
  <c r="P2851" i="13"/>
  <c r="P2850" i="13"/>
  <c r="P2849" i="13"/>
  <c r="P2848" i="13"/>
  <c r="P2847" i="13"/>
  <c r="P2846" i="13"/>
  <c r="P2845" i="13"/>
  <c r="P2844" i="13"/>
  <c r="P2843" i="13"/>
  <c r="P2842" i="13"/>
  <c r="P2841" i="13"/>
  <c r="P2840" i="13"/>
  <c r="P2839" i="13"/>
  <c r="P2838" i="13"/>
  <c r="P2837" i="13"/>
  <c r="P2836" i="13"/>
  <c r="P2835" i="13"/>
  <c r="P2834" i="13"/>
  <c r="P2833" i="13"/>
  <c r="P2832" i="13"/>
  <c r="P2831" i="13"/>
  <c r="P2830" i="13"/>
  <c r="P2829" i="13"/>
  <c r="P2828" i="13"/>
  <c r="P2827" i="13"/>
  <c r="P2826" i="13"/>
  <c r="P2825" i="13"/>
  <c r="P2824" i="13"/>
  <c r="P2823" i="13"/>
  <c r="P2822" i="13"/>
  <c r="P2821" i="13"/>
  <c r="P2820" i="13"/>
  <c r="P2819" i="13"/>
  <c r="P2818" i="13"/>
  <c r="P2817" i="13"/>
  <c r="P2816" i="13"/>
  <c r="P2815" i="13"/>
  <c r="P2814" i="13"/>
  <c r="P2813" i="13"/>
  <c r="P2812" i="13"/>
  <c r="P2811" i="13"/>
  <c r="P2810" i="13"/>
  <c r="P2809" i="13"/>
  <c r="P2808" i="13"/>
  <c r="P2807" i="13"/>
  <c r="P2806" i="13"/>
  <c r="P2805" i="13"/>
  <c r="P2804" i="13"/>
  <c r="P2803" i="13"/>
  <c r="P2802" i="13"/>
  <c r="P2801" i="13"/>
  <c r="P2800" i="13"/>
  <c r="P2799" i="13"/>
  <c r="P2798" i="13"/>
  <c r="P2797" i="13"/>
  <c r="P2796" i="13"/>
  <c r="P2795" i="13"/>
  <c r="P2794" i="13"/>
  <c r="P2793" i="13"/>
  <c r="P2792" i="13"/>
  <c r="P2791" i="13"/>
  <c r="P2790" i="13"/>
  <c r="P2789" i="13"/>
  <c r="P2788" i="13"/>
  <c r="P2787" i="13"/>
  <c r="P2786" i="13"/>
  <c r="P2785" i="13"/>
  <c r="P2784" i="13"/>
  <c r="P2783" i="13"/>
  <c r="P2782" i="13"/>
  <c r="P2781" i="13"/>
  <c r="P2780" i="13"/>
  <c r="P2779" i="13"/>
  <c r="P2778" i="13"/>
  <c r="P2777" i="13"/>
  <c r="P2776" i="13"/>
  <c r="P2775" i="13"/>
  <c r="P2774" i="13"/>
  <c r="P2773" i="13"/>
  <c r="P2772" i="13"/>
  <c r="P2771" i="13"/>
  <c r="P2770" i="13"/>
  <c r="P2769" i="13"/>
  <c r="P2768" i="13"/>
  <c r="P2767" i="13"/>
  <c r="P2766" i="13"/>
  <c r="P2765" i="13"/>
  <c r="P2764" i="13"/>
  <c r="P2763" i="13"/>
  <c r="P2762" i="13"/>
  <c r="P2761" i="13"/>
  <c r="P2760" i="13"/>
  <c r="P2759" i="13"/>
  <c r="P2758" i="13"/>
  <c r="P2757" i="13"/>
  <c r="P2756" i="13"/>
  <c r="P2755" i="13"/>
  <c r="P2754" i="13"/>
  <c r="P2753" i="13"/>
  <c r="P2752" i="13"/>
  <c r="P2751" i="13"/>
  <c r="P2750" i="13"/>
  <c r="P2749" i="13"/>
  <c r="P2748" i="13"/>
  <c r="P2747" i="13"/>
  <c r="P2746" i="13"/>
  <c r="P2745" i="13"/>
  <c r="P2744" i="13"/>
  <c r="P2743" i="13"/>
  <c r="P2742" i="13"/>
  <c r="P2741" i="13"/>
  <c r="P2740" i="13"/>
  <c r="P2739" i="13"/>
  <c r="P2738" i="13"/>
  <c r="P2737" i="13"/>
  <c r="P2736" i="13"/>
  <c r="P2735" i="13"/>
  <c r="P2734" i="13"/>
  <c r="P2733" i="13"/>
  <c r="P2732" i="13"/>
  <c r="P2731" i="13"/>
  <c r="P2730" i="13"/>
  <c r="P2729" i="13"/>
  <c r="P2728" i="13"/>
  <c r="P2727" i="13"/>
  <c r="P2726" i="13"/>
  <c r="P2725" i="13"/>
  <c r="P2724" i="13"/>
  <c r="P2723" i="13"/>
  <c r="P2722" i="13"/>
  <c r="P2721" i="13"/>
  <c r="P2720" i="13"/>
  <c r="P2719" i="13"/>
  <c r="P2718" i="13"/>
  <c r="P2717" i="13"/>
  <c r="P2716" i="13"/>
  <c r="P2715" i="13"/>
  <c r="P2714" i="13"/>
  <c r="P2713" i="13"/>
  <c r="P2712" i="13"/>
  <c r="P2711" i="13"/>
  <c r="P2710" i="13"/>
  <c r="P2709" i="13"/>
  <c r="P2708" i="13"/>
  <c r="P2707" i="13"/>
  <c r="P2706" i="13"/>
  <c r="P2705" i="13"/>
  <c r="P2704" i="13"/>
  <c r="P2703" i="13"/>
  <c r="P2702" i="13"/>
  <c r="P2701" i="13"/>
  <c r="P2700" i="13"/>
  <c r="P2699" i="13"/>
  <c r="P2698" i="13"/>
  <c r="P2697" i="13"/>
  <c r="P2696" i="13"/>
  <c r="P2695" i="13"/>
  <c r="P2694" i="13"/>
  <c r="P2693" i="13"/>
  <c r="P2692" i="13"/>
  <c r="P2691" i="13"/>
  <c r="P2690" i="13"/>
  <c r="P2689" i="13"/>
  <c r="P2688" i="13"/>
  <c r="P2687" i="13"/>
  <c r="P2686" i="13"/>
  <c r="P2685" i="13"/>
  <c r="P2684" i="13"/>
  <c r="P2683" i="13"/>
  <c r="P2682" i="13"/>
  <c r="P2681" i="13"/>
  <c r="P2680" i="13"/>
  <c r="P2679" i="13"/>
  <c r="P2678" i="13"/>
  <c r="P2677" i="13"/>
  <c r="P2676" i="13"/>
  <c r="P2675" i="13"/>
  <c r="P2674" i="13"/>
  <c r="P2673" i="13"/>
  <c r="P2672" i="13"/>
  <c r="P2671" i="13"/>
  <c r="P2670" i="13"/>
  <c r="P2669" i="13"/>
  <c r="P2668" i="13"/>
  <c r="P2667" i="13"/>
  <c r="P2666" i="13"/>
  <c r="P2665" i="13"/>
  <c r="P2664" i="13"/>
  <c r="P2663" i="13"/>
  <c r="P2662" i="13"/>
  <c r="P2661" i="13"/>
  <c r="P2660" i="13"/>
  <c r="P2659" i="13"/>
  <c r="P2658" i="13"/>
  <c r="P2657" i="13"/>
  <c r="P2656" i="13"/>
  <c r="P2655" i="13"/>
  <c r="P2654" i="13"/>
  <c r="P2653" i="13"/>
  <c r="P2652" i="13"/>
  <c r="P2651" i="13"/>
  <c r="P2650" i="13"/>
  <c r="P2649" i="13"/>
  <c r="P2648" i="13"/>
  <c r="P2647" i="13"/>
  <c r="P2646" i="13"/>
  <c r="P2645" i="13"/>
  <c r="P2644" i="13"/>
  <c r="P2643" i="13"/>
  <c r="P2642" i="13"/>
  <c r="P2641" i="13"/>
  <c r="P2640" i="13"/>
  <c r="P2639" i="13"/>
  <c r="P2638" i="13"/>
  <c r="P2637" i="13"/>
  <c r="P2636" i="13"/>
  <c r="P2635" i="13"/>
  <c r="P2634" i="13"/>
  <c r="P2633" i="13"/>
  <c r="P2632" i="13"/>
  <c r="P2631" i="13"/>
  <c r="P2630" i="13"/>
  <c r="P2629" i="13"/>
  <c r="P2628" i="13"/>
  <c r="P2627" i="13"/>
  <c r="P2626" i="13"/>
  <c r="P2625" i="13"/>
  <c r="P2624" i="13"/>
  <c r="P2623" i="13"/>
  <c r="P2622" i="13"/>
  <c r="P2621" i="13"/>
  <c r="P2620" i="13"/>
  <c r="P2619" i="13"/>
  <c r="P2618" i="13"/>
  <c r="P2617" i="13"/>
  <c r="P2616" i="13"/>
  <c r="P2615" i="13"/>
  <c r="P2614" i="13"/>
  <c r="P2613" i="13"/>
  <c r="P2612" i="13"/>
  <c r="P2611" i="13"/>
  <c r="P2610" i="13"/>
  <c r="P2609" i="13"/>
  <c r="P2608" i="13"/>
  <c r="P2607" i="13"/>
  <c r="P2606" i="13"/>
  <c r="P2605" i="13"/>
  <c r="P2604" i="13"/>
  <c r="P2603" i="13"/>
  <c r="P2602" i="13"/>
  <c r="P2601" i="13"/>
  <c r="P2600" i="13"/>
  <c r="P2599" i="13"/>
  <c r="P2598" i="13"/>
  <c r="P2597" i="13"/>
  <c r="P2596" i="13"/>
  <c r="P2595" i="13"/>
  <c r="P2594" i="13"/>
  <c r="P2593" i="13"/>
  <c r="P2592" i="13"/>
  <c r="P2591" i="13"/>
  <c r="P2590" i="13"/>
  <c r="P2589" i="13"/>
  <c r="P2588" i="13"/>
  <c r="P2587" i="13"/>
  <c r="P2586" i="13"/>
  <c r="P2585" i="13"/>
  <c r="P2584" i="13"/>
  <c r="P2583" i="13"/>
  <c r="P2582" i="13"/>
  <c r="P2581" i="13"/>
  <c r="P2580" i="13"/>
  <c r="P2579" i="13"/>
  <c r="P2578" i="13"/>
  <c r="P2577" i="13"/>
  <c r="P2576" i="13"/>
  <c r="P2575" i="13"/>
  <c r="P2574" i="13"/>
  <c r="P2573" i="13"/>
  <c r="P2572" i="13"/>
  <c r="P2571" i="13"/>
  <c r="P2570" i="13"/>
  <c r="P2569" i="13"/>
  <c r="P2568" i="13"/>
  <c r="P2567" i="13"/>
  <c r="P2566" i="13"/>
  <c r="P2565" i="13"/>
  <c r="P2564" i="13"/>
  <c r="P2563" i="13"/>
  <c r="P2562" i="13"/>
  <c r="P2561" i="13"/>
  <c r="P2560" i="13"/>
  <c r="P2559" i="13"/>
  <c r="P2558" i="13"/>
  <c r="P2557" i="13"/>
  <c r="P2556" i="13"/>
  <c r="P2555" i="13"/>
  <c r="P2554" i="13"/>
  <c r="P2553" i="13"/>
  <c r="P2552" i="13"/>
  <c r="P2551" i="13"/>
  <c r="P2550" i="13"/>
  <c r="P2549" i="13"/>
  <c r="P2548" i="13"/>
  <c r="P2547" i="13"/>
  <c r="P2546" i="13"/>
  <c r="P2545" i="13"/>
  <c r="P2544" i="13"/>
  <c r="P2543" i="13"/>
  <c r="P2542" i="13"/>
  <c r="P2541" i="13"/>
  <c r="P2540" i="13"/>
  <c r="P2539" i="13"/>
  <c r="P2538" i="13"/>
  <c r="P2537" i="13"/>
  <c r="P2536" i="13"/>
  <c r="P2535" i="13"/>
  <c r="P2534" i="13"/>
  <c r="P2533" i="13"/>
  <c r="P2532" i="13"/>
  <c r="P2531" i="13"/>
  <c r="P2530" i="13"/>
  <c r="P2529" i="13"/>
  <c r="P2528" i="13"/>
  <c r="P2527" i="13"/>
  <c r="P2526" i="13"/>
  <c r="P2525" i="13"/>
  <c r="P2524" i="13"/>
  <c r="P2523" i="13"/>
  <c r="P2522" i="13"/>
  <c r="P2521" i="13"/>
  <c r="P2520" i="13"/>
  <c r="P2519" i="13"/>
  <c r="P2518" i="13"/>
  <c r="P2517" i="13"/>
  <c r="P2516" i="13"/>
  <c r="P2515" i="13"/>
  <c r="P2514" i="13"/>
  <c r="P2513" i="13"/>
  <c r="P2512" i="13"/>
  <c r="P2511" i="13"/>
  <c r="P2510" i="13"/>
  <c r="P2509" i="13"/>
  <c r="P2508" i="13"/>
  <c r="P2507" i="13"/>
  <c r="P2506" i="13"/>
  <c r="P2505" i="13"/>
  <c r="P2504" i="13"/>
  <c r="P2503" i="13"/>
  <c r="P2502" i="13"/>
  <c r="P2501" i="13"/>
  <c r="P2500" i="13"/>
  <c r="P2499" i="13"/>
  <c r="P2498" i="13"/>
  <c r="P2497" i="13"/>
  <c r="P2496" i="13"/>
  <c r="P2495" i="13"/>
  <c r="P2494" i="13"/>
  <c r="P2493" i="13"/>
  <c r="P2492" i="13"/>
  <c r="P2491" i="13"/>
  <c r="P2490" i="13"/>
  <c r="P2489" i="13"/>
  <c r="P2488" i="13"/>
  <c r="P2487" i="13"/>
  <c r="P2486" i="13"/>
  <c r="P2485" i="13"/>
  <c r="P2484" i="13"/>
  <c r="P2483" i="13"/>
  <c r="P2482" i="13"/>
  <c r="P2481" i="13"/>
  <c r="P2480" i="13"/>
  <c r="P2479" i="13"/>
  <c r="P2478" i="13"/>
  <c r="P2477" i="13"/>
  <c r="P2476" i="13"/>
  <c r="P2475" i="13"/>
  <c r="P2474" i="13"/>
  <c r="P2473" i="13"/>
  <c r="P2472" i="13"/>
  <c r="P2471" i="13"/>
  <c r="P2470" i="13"/>
  <c r="P2469" i="13"/>
  <c r="P2468" i="13"/>
  <c r="P2467" i="13"/>
  <c r="P2466" i="13"/>
  <c r="P2465" i="13"/>
  <c r="P2464" i="13"/>
  <c r="P2463" i="13"/>
  <c r="P2462" i="13"/>
  <c r="P2461" i="13"/>
  <c r="P2460" i="13"/>
  <c r="P2459" i="13"/>
  <c r="P2458" i="13"/>
  <c r="P2457" i="13"/>
  <c r="P2456" i="13"/>
  <c r="P2455" i="13"/>
  <c r="P2454" i="13"/>
  <c r="P2453" i="13"/>
  <c r="P2452" i="13"/>
  <c r="P2451" i="13"/>
  <c r="P2450" i="13"/>
  <c r="P2449" i="13"/>
  <c r="P2448" i="13"/>
  <c r="P2447" i="13"/>
  <c r="P2446" i="13"/>
  <c r="P2445" i="13"/>
  <c r="P2444" i="13"/>
  <c r="P2443" i="13"/>
  <c r="P2442" i="13"/>
  <c r="P2441" i="13"/>
  <c r="P2440" i="13"/>
  <c r="P2439" i="13"/>
  <c r="P2438" i="13"/>
  <c r="P2437" i="13"/>
  <c r="P2436" i="13"/>
  <c r="P2435" i="13"/>
  <c r="P2434" i="13"/>
  <c r="P2433" i="13"/>
  <c r="P2432" i="13"/>
  <c r="P2431" i="13"/>
  <c r="P2430" i="13"/>
  <c r="P2429" i="13"/>
  <c r="P2428" i="13"/>
  <c r="P2427" i="13"/>
  <c r="P2426" i="13"/>
  <c r="P2425" i="13"/>
  <c r="P2424" i="13"/>
  <c r="P2423" i="13"/>
  <c r="P2422" i="13"/>
  <c r="P2421" i="13"/>
  <c r="P2420" i="13"/>
  <c r="P2419" i="13"/>
  <c r="P2418" i="13"/>
  <c r="P2417" i="13"/>
  <c r="P2416" i="13"/>
  <c r="P2415" i="13"/>
  <c r="P2414" i="13"/>
  <c r="P2413" i="13"/>
  <c r="P2412" i="13"/>
  <c r="P2411" i="13"/>
  <c r="P2410" i="13"/>
  <c r="P2409" i="13"/>
  <c r="P2408" i="13"/>
  <c r="P2407" i="13"/>
  <c r="P2406" i="13"/>
  <c r="P2405" i="13"/>
  <c r="P2404" i="13"/>
  <c r="P2403" i="13"/>
  <c r="P2402" i="13"/>
  <c r="P2401" i="13"/>
  <c r="P2400" i="13"/>
  <c r="P2399" i="13"/>
  <c r="P2398" i="13"/>
  <c r="P2397" i="13"/>
  <c r="P2396" i="13"/>
  <c r="P2395" i="13"/>
  <c r="P2394" i="13"/>
  <c r="P2393" i="13"/>
  <c r="P2392" i="13"/>
  <c r="P2391" i="13"/>
  <c r="P2390" i="13"/>
  <c r="P2389" i="13"/>
  <c r="P2388" i="13"/>
  <c r="P2387" i="13"/>
  <c r="P2386" i="13"/>
  <c r="P2385" i="13"/>
  <c r="P2384" i="13"/>
  <c r="P2383" i="13"/>
  <c r="P2382" i="13"/>
  <c r="P2381" i="13"/>
  <c r="P2380" i="13"/>
  <c r="P2379" i="13"/>
  <c r="P2378" i="13"/>
  <c r="P2377" i="13"/>
  <c r="P2376" i="13"/>
  <c r="P2375" i="13"/>
  <c r="P2374" i="13"/>
  <c r="P2373" i="13"/>
  <c r="P2372" i="13"/>
  <c r="P2371" i="13"/>
  <c r="P2370" i="13"/>
  <c r="P2369" i="13"/>
  <c r="P2368" i="13"/>
  <c r="P2367" i="13"/>
  <c r="P2366" i="13"/>
  <c r="P2365" i="13"/>
  <c r="P2364" i="13"/>
  <c r="P2363" i="13"/>
  <c r="P2362" i="13"/>
  <c r="P2361" i="13"/>
  <c r="P2360" i="13"/>
  <c r="P2359" i="13"/>
  <c r="P2358" i="13"/>
  <c r="P2357" i="13"/>
  <c r="P2356" i="13"/>
  <c r="P2355" i="13"/>
  <c r="P2354" i="13"/>
  <c r="P2353" i="13"/>
  <c r="P2352" i="13"/>
  <c r="P2351" i="13"/>
  <c r="P2350" i="13"/>
  <c r="P2349" i="13"/>
  <c r="P2348" i="13"/>
  <c r="P2347" i="13"/>
  <c r="P2346" i="13"/>
  <c r="P2345" i="13"/>
  <c r="P2344" i="13"/>
  <c r="P2343" i="13"/>
  <c r="P2342" i="13"/>
  <c r="P2341" i="13"/>
  <c r="P2340" i="13"/>
  <c r="P2339" i="13"/>
  <c r="P2338" i="13"/>
  <c r="P2337" i="13"/>
  <c r="P2336" i="13"/>
  <c r="P2335" i="13"/>
  <c r="P2334" i="13"/>
  <c r="P2333" i="13"/>
  <c r="P2332" i="13"/>
  <c r="P2331" i="13"/>
  <c r="P2330" i="13"/>
  <c r="P2329" i="13"/>
  <c r="P2328" i="13"/>
  <c r="P2327" i="13"/>
  <c r="P2326" i="13"/>
  <c r="P2325" i="13"/>
  <c r="P2324" i="13"/>
  <c r="P2323" i="13"/>
  <c r="P2322" i="13"/>
  <c r="P2321" i="13"/>
  <c r="P2320" i="13"/>
  <c r="P2319" i="13"/>
  <c r="P2318" i="13"/>
  <c r="P2317" i="13"/>
  <c r="P2316" i="13"/>
  <c r="P2315" i="13"/>
  <c r="P2314" i="13"/>
  <c r="P2313" i="13"/>
  <c r="P2312" i="13"/>
  <c r="P2311" i="13"/>
  <c r="P2310" i="13"/>
  <c r="P2309" i="13"/>
  <c r="P2308" i="13"/>
  <c r="P2307" i="13"/>
  <c r="P2306" i="13"/>
  <c r="P2305" i="13"/>
  <c r="P2304" i="13"/>
  <c r="P2303" i="13"/>
  <c r="P2302" i="13"/>
  <c r="P2301" i="13"/>
  <c r="P2300" i="13"/>
  <c r="P2299" i="13"/>
  <c r="P2298" i="13"/>
  <c r="P2297" i="13"/>
  <c r="P2296" i="13"/>
  <c r="P2295" i="13"/>
  <c r="P2294" i="13"/>
  <c r="P2293" i="13"/>
  <c r="P2292" i="13"/>
  <c r="P2291" i="13"/>
  <c r="P2290" i="13"/>
  <c r="P2289" i="13"/>
  <c r="P2288" i="13"/>
  <c r="P2287" i="13"/>
  <c r="P2286" i="13"/>
  <c r="P2285" i="13"/>
  <c r="P2284" i="13"/>
  <c r="P2283" i="13"/>
  <c r="P2282" i="13"/>
  <c r="P2281" i="13"/>
  <c r="P2280" i="13"/>
  <c r="P2279" i="13"/>
  <c r="P2278" i="13"/>
  <c r="P2277" i="13"/>
  <c r="P2276" i="13"/>
  <c r="P2275" i="13"/>
  <c r="P2274" i="13"/>
  <c r="P2273" i="13"/>
  <c r="P2272" i="13"/>
  <c r="P2271" i="13"/>
  <c r="P2270" i="13"/>
  <c r="P2269" i="13"/>
  <c r="P2268" i="13"/>
  <c r="P2267" i="13"/>
  <c r="P2266" i="13"/>
  <c r="P2265" i="13"/>
  <c r="P2264" i="13"/>
  <c r="P2263" i="13"/>
  <c r="P2262" i="13"/>
  <c r="P2261" i="13"/>
  <c r="P2260" i="13"/>
  <c r="P2259" i="13"/>
  <c r="P2258" i="13"/>
  <c r="P2257" i="13"/>
  <c r="P2256" i="13"/>
  <c r="P2255" i="13"/>
  <c r="P2254" i="13"/>
  <c r="P2253" i="13"/>
  <c r="P2252" i="13"/>
  <c r="P2251" i="13"/>
  <c r="P2250" i="13"/>
  <c r="P2249" i="13"/>
  <c r="P2248" i="13"/>
  <c r="P2247" i="13"/>
  <c r="P2246" i="13"/>
  <c r="P2245" i="13"/>
  <c r="P2244" i="13"/>
  <c r="P2243" i="13"/>
  <c r="P2242" i="13"/>
  <c r="P2241" i="13"/>
  <c r="P2240" i="13"/>
  <c r="P2239" i="13"/>
  <c r="P2238" i="13"/>
  <c r="P2237" i="13"/>
  <c r="P2236" i="13"/>
  <c r="P2235" i="13"/>
  <c r="P2234" i="13"/>
  <c r="P2233" i="13"/>
  <c r="P2232" i="13"/>
  <c r="P2231" i="13"/>
  <c r="P2230" i="13"/>
  <c r="P2229" i="13"/>
  <c r="P2228" i="13"/>
  <c r="P2227" i="13"/>
  <c r="P2226" i="13"/>
  <c r="P2225" i="13"/>
  <c r="P2224" i="13"/>
  <c r="P2223" i="13"/>
  <c r="P2222" i="13"/>
  <c r="P2221" i="13"/>
  <c r="P2220" i="13"/>
  <c r="P2219" i="13"/>
  <c r="P2218" i="13"/>
  <c r="P2217" i="13"/>
  <c r="P2216" i="13"/>
  <c r="P2215" i="13"/>
  <c r="P2214" i="13"/>
  <c r="P2213" i="13"/>
  <c r="P2212" i="13"/>
  <c r="P2211" i="13"/>
  <c r="P2210" i="13"/>
  <c r="P2209" i="13"/>
  <c r="P2208" i="13"/>
  <c r="P2207" i="13"/>
  <c r="P2206" i="13"/>
  <c r="P2205" i="13"/>
  <c r="P2204" i="13"/>
  <c r="P2203" i="13"/>
  <c r="P2202" i="13"/>
  <c r="P2201" i="13"/>
  <c r="P2200" i="13"/>
  <c r="P2199" i="13"/>
  <c r="P2198" i="13"/>
  <c r="P2197" i="13"/>
  <c r="P2196" i="13"/>
  <c r="P2195" i="13"/>
  <c r="P2194" i="13"/>
  <c r="P2193" i="13"/>
  <c r="P2192" i="13"/>
  <c r="P2191" i="13"/>
  <c r="P2190" i="13"/>
  <c r="P2189" i="13"/>
  <c r="P2188" i="13"/>
  <c r="P2187" i="13"/>
  <c r="P2186" i="13"/>
  <c r="P2185" i="13"/>
  <c r="P2184" i="13"/>
  <c r="P2183" i="13"/>
  <c r="P2182" i="13"/>
  <c r="P2181" i="13"/>
  <c r="P2180" i="13"/>
  <c r="P2179" i="13"/>
  <c r="P2178" i="13"/>
  <c r="P2177" i="13"/>
  <c r="P2176" i="13"/>
  <c r="P2175" i="13"/>
  <c r="P2174" i="13"/>
  <c r="P2173" i="13"/>
  <c r="P2172" i="13"/>
  <c r="P2171" i="13"/>
  <c r="P2170" i="13"/>
  <c r="P2169" i="13"/>
  <c r="P2168" i="13"/>
  <c r="P2167" i="13"/>
  <c r="P2166" i="13"/>
  <c r="P2165" i="13"/>
  <c r="P2164" i="13"/>
  <c r="P2163" i="13"/>
  <c r="P2162" i="13"/>
  <c r="P2161" i="13"/>
  <c r="P2160" i="13"/>
  <c r="P2159" i="13"/>
  <c r="P2158" i="13"/>
  <c r="P2157" i="13"/>
  <c r="P2156" i="13"/>
  <c r="P2155" i="13"/>
  <c r="P2154" i="13"/>
  <c r="P2153" i="13"/>
  <c r="P2152" i="13"/>
  <c r="P2151" i="13"/>
  <c r="P2150" i="13"/>
  <c r="P2149" i="13"/>
  <c r="P2148" i="13"/>
  <c r="P2147" i="13"/>
  <c r="P2146" i="13"/>
  <c r="P2145" i="13"/>
  <c r="P2144" i="13"/>
  <c r="P2143" i="13"/>
  <c r="P2142" i="13"/>
  <c r="P2141" i="13"/>
  <c r="P2140" i="13"/>
  <c r="P2139" i="13"/>
  <c r="P2138" i="13"/>
  <c r="P2137" i="13"/>
  <c r="P2136" i="13"/>
  <c r="P2135" i="13"/>
  <c r="P2134" i="13"/>
  <c r="P2133" i="13"/>
  <c r="P2132" i="13"/>
  <c r="P2131" i="13"/>
  <c r="P2130" i="13"/>
  <c r="P2129" i="13"/>
  <c r="P2128" i="13"/>
  <c r="P2127" i="13"/>
  <c r="P2126" i="13"/>
  <c r="P2125" i="13"/>
  <c r="P2124" i="13"/>
  <c r="P2123" i="13"/>
  <c r="P2122" i="13"/>
  <c r="P2121" i="13"/>
  <c r="P2120" i="13"/>
  <c r="P2119" i="13"/>
  <c r="P2118" i="13"/>
  <c r="P2117" i="13"/>
  <c r="P2116" i="13"/>
  <c r="P2115" i="13"/>
  <c r="P2114" i="13"/>
  <c r="P2113" i="13"/>
  <c r="P2112" i="13"/>
  <c r="P2111" i="13"/>
  <c r="P2110" i="13"/>
  <c r="P2109" i="13"/>
  <c r="P2108" i="13"/>
  <c r="P2107" i="13"/>
  <c r="P2106" i="13"/>
  <c r="P2105" i="13"/>
  <c r="P2104" i="13"/>
  <c r="P2103" i="13"/>
  <c r="P2102" i="13"/>
  <c r="P2101" i="13"/>
  <c r="P2100" i="13"/>
  <c r="P2099" i="13"/>
  <c r="P2098" i="13"/>
  <c r="P2097" i="13"/>
  <c r="P2096" i="13"/>
  <c r="P2095" i="13"/>
  <c r="P2094" i="13"/>
  <c r="P2093" i="13"/>
  <c r="P2092" i="13"/>
  <c r="P2091" i="13"/>
  <c r="P2090" i="13"/>
  <c r="P2089" i="13"/>
  <c r="P2088" i="13"/>
  <c r="P2087" i="13"/>
  <c r="P2086" i="13"/>
  <c r="P2085" i="13"/>
  <c r="P2084" i="13"/>
  <c r="P2083" i="13"/>
  <c r="P2082" i="13"/>
  <c r="P2081" i="13"/>
  <c r="P2080" i="13"/>
  <c r="P2079" i="13"/>
  <c r="P2078" i="13"/>
  <c r="P2077" i="13"/>
  <c r="P2076" i="13"/>
  <c r="P2075" i="13"/>
  <c r="P2074" i="13"/>
  <c r="P2073" i="13"/>
  <c r="P2072" i="13"/>
  <c r="P2071" i="13"/>
  <c r="P2070" i="13"/>
  <c r="P2069" i="13"/>
  <c r="P2068" i="13"/>
  <c r="P2067" i="13"/>
  <c r="P2066" i="13"/>
  <c r="P2065" i="13"/>
  <c r="P2064" i="13"/>
  <c r="P2063" i="13"/>
  <c r="P2062" i="13"/>
  <c r="P2061" i="13"/>
  <c r="P2060" i="13"/>
  <c r="P2059" i="13"/>
  <c r="P2058" i="13"/>
  <c r="P2057" i="13"/>
  <c r="P2056" i="13"/>
  <c r="P2055" i="13"/>
  <c r="P2054" i="13"/>
  <c r="P2053" i="13"/>
  <c r="P2052" i="13"/>
  <c r="P2051" i="13"/>
  <c r="P2050" i="13"/>
  <c r="P2049" i="13"/>
  <c r="P2048" i="13"/>
  <c r="P2047" i="13"/>
  <c r="P2046" i="13"/>
  <c r="P2045" i="13"/>
  <c r="P2044" i="13"/>
  <c r="P2043" i="13"/>
  <c r="P2042" i="13"/>
  <c r="P2041" i="13"/>
  <c r="P2040" i="13"/>
  <c r="P2039" i="13"/>
  <c r="P2038" i="13"/>
  <c r="P2037" i="13"/>
  <c r="P2036" i="13"/>
  <c r="P2035" i="13"/>
  <c r="P2034" i="13"/>
  <c r="P2033" i="13"/>
  <c r="P2032" i="13"/>
  <c r="P2031" i="13"/>
  <c r="P2030" i="13"/>
  <c r="P2029" i="13"/>
  <c r="P2028" i="13"/>
  <c r="P2027" i="13"/>
  <c r="P2026" i="13"/>
  <c r="P2025" i="13"/>
  <c r="P2024" i="13"/>
  <c r="P2023" i="13"/>
  <c r="P2022" i="13"/>
  <c r="P2021" i="13"/>
  <c r="P2020" i="13"/>
  <c r="P2019" i="13"/>
  <c r="P2018" i="13"/>
  <c r="P2017" i="13"/>
  <c r="P2016" i="13"/>
  <c r="P2015" i="13"/>
  <c r="P2014" i="13"/>
  <c r="P2013" i="13"/>
  <c r="P2012" i="13"/>
  <c r="P2011" i="13"/>
  <c r="P2010" i="13"/>
  <c r="P2009" i="13"/>
  <c r="P2008" i="13"/>
  <c r="P2007" i="13"/>
  <c r="P2006" i="13"/>
  <c r="P2005" i="13"/>
  <c r="P2004" i="13"/>
  <c r="P2003" i="13"/>
  <c r="P2002" i="13"/>
  <c r="P2001" i="13"/>
  <c r="P2000" i="13"/>
  <c r="P1999" i="13"/>
  <c r="P1998" i="13"/>
  <c r="P1997" i="13"/>
  <c r="P1996" i="13"/>
  <c r="P1995" i="13"/>
  <c r="P1994" i="13"/>
  <c r="P1993" i="13"/>
  <c r="P1992" i="13"/>
  <c r="P1991" i="13"/>
  <c r="P1990" i="13"/>
  <c r="P1989" i="13"/>
  <c r="P1988" i="13"/>
  <c r="P1987" i="13"/>
  <c r="P1986" i="13"/>
  <c r="P1985" i="13"/>
  <c r="P1984" i="13"/>
  <c r="P1983" i="13"/>
  <c r="P1982" i="13"/>
  <c r="P1981" i="13"/>
  <c r="P1980" i="13"/>
  <c r="P1979" i="13"/>
  <c r="P1978" i="13"/>
  <c r="P1977" i="13"/>
  <c r="P1976" i="13"/>
  <c r="P1975" i="13"/>
  <c r="P1974" i="13"/>
  <c r="P1973" i="13"/>
  <c r="P1972" i="13"/>
  <c r="P1971" i="13"/>
  <c r="P1970" i="13"/>
  <c r="P1969" i="13"/>
  <c r="P1968" i="13"/>
  <c r="P1967" i="13"/>
  <c r="P1966" i="13"/>
  <c r="P1965" i="13"/>
  <c r="P1964" i="13"/>
  <c r="P1963" i="13"/>
  <c r="P1962" i="13"/>
  <c r="P1961" i="13"/>
  <c r="P1960" i="13"/>
  <c r="P1959" i="13"/>
  <c r="P1958" i="13"/>
  <c r="P1957" i="13"/>
  <c r="P1956" i="13"/>
  <c r="P1955" i="13"/>
  <c r="P1954" i="13"/>
  <c r="P1953" i="13"/>
  <c r="P1952" i="13"/>
  <c r="P1951" i="13"/>
  <c r="P1950" i="13"/>
  <c r="P1949" i="13"/>
  <c r="P1948" i="13"/>
  <c r="P1947" i="13"/>
  <c r="P1946" i="13"/>
  <c r="P1945" i="13"/>
  <c r="P1944" i="13"/>
  <c r="P1943" i="13"/>
  <c r="P1942" i="13"/>
  <c r="P1941" i="13"/>
  <c r="P1940" i="13"/>
  <c r="P1939" i="13"/>
  <c r="P1938" i="13"/>
  <c r="P1937" i="13"/>
  <c r="P1936" i="13"/>
  <c r="P1935" i="13"/>
  <c r="P1934" i="13"/>
  <c r="P1933" i="13"/>
  <c r="P1932" i="13"/>
  <c r="P1931" i="13"/>
  <c r="P1930" i="13"/>
  <c r="P1929" i="13"/>
  <c r="P1928" i="13"/>
  <c r="P1927" i="13"/>
  <c r="P1926" i="13"/>
  <c r="P1925" i="13"/>
  <c r="P1924" i="13"/>
  <c r="P1923" i="13"/>
  <c r="P1922" i="13"/>
  <c r="P1921" i="13"/>
  <c r="P1920" i="13"/>
  <c r="P1919" i="13"/>
  <c r="P1918" i="13"/>
  <c r="P1917" i="13"/>
  <c r="P1916" i="13"/>
  <c r="P1915" i="13"/>
  <c r="P1914" i="13"/>
  <c r="P1913" i="13"/>
  <c r="P1912" i="13"/>
  <c r="P1911" i="13"/>
  <c r="P1910" i="13"/>
  <c r="P1909" i="13"/>
  <c r="P1908" i="13"/>
  <c r="P1907" i="13"/>
  <c r="P1906" i="13"/>
  <c r="P1905" i="13"/>
  <c r="P1904" i="13"/>
  <c r="P1903" i="13"/>
  <c r="P1902" i="13"/>
  <c r="P1901" i="13"/>
  <c r="P1900" i="13"/>
  <c r="P1899" i="13"/>
  <c r="P1898" i="13"/>
  <c r="P1897" i="13"/>
  <c r="P1896" i="13"/>
  <c r="P1895" i="13"/>
  <c r="P1894" i="13"/>
  <c r="P1893" i="13"/>
  <c r="P1892" i="13"/>
  <c r="P1891" i="13"/>
  <c r="P1890" i="13"/>
  <c r="P1889" i="13"/>
  <c r="P1888" i="13"/>
  <c r="P1887" i="13"/>
  <c r="P1886" i="13"/>
  <c r="P1885" i="13"/>
  <c r="P1884" i="13"/>
  <c r="P1883" i="13"/>
  <c r="P1882" i="13"/>
  <c r="P1881" i="13"/>
  <c r="P1880" i="13"/>
  <c r="P1879" i="13"/>
  <c r="P1878" i="13"/>
  <c r="P1877" i="13"/>
  <c r="P1876" i="13"/>
  <c r="P1875" i="13"/>
  <c r="P1874" i="13"/>
  <c r="P1873" i="13"/>
  <c r="P1872" i="13"/>
  <c r="P1871" i="13"/>
  <c r="P1870" i="13"/>
  <c r="P1869" i="13"/>
  <c r="P1868" i="13"/>
  <c r="P1867" i="13"/>
  <c r="P1866" i="13"/>
  <c r="P1865" i="13"/>
  <c r="P1864" i="13"/>
  <c r="P1863" i="13"/>
  <c r="P1862" i="13"/>
  <c r="P1861" i="13"/>
  <c r="P1860" i="13"/>
  <c r="P1859" i="13"/>
  <c r="P1858" i="13"/>
  <c r="P1857" i="13"/>
  <c r="P1856" i="13"/>
  <c r="P1855" i="13"/>
  <c r="P1854" i="13"/>
  <c r="P1853" i="13"/>
  <c r="P1852" i="13"/>
  <c r="P1851" i="13"/>
  <c r="P1850" i="13"/>
  <c r="P1849" i="13"/>
  <c r="P1848" i="13"/>
  <c r="P1847" i="13"/>
  <c r="P1846" i="13"/>
  <c r="P1845" i="13"/>
  <c r="P1844" i="13"/>
  <c r="P1843" i="13"/>
  <c r="P1842" i="13"/>
  <c r="P1841" i="13"/>
  <c r="P1840" i="13"/>
  <c r="P1839" i="13"/>
  <c r="P1838" i="13"/>
  <c r="P1837" i="13"/>
  <c r="P1836" i="13"/>
  <c r="P1835" i="13"/>
  <c r="P1834" i="13"/>
  <c r="P1833" i="13"/>
  <c r="P1832" i="13"/>
  <c r="P1831" i="13"/>
  <c r="P1830" i="13"/>
  <c r="P1829" i="13"/>
  <c r="P1828" i="13"/>
  <c r="P1827" i="13"/>
  <c r="P1826" i="13"/>
  <c r="P1825" i="13"/>
  <c r="P1824" i="13"/>
  <c r="P1823" i="13"/>
  <c r="P1822" i="13"/>
  <c r="P1821" i="13"/>
  <c r="P1820" i="13"/>
  <c r="P1819" i="13"/>
  <c r="P1818" i="13"/>
  <c r="P1817" i="13"/>
  <c r="P1816" i="13"/>
  <c r="P1815" i="13"/>
  <c r="P1814" i="13"/>
  <c r="P1813" i="13"/>
  <c r="P1812" i="13"/>
  <c r="P1811" i="13"/>
  <c r="P1810" i="13"/>
  <c r="P1809" i="13"/>
  <c r="P1808" i="13"/>
  <c r="P1807" i="13"/>
  <c r="P1806" i="13"/>
  <c r="P1805" i="13"/>
  <c r="P1804" i="13"/>
  <c r="P1803" i="13"/>
  <c r="P1802" i="13"/>
  <c r="P1801" i="13"/>
  <c r="P1800" i="13"/>
  <c r="P1799" i="13"/>
  <c r="P1798" i="13"/>
  <c r="P1797" i="13"/>
  <c r="P1796" i="13"/>
  <c r="P1795" i="13"/>
  <c r="P1794" i="13"/>
  <c r="P1793" i="13"/>
  <c r="P1792" i="13"/>
  <c r="P1791" i="13"/>
  <c r="P1790" i="13"/>
  <c r="P1789" i="13"/>
  <c r="P1788" i="13"/>
  <c r="P1787" i="13"/>
  <c r="P1786" i="13"/>
  <c r="P1785" i="13"/>
  <c r="P1784" i="13"/>
  <c r="P1783" i="13"/>
  <c r="P1782" i="13"/>
  <c r="P1781" i="13"/>
  <c r="P1780" i="13"/>
  <c r="P1779" i="13"/>
  <c r="P1778" i="13"/>
  <c r="P1777" i="13"/>
  <c r="P1776" i="13"/>
  <c r="P1775" i="13"/>
  <c r="P1774" i="13"/>
  <c r="P1773" i="13"/>
  <c r="P1772" i="13"/>
  <c r="P1771" i="13"/>
  <c r="P1770" i="13"/>
  <c r="P1769" i="13"/>
  <c r="P1768" i="13"/>
  <c r="P1767" i="13"/>
  <c r="P1766" i="13"/>
  <c r="P1765" i="13"/>
  <c r="P1764" i="13"/>
  <c r="P1763" i="13"/>
  <c r="P1762" i="13"/>
  <c r="P1761" i="13"/>
  <c r="P1760" i="13"/>
  <c r="P1759" i="13"/>
  <c r="P1758" i="13"/>
  <c r="P1757" i="13"/>
  <c r="P1756" i="13"/>
  <c r="P1755" i="13"/>
  <c r="P1754" i="13"/>
  <c r="P1753" i="13"/>
  <c r="P1752" i="13"/>
  <c r="P1751" i="13"/>
  <c r="P1750" i="13"/>
  <c r="P1749" i="13"/>
  <c r="P1748" i="13"/>
  <c r="P1747" i="13"/>
  <c r="P1746" i="13"/>
  <c r="P1745" i="13"/>
  <c r="P1744" i="13"/>
  <c r="P1743" i="13"/>
  <c r="P1742" i="13"/>
  <c r="P1741" i="13"/>
  <c r="P1740" i="13"/>
  <c r="P1739" i="13"/>
  <c r="P1738" i="13"/>
  <c r="P1737" i="13"/>
  <c r="P1736" i="13"/>
  <c r="P1735" i="13"/>
  <c r="P1734" i="13"/>
  <c r="P1733" i="13"/>
  <c r="P1732" i="13"/>
  <c r="P1731" i="13"/>
  <c r="P1730" i="13"/>
  <c r="P1729" i="13"/>
  <c r="P1728" i="13"/>
  <c r="P1727" i="13"/>
  <c r="P1726" i="13"/>
  <c r="P1725" i="13"/>
  <c r="P1724" i="13"/>
  <c r="P1723" i="13"/>
  <c r="P1722" i="13"/>
  <c r="P1721" i="13"/>
  <c r="P1720" i="13"/>
  <c r="P1719" i="13"/>
  <c r="P1718" i="13"/>
  <c r="P1717" i="13"/>
  <c r="P1716" i="13"/>
  <c r="P1715" i="13"/>
  <c r="P1714" i="13"/>
  <c r="P1713" i="13"/>
  <c r="P1712" i="13"/>
  <c r="P1711" i="13"/>
  <c r="P1710" i="13"/>
  <c r="P1709" i="13"/>
  <c r="P1708" i="13"/>
  <c r="P1707" i="13"/>
  <c r="P1706" i="13"/>
  <c r="P1705" i="13"/>
  <c r="P1704" i="13"/>
  <c r="P1703" i="13"/>
  <c r="P1702" i="13"/>
  <c r="P1701" i="13"/>
  <c r="P1700" i="13"/>
  <c r="P1699" i="13"/>
  <c r="P1698" i="13"/>
  <c r="P1697" i="13"/>
  <c r="P1696" i="13"/>
  <c r="P1695" i="13"/>
  <c r="P1694" i="13"/>
  <c r="P1693" i="13"/>
  <c r="P1692" i="13"/>
  <c r="P1691" i="13"/>
  <c r="P1690" i="13"/>
  <c r="P1689" i="13"/>
  <c r="P1688" i="13"/>
  <c r="P1687" i="13"/>
  <c r="P1686" i="13"/>
  <c r="P1685" i="13"/>
  <c r="P1684" i="13"/>
  <c r="P1683" i="13"/>
  <c r="P1682" i="13"/>
  <c r="P1681" i="13"/>
  <c r="P1680" i="13"/>
  <c r="P1679" i="13"/>
  <c r="P1678" i="13"/>
  <c r="P1677" i="13"/>
  <c r="P1676" i="13"/>
  <c r="P1675" i="13"/>
  <c r="P1674" i="13"/>
  <c r="P1673" i="13"/>
  <c r="P1672" i="13"/>
  <c r="P1671" i="13"/>
  <c r="P1670" i="13"/>
  <c r="P1669" i="13"/>
  <c r="P1668" i="13"/>
  <c r="P1667" i="13"/>
  <c r="P1666" i="13"/>
  <c r="P1665" i="13"/>
  <c r="P1664" i="13"/>
  <c r="P1663" i="13"/>
  <c r="P1662" i="13"/>
  <c r="P1661" i="13"/>
  <c r="P1660" i="13"/>
  <c r="P1659" i="13"/>
  <c r="P1658" i="13"/>
  <c r="P1657" i="13"/>
  <c r="P1656" i="13"/>
  <c r="P1655" i="13"/>
  <c r="P1654" i="13"/>
  <c r="P1653" i="13"/>
  <c r="P1652" i="13"/>
  <c r="P1651" i="13"/>
  <c r="P1650" i="13"/>
  <c r="P1649" i="13"/>
  <c r="P1648" i="13"/>
  <c r="P1647" i="13"/>
  <c r="P1646" i="13"/>
  <c r="P1645" i="13"/>
  <c r="P1644" i="13"/>
  <c r="P1643" i="13"/>
  <c r="P1642" i="13"/>
  <c r="P1641" i="13"/>
  <c r="P1640" i="13"/>
  <c r="P1639" i="13"/>
  <c r="P1638" i="13"/>
  <c r="P1637" i="13"/>
  <c r="P1636" i="13"/>
  <c r="P1635" i="13"/>
  <c r="P1634" i="13"/>
  <c r="P1633" i="13"/>
  <c r="P1632" i="13"/>
  <c r="P1631" i="13"/>
  <c r="P1630" i="13"/>
  <c r="P1629" i="13"/>
  <c r="P1628" i="13"/>
  <c r="P1627" i="13"/>
  <c r="P1626" i="13"/>
  <c r="P1625" i="13"/>
  <c r="P1624" i="13"/>
  <c r="P1623" i="13"/>
  <c r="P1622" i="13"/>
  <c r="P1621" i="13"/>
  <c r="P1620" i="13"/>
  <c r="P1619" i="13"/>
  <c r="P1618" i="13"/>
  <c r="P1617" i="13"/>
  <c r="P1616" i="13"/>
  <c r="P1615" i="13"/>
  <c r="P1614" i="13"/>
  <c r="P1613" i="13"/>
  <c r="P1612" i="13"/>
  <c r="P1611" i="13"/>
  <c r="P1610" i="13"/>
  <c r="P1609" i="13"/>
  <c r="P1608" i="13"/>
  <c r="P1607" i="13"/>
  <c r="P1606" i="13"/>
  <c r="P1605" i="13"/>
  <c r="P1604" i="13"/>
  <c r="P1603" i="13"/>
  <c r="P1602" i="13"/>
  <c r="P1601" i="13"/>
  <c r="P1600" i="13"/>
  <c r="P1599" i="13"/>
  <c r="P1598" i="13"/>
  <c r="P1597" i="13"/>
  <c r="P1596" i="13"/>
  <c r="P1595" i="13"/>
  <c r="P1594" i="13"/>
  <c r="P1593" i="13"/>
  <c r="P1592" i="13"/>
  <c r="P1591" i="13"/>
  <c r="P1590" i="13"/>
  <c r="P1589" i="13"/>
  <c r="P1588" i="13"/>
  <c r="P1587" i="13"/>
  <c r="P1586" i="13"/>
  <c r="P1585" i="13"/>
  <c r="P1584" i="13"/>
  <c r="P1583" i="13"/>
  <c r="P1582" i="13"/>
  <c r="P1581" i="13"/>
  <c r="P1580" i="13"/>
  <c r="P1579" i="13"/>
  <c r="P1578" i="13"/>
  <c r="P1577" i="13"/>
  <c r="P1576" i="13"/>
  <c r="P1575" i="13"/>
  <c r="P1574" i="13"/>
  <c r="P1573" i="13"/>
  <c r="P1572" i="13"/>
  <c r="P1571" i="13"/>
  <c r="P1570" i="13"/>
  <c r="P1569" i="13"/>
  <c r="P1568" i="13"/>
  <c r="P1567" i="13"/>
  <c r="P1566" i="13"/>
  <c r="P1565" i="13"/>
  <c r="P1564" i="13"/>
  <c r="P1563" i="13"/>
  <c r="P1562" i="13"/>
  <c r="P1561" i="13"/>
  <c r="P1560" i="13"/>
  <c r="P1559" i="13"/>
  <c r="P1558" i="13"/>
  <c r="P1557" i="13"/>
  <c r="P1556" i="13"/>
  <c r="P1555" i="13"/>
  <c r="P1554" i="13"/>
  <c r="P1553" i="13"/>
  <c r="P1552" i="13"/>
  <c r="P1551" i="13"/>
  <c r="P1550" i="13"/>
  <c r="P1549" i="13"/>
  <c r="P1548" i="13"/>
  <c r="P1547" i="13"/>
  <c r="P1546" i="13"/>
  <c r="P1545" i="13"/>
  <c r="P1544" i="13"/>
  <c r="P1543" i="13"/>
  <c r="P1542" i="13"/>
  <c r="P1541" i="13"/>
  <c r="P1540" i="13"/>
  <c r="P1539" i="13"/>
  <c r="P1538" i="13"/>
  <c r="P1537" i="13"/>
  <c r="P1536" i="13"/>
  <c r="P1535" i="13"/>
  <c r="P1534" i="13"/>
  <c r="P1533" i="13"/>
  <c r="P1532" i="13"/>
  <c r="P1531" i="13"/>
  <c r="P1530" i="13"/>
  <c r="P1529" i="13"/>
  <c r="P1528" i="13"/>
  <c r="P1527" i="13"/>
  <c r="P1526" i="13"/>
  <c r="P1525" i="13"/>
  <c r="P1524" i="13"/>
  <c r="P1523" i="13"/>
  <c r="P1522" i="13"/>
  <c r="P1521" i="13"/>
  <c r="P1520" i="13"/>
  <c r="P1519" i="13"/>
  <c r="P1518" i="13"/>
  <c r="P1517" i="13"/>
  <c r="P1516" i="13"/>
  <c r="P1515" i="13"/>
  <c r="P1514" i="13"/>
  <c r="P1513" i="13"/>
  <c r="P1512" i="13"/>
  <c r="P1511" i="13"/>
  <c r="P1510" i="13"/>
  <c r="P1509" i="13"/>
  <c r="P1508" i="13"/>
  <c r="P1507" i="13"/>
  <c r="P1506" i="13"/>
  <c r="P1505" i="13"/>
  <c r="P1504" i="13"/>
  <c r="P1503" i="13"/>
  <c r="P1502" i="13"/>
  <c r="P1501" i="13"/>
  <c r="P1500" i="13"/>
  <c r="P1499" i="13"/>
  <c r="P1498" i="13"/>
  <c r="P1497" i="13"/>
  <c r="P1496" i="13"/>
  <c r="P1495" i="13"/>
  <c r="P1494" i="13"/>
  <c r="P1493" i="13"/>
  <c r="P1492" i="13"/>
  <c r="P1491" i="13"/>
  <c r="P1490" i="13"/>
  <c r="P1489" i="13"/>
  <c r="P1488" i="13"/>
  <c r="P1487" i="13"/>
  <c r="P1486" i="13"/>
  <c r="P1485" i="13"/>
  <c r="P1484" i="13"/>
  <c r="P1483" i="13"/>
  <c r="P1482" i="13"/>
  <c r="P1481" i="13"/>
  <c r="P1480" i="13"/>
  <c r="P1479" i="13"/>
  <c r="P1478" i="13"/>
  <c r="P1477" i="13"/>
  <c r="P1476" i="13"/>
  <c r="P1475" i="13"/>
  <c r="P1474" i="13"/>
  <c r="P1473" i="13"/>
  <c r="P1472" i="13"/>
  <c r="P1471" i="13"/>
  <c r="P1470" i="13"/>
  <c r="P1469" i="13"/>
  <c r="P1468" i="13"/>
  <c r="P1467" i="13"/>
  <c r="P1466" i="13"/>
  <c r="P1465" i="13"/>
  <c r="P1464" i="13"/>
  <c r="P1463" i="13"/>
  <c r="P1462" i="13"/>
  <c r="P1461" i="13"/>
  <c r="P1460" i="13"/>
  <c r="P1459" i="13"/>
  <c r="P1458" i="13"/>
  <c r="P1457" i="13"/>
  <c r="P1456" i="13"/>
  <c r="P1455" i="13"/>
  <c r="P1454" i="13"/>
  <c r="P1453" i="13"/>
  <c r="P1452" i="13"/>
  <c r="P1451" i="13"/>
  <c r="P1450" i="13"/>
  <c r="P1449" i="13"/>
  <c r="P1448" i="13"/>
  <c r="P1447" i="13"/>
  <c r="P1446" i="13"/>
  <c r="P1445" i="13"/>
  <c r="P1444" i="13"/>
  <c r="P1443" i="13"/>
  <c r="P1442" i="13"/>
  <c r="P1441" i="13"/>
  <c r="P1440" i="13"/>
  <c r="P1439" i="13"/>
  <c r="P1438" i="13"/>
  <c r="P1437" i="13"/>
  <c r="P1436" i="13"/>
  <c r="P1435" i="13"/>
  <c r="P1434" i="13"/>
  <c r="P1433" i="13"/>
  <c r="P1432" i="13"/>
  <c r="P1431" i="13"/>
  <c r="P1430" i="13"/>
  <c r="P1429" i="13"/>
  <c r="P1428" i="13"/>
  <c r="P1427" i="13"/>
  <c r="P1426" i="13"/>
  <c r="P1425" i="13"/>
  <c r="P1424" i="13"/>
  <c r="P1423" i="13"/>
  <c r="P1422" i="13"/>
  <c r="P1421" i="13"/>
  <c r="P1420" i="13"/>
  <c r="P1419" i="13"/>
  <c r="P1418" i="13"/>
  <c r="P1417" i="13"/>
  <c r="P1416" i="13"/>
  <c r="P1415" i="13"/>
  <c r="P1414" i="13"/>
  <c r="P1413" i="13"/>
  <c r="P1412" i="13"/>
  <c r="P1411" i="13"/>
  <c r="P1410" i="13"/>
  <c r="P1409" i="13"/>
  <c r="P1408" i="13"/>
  <c r="P1407" i="13"/>
  <c r="P1406" i="13"/>
  <c r="P1405" i="13"/>
  <c r="P1404" i="13"/>
  <c r="P1403" i="13"/>
  <c r="P1402" i="13"/>
  <c r="P1401" i="13"/>
  <c r="P1400" i="13"/>
  <c r="P1399" i="13"/>
  <c r="P1398" i="13"/>
  <c r="P1397" i="13"/>
  <c r="P1396" i="13"/>
  <c r="P1395" i="13"/>
  <c r="P1394" i="13"/>
  <c r="P1393" i="13"/>
  <c r="P1392" i="13"/>
  <c r="P1391" i="13"/>
  <c r="P1390" i="13"/>
  <c r="P1389" i="13"/>
  <c r="P1388" i="13"/>
  <c r="P1387" i="13"/>
  <c r="P1386" i="13"/>
  <c r="P1385" i="13"/>
  <c r="P1384" i="13"/>
  <c r="P1383" i="13"/>
  <c r="P1382" i="13"/>
  <c r="P1381" i="13"/>
  <c r="P1380" i="13"/>
  <c r="P1379" i="13"/>
  <c r="P1378" i="13"/>
  <c r="P1377" i="13"/>
  <c r="P1376" i="13"/>
  <c r="P1375" i="13"/>
  <c r="P1374" i="13"/>
  <c r="P1373" i="13"/>
  <c r="P1372" i="13"/>
  <c r="P1371" i="13"/>
  <c r="P1370" i="13"/>
  <c r="P1369" i="13"/>
  <c r="P1368" i="13"/>
  <c r="P1367" i="13"/>
  <c r="P1366" i="13"/>
  <c r="P1365" i="13"/>
  <c r="P1364" i="13"/>
  <c r="P1363" i="13"/>
  <c r="P1362" i="13"/>
  <c r="P1361" i="13"/>
  <c r="P1360" i="13"/>
  <c r="P1359" i="13"/>
  <c r="P1358" i="13"/>
  <c r="P1357" i="13"/>
  <c r="P1356" i="13"/>
  <c r="P1355" i="13"/>
  <c r="P1354" i="13"/>
  <c r="P1353" i="13"/>
  <c r="P1352" i="13"/>
  <c r="P1351" i="13"/>
  <c r="P1350" i="13"/>
  <c r="P1349" i="13"/>
  <c r="P1348" i="13"/>
  <c r="P1347" i="13"/>
  <c r="P1346" i="13"/>
  <c r="P1345" i="13"/>
  <c r="P1344" i="13"/>
  <c r="P1343" i="13"/>
  <c r="P1342" i="13"/>
  <c r="P1341" i="13"/>
  <c r="P1340" i="13"/>
  <c r="P1339" i="13"/>
  <c r="P1338" i="13"/>
  <c r="P1337" i="13"/>
  <c r="P1336" i="13"/>
  <c r="P1335" i="13"/>
  <c r="P1334" i="13"/>
  <c r="P1333" i="13"/>
  <c r="P1332" i="13"/>
  <c r="P1331" i="13"/>
  <c r="P1330" i="13"/>
  <c r="P1329" i="13"/>
  <c r="P1328" i="13"/>
  <c r="P1327" i="13"/>
  <c r="P1326" i="13"/>
  <c r="P1325" i="13"/>
  <c r="P1324" i="13"/>
  <c r="P1323" i="13"/>
  <c r="P1322" i="13"/>
  <c r="P1321" i="13"/>
  <c r="P1320" i="13"/>
  <c r="P1319" i="13"/>
  <c r="P1318" i="13"/>
  <c r="P1317" i="13"/>
  <c r="P1316" i="13"/>
  <c r="P1315" i="13"/>
  <c r="P1314" i="13"/>
  <c r="P1313" i="13"/>
  <c r="P1312" i="13"/>
  <c r="P1311" i="13"/>
  <c r="P1310" i="13"/>
  <c r="P1309" i="13"/>
  <c r="P1308" i="13"/>
  <c r="P1307" i="13"/>
  <c r="P1306" i="13"/>
  <c r="P1305" i="13"/>
  <c r="P1304" i="13"/>
  <c r="P1303" i="13"/>
  <c r="P1302" i="13"/>
  <c r="P1301" i="13"/>
  <c r="P1300" i="13"/>
  <c r="P1299" i="13"/>
  <c r="P1298" i="13"/>
  <c r="P1297" i="13"/>
  <c r="P1296" i="13"/>
  <c r="P1295" i="13"/>
  <c r="P1294" i="13"/>
  <c r="P1293" i="13"/>
  <c r="P1292" i="13"/>
  <c r="P1291" i="13"/>
  <c r="P1290" i="13"/>
  <c r="P1289" i="13"/>
  <c r="P1288" i="13"/>
  <c r="P1287" i="13"/>
  <c r="P1286" i="13"/>
  <c r="P1285" i="13"/>
  <c r="P1284" i="13"/>
  <c r="P1283" i="13"/>
  <c r="P1282" i="13"/>
  <c r="P1281" i="13"/>
  <c r="P1280" i="13"/>
  <c r="P1279" i="13"/>
  <c r="P1278" i="13"/>
  <c r="P1277" i="13"/>
  <c r="P1276" i="13"/>
  <c r="P1275" i="13"/>
  <c r="P1274" i="13"/>
  <c r="P1273" i="13"/>
  <c r="P1272" i="13"/>
  <c r="P1271" i="13"/>
  <c r="P1270" i="13"/>
  <c r="P1269" i="13"/>
  <c r="P1268" i="13"/>
  <c r="P1267" i="13"/>
  <c r="P1266" i="13"/>
  <c r="P1265" i="13"/>
  <c r="P1264" i="13"/>
  <c r="P1263" i="13"/>
  <c r="P1262" i="13"/>
  <c r="P1261" i="13"/>
  <c r="P1260" i="13"/>
  <c r="P1259" i="13"/>
  <c r="P1258" i="13"/>
  <c r="P1257" i="13"/>
  <c r="P1256" i="13"/>
  <c r="P1255" i="13"/>
  <c r="P1254" i="13"/>
  <c r="P1253" i="13"/>
  <c r="P1252" i="13"/>
  <c r="P1251" i="13"/>
  <c r="P1250" i="13"/>
  <c r="P1249" i="13"/>
  <c r="P1248" i="13"/>
  <c r="P1247" i="13"/>
  <c r="P1246" i="13"/>
  <c r="P1245" i="13"/>
  <c r="P1244" i="13"/>
  <c r="P1243" i="13"/>
  <c r="P1242" i="13"/>
  <c r="P1241" i="13"/>
  <c r="P1240" i="13"/>
  <c r="P1239" i="13"/>
  <c r="P1238" i="13"/>
  <c r="P1237" i="13"/>
  <c r="P1236" i="13"/>
  <c r="P1235" i="13"/>
  <c r="P1234" i="13"/>
  <c r="P1233" i="13"/>
  <c r="P1232" i="13"/>
  <c r="P1231" i="13"/>
  <c r="P1230" i="13"/>
  <c r="P1229" i="13"/>
  <c r="P1228" i="13"/>
  <c r="P1227" i="13"/>
  <c r="P1226" i="13"/>
  <c r="P1225" i="13"/>
  <c r="P1224" i="13"/>
  <c r="P1223" i="13"/>
  <c r="P1222" i="13"/>
  <c r="P1221" i="13"/>
  <c r="P1220" i="13"/>
  <c r="P1219" i="13"/>
  <c r="P1218" i="13"/>
  <c r="P1217" i="13"/>
  <c r="P1216" i="13"/>
  <c r="P1215" i="13"/>
  <c r="P1214" i="13"/>
  <c r="P1213" i="13"/>
  <c r="P1212" i="13"/>
  <c r="P1211" i="13"/>
  <c r="P1210" i="13"/>
  <c r="P1209" i="13"/>
  <c r="P1208" i="13"/>
  <c r="P1207" i="13"/>
  <c r="P1206" i="13"/>
  <c r="P1205" i="13"/>
  <c r="P1204" i="13"/>
  <c r="P1203" i="13"/>
  <c r="P1202" i="13"/>
  <c r="P1201" i="13"/>
  <c r="P1200" i="13"/>
  <c r="P1199" i="13"/>
  <c r="P1198" i="13"/>
  <c r="P1197" i="13"/>
  <c r="P1196" i="13"/>
  <c r="P1195" i="13"/>
  <c r="P1194" i="13"/>
  <c r="P1193" i="13"/>
  <c r="P1192" i="13"/>
  <c r="P1191" i="13"/>
  <c r="P1190" i="13"/>
  <c r="P1189" i="13"/>
  <c r="P1188" i="13"/>
  <c r="P1187" i="13"/>
  <c r="P1186" i="13"/>
  <c r="P1185" i="13"/>
  <c r="P1184" i="13"/>
  <c r="P1183" i="13"/>
  <c r="P1182" i="13"/>
  <c r="P1181" i="13"/>
  <c r="P1180" i="13"/>
  <c r="P1179" i="13"/>
  <c r="P1178" i="13"/>
  <c r="P1177" i="13"/>
  <c r="P1176" i="13"/>
  <c r="P1175" i="13"/>
  <c r="P1174" i="13"/>
  <c r="P1173" i="13"/>
  <c r="P1172" i="13"/>
  <c r="P1171" i="13"/>
  <c r="P1170" i="13"/>
  <c r="P1169" i="13"/>
  <c r="P1168" i="13"/>
  <c r="P1167" i="13"/>
  <c r="P1166" i="13"/>
  <c r="P1165" i="13"/>
  <c r="P1164" i="13"/>
  <c r="P1163" i="13"/>
  <c r="P1162" i="13"/>
  <c r="P1161" i="13"/>
  <c r="P1160" i="13"/>
  <c r="P1159" i="13"/>
  <c r="P1158" i="13"/>
  <c r="P1157" i="13"/>
  <c r="P1156" i="13"/>
  <c r="P1155" i="13"/>
  <c r="P1154" i="13"/>
  <c r="P1153" i="13"/>
  <c r="P1152" i="13"/>
  <c r="P1151" i="13"/>
  <c r="P1150" i="13"/>
  <c r="P1149" i="13"/>
  <c r="P1148" i="13"/>
  <c r="P1147" i="13"/>
  <c r="P1146" i="13"/>
  <c r="P1145" i="13"/>
  <c r="P1144" i="13"/>
  <c r="P1143" i="13"/>
  <c r="P1142" i="13"/>
  <c r="P1141" i="13"/>
  <c r="P1140" i="13"/>
  <c r="P1139" i="13"/>
  <c r="P1138" i="13"/>
  <c r="P1137" i="13"/>
  <c r="P1136" i="13"/>
  <c r="P1135" i="13"/>
  <c r="P1134" i="13"/>
  <c r="P1133" i="13"/>
  <c r="P1132" i="13"/>
  <c r="P1131" i="13"/>
  <c r="P1130" i="13"/>
  <c r="P1129" i="13"/>
  <c r="P1128" i="13"/>
  <c r="P1127" i="13"/>
  <c r="P1126" i="13"/>
  <c r="P1125" i="13"/>
  <c r="P1124" i="13"/>
  <c r="P1123" i="13"/>
  <c r="P1122" i="13"/>
  <c r="P1121" i="13"/>
  <c r="P1120" i="13"/>
  <c r="P1119" i="13"/>
  <c r="P1118" i="13"/>
  <c r="P1117" i="13"/>
  <c r="P1116" i="13"/>
  <c r="P1115" i="13"/>
  <c r="P1114" i="13"/>
  <c r="P1113" i="13"/>
  <c r="P1112" i="13"/>
  <c r="P1111" i="13"/>
  <c r="P1110" i="13"/>
  <c r="P1109" i="13"/>
  <c r="P1108" i="13"/>
  <c r="P1107" i="13"/>
  <c r="P1106" i="13"/>
  <c r="P1105" i="13"/>
  <c r="P1104" i="13"/>
  <c r="P1103" i="13"/>
  <c r="P1102" i="13"/>
  <c r="P1101" i="13"/>
  <c r="P1100" i="13"/>
  <c r="P1099" i="13"/>
  <c r="P1098" i="13"/>
  <c r="P1097" i="13"/>
  <c r="P1096" i="13"/>
  <c r="P1095" i="13"/>
  <c r="P1094" i="13"/>
  <c r="P1093" i="13"/>
  <c r="P1092" i="13"/>
  <c r="P1091" i="13"/>
  <c r="P1090" i="13"/>
  <c r="P1089" i="13"/>
  <c r="P1088" i="13"/>
  <c r="P1087" i="13"/>
  <c r="P1086" i="13"/>
  <c r="P1085" i="13"/>
  <c r="P1084" i="13"/>
  <c r="P1083" i="13"/>
  <c r="P1082" i="13"/>
  <c r="P1081" i="13"/>
  <c r="P1080" i="13"/>
  <c r="P1079" i="13"/>
  <c r="P1078" i="13"/>
  <c r="P1077" i="13"/>
  <c r="P1076" i="13"/>
  <c r="P1075" i="13"/>
  <c r="P1074" i="13"/>
  <c r="P1073" i="13"/>
  <c r="P1072" i="13"/>
  <c r="P1071" i="13"/>
  <c r="P1070" i="13"/>
  <c r="P1069" i="13"/>
  <c r="P1068" i="13"/>
  <c r="P1067" i="13"/>
  <c r="P1066" i="13"/>
  <c r="P1065" i="13"/>
  <c r="P1064" i="13"/>
  <c r="P1063" i="13"/>
  <c r="P1062" i="13"/>
  <c r="P1061" i="13"/>
  <c r="P1060" i="13"/>
  <c r="P1059" i="13"/>
  <c r="P1058" i="13"/>
  <c r="P1057" i="13"/>
  <c r="P1056" i="13"/>
  <c r="P1055" i="13"/>
  <c r="P1054" i="13"/>
  <c r="P1053" i="13"/>
  <c r="P1052" i="13"/>
  <c r="P1051" i="13"/>
  <c r="P1050" i="13"/>
  <c r="P1049" i="13"/>
  <c r="P1048" i="13"/>
  <c r="P1047" i="13"/>
  <c r="P1046" i="13"/>
  <c r="P1045" i="13"/>
  <c r="P1044" i="13"/>
  <c r="P1043" i="13"/>
  <c r="P1042" i="13"/>
  <c r="P1041" i="13"/>
  <c r="P1040" i="13"/>
  <c r="P1039" i="13"/>
  <c r="P1038" i="13"/>
  <c r="P1037" i="13"/>
  <c r="P1036" i="13"/>
  <c r="P1035" i="13"/>
  <c r="P1034" i="13"/>
  <c r="P1033" i="13"/>
  <c r="P1032" i="13"/>
  <c r="P1031" i="13"/>
  <c r="P1030" i="13"/>
  <c r="P1029" i="13"/>
  <c r="P1028" i="13"/>
  <c r="P1027" i="13"/>
  <c r="P1026" i="13"/>
  <c r="P1025" i="13"/>
  <c r="P1024" i="13"/>
  <c r="P1023" i="13"/>
  <c r="P1022" i="13"/>
  <c r="P1021" i="13"/>
  <c r="P1020" i="13"/>
  <c r="P1019" i="13"/>
  <c r="P1018" i="13"/>
  <c r="P1017" i="13"/>
  <c r="P1016" i="13"/>
  <c r="P1015" i="13"/>
  <c r="P1014" i="13"/>
  <c r="P1013" i="13"/>
  <c r="P1012" i="13"/>
  <c r="P1011" i="13"/>
  <c r="P1010" i="13"/>
  <c r="P1009" i="13"/>
  <c r="P1008" i="13"/>
  <c r="P1007" i="13"/>
  <c r="P1006" i="13"/>
  <c r="P1005" i="13"/>
  <c r="P1004" i="13"/>
  <c r="P1003" i="13"/>
  <c r="P1002" i="13"/>
  <c r="P1001" i="13"/>
  <c r="P1000" i="13"/>
  <c r="P999" i="13"/>
  <c r="P998" i="13"/>
  <c r="P997" i="13"/>
  <c r="P996" i="13"/>
  <c r="P995" i="13"/>
  <c r="P994" i="13"/>
  <c r="P993" i="13"/>
  <c r="P992" i="13"/>
  <c r="P991" i="13"/>
  <c r="P990" i="13"/>
  <c r="P989" i="13"/>
  <c r="P988" i="13"/>
  <c r="P987" i="13"/>
  <c r="P986" i="13"/>
  <c r="P985" i="13"/>
  <c r="P984" i="13"/>
  <c r="P983" i="13"/>
  <c r="P982" i="13"/>
  <c r="P981" i="13"/>
  <c r="P980" i="13"/>
  <c r="P979" i="13"/>
  <c r="P978" i="13"/>
  <c r="P977" i="13"/>
  <c r="P976" i="13"/>
  <c r="P975" i="13"/>
  <c r="P974" i="13"/>
  <c r="P973" i="13"/>
  <c r="P972" i="13"/>
  <c r="P971" i="13"/>
  <c r="P970" i="13"/>
  <c r="P969" i="13"/>
  <c r="P968" i="13"/>
  <c r="P967" i="13"/>
  <c r="P966" i="13"/>
  <c r="P965" i="13"/>
  <c r="P964" i="13"/>
  <c r="P963" i="13"/>
  <c r="P962" i="13"/>
  <c r="P961" i="13"/>
  <c r="P960" i="13"/>
  <c r="P959" i="13"/>
  <c r="P958" i="13"/>
  <c r="P957" i="13"/>
  <c r="P956" i="13"/>
  <c r="P955" i="13"/>
  <c r="P954" i="13"/>
  <c r="P953" i="13"/>
  <c r="P952" i="13"/>
  <c r="P951" i="13"/>
  <c r="P950" i="13"/>
  <c r="P949" i="13"/>
  <c r="P948" i="13"/>
  <c r="P947" i="13"/>
  <c r="P946" i="13"/>
  <c r="P945" i="13"/>
  <c r="P944" i="13"/>
  <c r="P943" i="13"/>
  <c r="P942" i="13"/>
  <c r="P941" i="13"/>
  <c r="P940" i="13"/>
  <c r="P939" i="13"/>
  <c r="P938" i="13"/>
  <c r="P937" i="13"/>
  <c r="P936" i="13"/>
  <c r="P935" i="13"/>
  <c r="P934" i="13"/>
  <c r="P933" i="13"/>
  <c r="P932" i="13"/>
  <c r="P931" i="13"/>
  <c r="P930" i="13"/>
  <c r="P929" i="13"/>
  <c r="P928" i="13"/>
  <c r="P927" i="13"/>
  <c r="P926" i="13"/>
  <c r="P925" i="13"/>
  <c r="P924" i="13"/>
  <c r="P923" i="13"/>
  <c r="P922" i="13"/>
  <c r="P921" i="13"/>
  <c r="P920" i="13"/>
  <c r="P919" i="13"/>
  <c r="P918" i="13"/>
  <c r="P917" i="13"/>
  <c r="P916" i="13"/>
  <c r="P915" i="13"/>
  <c r="P914" i="13"/>
  <c r="P913" i="13"/>
  <c r="P912" i="13"/>
  <c r="P911" i="13"/>
  <c r="P910" i="13"/>
  <c r="P909" i="13"/>
  <c r="P908" i="13"/>
  <c r="P907" i="13"/>
  <c r="P906" i="13"/>
  <c r="P905" i="13"/>
  <c r="P904" i="13"/>
  <c r="P903" i="13"/>
  <c r="P902" i="13"/>
  <c r="P901" i="13"/>
  <c r="P900" i="13"/>
  <c r="P899" i="13"/>
  <c r="P898" i="13"/>
  <c r="P897" i="13"/>
  <c r="P896" i="13"/>
  <c r="P895" i="13"/>
  <c r="P894" i="13"/>
  <c r="P893" i="13"/>
  <c r="P892" i="13"/>
  <c r="P891" i="13"/>
  <c r="P890" i="13"/>
  <c r="P889" i="13"/>
  <c r="P888" i="13"/>
  <c r="P887" i="13"/>
  <c r="P886" i="13"/>
  <c r="P885" i="13"/>
  <c r="P884" i="13"/>
  <c r="P883" i="13"/>
  <c r="P882" i="13"/>
  <c r="P881" i="13"/>
  <c r="P880" i="13"/>
  <c r="P879" i="13"/>
  <c r="P878" i="13"/>
  <c r="P877" i="13"/>
  <c r="P876" i="13"/>
  <c r="P875" i="13"/>
  <c r="P874" i="13"/>
  <c r="P873" i="13"/>
  <c r="P872" i="13"/>
  <c r="P871" i="13"/>
  <c r="P870" i="13"/>
  <c r="P869" i="13"/>
  <c r="P868" i="13"/>
  <c r="P867" i="13"/>
  <c r="P866" i="13"/>
  <c r="P865" i="13"/>
  <c r="P864" i="13"/>
  <c r="P863" i="13"/>
  <c r="P862" i="13"/>
  <c r="P861" i="13"/>
  <c r="P860" i="13"/>
  <c r="P859" i="13"/>
  <c r="P858" i="13"/>
  <c r="P857" i="13"/>
  <c r="P856" i="13"/>
  <c r="P855" i="13"/>
  <c r="P854" i="13"/>
  <c r="P853" i="13"/>
  <c r="P852" i="13"/>
  <c r="P851" i="13"/>
  <c r="P850" i="13"/>
  <c r="P849" i="13"/>
  <c r="P848" i="13"/>
  <c r="P847" i="13"/>
  <c r="P846" i="13"/>
  <c r="P845" i="13"/>
  <c r="P844" i="13"/>
  <c r="P843" i="13"/>
  <c r="P842" i="13"/>
  <c r="P841" i="13"/>
  <c r="P840" i="13"/>
  <c r="P839" i="13"/>
  <c r="P838" i="13"/>
  <c r="P837" i="13"/>
  <c r="P836" i="13"/>
  <c r="P835" i="13"/>
  <c r="P834" i="13"/>
  <c r="P833" i="13"/>
  <c r="P832" i="13"/>
  <c r="P831" i="13"/>
  <c r="P830" i="13"/>
  <c r="P829" i="13"/>
  <c r="P828" i="13"/>
  <c r="P827" i="13"/>
  <c r="P826" i="13"/>
  <c r="P825" i="13"/>
  <c r="P824" i="13"/>
  <c r="P823" i="13"/>
  <c r="P822" i="13"/>
  <c r="P821" i="13"/>
  <c r="P820" i="13"/>
  <c r="P819" i="13"/>
  <c r="P818" i="13"/>
  <c r="P817" i="13"/>
  <c r="P816" i="13"/>
  <c r="P815" i="13"/>
  <c r="P814" i="13"/>
  <c r="P813" i="13"/>
  <c r="P812" i="13"/>
  <c r="P811" i="13"/>
  <c r="P810" i="13"/>
  <c r="P809" i="13"/>
  <c r="P808" i="13"/>
  <c r="P807" i="13"/>
  <c r="P806" i="13"/>
  <c r="P805" i="13"/>
  <c r="P804" i="13"/>
  <c r="P803" i="13"/>
  <c r="P802" i="13"/>
  <c r="P801" i="13"/>
  <c r="P800" i="13"/>
  <c r="P799" i="13"/>
  <c r="P798" i="13"/>
  <c r="P797" i="13"/>
  <c r="P796" i="13"/>
  <c r="P795" i="13"/>
  <c r="P794" i="13"/>
  <c r="P793" i="13"/>
  <c r="P792" i="13"/>
  <c r="P791" i="13"/>
  <c r="P790" i="13"/>
  <c r="P789" i="13"/>
  <c r="P788" i="13"/>
  <c r="P787" i="13"/>
  <c r="P786" i="13"/>
  <c r="P785" i="13"/>
  <c r="P784" i="13"/>
  <c r="P783" i="13"/>
  <c r="P782" i="13"/>
  <c r="P781" i="13"/>
  <c r="P780" i="13"/>
  <c r="P779" i="13"/>
  <c r="P778" i="13"/>
  <c r="P777" i="13"/>
  <c r="P776" i="13"/>
  <c r="P775" i="13"/>
  <c r="P774" i="13"/>
  <c r="P773" i="13"/>
  <c r="P772" i="13"/>
  <c r="P771" i="13"/>
  <c r="P770" i="13"/>
  <c r="P769" i="13"/>
  <c r="P768" i="13"/>
  <c r="P767" i="13"/>
  <c r="P766" i="13"/>
  <c r="P765" i="13"/>
  <c r="P764" i="13"/>
  <c r="P763" i="13"/>
  <c r="P762" i="13"/>
  <c r="P761" i="13"/>
  <c r="P760" i="13"/>
  <c r="P759" i="13"/>
  <c r="P758" i="13"/>
  <c r="P757" i="13"/>
  <c r="P756" i="13"/>
  <c r="P755" i="13"/>
  <c r="P754" i="13"/>
  <c r="P753" i="13"/>
  <c r="P752" i="13"/>
  <c r="P751" i="13"/>
  <c r="P750" i="13"/>
  <c r="P749" i="13"/>
  <c r="P748" i="13"/>
  <c r="P747" i="13"/>
  <c r="P746" i="13"/>
  <c r="P745" i="13"/>
  <c r="P744" i="13"/>
  <c r="P743" i="13"/>
  <c r="P742" i="13"/>
  <c r="P741" i="13"/>
  <c r="P740" i="13"/>
  <c r="P739" i="13"/>
  <c r="P738" i="13"/>
  <c r="P737" i="13"/>
  <c r="P736" i="13"/>
  <c r="P735" i="13"/>
  <c r="P734" i="13"/>
  <c r="P733" i="13"/>
  <c r="P732" i="13"/>
  <c r="P731" i="13"/>
  <c r="P730" i="13"/>
  <c r="P729" i="13"/>
  <c r="P728" i="13"/>
  <c r="P727" i="13"/>
  <c r="P726" i="13"/>
  <c r="P725" i="13"/>
  <c r="P724" i="13"/>
  <c r="P723" i="13"/>
  <c r="P722" i="13"/>
  <c r="P721" i="13"/>
  <c r="P720" i="13"/>
  <c r="P719" i="13"/>
  <c r="P718" i="13"/>
  <c r="P717" i="13"/>
  <c r="P716" i="13"/>
  <c r="P715" i="13"/>
  <c r="P714" i="13"/>
  <c r="P713" i="13"/>
  <c r="P712" i="13"/>
  <c r="P711" i="13"/>
  <c r="P710" i="13"/>
  <c r="P709" i="13"/>
  <c r="P708" i="13"/>
  <c r="P707" i="13"/>
  <c r="P706" i="13"/>
  <c r="P705" i="13"/>
  <c r="P704" i="13"/>
  <c r="P703" i="13"/>
  <c r="P702" i="13"/>
  <c r="P701" i="13"/>
  <c r="P700" i="13"/>
  <c r="P699" i="13"/>
  <c r="P698" i="13"/>
  <c r="P697" i="13"/>
  <c r="P696" i="13"/>
  <c r="P695" i="13"/>
  <c r="P694" i="13"/>
  <c r="P693" i="13"/>
  <c r="P692" i="13"/>
  <c r="P691" i="13"/>
  <c r="P690" i="13"/>
  <c r="P689" i="13"/>
  <c r="P688" i="13"/>
  <c r="P687" i="13"/>
  <c r="P686" i="13"/>
  <c r="P685" i="13"/>
  <c r="P684" i="13"/>
  <c r="P683" i="13"/>
  <c r="P682" i="13"/>
  <c r="P681" i="13"/>
  <c r="P680" i="13"/>
  <c r="P679" i="13"/>
  <c r="P678" i="13"/>
  <c r="P677" i="13"/>
  <c r="P676" i="13"/>
  <c r="P675" i="13"/>
  <c r="P674" i="13"/>
  <c r="P673" i="13"/>
  <c r="P672" i="13"/>
  <c r="P671" i="13"/>
  <c r="P670" i="13"/>
  <c r="P669" i="13"/>
  <c r="P668" i="13"/>
  <c r="P667" i="13"/>
  <c r="P666" i="13"/>
  <c r="P665" i="13"/>
  <c r="P664" i="13"/>
  <c r="P663" i="13"/>
  <c r="P662" i="13"/>
  <c r="P661" i="13"/>
  <c r="P660" i="13"/>
  <c r="P659" i="13"/>
  <c r="P658" i="13"/>
  <c r="P657" i="13"/>
  <c r="P656" i="13"/>
  <c r="P655" i="13"/>
  <c r="P654" i="13"/>
  <c r="P653" i="13"/>
  <c r="P652" i="13"/>
  <c r="P651" i="13"/>
  <c r="P650" i="13"/>
  <c r="P649" i="13"/>
  <c r="P648" i="13"/>
  <c r="P647" i="13"/>
  <c r="P646" i="13"/>
  <c r="P645" i="13"/>
  <c r="P644" i="13"/>
  <c r="P643" i="13"/>
  <c r="P642" i="13"/>
  <c r="P641" i="13"/>
  <c r="P640" i="13"/>
  <c r="P639" i="13"/>
  <c r="P638" i="13"/>
  <c r="P637" i="13"/>
  <c r="P636" i="13"/>
  <c r="P635" i="13"/>
  <c r="P634" i="13"/>
  <c r="P633" i="13"/>
  <c r="P632" i="13"/>
  <c r="P631" i="13"/>
  <c r="P630" i="13"/>
  <c r="P629" i="13"/>
  <c r="P628" i="13"/>
  <c r="P627" i="13"/>
  <c r="P626" i="13"/>
  <c r="P625" i="13"/>
  <c r="P624" i="13"/>
  <c r="P623" i="13"/>
  <c r="P622" i="13"/>
  <c r="P621" i="13"/>
  <c r="P620" i="13"/>
  <c r="P619" i="13"/>
  <c r="P618" i="13"/>
  <c r="P617" i="13"/>
  <c r="P616" i="13"/>
  <c r="P615" i="13"/>
  <c r="P614" i="13"/>
  <c r="P613" i="13"/>
  <c r="P612" i="13"/>
  <c r="P611" i="13"/>
  <c r="P610" i="13"/>
  <c r="P609" i="13"/>
  <c r="P608" i="13"/>
  <c r="P607" i="13"/>
  <c r="P606" i="13"/>
  <c r="P605" i="13"/>
  <c r="P604" i="13"/>
  <c r="P603" i="13"/>
  <c r="P602" i="13"/>
  <c r="P601" i="13"/>
  <c r="P600" i="13"/>
  <c r="P599" i="13"/>
  <c r="P598" i="13"/>
  <c r="P597" i="13"/>
  <c r="P596" i="13"/>
  <c r="P595" i="13"/>
  <c r="P594" i="13"/>
  <c r="P593" i="13"/>
  <c r="P592" i="13"/>
  <c r="P591" i="13"/>
  <c r="P590" i="13"/>
  <c r="P589" i="13"/>
  <c r="P588" i="13"/>
  <c r="P587" i="13"/>
  <c r="P586" i="13"/>
  <c r="P585" i="13"/>
  <c r="P584" i="13"/>
  <c r="P583" i="13"/>
  <c r="P582" i="13"/>
  <c r="P581" i="13"/>
  <c r="P580" i="13"/>
  <c r="P579" i="13"/>
  <c r="P578" i="13"/>
  <c r="P577" i="13"/>
  <c r="P576" i="13"/>
  <c r="P575" i="13"/>
  <c r="P574" i="13"/>
  <c r="P573" i="13"/>
  <c r="P572" i="13"/>
  <c r="P571" i="13"/>
  <c r="P570" i="13"/>
  <c r="P569" i="13"/>
  <c r="P568" i="13"/>
  <c r="P567" i="13"/>
  <c r="P566" i="13"/>
  <c r="P565" i="13"/>
  <c r="P564" i="13"/>
  <c r="P563" i="13"/>
  <c r="P562" i="13"/>
  <c r="P561" i="13"/>
  <c r="P560" i="13"/>
  <c r="P559" i="13"/>
  <c r="P558" i="13"/>
  <c r="P557" i="13"/>
  <c r="P556" i="13"/>
  <c r="P555" i="13"/>
  <c r="P554" i="13"/>
  <c r="P553" i="13"/>
  <c r="P552" i="13"/>
  <c r="P551" i="13"/>
  <c r="P550" i="13"/>
  <c r="P549" i="13"/>
  <c r="P548" i="13"/>
  <c r="P547" i="13"/>
  <c r="P546" i="13"/>
  <c r="P545" i="13"/>
  <c r="P544" i="13"/>
  <c r="P543" i="13"/>
  <c r="P542" i="13"/>
  <c r="P541" i="13"/>
  <c r="P540" i="13"/>
  <c r="P539" i="13"/>
  <c r="P538" i="13"/>
  <c r="P537" i="13"/>
  <c r="P536" i="13"/>
  <c r="P535" i="13"/>
  <c r="P534" i="13"/>
  <c r="P533" i="13"/>
  <c r="P532" i="13"/>
  <c r="P531" i="13"/>
  <c r="P530" i="13"/>
  <c r="P529" i="13"/>
  <c r="P528" i="13"/>
  <c r="P527" i="13"/>
  <c r="P526" i="13"/>
  <c r="P525" i="13"/>
  <c r="P524" i="13"/>
  <c r="P523" i="13"/>
  <c r="P522" i="13"/>
  <c r="P521" i="13"/>
  <c r="P520" i="13"/>
  <c r="P519" i="13"/>
  <c r="P518" i="13"/>
  <c r="P517" i="13"/>
  <c r="P516" i="13"/>
  <c r="P515" i="13"/>
  <c r="P514" i="13"/>
  <c r="P513" i="13"/>
  <c r="P512" i="13"/>
  <c r="P511" i="13"/>
  <c r="P510" i="13"/>
  <c r="P509" i="13"/>
  <c r="P508" i="13"/>
  <c r="P507" i="13"/>
  <c r="P506" i="13"/>
  <c r="P505" i="13"/>
  <c r="P504" i="13"/>
  <c r="P503" i="13"/>
  <c r="P502" i="13"/>
  <c r="P501" i="13"/>
  <c r="P500" i="13"/>
  <c r="P499" i="13"/>
  <c r="P498" i="13"/>
  <c r="P497" i="13"/>
  <c r="P496" i="13"/>
  <c r="P495" i="13"/>
  <c r="P494" i="13"/>
  <c r="P493" i="13"/>
  <c r="P492" i="13"/>
  <c r="P491" i="13"/>
  <c r="P490" i="13"/>
  <c r="P489" i="13"/>
  <c r="P488" i="13"/>
  <c r="P487" i="13"/>
  <c r="P486" i="13"/>
  <c r="P485" i="13"/>
  <c r="P484" i="13"/>
  <c r="P483" i="13"/>
  <c r="P482" i="13"/>
  <c r="P481" i="13"/>
  <c r="P480" i="13"/>
  <c r="P479" i="13"/>
  <c r="P478" i="13"/>
  <c r="P477" i="13"/>
  <c r="P476" i="13"/>
  <c r="P475" i="13"/>
  <c r="P474" i="13"/>
  <c r="P473" i="13"/>
  <c r="P472" i="13"/>
  <c r="P471" i="13"/>
  <c r="P470" i="13"/>
  <c r="P469" i="13"/>
  <c r="P468" i="13"/>
  <c r="P467" i="13"/>
  <c r="P466" i="13"/>
  <c r="P465" i="13"/>
  <c r="P464" i="13"/>
  <c r="P463" i="13"/>
  <c r="P462" i="13"/>
  <c r="P461" i="13"/>
  <c r="P460" i="13"/>
  <c r="P459" i="13"/>
  <c r="P458" i="13"/>
  <c r="P457" i="13"/>
  <c r="P456" i="13"/>
  <c r="P455" i="13"/>
  <c r="P454" i="13"/>
  <c r="P453" i="13"/>
  <c r="P452" i="13"/>
  <c r="P451" i="13"/>
  <c r="P450" i="13"/>
  <c r="P449" i="13"/>
  <c r="P448" i="13"/>
  <c r="P447" i="13"/>
  <c r="P446" i="13"/>
  <c r="P445" i="13"/>
  <c r="P444" i="13"/>
  <c r="P443" i="13"/>
  <c r="P442" i="13"/>
  <c r="P441" i="13"/>
  <c r="P440" i="13"/>
  <c r="P439" i="13"/>
  <c r="P438" i="13"/>
  <c r="P437" i="13"/>
  <c r="P436" i="13"/>
  <c r="P435" i="13"/>
  <c r="P434" i="13"/>
  <c r="P433" i="13"/>
  <c r="P432" i="13"/>
  <c r="P431" i="13"/>
  <c r="P430" i="13"/>
  <c r="P429" i="13"/>
  <c r="P428" i="13"/>
  <c r="P427" i="13"/>
  <c r="P426" i="13"/>
  <c r="P425" i="13"/>
  <c r="P424" i="13"/>
  <c r="P423" i="13"/>
  <c r="P422" i="13"/>
  <c r="P421" i="13"/>
  <c r="P420" i="13"/>
  <c r="P419" i="13"/>
  <c r="P418" i="13"/>
  <c r="P417" i="13"/>
  <c r="P416" i="13"/>
  <c r="P415" i="13"/>
  <c r="P414" i="13"/>
  <c r="P413" i="13"/>
  <c r="P412" i="13"/>
  <c r="P411" i="13"/>
  <c r="P410" i="13"/>
  <c r="P409" i="13"/>
  <c r="P408" i="13"/>
  <c r="P407" i="13"/>
  <c r="P406" i="13"/>
  <c r="P405" i="13"/>
  <c r="P404" i="13"/>
  <c r="P403" i="13"/>
  <c r="P402" i="13"/>
  <c r="P401" i="13"/>
  <c r="P400" i="13"/>
  <c r="P399" i="13"/>
  <c r="P398" i="13"/>
  <c r="P397" i="13"/>
  <c r="P396" i="13"/>
  <c r="P395" i="13"/>
  <c r="P394" i="13"/>
  <c r="P393" i="13"/>
  <c r="P392" i="13"/>
  <c r="P391" i="13"/>
  <c r="P390" i="13"/>
  <c r="P389" i="13"/>
  <c r="P388" i="13"/>
  <c r="P387" i="13"/>
  <c r="P386" i="13"/>
  <c r="P385" i="13"/>
  <c r="P384" i="13"/>
  <c r="P383" i="13"/>
  <c r="P382" i="13"/>
  <c r="P381" i="13"/>
  <c r="P380" i="13"/>
  <c r="P379" i="13"/>
  <c r="P378" i="13"/>
  <c r="P377" i="13"/>
  <c r="P376" i="13"/>
  <c r="P375" i="13"/>
  <c r="P374" i="13"/>
  <c r="P373" i="13"/>
  <c r="P372" i="13"/>
  <c r="P371" i="13"/>
  <c r="P370" i="13"/>
  <c r="P369" i="13"/>
  <c r="P368" i="13"/>
  <c r="P367" i="13"/>
  <c r="P366" i="13"/>
  <c r="P365" i="13"/>
  <c r="P364" i="13"/>
  <c r="P363" i="13"/>
  <c r="P362" i="13"/>
  <c r="P361" i="13"/>
  <c r="P360" i="13"/>
  <c r="P359" i="13"/>
  <c r="P358" i="13"/>
  <c r="P357" i="13"/>
  <c r="P356" i="13"/>
  <c r="P355" i="13"/>
  <c r="P354" i="13"/>
  <c r="P353" i="13"/>
  <c r="P352" i="13"/>
  <c r="P351" i="13"/>
  <c r="P350" i="13"/>
  <c r="P349" i="13"/>
  <c r="P348" i="13"/>
  <c r="P347" i="13"/>
  <c r="P346" i="13"/>
  <c r="P345" i="13"/>
  <c r="P344" i="13"/>
  <c r="P343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30" i="13"/>
  <c r="P329" i="13"/>
  <c r="P328" i="13"/>
  <c r="P327" i="13"/>
  <c r="P326" i="13"/>
  <c r="P325" i="13"/>
  <c r="P324" i="13"/>
  <c r="P323" i="13"/>
  <c r="P322" i="13"/>
  <c r="P321" i="13"/>
  <c r="P320" i="13"/>
  <c r="P319" i="13"/>
  <c r="P318" i="13"/>
  <c r="P317" i="13"/>
  <c r="P316" i="13"/>
  <c r="P315" i="13"/>
  <c r="P314" i="13"/>
  <c r="P313" i="13"/>
  <c r="P312" i="13"/>
  <c r="P311" i="13"/>
  <c r="P310" i="13"/>
  <c r="P309" i="13"/>
  <c r="P308" i="13"/>
  <c r="P307" i="13"/>
  <c r="P306" i="13"/>
  <c r="P305" i="13"/>
  <c r="P304" i="13"/>
  <c r="P303" i="13"/>
  <c r="P302" i="13"/>
  <c r="P301" i="13"/>
  <c r="P300" i="13"/>
  <c r="P299" i="13"/>
  <c r="P298" i="13"/>
  <c r="P297" i="13"/>
  <c r="P296" i="13"/>
  <c r="P295" i="13"/>
  <c r="P294" i="13"/>
  <c r="P293" i="13"/>
  <c r="P292" i="13"/>
  <c r="P291" i="13"/>
  <c r="P290" i="13"/>
  <c r="P289" i="13"/>
  <c r="P288" i="13"/>
  <c r="P287" i="13"/>
  <c r="P286" i="13"/>
  <c r="P285" i="13"/>
  <c r="P284" i="13"/>
  <c r="P283" i="13"/>
  <c r="P282" i="13"/>
  <c r="P281" i="13"/>
  <c r="P280" i="13"/>
  <c r="P279" i="13"/>
  <c r="P278" i="13"/>
  <c r="P277" i="13"/>
  <c r="P276" i="13"/>
  <c r="P275" i="13"/>
  <c r="P274" i="13"/>
  <c r="P273" i="13"/>
  <c r="P272" i="13"/>
  <c r="P271" i="13"/>
  <c r="P270" i="13"/>
  <c r="P269" i="13"/>
  <c r="P268" i="13"/>
  <c r="P267" i="13"/>
  <c r="P266" i="13"/>
  <c r="P265" i="13"/>
  <c r="P264" i="13"/>
  <c r="P263" i="13"/>
  <c r="P262" i="13"/>
  <c r="P261" i="13"/>
  <c r="P260" i="13"/>
  <c r="P259" i="13"/>
  <c r="P258" i="13"/>
  <c r="P257" i="13"/>
  <c r="P256" i="13"/>
  <c r="P255" i="13"/>
  <c r="P254" i="13"/>
  <c r="P253" i="13"/>
  <c r="P252" i="13"/>
  <c r="P251" i="13"/>
  <c r="P250" i="13"/>
  <c r="P249" i="13"/>
  <c r="P248" i="13"/>
  <c r="P247" i="13"/>
  <c r="P246" i="13"/>
  <c r="P245" i="13"/>
  <c r="P244" i="13"/>
  <c r="P243" i="13"/>
  <c r="P242" i="13"/>
  <c r="P241" i="13"/>
  <c r="P240" i="13"/>
  <c r="P239" i="13"/>
  <c r="P238" i="13"/>
  <c r="P237" i="13"/>
  <c r="P236" i="13"/>
  <c r="P235" i="13"/>
  <c r="P234" i="13"/>
  <c r="P233" i="13"/>
  <c r="P232" i="13"/>
  <c r="P231" i="13"/>
  <c r="P230" i="13"/>
  <c r="P229" i="13"/>
  <c r="P228" i="13"/>
  <c r="P227" i="13"/>
  <c r="P226" i="13"/>
  <c r="P225" i="13"/>
  <c r="P224" i="13"/>
  <c r="P223" i="13"/>
  <c r="P222" i="13"/>
  <c r="P221" i="13"/>
  <c r="P220" i="13"/>
  <c r="P219" i="13"/>
  <c r="P218" i="13"/>
  <c r="P217" i="13"/>
  <c r="P216" i="13"/>
  <c r="P215" i="13"/>
  <c r="P214" i="13"/>
  <c r="P213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154" i="13"/>
  <c r="P153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2" i="13"/>
  <c r="I39" i="6"/>
  <c r="F39" i="6"/>
  <c r="I38" i="6"/>
  <c r="F38" i="6"/>
  <c r="I37" i="6"/>
  <c r="F37" i="6"/>
  <c r="I36" i="6"/>
  <c r="F36" i="6"/>
  <c r="F35" i="6"/>
  <c r="I33" i="6"/>
  <c r="F33" i="6"/>
  <c r="I32" i="6"/>
  <c r="F32" i="6"/>
  <c r="I31" i="6"/>
  <c r="F31" i="6"/>
  <c r="I30" i="6"/>
  <c r="F30" i="6"/>
  <c r="I29" i="6"/>
  <c r="F29" i="6"/>
  <c r="I28" i="6"/>
  <c r="F28" i="6"/>
  <c r="I27" i="6"/>
  <c r="F27" i="6"/>
  <c r="I26" i="6"/>
  <c r="F26" i="6"/>
  <c r="I25" i="6"/>
  <c r="F25" i="6"/>
  <c r="I24" i="6"/>
  <c r="F24" i="6"/>
  <c r="G4" i="6"/>
  <c r="G5" i="6"/>
  <c r="G6" i="6"/>
  <c r="G7" i="6"/>
  <c r="G8" i="6"/>
  <c r="G9" i="6"/>
  <c r="G10" i="6"/>
  <c r="G11" i="6"/>
  <c r="G12" i="6"/>
  <c r="G14" i="6"/>
  <c r="G15" i="6"/>
  <c r="G16" i="6"/>
  <c r="G17" i="6"/>
  <c r="G18" i="6"/>
  <c r="G19" i="6"/>
  <c r="G3" i="6"/>
  <c r="F19" i="6"/>
  <c r="F18" i="6"/>
  <c r="F17" i="6"/>
  <c r="F16" i="6"/>
  <c r="F15" i="6"/>
  <c r="F14" i="6"/>
  <c r="F12" i="6"/>
  <c r="F11" i="6"/>
  <c r="F10" i="6"/>
  <c r="F9" i="6"/>
  <c r="F8" i="6"/>
  <c r="F7" i="6"/>
  <c r="F6" i="6"/>
  <c r="F5" i="6"/>
  <c r="F4" i="6"/>
  <c r="F3" i="6"/>
  <c r="AK15" i="13" l="1"/>
  <c r="Y15" i="13"/>
  <c r="AJ15" i="13"/>
  <c r="X15" i="13"/>
  <c r="AI15" i="13"/>
  <c r="W15" i="13"/>
  <c r="Y31" i="13" s="1"/>
  <c r="AH15" i="13"/>
  <c r="AG15" i="13"/>
  <c r="AF15" i="13"/>
  <c r="AE15" i="13"/>
  <c r="V15" i="13"/>
  <c r="Y25" i="13" s="1"/>
  <c r="AD15" i="13"/>
  <c r="AC15" i="13"/>
  <c r="Z15" i="13"/>
  <c r="Y49" i="13" s="1"/>
  <c r="AB15" i="13"/>
  <c r="AA15" i="13"/>
  <c r="R12" i="13"/>
  <c r="AB10" i="13"/>
  <c r="Y56" i="13" s="1"/>
  <c r="AA10" i="13"/>
  <c r="Y50" i="13" s="1"/>
  <c r="Z10" i="13"/>
  <c r="Y44" i="13" s="1"/>
  <c r="AK10" i="13"/>
  <c r="Y10" i="13"/>
  <c r="Y38" i="13" s="1"/>
  <c r="AC10" i="13"/>
  <c r="AJ10" i="13"/>
  <c r="X10" i="13"/>
  <c r="Y32" i="13" s="1"/>
  <c r="V10" i="13"/>
  <c r="Y20" i="13" s="1"/>
  <c r="AI10" i="13"/>
  <c r="W10" i="13"/>
  <c r="AH10" i="13"/>
  <c r="AG10" i="13"/>
  <c r="AF10" i="13"/>
  <c r="AE10" i="13"/>
  <c r="AD10" i="13"/>
  <c r="AK11" i="13"/>
  <c r="Y11" i="13"/>
  <c r="Y39" i="13" s="1"/>
  <c r="Z11" i="13"/>
  <c r="Y45" i="13" s="1"/>
  <c r="AJ11" i="13"/>
  <c r="X11" i="13"/>
  <c r="Y33" i="13" s="1"/>
  <c r="AI11" i="13"/>
  <c r="W11" i="13"/>
  <c r="Y27" i="13" s="1"/>
  <c r="AH11" i="13"/>
  <c r="AG11" i="13"/>
  <c r="AF11" i="13"/>
  <c r="AE11" i="13"/>
  <c r="AD11" i="13"/>
  <c r="AC11" i="13"/>
  <c r="AB11" i="13"/>
  <c r="AA11" i="13"/>
  <c r="V11" i="13"/>
  <c r="Y21" i="13" s="1"/>
  <c r="AE13" i="13"/>
  <c r="Y77" i="13" s="1"/>
  <c r="AD13" i="13"/>
  <c r="Y71" i="13" s="1"/>
  <c r="AC13" i="13"/>
  <c r="Y65" i="13" s="1"/>
  <c r="AB13" i="13"/>
  <c r="Y59" i="13" s="1"/>
  <c r="AA13" i="13"/>
  <c r="Y53" i="13" s="1"/>
  <c r="Z13" i="13"/>
  <c r="Y47" i="13" s="1"/>
  <c r="AK13" i="13"/>
  <c r="Y13" i="13"/>
  <c r="Y41" i="13" s="1"/>
  <c r="AJ13" i="13"/>
  <c r="X13" i="13"/>
  <c r="Y35" i="13" s="1"/>
  <c r="AI13" i="13"/>
  <c r="W13" i="13"/>
  <c r="Y29" i="13" s="1"/>
  <c r="V13" i="13"/>
  <c r="Y23" i="13" s="1"/>
  <c r="AH13" i="13"/>
  <c r="AG13" i="13"/>
  <c r="AF13" i="13"/>
  <c r="T52" i="13"/>
  <c r="X46" i="13"/>
  <c r="T55" i="13"/>
  <c r="X49" i="13"/>
  <c r="T62" i="13"/>
  <c r="X56" i="13"/>
  <c r="T51" i="13"/>
  <c r="X45" i="13"/>
  <c r="R84" i="13"/>
  <c r="X78" i="13"/>
  <c r="R83" i="13"/>
  <c r="X77" i="13"/>
  <c r="Y26" i="13"/>
  <c r="Y37" i="13"/>
  <c r="Y43" i="13"/>
  <c r="R14" i="13"/>
  <c r="AH12" i="13" l="1"/>
  <c r="AG12" i="13"/>
  <c r="AF12" i="13"/>
  <c r="W12" i="13"/>
  <c r="Y28" i="13" s="1"/>
  <c r="AE12" i="13"/>
  <c r="AD12" i="13"/>
  <c r="AC12" i="13"/>
  <c r="AB12" i="13"/>
  <c r="AA12" i="13"/>
  <c r="Y52" i="13" s="1"/>
  <c r="AI12" i="13"/>
  <c r="Z12" i="13"/>
  <c r="Y46" i="13" s="1"/>
  <c r="AK12" i="13"/>
  <c r="Y12" i="13"/>
  <c r="Y40" i="13" s="1"/>
  <c r="V12" i="13"/>
  <c r="Y22" i="13" s="1"/>
  <c r="AJ12" i="13"/>
  <c r="X12" i="13"/>
  <c r="Y34" i="13" s="1"/>
  <c r="AB14" i="13"/>
  <c r="Y60" i="13" s="1"/>
  <c r="AA14" i="13"/>
  <c r="Y54" i="13" s="1"/>
  <c r="Z14" i="13"/>
  <c r="Y48" i="13" s="1"/>
  <c r="AK14" i="13"/>
  <c r="Y14" i="13"/>
  <c r="Y42" i="13" s="1"/>
  <c r="AJ14" i="13"/>
  <c r="X14" i="13"/>
  <c r="Y36" i="13" s="1"/>
  <c r="AI14" i="13"/>
  <c r="W14" i="13"/>
  <c r="Y30" i="13" s="1"/>
  <c r="AH14" i="13"/>
  <c r="AG14" i="13"/>
  <c r="V14" i="13"/>
  <c r="Y24" i="13" s="1"/>
  <c r="AF14" i="13"/>
  <c r="Y84" i="13" s="1"/>
  <c r="AE14" i="13"/>
  <c r="Y78" i="13" s="1"/>
  <c r="AC14" i="13"/>
  <c r="Y66" i="13" s="1"/>
  <c r="AD14" i="13"/>
  <c r="Y72" i="13" s="1"/>
  <c r="T58" i="13"/>
  <c r="X52" i="13"/>
  <c r="R90" i="13"/>
  <c r="X84" i="13"/>
  <c r="T57" i="13"/>
  <c r="X51" i="13"/>
  <c r="Y51" i="13"/>
  <c r="R89" i="13"/>
  <c r="X83" i="13"/>
  <c r="Y83" i="13"/>
  <c r="T61" i="13"/>
  <c r="X55" i="13"/>
  <c r="Y55" i="13"/>
  <c r="T68" i="13"/>
  <c r="X62" i="13"/>
  <c r="Y62" i="13"/>
  <c r="Y58" i="13" l="1"/>
  <c r="T64" i="13"/>
  <c r="X58" i="13"/>
  <c r="R95" i="13"/>
  <c r="X89" i="13"/>
  <c r="Y89" i="13"/>
  <c r="T74" i="13"/>
  <c r="X68" i="13"/>
  <c r="Y68" i="13"/>
  <c r="T63" i="13"/>
  <c r="X57" i="13"/>
  <c r="Y57" i="13"/>
  <c r="T67" i="13"/>
  <c r="X61" i="13"/>
  <c r="Y61" i="13"/>
  <c r="R96" i="13"/>
  <c r="Y90" i="13"/>
  <c r="X90" i="13"/>
  <c r="T70" i="13" l="1"/>
  <c r="X64" i="13"/>
  <c r="Y64" i="13"/>
  <c r="T69" i="13"/>
  <c r="X63" i="13"/>
  <c r="Y63" i="13"/>
  <c r="T80" i="13"/>
  <c r="Y74" i="13"/>
  <c r="X74" i="13"/>
  <c r="T73" i="13"/>
  <c r="X67" i="13"/>
  <c r="Y67" i="13"/>
  <c r="R102" i="13"/>
  <c r="X96" i="13"/>
  <c r="Y96" i="13"/>
  <c r="R101" i="13"/>
  <c r="Y95" i="13"/>
  <c r="X95" i="13"/>
  <c r="T76" i="13" l="1"/>
  <c r="X70" i="13"/>
  <c r="Y70" i="13"/>
  <c r="R108" i="13"/>
  <c r="Y102" i="13"/>
  <c r="X102" i="13"/>
  <c r="R107" i="13"/>
  <c r="Y101" i="13"/>
  <c r="X101" i="13"/>
  <c r="T79" i="13"/>
  <c r="X73" i="13"/>
  <c r="Y73" i="13"/>
  <c r="T86" i="13"/>
  <c r="X80" i="13"/>
  <c r="Y80" i="13"/>
  <c r="T75" i="13"/>
  <c r="X69" i="13"/>
  <c r="Y69" i="13"/>
  <c r="T82" i="13" l="1"/>
  <c r="X76" i="13"/>
  <c r="Y76" i="13"/>
  <c r="T92" i="13"/>
  <c r="X86" i="13"/>
  <c r="Y86" i="13"/>
  <c r="T85" i="13"/>
  <c r="X79" i="13"/>
  <c r="Y79" i="13"/>
  <c r="T81" i="13"/>
  <c r="X75" i="13"/>
  <c r="Y75" i="13"/>
  <c r="R113" i="13"/>
  <c r="X107" i="13"/>
  <c r="Y107" i="13"/>
  <c r="R114" i="13"/>
  <c r="X108" i="13"/>
  <c r="Y108" i="13"/>
  <c r="T88" i="13" l="1"/>
  <c r="X82" i="13"/>
  <c r="Y82" i="13"/>
  <c r="X113" i="13"/>
  <c r="Y113" i="13"/>
  <c r="T87" i="13"/>
  <c r="X81" i="13"/>
  <c r="Y81" i="13"/>
  <c r="T91" i="13"/>
  <c r="X85" i="13"/>
  <c r="Y85" i="13"/>
  <c r="T98" i="13"/>
  <c r="Y92" i="13"/>
  <c r="X92" i="13"/>
  <c r="Y114" i="13"/>
  <c r="X114" i="13"/>
  <c r="T94" i="13" l="1"/>
  <c r="X88" i="13"/>
  <c r="Y88" i="13"/>
  <c r="T104" i="13"/>
  <c r="Y98" i="13"/>
  <c r="X98" i="13"/>
  <c r="T97" i="13"/>
  <c r="X91" i="13"/>
  <c r="Y91" i="13"/>
  <c r="T93" i="13"/>
  <c r="X87" i="13"/>
  <c r="Y87" i="13"/>
  <c r="T100" i="13" l="1"/>
  <c r="X94" i="13"/>
  <c r="Y94" i="13"/>
  <c r="T99" i="13"/>
  <c r="X93" i="13"/>
  <c r="Y93" i="13"/>
  <c r="T103" i="13"/>
  <c r="X97" i="13"/>
  <c r="Y97" i="13"/>
  <c r="T110" i="13"/>
  <c r="X104" i="13"/>
  <c r="Y104" i="13"/>
  <c r="T106" i="13" l="1"/>
  <c r="X100" i="13"/>
  <c r="Y100" i="13"/>
  <c r="T105" i="13"/>
  <c r="X99" i="13"/>
  <c r="Y99" i="13"/>
  <c r="X110" i="13"/>
  <c r="Y110" i="13"/>
  <c r="T109" i="13"/>
  <c r="X103" i="13"/>
  <c r="Y103" i="13"/>
  <c r="T112" i="13" l="1"/>
  <c r="X106" i="13"/>
  <c r="Y106" i="13"/>
  <c r="T115" i="13"/>
  <c r="X109" i="13"/>
  <c r="Y109" i="13"/>
  <c r="T111" i="13"/>
  <c r="X105" i="13"/>
  <c r="Y105" i="13"/>
  <c r="X112" i="13" l="1"/>
  <c r="Y112" i="13"/>
  <c r="X111" i="13"/>
  <c r="Y111" i="13"/>
  <c r="X115" i="13"/>
  <c r="Y1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9" authorId="0" shapeId="0" xr:uid="{8F64B8F5-8544-4322-AA04-CB3C3224A599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27-01-2021
</t>
        </r>
      </text>
    </comment>
    <comment ref="A10" authorId="0" shapeId="0" xr:uid="{ADA75BF8-D61A-47EE-97D1-32D79EE57EFD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11-02-2021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AMIT</author>
  </authors>
  <commentList>
    <comment ref="D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25-04-2019
so that prices don't increase much over the equilibrium point.
</t>
        </r>
      </text>
    </comment>
    <comment ref="D6" authorId="0" shapeId="0" xr:uid="{B6677A04-C1C1-4F85-B052-2C51B74025A8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08-06-2020
making expensive bio abundant
</t>
        </r>
      </text>
    </comment>
    <comment ref="D11" authorId="0" shapeId="0" xr:uid="{DE928126-E8FE-4469-8FFD-3E02C4261248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27-04-2020
minimum utilization so that the maintaining capacity is economic at plant level
</t>
        </r>
      </text>
    </comment>
    <comment ref="B21" authorId="1" shapeId="0" xr:uid="{9B568097-EE00-4937-8511-B207FE2CE89C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05-01-2020
this is being done to maintain heat production while we get reasonable demand from the restart file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24-08-2019
will work with new VEDA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P1" authorId="0" shapeId="0" xr:uid="{1C977F45-1A0E-4FC5-B035-292D697A5DA7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30-12-2020
last historical year (written by MIG)
</t>
        </r>
      </text>
    </comment>
  </commentList>
</comments>
</file>

<file path=xl/sharedStrings.xml><?xml version="1.0" encoding="utf-8"?>
<sst xmlns="http://schemas.openxmlformats.org/spreadsheetml/2006/main" count="40340" uniqueCount="3307">
  <si>
    <t>~UC_Sets: R_E: AllRegions</t>
  </si>
  <si>
    <t>UC_N</t>
  </si>
  <si>
    <t>Pset_CI</t>
  </si>
  <si>
    <t>Year</t>
  </si>
  <si>
    <t>Pset_PN</t>
  </si>
  <si>
    <t>Pset_Set</t>
  </si>
  <si>
    <t>UC_CAP</t>
  </si>
  <si>
    <t>Attribute</t>
  </si>
  <si>
    <t>LimType</t>
  </si>
  <si>
    <t>UC_Desc</t>
  </si>
  <si>
    <t>TimeSlice</t>
  </si>
  <si>
    <t>AllRegions</t>
  </si>
  <si>
    <t>Attrib_Cond</t>
  </si>
  <si>
    <t>Val_Cond</t>
  </si>
  <si>
    <t>~TFM_UPD</t>
  </si>
  <si>
    <t>Trans - Update</t>
  </si>
  <si>
    <t>ACT_BND</t>
  </si>
  <si>
    <t>UC_ATTR</t>
  </si>
  <si>
    <t>UC_CAP~RHS</t>
  </si>
  <si>
    <t>CAP, GROWTH</t>
  </si>
  <si>
    <t>UP</t>
  </si>
  <si>
    <t>PSET_CI</t>
  </si>
  <si>
    <t>ELCOIL*</t>
  </si>
  <si>
    <t>UC_Capdecay-OIL</t>
  </si>
  <si>
    <t>UC_Capdecay-Coa</t>
  </si>
  <si>
    <t>ELCCOA</t>
  </si>
  <si>
    <t>UC_RHSRT</t>
  </si>
  <si>
    <t>UC_RHSRT~0</t>
  </si>
  <si>
    <t>ELCGAS</t>
  </si>
  <si>
    <t>UC_Capdecay-Gas</t>
  </si>
  <si>
    <t>PSET_SET</t>
  </si>
  <si>
    <t>EN_COAPUL</t>
  </si>
  <si>
    <t>EN_COAIGCC</t>
  </si>
  <si>
    <t>EN_ZCOAIGCC</t>
  </si>
  <si>
    <t>EN_ZGasCCAdv</t>
  </si>
  <si>
    <t>EN_GasCCAdv</t>
  </si>
  <si>
    <t>EN_GasCC</t>
  </si>
  <si>
    <t>EN_GasCTAdv</t>
  </si>
  <si>
    <t>EN_GasCT</t>
  </si>
  <si>
    <t>EN_OilCCAdv</t>
  </si>
  <si>
    <t>EN_NuclearAdv</t>
  </si>
  <si>
    <t>EN_Hydro*</t>
  </si>
  <si>
    <t>E_SPV*</t>
  </si>
  <si>
    <t>E[_]WOF*</t>
  </si>
  <si>
    <t>E[_]WON*</t>
  </si>
  <si>
    <t>INVCOST</t>
  </si>
  <si>
    <t>PSET_PN</t>
  </si>
  <si>
    <t>discount rate</t>
  </si>
  <si>
    <t>ILED</t>
  </si>
  <si>
    <t>Technology</t>
  </si>
  <si>
    <t>~UC_Sets: T_E:</t>
  </si>
  <si>
    <t>Non-Decreasing_Wind</t>
  </si>
  <si>
    <t>Non-Decreasing_Solar</t>
  </si>
  <si>
    <t>UC_ACT</t>
  </si>
  <si>
    <t>UC_ACT~RHS</t>
  </si>
  <si>
    <t>ACT, GROWTH</t>
  </si>
  <si>
    <t>ELCWIN</t>
  </si>
  <si>
    <t>ELCSOL</t>
  </si>
  <si>
    <t>non-decreasing wind generation</t>
  </si>
  <si>
    <t>non-decreasing solar generation</t>
  </si>
  <si>
    <t>ELE</t>
  </si>
  <si>
    <t>LHS</t>
  </si>
  <si>
    <t>ACT,NEWFLO</t>
  </si>
  <si>
    <t>EBldRateStep_Win_2</t>
  </si>
  <si>
    <t>EBldRateStep_Win_3</t>
  </si>
  <si>
    <t>UC_NCAP</t>
  </si>
  <si>
    <t>NCAP,GROWTH</t>
  </si>
  <si>
    <t>AFR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</si>
  <si>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</si>
  <si>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</si>
  <si>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</si>
  <si>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</si>
  <si>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</si>
  <si>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</si>
  <si>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</si>
  <si>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</si>
  <si>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</si>
  <si>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</si>
  <si>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</si>
  <si>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</si>
  <si>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</si>
  <si>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</si>
  <si>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</si>
  <si>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Tech</t>
  </si>
  <si>
    <t>UC_NCAP~RHS</t>
  </si>
  <si>
    <t>deactivated</t>
  </si>
  <si>
    <t>ELCHYD</t>
  </si>
  <si>
    <t>EBldRateStep_HYD_2</t>
  </si>
  <si>
    <t>EBldRateStep_HYD_3</t>
  </si>
  <si>
    <t>*INVCOST</t>
  </si>
  <si>
    <t>~TFM_INS-TS</t>
  </si>
  <si>
    <t>Scenario</t>
  </si>
  <si>
    <t>Solar-EIA-c</t>
  </si>
  <si>
    <t>BaseExtra</t>
  </si>
  <si>
    <t>ELCCOA,ELCHYD</t>
  </si>
  <si>
    <t>BaseEXTRA</t>
  </si>
  <si>
    <t>-</t>
  </si>
  <si>
    <t>USD10</t>
  </si>
  <si>
    <t>E_WON_Far_C1_AGO</t>
  </si>
  <si>
    <t>E_WON_Far_C1_BWA</t>
  </si>
  <si>
    <t>E_WON_Far_C1_CAF</t>
  </si>
  <si>
    <t>E_WON_Far_C1_CIV</t>
  </si>
  <si>
    <t>E_WON_Far_C1_CMR</t>
  </si>
  <si>
    <t>E_WON_Far_C1_COG</t>
  </si>
  <si>
    <t>E_WON_Far_C1_DZA</t>
  </si>
  <si>
    <t>E_WON_Far_C1_EGY</t>
  </si>
  <si>
    <t>E_WON_Far_C1_ERI</t>
  </si>
  <si>
    <t>E_WON_Far_C1_ETH</t>
  </si>
  <si>
    <t>E_WON_Far_C1_GAB</t>
  </si>
  <si>
    <t>E_WON_Far_C1_GIN</t>
  </si>
  <si>
    <t>E_WON_Far_C1_GNB</t>
  </si>
  <si>
    <t>E_WON_Far_C1_KEN</t>
  </si>
  <si>
    <t>E_WON_Far_C1_LBR</t>
  </si>
  <si>
    <t>E_WON_Far_C1_MAR</t>
  </si>
  <si>
    <t>E_WON_Far_C1_MDG</t>
  </si>
  <si>
    <t>E_WON_Far_C1_MLI</t>
  </si>
  <si>
    <t>E_WON_Far_C1_MOZ</t>
  </si>
  <si>
    <t>E_WON_Far_C1_NER</t>
  </si>
  <si>
    <t>E_WON_Far_C1_NGA</t>
  </si>
  <si>
    <t>E_WON_Far_C1_SDN</t>
  </si>
  <si>
    <t>E_WON_Far_C1_SEN</t>
  </si>
  <si>
    <t>E_WON_Far_C1_TCD</t>
  </si>
  <si>
    <t>E_WON_Far_C1_TZA</t>
  </si>
  <si>
    <t>E_WON_Far_C1_ZAF</t>
  </si>
  <si>
    <t>E_WON_Far_C1_ZMB</t>
  </si>
  <si>
    <t>E_WON_Far_C1_ZWE</t>
  </si>
  <si>
    <t>E_WON_Far_C2_AGO</t>
  </si>
  <si>
    <t>E_WON_Far_C2_BFA</t>
  </si>
  <si>
    <t>E_WON_Far_C2_BWA</t>
  </si>
  <si>
    <t>E_WON_Far_C2_CAF</t>
  </si>
  <si>
    <t>E_WON_Far_C2_CIV</t>
  </si>
  <si>
    <t>E_WON_Far_C2_COG</t>
  </si>
  <si>
    <t>E_WON_Far_C2_DZA</t>
  </si>
  <si>
    <t>E_WON_Far_C2_EGY</t>
  </si>
  <si>
    <t>E_WON_Far_C2_ERI</t>
  </si>
  <si>
    <t>E_WON_Far_C2_ETH</t>
  </si>
  <si>
    <t>E_WON_Far_C2_GIN</t>
  </si>
  <si>
    <t>E_WON_Far_C2_KEN</t>
  </si>
  <si>
    <t>E_WON_Far_C2_LBY</t>
  </si>
  <si>
    <t>E_WON_Far_C2_MAR</t>
  </si>
  <si>
    <t>E_WON_Far_C2_MDG</t>
  </si>
  <si>
    <t>E_WON_Far_C2_MLI</t>
  </si>
  <si>
    <t>E_WON_Far_C2_MOZ</t>
  </si>
  <si>
    <t>E_WON_Far_C2_MRT</t>
  </si>
  <si>
    <t>E_WON_Far_C2_NER</t>
  </si>
  <si>
    <t>E_WON_Far_C2_SDN</t>
  </si>
  <si>
    <t>E_WON_Far_C2_SEN</t>
  </si>
  <si>
    <t>E_WON_Far_C2_TCD</t>
  </si>
  <si>
    <t>E_WON_Far_C2_TZA</t>
  </si>
  <si>
    <t>E_WON_Far_C2_ZAF</t>
  </si>
  <si>
    <t>E_WON_Far_C2_ZMB</t>
  </si>
  <si>
    <t>E_WON_Far_C2_ZWE</t>
  </si>
  <si>
    <t>E_WON_Far_C3_AGO</t>
  </si>
  <si>
    <t>E_WON_Far_C3_BFA</t>
  </si>
  <si>
    <t>E_WON_Far_C3_BWA</t>
  </si>
  <si>
    <t>E_WON_Far_C3_COG</t>
  </si>
  <si>
    <t>E_WON_Far_C3_DZA</t>
  </si>
  <si>
    <t>E_WON_Far_C3_EGY</t>
  </si>
  <si>
    <t>E_WON_Far_C3_ETH</t>
  </si>
  <si>
    <t>E_WON_Far_C3_KEN</t>
  </si>
  <si>
    <t>E_WON_Far_C3_LBY</t>
  </si>
  <si>
    <t>E_WON_Far_C3_MAR</t>
  </si>
  <si>
    <t>E_WON_Far_C3_MDG</t>
  </si>
  <si>
    <t>E_WON_Far_C3_MLI</t>
  </si>
  <si>
    <t>E_WON_Far_C3_MOZ</t>
  </si>
  <si>
    <t>E_WON_Far_C3_MRT</t>
  </si>
  <si>
    <t>E_WON_Far_C3_NER</t>
  </si>
  <si>
    <t>E_WON_Far_C3_NGA</t>
  </si>
  <si>
    <t>E_WON_Far_C3_SDN</t>
  </si>
  <si>
    <t>E_WON_Far_C3_SEN</t>
  </si>
  <si>
    <t>E_WON_Far_C3_SOM</t>
  </si>
  <si>
    <t>E_WON_Far_C3_TCD</t>
  </si>
  <si>
    <t>E_WON_Far_C3_TUN</t>
  </si>
  <si>
    <t>E_WON_Far_C3_TZA</t>
  </si>
  <si>
    <t>E_WON_Far_C3_ZAF</t>
  </si>
  <si>
    <t>E_WON_Far_C3_ZMB</t>
  </si>
  <si>
    <t>E_WON_Far_C3_ZWE</t>
  </si>
  <si>
    <t>E_WON_Far_C4_BWA</t>
  </si>
  <si>
    <t>E_WON_Far_C4_CPV</t>
  </si>
  <si>
    <t>E_WON_Far_C4_DZA</t>
  </si>
  <si>
    <t>E_WON_Far_C4_EGY</t>
  </si>
  <si>
    <t>E_WON_Far_C4_ETH</t>
  </si>
  <si>
    <t>E_WON_Far_C4_KEN</t>
  </si>
  <si>
    <t>E_WON_Far_C4_LBY</t>
  </si>
  <si>
    <t>E_WON_Far_C4_MAR</t>
  </si>
  <si>
    <t>E_WON_Far_C4_MDG</t>
  </si>
  <si>
    <t>E_WON_Far_C4_MOZ</t>
  </si>
  <si>
    <t>E_WON_Far_C4_MRT</t>
  </si>
  <si>
    <t>E_WON_Far_C4_NER</t>
  </si>
  <si>
    <t>E_WON_Far_C4_SDN</t>
  </si>
  <si>
    <t>E_WON_Far_C4_SOM</t>
  </si>
  <si>
    <t>E_WON_Far_C4_TCD</t>
  </si>
  <si>
    <t>E_WON_Far_C4_TZA</t>
  </si>
  <si>
    <t>E_WON_Far_C4_UGA</t>
  </si>
  <si>
    <t>E_WON_Far_C4_ZAF</t>
  </si>
  <si>
    <t>E_WON_Far_C4_ZMB</t>
  </si>
  <si>
    <t>E_WON_Far_C4_ZWE</t>
  </si>
  <si>
    <t>E_WON_Far_C5_DZA</t>
  </si>
  <si>
    <t>E_WON_Far_C5_ERI</t>
  </si>
  <si>
    <t>E_WON_Far_C5_ETH</t>
  </si>
  <si>
    <t>E_WON_Far_C5_KEN</t>
  </si>
  <si>
    <t>E_WON_Far_C5_LBY</t>
  </si>
  <si>
    <t>E_WON_Far_C5_MAR</t>
  </si>
  <si>
    <t>E_WON_Far_C5_MDG</t>
  </si>
  <si>
    <t>E_WON_Far_C5_MOZ</t>
  </si>
  <si>
    <t>E_WON_Far_C5_MRT</t>
  </si>
  <si>
    <t>E_WON_Far_C5_NER</t>
  </si>
  <si>
    <t>E_WON_Far_C5_SDN</t>
  </si>
  <si>
    <t>E_WON_Far_C5_SOM</t>
  </si>
  <si>
    <t>E_WON_Far_C5_TCD</t>
  </si>
  <si>
    <t>E_WON_Far_C5_TZA</t>
  </si>
  <si>
    <t>E_WON_Far_C5_UGA</t>
  </si>
  <si>
    <t>E_WON_Far_C5_ZMB</t>
  </si>
  <si>
    <t>E_WON_Far_C6_ETH</t>
  </si>
  <si>
    <t>E_WON_Far_C6_KEN</t>
  </si>
  <si>
    <t>E_WON_Far_C6_LBY</t>
  </si>
  <si>
    <t>E_WON_Far_C6_MAR</t>
  </si>
  <si>
    <t>E_WON_Far_C6_MDG</t>
  </si>
  <si>
    <t>E_WON_Far_C6_MRT</t>
  </si>
  <si>
    <t>E_WON_Far_C6_NER</t>
  </si>
  <si>
    <t>E_WON_Far_C6_SDN</t>
  </si>
  <si>
    <t>E_WON_Far_C6_SOM</t>
  </si>
  <si>
    <t>E_WON_Far_C6_TCD</t>
  </si>
  <si>
    <t>E_WON_Far_C6_TZA</t>
  </si>
  <si>
    <t>E_WON_Far_C6_UGA</t>
  </si>
  <si>
    <t>E_WON_Far_C7_ETH</t>
  </si>
  <si>
    <t>E_WON_Far_C7_KEN</t>
  </si>
  <si>
    <t>E_WON_Far_C7_MAR</t>
  </si>
  <si>
    <t>E_WON_Far_C7_MDG</t>
  </si>
  <si>
    <t>E_WON_Far_C7_SOM</t>
  </si>
  <si>
    <t>E_WON_Far_C7_TCD</t>
  </si>
  <si>
    <t>E_WON_Far_C8_ETH</t>
  </si>
  <si>
    <t>E_WON_Far_C8_KEN</t>
  </si>
  <si>
    <t>E_WON_Far_C8_MDG</t>
  </si>
  <si>
    <t>E_WON_Far_C8_SOM</t>
  </si>
  <si>
    <t>E_WON_Far_C8_TCD</t>
  </si>
  <si>
    <t>E_WON_Far_C9_ETH</t>
  </si>
  <si>
    <t>E_WON_Far_C9_KEN</t>
  </si>
  <si>
    <t>E_WON_Far_C9_MDG</t>
  </si>
  <si>
    <t>E_WON_Far_C9_SOM</t>
  </si>
  <si>
    <t>E_WON_Near_C1_AGO</t>
  </si>
  <si>
    <t>E_WON_Near_C1_BDI</t>
  </si>
  <si>
    <t>E_WON_Near_C1_BEN</t>
  </si>
  <si>
    <t>E_WON_Near_C1_BFA</t>
  </si>
  <si>
    <t>E_WON_Near_C1_BWA</t>
  </si>
  <si>
    <t>E_WON_Near_C1_CAF</t>
  </si>
  <si>
    <t>E_WON_Near_C1_CIV</t>
  </si>
  <si>
    <t>E_WON_Near_C1_CMR</t>
  </si>
  <si>
    <t>E_WON_Near_C1_COG</t>
  </si>
  <si>
    <t>E_WON_Near_C1_DJI</t>
  </si>
  <si>
    <t>E_WON_Near_C1_DZA</t>
  </si>
  <si>
    <t>E_WON_Near_C1_EGY</t>
  </si>
  <si>
    <t>E_WON_Near_C1_ETH</t>
  </si>
  <si>
    <t>E_WON_Near_C1_GAB</t>
  </si>
  <si>
    <t>E_WON_Near_C1_GHA</t>
  </si>
  <si>
    <t>E_WON_Near_C1_GIN</t>
  </si>
  <si>
    <t>E_WON_Near_C1_GMB</t>
  </si>
  <si>
    <t>E_WON_Near_C1_GNB</t>
  </si>
  <si>
    <t>E_WON_Near_C1_GNQ</t>
  </si>
  <si>
    <t>E_WON_Near_C1_KEN</t>
  </si>
  <si>
    <t>E_WON_Near_C1_LBR</t>
  </si>
  <si>
    <t>E_WON_Near_C1_LSO</t>
  </si>
  <si>
    <t>E_WON_Near_C1_MAR</t>
  </si>
  <si>
    <t>E_WON_Near_C1_MDG</t>
  </si>
  <si>
    <t>E_WON_Near_C1_MLI</t>
  </si>
  <si>
    <t>E_WON_Near_C1_MOZ</t>
  </si>
  <si>
    <t>E_WON_Near_C1_MWI</t>
  </si>
  <si>
    <t>E_WON_Near_C1_NER</t>
  </si>
  <si>
    <t>E_WON_Near_C1_NGA</t>
  </si>
  <si>
    <t>E_WON_Near_C1_RWA</t>
  </si>
  <si>
    <t>E_WON_Near_C1_SDN</t>
  </si>
  <si>
    <t>E_WON_Near_C1_SEN</t>
  </si>
  <si>
    <t>E_WON_Near_C1_SLE</t>
  </si>
  <si>
    <t>E_WON_Near_C1_SOM</t>
  </si>
  <si>
    <t>E_WON_Near_C1_SWZ</t>
  </si>
  <si>
    <t>E_WON_Near_C1_TCD</t>
  </si>
  <si>
    <t>E_WON_Near_C1_TGO</t>
  </si>
  <si>
    <t>E_WON_Near_C1_TZA</t>
  </si>
  <si>
    <t>E_WON_Near_C1_UGA</t>
  </si>
  <si>
    <t>E_WON_Near_C1_ZAF</t>
  </si>
  <si>
    <t>E_WON_Near_C1_ZMB</t>
  </si>
  <si>
    <t>E_WON_Near_C1_ZWE</t>
  </si>
  <si>
    <t>E_WON_Near_C2_BEN</t>
  </si>
  <si>
    <t>E_WON_Near_C2_BFA</t>
  </si>
  <si>
    <t>E_WON_Near_C2_BWA</t>
  </si>
  <si>
    <t>E_WON_Near_C2_CIV</t>
  </si>
  <si>
    <t>E_WON_Near_C2_CMR</t>
  </si>
  <si>
    <t>E_WON_Near_C2_COG</t>
  </si>
  <si>
    <t>E_WON_Near_C2_DJI</t>
  </si>
  <si>
    <t>E_WON_Near_C2_DZA</t>
  </si>
  <si>
    <t>E_WON_Near_C2_EGY</t>
  </si>
  <si>
    <t>E_WON_Near_C2_ERI</t>
  </si>
  <si>
    <t>E_WON_Near_C2_ETH</t>
  </si>
  <si>
    <t>E_WON_Near_C2_GHA</t>
  </si>
  <si>
    <t>E_WON_Near_C2_GIN</t>
  </si>
  <si>
    <t>E_WON_Near_C2_GMB</t>
  </si>
  <si>
    <t>E_WON_Near_C2_GNB</t>
  </si>
  <si>
    <t>E_WON_Near_C2_KEN</t>
  </si>
  <si>
    <t>E_WON_Near_C2_LBY</t>
  </si>
  <si>
    <t>E_WON_Near_C2_LSO</t>
  </si>
  <si>
    <t>E_WON_Near_C2_MAR</t>
  </si>
  <si>
    <t>E_WON_Near_C2_MDG</t>
  </si>
  <si>
    <t>E_WON_Near_C2_MLI</t>
  </si>
  <si>
    <t>E_WON_Near_C2_MOZ</t>
  </si>
  <si>
    <t>E_WON_Near_C2_MWI</t>
  </si>
  <si>
    <t>E_WON_Near_C2_NER</t>
  </si>
  <si>
    <t>E_WON_Near_C2_NGA</t>
  </si>
  <si>
    <t>E_WON_Near_C2_SDN</t>
  </si>
  <si>
    <t>E_WON_Near_C2_SEN</t>
  </si>
  <si>
    <t>E_WON_Near_C2_SOM</t>
  </si>
  <si>
    <t>E_WON_Near_C2_SWZ</t>
  </si>
  <si>
    <t>E_WON_Near_C2_TCD</t>
  </si>
  <si>
    <t>E_WON_Near_C2_TGO</t>
  </si>
  <si>
    <t>E_WON_Near_C2_TUN</t>
  </si>
  <si>
    <t>E_WON_Near_C2_TZA</t>
  </si>
  <si>
    <t>E_WON_Near_C2_UGA</t>
  </si>
  <si>
    <t>E_WON_Near_C2_ZAF</t>
  </si>
  <si>
    <t>E_WON_Near_C2_ZMB</t>
  </si>
  <si>
    <t>E_WON_Near_C2_ZWE</t>
  </si>
  <si>
    <t>E_WON_Near_C3_BEN</t>
  </si>
  <si>
    <t>E_WON_Near_C3_BWA</t>
  </si>
  <si>
    <t>E_WON_Near_C3_CMR</t>
  </si>
  <si>
    <t>E_WON_Near_C3_COG</t>
  </si>
  <si>
    <t>E_WON_Near_C3_DJI</t>
  </si>
  <si>
    <t>E_WON_Near_C3_DZA</t>
  </si>
  <si>
    <t>E_WON_Near_C3_EGY</t>
  </si>
  <si>
    <t>E_WON_Near_C3_ERI</t>
  </si>
  <si>
    <t>E_WON_Near_C3_ETH</t>
  </si>
  <si>
    <t>E_WON_Near_C3_KEN</t>
  </si>
  <si>
    <t>E_WON_Near_C3_LBY</t>
  </si>
  <si>
    <t>E_WON_Near_C3_LSO</t>
  </si>
  <si>
    <t>E_WON_Near_C3_MAR</t>
  </si>
  <si>
    <t>E_WON_Near_C3_MDG</t>
  </si>
  <si>
    <t>E_WON_Near_C3_MLI</t>
  </si>
  <si>
    <t>E_WON_Near_C3_MOZ</t>
  </si>
  <si>
    <t>E_WON_Near_C3_MRT</t>
  </si>
  <si>
    <t>E_WON_Near_C3_MWI</t>
  </si>
  <si>
    <t>E_WON_Near_C3_NER</t>
  </si>
  <si>
    <t>E_WON_Near_C3_NGA</t>
  </si>
  <si>
    <t>E_WON_Near_C3_SDN</t>
  </si>
  <si>
    <t>E_WON_Near_C3_SEN</t>
  </si>
  <si>
    <t>E_WON_Near_C3_SOM</t>
  </si>
  <si>
    <t>E_WON_Near_C3_SWZ</t>
  </si>
  <si>
    <t>E_WON_Near_C3_TCD</t>
  </si>
  <si>
    <t>E_WON_Near_C3_TUN</t>
  </si>
  <si>
    <t>E_WON_Near_C3_TZA</t>
  </si>
  <si>
    <t>E_WON_Near_C3_UGA</t>
  </si>
  <si>
    <t>E_WON_Near_C3_ZAF</t>
  </si>
  <si>
    <t>E_WON_Near_C3_ZMB</t>
  </si>
  <si>
    <t>E_WON_Near_C3_ZWE</t>
  </si>
  <si>
    <t>E_WON_Near_C4_CMR</t>
  </si>
  <si>
    <t>E_WON_Near_C4_CPV</t>
  </si>
  <si>
    <t>E_WON_Near_C4_DJI</t>
  </si>
  <si>
    <t>E_WON_Near_C4_DZA</t>
  </si>
  <si>
    <t>E_WON_Near_C4_EGY</t>
  </si>
  <si>
    <t>E_WON_Near_C4_ERI</t>
  </si>
  <si>
    <t>E_WON_Near_C4_ETH</t>
  </si>
  <si>
    <t>E_WON_Near_C4_KEN</t>
  </si>
  <si>
    <t>E_WON_Near_C4_LBY</t>
  </si>
  <si>
    <t>E_WON_Near_C4_MAR</t>
  </si>
  <si>
    <t>E_WON_Near_C4_MDG</t>
  </si>
  <si>
    <t>E_WON_Near_C4_MOZ</t>
  </si>
  <si>
    <t>E_WON_Near_C4_MRT</t>
  </si>
  <si>
    <t>E_WON_Near_C4_MUS</t>
  </si>
  <si>
    <t>E_WON_Near_C4_MWI</t>
  </si>
  <si>
    <t>E_WON_Near_C4_NER</t>
  </si>
  <si>
    <t>E_WON_Near_C4_NGA</t>
  </si>
  <si>
    <t>E_WON_Near_C4_SDN</t>
  </si>
  <si>
    <t>E_WON_Near_C4_SEN</t>
  </si>
  <si>
    <t>E_WON_Near_C4_SOM</t>
  </si>
  <si>
    <t>E_WON_Near_C4_TUN</t>
  </si>
  <si>
    <t>E_WON_Near_C4_TZA</t>
  </si>
  <si>
    <t>E_WON_Near_C4_UGA</t>
  </si>
  <si>
    <t>E_WON_Near_C4_ZAF</t>
  </si>
  <si>
    <t>E_WON_Near_C4_ZMB</t>
  </si>
  <si>
    <t>E_WON_Near_C5_EGY</t>
  </si>
  <si>
    <t>E_WON_Near_C5_ERI</t>
  </si>
  <si>
    <t>E_WON_Near_C5_ETH</t>
  </si>
  <si>
    <t>E_WON_Near_C5_KEN</t>
  </si>
  <si>
    <t>E_WON_Near_C5_MAR</t>
  </si>
  <si>
    <t>E_WON_Near_C5_MDG</t>
  </si>
  <si>
    <t>E_WON_Near_C5_MRT</t>
  </si>
  <si>
    <t>E_WON_Near_C5_MUS</t>
  </si>
  <si>
    <t>E_WON_Near_C5_NGA</t>
  </si>
  <si>
    <t>E_WON_Near_C5_SDN</t>
  </si>
  <si>
    <t>E_WON_Near_C5_SOM</t>
  </si>
  <si>
    <t>E_WON_Near_C5_TZA</t>
  </si>
  <si>
    <t>E_WON_Near_C5_ZAF</t>
  </si>
  <si>
    <t>E_WON_Near_C6_ERI</t>
  </si>
  <si>
    <t>E_WON_Near_C6_ETH</t>
  </si>
  <si>
    <t>E_WON_Near_C6_KEN</t>
  </si>
  <si>
    <t>E_WON_Near_C6_MAR</t>
  </si>
  <si>
    <t>E_WON_Near_C6_MDG</t>
  </si>
  <si>
    <t>E_WON_Near_C6_MRT</t>
  </si>
  <si>
    <t>E_WON_Near_C6_SOM</t>
  </si>
  <si>
    <t>E_WON_Near_C6_TZA</t>
  </si>
  <si>
    <t>E_WON_Near_C6_ZAF</t>
  </si>
  <si>
    <t>E_WON_Near_C7_ERI</t>
  </si>
  <si>
    <t>E_WON_Near_C7_ETH</t>
  </si>
  <si>
    <t>E_WON_Near_C7_KEN</t>
  </si>
  <si>
    <t>E_WON_Near_C7_MAR</t>
  </si>
  <si>
    <t>E_WON_Near_C7_MDG</t>
  </si>
  <si>
    <t>E_WON_Near_C7_MRT</t>
  </si>
  <si>
    <t>E_WON_Near_C7_SOM</t>
  </si>
  <si>
    <t>E_WON_Near_C8_MAR</t>
  </si>
  <si>
    <t>E_WON_Near_C8_MRT</t>
  </si>
  <si>
    <t>E_WON_Near_C8_SOM</t>
  </si>
  <si>
    <t>E_WON_Near_C9_MDG</t>
  </si>
  <si>
    <t>E_WON_Trans_C1_AGO</t>
  </si>
  <si>
    <t>E_WON_Trans_C1_BEN</t>
  </si>
  <si>
    <t>E_WON_Trans_C1_BFA</t>
  </si>
  <si>
    <t>E_WON_Trans_C1_BWA</t>
  </si>
  <si>
    <t>E_WON_Trans_C1_CAF</t>
  </si>
  <si>
    <t>E_WON_Trans_C1_CIV</t>
  </si>
  <si>
    <t>E_WON_Trans_C1_CMR</t>
  </si>
  <si>
    <t>E_WON_Trans_C1_COG</t>
  </si>
  <si>
    <t>E_WON_Trans_C1_DJI</t>
  </si>
  <si>
    <t>E_WON_Trans_C1_DZA</t>
  </si>
  <si>
    <t>E_WON_Trans_C1_EGY</t>
  </si>
  <si>
    <t>E_WON_Trans_C1_ERI</t>
  </si>
  <si>
    <t>E_WON_Trans_C1_ETH</t>
  </si>
  <si>
    <t>E_WON_Trans_C1_GAB</t>
  </si>
  <si>
    <t>E_WON_Trans_C1_GHA</t>
  </si>
  <si>
    <t>E_WON_Trans_C1_GIN</t>
  </si>
  <si>
    <t>E_WON_Trans_C1_GMB</t>
  </si>
  <si>
    <t>E_WON_Trans_C1_GNB</t>
  </si>
  <si>
    <t>E_WON_Trans_C1_GNQ</t>
  </si>
  <si>
    <t>E_WON_Trans_C1_KEN</t>
  </si>
  <si>
    <t>E_WON_Trans_C1_LBR</t>
  </si>
  <si>
    <t>E_WON_Trans_C1_LSO</t>
  </si>
  <si>
    <t>E_WON_Trans_C1_MAR</t>
  </si>
  <si>
    <t>E_WON_Trans_C1_MDG</t>
  </si>
  <si>
    <t>E_WON_Trans_C1_MLI</t>
  </si>
  <si>
    <t>E_WON_Trans_C1_MOZ</t>
  </si>
  <si>
    <t>E_WON_Trans_C1_MWI</t>
  </si>
  <si>
    <t>E_WON_Trans_C1_NER</t>
  </si>
  <si>
    <t>E_WON_Trans_C1_NGA</t>
  </si>
  <si>
    <t>E_WON_Trans_C1_SDN</t>
  </si>
  <si>
    <t>E_WON_Trans_C1_SEN</t>
  </si>
  <si>
    <t>E_WON_Trans_C1_SLE</t>
  </si>
  <si>
    <t>E_WON_Trans_C1_SOM</t>
  </si>
  <si>
    <t>E_WON_Trans_C1_TCD</t>
  </si>
  <si>
    <t>E_WON_Trans_C1_TGO</t>
  </si>
  <si>
    <t>E_WON_Trans_C1_TZA</t>
  </si>
  <si>
    <t>E_WON_Trans_C1_UGA</t>
  </si>
  <si>
    <t>E_WON_Trans_C1_ZAF</t>
  </si>
  <si>
    <t>E_WON_Trans_C1_ZMB</t>
  </si>
  <si>
    <t>E_WON_Trans_C1_ZWE</t>
  </si>
  <si>
    <t>E_WON_Trans_C2_BEN</t>
  </si>
  <si>
    <t>E_WON_Trans_C2_BFA</t>
  </si>
  <si>
    <t>E_WON_Trans_C2_BWA</t>
  </si>
  <si>
    <t>E_WON_Trans_C2_CIV</t>
  </si>
  <si>
    <t>E_WON_Trans_C2_CMR</t>
  </si>
  <si>
    <t>E_WON_Trans_C2_COG</t>
  </si>
  <si>
    <t>E_WON_Trans_C2_DJI</t>
  </si>
  <si>
    <t>E_WON_Trans_C2_DZA</t>
  </si>
  <si>
    <t>E_WON_Trans_C2_EGY</t>
  </si>
  <si>
    <t>E_WON_Trans_C2_ERI</t>
  </si>
  <si>
    <t>E_WON_Trans_C2_ETH</t>
  </si>
  <si>
    <t>E_WON_Trans_C2_GHA</t>
  </si>
  <si>
    <t>E_WON_Trans_C2_GIN</t>
  </si>
  <si>
    <t>E_WON_Trans_C2_GMB</t>
  </si>
  <si>
    <t>E_WON_Trans_C2_GNB</t>
  </si>
  <si>
    <t>E_WON_Trans_C2_KEN</t>
  </si>
  <si>
    <t>E_WON_Trans_C2_LBY</t>
  </si>
  <si>
    <t>E_WON_Trans_C2_LSO</t>
  </si>
  <si>
    <t>E_WON_Trans_C2_MAR</t>
  </si>
  <si>
    <t>E_WON_Trans_C2_MDG</t>
  </si>
  <si>
    <t>E_WON_Trans_C2_MLI</t>
  </si>
  <si>
    <t>E_WON_Trans_C2_MOZ</t>
  </si>
  <si>
    <t>E_WON_Trans_C2_MWI</t>
  </si>
  <si>
    <t>E_WON_Trans_C2_NER</t>
  </si>
  <si>
    <t>E_WON_Trans_C2_NGA</t>
  </si>
  <si>
    <t>E_WON_Trans_C2_SDN</t>
  </si>
  <si>
    <t>E_WON_Trans_C2_SEN</t>
  </si>
  <si>
    <t>E_WON_Trans_C2_SOM</t>
  </si>
  <si>
    <t>E_WON_Trans_C2_SWZ</t>
  </si>
  <si>
    <t>E_WON_Trans_C2_TCD</t>
  </si>
  <si>
    <t>E_WON_Trans_C2_TGO</t>
  </si>
  <si>
    <t>E_WON_Trans_C2_TUN</t>
  </si>
  <si>
    <t>E_WON_Trans_C2_TZA</t>
  </si>
  <si>
    <t>E_WON_Trans_C2_UGA</t>
  </si>
  <si>
    <t>E_WON_Trans_C2_ZAF</t>
  </si>
  <si>
    <t>E_WON_Trans_C2_ZMB</t>
  </si>
  <si>
    <t>E_WON_Trans_C2_ZWE</t>
  </si>
  <si>
    <t>E_WON_Trans_C3_BEN</t>
  </si>
  <si>
    <t>E_WON_Trans_C3_BFA</t>
  </si>
  <si>
    <t>E_WON_Trans_C3_BWA</t>
  </si>
  <si>
    <t>E_WON_Trans_C3_COG</t>
  </si>
  <si>
    <t>E_WON_Trans_C3_DJI</t>
  </si>
  <si>
    <t>E_WON_Trans_C3_DZA</t>
  </si>
  <si>
    <t>E_WON_Trans_C3_EGY</t>
  </si>
  <si>
    <t>E_WON_Trans_C3_ERI</t>
  </si>
  <si>
    <t>E_WON_Trans_C3_ETH</t>
  </si>
  <si>
    <t>E_WON_Trans_C3_KEN</t>
  </si>
  <si>
    <t>E_WON_Trans_C3_LBY</t>
  </si>
  <si>
    <t>E_WON_Trans_C3_LSO</t>
  </si>
  <si>
    <t>E_WON_Trans_C3_MAR</t>
  </si>
  <si>
    <t>E_WON_Trans_C3_MDG</t>
  </si>
  <si>
    <t>E_WON_Trans_C3_MLI</t>
  </si>
  <si>
    <t>E_WON_Trans_C3_MOZ</t>
  </si>
  <si>
    <t>E_WON_Trans_C3_MRT</t>
  </si>
  <si>
    <t>E_WON_Trans_C3_MWI</t>
  </si>
  <si>
    <t>E_WON_Trans_C3_NER</t>
  </si>
  <si>
    <t>E_WON_Trans_C3_NGA</t>
  </si>
  <si>
    <t>E_WON_Trans_C3_SDN</t>
  </si>
  <si>
    <t>E_WON_Trans_C3_SEN</t>
  </si>
  <si>
    <t>E_WON_Trans_C3_SOM</t>
  </si>
  <si>
    <t>E_WON_Trans_C3_SWZ</t>
  </si>
  <si>
    <t>E_WON_Trans_C3_TCD</t>
  </si>
  <si>
    <t>E_WON_Trans_C3_TUN</t>
  </si>
  <si>
    <t>E_WON_Trans_C3_TZA</t>
  </si>
  <si>
    <t>E_WON_Trans_C3_UGA</t>
  </si>
  <si>
    <t>E_WON_Trans_C3_ZAF</t>
  </si>
  <si>
    <t>E_WON_Trans_C3_ZMB</t>
  </si>
  <si>
    <t>E_WON_Trans_C3_ZWE</t>
  </si>
  <si>
    <t>E_WON_Trans_C4_BWA</t>
  </si>
  <si>
    <t>E_WON_Trans_C4_COG</t>
  </si>
  <si>
    <t>E_WON_Trans_C4_CPV</t>
  </si>
  <si>
    <t>E_WON_Trans_C4_DJI</t>
  </si>
  <si>
    <t>E_WON_Trans_C4_DZA</t>
  </si>
  <si>
    <t>E_WON_Trans_C4_EGY</t>
  </si>
  <si>
    <t>E_WON_Trans_C4_ERI</t>
  </si>
  <si>
    <t>E_WON_Trans_C4_ETH</t>
  </si>
  <si>
    <t>E_WON_Trans_C4_KEN</t>
  </si>
  <si>
    <t>E_WON_Trans_C4_LBY</t>
  </si>
  <si>
    <t>E_WON_Trans_C4_LSO</t>
  </si>
  <si>
    <t>E_WON_Trans_C4_MAR</t>
  </si>
  <si>
    <t>E_WON_Trans_C4_MDG</t>
  </si>
  <si>
    <t>E_WON_Trans_C4_MOZ</t>
  </si>
  <si>
    <t>E_WON_Trans_C4_MRT</t>
  </si>
  <si>
    <t>E_WON_Trans_C4_MWI</t>
  </si>
  <si>
    <t>E_WON_Trans_C4_NER</t>
  </si>
  <si>
    <t>E_WON_Trans_C4_NGA</t>
  </si>
  <si>
    <t>E_WON_Trans_C4_SDN</t>
  </si>
  <si>
    <t>E_WON_Trans_C4_SEN</t>
  </si>
  <si>
    <t>E_WON_Trans_C4_SOM</t>
  </si>
  <si>
    <t>E_WON_Trans_C4_TCD</t>
  </si>
  <si>
    <t>E_WON_Trans_C4_TZA</t>
  </si>
  <si>
    <t>E_WON_Trans_C4_UGA</t>
  </si>
  <si>
    <t>E_WON_Trans_C4_ZAF</t>
  </si>
  <si>
    <t>E_WON_Trans_C4_ZMB</t>
  </si>
  <si>
    <t>E_WON_Trans_C4_ZWE</t>
  </si>
  <si>
    <t>E_WON_Trans_C5_DJI</t>
  </si>
  <si>
    <t>E_WON_Trans_C5_EGY</t>
  </si>
  <si>
    <t>E_WON_Trans_C5_ERI</t>
  </si>
  <si>
    <t>E_WON_Trans_C5_ETH</t>
  </si>
  <si>
    <t>E_WON_Trans_C5_KEN</t>
  </si>
  <si>
    <t>E_WON_Trans_C5_MAR</t>
  </si>
  <si>
    <t>E_WON_Trans_C5_MDG</t>
  </si>
  <si>
    <t>E_WON_Trans_C5_MOZ</t>
  </si>
  <si>
    <t>E_WON_Trans_C5_MRT</t>
  </si>
  <si>
    <t>E_WON_Trans_C5_SDN</t>
  </si>
  <si>
    <t>E_WON_Trans_C5_SOM</t>
  </si>
  <si>
    <t>E_WON_Trans_C5_TZA</t>
  </si>
  <si>
    <t>E_WON_Trans_C5_UGA</t>
  </si>
  <si>
    <t>E_WON_Trans_C5_ZAF</t>
  </si>
  <si>
    <t>E_WON_Trans_C5_ZMB</t>
  </si>
  <si>
    <t>E_WON_Trans_C6_ERI</t>
  </si>
  <si>
    <t>E_WON_Trans_C6_ETH</t>
  </si>
  <si>
    <t>E_WON_Trans_C6_KEN</t>
  </si>
  <si>
    <t>E_WON_Trans_C6_MAR</t>
  </si>
  <si>
    <t>E_WON_Trans_C6_MDG</t>
  </si>
  <si>
    <t>E_WON_Trans_C6_MRT</t>
  </si>
  <si>
    <t>E_WON_Trans_C6_SDN</t>
  </si>
  <si>
    <t>E_WON_Trans_C6_SOM</t>
  </si>
  <si>
    <t>E_WON_Trans_C6_TZA</t>
  </si>
  <si>
    <t>E_WON_Trans_C6_UGA</t>
  </si>
  <si>
    <t>E_WON_Trans_C6_ZAF</t>
  </si>
  <si>
    <t>E_WON_Trans_C7_ERI</t>
  </si>
  <si>
    <t>E_WON_Trans_C7_ETH</t>
  </si>
  <si>
    <t>E_WON_Trans_C7_KEN</t>
  </si>
  <si>
    <t>E_WON_Trans_C7_MAR</t>
  </si>
  <si>
    <t>E_WON_Trans_C7_MDG</t>
  </si>
  <si>
    <t>E_WON_Trans_C7_MRT</t>
  </si>
  <si>
    <t>E_WON_Trans_C7_SOM</t>
  </si>
  <si>
    <t>E_WON_Trans_C8_ETH</t>
  </si>
  <si>
    <t>E_WON_Trans_C8_MAR</t>
  </si>
  <si>
    <t>E_WON_Trans_C8_SOM</t>
  </si>
  <si>
    <t>E_WON_Trans_C9_KEN</t>
  </si>
  <si>
    <t>E_WON_Trans_C9_MAR</t>
  </si>
  <si>
    <t>E_WON_Trans_C9_MDG</t>
  </si>
  <si>
    <t>E_WON_Far_C1_AUS</t>
  </si>
  <si>
    <t>E_WON_Far_C2_AUS</t>
  </si>
  <si>
    <t>E_WON_Far_C3_AUS</t>
  </si>
  <si>
    <t>E_WON_Far_C3_NZL</t>
  </si>
  <si>
    <t>E_WON_Far_C4_AUS</t>
  </si>
  <si>
    <t>E_WON_Far_C4_NZL</t>
  </si>
  <si>
    <t>E_WON_Far_C5_AUS</t>
  </si>
  <si>
    <t>E_WON_Far_C5_NZL</t>
  </si>
  <si>
    <t>E_WON_Far_C6_AUS</t>
  </si>
  <si>
    <t>E_WON_Far_C7_AUS</t>
  </si>
  <si>
    <t>E_WON_Far_C9_NZL</t>
  </si>
  <si>
    <t>E_WON_Near_C1_AUS</t>
  </si>
  <si>
    <t>E_WON_Near_C2_AUS</t>
  </si>
  <si>
    <t>E_WON_Near_C3_AUS</t>
  </si>
  <si>
    <t>E_WON_Near_C3_NZL</t>
  </si>
  <si>
    <t>E_WON_Near_C4_AUS</t>
  </si>
  <si>
    <t>E_WON_Near_C4_NZL</t>
  </si>
  <si>
    <t>E_WON_Near_C5_AUS</t>
  </si>
  <si>
    <t>E_WON_Near_C5_NZL</t>
  </si>
  <si>
    <t>E_WON_Near_C6_AUS</t>
  </si>
  <si>
    <t>E_WON_Near_C6_NZL</t>
  </si>
  <si>
    <t>E_WON_Near_C7_AUS</t>
  </si>
  <si>
    <t>E_WON_Near_C7_NZL</t>
  </si>
  <si>
    <t>E_WON_Near_C8_NZL</t>
  </si>
  <si>
    <t>E_WON_Trans_C1_AUS</t>
  </si>
  <si>
    <t>E_WON_Trans_C2_AUS</t>
  </si>
  <si>
    <t>E_WON_Trans_C3_AUS</t>
  </si>
  <si>
    <t>E_WON_Trans_C3_NZL</t>
  </si>
  <si>
    <t>E_WON_Trans_C4_AUS</t>
  </si>
  <si>
    <t>E_WON_Trans_C4_NZL</t>
  </si>
  <si>
    <t>E_WON_Trans_C5_AUS</t>
  </si>
  <si>
    <t>E_WON_Trans_C5_NZL</t>
  </si>
  <si>
    <t>E_WON_Trans_C6_AUS</t>
  </si>
  <si>
    <t>E_WON_Trans_C6_NZL</t>
  </si>
  <si>
    <t>E_WON_Trans_C7_AUS</t>
  </si>
  <si>
    <t>E_WON_Trans_C7_NZL</t>
  </si>
  <si>
    <t>E_WON_Trans_C8_NZL</t>
  </si>
  <si>
    <t>E_WON_Trans_C9_NZL</t>
  </si>
  <si>
    <t>E_WON_Far_C1_BRA</t>
  </si>
  <si>
    <t>E_WON_Far_C2_BRA</t>
  </si>
  <si>
    <t>E_WON_Far_C3_BRA</t>
  </si>
  <si>
    <t>E_WON_Far_C4_BRA</t>
  </si>
  <si>
    <t>E_WON_Far_C5_BRA</t>
  </si>
  <si>
    <t>E_WON_Far_C6_BRA</t>
  </si>
  <si>
    <t>E_WON_Far_C7_BRA</t>
  </si>
  <si>
    <t>E_WON_Near_C1_BRA</t>
  </si>
  <si>
    <t>E_WON_Near_C2_BRA</t>
  </si>
  <si>
    <t>E_WON_Near_C3_BRA</t>
  </si>
  <si>
    <t>E_WON_Near_C4_BRA</t>
  </si>
  <si>
    <t>E_WON_Near_C5_BRA</t>
  </si>
  <si>
    <t>E_WON_Near_C6_BRA</t>
  </si>
  <si>
    <t>E_WON_Near_C7_BRA</t>
  </si>
  <si>
    <t>E_WON_Near_C8_BRA</t>
  </si>
  <si>
    <t>E_WON_Near_C9_BRA</t>
  </si>
  <si>
    <t>E_WON_Trans_C1_BRA</t>
  </si>
  <si>
    <t>E_WON_Trans_C2_BRA</t>
  </si>
  <si>
    <t>E_WON_Trans_C3_BRA</t>
  </si>
  <si>
    <t>E_WON_Trans_C4_BRA</t>
  </si>
  <si>
    <t>E_WON_Trans_C5_BRA</t>
  </si>
  <si>
    <t>E_WON_Trans_C6_BRA</t>
  </si>
  <si>
    <t>E_WON_Trans_C7_BRA</t>
  </si>
  <si>
    <t>E_WON_Trans_C8_BRA</t>
  </si>
  <si>
    <t>E_WON_Trans_C9_BRA</t>
  </si>
  <si>
    <t>E_WON_Far_C1_CAN</t>
  </si>
  <si>
    <t>E_WON_Far_C2_CAN</t>
  </si>
  <si>
    <t>E_WON_Far_C3_CAN</t>
  </si>
  <si>
    <t>E_WON_Far_C4_CAN</t>
  </si>
  <si>
    <t>E_WON_Far_C5_CAN</t>
  </si>
  <si>
    <t>E_WON_Far_C6_CAN</t>
  </si>
  <si>
    <t>E_WON_Far_C7_CAN</t>
  </si>
  <si>
    <t>E_WON_Far_C8_CAN</t>
  </si>
  <si>
    <t>E_WON_Near_C1_CAN</t>
  </si>
  <si>
    <t>E_WON_Near_C2_CAN</t>
  </si>
  <si>
    <t>E_WON_Near_C3_CAN</t>
  </si>
  <si>
    <t>E_WON_Near_C4_CAN</t>
  </si>
  <si>
    <t>E_WON_Near_C5_CAN</t>
  </si>
  <si>
    <t>E_WON_Near_C6_CAN</t>
  </si>
  <si>
    <t>E_WON_Near_C7_CAN</t>
  </si>
  <si>
    <t>E_WON_Trans_C1_CAN</t>
  </si>
  <si>
    <t>E_WON_Trans_C2_CAN</t>
  </si>
  <si>
    <t>E_WON_Trans_C3_CAN</t>
  </si>
  <si>
    <t>E_WON_Trans_C4_CAN</t>
  </si>
  <si>
    <t>E_WON_Trans_C5_CAN</t>
  </si>
  <si>
    <t>E_WON_Trans_C6_CAN</t>
  </si>
  <si>
    <t>E_WON_Trans_C7_CAN</t>
  </si>
  <si>
    <t>E_WON_Far_C1_CHN</t>
  </si>
  <si>
    <t>E_WON_Far_C2_CHN</t>
  </si>
  <si>
    <t>E_WON_Far_C3_CHN</t>
  </si>
  <si>
    <t>E_WON_Far_C4_CHN</t>
  </si>
  <si>
    <t>E_WON_Far_C5_CHN</t>
  </si>
  <si>
    <t>E_WON_Far_C6_CHN</t>
  </si>
  <si>
    <t>E_WON_Near_C1_CHN</t>
  </si>
  <si>
    <t>E_WON_Near_C2_CHN</t>
  </si>
  <si>
    <t>E_WON_Near_C3_CHN</t>
  </si>
  <si>
    <t>E_WON_Near_C4_CHN</t>
  </si>
  <si>
    <t>E_WON_Near_C5_CHN</t>
  </si>
  <si>
    <t>E_WON_Near_C6_CHN</t>
  </si>
  <si>
    <t>E_WON_Near_C7_CHN</t>
  </si>
  <si>
    <t>E_WON_Trans_C1_CHN</t>
  </si>
  <si>
    <t>E_WON_Trans_C2_CHN</t>
  </si>
  <si>
    <t>E_WON_Trans_C3_CHN</t>
  </si>
  <si>
    <t>E_WON_Trans_C4_CHN</t>
  </si>
  <si>
    <t>E_WON_Trans_C5_CHN</t>
  </si>
  <si>
    <t>E_WON_Trans_C6_CHN</t>
  </si>
  <si>
    <t>E_WON_Trans_C7_CHN</t>
  </si>
  <si>
    <t>E_WON_Far_C1_ARG</t>
  </si>
  <si>
    <t>E_WON_Far_C1_BLZ</t>
  </si>
  <si>
    <t>E_WON_Far_C1_BOL</t>
  </si>
  <si>
    <t>E_WON_Far_C1_COL</t>
  </si>
  <si>
    <t>E_WON_Far_C1_ECU</t>
  </si>
  <si>
    <t>E_WON_Far_C1_GTM</t>
  </si>
  <si>
    <t>E_WON_Far_C1_GUY</t>
  </si>
  <si>
    <t>E_WON_Far_C1_HND</t>
  </si>
  <si>
    <t>E_WON_Far_C1_NIC</t>
  </si>
  <si>
    <t>E_WON_Far_C1_PAN</t>
  </si>
  <si>
    <t>E_WON_Far_C1_PER</t>
  </si>
  <si>
    <t>E_WON_Far_C1_PRY</t>
  </si>
  <si>
    <t>E_WON_Far_C1_SUR</t>
  </si>
  <si>
    <t>E_WON_Far_C1_VEN</t>
  </si>
  <si>
    <t>E_WON_Far_C2_ARG</t>
  </si>
  <si>
    <t>E_WON_Far_C2_BOL</t>
  </si>
  <si>
    <t>E_WON_Far_C2_COL</t>
  </si>
  <si>
    <t>E_WON_Far_C2_GUY</t>
  </si>
  <si>
    <t>E_WON_Far_C2_HND</t>
  </si>
  <si>
    <t>E_WON_Far_C2_NIC</t>
  </si>
  <si>
    <t>E_WON_Far_C2_PRY</t>
  </si>
  <si>
    <t>E_WON_Far_C2_SUR</t>
  </si>
  <si>
    <t>E_WON_Far_C2_VEN</t>
  </si>
  <si>
    <t>E_WON_Far_C3_ARG</t>
  </si>
  <si>
    <t>E_WON_Far_C3_BHS</t>
  </si>
  <si>
    <t>E_WON_Far_C3_BOL</t>
  </si>
  <si>
    <t>E_WON_Far_C3_COL</t>
  </si>
  <si>
    <t>E_WON_Far_C3_GUY</t>
  </si>
  <si>
    <t>E_WON_Far_C3_HND</t>
  </si>
  <si>
    <t>E_WON_Far_C3_NIC</t>
  </si>
  <si>
    <t>E_WON_Far_C3_PRY</t>
  </si>
  <si>
    <t>E_WON_Far_C3_URY</t>
  </si>
  <si>
    <t>E_WON_Far_C3_VEN</t>
  </si>
  <si>
    <t>E_WON_Far_C4_ARG</t>
  </si>
  <si>
    <t>E_WON_Far_C4_BHS</t>
  </si>
  <si>
    <t>E_WON_Far_C4_BOL</t>
  </si>
  <si>
    <t>E_WON_Far_C4_COL</t>
  </si>
  <si>
    <t>E_WON_Far_C4_GUY</t>
  </si>
  <si>
    <t>E_WON_Far_C4_URY</t>
  </si>
  <si>
    <t>E_WON_Far_C4_VEN</t>
  </si>
  <si>
    <t>E_WON_Far_C5_ARG</t>
  </si>
  <si>
    <t>E_WON_Far_C5_BHS</t>
  </si>
  <si>
    <t>E_WON_Far_C5_GUY</t>
  </si>
  <si>
    <t>E_WON_Far_C6_ARG</t>
  </si>
  <si>
    <t>E_WON_Far_C7_ARG</t>
  </si>
  <si>
    <t>E_WON_Far_C8_ARG</t>
  </si>
  <si>
    <t>E_WON_Far_C9_ARG</t>
  </si>
  <si>
    <t>E_WON_Near_C1_ARG</t>
  </si>
  <si>
    <t>E_WON_Near_C1_BHS</t>
  </si>
  <si>
    <t>E_WON_Near_C1_BLZ</t>
  </si>
  <si>
    <t>E_WON_Near_C1_BOL</t>
  </si>
  <si>
    <t>E_WON_Near_C1_COL</t>
  </si>
  <si>
    <t>E_WON_Near_C1_CRI</t>
  </si>
  <si>
    <t>E_WON_Near_C1_CUB</t>
  </si>
  <si>
    <t>E_WON_Near_C1_DOM</t>
  </si>
  <si>
    <t>E_WON_Near_C1_ECU</t>
  </si>
  <si>
    <t>E_WON_Near_C1_GTM</t>
  </si>
  <si>
    <t>E_WON_Near_C1_GUY</t>
  </si>
  <si>
    <t>E_WON_Near_C1_HND</t>
  </si>
  <si>
    <t>E_WON_Near_C1_HTI</t>
  </si>
  <si>
    <t>E_WON_Near_C1_NIC</t>
  </si>
  <si>
    <t>E_WON_Near_C1_PAN</t>
  </si>
  <si>
    <t>E_WON_Near_C1_PER</t>
  </si>
  <si>
    <t>E_WON_Near_C1_PRY</t>
  </si>
  <si>
    <t>E_WON_Near_C1_SUR</t>
  </si>
  <si>
    <t>E_WON_Near_C1_VEN</t>
  </si>
  <si>
    <t>E_WON_Near_C2_ARG</t>
  </si>
  <si>
    <t>E_WON_Near_C2_BLZ</t>
  </si>
  <si>
    <t>E_WON_Near_C2_BOL</t>
  </si>
  <si>
    <t>E_WON_Near_C2_COL</t>
  </si>
  <si>
    <t>E_WON_Near_C2_CRI</t>
  </si>
  <si>
    <t>E_WON_Near_C2_CUB</t>
  </si>
  <si>
    <t>E_WON_Near_C2_DOM</t>
  </si>
  <si>
    <t>E_WON_Near_C2_ECU</t>
  </si>
  <si>
    <t>E_WON_Near_C2_GTM</t>
  </si>
  <si>
    <t>E_WON_Near_C2_GUY</t>
  </si>
  <si>
    <t>E_WON_Near_C2_HND</t>
  </si>
  <si>
    <t>E_WON_Near_C2_HTI</t>
  </si>
  <si>
    <t>E_WON_Near_C2_JAM</t>
  </si>
  <si>
    <t>E_WON_Near_C2_NIC</t>
  </si>
  <si>
    <t>E_WON_Near_C2_PAN</t>
  </si>
  <si>
    <t>E_WON_Near_C2_PER</t>
  </si>
  <si>
    <t>E_WON_Near_C2_PRI</t>
  </si>
  <si>
    <t>E_WON_Near_C2_PRY</t>
  </si>
  <si>
    <t>E_WON_Near_C2_SLV</t>
  </si>
  <si>
    <t>E_WON_Near_C2_URY</t>
  </si>
  <si>
    <t>E_WON_Near_C2_VEN</t>
  </si>
  <si>
    <t>E_WON_Near_C3_ARG</t>
  </si>
  <si>
    <t>E_WON_Near_C3_BOL</t>
  </si>
  <si>
    <t>E_WON_Near_C3_COL</t>
  </si>
  <si>
    <t>E_WON_Near_C3_CRI</t>
  </si>
  <si>
    <t>E_WON_Near_C3_CUB</t>
  </si>
  <si>
    <t>E_WON_Near_C3_DOM</t>
  </si>
  <si>
    <t>E_WON_Near_C3_ECU</t>
  </si>
  <si>
    <t>E_WON_Near_C3_GTM</t>
  </si>
  <si>
    <t>E_WON_Near_C3_HND</t>
  </si>
  <si>
    <t>E_WON_Near_C3_HTI</t>
  </si>
  <si>
    <t>E_WON_Near_C3_JAM</t>
  </si>
  <si>
    <t>E_WON_Near_C3_NIC</t>
  </si>
  <si>
    <t>E_WON_Near_C3_PAN</t>
  </si>
  <si>
    <t>E_WON_Near_C3_PER</t>
  </si>
  <si>
    <t>E_WON_Near_C3_PRI</t>
  </si>
  <si>
    <t>E_WON_Near_C3_PRY</t>
  </si>
  <si>
    <t>E_WON_Near_C3_SLV</t>
  </si>
  <si>
    <t>E_WON_Near_C3_TTO</t>
  </si>
  <si>
    <t>E_WON_Near_C3_URY</t>
  </si>
  <si>
    <t>E_WON_Near_C3_VEN</t>
  </si>
  <si>
    <t>E_WON_Near_C4_ARG</t>
  </si>
  <si>
    <t>E_WON_Near_C4_BOL</t>
  </si>
  <si>
    <t>E_WON_Near_C4_COL</t>
  </si>
  <si>
    <t>E_WON_Near_C4_CRI</t>
  </si>
  <si>
    <t>E_WON_Near_C4_CUB</t>
  </si>
  <si>
    <t>E_WON_Near_C4_DOM</t>
  </si>
  <si>
    <t>E_WON_Near_C4_ECU</t>
  </si>
  <si>
    <t>E_WON_Near_C4_GTM</t>
  </si>
  <si>
    <t>E_WON_Near_C4_HND</t>
  </si>
  <si>
    <t>E_WON_Near_C4_HTI</t>
  </si>
  <si>
    <t>E_WON_Near_C4_JAM</t>
  </si>
  <si>
    <t>E_WON_Near_C4_NIC</t>
  </si>
  <si>
    <t>E_WON_Near_C4_PAN</t>
  </si>
  <si>
    <t>E_WON_Near_C4_PER</t>
  </si>
  <si>
    <t>E_WON_Near_C4_SLV</t>
  </si>
  <si>
    <t>E_WON_Near_C4_URY</t>
  </si>
  <si>
    <t>E_WON_Near_C4_VEN</t>
  </si>
  <si>
    <t>E_WON_Near_C5_ARG</t>
  </si>
  <si>
    <t>E_WON_Near_C5_COL</t>
  </si>
  <si>
    <t>E_WON_Near_C5_CRI</t>
  </si>
  <si>
    <t>E_WON_Near_C5_GTM</t>
  </si>
  <si>
    <t>E_WON_Near_C5_HND</t>
  </si>
  <si>
    <t>E_WON_Near_C5_NIC</t>
  </si>
  <si>
    <t>E_WON_Near_C5_SLV</t>
  </si>
  <si>
    <t>E_WON_Near_C5_VEN</t>
  </si>
  <si>
    <t>E_WON_Near_C6_ARG</t>
  </si>
  <si>
    <t>E_WON_Near_C6_BRB</t>
  </si>
  <si>
    <t>E_WON_Near_C6_COL</t>
  </si>
  <si>
    <t>E_WON_Near_C6_CRI</t>
  </si>
  <si>
    <t>E_WON_Near_C6_GTM</t>
  </si>
  <si>
    <t>E_WON_Near_C6_HND</t>
  </si>
  <si>
    <t>E_WON_Near_C6_NIC</t>
  </si>
  <si>
    <t>E_WON_Near_C6_SLV</t>
  </si>
  <si>
    <t>E_WON_Near_C6_VEN</t>
  </si>
  <si>
    <t>E_WON_Near_C7_ARG</t>
  </si>
  <si>
    <t>E_WON_Near_C7_COL</t>
  </si>
  <si>
    <t>E_WON_Near_C7_NIC</t>
  </si>
  <si>
    <t>E_WON_Near_C7_VEN</t>
  </si>
  <si>
    <t>E_WON_Near_C8_ARG</t>
  </si>
  <si>
    <t>E_WON_Near_C9_ARG</t>
  </si>
  <si>
    <t>E_WON_Trans_C1_ARG</t>
  </si>
  <si>
    <t>E_WON_Trans_C1_BHS</t>
  </si>
  <si>
    <t>E_WON_Trans_C1_BLZ</t>
  </si>
  <si>
    <t>E_WON_Trans_C1_BOL</t>
  </si>
  <si>
    <t>E_WON_Trans_C1_COL</t>
  </si>
  <si>
    <t>E_WON_Trans_C1_CRI</t>
  </si>
  <si>
    <t>E_WON_Trans_C1_CUB</t>
  </si>
  <si>
    <t>E_WON_Trans_C1_ECU</t>
  </si>
  <si>
    <t>E_WON_Trans_C1_GTM</t>
  </si>
  <si>
    <t>E_WON_Trans_C1_GUY</t>
  </si>
  <si>
    <t>E_WON_Trans_C1_HND</t>
  </si>
  <si>
    <t>E_WON_Trans_C1_NIC</t>
  </si>
  <si>
    <t>E_WON_Trans_C1_PAN</t>
  </si>
  <si>
    <t>E_WON_Trans_C1_PER</t>
  </si>
  <si>
    <t>E_WON_Trans_C1_PRY</t>
  </si>
  <si>
    <t>E_WON_Trans_C1_SUR</t>
  </si>
  <si>
    <t>E_WON_Trans_C1_VEN</t>
  </si>
  <si>
    <t>E_WON_Trans_C2_ARG</t>
  </si>
  <si>
    <t>E_WON_Trans_C2_BLZ</t>
  </si>
  <si>
    <t>E_WON_Trans_C2_BOL</t>
  </si>
  <si>
    <t>E_WON_Trans_C2_COL</t>
  </si>
  <si>
    <t>E_WON_Trans_C2_CRI</t>
  </si>
  <si>
    <t>E_WON_Trans_C2_CUB</t>
  </si>
  <si>
    <t>E_WON_Trans_C2_ECU</t>
  </si>
  <si>
    <t>E_WON_Trans_C2_GTM</t>
  </si>
  <si>
    <t>E_WON_Trans_C2_GUY</t>
  </si>
  <si>
    <t>E_WON_Trans_C2_HND</t>
  </si>
  <si>
    <t>E_WON_Trans_C2_NIC</t>
  </si>
  <si>
    <t>E_WON_Trans_C2_PAN</t>
  </si>
  <si>
    <t>E_WON_Trans_C2_PER</t>
  </si>
  <si>
    <t>E_WON_Trans_C2_PRY</t>
  </si>
  <si>
    <t>E_WON_Trans_C2_SUR</t>
  </si>
  <si>
    <t>E_WON_Trans_C2_URY</t>
  </si>
  <si>
    <t>E_WON_Trans_C2_VEN</t>
  </si>
  <si>
    <t>E_WON_Trans_C3_ARG</t>
  </si>
  <si>
    <t>E_WON_Trans_C3_BHS</t>
  </si>
  <si>
    <t>E_WON_Trans_C3_BOL</t>
  </si>
  <si>
    <t>E_WON_Trans_C3_COL</t>
  </si>
  <si>
    <t>E_WON_Trans_C3_CRI</t>
  </si>
  <si>
    <t>E_WON_Trans_C3_CUB</t>
  </si>
  <si>
    <t>E_WON_Trans_C3_ECU</t>
  </si>
  <si>
    <t>E_WON_Trans_C3_GUY</t>
  </si>
  <si>
    <t>E_WON_Trans_C3_HND</t>
  </si>
  <si>
    <t>E_WON_Trans_C3_NIC</t>
  </si>
  <si>
    <t>E_WON_Trans_C3_PER</t>
  </si>
  <si>
    <t>E_WON_Trans_C3_PRY</t>
  </si>
  <si>
    <t>E_WON_Trans_C3_URY</t>
  </si>
  <si>
    <t>E_WON_Trans_C3_VEN</t>
  </si>
  <si>
    <t>E_WON_Trans_C4_ARG</t>
  </si>
  <si>
    <t>E_WON_Trans_C4_BHS</t>
  </si>
  <si>
    <t>E_WON_Trans_C4_COL</t>
  </si>
  <si>
    <t>E_WON_Trans_C4_CRI</t>
  </si>
  <si>
    <t>E_WON_Trans_C4_NIC</t>
  </si>
  <si>
    <t>E_WON_Trans_C4_PER</t>
  </si>
  <si>
    <t>E_WON_Trans_C4_URY</t>
  </si>
  <si>
    <t>E_WON_Trans_C4_VEN</t>
  </si>
  <si>
    <t>E_WON_Trans_C5_ARG</t>
  </si>
  <si>
    <t>E_WON_Trans_C5_CRI</t>
  </si>
  <si>
    <t>E_WON_Trans_C5_NIC</t>
  </si>
  <si>
    <t>E_WON_Trans_C5_VEN</t>
  </si>
  <si>
    <t>E_WON_Trans_C6_ARG</t>
  </si>
  <si>
    <t>E_WON_Trans_C6_CRI</t>
  </si>
  <si>
    <t>E_WON_Trans_C6_NIC</t>
  </si>
  <si>
    <t>E_WON_Trans_C6_VEN</t>
  </si>
  <si>
    <t>E_WON_Trans_C7_ARG</t>
  </si>
  <si>
    <t>E_WON_Trans_C7_COL</t>
  </si>
  <si>
    <t>E_WON_Trans_C7_NIC</t>
  </si>
  <si>
    <t>E_WON_Trans_C7_VEN</t>
  </si>
  <si>
    <t>E_WON_Trans_C8_ARG</t>
  </si>
  <si>
    <t>E_WON_Trans_C8_COL</t>
  </si>
  <si>
    <t>E_WON_Trans_C8_VEN</t>
  </si>
  <si>
    <t>E_WON_Trans_C9_ARG</t>
  </si>
  <si>
    <t>E_WON_Far_C1_FRA</t>
  </si>
  <si>
    <t>E_WON_Far_C3_FIN</t>
  </si>
  <si>
    <t>E_WON_Far_C4_FIN</t>
  </si>
  <si>
    <t>E_WON_Far_C5_EST</t>
  </si>
  <si>
    <t>E_WON_Far_C6_EST</t>
  </si>
  <si>
    <t>E_WON_Far_C7_GBR</t>
  </si>
  <si>
    <t>E_WON_Far_C7_ISL</t>
  </si>
  <si>
    <t>E_WON_Far_C8_DNK</t>
  </si>
  <si>
    <t>E_WON_Far_C8_GBR</t>
  </si>
  <si>
    <t>E_WON_Far_C8_ISL</t>
  </si>
  <si>
    <t>E_WON_Near_C1_AUT</t>
  </si>
  <si>
    <t>E_WON_Near_C1_ESP</t>
  </si>
  <si>
    <t>E_WON_Near_C1_FRA</t>
  </si>
  <si>
    <t>E_WON_Near_C1_GRC</t>
  </si>
  <si>
    <t>E_WON_Near_C1_HUN</t>
  </si>
  <si>
    <t>E_WON_Near_C1_ISR</t>
  </si>
  <si>
    <t>E_WON_Near_C1_ITA</t>
  </si>
  <si>
    <t>E_WON_Near_C1_SVK</t>
  </si>
  <si>
    <t>E_WON_Near_C1_SVN</t>
  </si>
  <si>
    <t>E_WON_Near_C1_TUR</t>
  </si>
  <si>
    <t>E_WON_Near_C2_AUT</t>
  </si>
  <si>
    <t>E_WON_Near_C2_CHE</t>
  </si>
  <si>
    <t>E_WON_Near_C2_CZE</t>
  </si>
  <si>
    <t>E_WON_Near_C2_DEU</t>
  </si>
  <si>
    <t>E_WON_Near_C2_ESP</t>
  </si>
  <si>
    <t>E_WON_Near_C2_FRA</t>
  </si>
  <si>
    <t>E_WON_Near_C2_GRC</t>
  </si>
  <si>
    <t>E_WON_Near_C2_HUN</t>
  </si>
  <si>
    <t>E_WON_Near_C2_ISR</t>
  </si>
  <si>
    <t>E_WON_Near_C2_ITA</t>
  </si>
  <si>
    <t>E_WON_Near_C2_NOR</t>
  </si>
  <si>
    <t>E_WON_Near_C2_POL</t>
  </si>
  <si>
    <t>E_WON_Near_C2_PRT</t>
  </si>
  <si>
    <t>E_WON_Near_C2_SVK</t>
  </si>
  <si>
    <t>E_WON_Near_C2_SVN</t>
  </si>
  <si>
    <t>E_WON_Near_C2_SWE</t>
  </si>
  <si>
    <t>E_WON_Near_C2_TUR</t>
  </si>
  <si>
    <t>E_WON_Near_C3_AUT</t>
  </si>
  <si>
    <t>E_WON_Near_C3_BEL</t>
  </si>
  <si>
    <t>E_WON_Near_C3_CHE</t>
  </si>
  <si>
    <t>E_WON_Near_C3_CZE</t>
  </si>
  <si>
    <t>E_WON_Near_C3_DEU</t>
  </si>
  <si>
    <t>E_WON_Near_C3_ESP</t>
  </si>
  <si>
    <t>E_WON_Near_C3_EST</t>
  </si>
  <si>
    <t>E_WON_Near_C3_FIN</t>
  </si>
  <si>
    <t>E_WON_Near_C3_FRA</t>
  </si>
  <si>
    <t>E_WON_Near_C3_GRC</t>
  </si>
  <si>
    <t>E_WON_Near_C3_HUN</t>
  </si>
  <si>
    <t>E_WON_Near_C3_ITA</t>
  </si>
  <si>
    <t>E_WON_Near_C3_LUX</t>
  </si>
  <si>
    <t>E_WON_Near_C3_NOR</t>
  </si>
  <si>
    <t>E_WON_Near_C3_POL</t>
  </si>
  <si>
    <t>E_WON_Near_C3_PRT</t>
  </si>
  <si>
    <t>E_WON_Near_C3_SVK</t>
  </si>
  <si>
    <t>E_WON_Near_C3_SWE</t>
  </si>
  <si>
    <t>E_WON_Near_C3_TUR</t>
  </si>
  <si>
    <t>E_WON_Near_C4_BEL</t>
  </si>
  <si>
    <t>E_WON_Near_C4_CHE</t>
  </si>
  <si>
    <t>E_WON_Near_C4_CZE</t>
  </si>
  <si>
    <t>E_WON_Near_C4_DEU</t>
  </si>
  <si>
    <t>E_WON_Near_C4_ESP</t>
  </si>
  <si>
    <t>E_WON_Near_C4_EST</t>
  </si>
  <si>
    <t>E_WON_Near_C4_FIN</t>
  </si>
  <si>
    <t>E_WON_Near_C4_FRA</t>
  </si>
  <si>
    <t>E_WON_Near_C4_GRC</t>
  </si>
  <si>
    <t>E_WON_Near_C4_ITA</t>
  </si>
  <si>
    <t>E_WON_Near_C4_LUX</t>
  </si>
  <si>
    <t>E_WON_Near_C4_NLD</t>
  </si>
  <si>
    <t>E_WON_Near_C4_NOR</t>
  </si>
  <si>
    <t>E_WON_Near_C4_POL</t>
  </si>
  <si>
    <t>E_WON_Near_C4_PRT</t>
  </si>
  <si>
    <t>E_WON_Near_C4_SWE</t>
  </si>
  <si>
    <t>E_WON_Near_C4_TUR</t>
  </si>
  <si>
    <t>E_WON_Near_C5_BEL</t>
  </si>
  <si>
    <t>E_WON_Near_C5_DEU</t>
  </si>
  <si>
    <t>E_WON_Near_C5_DNK</t>
  </si>
  <si>
    <t>E_WON_Near_C5_ESP</t>
  </si>
  <si>
    <t>E_WON_Near_C5_EST</t>
  </si>
  <si>
    <t>E_WON_Near_C5_FIN</t>
  </si>
  <si>
    <t>E_WON_Near_C5_FRA</t>
  </si>
  <si>
    <t>E_WON_Near_C5_GBR</t>
  </si>
  <si>
    <t>E_WON_Near_C5_GRC</t>
  </si>
  <si>
    <t>E_WON_Near_C5_NLD</t>
  </si>
  <si>
    <t>E_WON_Near_C5_NOR</t>
  </si>
  <si>
    <t>E_WON_Near_C5_POL</t>
  </si>
  <si>
    <t>E_WON_Near_C5_SWE</t>
  </si>
  <si>
    <t>E_WON_Near_C6_DEU</t>
  </si>
  <si>
    <t>E_WON_Near_C6_DNK</t>
  </si>
  <si>
    <t>E_WON_Near_C6_ESP</t>
  </si>
  <si>
    <t>E_WON_Near_C6_FRA</t>
  </si>
  <si>
    <t>E_WON_Near_C6_GBR</t>
  </si>
  <si>
    <t>E_WON_Near_C6_IRL</t>
  </si>
  <si>
    <t>E_WON_Near_C6_ISL</t>
  </si>
  <si>
    <t>E_WON_Near_C6_NLD</t>
  </si>
  <si>
    <t>E_WON_Near_C6_NOR</t>
  </si>
  <si>
    <t>E_WON_Near_C6_SWE</t>
  </si>
  <si>
    <t>E_WON_Near_C7_GBR</t>
  </si>
  <si>
    <t>E_WON_Near_C7_IRL</t>
  </si>
  <si>
    <t>E_WON_Near_C7_ISL</t>
  </si>
  <si>
    <t>E_WON_Near_C7_NOR</t>
  </si>
  <si>
    <t>E_WON_Near_C8_ISL</t>
  </si>
  <si>
    <t>E_WON_Trans_C1_ESP</t>
  </si>
  <si>
    <t>E_WON_Trans_C1_FRA</t>
  </si>
  <si>
    <t>E_WON_Trans_C1_GRC</t>
  </si>
  <si>
    <t>E_WON_Trans_C1_HUN</t>
  </si>
  <si>
    <t>E_WON_Trans_C1_ISR</t>
  </si>
  <si>
    <t>E_WON_Trans_C1_TUR</t>
  </si>
  <si>
    <t>E_WON_Trans_C2_ESP</t>
  </si>
  <si>
    <t>E_WON_Trans_C2_FRA</t>
  </si>
  <si>
    <t>E_WON_Trans_C2_GRC</t>
  </si>
  <si>
    <t>E_WON_Trans_C2_ITA</t>
  </si>
  <si>
    <t>E_WON_Trans_C2_PRT</t>
  </si>
  <si>
    <t>E_WON_Trans_C2_TUR</t>
  </si>
  <si>
    <t>E_WON_Trans_C3_ESP</t>
  </si>
  <si>
    <t>E_WON_Trans_C3_FIN</t>
  </si>
  <si>
    <t>E_WON_Trans_C3_FRA</t>
  </si>
  <si>
    <t>E_WON_Trans_C3_GRC</t>
  </si>
  <si>
    <t>E_WON_Trans_C3_NOR</t>
  </si>
  <si>
    <t>E_WON_Trans_C3_PRT</t>
  </si>
  <si>
    <t>E_WON_Trans_C3_SWE</t>
  </si>
  <si>
    <t>E_WON_Trans_C3_TUR</t>
  </si>
  <si>
    <t>E_WON_Trans_C4_EST</t>
  </si>
  <si>
    <t>E_WON_Trans_C4_FIN</t>
  </si>
  <si>
    <t>E_WON_Trans_C4_FRA</t>
  </si>
  <si>
    <t>E_WON_Trans_C4_ITA</t>
  </si>
  <si>
    <t>E_WON_Trans_C4_NOR</t>
  </si>
  <si>
    <t>E_WON_Trans_C4_POL</t>
  </si>
  <si>
    <t>E_WON_Trans_C4_PRT</t>
  </si>
  <si>
    <t>E_WON_Trans_C4_SWE</t>
  </si>
  <si>
    <t>E_WON_Trans_C4_TUR</t>
  </si>
  <si>
    <t>E_WON_Trans_C5_EST</t>
  </si>
  <si>
    <t>E_WON_Trans_C5_FRA</t>
  </si>
  <si>
    <t>E_WON_Trans_C5_GRC</t>
  </si>
  <si>
    <t>E_WON_Trans_C5_NOR</t>
  </si>
  <si>
    <t>E_WON_Trans_C5_SWE</t>
  </si>
  <si>
    <t>E_WON_Trans_C6_DEU</t>
  </si>
  <si>
    <t>E_WON_Trans_C6_DNK</t>
  </si>
  <si>
    <t>E_WON_Trans_C6_GBR</t>
  </si>
  <si>
    <t>E_WON_Trans_C6_GRC</t>
  </si>
  <si>
    <t>E_WON_Trans_C6_IRL</t>
  </si>
  <si>
    <t>E_WON_Trans_C6_NOR</t>
  </si>
  <si>
    <t>E_WON_Trans_C6_SWE</t>
  </si>
  <si>
    <t>E_WON_Trans_C7_GBR</t>
  </si>
  <si>
    <t>E_WON_Trans_C7_IRL</t>
  </si>
  <si>
    <t>E_WON_Trans_C7_ISL</t>
  </si>
  <si>
    <t>E_WON_Trans_C7_NOR</t>
  </si>
  <si>
    <t>E_WON_Trans_C8_GBR</t>
  </si>
  <si>
    <t>E_WON_Trans_C8_IRL</t>
  </si>
  <si>
    <t>E_WON_Trans_C8_ISL</t>
  </si>
  <si>
    <t>E_WON_Far_C1_IND</t>
  </si>
  <si>
    <t>E_WON_Far_C4_IND</t>
  </si>
  <si>
    <t>E_WON_Near_C1_IND</t>
  </si>
  <si>
    <t>E_WON_Near_C2_IND</t>
  </si>
  <si>
    <t>E_WON_Near_C3_IND</t>
  </si>
  <si>
    <t>E_WON_Near_C4_IND</t>
  </si>
  <si>
    <t>E_WON_Near_C5_IND</t>
  </si>
  <si>
    <t>E_WON_Near_C6_IND</t>
  </si>
  <si>
    <t>E_WON_Trans_C1_IND</t>
  </si>
  <si>
    <t>E_WON_Trans_C2_IND</t>
  </si>
  <si>
    <t>E_WON_Trans_C3_IND</t>
  </si>
  <si>
    <t>E_WON_Trans_C4_IND</t>
  </si>
  <si>
    <t>E_WON_Trans_C5_IND</t>
  </si>
  <si>
    <t>E_WON_Far_C3_JPN</t>
  </si>
  <si>
    <t>E_WON_Far_C5_JPN</t>
  </si>
  <si>
    <t>E_WON_Near_C2_JPN</t>
  </si>
  <si>
    <t>E_WON_Near_C3_JPN</t>
  </si>
  <si>
    <t>E_WON_Near_C4_JPN</t>
  </si>
  <si>
    <t>E_WON_Near_C5_JPN</t>
  </si>
  <si>
    <t>E_WON_Trans_C4_JPN</t>
  </si>
  <si>
    <t>E_WON_Trans_C5_JPN</t>
  </si>
  <si>
    <t>E_WON_Far_C1_IRN</t>
  </si>
  <si>
    <t>E_WON_Far_C1_IRQ</t>
  </si>
  <si>
    <t>E_WON_Far_C1_JOR</t>
  </si>
  <si>
    <t>E_WON_Far_C1_OMN</t>
  </si>
  <si>
    <t>E_WON_Far_C1_SAU</t>
  </si>
  <si>
    <t>E_WON_Far_C1_YEM</t>
  </si>
  <si>
    <t>E_WON_Far_C2_IRN</t>
  </si>
  <si>
    <t>E_WON_Far_C2_IRQ</t>
  </si>
  <si>
    <t>E_WON_Far_C2_JOR</t>
  </si>
  <si>
    <t>E_WON_Far_C2_OMN</t>
  </si>
  <si>
    <t>E_WON_Far_C2_SAU</t>
  </si>
  <si>
    <t>E_WON_Far_C2_YEM</t>
  </si>
  <si>
    <t>E_WON_Far_C3_IRN</t>
  </si>
  <si>
    <t>E_WON_Far_C3_OMN</t>
  </si>
  <si>
    <t>E_WON_Far_C3_SAU</t>
  </si>
  <si>
    <t>E_WON_Far_C3_YEM</t>
  </si>
  <si>
    <t>E_WON_Far_C4_IRN</t>
  </si>
  <si>
    <t>E_WON_Far_C4_OMN</t>
  </si>
  <si>
    <t>E_WON_Far_C4_YEM</t>
  </si>
  <si>
    <t>E_WON_Far_C5_OMN</t>
  </si>
  <si>
    <t>E_WON_Far_C6_OMN</t>
  </si>
  <si>
    <t>E_WON_Far_C7_YEM</t>
  </si>
  <si>
    <t>E_WON_Near_C1_ARE</t>
  </si>
  <si>
    <t>E_WON_Near_C1_BHR</t>
  </si>
  <si>
    <t>E_WON_Near_C1_CYP</t>
  </si>
  <si>
    <t>E_WON_Near_C1_IRN</t>
  </si>
  <si>
    <t>E_WON_Near_C1_IRQ</t>
  </si>
  <si>
    <t>E_WON_Near_C1_JOR</t>
  </si>
  <si>
    <t>E_WON_Near_C1_LBN</t>
  </si>
  <si>
    <t>E_WON_Near_C1_OMN</t>
  </si>
  <si>
    <t>E_WON_Near_C1_QAT</t>
  </si>
  <si>
    <t>E_WON_Near_C1_SAU</t>
  </si>
  <si>
    <t>E_WON_Near_C1_SYR</t>
  </si>
  <si>
    <t>E_WON_Near_C1_YEM</t>
  </si>
  <si>
    <t>E_WON_Near_C2_ARE</t>
  </si>
  <si>
    <t>E_WON_Near_C2_CYP</t>
  </si>
  <si>
    <t>E_WON_Near_C2_IRN</t>
  </si>
  <si>
    <t>E_WON_Near_C2_IRQ</t>
  </si>
  <si>
    <t>E_WON_Near_C2_JOR</t>
  </si>
  <si>
    <t>E_WON_Near_C2_KWT</t>
  </si>
  <si>
    <t>E_WON_Near_C2_LBN</t>
  </si>
  <si>
    <t>E_WON_Near_C2_OMN</t>
  </si>
  <si>
    <t>E_WON_Near_C2_QAT</t>
  </si>
  <si>
    <t>E_WON_Near_C2_SAU</t>
  </si>
  <si>
    <t>E_WON_Near_C2_SYR</t>
  </si>
  <si>
    <t>E_WON_Near_C2_YEM</t>
  </si>
  <si>
    <t>E_WON_Near_C3_IRN</t>
  </si>
  <si>
    <t>E_WON_Near_C3_IRQ</t>
  </si>
  <si>
    <t>E_WON_Near_C3_JOR</t>
  </si>
  <si>
    <t>E_WON_Near_C3_KWT</t>
  </si>
  <si>
    <t>E_WON_Near_C3_OMN</t>
  </si>
  <si>
    <t>E_WON_Near_C3_SAU</t>
  </si>
  <si>
    <t>E_WON_Near_C3_SYR</t>
  </si>
  <si>
    <t>E_WON_Near_C3_YEM</t>
  </si>
  <si>
    <t>E_WON_Near_C4_IRN</t>
  </si>
  <si>
    <t>E_WON_Near_C4_IRQ</t>
  </si>
  <si>
    <t>E_WON_Near_C4_OMN</t>
  </si>
  <si>
    <t>E_WON_Near_C4_SAU</t>
  </si>
  <si>
    <t>E_WON_Near_C4_YEM</t>
  </si>
  <si>
    <t>E_WON_Near_C5_IRN</t>
  </si>
  <si>
    <t>E_WON_Near_C5_OMN</t>
  </si>
  <si>
    <t>E_WON_Near_C5_YEM</t>
  </si>
  <si>
    <t>E_WON_Near_C6_IRN</t>
  </si>
  <si>
    <t>E_WON_Near_C6_OMN</t>
  </si>
  <si>
    <t>E_WON_Near_C6_YEM</t>
  </si>
  <si>
    <t>E_WON_Near_C7_IRN</t>
  </si>
  <si>
    <t>E_WON_Trans_C1_ARE</t>
  </si>
  <si>
    <t>E_WON_Trans_C1_IRN</t>
  </si>
  <si>
    <t>E_WON_Trans_C1_IRQ</t>
  </si>
  <si>
    <t>E_WON_Trans_C1_JOR</t>
  </si>
  <si>
    <t>E_WON_Trans_C1_OMN</t>
  </si>
  <si>
    <t>E_WON_Trans_C1_SAU</t>
  </si>
  <si>
    <t>E_WON_Trans_C1_SYR</t>
  </si>
  <si>
    <t>E_WON_Trans_C1_YEM</t>
  </si>
  <si>
    <t>E_WON_Trans_C2_ARE</t>
  </si>
  <si>
    <t>E_WON_Trans_C2_CYP</t>
  </si>
  <si>
    <t>E_WON_Trans_C2_IRN</t>
  </si>
  <si>
    <t>E_WON_Trans_C2_IRQ</t>
  </si>
  <si>
    <t>E_WON_Trans_C2_JOR</t>
  </si>
  <si>
    <t>E_WON_Trans_C2_KWT</t>
  </si>
  <si>
    <t>E_WON_Trans_C2_OMN</t>
  </si>
  <si>
    <t>E_WON_Trans_C2_SAU</t>
  </si>
  <si>
    <t>E_WON_Trans_C2_SYR</t>
  </si>
  <si>
    <t>E_WON_Trans_C2_YEM</t>
  </si>
  <si>
    <t>E_WON_Trans_C3_IRN</t>
  </si>
  <si>
    <t>E_WON_Trans_C3_IRQ</t>
  </si>
  <si>
    <t>E_WON_Trans_C3_KWT</t>
  </si>
  <si>
    <t>E_WON_Trans_C3_OMN</t>
  </si>
  <si>
    <t>E_WON_Trans_C3_SAU</t>
  </si>
  <si>
    <t>E_WON_Trans_C3_SYR</t>
  </si>
  <si>
    <t>E_WON_Trans_C3_YEM</t>
  </si>
  <si>
    <t>E_WON_Trans_C4_IRN</t>
  </si>
  <si>
    <t>E_WON_Trans_C4_IRQ</t>
  </si>
  <si>
    <t>E_WON_Trans_C4_OMN</t>
  </si>
  <si>
    <t>E_WON_Trans_C4_SAU</t>
  </si>
  <si>
    <t>E_WON_Trans_C4_YEM</t>
  </si>
  <si>
    <t>E_WON_Trans_C5_IRN</t>
  </si>
  <si>
    <t>E_WON_Trans_C5_OMN</t>
  </si>
  <si>
    <t>E_WON_Trans_C5_YEM</t>
  </si>
  <si>
    <t>E_WON_Trans_C6_IRN</t>
  </si>
  <si>
    <t>E_WON_Trans_C6_OMN</t>
  </si>
  <si>
    <t>E_WON_Trans_C6_YEM</t>
  </si>
  <si>
    <t>E_WON_Trans_C7_IRN</t>
  </si>
  <si>
    <t>E_WON_Trans_C7_OMN</t>
  </si>
  <si>
    <t>E_WON_Trans_C8_IRN</t>
  </si>
  <si>
    <t>E_WON_Far_C1_CHL</t>
  </si>
  <si>
    <t>E_WON_Far_C1_MEX</t>
  </si>
  <si>
    <t>E_WON_Far_C2_MEX</t>
  </si>
  <si>
    <t>E_WON_Far_C3_CHL</t>
  </si>
  <si>
    <t>E_WON_Far_C3_MEX</t>
  </si>
  <si>
    <t>E_WON_Far_C4_CHL</t>
  </si>
  <si>
    <t>E_WON_Far_C4_MEX</t>
  </si>
  <si>
    <t>E_WON_Far_C5_CHL</t>
  </si>
  <si>
    <t>E_WON_Far_C6_CHL</t>
  </si>
  <si>
    <t>E_WON_Far_C7_CHL</t>
  </si>
  <si>
    <t>E_WON_Far_C8_CHL</t>
  </si>
  <si>
    <t>E_WON_Far_C9_CHL</t>
  </si>
  <si>
    <t>E_WON_Near_C1_CHL</t>
  </si>
  <si>
    <t>E_WON_Near_C1_MEX</t>
  </si>
  <si>
    <t>E_WON_Near_C2_CHL</t>
  </si>
  <si>
    <t>E_WON_Near_C2_MEX</t>
  </si>
  <si>
    <t>E_WON_Near_C3_CHL</t>
  </si>
  <si>
    <t>E_WON_Near_C3_MEX</t>
  </si>
  <si>
    <t>E_WON_Near_C4_CHL</t>
  </si>
  <si>
    <t>E_WON_Near_C4_MEX</t>
  </si>
  <si>
    <t>E_WON_Near_C5_CHL</t>
  </si>
  <si>
    <t>E_WON_Near_C5_MEX</t>
  </si>
  <si>
    <t>E_WON_Near_C6_CHL</t>
  </si>
  <si>
    <t>E_WON_Near_C6_MEX</t>
  </si>
  <si>
    <t>E_WON_Near_C7_MEX</t>
  </si>
  <si>
    <t>E_WON_Near_C8_CHL</t>
  </si>
  <si>
    <t>E_WON_Near_C8_MEX</t>
  </si>
  <si>
    <t>E_WON_Near_C9_CHL</t>
  </si>
  <si>
    <t>E_WON_Near_C9_MEX</t>
  </si>
  <si>
    <t>E_WON_Trans_C1_CHL</t>
  </si>
  <si>
    <t>E_WON_Trans_C1_MEX</t>
  </si>
  <si>
    <t>E_WON_Trans_C2_CHL</t>
  </si>
  <si>
    <t>E_WON_Trans_C2_MEX</t>
  </si>
  <si>
    <t>E_WON_Trans_C3_CHL</t>
  </si>
  <si>
    <t>E_WON_Trans_C3_MEX</t>
  </si>
  <si>
    <t>E_WON_Trans_C4_CHL</t>
  </si>
  <si>
    <t>E_WON_Trans_C4_MEX</t>
  </si>
  <si>
    <t>E_WON_Trans_C5_CHL</t>
  </si>
  <si>
    <t>E_WON_Trans_C5_MEX</t>
  </si>
  <si>
    <t>E_WON_Trans_C6_CHL</t>
  </si>
  <si>
    <t>E_WON_Trans_C6_MEX</t>
  </si>
  <si>
    <t>E_WON_Trans_C7_CHL</t>
  </si>
  <si>
    <t>E_WON_Trans_C7_MEX</t>
  </si>
  <si>
    <t>E_WON_Trans_C8_CHL</t>
  </si>
  <si>
    <t>E_WON_Trans_C8_MEX</t>
  </si>
  <si>
    <t>E_WON_Trans_C9_CHL</t>
  </si>
  <si>
    <t>E_WON_Trans_C9_MEX</t>
  </si>
  <si>
    <t>E_WON_Far_C1_AFG</t>
  </si>
  <si>
    <t>E_WON_Far_C1_IDN</t>
  </si>
  <si>
    <t>E_WON_Far_C1_KHM</t>
  </si>
  <si>
    <t>E_WON_Far_C1_MMR</t>
  </si>
  <si>
    <t>E_WON_Far_C1_MNG</t>
  </si>
  <si>
    <t>E_WON_Far_C1_MYS</t>
  </si>
  <si>
    <t>E_WON_Far_C1_NPL</t>
  </si>
  <si>
    <t>E_WON_Far_C1_PAK</t>
  </si>
  <si>
    <t>E_WON_Far_C1_PHL</t>
  </si>
  <si>
    <t>E_WON_Far_C1_PNG</t>
  </si>
  <si>
    <t>E_WON_Far_C1_SLB</t>
  </si>
  <si>
    <t>E_WON_Far_C2_AFG</t>
  </si>
  <si>
    <t>E_WON_Far_C2_IDN</t>
  </si>
  <si>
    <t>E_WON_Far_C2_KHM</t>
  </si>
  <si>
    <t>E_WON_Far_C2_MNG</t>
  </si>
  <si>
    <t>E_WON_Far_C2_NCL</t>
  </si>
  <si>
    <t>E_WON_Far_C2_NPL</t>
  </si>
  <si>
    <t>E_WON_Far_C2_PAK</t>
  </si>
  <si>
    <t>E_WON_Far_C2_PNG</t>
  </si>
  <si>
    <t>E_WON_Far_C2_SLB</t>
  </si>
  <si>
    <t>E_WON_Far_C2_THA</t>
  </si>
  <si>
    <t>E_WON_Far_C2_TMP</t>
  </si>
  <si>
    <t>E_WON_Far_C2_WSM</t>
  </si>
  <si>
    <t>E_WON_Far_C3_AFG</t>
  </si>
  <si>
    <t>E_WON_Far_C3_FJI</t>
  </si>
  <si>
    <t>E_WON_Far_C3_IDN</t>
  </si>
  <si>
    <t>E_WON_Far_C3_MNG</t>
  </si>
  <si>
    <t>E_WON_Far_C3_NCL</t>
  </si>
  <si>
    <t>E_WON_Far_C3_PAK</t>
  </si>
  <si>
    <t>E_WON_Far_C3_PNG</t>
  </si>
  <si>
    <t>E_WON_Far_C4_AFG</t>
  </si>
  <si>
    <t>E_WON_Far_C4_IDN</t>
  </si>
  <si>
    <t>E_WON_Far_C4_MNG</t>
  </si>
  <si>
    <t>E_WON_Far_C4_PAK</t>
  </si>
  <si>
    <t>E_WON_Far_C4_PNG</t>
  </si>
  <si>
    <t>E_WON_Far_C4_VUT</t>
  </si>
  <si>
    <t>E_WON_Far_C5_NCL</t>
  </si>
  <si>
    <t>E_WON_Far_C5_PNG</t>
  </si>
  <si>
    <t>E_WON_Far_C5_SLB</t>
  </si>
  <si>
    <t>E_WON_Far_C5_VUT</t>
  </si>
  <si>
    <t>E_WON_Far_C6_PNG</t>
  </si>
  <si>
    <t>E_WON_Far_C6_VUT</t>
  </si>
  <si>
    <t>E_WON_Far_C7_PNG</t>
  </si>
  <si>
    <t>E_WON_Near_C1_AFG</t>
  </si>
  <si>
    <t>E_WON_Near_C1_BGD</t>
  </si>
  <si>
    <t>E_WON_Near_C1_BRN</t>
  </si>
  <si>
    <t>E_WON_Near_C1_BTN</t>
  </si>
  <si>
    <t>E_WON_Near_C1_IDN</t>
  </si>
  <si>
    <t>E_WON_Near_C1_KHM</t>
  </si>
  <si>
    <t>E_WON_Near_C1_LAO</t>
  </si>
  <si>
    <t>E_WON_Near_C1_LKA</t>
  </si>
  <si>
    <t>E_WON_Near_C1_MMR</t>
  </si>
  <si>
    <t>E_WON_Near_C1_MNG</t>
  </si>
  <si>
    <t>E_WON_Near_C1_MYS</t>
  </si>
  <si>
    <t>E_WON_Near_C1_NPL</t>
  </si>
  <si>
    <t>E_WON_Near_C1_PAK</t>
  </si>
  <si>
    <t>E_WON_Near_C1_PHL</t>
  </si>
  <si>
    <t>E_WON_Near_C1_PNG</t>
  </si>
  <si>
    <t>E_WON_Near_C1_PRK</t>
  </si>
  <si>
    <t>E_WON_Near_C1_SGP</t>
  </si>
  <si>
    <t>E_WON_Near_C1_THA</t>
  </si>
  <si>
    <t>E_WON_Near_C1_TMP</t>
  </si>
  <si>
    <t>E_WON_Near_C1_VNM</t>
  </si>
  <si>
    <t>E_WON_Near_C2_AFG</t>
  </si>
  <si>
    <t>E_WON_Near_C2_BGD</t>
  </si>
  <si>
    <t>E_WON_Near_C2_FJI</t>
  </si>
  <si>
    <t>E_WON_Near_C2_IDN</t>
  </si>
  <si>
    <t>E_WON_Near_C2_KHM</t>
  </si>
  <si>
    <t>E_WON_Near_C2_LAO</t>
  </si>
  <si>
    <t>E_WON_Near_C2_LKA</t>
  </si>
  <si>
    <t>E_WON_Near_C2_MMR</t>
  </si>
  <si>
    <t>E_WON_Near_C2_MNG</t>
  </si>
  <si>
    <t>E_WON_Near_C2_PAK</t>
  </si>
  <si>
    <t>E_WON_Near_C2_PHL</t>
  </si>
  <si>
    <t>E_WON_Near_C2_PNG</t>
  </si>
  <si>
    <t>E_WON_Near_C2_PRK</t>
  </si>
  <si>
    <t>E_WON_Near_C2_SLB</t>
  </si>
  <si>
    <t>E_WON_Near_C2_THA</t>
  </si>
  <si>
    <t>E_WON_Near_C2_TMP</t>
  </si>
  <si>
    <t>E_WON_Near_C2_VNM</t>
  </si>
  <si>
    <t>E_WON_Near_C3_AFG</t>
  </si>
  <si>
    <t>E_WON_Near_C3_FJI</t>
  </si>
  <si>
    <t>E_WON_Near_C3_IDN</t>
  </si>
  <si>
    <t>E_WON_Near_C3_KHM</t>
  </si>
  <si>
    <t>E_WON_Near_C3_LAO</t>
  </si>
  <si>
    <t>E_WON_Near_C3_LKA</t>
  </si>
  <si>
    <t>E_WON_Near_C3_MMR</t>
  </si>
  <si>
    <t>E_WON_Near_C3_MNG</t>
  </si>
  <si>
    <t>E_WON_Near_C3_NCL</t>
  </si>
  <si>
    <t>E_WON_Near_C3_PAK</t>
  </si>
  <si>
    <t>E_WON_Near_C3_PHL</t>
  </si>
  <si>
    <t>E_WON_Near_C3_PNG</t>
  </si>
  <si>
    <t>E_WON_Near_C3_PRK</t>
  </si>
  <si>
    <t>E_WON_Near_C3_THA</t>
  </si>
  <si>
    <t>E_WON_Near_C3_TMP</t>
  </si>
  <si>
    <t>E_WON_Near_C3_VNM</t>
  </si>
  <si>
    <t>E_WON_Near_C4_AFG</t>
  </si>
  <si>
    <t>E_WON_Near_C4_FJI</t>
  </si>
  <si>
    <t>E_WON_Near_C4_IDN</t>
  </si>
  <si>
    <t>E_WON_Near_C4_KHM</t>
  </si>
  <si>
    <t>E_WON_Near_C4_LAO</t>
  </si>
  <si>
    <t>E_WON_Near_C4_LKA</t>
  </si>
  <si>
    <t>E_WON_Near_C4_MMR</t>
  </si>
  <si>
    <t>E_WON_Near_C4_NCL</t>
  </si>
  <si>
    <t>E_WON_Near_C4_PAK</t>
  </si>
  <si>
    <t>E_WON_Near_C4_PHL</t>
  </si>
  <si>
    <t>E_WON_Near_C4_PNG</t>
  </si>
  <si>
    <t>E_WON_Near_C4_PRK</t>
  </si>
  <si>
    <t>E_WON_Near_C4_THA</t>
  </si>
  <si>
    <t>E_WON_Near_C4_VNM</t>
  </si>
  <si>
    <t>E_WON_Near_C5_AFG</t>
  </si>
  <si>
    <t>E_WON_Near_C5_KHM</t>
  </si>
  <si>
    <t>E_WON_Near_C5_LAO</t>
  </si>
  <si>
    <t>E_WON_Near_C5_LKA</t>
  </si>
  <si>
    <t>E_WON_Near_C5_PAK</t>
  </si>
  <si>
    <t>E_WON_Near_C5_PHL</t>
  </si>
  <si>
    <t>E_WON_Near_C5_VNM</t>
  </si>
  <si>
    <t>E_WON_Near_C6_AFG</t>
  </si>
  <si>
    <t>E_WON_Near_C6_LKA</t>
  </si>
  <si>
    <t>E_WON_Near_C6_PHL</t>
  </si>
  <si>
    <t>E_WON_Near_C6_VNM</t>
  </si>
  <si>
    <t>E_WON_Near_C7_AFG</t>
  </si>
  <si>
    <t>E_WON_Near_C7_LKA</t>
  </si>
  <si>
    <t>E_WON_Near_C7_VNM</t>
  </si>
  <si>
    <t>E_WON_Near_C8_AFG</t>
  </si>
  <si>
    <t>E_WON_Trans_C1_AFG</t>
  </si>
  <si>
    <t>E_WON_Trans_C1_BGD</t>
  </si>
  <si>
    <t>E_WON_Trans_C1_BRN</t>
  </si>
  <si>
    <t>E_WON_Trans_C1_BTN</t>
  </si>
  <si>
    <t>E_WON_Trans_C1_IDN</t>
  </si>
  <si>
    <t>E_WON_Trans_C1_KHM</t>
  </si>
  <si>
    <t>E_WON_Trans_C1_LAO</t>
  </si>
  <si>
    <t>E_WON_Trans_C1_MMR</t>
  </si>
  <si>
    <t>E_WON_Trans_C1_MNG</t>
  </si>
  <si>
    <t>E_WON_Trans_C1_MYS</t>
  </si>
  <si>
    <t>E_WON_Trans_C1_NPL</t>
  </si>
  <si>
    <t>E_WON_Trans_C1_PAK</t>
  </si>
  <si>
    <t>E_WON_Trans_C1_PHL</t>
  </si>
  <si>
    <t>E_WON_Trans_C1_PNG</t>
  </si>
  <si>
    <t>E_WON_Trans_C1_SLB</t>
  </si>
  <si>
    <t>E_WON_Trans_C1_THA</t>
  </si>
  <si>
    <t>E_WON_Trans_C1_TMP</t>
  </si>
  <si>
    <t>E_WON_Trans_C1_VNM</t>
  </si>
  <si>
    <t>E_WON_Trans_C2_AFG</t>
  </si>
  <si>
    <t>E_WON_Trans_C2_IDN</t>
  </si>
  <si>
    <t>E_WON_Trans_C2_KHM</t>
  </si>
  <si>
    <t>E_WON_Trans_C2_LAO</t>
  </si>
  <si>
    <t>E_WON_Trans_C2_MMR</t>
  </si>
  <si>
    <t>E_WON_Trans_C2_MNG</t>
  </si>
  <si>
    <t>E_WON_Trans_C2_NCL</t>
  </si>
  <si>
    <t>E_WON_Trans_C2_NPL</t>
  </si>
  <si>
    <t>E_WON_Trans_C2_PAK</t>
  </si>
  <si>
    <t>E_WON_Trans_C2_PHL</t>
  </si>
  <si>
    <t>E_WON_Trans_C2_PNG</t>
  </si>
  <si>
    <t>E_WON_Trans_C2_SLB</t>
  </si>
  <si>
    <t>E_WON_Trans_C2_THA</t>
  </si>
  <si>
    <t>E_WON_Trans_C2_TMP</t>
  </si>
  <si>
    <t>E_WON_Trans_C2_VNM</t>
  </si>
  <si>
    <t>E_WON_Trans_C3_AFG</t>
  </si>
  <si>
    <t>E_WON_Trans_C3_IDN</t>
  </si>
  <si>
    <t>E_WON_Trans_C3_KHM</t>
  </si>
  <si>
    <t>E_WON_Trans_C3_LAO</t>
  </si>
  <si>
    <t>E_WON_Trans_C3_MMR</t>
  </si>
  <si>
    <t>E_WON_Trans_C3_MNG</t>
  </si>
  <si>
    <t>E_WON_Trans_C3_NCL</t>
  </si>
  <si>
    <t>E_WON_Trans_C3_PAK</t>
  </si>
  <si>
    <t>E_WON_Trans_C3_PNG</t>
  </si>
  <si>
    <t>E_WON_Trans_C3_THA</t>
  </si>
  <si>
    <t>E_WON_Trans_C3_VNM</t>
  </si>
  <si>
    <t>E_WON_Trans_C4_AFG</t>
  </si>
  <si>
    <t>E_WON_Trans_C4_FJI</t>
  </si>
  <si>
    <t>E_WON_Trans_C4_KHM</t>
  </si>
  <si>
    <t>E_WON_Trans_C4_LAO</t>
  </si>
  <si>
    <t>E_WON_Trans_C4_MNG</t>
  </si>
  <si>
    <t>E_WON_Trans_C4_PAK</t>
  </si>
  <si>
    <t>E_WON_Trans_C4_PHL</t>
  </si>
  <si>
    <t>E_WON_Trans_C4_PNG</t>
  </si>
  <si>
    <t>E_WON_Trans_C4_THA</t>
  </si>
  <si>
    <t>E_WON_Trans_C4_VNM</t>
  </si>
  <si>
    <t>E_WON_Trans_C5_AFG</t>
  </si>
  <si>
    <t>E_WON_Trans_C5_KHM</t>
  </si>
  <si>
    <t>E_WON_Trans_C5_LAO</t>
  </si>
  <si>
    <t>E_WON_Trans_C5_MNG</t>
  </si>
  <si>
    <t>E_WON_Trans_C5_NCL</t>
  </si>
  <si>
    <t>E_WON_Trans_C5_PAK</t>
  </si>
  <si>
    <t>E_WON_Trans_C5_PHL</t>
  </si>
  <si>
    <t>E_WON_Trans_C5_VNM</t>
  </si>
  <si>
    <t>E_WON_Trans_C6_AFG</t>
  </si>
  <si>
    <t>E_WON_Trans_C7_AFG</t>
  </si>
  <si>
    <t>E_WON_Trans_C7_PNG</t>
  </si>
  <si>
    <t>E_WON_Trans_C8_AFG</t>
  </si>
  <si>
    <t>E_WON_Far_C1_RUS</t>
  </si>
  <si>
    <t>E_WON_Far_C2_RUS</t>
  </si>
  <si>
    <t>E_WON_Far_C3_RUS</t>
  </si>
  <si>
    <t>E_WON_Far_C4_RUS</t>
  </si>
  <si>
    <t>E_WON_Far_C5_RUS</t>
  </si>
  <si>
    <t>E_WON_Far_C6_RUS</t>
  </si>
  <si>
    <t>E_WON_Far_C7_RUS</t>
  </si>
  <si>
    <t>E_WON_Far_C8_RUS</t>
  </si>
  <si>
    <t>E_WON_Far_C9_RUS</t>
  </si>
  <si>
    <t>E_WON_Near_C1_RUS</t>
  </si>
  <si>
    <t>E_WON_Near_C2_RUS</t>
  </si>
  <si>
    <t>E_WON_Near_C3_RUS</t>
  </si>
  <si>
    <t>E_WON_Near_C4_RUS</t>
  </si>
  <si>
    <t>E_WON_Near_C5_RUS</t>
  </si>
  <si>
    <t>E_WON_Near_C6_RUS</t>
  </si>
  <si>
    <t>E_WON_Near_C7_RUS</t>
  </si>
  <si>
    <t>E_WON_Trans_C1_RUS</t>
  </si>
  <si>
    <t>E_WON_Trans_C2_RUS</t>
  </si>
  <si>
    <t>E_WON_Trans_C3_RUS</t>
  </si>
  <si>
    <t>E_WON_Trans_C4_RUS</t>
  </si>
  <si>
    <t>E_WON_Trans_C5_RUS</t>
  </si>
  <si>
    <t>E_WON_Trans_C6_RUS</t>
  </si>
  <si>
    <t>E_WON_Trans_C7_RUS</t>
  </si>
  <si>
    <t>E_WON_Near_C1_KOR</t>
  </si>
  <si>
    <t>E_WON_Near_C2_KOR</t>
  </si>
  <si>
    <t>E_WON_Near_C3_KOR</t>
  </si>
  <si>
    <t>E_WON_Near_C4_KOR</t>
  </si>
  <si>
    <t>E_WON_Far_C1_KAZ</t>
  </si>
  <si>
    <t>E_WON_Far_C1_TKM</t>
  </si>
  <si>
    <t>E_WON_Far_C1_UZB</t>
  </si>
  <si>
    <t>E_WON_Far_C2_KAZ</t>
  </si>
  <si>
    <t>E_WON_Far_C2_TJK</t>
  </si>
  <si>
    <t>E_WON_Far_C2_TKM</t>
  </si>
  <si>
    <t>E_WON_Far_C2_UZB</t>
  </si>
  <si>
    <t>E_WON_Far_C3_KAZ</t>
  </si>
  <si>
    <t>E_WON_Far_C3_TJK</t>
  </si>
  <si>
    <t>E_WON_Far_C3_TKM</t>
  </si>
  <si>
    <t>E_WON_Far_C3_UZB</t>
  </si>
  <si>
    <t>E_WON_Far_C4_KAZ</t>
  </si>
  <si>
    <t>E_WON_Far_C4_TJK</t>
  </si>
  <si>
    <t>E_WON_Far_C4_UZB</t>
  </si>
  <si>
    <t>E_WON_Far_C5_KAZ</t>
  </si>
  <si>
    <t>E_WON_Near_C1_ALB</t>
  </si>
  <si>
    <t>E_WON_Near_C1_ARM</t>
  </si>
  <si>
    <t>E_WON_Near_C1_AZE</t>
  </si>
  <si>
    <t>E_WON_Near_C1_BGR</t>
  </si>
  <si>
    <t>E_WON_Near_C1_BIH</t>
  </si>
  <si>
    <t>E_WON_Near_C1_GEO</t>
  </si>
  <si>
    <t>E_WON_Near_C1_HRV</t>
  </si>
  <si>
    <t>E_WON_Near_C1_KAZ</t>
  </si>
  <si>
    <t>E_WON_Near_C1_KGZ</t>
  </si>
  <si>
    <t>E_WON_Near_C1_MKD</t>
  </si>
  <si>
    <t>E_WON_Near_C1_ROM</t>
  </si>
  <si>
    <t>E_WON_Near_C1_TJK</t>
  </si>
  <si>
    <t>E_WON_Near_C1_TKM</t>
  </si>
  <si>
    <t>E_WON_Near_C1_UKR</t>
  </si>
  <si>
    <t>E_WON_Near_C1_UZB</t>
  </si>
  <si>
    <t>E_WON_Near_C2_ALB</t>
  </si>
  <si>
    <t>E_WON_Near_C2_ARM</t>
  </si>
  <si>
    <t>E_WON_Near_C2_AZE</t>
  </si>
  <si>
    <t>E_WON_Near_C2_BGR</t>
  </si>
  <si>
    <t>E_WON_Near_C2_BIH</t>
  </si>
  <si>
    <t>E_WON_Near_C2_GEO</t>
  </si>
  <si>
    <t>E_WON_Near_C2_HRV</t>
  </si>
  <si>
    <t>E_WON_Near_C2_KAZ</t>
  </si>
  <si>
    <t>E_WON_Near_C2_KGZ</t>
  </si>
  <si>
    <t>E_WON_Near_C2_MDA</t>
  </si>
  <si>
    <t>E_WON_Near_C2_MKD</t>
  </si>
  <si>
    <t>E_WON_Near_C2_ROM</t>
  </si>
  <si>
    <t>E_WON_Near_C2_TJK</t>
  </si>
  <si>
    <t>E_WON_Near_C2_TKM</t>
  </si>
  <si>
    <t>E_WON_Near_C2_UKR</t>
  </si>
  <si>
    <t>E_WON_Near_C2_UZB</t>
  </si>
  <si>
    <t>E_WON_Near_C3_ALB</t>
  </si>
  <si>
    <t>E_WON_Near_C3_ARM</t>
  </si>
  <si>
    <t>E_WON_Near_C3_AZE</t>
  </si>
  <si>
    <t>E_WON_Near_C3_BGR</t>
  </si>
  <si>
    <t>E_WON_Near_C3_BIH</t>
  </si>
  <si>
    <t>E_WON_Near_C3_BLR</t>
  </si>
  <si>
    <t>E_WON_Near_C3_GEO</t>
  </si>
  <si>
    <t>E_WON_Near_C3_HRV</t>
  </si>
  <si>
    <t>E_WON_Near_C3_KAZ</t>
  </si>
  <si>
    <t>E_WON_Near_C3_KGZ</t>
  </si>
  <si>
    <t>E_WON_Near_C3_LTU</t>
  </si>
  <si>
    <t>E_WON_Near_C3_LVA</t>
  </si>
  <si>
    <t>E_WON_Near_C3_MDA</t>
  </si>
  <si>
    <t>E_WON_Near_C3_MKD</t>
  </si>
  <si>
    <t>E_WON_Near_C3_ROM</t>
  </si>
  <si>
    <t>E_WON_Near_C3_TJK</t>
  </si>
  <si>
    <t>E_WON_Near_C3_TKM</t>
  </si>
  <si>
    <t>E_WON_Near_C3_UKR</t>
  </si>
  <si>
    <t>E_WON_Near_C3_UZB</t>
  </si>
  <si>
    <t>E_WON_Near_C4_ALB</t>
  </si>
  <si>
    <t>E_WON_Near_C4_AZE</t>
  </si>
  <si>
    <t>E_WON_Near_C4_BLR</t>
  </si>
  <si>
    <t>E_WON_Near_C4_KAZ</t>
  </si>
  <si>
    <t>E_WON_Near_C4_KGZ</t>
  </si>
  <si>
    <t>E_WON_Near_C4_LTU</t>
  </si>
  <si>
    <t>E_WON_Near_C4_LVA</t>
  </si>
  <si>
    <t>E_WON_Near_C4_MKD</t>
  </si>
  <si>
    <t>E_WON_Near_C4_TJK</t>
  </si>
  <si>
    <t>E_WON_Near_C4_UKR</t>
  </si>
  <si>
    <t>E_WON_Near_C5_KAZ</t>
  </si>
  <si>
    <t>E_WON_Near_C5_KGZ</t>
  </si>
  <si>
    <t>E_WON_Near_C5_LTU</t>
  </si>
  <si>
    <t>E_WON_Near_C5_LVA</t>
  </si>
  <si>
    <t>E_WON_Trans_C1_ARM</t>
  </si>
  <si>
    <t>E_WON_Trans_C1_AZE</t>
  </si>
  <si>
    <t>E_WON_Trans_C1_GEO</t>
  </si>
  <si>
    <t>E_WON_Trans_C1_HRV</t>
  </si>
  <si>
    <t>E_WON_Trans_C1_KAZ</t>
  </si>
  <si>
    <t>E_WON_Trans_C1_KGZ</t>
  </si>
  <si>
    <t>E_WON_Trans_C1_TJK</t>
  </si>
  <si>
    <t>E_WON_Trans_C1_TKM</t>
  </si>
  <si>
    <t>E_WON_Trans_C1_UZB</t>
  </si>
  <si>
    <t>E_WON_Trans_C2_ARM</t>
  </si>
  <si>
    <t>E_WON_Trans_C2_GEO</t>
  </si>
  <si>
    <t>E_WON_Trans_C2_KAZ</t>
  </si>
  <si>
    <t>E_WON_Trans_C2_KGZ</t>
  </si>
  <si>
    <t>E_WON_Trans_C2_MDA</t>
  </si>
  <si>
    <t>E_WON_Trans_C2_ROM</t>
  </si>
  <si>
    <t>E_WON_Trans_C2_TJK</t>
  </si>
  <si>
    <t>E_WON_Trans_C2_TKM</t>
  </si>
  <si>
    <t>E_WON_Trans_C2_UKR</t>
  </si>
  <si>
    <t>E_WON_Trans_C2_UZB</t>
  </si>
  <si>
    <t>E_WON_Trans_C3_BLR</t>
  </si>
  <si>
    <t>E_WON_Trans_C3_GEO</t>
  </si>
  <si>
    <t>E_WON_Trans_C3_KAZ</t>
  </si>
  <si>
    <t>E_WON_Trans_C3_KGZ</t>
  </si>
  <si>
    <t>E_WON_Trans_C3_LVA</t>
  </si>
  <si>
    <t>E_WON_Trans_C3_TJK</t>
  </si>
  <si>
    <t>E_WON_Trans_C3_TKM</t>
  </si>
  <si>
    <t>E_WON_Trans_C3_UKR</t>
  </si>
  <si>
    <t>E_WON_Trans_C3_UZB</t>
  </si>
  <si>
    <t>E_WON_Trans_C4_BLR</t>
  </si>
  <si>
    <t>E_WON_Trans_C4_KAZ</t>
  </si>
  <si>
    <t>E_WON_Trans_C4_KGZ</t>
  </si>
  <si>
    <t>E_WON_Trans_C4_LTU</t>
  </si>
  <si>
    <t>E_WON_Trans_C4_LVA</t>
  </si>
  <si>
    <t>E_WON_Trans_C4_TJK</t>
  </si>
  <si>
    <t>E_WON_Trans_C4_TKM</t>
  </si>
  <si>
    <t>E_WON_Trans_C4_UZB</t>
  </si>
  <si>
    <t>E_WON_Trans_C5_KAZ</t>
  </si>
  <si>
    <t>E_WON_Trans_C5_KGZ</t>
  </si>
  <si>
    <t>E_WON_Trans_C5_LVA</t>
  </si>
  <si>
    <t>E_WON_Trans_C5_TJK</t>
  </si>
  <si>
    <t>E_WON_Trans_C6_KGZ</t>
  </si>
  <si>
    <t>E_WON_Trans_C6_TJK</t>
  </si>
  <si>
    <t>E_WON_Far_C1_USA</t>
  </si>
  <si>
    <t>E_WON_Far_C2_USA</t>
  </si>
  <si>
    <t>E_WON_Far_C3_USA</t>
  </si>
  <si>
    <t>E_WON_Far_C4_USA</t>
  </si>
  <si>
    <t>E_WON_Far_C5_USA</t>
  </si>
  <si>
    <t>E_WON_Near_C1_USA</t>
  </si>
  <si>
    <t>E_WON_Near_C2_USA</t>
  </si>
  <si>
    <t>E_WON_Near_C3_USA</t>
  </si>
  <si>
    <t>E_WON_Near_C4_USA</t>
  </si>
  <si>
    <t>E_WON_Near_C5_USA</t>
  </si>
  <si>
    <t>E_WON_Near_C6_USA</t>
  </si>
  <si>
    <t>E_WON_Near_C7_USA</t>
  </si>
  <si>
    <t>E_WON_Trans_C1_USA</t>
  </si>
  <si>
    <t>E_WON_Trans_C2_USA</t>
  </si>
  <si>
    <t>E_WON_Trans_C3_USA</t>
  </si>
  <si>
    <t>E_WON_Trans_C4_USA</t>
  </si>
  <si>
    <t>E_WON_Trans_C5_USA</t>
  </si>
  <si>
    <t>E_WON_Trans_C6_USA</t>
  </si>
  <si>
    <t>E_WON_Trans_C7_USA</t>
  </si>
  <si>
    <t>Solar-EIA-C</t>
  </si>
  <si>
    <t>E_SPV_C01_AGO</t>
  </si>
  <si>
    <t>E_SPV_C01_BDI</t>
  </si>
  <si>
    <t>E_SPV_C01_BEN</t>
  </si>
  <si>
    <t>E_SPV_C01_CAF</t>
  </si>
  <si>
    <t>E_SPV_C01_CIV</t>
  </si>
  <si>
    <t>E_SPV_C01_CMR</t>
  </si>
  <si>
    <t>E_SPV_C01_COG</t>
  </si>
  <si>
    <t>E_SPV_C01_ETH</t>
  </si>
  <si>
    <t>E_SPV_C01_GAB</t>
  </si>
  <si>
    <t>E_SPV_C01_GHA</t>
  </si>
  <si>
    <t>E_SPV_C01_GIN</t>
  </si>
  <si>
    <t>E_SPV_C01_GNB</t>
  </si>
  <si>
    <t>E_SPV_C01_GNQ</t>
  </si>
  <si>
    <t>E_SPV_C01_KEN</t>
  </si>
  <si>
    <t>E_SPV_C01_LBR</t>
  </si>
  <si>
    <t>E_SPV_C01_MAR</t>
  </si>
  <si>
    <t>E_SPV_C01_MDG</t>
  </si>
  <si>
    <t>E_SPV_C01_NGA</t>
  </si>
  <si>
    <t>E_SPV_C01_RWA</t>
  </si>
  <si>
    <t>E_SPV_C01_SDN</t>
  </si>
  <si>
    <t>E_SPV_C01_SEN</t>
  </si>
  <si>
    <t>E_SPV_C01_SLE</t>
  </si>
  <si>
    <t>E_SPV_C01_TZA</t>
  </si>
  <si>
    <t>E_SPV_C01_UGA</t>
  </si>
  <si>
    <t>E_SPV_C01_ZAF</t>
  </si>
  <si>
    <t>E_SPV_C02_AGO</t>
  </si>
  <si>
    <t>E_SPV_C02_BDI</t>
  </si>
  <si>
    <t>E_SPV_C02_BEN</t>
  </si>
  <si>
    <t>E_SPV_C02_BFA</t>
  </si>
  <si>
    <t>E_SPV_C02_CAF</t>
  </si>
  <si>
    <t>E_SPV_C02_CIV</t>
  </si>
  <si>
    <t>E_SPV_C02_CMR</t>
  </si>
  <si>
    <t>E_SPV_C02_COG</t>
  </si>
  <si>
    <t>E_SPV_C02_DZA</t>
  </si>
  <si>
    <t>E_SPV_C02_ERI</t>
  </si>
  <si>
    <t>E_SPV_C02_ETH</t>
  </si>
  <si>
    <t>E_SPV_C02_GHA</t>
  </si>
  <si>
    <t>E_SPV_C02_GIN</t>
  </si>
  <si>
    <t>E_SPV_C02_GMB</t>
  </si>
  <si>
    <t>E_SPV_C02_GNB</t>
  </si>
  <si>
    <t>E_SPV_C02_KEN</t>
  </si>
  <si>
    <t>E_SPV_C02_MAR</t>
  </si>
  <si>
    <t>E_SPV_C02_MDG</t>
  </si>
  <si>
    <t>E_SPV_C02_MLI</t>
  </si>
  <si>
    <t>E_SPV_C02_MOZ</t>
  </si>
  <si>
    <t>E_SPV_C02_MRT</t>
  </si>
  <si>
    <t>E_SPV_C02_MWI</t>
  </si>
  <si>
    <t>E_SPV_C02_NGA</t>
  </si>
  <si>
    <t>E_SPV_C02_RWA</t>
  </si>
  <si>
    <t>E_SPV_C02_SDN</t>
  </si>
  <si>
    <t>E_SPV_C02_SEN</t>
  </si>
  <si>
    <t>E_SPV_C02_SLE</t>
  </si>
  <si>
    <t>E_SPV_C02_TZA</t>
  </si>
  <si>
    <t>E_SPV_C02_UGA</t>
  </si>
  <si>
    <t>E_SPV_C03_AGO</t>
  </si>
  <si>
    <t>E_SPV_C03_BDI</t>
  </si>
  <si>
    <t>E_SPV_C03_BEN</t>
  </si>
  <si>
    <t>E_SPV_C03_BFA</t>
  </si>
  <si>
    <t>E_SPV_C03_CAF</t>
  </si>
  <si>
    <t>E_SPV_C03_CIV</t>
  </si>
  <si>
    <t>E_SPV_C03_CMR</t>
  </si>
  <si>
    <t>E_SPV_C03_COG</t>
  </si>
  <si>
    <t>E_SPV_C03_DJI</t>
  </si>
  <si>
    <t>E_SPV_C03_DZA</t>
  </si>
  <si>
    <t>E_SPV_C03_ERI</t>
  </si>
  <si>
    <t>E_SPV_C03_ETH</t>
  </si>
  <si>
    <t>E_SPV_C03_GHA</t>
  </si>
  <si>
    <t>E_SPV_C03_GIN</t>
  </si>
  <si>
    <t>E_SPV_C03_GMB</t>
  </si>
  <si>
    <t>E_SPV_C03_GNB</t>
  </si>
  <si>
    <t>E_SPV_C03_KEN</t>
  </si>
  <si>
    <t>E_SPV_C03_LBY</t>
  </si>
  <si>
    <t>E_SPV_C03_MAR</t>
  </si>
  <si>
    <t>E_SPV_C03_MDG</t>
  </si>
  <si>
    <t>E_SPV_C03_MLI</t>
  </si>
  <si>
    <t>E_SPV_C03_MOZ</t>
  </si>
  <si>
    <t>E_SPV_C03_MRT</t>
  </si>
  <si>
    <t>E_SPV_C03_MWI</t>
  </si>
  <si>
    <t>E_SPV_C03_NER</t>
  </si>
  <si>
    <t>E_SPV_C03_NGA</t>
  </si>
  <si>
    <t>E_SPV_C03_RWA</t>
  </si>
  <si>
    <t>E_SPV_C03_SDN</t>
  </si>
  <si>
    <t>E_SPV_C03_SEN</t>
  </si>
  <si>
    <t>E_SPV_C03_SOM</t>
  </si>
  <si>
    <t>E_SPV_C03_TCD</t>
  </si>
  <si>
    <t>E_SPV_C03_TUN</t>
  </si>
  <si>
    <t>E_SPV_C03_TZA</t>
  </si>
  <si>
    <t>E_SPV_C03_UGA</t>
  </si>
  <si>
    <t>E_SPV_C03_ZAF</t>
  </si>
  <si>
    <t>E_SPV_C03_ZMB</t>
  </si>
  <si>
    <t>E_SPV_C04_AGO</t>
  </si>
  <si>
    <t>E_SPV_C04_BDI</t>
  </si>
  <si>
    <t>E_SPV_C04_BEN</t>
  </si>
  <si>
    <t>E_SPV_C04_BFA</t>
  </si>
  <si>
    <t>E_SPV_C04_CAF</t>
  </si>
  <si>
    <t>E_SPV_C04_CIV</t>
  </si>
  <si>
    <t>E_SPV_C04_CMR</t>
  </si>
  <si>
    <t>E_SPV_C04_COG</t>
  </si>
  <si>
    <t>E_SPV_C04_DJI</t>
  </si>
  <si>
    <t>E_SPV_C04_DZA</t>
  </si>
  <si>
    <t>E_SPV_C04_EGY</t>
  </si>
  <si>
    <t>E_SPV_C04_ERI</t>
  </si>
  <si>
    <t>E_SPV_C04_ETH</t>
  </si>
  <si>
    <t>E_SPV_C04_GHA</t>
  </si>
  <si>
    <t>E_SPV_C04_GIN</t>
  </si>
  <si>
    <t>E_SPV_C04_GMB</t>
  </si>
  <si>
    <t>E_SPV_C04_KEN</t>
  </si>
  <si>
    <t>E_SPV_C04_LBY</t>
  </si>
  <si>
    <t>E_SPV_C04_MAR</t>
  </si>
  <si>
    <t>E_SPV_C04_MDG</t>
  </si>
  <si>
    <t>E_SPV_C04_MLI</t>
  </si>
  <si>
    <t>E_SPV_C04_MOZ</t>
  </si>
  <si>
    <t>E_SPV_C04_MRT</t>
  </si>
  <si>
    <t>E_SPV_C04_MWI</t>
  </si>
  <si>
    <t>E_SPV_C04_NER</t>
  </si>
  <si>
    <t>E_SPV_C04_NGA</t>
  </si>
  <si>
    <t>E_SPV_C04_SDN</t>
  </si>
  <si>
    <t>E_SPV_C04_SEN</t>
  </si>
  <si>
    <t>E_SPV_C04_SOM</t>
  </si>
  <si>
    <t>E_SPV_C04_TCD</t>
  </si>
  <si>
    <t>E_SPV_C04_TUN</t>
  </si>
  <si>
    <t>E_SPV_C04_TZA</t>
  </si>
  <si>
    <t>E_SPV_C04_UGA</t>
  </si>
  <si>
    <t>E_SPV_C04_ZAF</t>
  </si>
  <si>
    <t>E_SPV_C04_ZMB</t>
  </si>
  <si>
    <t>E_SPV_C04_ZWE</t>
  </si>
  <si>
    <t>E_SPV_C05_AGO</t>
  </si>
  <si>
    <t>E_SPV_C05_BFA</t>
  </si>
  <si>
    <t>E_SPV_C05_CAF</t>
  </si>
  <si>
    <t>E_SPV_C05_CMR</t>
  </si>
  <si>
    <t>E_SPV_C05_COG</t>
  </si>
  <si>
    <t>E_SPV_C05_DJI</t>
  </si>
  <si>
    <t>E_SPV_C05_DZA</t>
  </si>
  <si>
    <t>E_SPV_C05_EGY</t>
  </si>
  <si>
    <t>E_SPV_C05_ERI</t>
  </si>
  <si>
    <t>E_SPV_C05_ETH</t>
  </si>
  <si>
    <t>E_SPV_C05_GHA</t>
  </si>
  <si>
    <t>E_SPV_C05_KEN</t>
  </si>
  <si>
    <t>E_SPV_C05_LBY</t>
  </si>
  <si>
    <t>E_SPV_C05_MAR</t>
  </si>
  <si>
    <t>E_SPV_C05_MDG</t>
  </si>
  <si>
    <t>E_SPV_C05_MLI</t>
  </si>
  <si>
    <t>E_SPV_C05_MOZ</t>
  </si>
  <si>
    <t>E_SPV_C05_MRT</t>
  </si>
  <si>
    <t>E_SPV_C05_MWI</t>
  </si>
  <si>
    <t>E_SPV_C05_NER</t>
  </si>
  <si>
    <t>E_SPV_C05_NGA</t>
  </si>
  <si>
    <t>E_SPV_C05_SDN</t>
  </si>
  <si>
    <t>E_SPV_C05_SOM</t>
  </si>
  <si>
    <t>E_SPV_C05_SWZ</t>
  </si>
  <si>
    <t>E_SPV_C05_TCD</t>
  </si>
  <si>
    <t>E_SPV_C05_TUN</t>
  </si>
  <si>
    <t>E_SPV_C05_TZA</t>
  </si>
  <si>
    <t>E_SPV_C05_UGA</t>
  </si>
  <si>
    <t>E_SPV_C05_ZAF</t>
  </si>
  <si>
    <t>E_SPV_C05_ZMB</t>
  </si>
  <si>
    <t>E_SPV_C05_ZWE</t>
  </si>
  <si>
    <t>E_SPV_C06_AGO</t>
  </si>
  <si>
    <t>E_SPV_C06_BWA</t>
  </si>
  <si>
    <t>E_SPV_C06_CAF</t>
  </si>
  <si>
    <t>E_SPV_C06_CMR</t>
  </si>
  <si>
    <t>E_SPV_C06_COG</t>
  </si>
  <si>
    <t>E_SPV_C06_DJI</t>
  </si>
  <si>
    <t>E_SPV_C06_DZA</t>
  </si>
  <si>
    <t>E_SPV_C06_EGY</t>
  </si>
  <si>
    <t>E_SPV_C06_ERI</t>
  </si>
  <si>
    <t>E_SPV_C06_ETH</t>
  </si>
  <si>
    <t>E_SPV_C06_GHA</t>
  </si>
  <si>
    <t>E_SPV_C06_KEN</t>
  </si>
  <si>
    <t>E_SPV_C06_LBY</t>
  </si>
  <si>
    <t>E_SPV_C06_LSO</t>
  </si>
  <si>
    <t>E_SPV_C06_MAR</t>
  </si>
  <si>
    <t>E_SPV_C06_MDG</t>
  </si>
  <si>
    <t>E_SPV_C06_MLI</t>
  </si>
  <si>
    <t>E_SPV_C06_MOZ</t>
  </si>
  <si>
    <t>E_SPV_C06_MRT</t>
  </si>
  <si>
    <t>E_SPV_C06_MWI</t>
  </si>
  <si>
    <t>E_SPV_C06_NER</t>
  </si>
  <si>
    <t>E_SPV_C06_NGA</t>
  </si>
  <si>
    <t>E_SPV_C06_SDN</t>
  </si>
  <si>
    <t>E_SPV_C06_SOM</t>
  </si>
  <si>
    <t>E_SPV_C06_SWZ</t>
  </si>
  <si>
    <t>E_SPV_C06_TCD</t>
  </si>
  <si>
    <t>E_SPV_C06_TUN</t>
  </si>
  <si>
    <t>E_SPV_C06_TZA</t>
  </si>
  <si>
    <t>E_SPV_C06_UGA</t>
  </si>
  <si>
    <t>E_SPV_C06_ZAF</t>
  </si>
  <si>
    <t>E_SPV_C06_ZMB</t>
  </si>
  <si>
    <t>E_SPV_C06_ZWE</t>
  </si>
  <si>
    <t>E_SPV_C07_AGO</t>
  </si>
  <si>
    <t>E_SPV_C07_BWA</t>
  </si>
  <si>
    <t>E_SPV_C07_DZA</t>
  </si>
  <si>
    <t>E_SPV_C07_EGY</t>
  </si>
  <si>
    <t>E_SPV_C07_ERI</t>
  </si>
  <si>
    <t>E_SPV_C07_ETH</t>
  </si>
  <si>
    <t>E_SPV_C07_KEN</t>
  </si>
  <si>
    <t>E_SPV_C07_LBY</t>
  </si>
  <si>
    <t>E_SPV_C07_LSO</t>
  </si>
  <si>
    <t>E_SPV_C07_MAR</t>
  </si>
  <si>
    <t>E_SPV_C07_MDG</t>
  </si>
  <si>
    <t>E_SPV_C07_NER</t>
  </si>
  <si>
    <t>E_SPV_C07_SDN</t>
  </si>
  <si>
    <t>E_SPV_C07_SOM</t>
  </si>
  <si>
    <t>E_SPV_C07_TCD</t>
  </si>
  <si>
    <t>E_SPV_C07_TUN</t>
  </si>
  <si>
    <t>E_SPV_C07_TZA</t>
  </si>
  <si>
    <t>E_SPV_C07_UGA</t>
  </si>
  <si>
    <t>E_SPV_C07_ZAF</t>
  </si>
  <si>
    <t>E_SPV_C07_ZWE</t>
  </si>
  <si>
    <t>E_SPV_C08_BWA</t>
  </si>
  <si>
    <t>E_SPV_C08_DZA</t>
  </si>
  <si>
    <t>E_SPV_C08_EGY</t>
  </si>
  <si>
    <t>E_SPV_C08_LBY</t>
  </si>
  <si>
    <t>E_SPV_C08_MAR</t>
  </si>
  <si>
    <t>E_SPV_C08_MDG</t>
  </si>
  <si>
    <t>E_SPV_C08_SDN</t>
  </si>
  <si>
    <t>E_SPV_C08_TCD</t>
  </si>
  <si>
    <t>E_SPV_C08_TUN</t>
  </si>
  <si>
    <t>E_SPV_C08_ZAF</t>
  </si>
  <si>
    <t>E_SPV_C01_NZL</t>
  </si>
  <si>
    <t>E_SPV_C02_AUS</t>
  </si>
  <si>
    <t>E_SPV_C02_NZL</t>
  </si>
  <si>
    <t>E_SPV_C03_AUS</t>
  </si>
  <si>
    <t>E_SPV_C03_NZL</t>
  </si>
  <si>
    <t>E_SPV_C04_AUS</t>
  </si>
  <si>
    <t>E_SPV_C04_NZL</t>
  </si>
  <si>
    <t>E_SPV_C05_AUS</t>
  </si>
  <si>
    <t>E_SPV_C05_NZL</t>
  </si>
  <si>
    <t>E_SPV_C06_AUS</t>
  </si>
  <si>
    <t>E_SPV_C06_NZL</t>
  </si>
  <si>
    <t>E_SPV_C07_AUS</t>
  </si>
  <si>
    <t>E_SPV_C08_AUS</t>
  </si>
  <si>
    <t>E_SPV_C01_BRA</t>
  </si>
  <si>
    <t>E_SPV_C02_BRA</t>
  </si>
  <si>
    <t>E_SPV_C03_BRA</t>
  </si>
  <si>
    <t>E_SPV_C04_BRA</t>
  </si>
  <si>
    <t>E_SPV_C05_BRA</t>
  </si>
  <si>
    <t>E_SPV_C06_BRA</t>
  </si>
  <si>
    <t>E_SPV_C07_BRA</t>
  </si>
  <si>
    <t>E_SPV_C01_CAN</t>
  </si>
  <si>
    <t>E_SPV_C02_CAN</t>
  </si>
  <si>
    <t>E_SPV_C03_CAN</t>
  </si>
  <si>
    <t>E_SPV_C04_CAN</t>
  </si>
  <si>
    <t>E_SPV_C05_CAN</t>
  </si>
  <si>
    <t>E_SPV_C01_CHN</t>
  </si>
  <si>
    <t>E_SPV_C02_CHN</t>
  </si>
  <si>
    <t>E_SPV_C03_CHN</t>
  </si>
  <si>
    <t>E_SPV_C04_CHN</t>
  </si>
  <si>
    <t>E_SPV_C05_CHN</t>
  </si>
  <si>
    <t>E_SPV_C06_CHN</t>
  </si>
  <si>
    <t>E_SPV_C07_CHN</t>
  </si>
  <si>
    <t>E_SPV_C08_CHN</t>
  </si>
  <si>
    <t>E_SPV_C01_ARG</t>
  </si>
  <si>
    <t>E_SPV_C01_COL</t>
  </si>
  <si>
    <t>E_SPV_C01_CRI</t>
  </si>
  <si>
    <t>E_SPV_C01_ECU</t>
  </si>
  <si>
    <t>E_SPV_C01_NIC</t>
  </si>
  <si>
    <t>E_SPV_C01_PER</t>
  </si>
  <si>
    <t>E_SPV_C02_ARG</t>
  </si>
  <si>
    <t>E_SPV_C02_BLZ</t>
  </si>
  <si>
    <t>E_SPV_C02_BOL</t>
  </si>
  <si>
    <t>E_SPV_C02_COL</t>
  </si>
  <si>
    <t>E_SPV_C02_CRI</t>
  </si>
  <si>
    <t>E_SPV_C02_ECU</t>
  </si>
  <si>
    <t>E_SPV_C02_GTM</t>
  </si>
  <si>
    <t>E_SPV_C02_HND</t>
  </si>
  <si>
    <t>E_SPV_C02_NIC</t>
  </si>
  <si>
    <t>E_SPV_C02_PAN</t>
  </si>
  <si>
    <t>E_SPV_C02_PER</t>
  </si>
  <si>
    <t>E_SPV_C02_VEN</t>
  </si>
  <si>
    <t>E_SPV_C03_ARG</t>
  </si>
  <si>
    <t>E_SPV_C03_BLZ</t>
  </si>
  <si>
    <t>E_SPV_C03_BOL</t>
  </si>
  <si>
    <t>E_SPV_C03_COL</t>
  </si>
  <si>
    <t>E_SPV_C03_CRI</t>
  </si>
  <si>
    <t>E_SPV_C03_ECU</t>
  </si>
  <si>
    <t>E_SPV_C03_GTM</t>
  </si>
  <si>
    <t>E_SPV_C03_GUF</t>
  </si>
  <si>
    <t>E_SPV_C03_GUY</t>
  </si>
  <si>
    <t>E_SPV_C03_HND</t>
  </si>
  <si>
    <t>E_SPV_C03_NIC</t>
  </si>
  <si>
    <t>E_SPV_C03_PAN</t>
  </si>
  <si>
    <t>E_SPV_C03_PER</t>
  </si>
  <si>
    <t>E_SPV_C03_VEN</t>
  </si>
  <si>
    <t>E_SPV_C04_ARG</t>
  </si>
  <si>
    <t>E_SPV_C04_ATG</t>
  </si>
  <si>
    <t>E_SPV_C04_BLZ</t>
  </si>
  <si>
    <t>E_SPV_C04_BOL</t>
  </si>
  <si>
    <t>E_SPV_C04_BRB</t>
  </si>
  <si>
    <t>E_SPV_C04_COL</t>
  </si>
  <si>
    <t>E_SPV_C04_CRI</t>
  </si>
  <si>
    <t>E_SPV_C04_CUB</t>
  </si>
  <si>
    <t>E_SPV_C04_DOM</t>
  </si>
  <si>
    <t>E_SPV_C04_ECU</t>
  </si>
  <si>
    <t>E_SPV_C04_GTM</t>
  </si>
  <si>
    <t>E_SPV_C04_GUF</t>
  </si>
  <si>
    <t>E_SPV_C04_GUY</t>
  </si>
  <si>
    <t>E_SPV_C04_HND</t>
  </si>
  <si>
    <t>E_SPV_C04_JAM</t>
  </si>
  <si>
    <t>E_SPV_C04_NIC</t>
  </si>
  <si>
    <t>E_SPV_C04_PAN</t>
  </si>
  <si>
    <t>E_SPV_C04_PER</t>
  </si>
  <si>
    <t>E_SPV_C04_SUR</t>
  </si>
  <si>
    <t>E_SPV_C04_VEN</t>
  </si>
  <si>
    <t>E_SPV_C05_ABW</t>
  </si>
  <si>
    <t>E_SPV_C05_ARG</t>
  </si>
  <si>
    <t>E_SPV_C05_ATG</t>
  </si>
  <si>
    <t>E_SPV_C05_BOL</t>
  </si>
  <si>
    <t>E_SPV_C05_BRB</t>
  </si>
  <si>
    <t>E_SPV_C05_COL</t>
  </si>
  <si>
    <t>E_SPV_C05_CRI</t>
  </si>
  <si>
    <t>E_SPV_C05_CUB</t>
  </si>
  <si>
    <t>E_SPV_C05_DOM</t>
  </si>
  <si>
    <t>E_SPV_C05_GTM</t>
  </si>
  <si>
    <t>E_SPV_C05_GUF</t>
  </si>
  <si>
    <t>E_SPV_C05_GUY</t>
  </si>
  <si>
    <t>E_SPV_C05_HND</t>
  </si>
  <si>
    <t>E_SPV_C05_HTI</t>
  </si>
  <si>
    <t>E_SPV_C05_JAM</t>
  </si>
  <si>
    <t>E_SPV_C05_NIC</t>
  </si>
  <si>
    <t>E_SPV_C05_PAN</t>
  </si>
  <si>
    <t>E_SPV_C05_PER</t>
  </si>
  <si>
    <t>E_SPV_C05_PRI</t>
  </si>
  <si>
    <t>E_SPV_C05_PRY</t>
  </si>
  <si>
    <t>E_SPV_C05_SUR</t>
  </si>
  <si>
    <t>E_SPV_C05_URY</t>
  </si>
  <si>
    <t>E_SPV_C05_VEN</t>
  </si>
  <si>
    <t>E_SPV_C06_ABW</t>
  </si>
  <si>
    <t>E_SPV_C06_ARG</t>
  </si>
  <si>
    <t>E_SPV_C06_BMU</t>
  </si>
  <si>
    <t>E_SPV_C06_BOL</t>
  </si>
  <si>
    <t>E_SPV_C06_COL</t>
  </si>
  <si>
    <t>E_SPV_C06_CRI</t>
  </si>
  <si>
    <t>E_SPV_C06_CUB</t>
  </si>
  <si>
    <t>E_SPV_C06_DOM</t>
  </si>
  <si>
    <t>E_SPV_C06_ECU</t>
  </si>
  <si>
    <t>E_SPV_C06_GTM</t>
  </si>
  <si>
    <t>E_SPV_C06_GUF</t>
  </si>
  <si>
    <t>E_SPV_C06_GUY</t>
  </si>
  <si>
    <t>E_SPV_C06_HND</t>
  </si>
  <si>
    <t>E_SPV_C06_HTI</t>
  </si>
  <si>
    <t>E_SPV_C06_JAM</t>
  </si>
  <si>
    <t>E_SPV_C06_NIC</t>
  </si>
  <si>
    <t>E_SPV_C06_PER</t>
  </si>
  <si>
    <t>E_SPV_C06_PRI</t>
  </si>
  <si>
    <t>E_SPV_C06_PRY</t>
  </si>
  <si>
    <t>E_SPV_C06_SLV</t>
  </si>
  <si>
    <t>E_SPV_C06_URY</t>
  </si>
  <si>
    <t>E_SPV_C06_VEN</t>
  </si>
  <si>
    <t>E_SPV_C07_ARG</t>
  </si>
  <si>
    <t>E_SPV_C07_BOL</t>
  </si>
  <si>
    <t>E_SPV_C07_COL</t>
  </si>
  <si>
    <t>E_SPV_C07_CRI</t>
  </si>
  <si>
    <t>E_SPV_C07_CUB</t>
  </si>
  <si>
    <t>E_SPV_C07_DOM</t>
  </si>
  <si>
    <t>E_SPV_C07_ECU</t>
  </si>
  <si>
    <t>E_SPV_C07_GTM</t>
  </si>
  <si>
    <t>E_SPV_C07_HND</t>
  </si>
  <si>
    <t>E_SPV_C07_HTI</t>
  </si>
  <si>
    <t>E_SPV_C07_NIC</t>
  </si>
  <si>
    <t>E_SPV_C07_PER</t>
  </si>
  <si>
    <t>E_SPV_C07_PRI</t>
  </si>
  <si>
    <t>E_SPV_C07_SLV</t>
  </si>
  <si>
    <t>E_SPV_C07_SUR</t>
  </si>
  <si>
    <t>E_SPV_C07_VEN</t>
  </si>
  <si>
    <t>E_SPV_C08_ARG</t>
  </si>
  <si>
    <t>E_SPV_C08_BOL</t>
  </si>
  <si>
    <t>E_SPV_C08_COL</t>
  </si>
  <si>
    <t>E_SPV_C08_PER</t>
  </si>
  <si>
    <t>E_SPV_C08_VEN</t>
  </si>
  <si>
    <t>E_SPV_C01_BEL</t>
  </si>
  <si>
    <t>E_SPV_C01_DEU</t>
  </si>
  <si>
    <t>E_SPV_C01_DNK</t>
  </si>
  <si>
    <t>E_SPV_C01_FRA</t>
  </si>
  <si>
    <t>E_SPV_C01_GBR</t>
  </si>
  <si>
    <t>E_SPV_C01_IRL</t>
  </si>
  <si>
    <t>E_SPV_C01_NLD</t>
  </si>
  <si>
    <t>E_SPV_C01_NOR</t>
  </si>
  <si>
    <t>E_SPV_C01_POL</t>
  </si>
  <si>
    <t>E_SPV_C01_SWE</t>
  </si>
  <si>
    <t>E_SPV_C01_TUR</t>
  </si>
  <si>
    <t>E_SPV_C02_BEL</t>
  </si>
  <si>
    <t>E_SPV_C02_DNK</t>
  </si>
  <si>
    <t>E_SPV_C02_ESP</t>
  </si>
  <si>
    <t>E_SPV_C02_EST</t>
  </si>
  <si>
    <t>E_SPV_C02_FIN</t>
  </si>
  <si>
    <t>E_SPV_C02_FRA</t>
  </si>
  <si>
    <t>E_SPV_C02_GBR</t>
  </si>
  <si>
    <t>E_SPV_C02_ITA</t>
  </si>
  <si>
    <t>E_SPV_C02_NLD</t>
  </si>
  <si>
    <t>E_SPV_C02_NOR</t>
  </si>
  <si>
    <t>E_SPV_C02_POL</t>
  </si>
  <si>
    <t>E_SPV_C02_PRT</t>
  </si>
  <si>
    <t>E_SPV_C02_SWE</t>
  </si>
  <si>
    <t>E_SPV_C02_TUR</t>
  </si>
  <si>
    <t>E_SPV_C03_BEL</t>
  </si>
  <si>
    <t>E_SPV_C03_CZE</t>
  </si>
  <si>
    <t>E_SPV_C03_DEU</t>
  </si>
  <si>
    <t>E_SPV_C03_DNK</t>
  </si>
  <si>
    <t>E_SPV_C03_ESP</t>
  </si>
  <si>
    <t>E_SPV_C03_EST</t>
  </si>
  <si>
    <t>E_SPV_C03_FIN</t>
  </si>
  <si>
    <t>E_SPV_C03_FRA</t>
  </si>
  <si>
    <t>E_SPV_C03_GBR</t>
  </si>
  <si>
    <t>E_SPV_C03_GRC</t>
  </si>
  <si>
    <t>E_SPV_C03_IRL</t>
  </si>
  <si>
    <t>E_SPV_C03_ITA</t>
  </si>
  <si>
    <t>E_SPV_C03_NLD</t>
  </si>
  <si>
    <t>E_SPV_C03_NOR</t>
  </si>
  <si>
    <t>E_SPV_C03_POL</t>
  </si>
  <si>
    <t>E_SPV_C03_PRT</t>
  </si>
  <si>
    <t>E_SPV_C03_SVK</t>
  </si>
  <si>
    <t>E_SPV_C03_SWE</t>
  </si>
  <si>
    <t>E_SPV_C03_TUR</t>
  </si>
  <si>
    <t>E_SPV_C04_AUT</t>
  </si>
  <si>
    <t>E_SPV_C04_BEL</t>
  </si>
  <si>
    <t>E_SPV_C04_CHE</t>
  </si>
  <si>
    <t>E_SPV_C04_CZE</t>
  </si>
  <si>
    <t>E_SPV_C04_DEU</t>
  </si>
  <si>
    <t>E_SPV_C04_DNK</t>
  </si>
  <si>
    <t>E_SPV_C04_ESP</t>
  </si>
  <si>
    <t>E_SPV_C04_EST</t>
  </si>
  <si>
    <t>E_SPV_C04_FIN</t>
  </si>
  <si>
    <t>E_SPV_C04_FRA</t>
  </si>
  <si>
    <t>E_SPV_C04_GBR</t>
  </si>
  <si>
    <t>E_SPV_C04_GRC</t>
  </si>
  <si>
    <t>E_SPV_C04_HUN</t>
  </si>
  <si>
    <t>E_SPV_C04_IRL</t>
  </si>
  <si>
    <t>E_SPV_C04_ITA</t>
  </si>
  <si>
    <t>E_SPV_C04_NLD</t>
  </si>
  <si>
    <t>E_SPV_C04_NOR</t>
  </si>
  <si>
    <t>E_SPV_C04_POL</t>
  </si>
  <si>
    <t>E_SPV_C04_PRT</t>
  </si>
  <si>
    <t>E_SPV_C04_SVK</t>
  </si>
  <si>
    <t>E_SPV_C04_SVN</t>
  </si>
  <si>
    <t>E_SPV_C04_SWE</t>
  </si>
  <si>
    <t>E_SPV_C04_TUR</t>
  </si>
  <si>
    <t>E_SPV_C05_AUT</t>
  </si>
  <si>
    <t>E_SPV_C05_CHE</t>
  </si>
  <si>
    <t>E_SPV_C05_DEU</t>
  </si>
  <si>
    <t>E_SPV_C05_ESP</t>
  </si>
  <si>
    <t>E_SPV_C05_EST</t>
  </si>
  <si>
    <t>E_SPV_C05_FIN</t>
  </si>
  <si>
    <t>E_SPV_C05_FRA</t>
  </si>
  <si>
    <t>E_SPV_C05_GBR</t>
  </si>
  <si>
    <t>E_SPV_C05_GRC</t>
  </si>
  <si>
    <t>E_SPV_C05_HUN</t>
  </si>
  <si>
    <t>E_SPV_C05_ISR</t>
  </si>
  <si>
    <t>E_SPV_C05_ITA</t>
  </si>
  <si>
    <t>E_SPV_C05_POL</t>
  </si>
  <si>
    <t>E_SPV_C05_PRT</t>
  </si>
  <si>
    <t>E_SPV_C05_SVK</t>
  </si>
  <si>
    <t>E_SPV_C05_SVN</t>
  </si>
  <si>
    <t>E_SPV_C05_TUR</t>
  </si>
  <si>
    <t>E_SPV_C06_AUT</t>
  </si>
  <si>
    <t>E_SPV_C06_CHE</t>
  </si>
  <si>
    <t>E_SPV_C06_DEU</t>
  </si>
  <si>
    <t>E_SPV_C06_ESP</t>
  </si>
  <si>
    <t>E_SPV_C06_FRA</t>
  </si>
  <si>
    <t>E_SPV_C06_GRC</t>
  </si>
  <si>
    <t>E_SPV_C06_HUN</t>
  </si>
  <si>
    <t>E_SPV_C06_ISR</t>
  </si>
  <si>
    <t>E_SPV_C06_ITA</t>
  </si>
  <si>
    <t>E_SPV_C06_MCO</t>
  </si>
  <si>
    <t>E_SPV_C06_PRT</t>
  </si>
  <si>
    <t>E_SPV_C06_SVN</t>
  </si>
  <si>
    <t>E_SPV_C06_TUR</t>
  </si>
  <si>
    <t>E_SPV_C07_ADO</t>
  </si>
  <si>
    <t>E_SPV_C07_AUT</t>
  </si>
  <si>
    <t>E_SPV_C07_CHE</t>
  </si>
  <si>
    <t>E_SPV_C07_ESP</t>
  </si>
  <si>
    <t>E_SPV_C07_FRA</t>
  </si>
  <si>
    <t>E_SPV_C07_GRC</t>
  </si>
  <si>
    <t>E_SPV_C07_ISR</t>
  </si>
  <si>
    <t>E_SPV_C07_ITA</t>
  </si>
  <si>
    <t>E_SPV_C07_MCO</t>
  </si>
  <si>
    <t>E_SPV_C07_PRT</t>
  </si>
  <si>
    <t>E_SPV_C07_TUR</t>
  </si>
  <si>
    <t>E_SPV_C08_ESP</t>
  </si>
  <si>
    <t>E_SPV_C08_ITA</t>
  </si>
  <si>
    <t>E_SPV_C08_PRT</t>
  </si>
  <si>
    <t>E_SPV_C08_TUR</t>
  </si>
  <si>
    <t>E_SPV_C01_IND</t>
  </si>
  <si>
    <t>E_SPV_C02_IND</t>
  </si>
  <si>
    <t>E_SPV_C03_IND</t>
  </si>
  <si>
    <t>E_SPV_C04_IND</t>
  </si>
  <si>
    <t>E_SPV_C05_IND</t>
  </si>
  <si>
    <t>E_SPV_C06_IND</t>
  </si>
  <si>
    <t>E_SPV_C07_IND</t>
  </si>
  <si>
    <t>E_SPV_C08_IND</t>
  </si>
  <si>
    <t>E_SPV_C02_JPN</t>
  </si>
  <si>
    <t>E_SPV_C03_JPN</t>
  </si>
  <si>
    <t>E_SPV_C04_JPN</t>
  </si>
  <si>
    <t>E_SPV_C05_JPN</t>
  </si>
  <si>
    <t>E_SPV_C01_IRN</t>
  </si>
  <si>
    <t>E_SPV_C02_IRN</t>
  </si>
  <si>
    <t>E_SPV_C02_SAU</t>
  </si>
  <si>
    <t>E_SPV_C03_IRN</t>
  </si>
  <si>
    <t>E_SPV_C03_KWT</t>
  </si>
  <si>
    <t>E_SPV_C03_SAU</t>
  </si>
  <si>
    <t>E_SPV_C03_SYR</t>
  </si>
  <si>
    <t>E_SPV_C03_YEM</t>
  </si>
  <si>
    <t>E_SPV_C04_ARE</t>
  </si>
  <si>
    <t>E_SPV_C04_IRN</t>
  </si>
  <si>
    <t>E_SPV_C04_KWT</t>
  </si>
  <si>
    <t>E_SPV_C04_OMN</t>
  </si>
  <si>
    <t>E_SPV_C04_SAU</t>
  </si>
  <si>
    <t>E_SPV_C04_SYR</t>
  </si>
  <si>
    <t>E_SPV_C04_YEM</t>
  </si>
  <si>
    <t>E_SPV_C05_ARE</t>
  </si>
  <si>
    <t>E_SPV_C05_IRN</t>
  </si>
  <si>
    <t>E_SPV_C05_IRQ</t>
  </si>
  <si>
    <t>E_SPV_C05_KWT</t>
  </si>
  <si>
    <t>E_SPV_C05_LBN</t>
  </si>
  <si>
    <t>E_SPV_C05_OMN</t>
  </si>
  <si>
    <t>E_SPV_C05_SAU</t>
  </si>
  <si>
    <t>E_SPV_C05_SYR</t>
  </si>
  <si>
    <t>E_SPV_C05_YEM</t>
  </si>
  <si>
    <t>E_SPV_C06_ARE</t>
  </si>
  <si>
    <t>E_SPV_C06_IRN</t>
  </si>
  <si>
    <t>E_SPV_C06_IRQ</t>
  </si>
  <si>
    <t>E_SPV_C06_JOR</t>
  </si>
  <si>
    <t>E_SPV_C06_KWT</t>
  </si>
  <si>
    <t>E_SPV_C06_LBN</t>
  </si>
  <si>
    <t>E_SPV_C06_OMN</t>
  </si>
  <si>
    <t>E_SPV_C06_QAT</t>
  </si>
  <si>
    <t>E_SPV_C06_SAU</t>
  </si>
  <si>
    <t>E_SPV_C06_SYR</t>
  </si>
  <si>
    <t>E_SPV_C06_YEM</t>
  </si>
  <si>
    <t>E_SPV_C07_ARE</t>
  </si>
  <si>
    <t>E_SPV_C07_BHR</t>
  </si>
  <si>
    <t>E_SPV_C07_IRN</t>
  </si>
  <si>
    <t>E_SPV_C07_IRQ</t>
  </si>
  <si>
    <t>E_SPV_C07_JOR</t>
  </si>
  <si>
    <t>E_SPV_C07_LBN</t>
  </si>
  <si>
    <t>E_SPV_C07_OMN</t>
  </si>
  <si>
    <t>E_SPV_C07_QAT</t>
  </si>
  <si>
    <t>E_SPV_C07_SAU</t>
  </si>
  <si>
    <t>E_SPV_C07_SYR</t>
  </si>
  <si>
    <t>E_SPV_C07_YEM</t>
  </si>
  <si>
    <t>E_SPV_C08_ARE</t>
  </si>
  <si>
    <t>E_SPV_C08_IRN</t>
  </si>
  <si>
    <t>E_SPV_C08_JOR</t>
  </si>
  <si>
    <t>E_SPV_C08_LBN</t>
  </si>
  <si>
    <t>E_SPV_C08_QAT</t>
  </si>
  <si>
    <t>E_SPV_C08_SAU</t>
  </si>
  <si>
    <t>E_SPV_C08_SYR</t>
  </si>
  <si>
    <t>E_SPV_C08_YEM</t>
  </si>
  <si>
    <t>E_SPV_C01_CHL</t>
  </si>
  <si>
    <t>E_SPV_C02_CHL</t>
  </si>
  <si>
    <t>E_SPV_C02_MEX</t>
  </si>
  <si>
    <t>E_SPV_C03_CHL</t>
  </si>
  <si>
    <t>E_SPV_C03_MEX</t>
  </si>
  <si>
    <t>E_SPV_C04_CHL</t>
  </si>
  <si>
    <t>E_SPV_C04_MEX</t>
  </si>
  <si>
    <t>E_SPV_C05_CHL</t>
  </si>
  <si>
    <t>E_SPV_C05_MEX</t>
  </si>
  <si>
    <t>E_SPV_C06_CHL</t>
  </si>
  <si>
    <t>E_SPV_C06_MEX</t>
  </si>
  <si>
    <t>E_SPV_C07_CHL</t>
  </si>
  <si>
    <t>E_SPV_C07_MEX</t>
  </si>
  <si>
    <t>E_SPV_C08_CHL</t>
  </si>
  <si>
    <t>E_SPV_C08_MEX</t>
  </si>
  <si>
    <t>E_SPV_C01_AFG</t>
  </si>
  <si>
    <t>E_SPV_C01_BGD</t>
  </si>
  <si>
    <t>E_SPV_C01_BTN</t>
  </si>
  <si>
    <t>E_SPV_C01_KHM</t>
  </si>
  <si>
    <t>E_SPV_C01_LAO</t>
  </si>
  <si>
    <t>E_SPV_C01_LKA</t>
  </si>
  <si>
    <t>E_SPV_C01_MMR</t>
  </si>
  <si>
    <t>E_SPV_C01_MNG</t>
  </si>
  <si>
    <t>E_SPV_C01_NPL</t>
  </si>
  <si>
    <t>E_SPV_C01_PAK</t>
  </si>
  <si>
    <t>E_SPV_C01_PHL</t>
  </si>
  <si>
    <t>E_SPV_C01_PRK</t>
  </si>
  <si>
    <t>E_SPV_C01_VNM</t>
  </si>
  <si>
    <t>E_SPV_C02_AFG</t>
  </si>
  <si>
    <t>E_SPV_C02_BGD</t>
  </si>
  <si>
    <t>E_SPV_C02_BTN</t>
  </si>
  <si>
    <t>E_SPV_C02_IDN</t>
  </si>
  <si>
    <t>E_SPV_C02_KHM</t>
  </si>
  <si>
    <t>E_SPV_C02_LAO</t>
  </si>
  <si>
    <t>E_SPV_C02_LKA</t>
  </si>
  <si>
    <t>E_SPV_C02_MMR</t>
  </si>
  <si>
    <t>E_SPV_C02_MNG</t>
  </si>
  <si>
    <t>E_SPV_C02_MYS</t>
  </si>
  <si>
    <t>E_SPV_C02_NPL</t>
  </si>
  <si>
    <t>E_SPV_C02_PAK</t>
  </si>
  <si>
    <t>E_SPV_C02_PHL</t>
  </si>
  <si>
    <t>E_SPV_C02_PNG</t>
  </si>
  <si>
    <t>E_SPV_C02_PRK</t>
  </si>
  <si>
    <t>E_SPV_C02_THA</t>
  </si>
  <si>
    <t>E_SPV_C02_VNM</t>
  </si>
  <si>
    <t>E_SPV_C03_AFG</t>
  </si>
  <si>
    <t>E_SPV_C03_BGD</t>
  </si>
  <si>
    <t>E_SPV_C03_BTN</t>
  </si>
  <si>
    <t>E_SPV_C03_IDN</t>
  </si>
  <si>
    <t>E_SPV_C03_KHM</t>
  </si>
  <si>
    <t>E_SPV_C03_LAO</t>
  </si>
  <si>
    <t>E_SPV_C03_LKA</t>
  </si>
  <si>
    <t>E_SPV_C03_MMR</t>
  </si>
  <si>
    <t>E_SPV_C03_MNG</t>
  </si>
  <si>
    <t>E_SPV_C03_MYS</t>
  </si>
  <si>
    <t>E_SPV_C03_NPL</t>
  </si>
  <si>
    <t>E_SPV_C03_PAK</t>
  </si>
  <si>
    <t>E_SPV_C03_PHL</t>
  </si>
  <si>
    <t>E_SPV_C03_PNG</t>
  </si>
  <si>
    <t>E_SPV_C03_PRK</t>
  </si>
  <si>
    <t>E_SPV_C03_SGP</t>
  </si>
  <si>
    <t>E_SPV_C03_THA</t>
  </si>
  <si>
    <t>E_SPV_C03_VNM</t>
  </si>
  <si>
    <t>E_SPV_C04_AFG</t>
  </si>
  <si>
    <t>E_SPV_C04_BGD</t>
  </si>
  <si>
    <t>E_SPV_C04_BRN</t>
  </si>
  <si>
    <t>E_SPV_C04_BTN</t>
  </si>
  <si>
    <t>E_SPV_C04_IDN</t>
  </si>
  <si>
    <t>E_SPV_C04_KHM</t>
  </si>
  <si>
    <t>E_SPV_C04_LAO</t>
  </si>
  <si>
    <t>E_SPV_C04_LKA</t>
  </si>
  <si>
    <t>E_SPV_C04_MMR</t>
  </si>
  <si>
    <t>E_SPV_C04_MNG</t>
  </si>
  <si>
    <t>E_SPV_C04_MYS</t>
  </si>
  <si>
    <t>E_SPV_C04_NPL</t>
  </si>
  <si>
    <t>E_SPV_C04_PAK</t>
  </si>
  <si>
    <t>E_SPV_C04_PHL</t>
  </si>
  <si>
    <t>E_SPV_C04_PNG</t>
  </si>
  <si>
    <t>E_SPV_C04_PRK</t>
  </si>
  <si>
    <t>E_SPV_C04_THA</t>
  </si>
  <si>
    <t>E_SPV_C04_VNM</t>
  </si>
  <si>
    <t>E_SPV_C05_AFG</t>
  </si>
  <si>
    <t>E_SPV_C05_BGD</t>
  </si>
  <si>
    <t>E_SPV_C05_BRN</t>
  </si>
  <si>
    <t>E_SPV_C05_BTN</t>
  </si>
  <si>
    <t>E_SPV_C05_IDN</t>
  </si>
  <si>
    <t>E_SPV_C05_KHM</t>
  </si>
  <si>
    <t>E_SPV_C05_LAO</t>
  </si>
  <si>
    <t>E_SPV_C05_LKA</t>
  </si>
  <si>
    <t>E_SPV_C05_MMR</t>
  </si>
  <si>
    <t>E_SPV_C05_MNG</t>
  </si>
  <si>
    <t>E_SPV_C05_MYS</t>
  </si>
  <si>
    <t>E_SPV_C05_NPL</t>
  </si>
  <si>
    <t>E_SPV_C05_PAK</t>
  </si>
  <si>
    <t>E_SPV_C05_PHL</t>
  </si>
  <si>
    <t>E_SPV_C05_PNG</t>
  </si>
  <si>
    <t>E_SPV_C05_PRK</t>
  </si>
  <si>
    <t>E_SPV_C05_THA</t>
  </si>
  <si>
    <t>E_SPV_C05_VNM</t>
  </si>
  <si>
    <t>E_SPV_C06_AFG</t>
  </si>
  <si>
    <t>E_SPV_C06_BGD</t>
  </si>
  <si>
    <t>E_SPV_C06_BRN</t>
  </si>
  <si>
    <t>E_SPV_C06_BTN</t>
  </si>
  <si>
    <t>E_SPV_C06_IDN</t>
  </si>
  <si>
    <t>E_SPV_C06_LKA</t>
  </si>
  <si>
    <t>E_SPV_C06_MDV</t>
  </si>
  <si>
    <t>E_SPV_C06_MMR</t>
  </si>
  <si>
    <t>E_SPV_C06_MNG</t>
  </si>
  <si>
    <t>E_SPV_C06_MYS</t>
  </si>
  <si>
    <t>E_SPV_C06_NPL</t>
  </si>
  <si>
    <t>E_SPV_C06_PAK</t>
  </si>
  <si>
    <t>E_SPV_C06_PHL</t>
  </si>
  <si>
    <t>E_SPV_C06_PNG</t>
  </si>
  <si>
    <t>E_SPV_C06_PRK</t>
  </si>
  <si>
    <t>E_SPV_C06_THA</t>
  </si>
  <si>
    <t>E_SPV_C06_VNM</t>
  </si>
  <si>
    <t>E_SPV_C07_AFG</t>
  </si>
  <si>
    <t>E_SPV_C07_IDN</t>
  </si>
  <si>
    <t>E_SPV_C07_MNG</t>
  </si>
  <si>
    <t>E_SPV_C07_NPL</t>
  </si>
  <si>
    <t>E_SPV_C07_PAK</t>
  </si>
  <si>
    <t>E_SPV_C07_PHL</t>
  </si>
  <si>
    <t>E_SPV_C08_IDN</t>
  </si>
  <si>
    <t>E_SPV_C08_PAK</t>
  </si>
  <si>
    <t>E_SPV_C01_RUS</t>
  </si>
  <si>
    <t>E_SPV_C02_RUS</t>
  </si>
  <si>
    <t>E_SPV_C03_RUS</t>
  </si>
  <si>
    <t>E_SPV_C04_RUS</t>
  </si>
  <si>
    <t>E_SPV_C05_RUS</t>
  </si>
  <si>
    <t>E_SPV_C06_RUS</t>
  </si>
  <si>
    <t>E_SPV_C07_RUS</t>
  </si>
  <si>
    <t>E_SPV_C01_KOR</t>
  </si>
  <si>
    <t>E_SPV_C02_KOR</t>
  </si>
  <si>
    <t>E_SPV_C03_KOR</t>
  </si>
  <si>
    <t>E_SPV_C04_KOR</t>
  </si>
  <si>
    <t>E_SPV_C05_KOR</t>
  </si>
  <si>
    <t>E_SPV_C06_KOR</t>
  </si>
  <si>
    <t>E_SPV_C01_AZE</t>
  </si>
  <si>
    <t>E_SPV_C01_KGZ</t>
  </si>
  <si>
    <t>E_SPV_C01_TJK</t>
  </si>
  <si>
    <t>E_SPV_C02_ARM</t>
  </si>
  <si>
    <t>E_SPV_C02_AZE</t>
  </si>
  <si>
    <t>E_SPV_C02_BGR</t>
  </si>
  <si>
    <t>E_SPV_C02_GEO</t>
  </si>
  <si>
    <t>E_SPV_C02_KAZ</t>
  </si>
  <si>
    <t>E_SPV_C02_KGZ</t>
  </si>
  <si>
    <t>E_SPV_C02_LTU</t>
  </si>
  <si>
    <t>E_SPV_C02_LVA</t>
  </si>
  <si>
    <t>E_SPV_C02_TJK</t>
  </si>
  <si>
    <t>E_SPV_C02_UKR</t>
  </si>
  <si>
    <t>E_SPV_C02_UZB</t>
  </si>
  <si>
    <t>E_SPV_C03_ARM</t>
  </si>
  <si>
    <t>E_SPV_C03_AZE</t>
  </si>
  <si>
    <t>E_SPV_C03_BGR</t>
  </si>
  <si>
    <t>E_SPV_C03_GEO</t>
  </si>
  <si>
    <t>E_SPV_C03_HRV</t>
  </si>
  <si>
    <t>E_SPV_C03_KAZ</t>
  </si>
  <si>
    <t>E_SPV_C03_KGZ</t>
  </si>
  <si>
    <t>E_SPV_C03_LTU</t>
  </si>
  <si>
    <t>E_SPV_C03_LVA</t>
  </si>
  <si>
    <t>E_SPV_C03_TJK</t>
  </si>
  <si>
    <t>E_SPV_C03_TKM</t>
  </si>
  <si>
    <t>E_SPV_C03_UKR</t>
  </si>
  <si>
    <t>E_SPV_C03_UZB</t>
  </si>
  <si>
    <t>E_SPV_C04_ALB</t>
  </si>
  <si>
    <t>E_SPV_C04_ARM</t>
  </si>
  <si>
    <t>E_SPV_C04_AZE</t>
  </si>
  <si>
    <t>E_SPV_C04_BGR</t>
  </si>
  <si>
    <t>E_SPV_C04_BLR</t>
  </si>
  <si>
    <t>E_SPV_C04_GEO</t>
  </si>
  <si>
    <t>E_SPV_C04_HRV</t>
  </si>
  <si>
    <t>E_SPV_C04_KAZ</t>
  </si>
  <si>
    <t>E_SPV_C04_KGZ</t>
  </si>
  <si>
    <t>E_SPV_C04_LTU</t>
  </si>
  <si>
    <t>E_SPV_C04_LVA</t>
  </si>
  <si>
    <t>E_SPV_C04_ROM</t>
  </si>
  <si>
    <t>E_SPV_C04_TJK</t>
  </si>
  <si>
    <t>E_SPV_C04_TKM</t>
  </si>
  <si>
    <t>E_SPV_C04_UKR</t>
  </si>
  <si>
    <t>E_SPV_C04_UZB</t>
  </si>
  <si>
    <t>E_SPV_C05_ARM</t>
  </si>
  <si>
    <t>E_SPV_C05_AZE</t>
  </si>
  <si>
    <t>E_SPV_C05_BGR</t>
  </si>
  <si>
    <t>E_SPV_C05_BIH</t>
  </si>
  <si>
    <t>E_SPV_C05_BLR</t>
  </si>
  <si>
    <t>E_SPV_C05_GEO</t>
  </si>
  <si>
    <t>E_SPV_C05_HRV</t>
  </si>
  <si>
    <t>E_SPV_C05_KAZ</t>
  </si>
  <si>
    <t>E_SPV_C05_KGZ</t>
  </si>
  <si>
    <t>E_SPV_C05_LIE</t>
  </si>
  <si>
    <t>E_SPV_C05_LTU</t>
  </si>
  <si>
    <t>E_SPV_C05_LVA</t>
  </si>
  <si>
    <t>E_SPV_C05_MNE</t>
  </si>
  <si>
    <t>E_SPV_C05_ROM</t>
  </si>
  <si>
    <t>E_SPV_C05_SRB</t>
  </si>
  <si>
    <t>E_SPV_C05_TJK</t>
  </si>
  <si>
    <t>E_SPV_C05_TKM</t>
  </si>
  <si>
    <t>E_SPV_C05_UKR</t>
  </si>
  <si>
    <t>E_SPV_C05_UZB</t>
  </si>
  <si>
    <t>E_SPV_C06_ALB</t>
  </si>
  <si>
    <t>E_SPV_C06_ARM</t>
  </si>
  <si>
    <t>E_SPV_C06_AZE</t>
  </si>
  <si>
    <t>E_SPV_C06_BGR</t>
  </si>
  <si>
    <t>E_SPV_C06_BIH</t>
  </si>
  <si>
    <t>E_SPV_C06_GEO</t>
  </si>
  <si>
    <t>E_SPV_C06_HRV</t>
  </si>
  <si>
    <t>E_SPV_C06_KAZ</t>
  </si>
  <si>
    <t>E_SPV_C06_KGZ</t>
  </si>
  <si>
    <t>E_SPV_C06_LIE</t>
  </si>
  <si>
    <t>E_SPV_C06_MKD</t>
  </si>
  <si>
    <t>E_SPV_C06_MNE</t>
  </si>
  <si>
    <t>E_SPV_C06_ROM</t>
  </si>
  <si>
    <t>E_SPV_C06_SRB</t>
  </si>
  <si>
    <t>E_SPV_C06_TJK</t>
  </si>
  <si>
    <t>E_SPV_C06_TKM</t>
  </si>
  <si>
    <t>E_SPV_C06_UKR</t>
  </si>
  <si>
    <t>E_SPV_C06_UZB</t>
  </si>
  <si>
    <t>E_SPV_C07_ALB</t>
  </si>
  <si>
    <t>E_SPV_C07_BIH</t>
  </si>
  <si>
    <t>E_SPV_C07_HRV</t>
  </si>
  <si>
    <t>E_SPV_C07_KGZ</t>
  </si>
  <si>
    <t>E_SPV_C07_MKD</t>
  </si>
  <si>
    <t>E_SPV_C07_MNE</t>
  </si>
  <si>
    <t>E_SPV_C07_TJK</t>
  </si>
  <si>
    <t>E_SPV_C07_UZB</t>
  </si>
  <si>
    <t>E_SPV_C01_USA</t>
  </si>
  <si>
    <t>E_SPV_C02_USA</t>
  </si>
  <si>
    <t>E_SPV_C03_USA</t>
  </si>
  <si>
    <t>E_SPV_C04_USA</t>
  </si>
  <si>
    <t>E_SPV_C05_USA</t>
  </si>
  <si>
    <t>E_SPV_C06_USA</t>
  </si>
  <si>
    <t>E_SPV_C07_USA</t>
  </si>
  <si>
    <t>E_SPV_C08_USA</t>
  </si>
  <si>
    <t>E_WON*</t>
  </si>
  <si>
    <t>scenario</t>
  </si>
  <si>
    <t>region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</si>
  <si>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</si>
  <si>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</si>
  <si>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</si>
  <si>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</si>
  <si>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</si>
  <si>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</si>
  <si>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</si>
  <si>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</si>
  <si>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</si>
  <si>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</si>
  <si>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valfield</t>
  </si>
  <si>
    <t>USD11</t>
  </si>
  <si>
    <t>FossilELC</t>
  </si>
  <si>
    <t>NewHydro-C</t>
  </si>
  <si>
    <t>EN_Hydro_AGO-1</t>
  </si>
  <si>
    <t>EN_Hydro_AGO-2</t>
  </si>
  <si>
    <t>EN_Hydro_AGO-3</t>
  </si>
  <si>
    <t>EN_Hydro_BDI-1</t>
  </si>
  <si>
    <t>EN_Hydro_BDI-2</t>
  </si>
  <si>
    <t>EN_Hydro_BDI-3</t>
  </si>
  <si>
    <t>EN_Hydro_BEN-1</t>
  </si>
  <si>
    <t>EN_Hydro_BEN-2</t>
  </si>
  <si>
    <t>EN_Hydro_BEN-3</t>
  </si>
  <si>
    <t>EN_Hydro_BFA-1</t>
  </si>
  <si>
    <t>EN_Hydro_BFA-2</t>
  </si>
  <si>
    <t>EN_Hydro_BFA-3</t>
  </si>
  <si>
    <t>EN_Hydro_CAF-1</t>
  </si>
  <si>
    <t>EN_Hydro_CAF-2</t>
  </si>
  <si>
    <t>EN_Hydro_CAF-3</t>
  </si>
  <si>
    <t>EN_Hydro_CIV-1</t>
  </si>
  <si>
    <t>EN_Hydro_CIV-2</t>
  </si>
  <si>
    <t>EN_Hydro_CIV-3</t>
  </si>
  <si>
    <t>EN_Hydro_CMR-1</t>
  </si>
  <si>
    <t>EN_Hydro_CMR-2</t>
  </si>
  <si>
    <t>EN_Hydro_CMR-3</t>
  </si>
  <si>
    <t>EN_Hydro_COG-1</t>
  </si>
  <si>
    <t>EN_Hydro_COG-2</t>
  </si>
  <si>
    <t>EN_Hydro_COG-3</t>
  </si>
  <si>
    <t>EN_Hydro_COM-1</t>
  </si>
  <si>
    <t>EN_Hydro_COM-2</t>
  </si>
  <si>
    <t>EN_Hydro_COM-3</t>
  </si>
  <si>
    <t>EN_Hydro_DZA-1</t>
  </si>
  <si>
    <t>EN_Hydro_DZA-2</t>
  </si>
  <si>
    <t>EN_Hydro_DZA-3</t>
  </si>
  <si>
    <t>EN_Hydro_EGY-1</t>
  </si>
  <si>
    <t>EN_Hydro_EGY-2</t>
  </si>
  <si>
    <t>EN_Hydro_EGY-3</t>
  </si>
  <si>
    <t>EN_Hydro_ETH-1</t>
  </si>
  <si>
    <t>EN_Hydro_ETH-2</t>
  </si>
  <si>
    <t>EN_Hydro_ETH-3</t>
  </si>
  <si>
    <t>EN_Hydro_GAB-1</t>
  </si>
  <si>
    <t>EN_Hydro_GAB-2</t>
  </si>
  <si>
    <t>EN_Hydro_GAB-3</t>
  </si>
  <si>
    <t>EN_Hydro_GHA-1</t>
  </si>
  <si>
    <t>EN_Hydro_GHA-2</t>
  </si>
  <si>
    <t>EN_Hydro_GHA-3</t>
  </si>
  <si>
    <t>EN_Hydro_GIN-1</t>
  </si>
  <si>
    <t>EN_Hydro_GIN-2</t>
  </si>
  <si>
    <t>EN_Hydro_GIN-3</t>
  </si>
  <si>
    <t>EN_Hydro_GNQ-1</t>
  </si>
  <si>
    <t>EN_Hydro_GNQ-2</t>
  </si>
  <si>
    <t>EN_Hydro_GNQ-3</t>
  </si>
  <si>
    <t>EN_Hydro_KEN-1</t>
  </si>
  <si>
    <t>EN_Hydro_KEN-2</t>
  </si>
  <si>
    <t>EN_Hydro_KEN-3</t>
  </si>
  <si>
    <t>EN_Hydro_LSO-1</t>
  </si>
  <si>
    <t>EN_Hydro_LSO-2</t>
  </si>
  <si>
    <t>EN_Hydro_LSO-3</t>
  </si>
  <si>
    <t>EN_Hydro_MAR-1</t>
  </si>
  <si>
    <t>EN_Hydro_MAR-2</t>
  </si>
  <si>
    <t>EN_Hydro_MAR-3</t>
  </si>
  <si>
    <t>EN_Hydro_MDG-1</t>
  </si>
  <si>
    <t>EN_Hydro_MDG-2</t>
  </si>
  <si>
    <t>EN_Hydro_MDG-3</t>
  </si>
  <si>
    <t>EN_Hydro_MLI-1</t>
  </si>
  <si>
    <t>EN_Hydro_MLI-2</t>
  </si>
  <si>
    <t>EN_Hydro_MLI-3</t>
  </si>
  <si>
    <t>EN_Hydro_MOZ-1</t>
  </si>
  <si>
    <t>EN_Hydro_MOZ-2</t>
  </si>
  <si>
    <t>EN_Hydro_MOZ-3</t>
  </si>
  <si>
    <t>EN_Hydro_MRT-1</t>
  </si>
  <si>
    <t>EN_Hydro_MRT-2</t>
  </si>
  <si>
    <t>EN_Hydro_MRT-3</t>
  </si>
  <si>
    <t>EN_Hydro_MUS-1</t>
  </si>
  <si>
    <t>EN_Hydro_MUS-2</t>
  </si>
  <si>
    <t>EN_Hydro_MUS-3</t>
  </si>
  <si>
    <t>EN_Hydro_MWI-1</t>
  </si>
  <si>
    <t>EN_Hydro_MWI-2</t>
  </si>
  <si>
    <t>EN_Hydro_MWI-3</t>
  </si>
  <si>
    <t>EN_Hydro_NGA-1</t>
  </si>
  <si>
    <t>EN_Hydro_NGA-2</t>
  </si>
  <si>
    <t>EN_Hydro_NGA-3</t>
  </si>
  <si>
    <t>EN_Hydro_RWA-1</t>
  </si>
  <si>
    <t>EN_Hydro_RWA-2</t>
  </si>
  <si>
    <t>EN_Hydro_RWA-3</t>
  </si>
  <si>
    <t>EN_Hydro_SDN-1</t>
  </si>
  <si>
    <t>EN_Hydro_SDN-2</t>
  </si>
  <si>
    <t>EN_Hydro_SDN-3</t>
  </si>
  <si>
    <t>EN_Hydro_SLE-1</t>
  </si>
  <si>
    <t>EN_Hydro_SLE-2</t>
  </si>
  <si>
    <t>EN_Hydro_SLE-3</t>
  </si>
  <si>
    <t>EN_Hydro_STP-1</t>
  </si>
  <si>
    <t>EN_Hydro_STP-2</t>
  </si>
  <si>
    <t>EN_Hydro_STP-3</t>
  </si>
  <si>
    <t>EN_Hydro_SWZ-1</t>
  </si>
  <si>
    <t>EN_Hydro_SWZ-2</t>
  </si>
  <si>
    <t>EN_Hydro_SWZ-3</t>
  </si>
  <si>
    <t>EN_Hydro_TGO-1</t>
  </si>
  <si>
    <t>EN_Hydro_TGO-2</t>
  </si>
  <si>
    <t>EN_Hydro_TGO-3</t>
  </si>
  <si>
    <t>EN_Hydro_TUN-1</t>
  </si>
  <si>
    <t>EN_Hydro_TUN-2</t>
  </si>
  <si>
    <t>EN_Hydro_TUN-3</t>
  </si>
  <si>
    <t>EN_Hydro_TZA-1</t>
  </si>
  <si>
    <t>EN_Hydro_TZA-2</t>
  </si>
  <si>
    <t>EN_Hydro_TZA-3</t>
  </si>
  <si>
    <t>EN_Hydro_UGA-1</t>
  </si>
  <si>
    <t>EN_Hydro_UGA-2</t>
  </si>
  <si>
    <t>EN_Hydro_UGA-3</t>
  </si>
  <si>
    <t>EN_Hydro_ZAF-1</t>
  </si>
  <si>
    <t>EN_Hydro_ZAF-2</t>
  </si>
  <si>
    <t>EN_Hydro_ZAF-3</t>
  </si>
  <si>
    <t>EN_Hydro_ZMB-1</t>
  </si>
  <si>
    <t>EN_Hydro_ZMB-2</t>
  </si>
  <si>
    <t>EN_Hydro_ZMB-3</t>
  </si>
  <si>
    <t>EN_Hydro_ZWE-1</t>
  </si>
  <si>
    <t>EN_Hydro_ZWE-2</t>
  </si>
  <si>
    <t>EN_Hydro_ZWE-3</t>
  </si>
  <si>
    <t>EN_Hydro_AUS-1</t>
  </si>
  <si>
    <t>EN_Hydro_AUS-2</t>
  </si>
  <si>
    <t>EN_Hydro_AUS-3</t>
  </si>
  <si>
    <t>EN_Hydro_NZL-1</t>
  </si>
  <si>
    <t>EN_Hydro_NZL-2</t>
  </si>
  <si>
    <t>EN_Hydro_NZL-3</t>
  </si>
  <si>
    <t>EN_Hydro_BRA-1</t>
  </si>
  <si>
    <t>EN_Hydro_BRA-2</t>
  </si>
  <si>
    <t>EN_Hydro_BRA-3</t>
  </si>
  <si>
    <t>EN_Hydro_CAN-1</t>
  </si>
  <si>
    <t>EN_Hydro_CAN-2</t>
  </si>
  <si>
    <t>EN_Hydro_CAN-3</t>
  </si>
  <si>
    <t>EN_Hydro_CHN-1</t>
  </si>
  <si>
    <t>EN_Hydro_CHN-2</t>
  </si>
  <si>
    <t>EN_Hydro_CHN-3</t>
  </si>
  <si>
    <t>EN_Hydro_ARG-1</t>
  </si>
  <si>
    <t>EN_Hydro_ARG-2</t>
  </si>
  <si>
    <t>EN_Hydro_ARG-3</t>
  </si>
  <si>
    <t>EN_Hydro_BLZ-1</t>
  </si>
  <si>
    <t>EN_Hydro_BLZ-2</t>
  </si>
  <si>
    <t>EN_Hydro_BLZ-3</t>
  </si>
  <si>
    <t>EN_Hydro_BOL-1</t>
  </si>
  <si>
    <t>EN_Hydro_BOL-2</t>
  </si>
  <si>
    <t>EN_Hydro_BOL-3</t>
  </si>
  <si>
    <t>EN_Hydro_COL-1</t>
  </si>
  <si>
    <t>EN_Hydro_COL-2</t>
  </si>
  <si>
    <t>EN_Hydro_COL-3</t>
  </si>
  <si>
    <t>EN_Hydro_CRI-1</t>
  </si>
  <si>
    <t>EN_Hydro_CRI-2</t>
  </si>
  <si>
    <t>EN_Hydro_CRI-3</t>
  </si>
  <si>
    <t>EN_Hydro_CUB-1</t>
  </si>
  <si>
    <t>EN_Hydro_CUB-2</t>
  </si>
  <si>
    <t>EN_Hydro_CUB-3</t>
  </si>
  <si>
    <t>EN_Hydro_DMA-1</t>
  </si>
  <si>
    <t>EN_Hydro_DMA-2</t>
  </si>
  <si>
    <t>EN_Hydro_DMA-3</t>
  </si>
  <si>
    <t>EN_Hydro_DOM-1</t>
  </si>
  <si>
    <t>EN_Hydro_DOM-2</t>
  </si>
  <si>
    <t>EN_Hydro_DOM-3</t>
  </si>
  <si>
    <t>EN_Hydro_ECU-1</t>
  </si>
  <si>
    <t>EN_Hydro_ECU-2</t>
  </si>
  <si>
    <t>EN_Hydro_ECU-3</t>
  </si>
  <si>
    <t>EN_Hydro_GTM-1</t>
  </si>
  <si>
    <t>EN_Hydro_GTM-2</t>
  </si>
  <si>
    <t>EN_Hydro_GTM-3</t>
  </si>
  <si>
    <t>EN_Hydro_GUF-1</t>
  </si>
  <si>
    <t>EN_Hydro_GUF-2</t>
  </si>
  <si>
    <t>EN_Hydro_GUF-3</t>
  </si>
  <si>
    <t>EN_Hydro_HND-1</t>
  </si>
  <si>
    <t>EN_Hydro_HND-2</t>
  </si>
  <si>
    <t>EN_Hydro_HND-3</t>
  </si>
  <si>
    <t>EN_Hydro_HTI-1</t>
  </si>
  <si>
    <t>EN_Hydro_HTI-2</t>
  </si>
  <si>
    <t>EN_Hydro_HTI-3</t>
  </si>
  <si>
    <t>EN_Hydro_JAM-1</t>
  </si>
  <si>
    <t>EN_Hydro_JAM-2</t>
  </si>
  <si>
    <t>EN_Hydro_JAM-3</t>
  </si>
  <si>
    <t>EN_Hydro_NIC-1</t>
  </si>
  <si>
    <t>EN_Hydro_NIC-2</t>
  </si>
  <si>
    <t>EN_Hydro_NIC-3</t>
  </si>
  <si>
    <t>EN_Hydro_PAN-1</t>
  </si>
  <si>
    <t>EN_Hydro_PAN-2</t>
  </si>
  <si>
    <t>EN_Hydro_PAN-3</t>
  </si>
  <si>
    <t>EN_Hydro_PER-1</t>
  </si>
  <si>
    <t>EN_Hydro_PER-2</t>
  </si>
  <si>
    <t>EN_Hydro_PER-3</t>
  </si>
  <si>
    <t>EN_Hydro_PRI-1</t>
  </si>
  <si>
    <t>EN_Hydro_PRI-2</t>
  </si>
  <si>
    <t>EN_Hydro_PRI-3</t>
  </si>
  <si>
    <t>EN_Hydro_PRY-1</t>
  </si>
  <si>
    <t>EN_Hydro_PRY-2</t>
  </si>
  <si>
    <t>EN_Hydro_PRY-3</t>
  </si>
  <si>
    <t>EN_Hydro_SLV-1</t>
  </si>
  <si>
    <t>EN_Hydro_SLV-2</t>
  </si>
  <si>
    <t>EN_Hydro_SLV-3</t>
  </si>
  <si>
    <t>EN_Hydro_SUR-1</t>
  </si>
  <si>
    <t>EN_Hydro_SUR-2</t>
  </si>
  <si>
    <t>EN_Hydro_SUR-3</t>
  </si>
  <si>
    <t>EN_Hydro_URY-1</t>
  </si>
  <si>
    <t>EN_Hydro_URY-2</t>
  </si>
  <si>
    <t>EN_Hydro_URY-3</t>
  </si>
  <si>
    <t>EN_Hydro_VEN-1</t>
  </si>
  <si>
    <t>EN_Hydro_VEN-2</t>
  </si>
  <si>
    <t>EN_Hydro_VEN-3</t>
  </si>
  <si>
    <t>EN_Hydro_ADO-1</t>
  </si>
  <si>
    <t>EN_Hydro_ADO-2</t>
  </si>
  <si>
    <t>EN_Hydro_ADO-3</t>
  </si>
  <si>
    <t>EN_Hydro_AUT-1</t>
  </si>
  <si>
    <t>EN_Hydro_AUT-2</t>
  </si>
  <si>
    <t>EN_Hydro_AUT-3</t>
  </si>
  <si>
    <t>EN_Hydro_BEL-1</t>
  </si>
  <si>
    <t>EN_Hydro_BEL-2</t>
  </si>
  <si>
    <t>EN_Hydro_BEL-3</t>
  </si>
  <si>
    <t>EN_Hydro_CHE-1</t>
  </si>
  <si>
    <t>EN_Hydro_CHE-2</t>
  </si>
  <si>
    <t>EN_Hydro_CHE-3</t>
  </si>
  <si>
    <t>EN_Hydro_CZE-1</t>
  </si>
  <si>
    <t>EN_Hydro_CZE-2</t>
  </si>
  <si>
    <t>EN_Hydro_CZE-3</t>
  </si>
  <si>
    <t>EN_Hydro_DEU-1</t>
  </si>
  <si>
    <t>EN_Hydro_DEU-2</t>
  </si>
  <si>
    <t>EN_Hydro_DEU-3</t>
  </si>
  <si>
    <t>EN_Hydro_DNK-1</t>
  </si>
  <si>
    <t>EN_Hydro_DNK-2</t>
  </si>
  <si>
    <t>EN_Hydro_DNK-3</t>
  </si>
  <si>
    <t>EN_Hydro_ESP-1</t>
  </si>
  <si>
    <t>EN_Hydro_ESP-2</t>
  </si>
  <si>
    <t>EN_Hydro_ESP-3</t>
  </si>
  <si>
    <t>EN_Hydro_EST-1</t>
  </si>
  <si>
    <t>EN_Hydro_EST-2</t>
  </si>
  <si>
    <t>EN_Hydro_EST-3</t>
  </si>
  <si>
    <t>EN_Hydro_FIN-1</t>
  </si>
  <si>
    <t>EN_Hydro_FIN-2</t>
  </si>
  <si>
    <t>EN_Hydro_FIN-3</t>
  </si>
  <si>
    <t>EN_Hydro_FRA-1</t>
  </si>
  <si>
    <t>EN_Hydro_FRA-2</t>
  </si>
  <si>
    <t>EN_Hydro_FRA-3</t>
  </si>
  <si>
    <t>EN_Hydro_GBR-1</t>
  </si>
  <si>
    <t>EN_Hydro_GBR-2</t>
  </si>
  <si>
    <t>EN_Hydro_GBR-3</t>
  </si>
  <si>
    <t>EN_Hydro_GRC-1</t>
  </si>
  <si>
    <t>EN_Hydro_GRC-2</t>
  </si>
  <si>
    <t>EN_Hydro_GRC-3</t>
  </si>
  <si>
    <t>EN_Hydro_GRL-1</t>
  </si>
  <si>
    <t>EN_Hydro_GRL-2</t>
  </si>
  <si>
    <t>EN_Hydro_GRL-3</t>
  </si>
  <si>
    <t>EN_Hydro_HUN-1</t>
  </si>
  <si>
    <t>EN_Hydro_HUN-2</t>
  </si>
  <si>
    <t>EN_Hydro_HUN-3</t>
  </si>
  <si>
    <t>EN_Hydro_IRL-1</t>
  </si>
  <si>
    <t>EN_Hydro_IRL-2</t>
  </si>
  <si>
    <t>EN_Hydro_IRL-3</t>
  </si>
  <si>
    <t>EN_Hydro_ISL-1</t>
  </si>
  <si>
    <t>EN_Hydro_ISL-2</t>
  </si>
  <si>
    <t>EN_Hydro_ISL-3</t>
  </si>
  <si>
    <t>EN_Hydro_ISR-1</t>
  </si>
  <si>
    <t>EN_Hydro_ISR-2</t>
  </si>
  <si>
    <t>EN_Hydro_ISR-3</t>
  </si>
  <si>
    <t>EN_Hydro_ITA-1</t>
  </si>
  <si>
    <t>EN_Hydro_ITA-2</t>
  </si>
  <si>
    <t>EN_Hydro_ITA-3</t>
  </si>
  <si>
    <t>EN_Hydro_LUX-1</t>
  </si>
  <si>
    <t>EN_Hydro_LUX-2</t>
  </si>
  <si>
    <t>EN_Hydro_LUX-3</t>
  </si>
  <si>
    <t>EN_Hydro_NLD-1</t>
  </si>
  <si>
    <t>EN_Hydro_NLD-2</t>
  </si>
  <si>
    <t>EN_Hydro_NLD-3</t>
  </si>
  <si>
    <t>EN_Hydro_NOR-1</t>
  </si>
  <si>
    <t>EN_Hydro_NOR-2</t>
  </si>
  <si>
    <t>EN_Hydro_NOR-3</t>
  </si>
  <si>
    <t>EN_Hydro_POL-1</t>
  </si>
  <si>
    <t>EN_Hydro_POL-2</t>
  </si>
  <si>
    <t>EN_Hydro_POL-3</t>
  </si>
  <si>
    <t>EN_Hydro_PRT-1</t>
  </si>
  <si>
    <t>EN_Hydro_PRT-2</t>
  </si>
  <si>
    <t>EN_Hydro_PRT-3</t>
  </si>
  <si>
    <t>EN_Hydro_SVK-1</t>
  </si>
  <si>
    <t>EN_Hydro_SVK-2</t>
  </si>
  <si>
    <t>EN_Hydro_SVK-3</t>
  </si>
  <si>
    <t>EN_Hydro_SVN-1</t>
  </si>
  <si>
    <t>EN_Hydro_SVN-2</t>
  </si>
  <si>
    <t>EN_Hydro_SVN-3</t>
  </si>
  <si>
    <t>EN_Hydro_SWE-1</t>
  </si>
  <si>
    <t>EN_Hydro_SWE-2</t>
  </si>
  <si>
    <t>EN_Hydro_SWE-3</t>
  </si>
  <si>
    <t>EN_Hydro_TUR-1</t>
  </si>
  <si>
    <t>EN_Hydro_TUR-2</t>
  </si>
  <si>
    <t>EN_Hydro_TUR-3</t>
  </si>
  <si>
    <t>EN_Hydro_IND-1</t>
  </si>
  <si>
    <t>EN_Hydro_IND-2</t>
  </si>
  <si>
    <t>EN_Hydro_IND-3</t>
  </si>
  <si>
    <t>EN_Hydro_JPN-1</t>
  </si>
  <si>
    <t>EN_Hydro_JPN-2</t>
  </si>
  <si>
    <t>EN_Hydro_JPN-3</t>
  </si>
  <si>
    <t>EN_Hydro_IRN-1</t>
  </si>
  <si>
    <t>EN_Hydro_IRN-2</t>
  </si>
  <si>
    <t>EN_Hydro_IRN-3</t>
  </si>
  <si>
    <t>EN_Hydro_IRQ-1</t>
  </si>
  <si>
    <t>EN_Hydro_IRQ-2</t>
  </si>
  <si>
    <t>EN_Hydro_IRQ-3</t>
  </si>
  <si>
    <t>EN_Hydro_JOR-1</t>
  </si>
  <si>
    <t>EN_Hydro_JOR-2</t>
  </si>
  <si>
    <t>EN_Hydro_JOR-3</t>
  </si>
  <si>
    <t>EN_Hydro_LBN-1</t>
  </si>
  <si>
    <t>EN_Hydro_LBN-2</t>
  </si>
  <si>
    <t>EN_Hydro_LBN-3</t>
  </si>
  <si>
    <t>EN_Hydro_SYR-1</t>
  </si>
  <si>
    <t>EN_Hydro_SYR-2</t>
  </si>
  <si>
    <t>EN_Hydro_SYR-3</t>
  </si>
  <si>
    <t>EN_Hydro_CHL-1</t>
  </si>
  <si>
    <t>EN_Hydro_CHL-2</t>
  </si>
  <si>
    <t>EN_Hydro_CHL-3</t>
  </si>
  <si>
    <t>EN_Hydro_MEX-1</t>
  </si>
  <si>
    <t>EN_Hydro_MEX-2</t>
  </si>
  <si>
    <t>EN_Hydro_MEX-3</t>
  </si>
  <si>
    <t>EN_Hydro_AFG-1</t>
  </si>
  <si>
    <t>EN_Hydro_AFG-2</t>
  </si>
  <si>
    <t>EN_Hydro_AFG-3</t>
  </si>
  <si>
    <t>EN_Hydro_BGD-1</t>
  </si>
  <si>
    <t>EN_Hydro_BGD-2</t>
  </si>
  <si>
    <t>EN_Hydro_BGD-3</t>
  </si>
  <si>
    <t>EN_Hydro_BTN-1</t>
  </si>
  <si>
    <t>EN_Hydro_BTN-2</t>
  </si>
  <si>
    <t>EN_Hydro_BTN-3</t>
  </si>
  <si>
    <t>EN_Hydro_FJI-1</t>
  </si>
  <si>
    <t>EN_Hydro_FJI-2</t>
  </si>
  <si>
    <t>EN_Hydro_FJI-3</t>
  </si>
  <si>
    <t>EN_Hydro_IDN-1</t>
  </si>
  <si>
    <t>EN_Hydro_IDN-2</t>
  </si>
  <si>
    <t>EN_Hydro_IDN-3</t>
  </si>
  <si>
    <t>EN_Hydro_KHM-1</t>
  </si>
  <si>
    <t>EN_Hydro_KHM-2</t>
  </si>
  <si>
    <t>EN_Hydro_KHM-3</t>
  </si>
  <si>
    <t>EN_Hydro_LAO-1</t>
  </si>
  <si>
    <t>EN_Hydro_LAO-2</t>
  </si>
  <si>
    <t>EN_Hydro_LAO-3</t>
  </si>
  <si>
    <t>EN_Hydro_LKA-1</t>
  </si>
  <si>
    <t>EN_Hydro_LKA-2</t>
  </si>
  <si>
    <t>EN_Hydro_LKA-3</t>
  </si>
  <si>
    <t>EN_Hydro_MMR-1</t>
  </si>
  <si>
    <t>EN_Hydro_MMR-2</t>
  </si>
  <si>
    <t>EN_Hydro_MMR-3</t>
  </si>
  <si>
    <t>EN_Hydro_MYS-1</t>
  </si>
  <si>
    <t>EN_Hydro_MYS-2</t>
  </si>
  <si>
    <t>EN_Hydro_MYS-3</t>
  </si>
  <si>
    <t>EN_Hydro_NCL-1</t>
  </si>
  <si>
    <t>EN_Hydro_NCL-2</t>
  </si>
  <si>
    <t>EN_Hydro_NCL-3</t>
  </si>
  <si>
    <t>EN_Hydro_NPL-1</t>
  </si>
  <si>
    <t>EN_Hydro_NPL-2</t>
  </si>
  <si>
    <t>EN_Hydro_NPL-3</t>
  </si>
  <si>
    <t>EN_Hydro_PAK-1</t>
  </si>
  <si>
    <t>EN_Hydro_PAK-2</t>
  </si>
  <si>
    <t>EN_Hydro_PAK-3</t>
  </si>
  <si>
    <t>EN_Hydro_PHL-1</t>
  </si>
  <si>
    <t>EN_Hydro_PHL-2</t>
  </si>
  <si>
    <t>EN_Hydro_PHL-3</t>
  </si>
  <si>
    <t>EN_Hydro_PNG-1</t>
  </si>
  <si>
    <t>EN_Hydro_PNG-2</t>
  </si>
  <si>
    <t>EN_Hydro_PNG-3</t>
  </si>
  <si>
    <t>EN_Hydro_PRK-1</t>
  </si>
  <si>
    <t>EN_Hydro_PRK-2</t>
  </si>
  <si>
    <t>EN_Hydro_PRK-3</t>
  </si>
  <si>
    <t>EN_Hydro_PYF-1</t>
  </si>
  <si>
    <t>EN_Hydro_PYF-2</t>
  </si>
  <si>
    <t>EN_Hydro_PYF-3</t>
  </si>
  <si>
    <t>EN_Hydro_THA-1</t>
  </si>
  <si>
    <t>EN_Hydro_THA-2</t>
  </si>
  <si>
    <t>EN_Hydro_THA-3</t>
  </si>
  <si>
    <t>EN_Hydro_TWN-1</t>
  </si>
  <si>
    <t>EN_Hydro_TWN-2</t>
  </si>
  <si>
    <t>EN_Hydro_TWN-3</t>
  </si>
  <si>
    <t>EN_Hydro_VNM-1</t>
  </si>
  <si>
    <t>EN_Hydro_VNM-2</t>
  </si>
  <si>
    <t>EN_Hydro_VNM-3</t>
  </si>
  <si>
    <t>EN_Hydro_WSM-1</t>
  </si>
  <si>
    <t>EN_Hydro_WSM-2</t>
  </si>
  <si>
    <t>EN_Hydro_WSM-3</t>
  </si>
  <si>
    <t>EN_Hydro_RUS-1</t>
  </si>
  <si>
    <t>EN_Hydro_RUS-2</t>
  </si>
  <si>
    <t>EN_Hydro_RUS-3</t>
  </si>
  <si>
    <t>EN_Hydro_KOR-1</t>
  </si>
  <si>
    <t>EN_Hydro_KOR-2</t>
  </si>
  <si>
    <t>EN_Hydro_KOR-3</t>
  </si>
  <si>
    <t>EN_Hydro_ALB-1</t>
  </si>
  <si>
    <t>EN_Hydro_ALB-2</t>
  </si>
  <si>
    <t>EN_Hydro_ALB-3</t>
  </si>
  <si>
    <t>EN_Hydro_ARM-1</t>
  </si>
  <si>
    <t>EN_Hydro_ARM-2</t>
  </si>
  <si>
    <t>EN_Hydro_ARM-3</t>
  </si>
  <si>
    <t>EN_Hydro_AZE-1</t>
  </si>
  <si>
    <t>EN_Hydro_AZE-2</t>
  </si>
  <si>
    <t>EN_Hydro_AZE-3</t>
  </si>
  <si>
    <t>EN_Hydro_BGR-1</t>
  </si>
  <si>
    <t>EN_Hydro_BGR-2</t>
  </si>
  <si>
    <t>EN_Hydro_BGR-3</t>
  </si>
  <si>
    <t>EN_Hydro_BIH-1</t>
  </si>
  <si>
    <t>EN_Hydro_BIH-2</t>
  </si>
  <si>
    <t>EN_Hydro_BIH-3</t>
  </si>
  <si>
    <t>EN_Hydro_BLR-1</t>
  </si>
  <si>
    <t>EN_Hydro_BLR-2</t>
  </si>
  <si>
    <t>EN_Hydro_BLR-3</t>
  </si>
  <si>
    <t>EN_Hydro_FRO-1</t>
  </si>
  <si>
    <t>EN_Hydro_FRO-2</t>
  </si>
  <si>
    <t>EN_Hydro_FRO-3</t>
  </si>
  <si>
    <t>EN_Hydro_GEO-1</t>
  </si>
  <si>
    <t>EN_Hydro_GEO-2</t>
  </si>
  <si>
    <t>EN_Hydro_GEO-3</t>
  </si>
  <si>
    <t>EN_Hydro_HRV-1</t>
  </si>
  <si>
    <t>EN_Hydro_HRV-2</t>
  </si>
  <si>
    <t>EN_Hydro_HRV-3</t>
  </si>
  <si>
    <t>EN_Hydro_KAZ-1</t>
  </si>
  <si>
    <t>EN_Hydro_KAZ-2</t>
  </si>
  <si>
    <t>EN_Hydro_KAZ-3</t>
  </si>
  <si>
    <t>EN_Hydro_KGZ-1</t>
  </si>
  <si>
    <t>EN_Hydro_KGZ-2</t>
  </si>
  <si>
    <t>EN_Hydro_KGZ-3</t>
  </si>
  <si>
    <t>EN_Hydro_LTU-1</t>
  </si>
  <si>
    <t>EN_Hydro_LTU-2</t>
  </si>
  <si>
    <t>EN_Hydro_LTU-3</t>
  </si>
  <si>
    <t>EN_Hydro_LVA-1</t>
  </si>
  <si>
    <t>EN_Hydro_LVA-2</t>
  </si>
  <si>
    <t>EN_Hydro_LVA-3</t>
  </si>
  <si>
    <t>EN_Hydro_MDA-1</t>
  </si>
  <si>
    <t>EN_Hydro_MDA-2</t>
  </si>
  <si>
    <t>EN_Hydro_MDA-3</t>
  </si>
  <si>
    <t>EN_Hydro_MKD-1</t>
  </si>
  <si>
    <t>EN_Hydro_MKD-2</t>
  </si>
  <si>
    <t>EN_Hydro_MKD-3</t>
  </si>
  <si>
    <t>EN_Hydro_MNE-1</t>
  </si>
  <si>
    <t>EN_Hydro_MNE-2</t>
  </si>
  <si>
    <t>EN_Hydro_MNE-3</t>
  </si>
  <si>
    <t>EN_Hydro_ROM-1</t>
  </si>
  <si>
    <t>EN_Hydro_ROM-2</t>
  </si>
  <si>
    <t>EN_Hydro_ROM-3</t>
  </si>
  <si>
    <t>EN_Hydro_SRB-1</t>
  </si>
  <si>
    <t>EN_Hydro_SRB-2</t>
  </si>
  <si>
    <t>EN_Hydro_SRB-3</t>
  </si>
  <si>
    <t>EN_Hydro_TJK-1</t>
  </si>
  <si>
    <t>EN_Hydro_TJK-2</t>
  </si>
  <si>
    <t>EN_Hydro_TJK-3</t>
  </si>
  <si>
    <t>EN_Hydro_TKM-1</t>
  </si>
  <si>
    <t>EN_Hydro_TKM-2</t>
  </si>
  <si>
    <t>EN_Hydro_TKM-3</t>
  </si>
  <si>
    <t>EN_Hydro_UKR-1</t>
  </si>
  <si>
    <t>EN_Hydro_UKR-2</t>
  </si>
  <si>
    <t>EN_Hydro_UKR-3</t>
  </si>
  <si>
    <t>EN_Hydro_UZB-1</t>
  </si>
  <si>
    <t>EN_Hydro_UZB-2</t>
  </si>
  <si>
    <t>EN_Hydro_UZB-3</t>
  </si>
  <si>
    <t>EN_Hydro_USA-1</t>
  </si>
  <si>
    <t>EN_Hydro_USA-2</t>
  </si>
  <si>
    <t>EN_Hydro_USA-3</t>
  </si>
  <si>
    <t>fossilelc,newhydro-c</t>
  </si>
  <si>
    <t>E_WON</t>
  </si>
  <si>
    <t>EN_ZC</t>
  </si>
  <si>
    <t>EN_Hy</t>
  </si>
  <si>
    <t>E_SPV</t>
  </si>
  <si>
    <t>~TFM_INS</t>
  </si>
  <si>
    <t>MinBio-21</t>
  </si>
  <si>
    <t>Workbook purpose:</t>
  </si>
  <si>
    <t>Cap decay limits: unbounds steps 12 and 21 of fossil supply curves; limits decay of existing fossil capacity. User assumptions. May be modified.</t>
  </si>
  <si>
    <t>monetize ILED: despite the sheet name, ILED is no longer monetized. It is set here by user assumption. May be modified.</t>
  </si>
  <si>
    <t>Data source/modifiable?</t>
  </si>
  <si>
    <t>Places a number of restrictions on model behavior for reference case development, as follows:</t>
  </si>
  <si>
    <t>maxbuild</t>
  </si>
  <si>
    <t>bm</t>
  </si>
  <si>
    <t>he</t>
  </si>
  <si>
    <t>sl</t>
  </si>
  <si>
    <t>wn</t>
  </si>
  <si>
    <t>~UC_Sets: R_S: AllRegions</t>
  </si>
  <si>
    <t>AFG</t>
  </si>
  <si>
    <t>ALB</t>
  </si>
  <si>
    <t>DZA</t>
  </si>
  <si>
    <t>ASM</t>
  </si>
  <si>
    <t>ADO</t>
  </si>
  <si>
    <t>AGO</t>
  </si>
  <si>
    <t>ATG</t>
  </si>
  <si>
    <t>ARG</t>
  </si>
  <si>
    <t>ARM</t>
  </si>
  <si>
    <t>ABW</t>
  </si>
  <si>
    <t>AUS</t>
  </si>
  <si>
    <t>AUT</t>
  </si>
  <si>
    <t>AZE</t>
  </si>
  <si>
    <t>BHR</t>
  </si>
  <si>
    <t>BGD</t>
  </si>
  <si>
    <t>BRB</t>
  </si>
  <si>
    <t>BLR</t>
  </si>
  <si>
    <t>BEL</t>
  </si>
  <si>
    <t>BLZ</t>
  </si>
  <si>
    <t>BEN</t>
  </si>
  <si>
    <t>NAM</t>
  </si>
  <si>
    <t>BMU</t>
  </si>
  <si>
    <t>BTN</t>
  </si>
  <si>
    <t>BOL</t>
  </si>
  <si>
    <t>BIH</t>
  </si>
  <si>
    <t>BWA</t>
  </si>
  <si>
    <t>NULL</t>
  </si>
  <si>
    <t>BVT</t>
  </si>
  <si>
    <t>BRA</t>
  </si>
  <si>
    <t>BRN</t>
  </si>
  <si>
    <t>BGR</t>
  </si>
  <si>
    <t>BFA</t>
  </si>
  <si>
    <t>BDI</t>
  </si>
  <si>
    <t>KHM</t>
  </si>
  <si>
    <t>CMR</t>
  </si>
  <si>
    <t>CPV</t>
  </si>
  <si>
    <t>CYM</t>
  </si>
  <si>
    <t>CAF</t>
  </si>
  <si>
    <t>TCD</t>
  </si>
  <si>
    <t>CHL</t>
  </si>
  <si>
    <t>CHN</t>
  </si>
  <si>
    <t>CCK</t>
  </si>
  <si>
    <t>COL</t>
  </si>
  <si>
    <t>COM</t>
  </si>
  <si>
    <t>COK</t>
  </si>
  <si>
    <t>CRI</t>
  </si>
  <si>
    <t>CIV</t>
  </si>
  <si>
    <t>HRV</t>
  </si>
  <si>
    <t>CUB</t>
  </si>
  <si>
    <t>CUW</t>
  </si>
  <si>
    <t>CYP</t>
  </si>
  <si>
    <t>CZE</t>
  </si>
  <si>
    <t>PRK</t>
  </si>
  <si>
    <t>ZAR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</si>
  <si>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</si>
  <si>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</si>
  <si>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</si>
  <si>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</si>
  <si>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</si>
  <si>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</si>
  <si>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</si>
  <si>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</si>
  <si>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</si>
  <si>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</si>
  <si>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</si>
  <si>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FRO</t>
  </si>
  <si>
    <t>FJI</t>
  </si>
  <si>
    <t>FIN</t>
  </si>
  <si>
    <t>FRA</t>
  </si>
  <si>
    <t>GUF</t>
  </si>
  <si>
    <t>PYF</t>
  </si>
  <si>
    <t>GAB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</si>
  <si>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</si>
  <si>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</si>
  <si>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</si>
  <si>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</si>
  <si>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</si>
  <si>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</si>
  <si>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</si>
  <si>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</si>
  <si>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</si>
  <si>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GGY</t>
  </si>
  <si>
    <t>GIN</t>
  </si>
  <si>
    <t>GNB</t>
  </si>
  <si>
    <t>GUY</t>
  </si>
  <si>
    <t>HTI</t>
  </si>
  <si>
    <t>HND</t>
  </si>
  <si>
    <t>HKG</t>
  </si>
  <si>
    <t>HUN</t>
  </si>
  <si>
    <t>ISL</t>
  </si>
  <si>
    <t>IDN</t>
  </si>
  <si>
    <t>IRN</t>
  </si>
  <si>
    <t>IRQ</t>
  </si>
  <si>
    <t>IRL</t>
  </si>
  <si>
    <t>IMY</t>
  </si>
  <si>
    <t>ISR</t>
  </si>
  <si>
    <t>ITA</t>
  </si>
  <si>
    <t>JAM</t>
  </si>
  <si>
    <t>JOR</t>
  </si>
  <si>
    <t>KAZ</t>
  </si>
  <si>
    <t>KEN</t>
  </si>
  <si>
    <t>KIR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</si>
  <si>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</si>
  <si>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</si>
  <si>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</si>
  <si>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</si>
  <si>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</si>
  <si>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</si>
  <si>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</si>
  <si>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</si>
  <si>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</si>
  <si>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</si>
  <si>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</si>
  <si>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</si>
  <si>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</si>
  <si>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</si>
  <si>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</si>
  <si>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</si>
  <si>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</si>
  <si>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</si>
  <si>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</si>
  <si>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</si>
  <si>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</si>
  <si>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</si>
  <si>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</si>
  <si>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</si>
  <si>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MYT</t>
  </si>
  <si>
    <t>MEX</t>
  </si>
  <si>
    <t>MDA</t>
  </si>
  <si>
    <t>MCO</t>
  </si>
  <si>
    <t>MNG</t>
  </si>
  <si>
    <t>MNE</t>
  </si>
  <si>
    <t>MSR</t>
  </si>
  <si>
    <t>MAR</t>
  </si>
  <si>
    <t>MOZ</t>
  </si>
  <si>
    <t>MMR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</si>
  <si>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</si>
  <si>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</si>
  <si>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</si>
  <si>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</si>
  <si>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</si>
  <si>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</si>
  <si>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</si>
  <si>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</si>
  <si>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</si>
  <si>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</si>
  <si>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</si>
  <si>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</si>
  <si>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</si>
  <si>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</si>
  <si>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</si>
  <si>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</si>
  <si>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</si>
  <si>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</si>
  <si>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</si>
  <si>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</si>
  <si>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</si>
  <si>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</si>
  <si>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</si>
  <si>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</si>
  <si>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</si>
  <si>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</si>
  <si>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COG</t>
  </si>
  <si>
    <t>ROM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</si>
  <si>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</si>
  <si>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</si>
  <si>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</si>
  <si>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</si>
  <si>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</si>
  <si>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</si>
  <si>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</si>
  <si>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</si>
  <si>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</si>
  <si>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</si>
  <si>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</si>
  <si>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</si>
  <si>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</si>
  <si>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</si>
  <si>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</si>
  <si>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</si>
  <si>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SGS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</si>
  <si>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</si>
  <si>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</si>
  <si>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</si>
  <si>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</si>
  <si>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</si>
  <si>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</si>
  <si>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</si>
  <si>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</si>
  <si>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</si>
  <si>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 xml:space="preserve">SJM </t>
  </si>
  <si>
    <t>SWZ</t>
  </si>
  <si>
    <t>SWE</t>
  </si>
  <si>
    <t>CHE</t>
  </si>
  <si>
    <t>SYR</t>
  </si>
  <si>
    <t>TWN</t>
  </si>
  <si>
    <t>TJK</t>
  </si>
  <si>
    <t>TZA</t>
  </si>
  <si>
    <t>THA</t>
  </si>
  <si>
    <t>BHS</t>
  </si>
  <si>
    <t>GMB</t>
  </si>
  <si>
    <t>TMP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</si>
  <si>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</si>
  <si>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</si>
  <si>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</si>
  <si>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</si>
  <si>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</si>
  <si>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</si>
  <si>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</si>
  <si>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</si>
  <si>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</si>
  <si>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</si>
  <si>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</si>
  <si>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</si>
  <si>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</si>
  <si>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URY</t>
  </si>
  <si>
    <t>UZB</t>
  </si>
  <si>
    <t>VUT</t>
  </si>
  <si>
    <t>VAT</t>
  </si>
  <si>
    <t>VEN</t>
  </si>
  <si>
    <t>VNM</t>
  </si>
  <si>
    <t>VIR</t>
  </si>
  <si>
    <t>WLF</t>
  </si>
  <si>
    <t>YEM</t>
  </si>
  <si>
    <t>ZMB</t>
  </si>
  <si>
    <t>ZWE</t>
  </si>
  <si>
    <t>WEPSReg</t>
  </si>
  <si>
    <t>Country</t>
  </si>
  <si>
    <t>~TFM_DINS-TS: Curr=USD10</t>
  </si>
  <si>
    <t>UC_RHST</t>
  </si>
  <si>
    <t>UC_RHST~0</t>
  </si>
  <si>
    <t>EN_Biomass*</t>
  </si>
  <si>
    <t>EN_Zbiomass*</t>
  </si>
  <si>
    <t>EN_GeoThermal*</t>
  </si>
  <si>
    <t>*</t>
  </si>
  <si>
    <r>
      <t xml:space="preserve">Remaining sheets: defines the steps of the build rate constraints, based on historical seed values written in the </t>
    </r>
    <r>
      <rPr>
        <i/>
        <sz val="11"/>
        <color indexed="8"/>
        <rFont val="Calibri"/>
        <family val="2"/>
      </rPr>
      <t>HistoricalBuilds</t>
    </r>
    <r>
      <rPr>
        <sz val="11"/>
        <color theme="1"/>
        <rFont val="Calibri"/>
        <family val="2"/>
        <scheme val="minor"/>
      </rPr>
      <t xml:space="preserve"> sheet and capital costs popluated by the fill table on sheet </t>
    </r>
    <r>
      <rPr>
        <i/>
        <sz val="11"/>
        <color indexed="8"/>
        <rFont val="Calibri"/>
        <family val="2"/>
      </rPr>
      <t>togetInvCosts</t>
    </r>
    <r>
      <rPr>
        <sz val="11"/>
        <color theme="1"/>
        <rFont val="Calibri"/>
        <family val="2"/>
        <scheme val="minor"/>
      </rPr>
      <t>. Users should contact Amit to modify the structure of these constraints.</t>
    </r>
  </si>
  <si>
    <t>HET</t>
  </si>
  <si>
    <t>FLO, GROWTH</t>
  </si>
  <si>
    <t>CHP</t>
  </si>
  <si>
    <t>heat production annual decay limit - 0.0%</t>
  </si>
  <si>
    <t>CSET_CN</t>
  </si>
  <si>
    <t>UC_FLO</t>
  </si>
  <si>
    <t>UC_FLO~RHS</t>
  </si>
  <si>
    <t>N</t>
  </si>
  <si>
    <t>AFA</t>
  </si>
  <si>
    <t>LO</t>
  </si>
  <si>
    <t>ELECOA,ELEGAS</t>
  </si>
  <si>
    <t>-*CT*,-*GT*</t>
  </si>
  <si>
    <t>MIN*12,-*bio*</t>
  </si>
  <si>
    <t>*2</t>
  </si>
  <si>
    <t>~TFM_FILL-R:w=Base_ELE_Costs</t>
  </si>
  <si>
    <t>cd</t>
  </si>
  <si>
    <t>cl</t>
  </si>
  <si>
    <t>ds</t>
  </si>
  <si>
    <t>gt</t>
  </si>
  <si>
    <t>ng</t>
  </si>
  <si>
    <t>nu</t>
  </si>
  <si>
    <t>or</t>
  </si>
  <si>
    <t>rs</t>
  </si>
  <si>
    <t>ws</t>
  </si>
  <si>
    <t>AFR_N</t>
  </si>
  <si>
    <t>AFR_S</t>
  </si>
  <si>
    <t>USD18</t>
  </si>
  <si>
    <t>EN_RETargDum_DZA</t>
  </si>
  <si>
    <t>EN_RETargDum_EGY</t>
  </si>
  <si>
    <t>EN_RETargDum_ERI</t>
  </si>
  <si>
    <t>EN_RETargDum_LBY</t>
  </si>
  <si>
    <t>EN_RETargDum_MAR</t>
  </si>
  <si>
    <t>EN_RETargDum_MLI</t>
  </si>
  <si>
    <t>EN_RETargDum_MRT</t>
  </si>
  <si>
    <t>EN_RETargDum_NER</t>
  </si>
  <si>
    <t>EN_RETargDum_SDN</t>
  </si>
  <si>
    <t>EN_RETargDum_TCD</t>
  </si>
  <si>
    <t>EN_RETargDum_TUN</t>
  </si>
  <si>
    <t>EN_RETargDum_AGO</t>
  </si>
  <si>
    <t>EN_RETargDum_BDI</t>
  </si>
  <si>
    <t>EN_RETargDum_BEN</t>
  </si>
  <si>
    <t>EN_RETargDum_BFA</t>
  </si>
  <si>
    <t>EN_RETargDum_BWA</t>
  </si>
  <si>
    <t>EN_RETargDum_CAF</t>
  </si>
  <si>
    <t>EN_RETargDum_CIV</t>
  </si>
  <si>
    <t>EN_RETargDum_CMR</t>
  </si>
  <si>
    <t>EN_RETargDum_COG</t>
  </si>
  <si>
    <t>EN_RETargDum_COM</t>
  </si>
  <si>
    <t>EN_RETargDum_CPV</t>
  </si>
  <si>
    <t>EN_RETargDum_DJI</t>
  </si>
  <si>
    <t>EN_RETargDum_ETH</t>
  </si>
  <si>
    <t>EN_RETargDum_GAB</t>
  </si>
  <si>
    <t>EN_RETargDum_GHA</t>
  </si>
  <si>
    <t>EN_RETargDum_GIN</t>
  </si>
  <si>
    <t>EN_RETargDum_KEN</t>
  </si>
  <si>
    <t>EN_RETargDum_LBR</t>
  </si>
  <si>
    <t>EN_RETargDum_LSO</t>
  </si>
  <si>
    <t>EN_RETargDum_MDG</t>
  </si>
  <si>
    <t>EN_RETargDum_MOZ</t>
  </si>
  <si>
    <t>EN_RETargDum_MUS</t>
  </si>
  <si>
    <t>EN_RETargDum_MWI</t>
  </si>
  <si>
    <t>EN_RETargDum_NGA</t>
  </si>
  <si>
    <t>EN_RETargDum_RWA</t>
  </si>
  <si>
    <t>EN_RETargDum_SEN</t>
  </si>
  <si>
    <t>EN_RETargDum_SLE</t>
  </si>
  <si>
    <t>EN_RETargDum_STP</t>
  </si>
  <si>
    <t>EN_RETargDum_SWZ</t>
  </si>
  <si>
    <t>EN_RETargDum_SYC</t>
  </si>
  <si>
    <t>EN_RETargDum_TGO</t>
  </si>
  <si>
    <t>EN_RETargDum_TZA</t>
  </si>
  <si>
    <t>EN_RETargDum_ZAF</t>
  </si>
  <si>
    <t>EN_RETargDum_ZMB</t>
  </si>
  <si>
    <t>EN_RETargDum_ZWE</t>
  </si>
  <si>
    <t>EN_RETargDum_NZL</t>
  </si>
  <si>
    <t>EN_RETargDum_BRA</t>
  </si>
  <si>
    <t>EN_RETargDum_CAN</t>
  </si>
  <si>
    <t>EN_RETargDum_CHN</t>
  </si>
  <si>
    <t>EN_RETargDum_ABW</t>
  </si>
  <si>
    <t>EN_RETargDum_ARG</t>
  </si>
  <si>
    <t>EN_RETargDum_ATG</t>
  </si>
  <si>
    <t>EN_RETargDum_BHS</t>
  </si>
  <si>
    <t>EN_RETargDum_BLZ</t>
  </si>
  <si>
    <t>EN_RETargDum_BMU</t>
  </si>
  <si>
    <t>EN_RETargDum_BOL</t>
  </si>
  <si>
    <t>EN_RETargDum_BRB</t>
  </si>
  <si>
    <t>EN_RETargDum_COL</t>
  </si>
  <si>
    <t>EN_RETargDum_CRI</t>
  </si>
  <si>
    <t>EN_RETargDum_CUB</t>
  </si>
  <si>
    <t>EN_RETargDum_CYM</t>
  </si>
  <si>
    <t>EN_RETargDum_DMA</t>
  </si>
  <si>
    <t>EN_RETargDum_DOM</t>
  </si>
  <si>
    <t>EN_RETargDum_ECU</t>
  </si>
  <si>
    <t>EN_RETargDum_GRD</t>
  </si>
  <si>
    <t>EN_RETargDum_GTM</t>
  </si>
  <si>
    <t>EN_RETargDum_GUF</t>
  </si>
  <si>
    <t>EN_RETargDum_GUY</t>
  </si>
  <si>
    <t>EN_RETargDum_HND</t>
  </si>
  <si>
    <t>EN_RETargDum_HTI</t>
  </si>
  <si>
    <t>EN_RETargDum_JAM</t>
  </si>
  <si>
    <t>EN_RETargDum_LCA</t>
  </si>
  <si>
    <t>EN_RETargDum_MSR</t>
  </si>
  <si>
    <t>EN_RETargDum_NIC</t>
  </si>
  <si>
    <t>EN_RETargDum_PAN</t>
  </si>
  <si>
    <t>EN_RETargDum_PER</t>
  </si>
  <si>
    <t>EN_RETargDum_PRY</t>
  </si>
  <si>
    <t>EN_RETargDum_SLV</t>
  </si>
  <si>
    <t>EN_RETargDum_SUR</t>
  </si>
  <si>
    <t>EN_RETargDum_TTO</t>
  </si>
  <si>
    <t>EN_RETargDum_URY</t>
  </si>
  <si>
    <t>EN_RETargDum_VCT</t>
  </si>
  <si>
    <t>EN_RETargDum_VEN</t>
  </si>
  <si>
    <t>EN_RETargDum_AUT</t>
  </si>
  <si>
    <t>EN_RETargDum_BEL</t>
  </si>
  <si>
    <t>EN_RETargDum_CHE</t>
  </si>
  <si>
    <t>EN_RETargDum_CZE</t>
  </si>
  <si>
    <t>EN_RETargDum_DEU</t>
  </si>
  <si>
    <t>EN_RETargDum_DNK</t>
  </si>
  <si>
    <t>EN_RETargDum_ESP</t>
  </si>
  <si>
    <t>EN_RETargDum_EST</t>
  </si>
  <si>
    <t>EN_RETargDum_FRA</t>
  </si>
  <si>
    <t>EN_RETargDum_GBR</t>
  </si>
  <si>
    <t>EN_RETargDum_GRC</t>
  </si>
  <si>
    <t>EN_RETargDum_HUN</t>
  </si>
  <si>
    <t>EN_RETargDum_IRL</t>
  </si>
  <si>
    <t>EN_RETargDum_ISL</t>
  </si>
  <si>
    <t>EN_RETargDum_ISR</t>
  </si>
  <si>
    <t>EN_RETargDum_ITA</t>
  </si>
  <si>
    <t>EN_RETargDum_LUX</t>
  </si>
  <si>
    <t>EN_RETargDum_NLD</t>
  </si>
  <si>
    <t>EN_RETargDum_NOR</t>
  </si>
  <si>
    <t>EN_RETargDum_POL</t>
  </si>
  <si>
    <t>EN_RETargDum_PRT</t>
  </si>
  <si>
    <t>EN_RETargDum_SVK</t>
  </si>
  <si>
    <t>EN_RETargDum_SVN</t>
  </si>
  <si>
    <t>EN_RETargDum_TUR</t>
  </si>
  <si>
    <t>EN_RETargDum_IND</t>
  </si>
  <si>
    <t>EN_RETargDum_JPN</t>
  </si>
  <si>
    <t>EN_RETargDum_ARE</t>
  </si>
  <si>
    <t>EN_RETargDum_BHR</t>
  </si>
  <si>
    <t>EN_RETargDum_CYP</t>
  </si>
  <si>
    <t>EN_RETargDum_IRN</t>
  </si>
  <si>
    <t>EN_RETargDum_IRQ</t>
  </si>
  <si>
    <t>EN_RETargDum_JOR</t>
  </si>
  <si>
    <t>EN_RETargDum_KWT</t>
  </si>
  <si>
    <t>EN_RETargDum_LBN</t>
  </si>
  <si>
    <t>EN_RETargDum_OMN</t>
  </si>
  <si>
    <t>EN_RETargDum_PSE</t>
  </si>
  <si>
    <t>EN_RETargDum_QAT</t>
  </si>
  <si>
    <t>EN_RETargDum_SAU</t>
  </si>
  <si>
    <t>EN_RETargDum_SYR</t>
  </si>
  <si>
    <t>EN_RETargDum_YEM</t>
  </si>
  <si>
    <t>EN_RETargDum_CHL</t>
  </si>
  <si>
    <t>EN_RETargDum_MEX</t>
  </si>
  <si>
    <t>EN_RETargDum_AFG</t>
  </si>
  <si>
    <t>EN_RETargDum_BGD</t>
  </si>
  <si>
    <t>EN_RETargDum_BRN</t>
  </si>
  <si>
    <t>EN_RETargDum_BTN</t>
  </si>
  <si>
    <t>EN_RETargDum_COK</t>
  </si>
  <si>
    <t>EN_RETargDum_FJI</t>
  </si>
  <si>
    <t>EN_RETargDum_GUM</t>
  </si>
  <si>
    <t>EN_RETargDum_HKG</t>
  </si>
  <si>
    <t>EN_RETargDum_IDN</t>
  </si>
  <si>
    <t>EN_RETargDum_KHM</t>
  </si>
  <si>
    <t>EN_RETargDum_KIR</t>
  </si>
  <si>
    <t>EN_RETargDum_LAO</t>
  </si>
  <si>
    <t>EN_RETargDum_LKA</t>
  </si>
  <si>
    <t>EN_RETargDum_MDV</t>
  </si>
  <si>
    <t>EN_RETargDum_MMR</t>
  </si>
  <si>
    <t>EN_RETargDum_MNG</t>
  </si>
  <si>
    <t>EN_RETargDum_MYS</t>
  </si>
  <si>
    <t>EN_RETargDum_NIU</t>
  </si>
  <si>
    <t>EN_RETargDum_NPL</t>
  </si>
  <si>
    <t>EN_RETargDum_NRU</t>
  </si>
  <si>
    <t>EN_RETargDum_PAK</t>
  </si>
  <si>
    <t>EN_RETargDum_PHL</t>
  </si>
  <si>
    <t>EN_RETargDum_PLW</t>
  </si>
  <si>
    <t>EN_RETargDum_PNG</t>
  </si>
  <si>
    <t>EN_RETargDum_PYF</t>
  </si>
  <si>
    <t>EN_RETargDum_SGP</t>
  </si>
  <si>
    <t>EN_RETargDum_SLB</t>
  </si>
  <si>
    <t>EN_RETargDum_THA</t>
  </si>
  <si>
    <t>EN_RETargDum_TMP</t>
  </si>
  <si>
    <t>EN_RETargDum_TON</t>
  </si>
  <si>
    <t>EN_RETargDum_TUV</t>
  </si>
  <si>
    <t>EN_RETargDum_TWN</t>
  </si>
  <si>
    <t>EN_RETargDum_VNM</t>
  </si>
  <si>
    <t>EN_RETargDum_VUT</t>
  </si>
  <si>
    <t>EN_RETargDum_WSM</t>
  </si>
  <si>
    <t>EN_RETargDum_RUS</t>
  </si>
  <si>
    <t>EN_RETargDum_KOR</t>
  </si>
  <si>
    <t>EN_RETargDum_ALB</t>
  </si>
  <si>
    <t>EN_RETargDum_ARM</t>
  </si>
  <si>
    <t>EN_RETargDum_AZE</t>
  </si>
  <si>
    <t>EN_RETargDum_BGR</t>
  </si>
  <si>
    <t>EN_RETargDum_BIH</t>
  </si>
  <si>
    <t>EN_RETargDum_BLR</t>
  </si>
  <si>
    <t>EN_RETargDum_HRV</t>
  </si>
  <si>
    <t>EN_RETargDum_KAZ</t>
  </si>
  <si>
    <t>EN_RETargDum_LTU</t>
  </si>
  <si>
    <t>EN_RETargDum_LVA</t>
  </si>
  <si>
    <t>EN_RETargDum_MDA</t>
  </si>
  <si>
    <t>EN_RETargDum_MKD</t>
  </si>
  <si>
    <t>EN_RETargDum_MLT</t>
  </si>
  <si>
    <t>EN_RETargDum_MNE</t>
  </si>
  <si>
    <t>EN_RETargDum_ROM</t>
  </si>
  <si>
    <t>EN_RETargDum_SRB</t>
  </si>
  <si>
    <t>EN_RETargDum_TJK</t>
  </si>
  <si>
    <t>EN_RETargDum_UKR</t>
  </si>
  <si>
    <t>EN_RETargDum_UZB</t>
  </si>
  <si>
    <t>EBldRateStep_Sol_2</t>
  </si>
  <si>
    <t>EBldRateStep_Sol_3</t>
  </si>
  <si>
    <t>The build rate constraints will apply at the WEPS region levels irrespective of the regional aggregation in the model</t>
  </si>
  <si>
    <t>*UC_ATTR</t>
  </si>
  <si>
    <t>UC_DYNBND</t>
  </si>
  <si>
    <t>ELE,CHP</t>
  </si>
  <si>
    <t>*UC_HeatProddecay</t>
  </si>
  <si>
    <t>*ACT_COST</t>
  </si>
  <si>
    <t>MIN*10,-*bio*</t>
  </si>
  <si>
    <t>this is written by the MIG</t>
  </si>
  <si>
    <t>in fact, they should be based more on geograpical location than even WEPS reg definitions. I have put Colombia and Chile in CSA, for example.</t>
  </si>
  <si>
    <t>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</si>
</sst>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8">
    <xf numFmtId="0" fontId="0" fillId="0" borderId="0"/>
    <xf numFmtId="0" fontId="9" fillId="3" borderId="2" applyNumberFormat="0" applyAlignment="0" applyProtection="0"/>
    <xf numFmtId="0" fontId="10" fillId="4" borderId="0" applyNumberFormat="0" applyBorder="0" applyAlignment="0" applyProtection="0"/>
    <xf numFmtId="0" fontId="3" fillId="0" borderId="0"/>
    <xf numFmtId="0" fontId="1" fillId="0" borderId="0"/>
    <xf numFmtId="9" fontId="8" fillId="0" borderId="0" applyFont="0" applyFill="0" applyBorder="0" applyAlignment="0" applyProtection="0"/>
    <xf numFmtId="0" fontId="13" fillId="6" borderId="2" applyNumberFormat="0" applyAlignment="0" applyProtection="0"/>
    <xf numFmtId="0" fontId="14" fillId="0" borderId="3" applyNumberFormat="0" applyFill="0" applyAlignment="0" applyProtection="0"/>
  </cellStyleXfs>
  <cellXfs count="23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0" fillId="0" borderId="0" xfId="0" quotePrefix="1"/>
    <xf numFmtId="164" fontId="8" fillId="0" borderId="0" xfId="5" applyNumberFormat="1"/>
    <xf numFmtId="0" fontId="0" fillId="5" borderId="0" xfId="0" applyFill="1"/>
    <xf numFmtId="0" fontId="9" fillId="3" borderId="2" xfId="1"/>
    <xf numFmtId="0" fontId="12" fillId="0" borderId="0" xfId="0" applyFont="1"/>
    <xf numFmtId="2" fontId="0" fillId="0" borderId="0" xfId="0" applyNumberFormat="1"/>
    <xf numFmtId="1" fontId="0" fillId="0" borderId="0" xfId="0" applyNumberFormat="1"/>
    <xf numFmtId="0" fontId="10" fillId="4" borderId="0" xfId="2"/>
    <xf numFmtId="0" fontId="11" fillId="0" borderId="0" xfId="0" applyFont="1"/>
    <xf numFmtId="0" fontId="0" fillId="0" borderId="0" xfId="0" applyFont="1"/>
    <xf numFmtId="0" fontId="13" fillId="6" borderId="2" xfId="6"/>
    <xf numFmtId="0" fontId="14" fillId="0" borderId="3" xfId="7"/>
    <xf numFmtId="0" fontId="0" fillId="0" borderId="0" xfId="0"/>
    <xf numFmtId="0" fontId="11" fillId="0" borderId="0" xfId="0" applyFont="1"/>
    <xf numFmtId="0" fontId="0" fillId="0" borderId="0" xfId="0" applyFont="1"/>
    <xf numFmtId="0" fontId="0" fillId="0" borderId="0" xfId="0"/>
    <xf numFmtId="0" fontId="0" fillId="0" borderId="0" xfId="0"/>
    <xf numFmtId="0" fontId="15" fillId="4" borderId="0" xfId="2" applyFont="1"/>
  </cellXfs>
  <cellStyles count="8">
    <cellStyle name="Calculation" xfId="6" builtinId="22"/>
    <cellStyle name="Input" xfId="1" builtinId="20"/>
    <cellStyle name="Linked Cell" xfId="7" builtinId="24"/>
    <cellStyle name="Neutral" xfId="2" builtinId="28"/>
    <cellStyle name="Normal" xfId="0" builtinId="0"/>
    <cellStyle name="Normal 10" xfId="3" xr:uid="{00000000-0005-0000-0000-000003000000}"/>
    <cellStyle name="Normale_Scen_UC_IND-StrucConst" xfId="4" xr:uid="{00000000-0005-0000-0000-000004000000}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zoomScaleNormal="100" workbookViewId="0">
      <selection activeCell="A10" sqref="A10"/>
    </sheetView>
  </sheetViews>
  <sheetFormatPr defaultColWidth="9.1796875" defaultRowHeight="14.5" x14ac:dyDescent="0.35"/>
  <cols>
    <col min="1" max="256" width="11.453125" customWidth="1"/>
  </cols>
  <sheetData>
    <row r="1" spans="1:1" x14ac:dyDescent="0.35">
      <c r="A1" s="18" t="s">
        <v>2839</v>
      </c>
    </row>
    <row r="2" spans="1:1" x14ac:dyDescent="0.35">
      <c r="A2" s="17" t="s">
        <v>2843</v>
      </c>
    </row>
    <row r="4" spans="1:1" x14ac:dyDescent="0.35">
      <c r="A4" s="18" t="s">
        <v>2842</v>
      </c>
    </row>
    <row r="5" spans="1:1" x14ac:dyDescent="0.35">
      <c r="A5" s="19" t="s">
        <v>2840</v>
      </c>
    </row>
    <row r="6" spans="1:1" x14ac:dyDescent="0.35">
      <c r="A6" s="19" t="s">
        <v>2841</v>
      </c>
    </row>
    <row r="7" spans="1:1" x14ac:dyDescent="0.35">
      <c r="A7" s="19" t="s">
        <v>3085</v>
      </c>
    </row>
    <row r="8" spans="1:1" x14ac:dyDescent="0.35">
      <c r="A8" s="14"/>
    </row>
    <row r="9" spans="1:1" x14ac:dyDescent="0.35">
      <c r="A9" s="13" t="s">
        <v>3297</v>
      </c>
    </row>
    <row r="10" spans="1:1" x14ac:dyDescent="0.35">
      <c r="A10" s="9" t="s">
        <v>3305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"/>
  <sheetViews>
    <sheetView workbookViewId="0"/>
  </sheetViews>
  <sheetFormatPr defaultColWidth="8.81640625" defaultRowHeight="14.5" x14ac:dyDescent="0.35"/>
  <cols>
    <col min="1" max="1" width="8.81640625" customWidth="1"/>
    <col min="2" max="2" width="24.1796875" bestFit="1" customWidth="1"/>
    <col min="3" max="3" width="13.7265625" bestFit="1" customWidth="1"/>
    <col min="4" max="4" width="9.1796875" bestFit="1" customWidth="1"/>
    <col min="5" max="5" width="9.26953125" bestFit="1" customWidth="1"/>
    <col min="6" max="6" width="14" bestFit="1" customWidth="1"/>
    <col min="7" max="7" width="11.453125" bestFit="1" customWidth="1"/>
    <col min="8" max="9" width="12.453125" bestFit="1" customWidth="1"/>
    <col min="10" max="10" width="13.1796875" bestFit="1" customWidth="1"/>
    <col min="11" max="11" width="35" bestFit="1" customWidth="1"/>
    <col min="12" max="25" width="10.7265625" customWidth="1"/>
    <col min="26" max="26" width="8.7265625" bestFit="1" customWidth="1"/>
    <col min="27" max="28" width="8.453125" bestFit="1" customWidth="1"/>
    <col min="29" max="29" width="7.453125" bestFit="1" customWidth="1"/>
    <col min="30" max="30" width="8.453125" bestFit="1" customWidth="1"/>
    <col min="31" max="31" width="8.7265625" bestFit="1" customWidth="1"/>
    <col min="32" max="33" width="8.453125" bestFit="1" customWidth="1"/>
  </cols>
  <sheetData>
    <row r="1" spans="1:22" x14ac:dyDescent="0.35">
      <c r="A1" t="s">
        <v>15</v>
      </c>
    </row>
    <row r="2" spans="1:22" x14ac:dyDescent="0.35">
      <c r="B2" s="1" t="s">
        <v>14</v>
      </c>
      <c r="F2" s="2"/>
    </row>
    <row r="3" spans="1:22" ht="15" thickBot="1" x14ac:dyDescent="0.4">
      <c r="B3" s="3" t="s">
        <v>10</v>
      </c>
      <c r="C3" s="3" t="s">
        <v>8</v>
      </c>
      <c r="D3" s="3" t="s">
        <v>7</v>
      </c>
      <c r="E3" s="3" t="s">
        <v>3</v>
      </c>
      <c r="F3" s="4" t="s">
        <v>4</v>
      </c>
      <c r="G3" t="s">
        <v>11</v>
      </c>
    </row>
    <row r="4" spans="1:22" x14ac:dyDescent="0.35">
      <c r="D4" t="s">
        <v>16</v>
      </c>
      <c r="E4" s="5" t="str">
        <f>HistoricalBuilds!R3</f>
        <v>2017,2018</v>
      </c>
      <c r="F4" t="s">
        <v>3303</v>
      </c>
      <c r="G4" s="20">
        <v>99999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x14ac:dyDescent="0.35">
      <c r="D5" t="s">
        <v>16</v>
      </c>
      <c r="E5" s="5"/>
      <c r="F5" t="s">
        <v>3098</v>
      </c>
      <c r="G5" s="20">
        <v>99999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s="20" customFormat="1" x14ac:dyDescent="0.35">
      <c r="D6" s="20" t="s">
        <v>16</v>
      </c>
      <c r="E6" s="5"/>
      <c r="F6" t="s">
        <v>2838</v>
      </c>
      <c r="G6" s="20">
        <v>99999</v>
      </c>
    </row>
    <row r="7" spans="1:22" s="20" customFormat="1" x14ac:dyDescent="0.35">
      <c r="D7" s="20" t="s">
        <v>3302</v>
      </c>
      <c r="E7" s="5"/>
      <c r="F7" s="20" t="s">
        <v>2838</v>
      </c>
      <c r="G7" s="20" t="s">
        <v>3099</v>
      </c>
    </row>
    <row r="8" spans="1:22" x14ac:dyDescent="0.35">
      <c r="E8" s="5"/>
    </row>
    <row r="9" spans="1:22" x14ac:dyDescent="0.35">
      <c r="B9" t="s">
        <v>2837</v>
      </c>
      <c r="E9" s="5"/>
    </row>
    <row r="10" spans="1:22" x14ac:dyDescent="0.35">
      <c r="B10" t="s">
        <v>10</v>
      </c>
      <c r="C10" t="s">
        <v>8</v>
      </c>
      <c r="D10" t="s">
        <v>7</v>
      </c>
      <c r="E10" s="5" t="s">
        <v>3</v>
      </c>
      <c r="F10" t="s">
        <v>12</v>
      </c>
      <c r="G10" t="s">
        <v>13</v>
      </c>
      <c r="H10" s="21" t="s">
        <v>71</v>
      </c>
      <c r="I10" t="s">
        <v>5</v>
      </c>
      <c r="J10" t="s">
        <v>4</v>
      </c>
    </row>
    <row r="11" spans="1:22" s="20" customFormat="1" x14ac:dyDescent="0.35">
      <c r="C11" s="20" t="s">
        <v>3095</v>
      </c>
      <c r="D11" s="20" t="s">
        <v>3094</v>
      </c>
      <c r="E11" s="5"/>
      <c r="H11" s="20">
        <v>0.2</v>
      </c>
      <c r="I11" s="20" t="s">
        <v>3096</v>
      </c>
      <c r="J11" s="5" t="s">
        <v>3097</v>
      </c>
    </row>
    <row r="12" spans="1:22" s="20" customFormat="1" x14ac:dyDescent="0.35">
      <c r="C12" s="20" t="s">
        <v>3095</v>
      </c>
      <c r="D12" s="20" t="s">
        <v>3094</v>
      </c>
      <c r="E12" s="5">
        <v>0</v>
      </c>
      <c r="H12" s="20">
        <v>3</v>
      </c>
      <c r="I12" s="20" t="s">
        <v>3096</v>
      </c>
      <c r="J12" s="5" t="s">
        <v>3097</v>
      </c>
    </row>
    <row r="15" spans="1:22" x14ac:dyDescent="0.35">
      <c r="A15" s="21"/>
      <c r="B15" s="21" t="s">
        <v>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22" x14ac:dyDescent="0.3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x14ac:dyDescent="0.35">
      <c r="A17" s="21"/>
      <c r="B17" s="21"/>
      <c r="C17" s="21"/>
      <c r="D17" s="21"/>
      <c r="E17" s="21"/>
      <c r="F17" s="21" t="str">
        <f>"~UC_T: "&amp;HistoricalBuilds!$N$1-1</f>
        <v>~UC_T: 2018</v>
      </c>
      <c r="G17" s="21"/>
      <c r="H17" s="21"/>
      <c r="I17" s="21"/>
      <c r="J17" s="21"/>
      <c r="K17" s="21"/>
      <c r="L17" s="21"/>
      <c r="M17" s="21"/>
      <c r="N17" s="21"/>
    </row>
    <row r="18" spans="1:14" x14ac:dyDescent="0.35">
      <c r="A18" s="21" t="s">
        <v>3090</v>
      </c>
      <c r="B18" s="21" t="s">
        <v>1</v>
      </c>
      <c r="C18" s="21" t="s">
        <v>3298</v>
      </c>
      <c r="D18" s="21" t="s">
        <v>30</v>
      </c>
      <c r="E18" s="21" t="s">
        <v>21</v>
      </c>
      <c r="F18" s="21" t="s">
        <v>8</v>
      </c>
      <c r="G18" s="21" t="s">
        <v>6</v>
      </c>
      <c r="H18" s="21" t="s">
        <v>18</v>
      </c>
      <c r="I18" s="21" t="s">
        <v>26</v>
      </c>
      <c r="J18" s="21" t="s">
        <v>27</v>
      </c>
      <c r="K18" s="21" t="s">
        <v>9</v>
      </c>
      <c r="L18" s="21" t="s">
        <v>3091</v>
      </c>
      <c r="M18" s="21" t="s">
        <v>3092</v>
      </c>
      <c r="N18" s="21" t="s">
        <v>3299</v>
      </c>
    </row>
    <row r="19" spans="1:14" x14ac:dyDescent="0.35">
      <c r="A19" s="21"/>
      <c r="B19" s="21" t="s">
        <v>23</v>
      </c>
      <c r="C19" s="21" t="s">
        <v>19</v>
      </c>
      <c r="D19" s="21" t="s">
        <v>3300</v>
      </c>
      <c r="E19" s="21" t="s">
        <v>22</v>
      </c>
      <c r="F19" s="21" t="s">
        <v>3095</v>
      </c>
      <c r="G19" s="21">
        <v>0.92500000000000004</v>
      </c>
      <c r="H19" s="21">
        <v>-0.2</v>
      </c>
      <c r="I19" s="21"/>
      <c r="J19" s="21">
        <v>5</v>
      </c>
      <c r="K19" s="21" t="str">
        <f>RIGHT(B19,3)&amp;" capacity annual decay limit - "&amp;TEXT(1-G19,"0.0%")</f>
        <v>OIL capacity annual decay limit - 7.5%</v>
      </c>
      <c r="L19" s="21"/>
      <c r="M19" s="6"/>
      <c r="N19" s="21">
        <v>1</v>
      </c>
    </row>
    <row r="20" spans="1:14" x14ac:dyDescent="0.35">
      <c r="A20" s="21"/>
      <c r="B20" s="21" t="s">
        <v>24</v>
      </c>
      <c r="C20" s="21" t="s">
        <v>19</v>
      </c>
      <c r="D20" s="21" t="s">
        <v>3300</v>
      </c>
      <c r="E20" s="21" t="s">
        <v>25</v>
      </c>
      <c r="F20" s="21" t="s">
        <v>3095</v>
      </c>
      <c r="G20" s="21">
        <v>0.92500000000000004</v>
      </c>
      <c r="H20" s="21">
        <v>-0.6</v>
      </c>
      <c r="I20" s="21"/>
      <c r="J20" s="21">
        <v>5</v>
      </c>
      <c r="K20" s="21" t="str">
        <f>RIGHT(B20,3)&amp;" capacity annual decay limit - "&amp;TEXT(1-G20,"0.0%")</f>
        <v>Coa capacity annual decay limit - 7.5%</v>
      </c>
      <c r="L20" s="21"/>
      <c r="M20" s="6"/>
      <c r="N20" s="21">
        <v>1</v>
      </c>
    </row>
    <row r="21" spans="1:14" x14ac:dyDescent="0.35">
      <c r="A21" s="21"/>
      <c r="B21" s="21" t="s">
        <v>29</v>
      </c>
      <c r="C21" s="21" t="s">
        <v>19</v>
      </c>
      <c r="D21" s="21" t="s">
        <v>3300</v>
      </c>
      <c r="E21" s="21" t="s">
        <v>28</v>
      </c>
      <c r="F21" s="21" t="s">
        <v>3095</v>
      </c>
      <c r="G21" s="21">
        <v>0.98</v>
      </c>
      <c r="H21" s="21">
        <v>-0.1</v>
      </c>
      <c r="I21" s="21"/>
      <c r="J21" s="21">
        <v>5</v>
      </c>
      <c r="K21" s="21" t="str">
        <f>RIGHT(B21,3)&amp;" capacity annual decay limit - "&amp;TEXT(1-G21,"0.0%")</f>
        <v>Gas capacity annual decay limit - 2.0%</v>
      </c>
      <c r="L21" s="21"/>
      <c r="M21" s="6"/>
      <c r="N21" s="21">
        <v>1</v>
      </c>
    </row>
    <row r="22" spans="1:14" x14ac:dyDescent="0.35">
      <c r="A22" s="21" t="s">
        <v>3086</v>
      </c>
      <c r="B22" s="21" t="s">
        <v>3301</v>
      </c>
      <c r="C22" s="21" t="s">
        <v>3087</v>
      </c>
      <c r="D22" s="21" t="s">
        <v>3088</v>
      </c>
      <c r="E22" s="21"/>
      <c r="F22" s="21" t="s">
        <v>3093</v>
      </c>
      <c r="G22" s="21"/>
      <c r="H22" s="21"/>
      <c r="I22" s="21">
        <v>0</v>
      </c>
      <c r="J22" s="21">
        <v>5</v>
      </c>
      <c r="K22" s="21" t="s">
        <v>3089</v>
      </c>
      <c r="L22" s="21">
        <v>1</v>
      </c>
      <c r="M22" s="21">
        <v>1</v>
      </c>
      <c r="N22" s="21"/>
    </row>
    <row r="25" spans="1:14" x14ac:dyDescent="0.35">
      <c r="F25" t="s">
        <v>85</v>
      </c>
    </row>
    <row r="26" spans="1:14" x14ac:dyDescent="0.35">
      <c r="B26" t="s">
        <v>1</v>
      </c>
      <c r="C26" t="s">
        <v>17</v>
      </c>
      <c r="D26" t="s">
        <v>30</v>
      </c>
      <c r="E26" t="s">
        <v>21</v>
      </c>
      <c r="F26" t="s">
        <v>8</v>
      </c>
      <c r="G26" t="s">
        <v>53</v>
      </c>
      <c r="H26" t="s">
        <v>54</v>
      </c>
      <c r="I26" t="s">
        <v>26</v>
      </c>
      <c r="J26" t="s">
        <v>27</v>
      </c>
      <c r="K26" t="s">
        <v>9</v>
      </c>
    </row>
    <row r="27" spans="1:14" x14ac:dyDescent="0.35">
      <c r="B27" t="s">
        <v>51</v>
      </c>
      <c r="C27" t="s">
        <v>55</v>
      </c>
      <c r="D27" t="s">
        <v>60</v>
      </c>
      <c r="E27" t="s">
        <v>56</v>
      </c>
      <c r="F27" t="s">
        <v>20</v>
      </c>
      <c r="G27">
        <v>1</v>
      </c>
      <c r="H27">
        <v>1</v>
      </c>
      <c r="I27">
        <v>0</v>
      </c>
      <c r="J27">
        <v>5</v>
      </c>
      <c r="K27" t="s">
        <v>58</v>
      </c>
    </row>
    <row r="28" spans="1:14" x14ac:dyDescent="0.35">
      <c r="B28" t="s">
        <v>52</v>
      </c>
      <c r="C28" t="s">
        <v>55</v>
      </c>
      <c r="D28" t="s">
        <v>60</v>
      </c>
      <c r="E28" t="s">
        <v>57</v>
      </c>
      <c r="F28" t="s">
        <v>20</v>
      </c>
      <c r="G28">
        <v>1</v>
      </c>
      <c r="H28">
        <v>1</v>
      </c>
      <c r="I28">
        <v>0</v>
      </c>
      <c r="J28">
        <v>5</v>
      </c>
      <c r="K28" t="s">
        <v>59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39"/>
  <sheetViews>
    <sheetView tabSelected="1" workbookViewId="0">
      <selection activeCell="I36" sqref="I36"/>
    </sheetView>
  </sheetViews>
  <sheetFormatPr defaultColWidth="8.81640625" defaultRowHeight="14.5" x14ac:dyDescent="0.35"/>
  <cols>
    <col min="1" max="1" width="15.453125" bestFit="1" customWidth="1"/>
    <col min="2" max="4" width="8.81640625" customWidth="1"/>
    <col min="5" max="5" width="10.453125" bestFit="1" customWidth="1"/>
    <col min="6" max="6" width="16.453125" bestFit="1" customWidth="1"/>
    <col min="7" max="7" width="10.453125" bestFit="1" customWidth="1"/>
  </cols>
  <sheetData>
    <row r="2" spans="1:12" x14ac:dyDescent="0.35">
      <c r="A2" t="s">
        <v>49</v>
      </c>
      <c r="B2" t="s">
        <v>48</v>
      </c>
      <c r="E2" t="s">
        <v>7</v>
      </c>
      <c r="F2" t="s">
        <v>46</v>
      </c>
      <c r="G2" t="s">
        <v>11</v>
      </c>
      <c r="K2" s="8">
        <v>7.0000000000000007E-2</v>
      </c>
      <c r="L2" t="s">
        <v>47</v>
      </c>
    </row>
    <row r="3" spans="1:12" x14ac:dyDescent="0.35">
      <c r="A3" s="7" t="s">
        <v>31</v>
      </c>
      <c r="B3" s="7">
        <v>3</v>
      </c>
      <c r="E3" t="s">
        <v>45</v>
      </c>
      <c r="F3" t="str">
        <f>A3</f>
        <v>EN_COAPUL</v>
      </c>
      <c r="G3" t="str">
        <f>"*"&amp;(1+$K$2)^B3</f>
        <v>*1.225043</v>
      </c>
    </row>
    <row r="4" spans="1:12" x14ac:dyDescent="0.35">
      <c r="A4" s="7" t="s">
        <v>32</v>
      </c>
      <c r="B4" s="7">
        <v>4</v>
      </c>
      <c r="E4" t="s">
        <v>45</v>
      </c>
      <c r="F4" t="str">
        <f t="shared" ref="F4:F19" si="0">A4</f>
        <v>EN_COAIGCC</v>
      </c>
      <c r="G4" t="str">
        <f t="shared" ref="G4:G19" si="1">"*"&amp;(1+$K$2)^B4</f>
        <v>*1.31079601</v>
      </c>
      <c r="K4" s="9"/>
    </row>
    <row r="5" spans="1:12" x14ac:dyDescent="0.35">
      <c r="A5" s="7" t="s">
        <v>33</v>
      </c>
      <c r="B5" s="7">
        <v>4</v>
      </c>
      <c r="E5" t="s">
        <v>45</v>
      </c>
      <c r="F5" t="str">
        <f t="shared" si="0"/>
        <v>EN_ZCOAIGCC</v>
      </c>
      <c r="G5" t="str">
        <f t="shared" si="1"/>
        <v>*1.31079601</v>
      </c>
    </row>
    <row r="6" spans="1:12" x14ac:dyDescent="0.35">
      <c r="A6" s="7" t="s">
        <v>34</v>
      </c>
      <c r="B6" s="7">
        <v>3</v>
      </c>
      <c r="E6" t="s">
        <v>45</v>
      </c>
      <c r="F6" t="str">
        <f t="shared" si="0"/>
        <v>EN_ZGasCCAdv</v>
      </c>
      <c r="G6" t="str">
        <f t="shared" si="1"/>
        <v>*1.225043</v>
      </c>
    </row>
    <row r="7" spans="1:12" x14ac:dyDescent="0.35">
      <c r="A7" s="7" t="s">
        <v>35</v>
      </c>
      <c r="B7" s="7">
        <v>3</v>
      </c>
      <c r="E7" t="s">
        <v>45</v>
      </c>
      <c r="F7" t="str">
        <f t="shared" si="0"/>
        <v>EN_GasCCAdv</v>
      </c>
      <c r="G7" t="str">
        <f t="shared" si="1"/>
        <v>*1.225043</v>
      </c>
    </row>
    <row r="8" spans="1:12" x14ac:dyDescent="0.35">
      <c r="A8" s="7" t="s">
        <v>36</v>
      </c>
      <c r="B8" s="7">
        <v>3</v>
      </c>
      <c r="E8" t="s">
        <v>45</v>
      </c>
      <c r="F8" t="str">
        <f t="shared" si="0"/>
        <v>EN_GasCC</v>
      </c>
      <c r="G8" t="str">
        <f t="shared" si="1"/>
        <v>*1.225043</v>
      </c>
    </row>
    <row r="9" spans="1:12" x14ac:dyDescent="0.35">
      <c r="A9" s="7" t="s">
        <v>37</v>
      </c>
      <c r="B9" s="7">
        <v>2</v>
      </c>
      <c r="E9" t="s">
        <v>45</v>
      </c>
      <c r="F9" t="str">
        <f t="shared" si="0"/>
        <v>EN_GasCTAdv</v>
      </c>
      <c r="G9" t="str">
        <f t="shared" si="1"/>
        <v>*1.1449</v>
      </c>
    </row>
    <row r="10" spans="1:12" x14ac:dyDescent="0.35">
      <c r="A10" s="7" t="s">
        <v>38</v>
      </c>
      <c r="B10" s="7">
        <v>2</v>
      </c>
      <c r="E10" t="s">
        <v>45</v>
      </c>
      <c r="F10" t="str">
        <f t="shared" si="0"/>
        <v>EN_GasCT</v>
      </c>
      <c r="G10" t="str">
        <f t="shared" si="1"/>
        <v>*1.1449</v>
      </c>
    </row>
    <row r="11" spans="1:12" x14ac:dyDescent="0.35">
      <c r="A11" s="7" t="s">
        <v>3081</v>
      </c>
      <c r="B11" s="7">
        <v>4</v>
      </c>
      <c r="E11" t="s">
        <v>45</v>
      </c>
      <c r="F11" t="str">
        <f t="shared" si="0"/>
        <v>EN_Biomass*</v>
      </c>
      <c r="G11" t="str">
        <f t="shared" si="1"/>
        <v>*1.31079601</v>
      </c>
    </row>
    <row r="12" spans="1:12" x14ac:dyDescent="0.35">
      <c r="A12" s="7" t="s">
        <v>3082</v>
      </c>
      <c r="B12" s="7">
        <v>4</v>
      </c>
      <c r="E12" t="s">
        <v>45</v>
      </c>
      <c r="F12" t="str">
        <f t="shared" si="0"/>
        <v>EN_Zbiomass*</v>
      </c>
      <c r="G12" t="str">
        <f t="shared" si="1"/>
        <v>*1.31079601</v>
      </c>
    </row>
    <row r="13" spans="1:12" x14ac:dyDescent="0.35">
      <c r="A13" s="7" t="s">
        <v>39</v>
      </c>
      <c r="B13" s="7">
        <v>3</v>
      </c>
      <c r="E13" t="s">
        <v>45</v>
      </c>
      <c r="F13" t="str">
        <f t="shared" si="0"/>
        <v>EN_OilCCAdv</v>
      </c>
      <c r="G13" t="str">
        <f t="shared" si="1"/>
        <v>*1.225043</v>
      </c>
    </row>
    <row r="14" spans="1:12" x14ac:dyDescent="0.35">
      <c r="A14" s="7" t="s">
        <v>40</v>
      </c>
      <c r="B14" s="7">
        <v>6</v>
      </c>
      <c r="E14" t="s">
        <v>45</v>
      </c>
      <c r="F14" t="str">
        <f t="shared" si="0"/>
        <v>EN_NuclearAdv</v>
      </c>
      <c r="G14" t="str">
        <f t="shared" si="1"/>
        <v>*1.500730351849</v>
      </c>
    </row>
    <row r="15" spans="1:12" x14ac:dyDescent="0.35">
      <c r="A15" s="7" t="s">
        <v>3083</v>
      </c>
      <c r="B15" s="7">
        <v>6</v>
      </c>
      <c r="E15" t="s">
        <v>45</v>
      </c>
      <c r="F15" t="str">
        <f t="shared" si="0"/>
        <v>EN_GeoThermal*</v>
      </c>
      <c r="G15" t="str">
        <f t="shared" si="1"/>
        <v>*1.500730351849</v>
      </c>
    </row>
    <row r="16" spans="1:12" x14ac:dyDescent="0.35">
      <c r="A16" s="7" t="s">
        <v>41</v>
      </c>
      <c r="B16" s="7">
        <v>4</v>
      </c>
      <c r="E16" t="s">
        <v>45</v>
      </c>
      <c r="F16" t="str">
        <f t="shared" si="0"/>
        <v>EN_Hydro*</v>
      </c>
      <c r="G16" t="str">
        <f t="shared" si="1"/>
        <v>*1.31079601</v>
      </c>
    </row>
    <row r="17" spans="1:10" x14ac:dyDescent="0.35">
      <c r="A17" s="7" t="s">
        <v>42</v>
      </c>
      <c r="B17" s="7">
        <v>2</v>
      </c>
      <c r="E17" t="s">
        <v>45</v>
      </c>
      <c r="F17" t="str">
        <f t="shared" si="0"/>
        <v>E_SPV*</v>
      </c>
      <c r="G17" t="str">
        <f t="shared" si="1"/>
        <v>*1.1449</v>
      </c>
    </row>
    <row r="18" spans="1:10" x14ac:dyDescent="0.35">
      <c r="A18" s="7" t="s">
        <v>43</v>
      </c>
      <c r="B18">
        <v>4</v>
      </c>
      <c r="E18" t="s">
        <v>89</v>
      </c>
      <c r="F18" t="str">
        <f t="shared" si="0"/>
        <v>E[_]WOF*</v>
      </c>
      <c r="G18" t="str">
        <f t="shared" si="1"/>
        <v>*1.31079601</v>
      </c>
    </row>
    <row r="19" spans="1:10" x14ac:dyDescent="0.35">
      <c r="A19" s="7" t="s">
        <v>44</v>
      </c>
      <c r="B19">
        <v>3</v>
      </c>
      <c r="E19" t="s">
        <v>45</v>
      </c>
      <c r="F19" t="str">
        <f t="shared" si="0"/>
        <v>E[_]WON*</v>
      </c>
      <c r="G19" t="str">
        <f t="shared" si="1"/>
        <v>*1.225043</v>
      </c>
    </row>
    <row r="22" spans="1:10" x14ac:dyDescent="0.35">
      <c r="E22" t="s">
        <v>90</v>
      </c>
    </row>
    <row r="23" spans="1:10" x14ac:dyDescent="0.35">
      <c r="E23" t="s">
        <v>7</v>
      </c>
      <c r="F23" t="s">
        <v>46</v>
      </c>
      <c r="G23">
        <v>2017</v>
      </c>
      <c r="H23">
        <v>2018</v>
      </c>
      <c r="I23">
        <v>2019</v>
      </c>
      <c r="J23">
        <v>0</v>
      </c>
    </row>
    <row r="24" spans="1:10" x14ac:dyDescent="0.35">
      <c r="E24" t="s">
        <v>48</v>
      </c>
      <c r="F24" t="str">
        <f t="shared" ref="F24:F34" si="2">A3</f>
        <v>EN_COAPUL</v>
      </c>
      <c r="I24">
        <f t="shared" ref="I24:I34" si="3">B3</f>
        <v>3</v>
      </c>
      <c r="J24">
        <v>3</v>
      </c>
    </row>
    <row r="25" spans="1:10" x14ac:dyDescent="0.35">
      <c r="E25" t="s">
        <v>48</v>
      </c>
      <c r="F25" t="str">
        <f t="shared" si="2"/>
        <v>EN_COAIGCC</v>
      </c>
      <c r="I25">
        <f t="shared" si="3"/>
        <v>4</v>
      </c>
      <c r="J25">
        <v>3</v>
      </c>
    </row>
    <row r="26" spans="1:10" x14ac:dyDescent="0.35">
      <c r="E26" t="s">
        <v>48</v>
      </c>
      <c r="F26" t="str">
        <f t="shared" si="2"/>
        <v>EN_ZCOAIGCC</v>
      </c>
      <c r="I26">
        <f t="shared" si="3"/>
        <v>4</v>
      </c>
      <c r="J26">
        <v>3</v>
      </c>
    </row>
    <row r="27" spans="1:10" x14ac:dyDescent="0.35">
      <c r="E27" t="s">
        <v>48</v>
      </c>
      <c r="F27" t="str">
        <f t="shared" si="2"/>
        <v>EN_ZGasCCAdv</v>
      </c>
      <c r="I27">
        <f t="shared" si="3"/>
        <v>3</v>
      </c>
      <c r="J27">
        <v>3</v>
      </c>
    </row>
    <row r="28" spans="1:10" x14ac:dyDescent="0.35">
      <c r="E28" t="s">
        <v>48</v>
      </c>
      <c r="F28" t="str">
        <f t="shared" si="2"/>
        <v>EN_GasCCAdv</v>
      </c>
      <c r="I28">
        <f t="shared" si="3"/>
        <v>3</v>
      </c>
      <c r="J28">
        <v>3</v>
      </c>
    </row>
    <row r="29" spans="1:10" x14ac:dyDescent="0.35">
      <c r="E29" t="s">
        <v>48</v>
      </c>
      <c r="F29" t="str">
        <f t="shared" si="2"/>
        <v>EN_GasCC</v>
      </c>
      <c r="I29">
        <f t="shared" si="3"/>
        <v>3</v>
      </c>
      <c r="J29">
        <v>3</v>
      </c>
    </row>
    <row r="30" spans="1:10" x14ac:dyDescent="0.35">
      <c r="E30" t="s">
        <v>48</v>
      </c>
      <c r="F30" t="str">
        <f t="shared" si="2"/>
        <v>EN_GasCTAdv</v>
      </c>
      <c r="I30">
        <f t="shared" si="3"/>
        <v>2</v>
      </c>
      <c r="J30">
        <v>3</v>
      </c>
    </row>
    <row r="31" spans="1:10" x14ac:dyDescent="0.35">
      <c r="E31" t="s">
        <v>48</v>
      </c>
      <c r="F31" t="str">
        <f t="shared" si="2"/>
        <v>EN_GasCT</v>
      </c>
      <c r="I31">
        <f t="shared" si="3"/>
        <v>2</v>
      </c>
      <c r="J31">
        <v>3</v>
      </c>
    </row>
    <row r="32" spans="1:10" x14ac:dyDescent="0.35">
      <c r="E32" t="s">
        <v>48</v>
      </c>
      <c r="F32" t="str">
        <f t="shared" si="2"/>
        <v>EN_Biomass*</v>
      </c>
      <c r="G32">
        <v>0</v>
      </c>
      <c r="H32">
        <v>0</v>
      </c>
      <c r="I32">
        <f t="shared" si="3"/>
        <v>4</v>
      </c>
      <c r="J32">
        <v>5</v>
      </c>
    </row>
    <row r="33" spans="5:10" x14ac:dyDescent="0.35">
      <c r="E33" t="s">
        <v>48</v>
      </c>
      <c r="F33" t="str">
        <f t="shared" si="2"/>
        <v>EN_Zbiomass*</v>
      </c>
      <c r="I33">
        <f t="shared" si="3"/>
        <v>4</v>
      </c>
      <c r="J33">
        <v>3</v>
      </c>
    </row>
    <row r="34" spans="5:10" x14ac:dyDescent="0.35">
      <c r="E34" t="s">
        <v>3084</v>
      </c>
      <c r="F34" t="str">
        <f t="shared" si="2"/>
        <v>EN_OilCCAdv</v>
      </c>
      <c r="I34">
        <f t="shared" si="3"/>
        <v>3</v>
      </c>
      <c r="J34">
        <v>3</v>
      </c>
    </row>
    <row r="35" spans="5:10" x14ac:dyDescent="0.35">
      <c r="E35" t="s">
        <v>48</v>
      </c>
      <c r="F35" t="str">
        <f t="shared" ref="F35:F38" si="4">A14</f>
        <v>EN_NuclearAdv</v>
      </c>
      <c r="I35" s="21">
        <f t="shared" ref="I35" si="5">B14</f>
        <v>6</v>
      </c>
      <c r="J35" s="21">
        <v>3</v>
      </c>
    </row>
    <row r="36" spans="5:10" x14ac:dyDescent="0.35">
      <c r="E36" t="s">
        <v>48</v>
      </c>
      <c r="F36" t="str">
        <f t="shared" si="4"/>
        <v>EN_GeoThermal*</v>
      </c>
      <c r="I36">
        <f t="shared" ref="I36:I38" si="6">B15</f>
        <v>6</v>
      </c>
      <c r="J36">
        <v>3</v>
      </c>
    </row>
    <row r="37" spans="5:10" x14ac:dyDescent="0.35">
      <c r="E37" t="s">
        <v>48</v>
      </c>
      <c r="F37" t="str">
        <f t="shared" si="4"/>
        <v>EN_Hydro*</v>
      </c>
      <c r="I37">
        <f t="shared" si="6"/>
        <v>4</v>
      </c>
      <c r="J37">
        <v>3</v>
      </c>
    </row>
    <row r="38" spans="5:10" x14ac:dyDescent="0.35">
      <c r="E38" t="s">
        <v>48</v>
      </c>
      <c r="F38" t="str">
        <f t="shared" si="4"/>
        <v>E_SPV*</v>
      </c>
      <c r="I38">
        <f t="shared" si="6"/>
        <v>2</v>
      </c>
      <c r="J38">
        <v>3</v>
      </c>
    </row>
    <row r="39" spans="5:10" x14ac:dyDescent="0.35">
      <c r="E39" t="s">
        <v>48</v>
      </c>
      <c r="F39" t="str">
        <f>A19</f>
        <v>E[_]WON*</v>
      </c>
      <c r="I39">
        <f>B19</f>
        <v>3</v>
      </c>
      <c r="J39">
        <v>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672D-608B-401E-B700-1621EA502C13}">
  <dimension ref="A1:N27"/>
  <sheetViews>
    <sheetView workbookViewId="0">
      <selection activeCell="M1" sqref="M1"/>
    </sheetView>
  </sheetViews>
  <sheetFormatPr defaultColWidth="8.81640625" defaultRowHeight="14.5" x14ac:dyDescent="0.35"/>
  <cols>
    <col min="1" max="1" width="4.453125" style="21" bestFit="1" customWidth="1"/>
    <col min="2" max="2" width="8.81640625" style="21" customWidth="1"/>
    <col min="3" max="3" width="27.1796875" style="21" bestFit="1" customWidth="1"/>
    <col min="4" max="4" width="48.54296875" style="21" bestFit="1" customWidth="1"/>
    <col min="5" max="5" width="7.81640625" style="21" bestFit="1" customWidth="1"/>
    <col min="6" max="6" width="14.7265625" style="21" bestFit="1" customWidth="1"/>
    <col min="7" max="7" width="8.453125" style="21" bestFit="1" customWidth="1"/>
    <col min="8" max="8" width="24" style="21" bestFit="1" customWidth="1"/>
    <col min="9" max="9" width="5" style="21" bestFit="1" customWidth="1"/>
    <col min="10" max="10" width="9.453125" style="21" bestFit="1" customWidth="1"/>
    <col min="11" max="11" width="14" style="21" bestFit="1" customWidth="1"/>
    <col min="12" max="12" width="8.81640625" style="21" bestFit="1" customWidth="1"/>
    <col min="13" max="13" width="10.81640625" style="21" bestFit="1" customWidth="1"/>
    <col min="14" max="14" width="36.26953125" style="21" bestFit="1" customWidth="1"/>
    <col min="15" max="15" width="4.453125" style="21" bestFit="1" customWidth="1"/>
    <col min="16" max="16384" width="8.81640625" style="21"/>
  </cols>
  <sheetData>
    <row r="1" spans="1:14" x14ac:dyDescent="0.35">
      <c r="A1" s="15" t="str">
        <f ca="1">MID(CELL( "filename",A1),FIND("]",CELL( "filename",A1))+1,10)</f>
        <v>AFR</v>
      </c>
      <c r="L1" s="8">
        <v>1</v>
      </c>
      <c r="M1" s="9" t="s">
        <v>3306</v>
      </c>
    </row>
    <row r="2" spans="1:14" x14ac:dyDescent="0.35">
      <c r="C2" s="21" t="s">
        <v>2849</v>
      </c>
    </row>
    <row r="3" spans="1:14" x14ac:dyDescent="0.35">
      <c r="C3" s="21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s="21" t="s">
        <v>1</v>
      </c>
      <c r="D6" s="21" t="s">
        <v>46</v>
      </c>
      <c r="E6" s="21" t="s">
        <v>2</v>
      </c>
      <c r="F6" s="21" t="s">
        <v>17</v>
      </c>
      <c r="G6" s="21" t="s">
        <v>8</v>
      </c>
      <c r="H6" s="21" t="s">
        <v>7</v>
      </c>
      <c r="I6" s="21" t="s">
        <v>61</v>
      </c>
      <c r="J6" s="21" t="s">
        <v>65</v>
      </c>
      <c r="K6" s="21" t="s">
        <v>84</v>
      </c>
      <c r="L6" s="21" t="s">
        <v>3079</v>
      </c>
      <c r="M6" s="21" t="s">
        <v>3080</v>
      </c>
      <c r="N6" s="21" t="s">
        <v>9</v>
      </c>
    </row>
    <row r="7" spans="1:14" x14ac:dyDescent="0.35">
      <c r="C7" s="21" t="str">
        <f ca="1">"UELC-Bld_ELEWIN_"&amp;$A$1</f>
        <v>UELC-Bld_ELEWIN_AFR</v>
      </c>
      <c r="D7" s="21" t="str">
        <f ca="1">VLOOKUP("1"&amp;$A$1,'WEPSReg-Countrymap'!$D$2:$E$232,2,FALSE)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7" s="21" t="s">
        <v>56</v>
      </c>
      <c r="F7" s="21" t="s">
        <v>66</v>
      </c>
      <c r="J7" s="21">
        <v>1.1499999999999999</v>
      </c>
      <c r="K7" s="21">
        <v>1</v>
      </c>
      <c r="L7" s="21">
        <v>0</v>
      </c>
      <c r="M7" s="21">
        <v>5</v>
      </c>
      <c r="N7" s="21" t="str">
        <f ca="1">"Annual build rate (GW/Year) of ELEWIN_"&amp;$A$1</f>
        <v>Annual build rate (GW/Year) of ELEWIN_AFR</v>
      </c>
    </row>
    <row r="8" spans="1:14" x14ac:dyDescent="0.35">
      <c r="D8" s="21" t="str">
        <f ca="1">"EBldRateStep_Win_2_"&amp;$A$1&amp;",EBldRateStep_Win_3_"&amp;$A$1</f>
        <v>EBldRateStep_Win_2_AFR,EBldRateStep_Win_3_AFR</v>
      </c>
      <c r="F8" s="21" t="s">
        <v>62</v>
      </c>
      <c r="H8" s="21" t="s">
        <v>53</v>
      </c>
      <c r="I8" s="21">
        <v>1</v>
      </c>
    </row>
    <row r="9" spans="1:14" x14ac:dyDescent="0.35">
      <c r="C9" s="21" t="str">
        <f ca="1">"UELC-Bld_ELEWIN-step2_"&amp;$A$1</f>
        <v>UELC-Bld_ELEWIN-step2_AFR</v>
      </c>
      <c r="D9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9" s="21" t="s">
        <v>56</v>
      </c>
      <c r="H9" s="21" t="s">
        <v>65</v>
      </c>
      <c r="I9" s="21">
        <v>0.85</v>
      </c>
      <c r="N9" s="21" t="str">
        <f ca="1">"step 2 relaxation of build rate - ELEWIN_"&amp;$A$1</f>
        <v>step 2 relaxation of build rate - ELEWIN_AFR</v>
      </c>
    </row>
    <row r="10" spans="1:14" x14ac:dyDescent="0.35">
      <c r="D10" s="21" t="str">
        <f ca="1">"EBldRateStep_Win_2_"&amp;$A$1</f>
        <v>EBldRateStep_Win_2_AFR</v>
      </c>
      <c r="F10" s="21" t="s">
        <v>62</v>
      </c>
      <c r="H10" s="21" t="s">
        <v>53</v>
      </c>
      <c r="I10" s="21">
        <v>-1</v>
      </c>
      <c r="L10" s="21">
        <v>0</v>
      </c>
      <c r="M10" s="21">
        <v>5</v>
      </c>
    </row>
    <row r="11" spans="1:14" x14ac:dyDescent="0.35">
      <c r="C11" s="21" t="str">
        <f ca="1">"UELC-Bld_ELEWIN-step3_"&amp;$A$1</f>
        <v>UELC-Bld_ELEWIN-step3_AFR</v>
      </c>
      <c r="D11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11" s="21" t="s">
        <v>56</v>
      </c>
      <c r="H11" s="21" t="s">
        <v>65</v>
      </c>
      <c r="I11" s="21">
        <v>1</v>
      </c>
      <c r="N11" s="21" t="str">
        <f ca="1">"step 3 relaxation of build rate - ELEWIN_"&amp;$A$1</f>
        <v>step 3 relaxation of build rate - ELEWIN_AFR</v>
      </c>
    </row>
    <row r="12" spans="1:14" x14ac:dyDescent="0.35">
      <c r="D12" s="21" t="str">
        <f ca="1">"EBldRateStep_Win_3_"&amp;$A$1</f>
        <v>EBldRateStep_Win_3_AFR</v>
      </c>
      <c r="F12" s="21" t="s">
        <v>62</v>
      </c>
      <c r="H12" s="21" t="s">
        <v>53</v>
      </c>
      <c r="I12" s="21">
        <v>-1</v>
      </c>
      <c r="L12" s="21">
        <v>0</v>
      </c>
      <c r="M12" s="21">
        <v>5</v>
      </c>
    </row>
    <row r="13" spans="1:14" x14ac:dyDescent="0.35">
      <c r="C13" s="21" t="str">
        <f ca="1">"UELC-Bld_ELESOL_"&amp;$A$1</f>
        <v>UELC-Bld_ELESOL_AFR</v>
      </c>
      <c r="D13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13" s="21" t="s">
        <v>57</v>
      </c>
      <c r="F13" s="21" t="s">
        <v>66</v>
      </c>
      <c r="J13" s="21">
        <v>1.1499999999999999</v>
      </c>
      <c r="K13" s="21">
        <v>1</v>
      </c>
      <c r="L13" s="21">
        <v>0</v>
      </c>
      <c r="M13" s="21">
        <v>5</v>
      </c>
      <c r="N13" s="21" t="str">
        <f ca="1">"Annual build rate (GW/Year) of ELESOL_"&amp;$A$1</f>
        <v>Annual build rate (GW/Year) of ELESOL_AFR</v>
      </c>
    </row>
    <row r="14" spans="1:14" x14ac:dyDescent="0.35">
      <c r="D14" s="21" t="str">
        <f ca="1">"EBldRateStep_Sol_2_"&amp;$A$1&amp;",EBldRateStep_Sol_3_"&amp;$A$1</f>
        <v>EBldRateStep_Sol_2_AFR,EBldRateStep_Sol_3_AFR</v>
      </c>
      <c r="F14" s="21" t="s">
        <v>62</v>
      </c>
      <c r="H14" s="21" t="s">
        <v>53</v>
      </c>
      <c r="I14" s="21">
        <v>1</v>
      </c>
    </row>
    <row r="15" spans="1:14" x14ac:dyDescent="0.35">
      <c r="C15" s="21" t="str">
        <f ca="1">"UELC-Bld_ELESOL-step2_"&amp;$A$1</f>
        <v>UELC-Bld_ELESOL-step2_AFR</v>
      </c>
      <c r="D15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15" s="21" t="s">
        <v>57</v>
      </c>
      <c r="H15" s="21" t="s">
        <v>65</v>
      </c>
      <c r="I15" s="21">
        <f>I9</f>
        <v>0.85</v>
      </c>
      <c r="N15" s="21" t="str">
        <f ca="1">"step 2 relaxation of build rate - ELESOL_"&amp;$A$1</f>
        <v>step 2 relaxation of build rate - ELESOL_AFR</v>
      </c>
    </row>
    <row r="16" spans="1:14" x14ac:dyDescent="0.35">
      <c r="D16" s="21" t="str">
        <f ca="1">"EBldRateStep_Sol_2_"&amp;$A$1</f>
        <v>EBldRateStep_Sol_2_AFR</v>
      </c>
      <c r="F16" s="21" t="s">
        <v>62</v>
      </c>
      <c r="H16" s="21" t="s">
        <v>53</v>
      </c>
      <c r="I16" s="21">
        <v>-1</v>
      </c>
      <c r="L16" s="21">
        <v>0</v>
      </c>
      <c r="M16" s="21">
        <v>5</v>
      </c>
    </row>
    <row r="17" spans="1:14" x14ac:dyDescent="0.35">
      <c r="C17" s="21" t="str">
        <f ca="1">"UELC-Bld_ELESOL-step3_"&amp;$A$1</f>
        <v>UELC-Bld_ELESOL-step3_AFR</v>
      </c>
      <c r="D17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17" s="21" t="s">
        <v>57</v>
      </c>
      <c r="H17" s="21" t="s">
        <v>65</v>
      </c>
      <c r="I17" s="21">
        <f>I11</f>
        <v>1</v>
      </c>
      <c r="N17" s="21" t="str">
        <f ca="1">"step 3 relaxation of build rate - ELESOL_"&amp;$A$1</f>
        <v>step 3 relaxation of build rate - ELESOL_AFR</v>
      </c>
    </row>
    <row r="18" spans="1:14" x14ac:dyDescent="0.35">
      <c r="D18" s="21" t="str">
        <f ca="1">"EBldRateStep_Sol_3_"&amp;$A$1</f>
        <v>EBldRateStep_Sol_3_AFR</v>
      </c>
      <c r="F18" s="21" t="s">
        <v>62</v>
      </c>
      <c r="H18" s="21" t="s">
        <v>53</v>
      </c>
      <c r="I18" s="21">
        <v>-1</v>
      </c>
      <c r="L18" s="21">
        <v>0</v>
      </c>
      <c r="M18" s="21">
        <v>5</v>
      </c>
    </row>
    <row r="19" spans="1:14" x14ac:dyDescent="0.35">
      <c r="C19" s="21" t="str">
        <f ca="1">"UELC-Bld_ELEHYD_"&amp;$A$1</f>
        <v>UELC-Bld_ELEHYD_AFR</v>
      </c>
      <c r="D19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19" s="21" t="s">
        <v>86</v>
      </c>
      <c r="F19" s="21" t="s">
        <v>66</v>
      </c>
      <c r="J19" s="21">
        <v>1.1499999999999999</v>
      </c>
      <c r="K19" s="21">
        <v>1</v>
      </c>
      <c r="L19" s="21">
        <v>0</v>
      </c>
      <c r="M19" s="21">
        <v>5</v>
      </c>
      <c r="N19" s="21" t="str">
        <f ca="1">"Annual build rate (GW/Year) of ELEHYD_"&amp;$A$1</f>
        <v>Annual build rate (GW/Year) of ELEHYD_AFR</v>
      </c>
    </row>
    <row r="20" spans="1:14" x14ac:dyDescent="0.35">
      <c r="D20" s="21" t="str">
        <f ca="1">"EBldRateStep_Hyd_2_"&amp;$A$1&amp;",EBldRateStep_Hyd_3_"&amp;$A$1</f>
        <v>EBldRateStep_Hyd_2_AFR,EBldRateStep_Hyd_3_AFR</v>
      </c>
      <c r="F20" s="21" t="s">
        <v>62</v>
      </c>
      <c r="H20" s="21" t="s">
        <v>53</v>
      </c>
      <c r="I20" s="21">
        <v>1</v>
      </c>
    </row>
    <row r="21" spans="1:14" x14ac:dyDescent="0.35">
      <c r="C21" s="21" t="str">
        <f ca="1">"UELC-Bld_ELEHYD-step2_"&amp;$A$1</f>
        <v>UELC-Bld_ELEHYD-step2_AFR</v>
      </c>
      <c r="D21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21" s="21" t="s">
        <v>86</v>
      </c>
      <c r="H21" s="21" t="s">
        <v>65</v>
      </c>
      <c r="I21" s="21">
        <f>I15</f>
        <v>0.85</v>
      </c>
      <c r="N21" s="21" t="str">
        <f ca="1">"step 2 relaxation of build rate - ELEHYD_"&amp;$A$1</f>
        <v>step 2 relaxation of build rate - ELEHYD_AFR</v>
      </c>
    </row>
    <row r="22" spans="1:14" x14ac:dyDescent="0.35">
      <c r="D22" s="21" t="str">
        <f ca="1">"EBldRateStep_Hyd_2_"&amp;$A$1</f>
        <v>EBldRateStep_Hyd_2_AFR</v>
      </c>
      <c r="F22" s="21" t="s">
        <v>62</v>
      </c>
      <c r="H22" s="21" t="s">
        <v>53</v>
      </c>
      <c r="I22" s="21">
        <v>-1</v>
      </c>
      <c r="L22" s="21">
        <v>0</v>
      </c>
      <c r="M22" s="21">
        <v>5</v>
      </c>
    </row>
    <row r="23" spans="1:14" x14ac:dyDescent="0.35">
      <c r="C23" s="21" t="str">
        <f ca="1">"UELC-Bld_ELEHYD-step3_"&amp;$A$1</f>
        <v>UELC-Bld_ELEHYD-step3_AFR</v>
      </c>
      <c r="D23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23" s="21" t="s">
        <v>86</v>
      </c>
      <c r="H23" s="21" t="s">
        <v>65</v>
      </c>
      <c r="I23" s="21">
        <f>I17</f>
        <v>1</v>
      </c>
      <c r="N23" s="21" t="str">
        <f ca="1">"step 3 relaxation of build rate - ELEHYD_"&amp;$A$1</f>
        <v>step 3 relaxation of build rate - ELEHYD_AFR</v>
      </c>
    </row>
    <row r="24" spans="1:14" x14ac:dyDescent="0.35">
      <c r="D24" s="21" t="str">
        <f ca="1">"EBldRateStep_Hyd_3_"&amp;$A$1</f>
        <v>EBldRateStep_Hyd_3_AFR</v>
      </c>
      <c r="F24" s="21" t="s">
        <v>62</v>
      </c>
      <c r="H24" s="21" t="s">
        <v>53</v>
      </c>
      <c r="I24" s="21">
        <v>-1</v>
      </c>
      <c r="L24" s="21">
        <v>0</v>
      </c>
      <c r="M24" s="21">
        <v>5</v>
      </c>
    </row>
    <row r="25" spans="1:14" x14ac:dyDescent="0.35">
      <c r="A25" s="21" t="s">
        <v>2848</v>
      </c>
      <c r="C25" s="21" t="str">
        <f ca="1">"UELC-Inv"&amp;RIGHT(HistoricalBuilds!$N$1,2)&amp;"_"&amp;A25&amp;"_"&amp;$A$1</f>
        <v>UELC-Inv19_wn_AFR</v>
      </c>
      <c r="D25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25" s="21" t="s">
        <v>56</v>
      </c>
      <c r="G25" s="21" t="s">
        <v>20</v>
      </c>
      <c r="J25" s="21">
        <v>1</v>
      </c>
      <c r="L25" s="10">
        <f ca="1">SUMIFS(HistoricalBuilds!$C$2:$C$300,HistoricalBuilds!$A$2:$A$300,AFR!A$1,HistoricalBuilds!$B$2:$B$300,AFR!$A25)*$L$1</f>
        <v>0.92083100000000018</v>
      </c>
      <c r="M25" s="21">
        <v>4</v>
      </c>
    </row>
    <row r="26" spans="1:14" x14ac:dyDescent="0.35">
      <c r="A26" s="21" t="s">
        <v>2847</v>
      </c>
      <c r="C26" s="21" t="str">
        <f ca="1">"UELC-Inv"&amp;RIGHT(HistoricalBuilds!$N$1,2)&amp;"_"&amp;A26&amp;"_"&amp;$A$1</f>
        <v>UELC-Inv19_sl_AFR</v>
      </c>
      <c r="D26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26" s="21" t="s">
        <v>57</v>
      </c>
      <c r="G26" s="21" t="s">
        <v>20</v>
      </c>
      <c r="J26" s="21">
        <v>1</v>
      </c>
      <c r="L26" s="10">
        <f ca="1">SUMIFS(HistoricalBuilds!$C$2:$C$300,HistoricalBuilds!$A$2:$A$300,AFR!A$1,HistoricalBuilds!$B$2:$B$300,AFR!$A26)*$L$1</f>
        <v>1.8726440000000002</v>
      </c>
      <c r="M26" s="21">
        <v>4</v>
      </c>
    </row>
    <row r="27" spans="1:14" x14ac:dyDescent="0.35">
      <c r="A27" s="21" t="s">
        <v>2846</v>
      </c>
      <c r="C27" s="21" t="str">
        <f ca="1">"UELC-Inv"&amp;RIGHT(HistoricalBuilds!$N$1,2)&amp;"_"&amp;A27&amp;"_"&amp;$A$1</f>
        <v>UELC-Inv19_he_AFR</v>
      </c>
      <c r="D27" s="21" t="str">
        <f ca="1">$D$7</f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  <c r="E27" s="21" t="s">
        <v>86</v>
      </c>
      <c r="G27" s="21" t="s">
        <v>20</v>
      </c>
      <c r="J27" s="21">
        <v>1</v>
      </c>
      <c r="L27" s="10">
        <f ca="1">SUMIFS(HistoricalBuilds!$C$2:$C$300,HistoricalBuilds!$A$2:$A$300,AFR!A$1,HistoricalBuilds!$B$2:$B$300,AFR!$A27)*$L$1</f>
        <v>4.125</v>
      </c>
      <c r="M27" s="21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588D-5F3B-4C2E-B6E7-BE5D9DD0AEB2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style="21" bestFit="1" customWidth="1"/>
    <col min="2" max="2" width="8.81640625" style="21" customWidth="1"/>
    <col min="3" max="3" width="27.1796875" style="21" bestFit="1" customWidth="1"/>
    <col min="4" max="4" width="48.54296875" style="21" bestFit="1" customWidth="1"/>
    <col min="5" max="5" width="7.81640625" style="21" bestFit="1" customWidth="1"/>
    <col min="6" max="6" width="14.7265625" style="21" bestFit="1" customWidth="1"/>
    <col min="7" max="7" width="8.453125" style="21" bestFit="1" customWidth="1"/>
    <col min="8" max="8" width="24" style="21" bestFit="1" customWidth="1"/>
    <col min="9" max="9" width="5" style="21" bestFit="1" customWidth="1"/>
    <col min="10" max="10" width="9.453125" style="21" bestFit="1" customWidth="1"/>
    <col min="11" max="11" width="14" style="21" bestFit="1" customWidth="1"/>
    <col min="12" max="12" width="8.81640625" style="21" bestFit="1" customWidth="1"/>
    <col min="13" max="13" width="10.81640625" style="21" bestFit="1" customWidth="1"/>
    <col min="14" max="14" width="36.26953125" style="21" bestFit="1" customWidth="1"/>
    <col min="15" max="15" width="4.453125" style="21" bestFit="1" customWidth="1"/>
    <col min="16" max="16384" width="8.81640625" style="21"/>
  </cols>
  <sheetData>
    <row r="1" spans="1:14" ht="15" thickBot="1" x14ac:dyDescent="0.4">
      <c r="A1" s="15" t="str">
        <f ca="1">MID(CELL( "filename",A1),FIND("]",CELL( "filename",A1))+1,10)</f>
        <v>CSA</v>
      </c>
      <c r="L1" s="16">
        <f>AFR!$L$1</f>
        <v>1</v>
      </c>
    </row>
    <row r="2" spans="1:14" ht="15" thickTop="1" x14ac:dyDescent="0.35">
      <c r="C2" s="21" t="s">
        <v>2849</v>
      </c>
    </row>
    <row r="3" spans="1:14" x14ac:dyDescent="0.35">
      <c r="C3" s="21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s="21" t="s">
        <v>1</v>
      </c>
      <c r="D6" s="21" t="s">
        <v>46</v>
      </c>
      <c r="E6" s="21" t="s">
        <v>2</v>
      </c>
      <c r="F6" s="21" t="s">
        <v>17</v>
      </c>
      <c r="G6" s="21" t="s">
        <v>8</v>
      </c>
      <c r="H6" s="21" t="s">
        <v>7</v>
      </c>
      <c r="I6" s="21" t="s">
        <v>61</v>
      </c>
      <c r="J6" s="21" t="s">
        <v>65</v>
      </c>
      <c r="K6" s="21" t="s">
        <v>84</v>
      </c>
      <c r="L6" s="21" t="s">
        <v>3079</v>
      </c>
      <c r="M6" s="21" t="s">
        <v>3080</v>
      </c>
      <c r="N6" s="21" t="s">
        <v>9</v>
      </c>
    </row>
    <row r="7" spans="1:14" x14ac:dyDescent="0.35">
      <c r="C7" s="21" t="str">
        <f ca="1">"UELC-Bld_ELEWIN_"&amp;$A$1</f>
        <v>UELC-Bld_ELEWIN_CSA</v>
      </c>
      <c r="D7" s="21" t="str">
        <f ca="1">VLOOKUP("1"&amp;$A$1,'WEPSReg-Countrymap'!$D$2:$E$232,2,FALSE)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7" s="21" t="s">
        <v>56</v>
      </c>
      <c r="F7" s="21" t="s">
        <v>66</v>
      </c>
      <c r="J7" s="21">
        <v>1.1499999999999999</v>
      </c>
      <c r="K7" s="21">
        <v>1</v>
      </c>
      <c r="L7" s="21">
        <v>0</v>
      </c>
      <c r="M7" s="21">
        <v>5</v>
      </c>
      <c r="N7" s="21" t="str">
        <f ca="1">"Annual build rate (GW/Year) of ELEWIN_"&amp;$A$1</f>
        <v>Annual build rate (GW/Year) of ELEWIN_CSA</v>
      </c>
    </row>
    <row r="8" spans="1:14" x14ac:dyDescent="0.35">
      <c r="D8" s="21" t="str">
        <f ca="1">"EBldRateStep_Win_2_"&amp;$A$1&amp;",EBldRateStep_Win_3_"&amp;$A$1</f>
        <v>EBldRateStep_Win_2_CSA,EBldRateStep_Win_3_CSA</v>
      </c>
      <c r="F8" s="21" t="s">
        <v>62</v>
      </c>
      <c r="H8" s="21" t="s">
        <v>53</v>
      </c>
      <c r="I8" s="21">
        <v>1</v>
      </c>
    </row>
    <row r="9" spans="1:14" x14ac:dyDescent="0.35">
      <c r="C9" s="21" t="str">
        <f ca="1">"UELC-Bld_ELEWIN-step2_"&amp;$A$1</f>
        <v>UELC-Bld_ELEWIN-step2_CSA</v>
      </c>
      <c r="D9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9" s="21" t="s">
        <v>56</v>
      </c>
      <c r="H9" s="21" t="s">
        <v>65</v>
      </c>
      <c r="I9" s="21">
        <v>0.85</v>
      </c>
      <c r="N9" s="21" t="str">
        <f ca="1">"step 2 relaxation of build rate - ELEWIN_"&amp;$A$1</f>
        <v>step 2 relaxation of build rate - ELEWIN_CSA</v>
      </c>
    </row>
    <row r="10" spans="1:14" x14ac:dyDescent="0.35">
      <c r="D10" s="21" t="str">
        <f ca="1">"EBldRateStep_Win_2_"&amp;$A$1</f>
        <v>EBldRateStep_Win_2_CSA</v>
      </c>
      <c r="F10" s="21" t="s">
        <v>62</v>
      </c>
      <c r="H10" s="21" t="s">
        <v>53</v>
      </c>
      <c r="I10" s="21">
        <v>-1</v>
      </c>
      <c r="L10" s="21">
        <v>0</v>
      </c>
      <c r="M10" s="21">
        <v>5</v>
      </c>
    </row>
    <row r="11" spans="1:14" x14ac:dyDescent="0.35">
      <c r="C11" s="21" t="str">
        <f ca="1">"UELC-Bld_ELEWIN-step3_"&amp;$A$1</f>
        <v>UELC-Bld_ELEWIN-step3_CSA</v>
      </c>
      <c r="D11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11" s="21" t="s">
        <v>56</v>
      </c>
      <c r="H11" s="21" t="s">
        <v>65</v>
      </c>
      <c r="I11" s="21">
        <v>1</v>
      </c>
      <c r="N11" s="21" t="str">
        <f ca="1">"step 3 relaxation of build rate - ELEWIN_"&amp;$A$1</f>
        <v>step 3 relaxation of build rate - ELEWIN_CSA</v>
      </c>
    </row>
    <row r="12" spans="1:14" x14ac:dyDescent="0.35">
      <c r="D12" s="21" t="str">
        <f ca="1">"EBldRateStep_Win_3_"&amp;$A$1</f>
        <v>EBldRateStep_Win_3_CSA</v>
      </c>
      <c r="F12" s="21" t="s">
        <v>62</v>
      </c>
      <c r="H12" s="21" t="s">
        <v>53</v>
      </c>
      <c r="I12" s="21">
        <v>-1</v>
      </c>
      <c r="L12" s="21">
        <v>0</v>
      </c>
      <c r="M12" s="21">
        <v>5</v>
      </c>
    </row>
    <row r="13" spans="1:14" x14ac:dyDescent="0.35">
      <c r="C13" s="21" t="str">
        <f ca="1">"UELC-Bld_ELESOL_"&amp;$A$1</f>
        <v>UELC-Bld_ELESOL_CSA</v>
      </c>
      <c r="D13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13" s="21" t="s">
        <v>57</v>
      </c>
      <c r="F13" s="21" t="s">
        <v>66</v>
      </c>
      <c r="J13" s="21">
        <v>1.1499999999999999</v>
      </c>
      <c r="K13" s="21">
        <v>1</v>
      </c>
      <c r="L13" s="21">
        <v>0</v>
      </c>
      <c r="M13" s="21">
        <v>5</v>
      </c>
      <c r="N13" s="21" t="str">
        <f ca="1">"Annual build rate (GW/Year) of ELESOL_"&amp;$A$1</f>
        <v>Annual build rate (GW/Year) of ELESOL_CSA</v>
      </c>
    </row>
    <row r="14" spans="1:14" x14ac:dyDescent="0.35">
      <c r="D14" s="21" t="str">
        <f ca="1">"EBldRateStep_Sol_2_"&amp;$A$1&amp;",EBldRateStep_Sol_3_"&amp;$A$1</f>
        <v>EBldRateStep_Sol_2_CSA,EBldRateStep_Sol_3_CSA</v>
      </c>
      <c r="F14" s="21" t="s">
        <v>62</v>
      </c>
      <c r="H14" s="21" t="s">
        <v>53</v>
      </c>
      <c r="I14" s="21">
        <v>1</v>
      </c>
    </row>
    <row r="15" spans="1:14" x14ac:dyDescent="0.35">
      <c r="C15" s="21" t="str">
        <f ca="1">"UELC-Bld_ELESOL-step2_"&amp;$A$1</f>
        <v>UELC-Bld_ELESOL-step2_CSA</v>
      </c>
      <c r="D15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15" s="21" t="s">
        <v>57</v>
      </c>
      <c r="H15" s="21" t="s">
        <v>65</v>
      </c>
      <c r="I15" s="21">
        <f>I9</f>
        <v>0.85</v>
      </c>
      <c r="N15" s="21" t="str">
        <f ca="1">"step 2 relaxation of build rate - ELESOL_"&amp;$A$1</f>
        <v>step 2 relaxation of build rate - ELESOL_CSA</v>
      </c>
    </row>
    <row r="16" spans="1:14" x14ac:dyDescent="0.35">
      <c r="D16" s="21" t="str">
        <f ca="1">"EBldRateStep_Sol_2_"&amp;$A$1</f>
        <v>EBldRateStep_Sol_2_CSA</v>
      </c>
      <c r="F16" s="21" t="s">
        <v>62</v>
      </c>
      <c r="H16" s="21" t="s">
        <v>53</v>
      </c>
      <c r="I16" s="21">
        <v>-1</v>
      </c>
      <c r="L16" s="21">
        <v>0</v>
      </c>
      <c r="M16" s="21">
        <v>5</v>
      </c>
    </row>
    <row r="17" spans="1:14" x14ac:dyDescent="0.35">
      <c r="C17" s="21" t="str">
        <f ca="1">"UELC-Bld_ELESOL-step3_"&amp;$A$1</f>
        <v>UELC-Bld_ELESOL-step3_CSA</v>
      </c>
      <c r="D17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17" s="21" t="s">
        <v>57</v>
      </c>
      <c r="H17" s="21" t="s">
        <v>65</v>
      </c>
      <c r="I17" s="21">
        <f>I11</f>
        <v>1</v>
      </c>
      <c r="N17" s="21" t="str">
        <f ca="1">"step 3 relaxation of build rate - ELESOL_"&amp;$A$1</f>
        <v>step 3 relaxation of build rate - ELESOL_CSA</v>
      </c>
    </row>
    <row r="18" spans="1:14" x14ac:dyDescent="0.35">
      <c r="D18" s="21" t="str">
        <f ca="1">"EBldRateStep_Sol_3_"&amp;$A$1</f>
        <v>EBldRateStep_Sol_3_CSA</v>
      </c>
      <c r="F18" s="21" t="s">
        <v>62</v>
      </c>
      <c r="H18" s="21" t="s">
        <v>53</v>
      </c>
      <c r="I18" s="21">
        <v>-1</v>
      </c>
      <c r="L18" s="21">
        <v>0</v>
      </c>
      <c r="M18" s="21">
        <v>5</v>
      </c>
    </row>
    <row r="19" spans="1:14" x14ac:dyDescent="0.35">
      <c r="C19" s="21" t="str">
        <f ca="1">"UELC-Bld_ELEHYD_"&amp;$A$1</f>
        <v>UELC-Bld_ELEHYD_CSA</v>
      </c>
      <c r="D19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19" s="21" t="s">
        <v>86</v>
      </c>
      <c r="F19" s="21" t="s">
        <v>66</v>
      </c>
      <c r="J19" s="21">
        <v>1.1499999999999999</v>
      </c>
      <c r="K19" s="21">
        <v>1</v>
      </c>
      <c r="L19" s="21">
        <v>0</v>
      </c>
      <c r="M19" s="21">
        <v>5</v>
      </c>
      <c r="N19" s="21" t="str">
        <f ca="1">"Annual build rate (GW/Year) of ELEHYD_"&amp;$A$1</f>
        <v>Annual build rate (GW/Year) of ELEHYD_CSA</v>
      </c>
    </row>
    <row r="20" spans="1:14" x14ac:dyDescent="0.35">
      <c r="D20" s="21" t="str">
        <f ca="1">"EBldRateStep_Hyd_2_"&amp;$A$1&amp;",EBldRateStep_Hyd_3_"&amp;$A$1</f>
        <v>EBldRateStep_Hyd_2_CSA,EBldRateStep_Hyd_3_CSA</v>
      </c>
      <c r="F20" s="21" t="s">
        <v>62</v>
      </c>
      <c r="H20" s="21" t="s">
        <v>53</v>
      </c>
      <c r="I20" s="21">
        <v>1</v>
      </c>
    </row>
    <row r="21" spans="1:14" x14ac:dyDescent="0.35">
      <c r="C21" s="21" t="str">
        <f ca="1">"UELC-Bld_ELEHYD-step2_"&amp;$A$1</f>
        <v>UELC-Bld_ELEHYD-step2_CSA</v>
      </c>
      <c r="D21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21" s="21" t="s">
        <v>86</v>
      </c>
      <c r="H21" s="21" t="s">
        <v>65</v>
      </c>
      <c r="I21" s="21">
        <f>I15</f>
        <v>0.85</v>
      </c>
      <c r="N21" s="21" t="str">
        <f ca="1">"step 2 relaxation of build rate - ELEHYD_"&amp;$A$1</f>
        <v>step 2 relaxation of build rate - ELEHYD_CSA</v>
      </c>
    </row>
    <row r="22" spans="1:14" x14ac:dyDescent="0.35">
      <c r="D22" s="21" t="str">
        <f ca="1">"EBldRateStep_Hyd_2_"&amp;$A$1</f>
        <v>EBldRateStep_Hyd_2_CSA</v>
      </c>
      <c r="F22" s="21" t="s">
        <v>62</v>
      </c>
      <c r="H22" s="21" t="s">
        <v>53</v>
      </c>
      <c r="I22" s="21">
        <v>-1</v>
      </c>
      <c r="L22" s="21">
        <v>0</v>
      </c>
      <c r="M22" s="21">
        <v>5</v>
      </c>
    </row>
    <row r="23" spans="1:14" x14ac:dyDescent="0.35">
      <c r="C23" s="21" t="str">
        <f ca="1">"UELC-Bld_ELEHYD-step3_"&amp;$A$1</f>
        <v>UELC-Bld_ELEHYD-step3_CSA</v>
      </c>
      <c r="D23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23" s="21" t="s">
        <v>86</v>
      </c>
      <c r="H23" s="21" t="s">
        <v>65</v>
      </c>
      <c r="I23" s="21">
        <f>I17</f>
        <v>1</v>
      </c>
      <c r="N23" s="21" t="str">
        <f ca="1">"step 3 relaxation of build rate - ELEHYD_"&amp;$A$1</f>
        <v>step 3 relaxation of build rate - ELEHYD_CSA</v>
      </c>
    </row>
    <row r="24" spans="1:14" x14ac:dyDescent="0.35">
      <c r="D24" s="21" t="str">
        <f ca="1">"EBldRateStep_Hyd_3_"&amp;$A$1</f>
        <v>EBldRateStep_Hyd_3_CSA</v>
      </c>
      <c r="F24" s="21" t="s">
        <v>62</v>
      </c>
      <c r="H24" s="21" t="s">
        <v>53</v>
      </c>
      <c r="I24" s="21">
        <v>-1</v>
      </c>
      <c r="L24" s="21">
        <v>0</v>
      </c>
      <c r="M24" s="21">
        <v>5</v>
      </c>
    </row>
    <row r="25" spans="1:14" x14ac:dyDescent="0.35">
      <c r="A25" s="21" t="s">
        <v>2848</v>
      </c>
      <c r="C25" s="21" t="str">
        <f ca="1">"UELC-Inv"&amp;RIGHT(HistoricalBuilds!$N$1,2)&amp;"_"&amp;A25&amp;"_"&amp;$A$1</f>
        <v>UELC-Inv19_wn_CSA</v>
      </c>
      <c r="D25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25" s="21" t="s">
        <v>56</v>
      </c>
      <c r="G25" s="21" t="s">
        <v>20</v>
      </c>
      <c r="J25" s="21">
        <v>1</v>
      </c>
      <c r="L25" s="10">
        <f ca="1">SUMIFS(HistoricalBuilds!$C$2:$C$300,HistoricalBuilds!$A$2:$A$300,CSA!A$1,HistoricalBuilds!$B$2:$B$300,CSA!$A25)*$L$1</f>
        <v>0.8456999999999999</v>
      </c>
      <c r="M25" s="21">
        <v>4</v>
      </c>
    </row>
    <row r="26" spans="1:14" x14ac:dyDescent="0.35">
      <c r="A26" s="21" t="s">
        <v>2847</v>
      </c>
      <c r="C26" s="21" t="str">
        <f ca="1">"UELC-Inv"&amp;RIGHT(HistoricalBuilds!$N$1,2)&amp;"_"&amp;A26&amp;"_"&amp;$A$1</f>
        <v>UELC-Inv19_sl_CSA</v>
      </c>
      <c r="D26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26" s="21" t="s">
        <v>57</v>
      </c>
      <c r="G26" s="21" t="s">
        <v>20</v>
      </c>
      <c r="J26" s="21">
        <v>1</v>
      </c>
      <c r="L26" s="10">
        <f ca="1">SUMIFS(HistoricalBuilds!$C$2:$C$300,HistoricalBuilds!$A$2:$A$300,CSA!A$1,HistoricalBuilds!$B$2:$B$300,CSA!$A26)*$L$1</f>
        <v>0.72401900000000019</v>
      </c>
      <c r="M26" s="21">
        <v>4</v>
      </c>
    </row>
    <row r="27" spans="1:14" x14ac:dyDescent="0.35">
      <c r="A27" s="21" t="s">
        <v>2846</v>
      </c>
      <c r="C27" s="21" t="str">
        <f ca="1">"UELC-Inv"&amp;RIGHT(HistoricalBuilds!$N$1,2)&amp;"_"&amp;A27&amp;"_"&amp;$A$1</f>
        <v>UELC-Inv19_he_CSA</v>
      </c>
      <c r="D27" s="21" t="str">
        <f ca="1">$D$7</f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  <c r="E27" s="21" t="s">
        <v>86</v>
      </c>
      <c r="G27" s="21" t="s">
        <v>20</v>
      </c>
      <c r="J27" s="21">
        <v>1</v>
      </c>
      <c r="L27" s="10">
        <f ca="1">SUMIFS(HistoricalBuilds!$C$2:$C$300,HistoricalBuilds!$A$2:$A$300,CSA!A$1,HistoricalBuilds!$B$2:$B$300,CSA!$A27)*$L$1</f>
        <v>4.4030000000000022</v>
      </c>
      <c r="M27" s="21">
        <v>4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9B51-D5AD-4592-A460-9AC087A28802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style="21" bestFit="1" customWidth="1"/>
    <col min="2" max="2" width="8.81640625" style="21" customWidth="1"/>
    <col min="3" max="3" width="27.1796875" style="21" bestFit="1" customWidth="1"/>
    <col min="4" max="4" width="48.54296875" style="21" bestFit="1" customWidth="1"/>
    <col min="5" max="5" width="7.81640625" style="21" bestFit="1" customWidth="1"/>
    <col min="6" max="6" width="14.7265625" style="21" bestFit="1" customWidth="1"/>
    <col min="7" max="7" width="8.453125" style="21" bestFit="1" customWidth="1"/>
    <col min="8" max="8" width="24" style="21" bestFit="1" customWidth="1"/>
    <col min="9" max="9" width="5" style="21" bestFit="1" customWidth="1"/>
    <col min="10" max="10" width="9.453125" style="21" bestFit="1" customWidth="1"/>
    <col min="11" max="11" width="14" style="21" bestFit="1" customWidth="1"/>
    <col min="12" max="12" width="8.81640625" style="21" bestFit="1" customWidth="1"/>
    <col min="13" max="13" width="10.81640625" style="21" bestFit="1" customWidth="1"/>
    <col min="14" max="14" width="36.26953125" style="21" bestFit="1" customWidth="1"/>
    <col min="15" max="15" width="4.453125" style="21" bestFit="1" customWidth="1"/>
    <col min="16" max="16384" width="8.81640625" style="21"/>
  </cols>
  <sheetData>
    <row r="1" spans="1:14" ht="15" thickBot="1" x14ac:dyDescent="0.4">
      <c r="A1" s="15" t="str">
        <f ca="1">MID(CELL( "filename",A1),FIND("]",CELL( "filename",A1))+1,10)</f>
        <v>EUR</v>
      </c>
      <c r="L1" s="16">
        <f>AFR!$L$1</f>
        <v>1</v>
      </c>
    </row>
    <row r="2" spans="1:14" ht="15" thickTop="1" x14ac:dyDescent="0.35">
      <c r="C2" s="21" t="s">
        <v>2849</v>
      </c>
    </row>
    <row r="3" spans="1:14" x14ac:dyDescent="0.35">
      <c r="C3" s="21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s="21" t="s">
        <v>1</v>
      </c>
      <c r="D6" s="21" t="s">
        <v>46</v>
      </c>
      <c r="E6" s="21" t="s">
        <v>2</v>
      </c>
      <c r="F6" s="21" t="s">
        <v>17</v>
      </c>
      <c r="G6" s="21" t="s">
        <v>8</v>
      </c>
      <c r="H6" s="21" t="s">
        <v>7</v>
      </c>
      <c r="I6" s="21" t="s">
        <v>61</v>
      </c>
      <c r="J6" s="21" t="s">
        <v>65</v>
      </c>
      <c r="K6" s="21" t="s">
        <v>84</v>
      </c>
      <c r="L6" s="21" t="s">
        <v>3079</v>
      </c>
      <c r="M6" s="21" t="s">
        <v>3080</v>
      </c>
      <c r="N6" s="21" t="s">
        <v>9</v>
      </c>
    </row>
    <row r="7" spans="1:14" x14ac:dyDescent="0.35">
      <c r="C7" s="21" t="str">
        <f ca="1">"UELC-Bld_ELEWIN_"&amp;$A$1</f>
        <v>UELC-Bld_ELEWIN_EUR</v>
      </c>
      <c r="D7" s="21" t="str">
        <f ca="1">VLOOKUP("1"&amp;$A$1,'WEPSReg-Countrymap'!$D$2:$E$232,2,FALSE)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7" s="21" t="s">
        <v>56</v>
      </c>
      <c r="F7" s="21" t="s">
        <v>66</v>
      </c>
      <c r="J7" s="21">
        <v>1.1499999999999999</v>
      </c>
      <c r="K7" s="21">
        <v>1</v>
      </c>
      <c r="L7" s="21">
        <v>0</v>
      </c>
      <c r="M7" s="21">
        <v>5</v>
      </c>
      <c r="N7" s="21" t="str">
        <f ca="1">"Annual build rate (GW/Year) of ELEWIN_"&amp;$A$1</f>
        <v>Annual build rate (GW/Year) of ELEWIN_EUR</v>
      </c>
    </row>
    <row r="8" spans="1:14" x14ac:dyDescent="0.35">
      <c r="D8" s="21" t="str">
        <f ca="1">"EBldRateStep_Win_2_"&amp;$A$1&amp;",EBldRateStep_Win_3_"&amp;$A$1</f>
        <v>EBldRateStep_Win_2_EUR,EBldRateStep_Win_3_EUR</v>
      </c>
      <c r="F8" s="21" t="s">
        <v>62</v>
      </c>
      <c r="H8" s="21" t="s">
        <v>53</v>
      </c>
      <c r="I8" s="21">
        <v>1</v>
      </c>
    </row>
    <row r="9" spans="1:14" x14ac:dyDescent="0.35">
      <c r="C9" s="21" t="str">
        <f ca="1">"UELC-Bld_ELEWIN-step2_"&amp;$A$1</f>
        <v>UELC-Bld_ELEWIN-step2_EUR</v>
      </c>
      <c r="D9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9" s="21" t="s">
        <v>56</v>
      </c>
      <c r="H9" s="21" t="s">
        <v>65</v>
      </c>
      <c r="I9" s="21">
        <v>0.85</v>
      </c>
      <c r="N9" s="21" t="str">
        <f ca="1">"step 2 relaxation of build rate - ELEWIN_"&amp;$A$1</f>
        <v>step 2 relaxation of build rate - ELEWIN_EUR</v>
      </c>
    </row>
    <row r="10" spans="1:14" x14ac:dyDescent="0.35">
      <c r="D10" s="21" t="str">
        <f ca="1">"EBldRateStep_Win_2_"&amp;$A$1</f>
        <v>EBldRateStep_Win_2_EUR</v>
      </c>
      <c r="F10" s="21" t="s">
        <v>62</v>
      </c>
      <c r="H10" s="21" t="s">
        <v>53</v>
      </c>
      <c r="I10" s="21">
        <v>-1</v>
      </c>
      <c r="L10" s="21">
        <v>0</v>
      </c>
      <c r="M10" s="21">
        <v>5</v>
      </c>
    </row>
    <row r="11" spans="1:14" x14ac:dyDescent="0.35">
      <c r="C11" s="21" t="str">
        <f ca="1">"UELC-Bld_ELEWIN-step3_"&amp;$A$1</f>
        <v>UELC-Bld_ELEWIN-step3_EUR</v>
      </c>
      <c r="D11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11" s="21" t="s">
        <v>56</v>
      </c>
      <c r="H11" s="21" t="s">
        <v>65</v>
      </c>
      <c r="I11" s="21">
        <v>1</v>
      </c>
      <c r="N11" s="21" t="str">
        <f ca="1">"step 3 relaxation of build rate - ELEWIN_"&amp;$A$1</f>
        <v>step 3 relaxation of build rate - ELEWIN_EUR</v>
      </c>
    </row>
    <row r="12" spans="1:14" x14ac:dyDescent="0.35">
      <c r="D12" s="21" t="str">
        <f ca="1">"EBldRateStep_Win_3_"&amp;$A$1</f>
        <v>EBldRateStep_Win_3_EUR</v>
      </c>
      <c r="F12" s="21" t="s">
        <v>62</v>
      </c>
      <c r="H12" s="21" t="s">
        <v>53</v>
      </c>
      <c r="I12" s="21">
        <v>-1</v>
      </c>
      <c r="L12" s="21">
        <v>0</v>
      </c>
      <c r="M12" s="21">
        <v>5</v>
      </c>
    </row>
    <row r="13" spans="1:14" x14ac:dyDescent="0.35">
      <c r="C13" s="21" t="str">
        <f ca="1">"UELC-Bld_ELESOL_"&amp;$A$1</f>
        <v>UELC-Bld_ELESOL_EUR</v>
      </c>
      <c r="D13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13" s="21" t="s">
        <v>57</v>
      </c>
      <c r="F13" s="21" t="s">
        <v>66</v>
      </c>
      <c r="J13" s="21">
        <v>1.1499999999999999</v>
      </c>
      <c r="K13" s="21">
        <v>1</v>
      </c>
      <c r="L13" s="21">
        <v>0</v>
      </c>
      <c r="M13" s="21">
        <v>5</v>
      </c>
      <c r="N13" s="21" t="str">
        <f ca="1">"Annual build rate (GW/Year) of ELESOL_"&amp;$A$1</f>
        <v>Annual build rate (GW/Year) of ELESOL_EUR</v>
      </c>
    </row>
    <row r="14" spans="1:14" x14ac:dyDescent="0.35">
      <c r="D14" s="21" t="str">
        <f ca="1">"EBldRateStep_Sol_2_"&amp;$A$1&amp;",EBldRateStep_Sol_3_"&amp;$A$1</f>
        <v>EBldRateStep_Sol_2_EUR,EBldRateStep_Sol_3_EUR</v>
      </c>
      <c r="F14" s="21" t="s">
        <v>62</v>
      </c>
      <c r="H14" s="21" t="s">
        <v>53</v>
      </c>
      <c r="I14" s="21">
        <v>1</v>
      </c>
    </row>
    <row r="15" spans="1:14" x14ac:dyDescent="0.35">
      <c r="C15" s="21" t="str">
        <f ca="1">"UELC-Bld_ELESOL-step2_"&amp;$A$1</f>
        <v>UELC-Bld_ELESOL-step2_EUR</v>
      </c>
      <c r="D15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15" s="21" t="s">
        <v>57</v>
      </c>
      <c r="H15" s="21" t="s">
        <v>65</v>
      </c>
      <c r="I15" s="21">
        <f>I9</f>
        <v>0.85</v>
      </c>
      <c r="N15" s="21" t="str">
        <f ca="1">"step 2 relaxation of build rate - ELESOL_"&amp;$A$1</f>
        <v>step 2 relaxation of build rate - ELESOL_EUR</v>
      </c>
    </row>
    <row r="16" spans="1:14" x14ac:dyDescent="0.35">
      <c r="D16" s="21" t="str">
        <f ca="1">"EBldRateStep_Sol_2_"&amp;$A$1</f>
        <v>EBldRateStep_Sol_2_EUR</v>
      </c>
      <c r="F16" s="21" t="s">
        <v>62</v>
      </c>
      <c r="H16" s="21" t="s">
        <v>53</v>
      </c>
      <c r="I16" s="21">
        <v>-1</v>
      </c>
      <c r="L16" s="21">
        <v>0</v>
      </c>
      <c r="M16" s="21">
        <v>5</v>
      </c>
    </row>
    <row r="17" spans="1:14" x14ac:dyDescent="0.35">
      <c r="C17" s="21" t="str">
        <f ca="1">"UELC-Bld_ELESOL-step3_"&amp;$A$1</f>
        <v>UELC-Bld_ELESOL-step3_EUR</v>
      </c>
      <c r="D17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17" s="21" t="s">
        <v>57</v>
      </c>
      <c r="H17" s="21" t="s">
        <v>65</v>
      </c>
      <c r="I17" s="21">
        <f>I11</f>
        <v>1</v>
      </c>
      <c r="N17" s="21" t="str">
        <f ca="1">"step 3 relaxation of build rate - ELESOL_"&amp;$A$1</f>
        <v>step 3 relaxation of build rate - ELESOL_EUR</v>
      </c>
    </row>
    <row r="18" spans="1:14" x14ac:dyDescent="0.35">
      <c r="D18" s="21" t="str">
        <f ca="1">"EBldRateStep_Sol_3_"&amp;$A$1</f>
        <v>EBldRateStep_Sol_3_EUR</v>
      </c>
      <c r="F18" s="21" t="s">
        <v>62</v>
      </c>
      <c r="H18" s="21" t="s">
        <v>53</v>
      </c>
      <c r="I18" s="21">
        <v>-1</v>
      </c>
      <c r="L18" s="21">
        <v>0</v>
      </c>
      <c r="M18" s="21">
        <v>5</v>
      </c>
    </row>
    <row r="19" spans="1:14" x14ac:dyDescent="0.35">
      <c r="C19" s="21" t="str">
        <f ca="1">"UELC-Bld_ELEHYD_"&amp;$A$1</f>
        <v>UELC-Bld_ELEHYD_EUR</v>
      </c>
      <c r="D19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19" s="21" t="s">
        <v>86</v>
      </c>
      <c r="F19" s="21" t="s">
        <v>66</v>
      </c>
      <c r="J19" s="21">
        <v>1.1499999999999999</v>
      </c>
      <c r="K19" s="21">
        <v>1</v>
      </c>
      <c r="L19" s="21">
        <v>0</v>
      </c>
      <c r="M19" s="21">
        <v>5</v>
      </c>
      <c r="N19" s="21" t="str">
        <f ca="1">"Annual build rate (GW/Year) of ELEHYD_"&amp;$A$1</f>
        <v>Annual build rate (GW/Year) of ELEHYD_EUR</v>
      </c>
    </row>
    <row r="20" spans="1:14" x14ac:dyDescent="0.35">
      <c r="D20" s="21" t="str">
        <f ca="1">"EBldRateStep_Hyd_2_"&amp;$A$1&amp;",EBldRateStep_Hyd_3_"&amp;$A$1</f>
        <v>EBldRateStep_Hyd_2_EUR,EBldRateStep_Hyd_3_EUR</v>
      </c>
      <c r="F20" s="21" t="s">
        <v>62</v>
      </c>
      <c r="H20" s="21" t="s">
        <v>53</v>
      </c>
      <c r="I20" s="21">
        <v>1</v>
      </c>
    </row>
    <row r="21" spans="1:14" x14ac:dyDescent="0.35">
      <c r="C21" s="21" t="str">
        <f ca="1">"UELC-Bld_ELEHYD-step2_"&amp;$A$1</f>
        <v>UELC-Bld_ELEHYD-step2_EUR</v>
      </c>
      <c r="D21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21" s="21" t="s">
        <v>86</v>
      </c>
      <c r="H21" s="21" t="s">
        <v>65</v>
      </c>
      <c r="I21" s="21">
        <f>I15</f>
        <v>0.85</v>
      </c>
      <c r="N21" s="21" t="str">
        <f ca="1">"step 2 relaxation of build rate - ELEHYD_"&amp;$A$1</f>
        <v>step 2 relaxation of build rate - ELEHYD_EUR</v>
      </c>
    </row>
    <row r="22" spans="1:14" x14ac:dyDescent="0.35">
      <c r="D22" s="21" t="str">
        <f ca="1">"EBldRateStep_Hyd_2_"&amp;$A$1</f>
        <v>EBldRateStep_Hyd_2_EUR</v>
      </c>
      <c r="F22" s="21" t="s">
        <v>62</v>
      </c>
      <c r="H22" s="21" t="s">
        <v>53</v>
      </c>
      <c r="I22" s="21">
        <v>-1</v>
      </c>
      <c r="L22" s="21">
        <v>0</v>
      </c>
      <c r="M22" s="21">
        <v>5</v>
      </c>
    </row>
    <row r="23" spans="1:14" x14ac:dyDescent="0.35">
      <c r="C23" s="21" t="str">
        <f ca="1">"UELC-Bld_ELEHYD-step3_"&amp;$A$1</f>
        <v>UELC-Bld_ELEHYD-step3_EUR</v>
      </c>
      <c r="D23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23" s="21" t="s">
        <v>86</v>
      </c>
      <c r="H23" s="21" t="s">
        <v>65</v>
      </c>
      <c r="I23" s="21">
        <f>I17</f>
        <v>1</v>
      </c>
      <c r="N23" s="21" t="str">
        <f ca="1">"step 3 relaxation of build rate - ELEHYD_"&amp;$A$1</f>
        <v>step 3 relaxation of build rate - ELEHYD_EUR</v>
      </c>
    </row>
    <row r="24" spans="1:14" x14ac:dyDescent="0.35">
      <c r="D24" s="21" t="str">
        <f ca="1">"EBldRateStep_Hyd_3_"&amp;$A$1</f>
        <v>EBldRateStep_Hyd_3_EUR</v>
      </c>
      <c r="F24" s="21" t="s">
        <v>62</v>
      </c>
      <c r="H24" s="21" t="s">
        <v>53</v>
      </c>
      <c r="I24" s="21">
        <v>-1</v>
      </c>
      <c r="L24" s="21">
        <v>0</v>
      </c>
      <c r="M24" s="21">
        <v>5</v>
      </c>
    </row>
    <row r="25" spans="1:14" x14ac:dyDescent="0.35">
      <c r="A25" s="21" t="s">
        <v>2848</v>
      </c>
      <c r="C25" s="21" t="str">
        <f ca="1">"UELC-Inv"&amp;RIGHT(HistoricalBuilds!$N$1,2)&amp;"_"&amp;A25&amp;"_"&amp;$A$1</f>
        <v>UELC-Inv19_wn_EUR</v>
      </c>
      <c r="D25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25" s="21" t="s">
        <v>56</v>
      </c>
      <c r="G25" s="21" t="s">
        <v>20</v>
      </c>
      <c r="J25" s="21">
        <v>1</v>
      </c>
      <c r="L25" s="10">
        <f ca="1">SUMIFS(HistoricalBuilds!$C$2:$C$300,HistoricalBuilds!$A$2:$A$300,EUR!A$1,HistoricalBuilds!$B$2:$B$300,EUR!$A25)*$L$1</f>
        <v>15.38300000000001</v>
      </c>
      <c r="M25" s="21">
        <v>4</v>
      </c>
    </row>
    <row r="26" spans="1:14" x14ac:dyDescent="0.35">
      <c r="A26" s="21" t="s">
        <v>2847</v>
      </c>
      <c r="C26" s="21" t="str">
        <f ca="1">"UELC-Inv"&amp;RIGHT(HistoricalBuilds!$N$1,2)&amp;"_"&amp;A26&amp;"_"&amp;$A$1</f>
        <v>UELC-Inv19_sl_EUR</v>
      </c>
      <c r="D26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26" s="21" t="s">
        <v>57</v>
      </c>
      <c r="G26" s="21" t="s">
        <v>20</v>
      </c>
      <c r="J26" s="21">
        <v>1</v>
      </c>
      <c r="L26" s="10">
        <f ca="1">SUMIFS(HistoricalBuilds!$C$2:$C$300,HistoricalBuilds!$A$2:$A$300,EUR!A$1,HistoricalBuilds!$B$2:$B$300,EUR!$A26)*$L$1</f>
        <v>23.060499999999998</v>
      </c>
      <c r="M26" s="21">
        <v>4</v>
      </c>
    </row>
    <row r="27" spans="1:14" x14ac:dyDescent="0.35">
      <c r="A27" s="21" t="s">
        <v>2846</v>
      </c>
      <c r="C27" s="21" t="str">
        <f ca="1">"UELC-Inv"&amp;RIGHT(HistoricalBuilds!$N$1,2)&amp;"_"&amp;A27&amp;"_"&amp;$A$1</f>
        <v>UELC-Inv19_he_EUR</v>
      </c>
      <c r="D27" s="21" t="str">
        <f ca="1">$D$7</f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  <c r="E27" s="21" t="s">
        <v>86</v>
      </c>
      <c r="G27" s="21" t="s">
        <v>20</v>
      </c>
      <c r="J27" s="21">
        <v>1</v>
      </c>
      <c r="L27" s="10">
        <f ca="1">SUMIFS(HistoricalBuilds!$C$2:$C$300,HistoricalBuilds!$A$2:$A$300,EUR!A$1,HistoricalBuilds!$B$2:$B$300,EUR!$A27)*$L$1</f>
        <v>4.7109999999999843</v>
      </c>
      <c r="M27" s="21">
        <v>4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60D5-023F-419D-A9AB-AC20DB38CABE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style="21" bestFit="1" customWidth="1"/>
    <col min="2" max="2" width="8.81640625" style="21" customWidth="1"/>
    <col min="3" max="3" width="27.1796875" style="21" bestFit="1" customWidth="1"/>
    <col min="4" max="4" width="48.54296875" style="21" bestFit="1" customWidth="1"/>
    <col min="5" max="5" width="7.81640625" style="21" bestFit="1" customWidth="1"/>
    <col min="6" max="6" width="14.7265625" style="21" bestFit="1" customWidth="1"/>
    <col min="7" max="7" width="8.453125" style="21" bestFit="1" customWidth="1"/>
    <col min="8" max="8" width="24" style="21" bestFit="1" customWidth="1"/>
    <col min="9" max="9" width="5" style="21" bestFit="1" customWidth="1"/>
    <col min="10" max="10" width="9.453125" style="21" bestFit="1" customWidth="1"/>
    <col min="11" max="11" width="14" style="21" bestFit="1" customWidth="1"/>
    <col min="12" max="12" width="8.81640625" style="21" bestFit="1" customWidth="1"/>
    <col min="13" max="13" width="10.81640625" style="21" bestFit="1" customWidth="1"/>
    <col min="14" max="14" width="36.26953125" style="21" bestFit="1" customWidth="1"/>
    <col min="15" max="15" width="4.453125" style="21" bestFit="1" customWidth="1"/>
    <col min="16" max="16384" width="8.81640625" style="21"/>
  </cols>
  <sheetData>
    <row r="1" spans="1:14" ht="15" thickBot="1" x14ac:dyDescent="0.4">
      <c r="A1" s="15" t="str">
        <f ca="1">MID(CELL( "filename",A1),FIND("]",CELL( "filename",A1))+1,10)</f>
        <v>OAS</v>
      </c>
      <c r="L1" s="16">
        <f>AFR!$L$1</f>
        <v>1</v>
      </c>
    </row>
    <row r="2" spans="1:14" ht="15" thickTop="1" x14ac:dyDescent="0.35">
      <c r="C2" s="21" t="s">
        <v>2849</v>
      </c>
    </row>
    <row r="3" spans="1:14" x14ac:dyDescent="0.35">
      <c r="C3" s="21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s="21" t="s">
        <v>1</v>
      </c>
      <c r="D6" s="21" t="s">
        <v>46</v>
      </c>
      <c r="E6" s="21" t="s">
        <v>2</v>
      </c>
      <c r="F6" s="21" t="s">
        <v>17</v>
      </c>
      <c r="G6" s="21" t="s">
        <v>8</v>
      </c>
      <c r="H6" s="21" t="s">
        <v>7</v>
      </c>
      <c r="I6" s="21" t="s">
        <v>61</v>
      </c>
      <c r="J6" s="21" t="s">
        <v>65</v>
      </c>
      <c r="K6" s="21" t="s">
        <v>84</v>
      </c>
      <c r="L6" s="21" t="s">
        <v>3079</v>
      </c>
      <c r="M6" s="21" t="s">
        <v>3080</v>
      </c>
      <c r="N6" s="21" t="s">
        <v>9</v>
      </c>
    </row>
    <row r="7" spans="1:14" x14ac:dyDescent="0.35">
      <c r="C7" s="21" t="str">
        <f ca="1">"UELC-Bld_ELEWIN_"&amp;$A$1</f>
        <v>UELC-Bld_ELEWIN_OAS</v>
      </c>
      <c r="D7" s="21" t="str">
        <f ca="1">VLOOKUP("1"&amp;$A$1,'WEPSReg-Countrymap'!$D$2:$E$232,2,FALSE)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7" s="21" t="s">
        <v>56</v>
      </c>
      <c r="F7" s="21" t="s">
        <v>66</v>
      </c>
      <c r="J7" s="21">
        <v>1.1499999999999999</v>
      </c>
      <c r="K7" s="21">
        <v>1</v>
      </c>
      <c r="L7" s="21">
        <v>0</v>
      </c>
      <c r="M7" s="21">
        <v>5</v>
      </c>
      <c r="N7" s="21" t="str">
        <f ca="1">"Annual build rate (GW/Year) of ELEWIN_"&amp;$A$1</f>
        <v>Annual build rate (GW/Year) of ELEWIN_OAS</v>
      </c>
    </row>
    <row r="8" spans="1:14" x14ac:dyDescent="0.35">
      <c r="D8" s="21" t="str">
        <f ca="1">"EBldRateStep_Win_2_"&amp;$A$1&amp;",EBldRateStep_Win_3_"&amp;$A$1</f>
        <v>EBldRateStep_Win_2_OAS,EBldRateStep_Win_3_OAS</v>
      </c>
      <c r="F8" s="21" t="s">
        <v>62</v>
      </c>
      <c r="H8" s="21" t="s">
        <v>53</v>
      </c>
      <c r="I8" s="21">
        <v>1</v>
      </c>
    </row>
    <row r="9" spans="1:14" x14ac:dyDescent="0.35">
      <c r="C9" s="21" t="str">
        <f ca="1">"UELC-Bld_ELEWIN-step2_"&amp;$A$1</f>
        <v>UELC-Bld_ELEWIN-step2_OAS</v>
      </c>
      <c r="D9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9" s="21" t="s">
        <v>56</v>
      </c>
      <c r="H9" s="21" t="s">
        <v>65</v>
      </c>
      <c r="I9" s="21">
        <v>0.85</v>
      </c>
      <c r="N9" s="21" t="str">
        <f ca="1">"step 2 relaxation of build rate - ELEWIN_"&amp;$A$1</f>
        <v>step 2 relaxation of build rate - ELEWIN_OAS</v>
      </c>
    </row>
    <row r="10" spans="1:14" x14ac:dyDescent="0.35">
      <c r="D10" s="21" t="str">
        <f ca="1">"EBldRateStep_Win_2_"&amp;$A$1</f>
        <v>EBldRateStep_Win_2_OAS</v>
      </c>
      <c r="F10" s="21" t="s">
        <v>62</v>
      </c>
      <c r="H10" s="21" t="s">
        <v>53</v>
      </c>
      <c r="I10" s="21">
        <v>-1</v>
      </c>
      <c r="L10" s="21">
        <v>0</v>
      </c>
      <c r="M10" s="21">
        <v>5</v>
      </c>
    </row>
    <row r="11" spans="1:14" x14ac:dyDescent="0.35">
      <c r="C11" s="21" t="str">
        <f ca="1">"UELC-Bld_ELEWIN-step3_"&amp;$A$1</f>
        <v>UELC-Bld_ELEWIN-step3_OAS</v>
      </c>
      <c r="D11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11" s="21" t="s">
        <v>56</v>
      </c>
      <c r="H11" s="21" t="s">
        <v>65</v>
      </c>
      <c r="I11" s="21">
        <v>1</v>
      </c>
      <c r="N11" s="21" t="str">
        <f ca="1">"step 3 relaxation of build rate - ELEWIN_"&amp;$A$1</f>
        <v>step 3 relaxation of build rate - ELEWIN_OAS</v>
      </c>
    </row>
    <row r="12" spans="1:14" x14ac:dyDescent="0.35">
      <c r="D12" s="21" t="str">
        <f ca="1">"EBldRateStep_Win_3_"&amp;$A$1</f>
        <v>EBldRateStep_Win_3_OAS</v>
      </c>
      <c r="F12" s="21" t="s">
        <v>62</v>
      </c>
      <c r="H12" s="21" t="s">
        <v>53</v>
      </c>
      <c r="I12" s="21">
        <v>-1</v>
      </c>
      <c r="L12" s="21">
        <v>0</v>
      </c>
      <c r="M12" s="21">
        <v>5</v>
      </c>
    </row>
    <row r="13" spans="1:14" x14ac:dyDescent="0.35">
      <c r="C13" s="21" t="str">
        <f ca="1">"UELC-Bld_ELESOL_"&amp;$A$1</f>
        <v>UELC-Bld_ELESOL_OAS</v>
      </c>
      <c r="D13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13" s="21" t="s">
        <v>57</v>
      </c>
      <c r="F13" s="21" t="s">
        <v>66</v>
      </c>
      <c r="J13" s="21">
        <v>1.1499999999999999</v>
      </c>
      <c r="K13" s="21">
        <v>1</v>
      </c>
      <c r="L13" s="21">
        <v>0</v>
      </c>
      <c r="M13" s="21">
        <v>5</v>
      </c>
      <c r="N13" s="21" t="str">
        <f ca="1">"Annual build rate (GW/Year) of ELESOL_"&amp;$A$1</f>
        <v>Annual build rate (GW/Year) of ELESOL_OAS</v>
      </c>
    </row>
    <row r="14" spans="1:14" x14ac:dyDescent="0.35">
      <c r="D14" s="21" t="str">
        <f ca="1">"EBldRateStep_Sol_2_"&amp;$A$1&amp;",EBldRateStep_Sol_3_"&amp;$A$1</f>
        <v>EBldRateStep_Sol_2_OAS,EBldRateStep_Sol_3_OAS</v>
      </c>
      <c r="F14" s="21" t="s">
        <v>62</v>
      </c>
      <c r="H14" s="21" t="s">
        <v>53</v>
      </c>
      <c r="I14" s="21">
        <v>1</v>
      </c>
    </row>
    <row r="15" spans="1:14" x14ac:dyDescent="0.35">
      <c r="C15" s="21" t="str">
        <f ca="1">"UELC-Bld_ELESOL-step2_"&amp;$A$1</f>
        <v>UELC-Bld_ELESOL-step2_OAS</v>
      </c>
      <c r="D15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15" s="21" t="s">
        <v>57</v>
      </c>
      <c r="H15" s="21" t="s">
        <v>65</v>
      </c>
      <c r="I15" s="21">
        <f>I9</f>
        <v>0.85</v>
      </c>
      <c r="N15" s="21" t="str">
        <f ca="1">"step 2 relaxation of build rate - ELESOL_"&amp;$A$1</f>
        <v>step 2 relaxation of build rate - ELESOL_OAS</v>
      </c>
    </row>
    <row r="16" spans="1:14" x14ac:dyDescent="0.35">
      <c r="D16" s="21" t="str">
        <f ca="1">"EBldRateStep_Sol_2_"&amp;$A$1</f>
        <v>EBldRateStep_Sol_2_OAS</v>
      </c>
      <c r="F16" s="21" t="s">
        <v>62</v>
      </c>
      <c r="H16" s="21" t="s">
        <v>53</v>
      </c>
      <c r="I16" s="21">
        <v>-1</v>
      </c>
      <c r="L16" s="21">
        <v>0</v>
      </c>
      <c r="M16" s="21">
        <v>5</v>
      </c>
    </row>
    <row r="17" spans="1:14" x14ac:dyDescent="0.35">
      <c r="C17" s="21" t="str">
        <f ca="1">"UELC-Bld_ELESOL-step3_"&amp;$A$1</f>
        <v>UELC-Bld_ELESOL-step3_OAS</v>
      </c>
      <c r="D17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17" s="21" t="s">
        <v>57</v>
      </c>
      <c r="H17" s="21" t="s">
        <v>65</v>
      </c>
      <c r="I17" s="21">
        <f>I11</f>
        <v>1</v>
      </c>
      <c r="N17" s="21" t="str">
        <f ca="1">"step 3 relaxation of build rate - ELESOL_"&amp;$A$1</f>
        <v>step 3 relaxation of build rate - ELESOL_OAS</v>
      </c>
    </row>
    <row r="18" spans="1:14" x14ac:dyDescent="0.35">
      <c r="D18" s="21" t="str">
        <f ca="1">"EBldRateStep_Sol_3_"&amp;$A$1</f>
        <v>EBldRateStep_Sol_3_OAS</v>
      </c>
      <c r="F18" s="21" t="s">
        <v>62</v>
      </c>
      <c r="H18" s="21" t="s">
        <v>53</v>
      </c>
      <c r="I18" s="21">
        <v>-1</v>
      </c>
      <c r="L18" s="21">
        <v>0</v>
      </c>
      <c r="M18" s="21">
        <v>5</v>
      </c>
    </row>
    <row r="19" spans="1:14" x14ac:dyDescent="0.35">
      <c r="C19" s="21" t="str">
        <f ca="1">"UELC-Bld_ELEHYD_"&amp;$A$1</f>
        <v>UELC-Bld_ELEHYD_OAS</v>
      </c>
      <c r="D19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19" s="21" t="s">
        <v>86</v>
      </c>
      <c r="F19" s="21" t="s">
        <v>66</v>
      </c>
      <c r="J19" s="21">
        <v>1.1499999999999999</v>
      </c>
      <c r="K19" s="21">
        <v>1</v>
      </c>
      <c r="L19" s="21">
        <v>0</v>
      </c>
      <c r="M19" s="21">
        <v>5</v>
      </c>
      <c r="N19" s="21" t="str">
        <f ca="1">"Annual build rate (GW/Year) of ELEHYD_"&amp;$A$1</f>
        <v>Annual build rate (GW/Year) of ELEHYD_OAS</v>
      </c>
    </row>
    <row r="20" spans="1:14" x14ac:dyDescent="0.35">
      <c r="D20" s="21" t="str">
        <f ca="1">"EBldRateStep_Hyd_2_"&amp;$A$1&amp;",EBldRateStep_Hyd_3_"&amp;$A$1</f>
        <v>EBldRateStep_Hyd_2_OAS,EBldRateStep_Hyd_3_OAS</v>
      </c>
      <c r="F20" s="21" t="s">
        <v>62</v>
      </c>
      <c r="H20" s="21" t="s">
        <v>53</v>
      </c>
      <c r="I20" s="21">
        <v>1</v>
      </c>
    </row>
    <row r="21" spans="1:14" x14ac:dyDescent="0.35">
      <c r="C21" s="21" t="str">
        <f ca="1">"UELC-Bld_ELEHYD-step2_"&amp;$A$1</f>
        <v>UELC-Bld_ELEHYD-step2_OAS</v>
      </c>
      <c r="D21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21" s="21" t="s">
        <v>86</v>
      </c>
      <c r="H21" s="21" t="s">
        <v>65</v>
      </c>
      <c r="I21" s="21">
        <f>I15</f>
        <v>0.85</v>
      </c>
      <c r="N21" s="21" t="str">
        <f ca="1">"step 2 relaxation of build rate - ELEHYD_"&amp;$A$1</f>
        <v>step 2 relaxation of build rate - ELEHYD_OAS</v>
      </c>
    </row>
    <row r="22" spans="1:14" x14ac:dyDescent="0.35">
      <c r="D22" s="21" t="str">
        <f ca="1">"EBldRateStep_Hyd_2_"&amp;$A$1</f>
        <v>EBldRateStep_Hyd_2_OAS</v>
      </c>
      <c r="F22" s="21" t="s">
        <v>62</v>
      </c>
      <c r="H22" s="21" t="s">
        <v>53</v>
      </c>
      <c r="I22" s="21">
        <v>-1</v>
      </c>
      <c r="L22" s="21">
        <v>0</v>
      </c>
      <c r="M22" s="21">
        <v>5</v>
      </c>
    </row>
    <row r="23" spans="1:14" x14ac:dyDescent="0.35">
      <c r="C23" s="21" t="str">
        <f ca="1">"UELC-Bld_ELEHYD-step3_"&amp;$A$1</f>
        <v>UELC-Bld_ELEHYD-step3_OAS</v>
      </c>
      <c r="D23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23" s="21" t="s">
        <v>86</v>
      </c>
      <c r="H23" s="21" t="s">
        <v>65</v>
      </c>
      <c r="I23" s="21">
        <f>I17</f>
        <v>1</v>
      </c>
      <c r="N23" s="21" t="str">
        <f ca="1">"step 3 relaxation of build rate - ELEHYD_"&amp;$A$1</f>
        <v>step 3 relaxation of build rate - ELEHYD_OAS</v>
      </c>
    </row>
    <row r="24" spans="1:14" x14ac:dyDescent="0.35">
      <c r="D24" s="21" t="str">
        <f ca="1">"EBldRateStep_Hyd_3_"&amp;$A$1</f>
        <v>EBldRateStep_Hyd_3_OAS</v>
      </c>
      <c r="F24" s="21" t="s">
        <v>62</v>
      </c>
      <c r="H24" s="21" t="s">
        <v>53</v>
      </c>
      <c r="I24" s="21">
        <v>-1</v>
      </c>
      <c r="L24" s="21">
        <v>0</v>
      </c>
      <c r="M24" s="21">
        <v>5</v>
      </c>
    </row>
    <row r="25" spans="1:14" x14ac:dyDescent="0.35">
      <c r="A25" s="21" t="s">
        <v>2848</v>
      </c>
      <c r="C25" s="21" t="str">
        <f ca="1">"UELC-Inv"&amp;RIGHT(HistoricalBuilds!$N$1,2)&amp;"_"&amp;A25&amp;"_"&amp;$A$1</f>
        <v>UELC-Inv19_wn_OAS</v>
      </c>
      <c r="D25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25" s="21" t="s">
        <v>56</v>
      </c>
      <c r="G25" s="21" t="s">
        <v>20</v>
      </c>
      <c r="J25" s="21">
        <v>1</v>
      </c>
      <c r="L25" s="10">
        <f ca="1">SUMIFS(HistoricalBuilds!$C$2:$C$300,HistoricalBuilds!$A$2:$A$300,OAS!A$1,HistoricalBuilds!$B$2:$B$300,OAS!$A25)*$L$1</f>
        <v>1.0759000000000001</v>
      </c>
      <c r="M25" s="21">
        <v>4</v>
      </c>
    </row>
    <row r="26" spans="1:14" x14ac:dyDescent="0.35">
      <c r="A26" s="21" t="s">
        <v>2847</v>
      </c>
      <c r="C26" s="21" t="str">
        <f ca="1">"UELC-Inv"&amp;RIGHT(HistoricalBuilds!$N$1,2)&amp;"_"&amp;A26&amp;"_"&amp;$A$1</f>
        <v>UELC-Inv19_sl_OAS</v>
      </c>
      <c r="D26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26" s="21" t="s">
        <v>57</v>
      </c>
      <c r="G26" s="21" t="s">
        <v>20</v>
      </c>
      <c r="J26" s="21">
        <v>1</v>
      </c>
      <c r="L26" s="10">
        <f ca="1">SUMIFS(HistoricalBuilds!$C$2:$C$300,HistoricalBuilds!$A$2:$A$300,OAS!A$1,HistoricalBuilds!$B$2:$B$300,OAS!$A26)*$L$1</f>
        <v>3.0067200000000001</v>
      </c>
      <c r="M26" s="21">
        <v>4</v>
      </c>
    </row>
    <row r="27" spans="1:14" x14ac:dyDescent="0.35">
      <c r="A27" s="21" t="s">
        <v>2846</v>
      </c>
      <c r="C27" s="21" t="str">
        <f ca="1">"UELC-Inv"&amp;RIGHT(HistoricalBuilds!$N$1,2)&amp;"_"&amp;A27&amp;"_"&amp;$A$1</f>
        <v>UELC-Inv19_he_OAS</v>
      </c>
      <c r="D27" s="21" t="str">
        <f ca="1">$D$7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  <c r="E27" s="21" t="s">
        <v>86</v>
      </c>
      <c r="G27" s="21" t="s">
        <v>20</v>
      </c>
      <c r="J27" s="21">
        <v>1</v>
      </c>
      <c r="L27" s="10">
        <f ca="1">SUMIFS(HistoricalBuilds!$C$2:$C$300,HistoricalBuilds!$A$2:$A$300,OAS!A$1,HistoricalBuilds!$B$2:$B$300,OAS!$A27)*$L$1</f>
        <v>5.136969999999998</v>
      </c>
      <c r="M27" s="21">
        <v>4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20C7-C0C4-4EA7-B982-BE81F078DE54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ANZ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UELC-Bld_ELEWIN_ANZ</v>
      </c>
      <c r="D7" t="str">
        <f ca="1">VLOOKUP("1"&amp;$A$1,'WEPSReg-Countrymap'!$D$2:$E$232,2,FALSE)</f>
        <v>*[_]AUS*,*[_]NZL*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ELEWIN_ANZ</v>
      </c>
    </row>
    <row r="8" spans="1:14" x14ac:dyDescent="0.35">
      <c r="D8" t="str">
        <f ca="1">"EBldRateStep_Win_2_"&amp;$A$1&amp;",EBldRateStep_Win_3_"&amp;$A$1</f>
        <v>EBldRateStep_Win_2_ANZ,EBldRateStep_Win_3_ANZ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UELC-Bld_ELEWIN-step2_ANZ</v>
      </c>
      <c r="D9" t="str">
        <f ca="1">$D$7</f>
        <v>*[_]AUS*,*[_]NZL*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ELEWIN_ANZ</v>
      </c>
    </row>
    <row r="10" spans="1:14" x14ac:dyDescent="0.35">
      <c r="D10" t="str">
        <f ca="1">"EBldRateStep_Win_2_"&amp;$A$1</f>
        <v>EBldRateStep_Win_2_ANZ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UELC-Bld_ELEWIN-step3_ANZ</v>
      </c>
      <c r="D11" t="str">
        <f ca="1">$D$7</f>
        <v>*[_]AUS*,*[_]NZL*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ELEWIN_ANZ</v>
      </c>
    </row>
    <row r="12" spans="1:14" x14ac:dyDescent="0.35">
      <c r="D12" t="str">
        <f ca="1">"EBldRateStep_Win_3_"&amp;$A$1</f>
        <v>EBldRateStep_Win_3_ANZ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UELC-Bld_ELESOL_ANZ</v>
      </c>
      <c r="D13" t="str">
        <f ca="1">$D$7</f>
        <v>*[_]AUS*,*[_]NZL*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ELESOL_ANZ</v>
      </c>
    </row>
    <row r="14" spans="1:14" x14ac:dyDescent="0.35">
      <c r="D14" t="str">
        <f ca="1">"EBldRateStep_Sol_2_"&amp;$A$1&amp;",EBldRateStep_Sol_3_"&amp;$A$1</f>
        <v>EBldRateStep_Sol_2_ANZ,EBldRateStep_Sol_3_ANZ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UELC-Bld_ELESOL-step2_ANZ</v>
      </c>
      <c r="D15" t="str">
        <f ca="1">$D$7</f>
        <v>*[_]AUS*,*[_]NZL*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ELESOL_ANZ</v>
      </c>
    </row>
    <row r="16" spans="1:14" x14ac:dyDescent="0.35">
      <c r="D16" t="str">
        <f ca="1">"EBldRateStep_Sol_2_"&amp;$A$1</f>
        <v>EBldRateStep_Sol_2_ANZ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UELC-Bld_ELESOL-step3_ANZ</v>
      </c>
      <c r="D17" t="str">
        <f ca="1">$D$7</f>
        <v>*[_]AUS*,*[_]NZL*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ELESOL_ANZ</v>
      </c>
    </row>
    <row r="18" spans="1:14" x14ac:dyDescent="0.35">
      <c r="D18" t="str">
        <f ca="1">"EBldRateStep_Sol_3_"&amp;$A$1</f>
        <v>EBldRateStep_Sol_3_ANZ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UELC-Bld_ELEHYD_ANZ</v>
      </c>
      <c r="D19" t="str">
        <f ca="1">$D$7</f>
        <v>*[_]AUS*,*[_]NZL*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ELEHYD_ANZ</v>
      </c>
    </row>
    <row r="20" spans="1:14" x14ac:dyDescent="0.35">
      <c r="D20" t="str">
        <f ca="1">"EBldRateStep_Hyd_2_"&amp;$A$1&amp;",EBldRateStep_Hyd_3_"&amp;$A$1</f>
        <v>EBldRateStep_Hyd_2_ANZ,EBldRateStep_Hyd_3_ANZ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UELC-Bld_ELEHYD-step2_ANZ</v>
      </c>
      <c r="D21" t="str">
        <f ca="1">$D$7</f>
        <v>*[_]AUS*,*[_]NZL*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ELEHYD_ANZ</v>
      </c>
    </row>
    <row r="22" spans="1:14" x14ac:dyDescent="0.35">
      <c r="D22" t="str">
        <f ca="1">"EBldRateStep_Hyd_2_"&amp;$A$1</f>
        <v>EBldRateStep_Hyd_2_ANZ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UELC-Bld_ELEHYD-step3_ANZ</v>
      </c>
      <c r="D23" t="str">
        <f ca="1">$D$7</f>
        <v>*[_]AUS*,*[_]NZL*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ELEHYD_ANZ</v>
      </c>
    </row>
    <row r="24" spans="1:14" x14ac:dyDescent="0.35">
      <c r="D24" t="str">
        <f ca="1">"EBldRateStep_Hyd_3_"&amp;$A$1</f>
        <v>EBldRateStep_Hyd_3_ANZ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UELC-Inv19_wn_ANZ</v>
      </c>
      <c r="D25" t="str">
        <f ca="1">$D$7</f>
        <v>*[_]AUS*,*[_]NZL*</v>
      </c>
      <c r="E25" t="s">
        <v>56</v>
      </c>
      <c r="G25" t="s">
        <v>20</v>
      </c>
      <c r="J25">
        <v>1</v>
      </c>
      <c r="L25" s="10">
        <f ca="1">SUMIFS(HistoricalBuilds!$C$2:$C$300,HistoricalBuilds!$A$2:$A$300,ANZ!A$1,HistoricalBuilds!$B$2:$B$300,ANZ!$A25)*$L$1</f>
        <v>3.1826999999999996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UELC-Inv19_sl_ANZ</v>
      </c>
      <c r="D26" t="str">
        <f ca="1">$D$7</f>
        <v>*[_]AUS*,*[_]NZL*</v>
      </c>
      <c r="E26" t="s">
        <v>57</v>
      </c>
      <c r="G26" t="s">
        <v>20</v>
      </c>
      <c r="J26">
        <v>1</v>
      </c>
      <c r="L26" s="10">
        <f ca="1">SUMIFS(HistoricalBuilds!$C$2:$C$300,HistoricalBuilds!$A$2:$A$300,ANZ!A$1,HistoricalBuilds!$B$2:$B$300,ANZ!$A26)*$L$1</f>
        <v>3.9709999999999992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UELC-Inv19_he_ANZ</v>
      </c>
      <c r="D27" t="str">
        <f ca="1">$D$7</f>
        <v>*[_]AUS*,*[_]NZL*</v>
      </c>
      <c r="E27" t="s">
        <v>86</v>
      </c>
      <c r="G27" t="s">
        <v>20</v>
      </c>
      <c r="J27">
        <v>1</v>
      </c>
      <c r="L27" s="10">
        <f ca="1">SUMIFS(HistoricalBuilds!$C$2:$C$300,HistoricalBuilds!$A$2:$A$300,ANZ!A$1,HistoricalBuilds!$B$2:$B$300,ANZ!$A27)*$L$1</f>
        <v>1.0276500000000002</v>
      </c>
      <c r="M27">
        <v>4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15DE-6DE2-47E9-A453-5D2FA4422DCC}">
  <dimension ref="A1:N27"/>
  <sheetViews>
    <sheetView workbookViewId="0"/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BRZ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UELC-Bld_ELEWIN_BRZ</v>
      </c>
      <c r="D7" t="str">
        <f ca="1">VLOOKUP("1"&amp;$A$1,'WEPSReg-Countrymap'!$D$2:$E$232,2,FALSE)</f>
        <v>*[_]BRA*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ELEWIN_BRZ</v>
      </c>
    </row>
    <row r="8" spans="1:14" x14ac:dyDescent="0.35">
      <c r="D8" t="str">
        <f ca="1">"EBldRateStep_Win_2_"&amp;$A$1&amp;",EBldRateStep_Win_3_"&amp;$A$1</f>
        <v>EBldRateStep_Win_2_BRZ,EBldRateStep_Win_3_BRZ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UELC-Bld_ELEWIN-step2_BRZ</v>
      </c>
      <c r="D9" t="str">
        <f ca="1">$D$7</f>
        <v>*[_]BRA*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ELEWIN_BRZ</v>
      </c>
    </row>
    <row r="10" spans="1:14" x14ac:dyDescent="0.35">
      <c r="D10" t="str">
        <f ca="1">"EBldRateStep_Win_2_"&amp;$A$1</f>
        <v>EBldRateStep_Win_2_BRZ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UELC-Bld_ELEWIN-step3_BRZ</v>
      </c>
      <c r="D11" t="str">
        <f ca="1">$D$7</f>
        <v>*[_]BRA*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ELEWIN_BRZ</v>
      </c>
    </row>
    <row r="12" spans="1:14" x14ac:dyDescent="0.35">
      <c r="D12" t="str">
        <f ca="1">"EBldRateStep_Win_3_"&amp;$A$1</f>
        <v>EBldRateStep_Win_3_BRZ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UELC-Bld_ELESOL_BRZ</v>
      </c>
      <c r="D13" t="str">
        <f ca="1">$D$7</f>
        <v>*[_]BRA*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ELESOL_BRZ</v>
      </c>
    </row>
    <row r="14" spans="1:14" x14ac:dyDescent="0.35">
      <c r="D14" t="str">
        <f ca="1">"EBldRateStep_Sol_2_"&amp;$A$1&amp;",EBldRateStep_Sol_3_"&amp;$A$1</f>
        <v>EBldRateStep_Sol_2_BRZ,EBldRateStep_Sol_3_BRZ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UELC-Bld_ELESOL-step2_BRZ</v>
      </c>
      <c r="D15" t="str">
        <f ca="1">$D$7</f>
        <v>*[_]BRA*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ELESOL_BRZ</v>
      </c>
    </row>
    <row r="16" spans="1:14" x14ac:dyDescent="0.35">
      <c r="D16" t="str">
        <f ca="1">"EBldRateStep_Sol_2_"&amp;$A$1</f>
        <v>EBldRateStep_Sol_2_BRZ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UELC-Bld_ELESOL-step3_BRZ</v>
      </c>
      <c r="D17" t="str">
        <f ca="1">$D$7</f>
        <v>*[_]BRA*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ELESOL_BRZ</v>
      </c>
    </row>
    <row r="18" spans="1:14" x14ac:dyDescent="0.35">
      <c r="D18" t="str">
        <f ca="1">"EBldRateStep_Sol_3_"&amp;$A$1</f>
        <v>EBldRateStep_Sol_3_BRZ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UELC-Bld_ELEHYD_BRZ</v>
      </c>
      <c r="D19" t="str">
        <f ca="1">$D$7</f>
        <v>*[_]BRA*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ELEHYD_BRZ</v>
      </c>
    </row>
    <row r="20" spans="1:14" x14ac:dyDescent="0.35">
      <c r="D20" t="str">
        <f ca="1">"EBldRateStep_Hyd_2_"&amp;$A$1&amp;",EBldRateStep_Hyd_3_"&amp;$A$1</f>
        <v>EBldRateStep_Hyd_2_BRZ,EBldRateStep_Hyd_3_BRZ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UELC-Bld_ELEHYD-step2_BRZ</v>
      </c>
      <c r="D21" t="str">
        <f ca="1">$D$7</f>
        <v>*[_]BRA*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ELEHYD_BRZ</v>
      </c>
    </row>
    <row r="22" spans="1:14" x14ac:dyDescent="0.35">
      <c r="D22" t="str">
        <f ca="1">"EBldRateStep_Hyd_2_"&amp;$A$1</f>
        <v>EBldRateStep_Hyd_2_BRZ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UELC-Bld_ELEHYD-step3_BRZ</v>
      </c>
      <c r="D23" t="str">
        <f ca="1">$D$7</f>
        <v>*[_]BRA*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ELEHYD_BRZ</v>
      </c>
    </row>
    <row r="24" spans="1:14" x14ac:dyDescent="0.35">
      <c r="D24" t="str">
        <f ca="1">"EBldRateStep_Hyd_3_"&amp;$A$1</f>
        <v>EBldRateStep_Hyd_3_BRZ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UELC-Inv19_wn_BRZ</v>
      </c>
      <c r="D25" t="str">
        <f ca="1">$D$7</f>
        <v>*[_]BRA*</v>
      </c>
      <c r="E25" t="s">
        <v>56</v>
      </c>
      <c r="G25" t="s">
        <v>20</v>
      </c>
      <c r="J25">
        <v>1</v>
      </c>
      <c r="L25" s="10">
        <f ca="1">SUMIFS(HistoricalBuilds!$C$2:$C$300,HistoricalBuilds!$A$2:$A$300,BRZ!A$1,HistoricalBuilds!$B$2:$B$300,BRZ!$A25)*$L$1</f>
        <v>3.1086099999999997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UELC-Inv19_sl_BRZ</v>
      </c>
      <c r="D26" t="str">
        <f ca="1">$D$7</f>
        <v>*[_]BRA*</v>
      </c>
      <c r="E26" t="s">
        <v>57</v>
      </c>
      <c r="G26" t="s">
        <v>20</v>
      </c>
      <c r="J26">
        <v>1</v>
      </c>
      <c r="L26" s="10">
        <f ca="1">SUMIFS(HistoricalBuilds!$C$2:$C$300,HistoricalBuilds!$A$2:$A$300,BRZ!A$1,HistoricalBuilds!$B$2:$B$300,BRZ!$A26)*$L$1</f>
        <v>1.2009210000000001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UELC-Inv19_he_BRZ</v>
      </c>
      <c r="D27" t="str">
        <f ca="1">$D$7</f>
        <v>*[_]BRA*</v>
      </c>
      <c r="E27" t="s">
        <v>86</v>
      </c>
      <c r="G27" t="s">
        <v>20</v>
      </c>
      <c r="J27">
        <v>1</v>
      </c>
      <c r="L27" s="10">
        <f ca="1">SUMIFS(HistoricalBuilds!$C$2:$C$300,HistoricalBuilds!$A$2:$A$300,BRZ!A$1,HistoricalBuilds!$B$2:$B$300,BRZ!$A27)*$L$1</f>
        <v>5.2800000000000011</v>
      </c>
      <c r="M27">
        <v>4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C0CF-FDC5-48A5-95FD-FC73C81A5D23}">
  <dimension ref="A1:N27"/>
  <sheetViews>
    <sheetView workbookViewId="0"/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CAN</v>
      </c>
      <c r="L1" s="16" t="e">
        <f>#REF!</f>
        <v>#REF!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UELC-Bld_ELEWIN_CAN</v>
      </c>
      <c r="D7" t="str">
        <f ca="1">VLOOKUP("1"&amp;$A$1,'WEPSReg-Countrymap'!$D$2:$E$232,2,FALSE)</f>
        <v>*[_]CAN*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ELEWIN_CAN</v>
      </c>
    </row>
    <row r="8" spans="1:14" x14ac:dyDescent="0.35">
      <c r="D8" t="str">
        <f ca="1">"EBldRateStep_Win_2_"&amp;$A$1&amp;",EBldRateStep_Win_3_"&amp;$A$1</f>
        <v>EBldRateStep_Win_2_CAN,EBldRateStep_Win_3_CAN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UELC-Bld_ELEWIN-step2_CAN</v>
      </c>
      <c r="D9" t="str">
        <f ca="1">$D$7</f>
        <v>*[_]CAN*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ELEWIN_CAN</v>
      </c>
    </row>
    <row r="10" spans="1:14" x14ac:dyDescent="0.35">
      <c r="D10" t="str">
        <f ca="1">"EBldRateStep_Win_2_"&amp;$A$1</f>
        <v>EBldRateStep_Win_2_CAN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UELC-Bld_ELEWIN-step3_CAN</v>
      </c>
      <c r="D11" t="str">
        <f ca="1">$D$7</f>
        <v>*[_]CAN*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ELEWIN_CAN</v>
      </c>
    </row>
    <row r="12" spans="1:14" x14ac:dyDescent="0.35">
      <c r="D12" t="str">
        <f ca="1">"EBldRateStep_Win_3_"&amp;$A$1</f>
        <v>EBldRateStep_Win_3_CAN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UELC-Bld_ELESOL_CAN</v>
      </c>
      <c r="D13" t="str">
        <f ca="1">$D$7</f>
        <v>*[_]CAN*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ELESOL_CAN</v>
      </c>
    </row>
    <row r="14" spans="1:14" x14ac:dyDescent="0.35">
      <c r="D14" t="str">
        <f ca="1">"EBldRateStep_Sol_2_"&amp;$A$1&amp;",EBldRateStep_Sol_3_"&amp;$A$1</f>
        <v>EBldRateStep_Sol_2_CAN,EBldRateStep_Sol_3_CAN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UELC-Bld_ELESOL-step2_CAN</v>
      </c>
      <c r="D15" t="str">
        <f ca="1">$D$7</f>
        <v>*[_]CAN*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ELESOL_CAN</v>
      </c>
    </row>
    <row r="16" spans="1:14" x14ac:dyDescent="0.35">
      <c r="D16" t="str">
        <f ca="1">"EBldRateStep_Sol_2_"&amp;$A$1</f>
        <v>EBldRateStep_Sol_2_CAN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UELC-Bld_ELESOL-step3_CAN</v>
      </c>
      <c r="D17" t="str">
        <f ca="1">$D$7</f>
        <v>*[_]CAN*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ELESOL_CAN</v>
      </c>
    </row>
    <row r="18" spans="1:14" x14ac:dyDescent="0.35">
      <c r="D18" t="str">
        <f ca="1">"EBldRateStep_Sol_3_"&amp;$A$1</f>
        <v>EBldRateStep_Sol_3_CAN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UELC-Bld_ELEHYD_CAN</v>
      </c>
      <c r="D19" t="str">
        <f ca="1">$D$7</f>
        <v>*[_]CAN*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ELEHYD_CAN</v>
      </c>
    </row>
    <row r="20" spans="1:14" x14ac:dyDescent="0.35">
      <c r="D20" t="str">
        <f ca="1">"EBldRateStep_Hyd_2_"&amp;$A$1&amp;",EBldRateStep_Hyd_3_"&amp;$A$1</f>
        <v>EBldRateStep_Hyd_2_CAN,EBldRateStep_Hyd_3_CAN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UELC-Bld_ELEHYD-step2_CAN</v>
      </c>
      <c r="D21" t="str">
        <f ca="1">$D$7</f>
        <v>*[_]CAN*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ELEHYD_CAN</v>
      </c>
    </row>
    <row r="22" spans="1:14" x14ac:dyDescent="0.35">
      <c r="D22" t="str">
        <f ca="1">"EBldRateStep_Hyd_2_"&amp;$A$1</f>
        <v>EBldRateStep_Hyd_2_CAN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UELC-Bld_ELEHYD-step3_CAN</v>
      </c>
      <c r="D23" t="str">
        <f ca="1">$D$7</f>
        <v>*[_]CAN*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ELEHYD_CAN</v>
      </c>
    </row>
    <row r="24" spans="1:14" x14ac:dyDescent="0.35">
      <c r="D24" t="str">
        <f ca="1">"EBldRateStep_Hyd_3_"&amp;$A$1</f>
        <v>EBldRateStep_Hyd_3_CAN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UELC-Inv19_wn_CAN</v>
      </c>
      <c r="D25" t="str">
        <f ca="1">$D$7</f>
        <v>*[_]CAN*</v>
      </c>
      <c r="E25" t="s">
        <v>56</v>
      </c>
      <c r="G25" t="s">
        <v>20</v>
      </c>
      <c r="J25">
        <v>1</v>
      </c>
      <c r="L25" s="10" t="e">
        <f ca="1">SUMIFS(HistoricalBuilds!$C$2:$C$300,HistoricalBuilds!$A$2:$A$300,CAN!A$1,HistoricalBuilds!$B$2:$B$300,CAN!$A25)*$L$1</f>
        <v>#REF!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UELC-Inv19_sl_CAN</v>
      </c>
      <c r="D26" t="str">
        <f ca="1">$D$7</f>
        <v>*[_]CAN*</v>
      </c>
      <c r="E26" t="s">
        <v>57</v>
      </c>
      <c r="G26" t="s">
        <v>20</v>
      </c>
      <c r="J26">
        <v>1</v>
      </c>
      <c r="L26" s="10" t="e">
        <f ca="1">SUMIFS(HistoricalBuilds!$C$2:$C$300,HistoricalBuilds!$A$2:$A$300,CAN!A$1,HistoricalBuilds!$B$2:$B$300,CAN!$A26)*$L$1</f>
        <v>#REF!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UELC-Inv19_he_CAN</v>
      </c>
      <c r="D27" t="str">
        <f ca="1">$D$7</f>
        <v>*[_]CAN*</v>
      </c>
      <c r="E27" t="s">
        <v>86</v>
      </c>
      <c r="G27" t="s">
        <v>20</v>
      </c>
      <c r="J27">
        <v>1</v>
      </c>
      <c r="L27" s="10" t="e">
        <f ca="1">SUMIFS(HistoricalBuilds!$C$2:$C$300,HistoricalBuilds!$A$2:$A$300,CAN!A$1,HistoricalBuilds!$B$2:$B$300,CAN!$A27)*$L$1</f>
        <v>#REF!</v>
      </c>
      <c r="M27">
        <v>4</v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93E0-0EFD-47F3-B7FC-4724E0E5CD70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CHI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UELC-Bld_ELEWIN_CHI</v>
      </c>
      <c r="D7" t="str">
        <f ca="1">VLOOKUP("1"&amp;$A$1,'WEPSReg-Countrymap'!$D$2:$E$232,2,FALSE)</f>
        <v>*[_]CHN*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ELEWIN_CHI</v>
      </c>
    </row>
    <row r="8" spans="1:14" x14ac:dyDescent="0.35">
      <c r="D8" t="str">
        <f ca="1">"EBldRateStep_Win_2_"&amp;$A$1&amp;",EBldRateStep_Win_3_"&amp;$A$1</f>
        <v>EBldRateStep_Win_2_CHI,EBldRateStep_Win_3_CHI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UELC-Bld_ELEWIN-step2_CHI</v>
      </c>
      <c r="D9" t="str">
        <f ca="1">$D$7</f>
        <v>*[_]CHN*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ELEWIN_CHI</v>
      </c>
    </row>
    <row r="10" spans="1:14" x14ac:dyDescent="0.35">
      <c r="D10" t="str">
        <f ca="1">"EBldRateStep_Win_2_"&amp;$A$1</f>
        <v>EBldRateStep_Win_2_CHI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UELC-Bld_ELEWIN-step3_CHI</v>
      </c>
      <c r="D11" t="str">
        <f ca="1">$D$7</f>
        <v>*[_]CHN*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ELEWIN_CHI</v>
      </c>
    </row>
    <row r="12" spans="1:14" x14ac:dyDescent="0.35">
      <c r="D12" t="str">
        <f ca="1">"EBldRateStep_Win_3_"&amp;$A$1</f>
        <v>EBldRateStep_Win_3_CHI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UELC-Bld_ELESOL_CHI</v>
      </c>
      <c r="D13" t="str">
        <f ca="1">$D$7</f>
        <v>*[_]CHN*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ELESOL_CHI</v>
      </c>
    </row>
    <row r="14" spans="1:14" x14ac:dyDescent="0.35">
      <c r="D14" t="str">
        <f ca="1">"EBldRateStep_Sol_2_"&amp;$A$1&amp;",EBldRateStep_Sol_3_"&amp;$A$1</f>
        <v>EBldRateStep_Sol_2_CHI,EBldRateStep_Sol_3_CHI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UELC-Bld_ELESOL-step2_CHI</v>
      </c>
      <c r="D15" t="str">
        <f ca="1">$D$7</f>
        <v>*[_]CHN*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ELESOL_CHI</v>
      </c>
    </row>
    <row r="16" spans="1:14" x14ac:dyDescent="0.35">
      <c r="D16" t="str">
        <f ca="1">"EBldRateStep_Sol_2_"&amp;$A$1</f>
        <v>EBldRateStep_Sol_2_CHI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UELC-Bld_ELESOL-step3_CHI</v>
      </c>
      <c r="D17" t="str">
        <f ca="1">$D$7</f>
        <v>*[_]CHN*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ELESOL_CHI</v>
      </c>
    </row>
    <row r="18" spans="1:14" x14ac:dyDescent="0.35">
      <c r="D18" t="str">
        <f ca="1">"EBldRateStep_Sol_3_"&amp;$A$1</f>
        <v>EBldRateStep_Sol_3_CHI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UELC-Bld_ELEHYD_CHI</v>
      </c>
      <c r="D19" t="str">
        <f ca="1">$D$7</f>
        <v>*[_]CHN*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ELEHYD_CHI</v>
      </c>
    </row>
    <row r="20" spans="1:14" x14ac:dyDescent="0.35">
      <c r="D20" t="str">
        <f ca="1">"EBldRateStep_Hyd_2_"&amp;$A$1&amp;",EBldRateStep_Hyd_3_"&amp;$A$1</f>
        <v>EBldRateStep_Hyd_2_CHI,EBldRateStep_Hyd_3_CHI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UELC-Bld_ELEHYD-step2_CHI</v>
      </c>
      <c r="D21" t="str">
        <f ca="1">$D$7</f>
        <v>*[_]CHN*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ELEHYD_CHI</v>
      </c>
    </row>
    <row r="22" spans="1:14" x14ac:dyDescent="0.35">
      <c r="D22" t="str">
        <f ca="1">"EBldRateStep_Hyd_2_"&amp;$A$1</f>
        <v>EBldRateStep_Hyd_2_CHI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UELC-Bld_ELEHYD-step3_CHI</v>
      </c>
      <c r="D23" t="str">
        <f ca="1">$D$7</f>
        <v>*[_]CHN*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ELEHYD_CHI</v>
      </c>
    </row>
    <row r="24" spans="1:14" x14ac:dyDescent="0.35">
      <c r="D24" t="str">
        <f ca="1">"EBldRateStep_Hyd_3_"&amp;$A$1</f>
        <v>EBldRateStep_Hyd_3_CHI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UELC-Inv19_wn_CHI</v>
      </c>
      <c r="D25" t="str">
        <f ca="1">$D$7</f>
        <v>*[_]CHN*</v>
      </c>
      <c r="E25" t="s">
        <v>56</v>
      </c>
      <c r="G25" t="s">
        <v>20</v>
      </c>
      <c r="J25">
        <v>1</v>
      </c>
      <c r="L25" s="10">
        <f ca="1">SUMIFS(HistoricalBuilds!$C$2:$C$300,HistoricalBuilds!$A$2:$A$300,CHI!A$1,HistoricalBuilds!$B$2:$B$300,CHI!$A25)*$L$1</f>
        <v>33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UELC-Inv19_sl_CHI</v>
      </c>
      <c r="D26" t="str">
        <f ca="1">$D$7</f>
        <v>*[_]CHN*</v>
      </c>
      <c r="E26" t="s">
        <v>57</v>
      </c>
      <c r="G26" t="s">
        <v>20</v>
      </c>
      <c r="J26">
        <v>1</v>
      </c>
      <c r="L26" s="10">
        <f ca="1">SUMIFS(HistoricalBuilds!$C$2:$C$300,HistoricalBuilds!$A$2:$A$300,CHI!A$1,HistoricalBuilds!$B$2:$B$300,CHI!$A26)*$L$1</f>
        <v>52.999999999999986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UELC-Inv19_he_CHI</v>
      </c>
      <c r="D27" t="str">
        <f ca="1">$D$7</f>
        <v>*[_]CHN*</v>
      </c>
      <c r="E27" t="s">
        <v>86</v>
      </c>
      <c r="G27" t="s">
        <v>20</v>
      </c>
      <c r="J27">
        <v>1</v>
      </c>
      <c r="L27" s="10">
        <f ca="1">SUMIFS(HistoricalBuilds!$C$2:$C$300,HistoricalBuilds!$A$2:$A$300,CHI!A$1,HistoricalBuilds!$B$2:$B$300,CHI!$A27)*$L$1</f>
        <v>29.770000000000039</v>
      </c>
      <c r="M27">
        <v>4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A095-B949-401F-84DD-3C76F3CD0356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IND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UELC-Bld_ELEWIN_IND</v>
      </c>
      <c r="D7" t="str">
        <f ca="1">VLOOKUP("1"&amp;$A$1,'WEPSReg-Countrymap'!$D$2:$E$232,2,FALSE)</f>
        <v>*[_]IND*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ELEWIN_IND</v>
      </c>
    </row>
    <row r="8" spans="1:14" x14ac:dyDescent="0.35">
      <c r="D8" t="str">
        <f ca="1">"EBldRateStep_Win_2_"&amp;$A$1&amp;",EBldRateStep_Win_3_"&amp;$A$1</f>
        <v>EBldRateStep_Win_2_IND,EBldRateStep_Win_3_IND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UELC-Bld_ELEWIN-step2_IND</v>
      </c>
      <c r="D9" t="str">
        <f ca="1">$D$7</f>
        <v>*[_]IND*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ELEWIN_IND</v>
      </c>
    </row>
    <row r="10" spans="1:14" x14ac:dyDescent="0.35">
      <c r="D10" t="str">
        <f ca="1">"EBldRateStep_Win_2_"&amp;$A$1</f>
        <v>EBldRateStep_Win_2_IND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UELC-Bld_ELEWIN-step3_IND</v>
      </c>
      <c r="D11" t="str">
        <f ca="1">$D$7</f>
        <v>*[_]IND*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ELEWIN_IND</v>
      </c>
    </row>
    <row r="12" spans="1:14" x14ac:dyDescent="0.35">
      <c r="D12" t="str">
        <f ca="1">"EBldRateStep_Win_3_"&amp;$A$1</f>
        <v>EBldRateStep_Win_3_IND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UELC-Bld_ELESOL_IND</v>
      </c>
      <c r="D13" t="str">
        <f ca="1">$D$7</f>
        <v>*[_]IND*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ELESOL_IND</v>
      </c>
    </row>
    <row r="14" spans="1:14" x14ac:dyDescent="0.35">
      <c r="D14" t="str">
        <f ca="1">"EBldRateStep_Sol_2_"&amp;$A$1&amp;",EBldRateStep_Sol_3_"&amp;$A$1</f>
        <v>EBldRateStep_Sol_2_IND,EBldRateStep_Sol_3_IND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UELC-Bld_ELESOL-step2_IND</v>
      </c>
      <c r="D15" t="str">
        <f ca="1">$D$7</f>
        <v>*[_]IND*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ELESOL_IND</v>
      </c>
    </row>
    <row r="16" spans="1:14" x14ac:dyDescent="0.35">
      <c r="D16" t="str">
        <f ca="1">"EBldRateStep_Sol_2_"&amp;$A$1</f>
        <v>EBldRateStep_Sol_2_IND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UELC-Bld_ELESOL-step3_IND</v>
      </c>
      <c r="D17" t="str">
        <f ca="1">$D$7</f>
        <v>*[_]IND*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ELESOL_IND</v>
      </c>
    </row>
    <row r="18" spans="1:14" x14ac:dyDescent="0.35">
      <c r="D18" t="str">
        <f ca="1">"EBldRateStep_Sol_3_"&amp;$A$1</f>
        <v>EBldRateStep_Sol_3_IND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UELC-Bld_ELEHYD_IND</v>
      </c>
      <c r="D19" t="str">
        <f ca="1">$D$7</f>
        <v>*[_]IND*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ELEHYD_IND</v>
      </c>
    </row>
    <row r="20" spans="1:14" x14ac:dyDescent="0.35">
      <c r="D20" t="str">
        <f ca="1">"EBldRateStep_Hyd_2_"&amp;$A$1&amp;",EBldRateStep_Hyd_3_"&amp;$A$1</f>
        <v>EBldRateStep_Hyd_2_IND,EBldRateStep_Hyd_3_IND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UELC-Bld_ELEHYD-step2_IND</v>
      </c>
      <c r="D21" t="str">
        <f ca="1">$D$7</f>
        <v>*[_]IND*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ELEHYD_IND</v>
      </c>
    </row>
    <row r="22" spans="1:14" x14ac:dyDescent="0.35">
      <c r="D22" t="str">
        <f ca="1">"EBldRateStep_Hyd_2_"&amp;$A$1</f>
        <v>EBldRateStep_Hyd_2_IND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UELC-Bld_ELEHYD-step3_IND</v>
      </c>
      <c r="D23" t="str">
        <f ca="1">$D$7</f>
        <v>*[_]IND*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ELEHYD_IND</v>
      </c>
    </row>
    <row r="24" spans="1:14" x14ac:dyDescent="0.35">
      <c r="D24" t="str">
        <f ca="1">"EBldRateStep_Hyd_3_"&amp;$A$1</f>
        <v>EBldRateStep_Hyd_3_IND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UELC-Inv19_wn_IND</v>
      </c>
      <c r="D25" t="str">
        <f ca="1">$D$7</f>
        <v>*[_]IND*</v>
      </c>
      <c r="E25" t="s">
        <v>56</v>
      </c>
      <c r="G25" t="s">
        <v>20</v>
      </c>
      <c r="J25">
        <v>1</v>
      </c>
      <c r="L25" s="10">
        <f ca="1">SUMIFS(HistoricalBuilds!$C$2:$C$300,HistoricalBuilds!$A$2:$A$300,IND!A$1,HistoricalBuilds!$B$2:$B$300,IND!$A25)*$L$1</f>
        <v>4.5999999999999979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UELC-Inv19_sl_IND</v>
      </c>
      <c r="D26" t="str">
        <f ca="1">$D$7</f>
        <v>*[_]IND*</v>
      </c>
      <c r="E26" t="s">
        <v>57</v>
      </c>
      <c r="G26" t="s">
        <v>20</v>
      </c>
      <c r="J26">
        <v>1</v>
      </c>
      <c r="L26" s="10">
        <f ca="1">SUMIFS(HistoricalBuilds!$C$2:$C$300,HistoricalBuilds!$A$2:$A$300,IND!A$1,HistoricalBuilds!$B$2:$B$300,IND!$A26)*$L$1</f>
        <v>9.2035680000000006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UELC-Inv19_he_IND</v>
      </c>
      <c r="D27" t="str">
        <f ca="1">$D$7</f>
        <v>*[_]IND*</v>
      </c>
      <c r="E27" t="s">
        <v>86</v>
      </c>
      <c r="G27" t="s">
        <v>20</v>
      </c>
      <c r="J27">
        <v>1</v>
      </c>
      <c r="L27" s="10">
        <f ca="1">SUMIFS(HistoricalBuilds!$C$2:$C$300,HistoricalBuilds!$A$2:$A$300,IND!A$1,HistoricalBuilds!$B$2:$B$300,IND!$A27)*$L$1</f>
        <v>4.713000000000001</v>
      </c>
      <c r="M27">
        <v>4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9E27-FE57-4EC9-B017-61F4EDF7D496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JPN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UELC-Bld_ELEWIN_JPN</v>
      </c>
      <c r="D7" t="str">
        <f ca="1">VLOOKUP("1"&amp;$A$1,'WEPSReg-Countrymap'!$D$2:$E$232,2,FALSE)</f>
        <v>*[_]JPN*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ELEWIN_JPN</v>
      </c>
    </row>
    <row r="8" spans="1:14" x14ac:dyDescent="0.35">
      <c r="D8" t="str">
        <f ca="1">"EBldRateStep_Win_2_"&amp;$A$1&amp;",EBldRateStep_Win_3_"&amp;$A$1</f>
        <v>EBldRateStep_Win_2_JPN,EBldRateStep_Win_3_JPN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UELC-Bld_ELEWIN-step2_JPN</v>
      </c>
      <c r="D9" t="str">
        <f ca="1">$D$7</f>
        <v>*[_]JPN*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ELEWIN_JPN</v>
      </c>
    </row>
    <row r="10" spans="1:14" x14ac:dyDescent="0.35">
      <c r="D10" t="str">
        <f ca="1">"EBldRateStep_Win_2_"&amp;$A$1</f>
        <v>EBldRateStep_Win_2_JPN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UELC-Bld_ELEWIN-step3_JPN</v>
      </c>
      <c r="D11" t="str">
        <f ca="1">$D$7</f>
        <v>*[_]JPN*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ELEWIN_JPN</v>
      </c>
    </row>
    <row r="12" spans="1:14" x14ac:dyDescent="0.35">
      <c r="D12" t="str">
        <f ca="1">"EBldRateStep_Win_3_"&amp;$A$1</f>
        <v>EBldRateStep_Win_3_JPN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UELC-Bld_ELESOL_JPN</v>
      </c>
      <c r="D13" t="str">
        <f ca="1">$D$7</f>
        <v>*[_]JPN*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ELESOL_JPN</v>
      </c>
    </row>
    <row r="14" spans="1:14" x14ac:dyDescent="0.35">
      <c r="D14" t="str">
        <f ca="1">"EBldRateStep_Sol_2_"&amp;$A$1&amp;",EBldRateStep_Sol_3_"&amp;$A$1</f>
        <v>EBldRateStep_Sol_2_JPN,EBldRateStep_Sol_3_JPN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UELC-Bld_ELESOL-step2_JPN</v>
      </c>
      <c r="D15" t="str">
        <f ca="1">$D$7</f>
        <v>*[_]JPN*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ELESOL_JPN</v>
      </c>
    </row>
    <row r="16" spans="1:14" x14ac:dyDescent="0.35">
      <c r="D16" t="str">
        <f ca="1">"EBldRateStep_Sol_2_"&amp;$A$1</f>
        <v>EBldRateStep_Sol_2_JPN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UELC-Bld_ELESOL-step3_JPN</v>
      </c>
      <c r="D17" t="str">
        <f ca="1">$D$7</f>
        <v>*[_]JPN*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ELESOL_JPN</v>
      </c>
    </row>
    <row r="18" spans="1:14" x14ac:dyDescent="0.35">
      <c r="D18" t="str">
        <f ca="1">"EBldRateStep_Sol_3_"&amp;$A$1</f>
        <v>EBldRateStep_Sol_3_JPN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UELC-Bld_ELEHYD_JPN</v>
      </c>
      <c r="D19" t="str">
        <f ca="1">$D$7</f>
        <v>*[_]JPN*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ELEHYD_JPN</v>
      </c>
    </row>
    <row r="20" spans="1:14" x14ac:dyDescent="0.35">
      <c r="D20" t="str">
        <f ca="1">"EBldRateStep_Hyd_2_"&amp;$A$1&amp;",EBldRateStep_Hyd_3_"&amp;$A$1</f>
        <v>EBldRateStep_Hyd_2_JPN,EBldRateStep_Hyd_3_JPN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UELC-Bld_ELEHYD-step2_JPN</v>
      </c>
      <c r="D21" t="str">
        <f ca="1">$D$7</f>
        <v>*[_]JPN*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ELEHYD_JPN</v>
      </c>
    </row>
    <row r="22" spans="1:14" x14ac:dyDescent="0.35">
      <c r="D22" t="str">
        <f ca="1">"EBldRateStep_Hyd_2_"&amp;$A$1</f>
        <v>EBldRateStep_Hyd_2_JPN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UELC-Bld_ELEHYD-step3_JPN</v>
      </c>
      <c r="D23" t="str">
        <f ca="1">$D$7</f>
        <v>*[_]JPN*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ELEHYD_JPN</v>
      </c>
    </row>
    <row r="24" spans="1:14" x14ac:dyDescent="0.35">
      <c r="D24" t="str">
        <f ca="1">"EBldRateStep_Hyd_3_"&amp;$A$1</f>
        <v>EBldRateStep_Hyd_3_JPN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UELC-Inv19_wn_JPN</v>
      </c>
      <c r="D25" t="str">
        <f ca="1">$D$7</f>
        <v>*[_]JPN*</v>
      </c>
      <c r="E25" t="s">
        <v>56</v>
      </c>
      <c r="G25" t="s">
        <v>20</v>
      </c>
      <c r="J25">
        <v>1</v>
      </c>
      <c r="L25" s="10">
        <f ca="1">SUMIFS(HistoricalBuilds!$C$2:$C$300,HistoricalBuilds!$A$2:$A$300,JPN!A$1,HistoricalBuilds!$B$2:$B$300,JPN!$A25)*$L$1</f>
        <v>0.57799999999999985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UELC-Inv19_sl_JPN</v>
      </c>
      <c r="D26" t="str">
        <f ca="1">$D$7</f>
        <v>*[_]JPN*</v>
      </c>
      <c r="E26" t="s">
        <v>57</v>
      </c>
      <c r="G26" t="s">
        <v>20</v>
      </c>
      <c r="J26">
        <v>1</v>
      </c>
      <c r="L26" s="10">
        <f ca="1">SUMIFS(HistoricalBuilds!$C$2:$C$300,HistoricalBuilds!$A$2:$A$300,JPN!A$1,HistoricalBuilds!$B$2:$B$300,JPN!$A26)*$L$1</f>
        <v>10.811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UELC-Inv19_he_JPN</v>
      </c>
      <c r="D27" t="str">
        <f ca="1">$D$7</f>
        <v>*[_]JPN*</v>
      </c>
      <c r="E27" t="s">
        <v>86</v>
      </c>
      <c r="G27" t="s">
        <v>20</v>
      </c>
      <c r="J27">
        <v>1</v>
      </c>
      <c r="L27" s="10">
        <f ca="1">SUMIFS(HistoricalBuilds!$C$2:$C$300,HistoricalBuilds!$A$2:$A$300,JPN!A$1,HistoricalBuilds!$B$2:$B$300,JPN!$A27)*$L$1</f>
        <v>1.7160000000000011</v>
      </c>
      <c r="M27">
        <v>4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9C99-BBAB-4219-8F9D-CB33AE693486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MID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UELC-Bld_ELEWIN_MID</v>
      </c>
      <c r="D7" t="str">
        <f ca="1">VLOOKUP("1"&amp;$A$1,'WEPSReg-Countrymap'!$D$2:$E$232,2,FALSE)</f>
        <v>*[_]ARE*,*[_]BHR*,*[_]CYP*,*[_]IRN*,*[_]IRQ*,*[_]JOR*,*[_]KWT*,*[_]LBN*,*[_]OMN*,*[_]PSE*,*[_]QAT*,*[_]SAU*,*[_]SYR*,*[_]YEM*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ELEWIN_MID</v>
      </c>
    </row>
    <row r="8" spans="1:14" x14ac:dyDescent="0.35">
      <c r="D8" t="str">
        <f ca="1">"EBldRateStep_Win_2_"&amp;$A$1&amp;",EBldRateStep_Win_3_"&amp;$A$1</f>
        <v>EBldRateStep_Win_2_MID,EBldRateStep_Win_3_MID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UELC-Bld_ELEWIN-step2_MID</v>
      </c>
      <c r="D9" t="str">
        <f ca="1">$D$7</f>
        <v>*[_]ARE*,*[_]BHR*,*[_]CYP*,*[_]IRN*,*[_]IRQ*,*[_]JOR*,*[_]KWT*,*[_]LBN*,*[_]OMN*,*[_]PSE*,*[_]QAT*,*[_]SAU*,*[_]SYR*,*[_]YEM*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ELEWIN_MID</v>
      </c>
    </row>
    <row r="10" spans="1:14" x14ac:dyDescent="0.35">
      <c r="D10" t="str">
        <f ca="1">"EBldRateStep_Win_2_"&amp;$A$1</f>
        <v>EBldRateStep_Win_2_MID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UELC-Bld_ELEWIN-step3_MID</v>
      </c>
      <c r="D11" t="str">
        <f ca="1">$D$7</f>
        <v>*[_]ARE*,*[_]BHR*,*[_]CYP*,*[_]IRN*,*[_]IRQ*,*[_]JOR*,*[_]KWT*,*[_]LBN*,*[_]OMN*,*[_]PSE*,*[_]QAT*,*[_]SAU*,*[_]SYR*,*[_]YEM*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ELEWIN_MID</v>
      </c>
    </row>
    <row r="12" spans="1:14" x14ac:dyDescent="0.35">
      <c r="D12" t="str">
        <f ca="1">"EBldRateStep_Win_3_"&amp;$A$1</f>
        <v>EBldRateStep_Win_3_MID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UELC-Bld_ELESOL_MID</v>
      </c>
      <c r="D13" t="str">
        <f ca="1">$D$7</f>
        <v>*[_]ARE*,*[_]BHR*,*[_]CYP*,*[_]IRN*,*[_]IRQ*,*[_]JOR*,*[_]KWT*,*[_]LBN*,*[_]OMN*,*[_]PSE*,*[_]QAT*,*[_]SAU*,*[_]SYR*,*[_]YEM*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ELESOL_MID</v>
      </c>
    </row>
    <row r="14" spans="1:14" x14ac:dyDescent="0.35">
      <c r="D14" t="str">
        <f ca="1">"EBldRateStep_Sol_2_"&amp;$A$1&amp;",EBldRateStep_Sol_3_"&amp;$A$1</f>
        <v>EBldRateStep_Sol_2_MID,EBldRateStep_Sol_3_MID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UELC-Bld_ELESOL-step2_MID</v>
      </c>
      <c r="D15" t="str">
        <f ca="1">$D$7</f>
        <v>*[_]ARE*,*[_]BHR*,*[_]CYP*,*[_]IRN*,*[_]IRQ*,*[_]JOR*,*[_]KWT*,*[_]LBN*,*[_]OMN*,*[_]PSE*,*[_]QAT*,*[_]SAU*,*[_]SYR*,*[_]YEM*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ELESOL_MID</v>
      </c>
    </row>
    <row r="16" spans="1:14" x14ac:dyDescent="0.35">
      <c r="D16" t="str">
        <f ca="1">"EBldRateStep_Sol_2_"&amp;$A$1</f>
        <v>EBldRateStep_Sol_2_MID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UELC-Bld_ELESOL-step3_MID</v>
      </c>
      <c r="D17" t="str">
        <f ca="1">$D$7</f>
        <v>*[_]ARE*,*[_]BHR*,*[_]CYP*,*[_]IRN*,*[_]IRQ*,*[_]JOR*,*[_]KWT*,*[_]LBN*,*[_]OMN*,*[_]PSE*,*[_]QAT*,*[_]SAU*,*[_]SYR*,*[_]YEM*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ELESOL_MID</v>
      </c>
    </row>
    <row r="18" spans="1:14" x14ac:dyDescent="0.35">
      <c r="D18" t="str">
        <f ca="1">"EBldRateStep_Sol_3_"&amp;$A$1</f>
        <v>EBldRateStep_Sol_3_MID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UELC-Bld_ELEHYD_MID</v>
      </c>
      <c r="D19" t="str">
        <f ca="1">$D$7</f>
        <v>*[_]ARE*,*[_]BHR*,*[_]CYP*,*[_]IRN*,*[_]IRQ*,*[_]JOR*,*[_]KWT*,*[_]LBN*,*[_]OMN*,*[_]PSE*,*[_]QAT*,*[_]SAU*,*[_]SYR*,*[_]YEM*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ELEHYD_MID</v>
      </c>
    </row>
    <row r="20" spans="1:14" x14ac:dyDescent="0.35">
      <c r="D20" t="str">
        <f ca="1">"EBldRateStep_Hyd_2_"&amp;$A$1&amp;",EBldRateStep_Hyd_3_"&amp;$A$1</f>
        <v>EBldRateStep_Hyd_2_MID,EBldRateStep_Hyd_3_MID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UELC-Bld_ELEHYD-step2_MID</v>
      </c>
      <c r="D21" t="str">
        <f ca="1">$D$7</f>
        <v>*[_]ARE*,*[_]BHR*,*[_]CYP*,*[_]IRN*,*[_]IRQ*,*[_]JOR*,*[_]KWT*,*[_]LBN*,*[_]OMN*,*[_]PSE*,*[_]QAT*,*[_]SAU*,*[_]SYR*,*[_]YEM*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ELEHYD_MID</v>
      </c>
    </row>
    <row r="22" spans="1:14" x14ac:dyDescent="0.35">
      <c r="D22" t="str">
        <f ca="1">"EBldRateStep_Hyd_2_"&amp;$A$1</f>
        <v>EBldRateStep_Hyd_2_MID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UELC-Bld_ELEHYD-step3_MID</v>
      </c>
      <c r="D23" t="str">
        <f ca="1">$D$7</f>
        <v>*[_]ARE*,*[_]BHR*,*[_]CYP*,*[_]IRN*,*[_]IRQ*,*[_]JOR*,*[_]KWT*,*[_]LBN*,*[_]OMN*,*[_]PSE*,*[_]QAT*,*[_]SAU*,*[_]SYR*,*[_]YEM*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ELEHYD_MID</v>
      </c>
    </row>
    <row r="24" spans="1:14" x14ac:dyDescent="0.35">
      <c r="D24" t="str">
        <f ca="1">"EBldRateStep_Hyd_3_"&amp;$A$1</f>
        <v>EBldRateStep_Hyd_3_MID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UELC-Inv19_wn_MID</v>
      </c>
      <c r="D25" t="str">
        <f ca="1">$D$7</f>
        <v>*[_]ARE*,*[_]BHR*,*[_]CYP*,*[_]IRN*,*[_]IRQ*,*[_]JOR*,*[_]KWT*,*[_]LBN*,*[_]OMN*,*[_]PSE*,*[_]QAT*,*[_]SAU*,*[_]SYR*,*[_]YEM*</v>
      </c>
      <c r="E25" t="s">
        <v>56</v>
      </c>
      <c r="G25" t="s">
        <v>20</v>
      </c>
      <c r="J25">
        <v>1</v>
      </c>
      <c r="L25" s="10">
        <f ca="1">SUMIFS(HistoricalBuilds!$C$2:$C$300,HistoricalBuilds!$A$2:$A$300,MID!A$1,HistoricalBuilds!$B$2:$B$300,MID!$A25)*$L$1</f>
        <v>0.18909999999999999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UELC-Inv19_sl_MID</v>
      </c>
      <c r="D26" t="str">
        <f ca="1">$D$7</f>
        <v>*[_]ARE*,*[_]BHR*,*[_]CYP*,*[_]IRN*,*[_]IRQ*,*[_]JOR*,*[_]KWT*,*[_]LBN*,*[_]OMN*,*[_]PSE*,*[_]QAT*,*[_]SAU*,*[_]SYR*,*[_]YEM*</v>
      </c>
      <c r="E26" t="s">
        <v>57</v>
      </c>
      <c r="G26" t="s">
        <v>20</v>
      </c>
      <c r="J26">
        <v>1</v>
      </c>
      <c r="L26" s="10">
        <f ca="1">SUMIFS(HistoricalBuilds!$C$2:$C$300,HistoricalBuilds!$A$2:$A$300,MID!A$1,HistoricalBuilds!$B$2:$B$300,MID!$A26)*$L$1</f>
        <v>1.2027999999999999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UELC-Inv19_he_MID</v>
      </c>
      <c r="D27" t="str">
        <f ca="1">$D$7</f>
        <v>*[_]ARE*,*[_]BHR*,*[_]CYP*,*[_]IRN*,*[_]IRQ*,*[_]JOR*,*[_]KWT*,*[_]LBN*,*[_]OMN*,*[_]PSE*,*[_]QAT*,*[_]SAU*,*[_]SYR*,*[_]YEM*</v>
      </c>
      <c r="E27" t="s">
        <v>86</v>
      </c>
      <c r="G27" t="s">
        <v>20</v>
      </c>
      <c r="J27">
        <v>1</v>
      </c>
      <c r="L27" s="10">
        <f ca="1">SUMIFS(HistoricalBuilds!$C$2:$C$300,HistoricalBuilds!$A$2:$A$300,MID!A$1,HistoricalBuilds!$B$2:$B$300,MID!$A27)*$L$1</f>
        <v>1.5670000000000002</v>
      </c>
      <c r="M27">
        <v>4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9983-A7AB-47D8-86AD-EA830E0408F3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MXC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UELC-Bld_ELEWIN_MXC</v>
      </c>
      <c r="D7" t="str">
        <f ca="1">VLOOKUP("1"&amp;$A$1,'WEPSReg-Countrymap'!$D$2:$E$232,2,FALSE)</f>
        <v>*[_]MEX*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ELEWIN_MXC</v>
      </c>
    </row>
    <row r="8" spans="1:14" x14ac:dyDescent="0.35">
      <c r="D8" t="str">
        <f ca="1">"EBldRateStep_Win_2_"&amp;$A$1&amp;",EBldRateStep_Win_3_"&amp;$A$1</f>
        <v>EBldRateStep_Win_2_MXC,EBldRateStep_Win_3_MXC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UELC-Bld_ELEWIN-step2_MXC</v>
      </c>
      <c r="D9" t="str">
        <f ca="1">$D$7</f>
        <v>*[_]MEX*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ELEWIN_MXC</v>
      </c>
    </row>
    <row r="10" spans="1:14" x14ac:dyDescent="0.35">
      <c r="D10" t="str">
        <f ca="1">"EBldRateStep_Win_2_"&amp;$A$1</f>
        <v>EBldRateStep_Win_2_MXC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UELC-Bld_ELEWIN-step3_MXC</v>
      </c>
      <c r="D11" t="str">
        <f ca="1">$D$7</f>
        <v>*[_]MEX*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ELEWIN_MXC</v>
      </c>
    </row>
    <row r="12" spans="1:14" x14ac:dyDescent="0.35">
      <c r="D12" t="str">
        <f ca="1">"EBldRateStep_Win_3_"&amp;$A$1</f>
        <v>EBldRateStep_Win_3_MXC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UELC-Bld_ELESOL_MXC</v>
      </c>
      <c r="D13" t="str">
        <f ca="1">$D$7</f>
        <v>*[_]MEX*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ELESOL_MXC</v>
      </c>
    </row>
    <row r="14" spans="1:14" x14ac:dyDescent="0.35">
      <c r="D14" t="str">
        <f ca="1">"EBldRateStep_Sol_2_"&amp;$A$1&amp;",EBldRateStep_Sol_3_"&amp;$A$1</f>
        <v>EBldRateStep_Sol_2_MXC,EBldRateStep_Sol_3_MXC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UELC-Bld_ELESOL-step2_MXC</v>
      </c>
      <c r="D15" t="str">
        <f ca="1">$D$7</f>
        <v>*[_]MEX*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ELESOL_MXC</v>
      </c>
    </row>
    <row r="16" spans="1:14" x14ac:dyDescent="0.35">
      <c r="D16" t="str">
        <f ca="1">"EBldRateStep_Sol_2_"&amp;$A$1</f>
        <v>EBldRateStep_Sol_2_MXC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UELC-Bld_ELESOL-step3_MXC</v>
      </c>
      <c r="D17" t="str">
        <f ca="1">$D$7</f>
        <v>*[_]MEX*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ELESOL_MXC</v>
      </c>
    </row>
    <row r="18" spans="1:14" x14ac:dyDescent="0.35">
      <c r="D18" t="str">
        <f ca="1">"EBldRateStep_Sol_3_"&amp;$A$1</f>
        <v>EBldRateStep_Sol_3_MXC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UELC-Bld_ELEHYD_MXC</v>
      </c>
      <c r="D19" t="str">
        <f ca="1">$D$7</f>
        <v>*[_]MEX*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ELEHYD_MXC</v>
      </c>
    </row>
    <row r="20" spans="1:14" x14ac:dyDescent="0.35">
      <c r="D20" t="str">
        <f ca="1">"EBldRateStep_Hyd_2_"&amp;$A$1&amp;",EBldRateStep_Hyd_3_"&amp;$A$1</f>
        <v>EBldRateStep_Hyd_2_MXC,EBldRateStep_Hyd_3_MXC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UELC-Bld_ELEHYD-step2_MXC</v>
      </c>
      <c r="D21" t="str">
        <f ca="1">$D$7</f>
        <v>*[_]MEX*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ELEHYD_MXC</v>
      </c>
    </row>
    <row r="22" spans="1:14" x14ac:dyDescent="0.35">
      <c r="D22" t="str">
        <f ca="1">"EBldRateStep_Hyd_2_"&amp;$A$1</f>
        <v>EBldRateStep_Hyd_2_MXC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UELC-Bld_ELEHYD-step3_MXC</v>
      </c>
      <c r="D23" t="str">
        <f ca="1">$D$7</f>
        <v>*[_]MEX*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ELEHYD_MXC</v>
      </c>
    </row>
    <row r="24" spans="1:14" x14ac:dyDescent="0.35">
      <c r="D24" t="str">
        <f ca="1">"EBldRateStep_Hyd_3_"&amp;$A$1</f>
        <v>EBldRateStep_Hyd_3_MXC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UELC-Inv19_wn_MXC</v>
      </c>
      <c r="D25" t="str">
        <f ca="1">$D$7</f>
        <v>*[_]MEX*</v>
      </c>
      <c r="E25" t="s">
        <v>56</v>
      </c>
      <c r="G25" t="s">
        <v>20</v>
      </c>
      <c r="J25">
        <v>1</v>
      </c>
      <c r="L25" s="10">
        <f ca="1">SUMIFS(HistoricalBuilds!$C$2:$C$9999,HistoricalBuilds!$A$2:$A$9999,MXC!A$1,HistoricalBuilds!$B$2:$B$9999,MXC!$A25)*$L$1</f>
        <v>1.3570000000000002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UELC-Inv19_sl_MXC</v>
      </c>
      <c r="D26" t="str">
        <f ca="1">$D$7</f>
        <v>*[_]MEX*</v>
      </c>
      <c r="E26" t="s">
        <v>57</v>
      </c>
      <c r="G26" t="s">
        <v>20</v>
      </c>
      <c r="J26">
        <v>1</v>
      </c>
      <c r="L26" s="10">
        <f ca="1">SUMIFS(HistoricalBuilds!$C$2:$C$9999,HistoricalBuilds!$A$2:$A$9999,MXC!A$1,HistoricalBuilds!$B$2:$B$9999,MXC!$A26)*$L$1</f>
        <v>2.4713920000000003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UELC-Inv19_he_MXC</v>
      </c>
      <c r="D27" t="str">
        <f ca="1">$D$7</f>
        <v>*[_]MEX*</v>
      </c>
      <c r="E27" t="s">
        <v>86</v>
      </c>
      <c r="G27" t="s">
        <v>20</v>
      </c>
      <c r="J27">
        <v>1</v>
      </c>
      <c r="L27" s="10">
        <f ca="1">SUMIFS(HistoricalBuilds!$C$2:$C$9999,HistoricalBuilds!$A$2:$A$9999,MXC!A$1,HistoricalBuilds!$B$2:$B$9999,MXC!$A27)*$L$1</f>
        <v>2.7139999999999986</v>
      </c>
      <c r="M27">
        <v>4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58A4-CB8A-4D43-8347-676189DD9190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RUS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UELC-Bld_ELEWIN_RUS</v>
      </c>
      <c r="D7" t="str">
        <f ca="1">VLOOKUP("1"&amp;$A$1,'WEPSReg-Countrymap'!$D$2:$E$232,2,FALSE)</f>
        <v>*[_]RUS*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ELEWIN_RUS</v>
      </c>
    </row>
    <row r="8" spans="1:14" x14ac:dyDescent="0.35">
      <c r="D8" t="str">
        <f ca="1">"EBldRateStep_Win_2_"&amp;$A$1&amp;",EBldRateStep_Win_3_"&amp;$A$1</f>
        <v>EBldRateStep_Win_2_RUS,EBldRateStep_Win_3_RUS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UELC-Bld_ELEWIN-step2_RUS</v>
      </c>
      <c r="D9" t="str">
        <f ca="1">$D$7</f>
        <v>*[_]RUS*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ELEWIN_RUS</v>
      </c>
    </row>
    <row r="10" spans="1:14" x14ac:dyDescent="0.35">
      <c r="D10" t="str">
        <f ca="1">"EBldRateStep_Win_2_"&amp;$A$1</f>
        <v>EBldRateStep_Win_2_RUS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UELC-Bld_ELEWIN-step3_RUS</v>
      </c>
      <c r="D11" t="str">
        <f ca="1">$D$7</f>
        <v>*[_]RUS*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ELEWIN_RUS</v>
      </c>
    </row>
    <row r="12" spans="1:14" x14ac:dyDescent="0.35">
      <c r="D12" t="str">
        <f ca="1">"EBldRateStep_Win_3_"&amp;$A$1</f>
        <v>EBldRateStep_Win_3_RUS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UELC-Bld_ELESOL_RUS</v>
      </c>
      <c r="D13" t="str">
        <f ca="1">$D$7</f>
        <v>*[_]RUS*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ELESOL_RUS</v>
      </c>
    </row>
    <row r="14" spans="1:14" x14ac:dyDescent="0.35">
      <c r="D14" t="str">
        <f ca="1">"EBldRateStep_Sol_2_"&amp;$A$1&amp;",EBldRateStep_Sol_3_"&amp;$A$1</f>
        <v>EBldRateStep_Sol_2_RUS,EBldRateStep_Sol_3_RUS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UELC-Bld_ELESOL-step2_RUS</v>
      </c>
      <c r="D15" t="str">
        <f ca="1">$D$7</f>
        <v>*[_]RUS*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ELESOL_RUS</v>
      </c>
    </row>
    <row r="16" spans="1:14" x14ac:dyDescent="0.35">
      <c r="D16" t="str">
        <f ca="1">"EBldRateStep_Sol_2_"&amp;$A$1</f>
        <v>EBldRateStep_Sol_2_RUS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UELC-Bld_ELESOL-step3_RUS</v>
      </c>
      <c r="D17" t="str">
        <f ca="1">$D$7</f>
        <v>*[_]RUS*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ELESOL_RUS</v>
      </c>
    </row>
    <row r="18" spans="1:14" x14ac:dyDescent="0.35">
      <c r="D18" t="str">
        <f ca="1">"EBldRateStep_Sol_3_"&amp;$A$1</f>
        <v>EBldRateStep_Sol_3_RUS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UELC-Bld_ELEHYD_RUS</v>
      </c>
      <c r="D19" t="str">
        <f ca="1">$D$7</f>
        <v>*[_]RUS*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ELEHYD_RUS</v>
      </c>
    </row>
    <row r="20" spans="1:14" x14ac:dyDescent="0.35">
      <c r="D20" t="str">
        <f ca="1">"EBldRateStep_Hyd_2_"&amp;$A$1&amp;",EBldRateStep_Hyd_3_"&amp;$A$1</f>
        <v>EBldRateStep_Hyd_2_RUS,EBldRateStep_Hyd_3_RUS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UELC-Bld_ELEHYD-step2_RUS</v>
      </c>
      <c r="D21" t="str">
        <f ca="1">$D$7</f>
        <v>*[_]RUS*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ELEHYD_RUS</v>
      </c>
    </row>
    <row r="22" spans="1:14" x14ac:dyDescent="0.35">
      <c r="D22" t="str">
        <f ca="1">"EBldRateStep_Hyd_2_"&amp;$A$1</f>
        <v>EBldRateStep_Hyd_2_RUS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UELC-Bld_ELEHYD-step3_RUS</v>
      </c>
      <c r="D23" t="str">
        <f ca="1">$D$7</f>
        <v>*[_]RUS*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ELEHYD_RUS</v>
      </c>
    </row>
    <row r="24" spans="1:14" x14ac:dyDescent="0.35">
      <c r="D24" t="str">
        <f ca="1">"EBldRateStep_Hyd_3_"&amp;$A$1</f>
        <v>EBldRateStep_Hyd_3_RUS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UELC-Inv19_wn_RUS</v>
      </c>
      <c r="D25" t="str">
        <f ca="1">$D$7</f>
        <v>*[_]RUS*</v>
      </c>
      <c r="E25" t="s">
        <v>56</v>
      </c>
      <c r="G25" t="s">
        <v>20</v>
      </c>
      <c r="J25">
        <v>1</v>
      </c>
      <c r="L25" s="10">
        <f ca="1">SUMIFS(HistoricalBuilds!$C$2:$C$300,HistoricalBuilds!$A$2:$A$300,RUS!A$1,HistoricalBuilds!$B$2:$B$300,RUS!$A25)*$L$1</f>
        <v>0.67100000000000004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UELC-Inv19_sl_RUS</v>
      </c>
      <c r="D26" t="str">
        <f ca="1">$D$7</f>
        <v>*[_]RUS*</v>
      </c>
      <c r="E26" t="s">
        <v>57</v>
      </c>
      <c r="G26" t="s">
        <v>20</v>
      </c>
      <c r="J26">
        <v>1</v>
      </c>
      <c r="L26" s="10">
        <f ca="1">SUMIFS(HistoricalBuilds!$C$2:$C$300,HistoricalBuilds!$A$2:$A$300,RUS!A$1,HistoricalBuilds!$B$2:$B$300,RUS!$A26)*$L$1</f>
        <v>0.26032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UELC-Inv19_he_RUS</v>
      </c>
      <c r="D27" t="str">
        <f ca="1">$D$7</f>
        <v>*[_]RUS*</v>
      </c>
      <c r="E27" t="s">
        <v>86</v>
      </c>
      <c r="G27" t="s">
        <v>20</v>
      </c>
      <c r="J27">
        <v>1</v>
      </c>
      <c r="L27" s="10">
        <f ca="1">SUMIFS(HistoricalBuilds!$C$2:$C$300,HistoricalBuilds!$A$2:$A$300,RUS!A$1,HistoricalBuilds!$B$2:$B$300,RUS!$A27)*$L$1</f>
        <v>2.8870999999999998</v>
      </c>
      <c r="M27">
        <v>4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D3E8-D7C4-4CD8-B594-DF22CD91A74D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SKO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UELC-Bld_ELEWIN_SKO</v>
      </c>
      <c r="D7" t="str">
        <f ca="1">VLOOKUP("1"&amp;$A$1,'WEPSReg-Countrymap'!$D$2:$E$232,2,FALSE)</f>
        <v>*[_]KOR*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ELEWIN_SKO</v>
      </c>
    </row>
    <row r="8" spans="1:14" x14ac:dyDescent="0.35">
      <c r="D8" t="str">
        <f ca="1">"EBldRateStep_Win_2_"&amp;$A$1&amp;",EBldRateStep_Win_3_"&amp;$A$1</f>
        <v>EBldRateStep_Win_2_SKO,EBldRateStep_Win_3_SKO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UELC-Bld_ELEWIN-step2_SKO</v>
      </c>
      <c r="D9" t="str">
        <f ca="1">$D$7</f>
        <v>*[_]KOR*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ELEWIN_SKO</v>
      </c>
    </row>
    <row r="10" spans="1:14" x14ac:dyDescent="0.35">
      <c r="D10" t="str">
        <f ca="1">"EBldRateStep_Win_2_"&amp;$A$1</f>
        <v>EBldRateStep_Win_2_SKO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UELC-Bld_ELEWIN-step3_SKO</v>
      </c>
      <c r="D11" t="str">
        <f ca="1">$D$7</f>
        <v>*[_]KOR*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ELEWIN_SKO</v>
      </c>
    </row>
    <row r="12" spans="1:14" x14ac:dyDescent="0.35">
      <c r="D12" t="str">
        <f ca="1">"EBldRateStep_Win_3_"&amp;$A$1</f>
        <v>EBldRateStep_Win_3_SKO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UELC-Bld_ELESOL_SKO</v>
      </c>
      <c r="D13" t="str">
        <f ca="1">$D$7</f>
        <v>*[_]KOR*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ELESOL_SKO</v>
      </c>
    </row>
    <row r="14" spans="1:14" x14ac:dyDescent="0.35">
      <c r="D14" t="str">
        <f ca="1">"EBldRateStep_Sol_2_"&amp;$A$1&amp;",EBldRateStep_Sol_3_"&amp;$A$1</f>
        <v>EBldRateStep_Sol_2_SKO,EBldRateStep_Sol_3_SKO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UELC-Bld_ELESOL-step2_SKO</v>
      </c>
      <c r="D15" t="str">
        <f ca="1">$D$7</f>
        <v>*[_]KOR*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ELESOL_SKO</v>
      </c>
    </row>
    <row r="16" spans="1:14" x14ac:dyDescent="0.35">
      <c r="D16" t="str">
        <f ca="1">"EBldRateStep_Sol_2_"&amp;$A$1</f>
        <v>EBldRateStep_Sol_2_SKO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UELC-Bld_ELESOL-step3_SKO</v>
      </c>
      <c r="D17" t="str">
        <f ca="1">$D$7</f>
        <v>*[_]KOR*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ELESOL_SKO</v>
      </c>
    </row>
    <row r="18" spans="1:14" x14ac:dyDescent="0.35">
      <c r="D18" t="str">
        <f ca="1">"EBldRateStep_Sol_3_"&amp;$A$1</f>
        <v>EBldRateStep_Sol_3_SKO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UELC-Bld_ELEHYD_SKO</v>
      </c>
      <c r="D19" t="str">
        <f ca="1">$D$7</f>
        <v>*[_]KOR*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ELEHYD_SKO</v>
      </c>
    </row>
    <row r="20" spans="1:14" x14ac:dyDescent="0.35">
      <c r="D20" t="str">
        <f ca="1">"EBldRateStep_Hyd_2_"&amp;$A$1&amp;",EBldRateStep_Hyd_3_"&amp;$A$1</f>
        <v>EBldRateStep_Hyd_2_SKO,EBldRateStep_Hyd_3_SKO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UELC-Bld_ELEHYD-step2_SKO</v>
      </c>
      <c r="D21" t="str">
        <f ca="1">$D$7</f>
        <v>*[_]KOR*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ELEHYD_SKO</v>
      </c>
    </row>
    <row r="22" spans="1:14" x14ac:dyDescent="0.35">
      <c r="D22" t="str">
        <f ca="1">"EBldRateStep_Hyd_2_"&amp;$A$1</f>
        <v>EBldRateStep_Hyd_2_SKO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UELC-Bld_ELEHYD-step3_SKO</v>
      </c>
      <c r="D23" t="str">
        <f ca="1">$D$7</f>
        <v>*[_]KOR*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ELEHYD_SKO</v>
      </c>
    </row>
    <row r="24" spans="1:14" x14ac:dyDescent="0.35">
      <c r="D24" t="str">
        <f ca="1">"EBldRateStep_Hyd_3_"&amp;$A$1</f>
        <v>EBldRateStep_Hyd_3_SKO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UELC-Inv19_wn_SKO</v>
      </c>
      <c r="D25" t="str">
        <f ca="1">$D$7</f>
        <v>*[_]KOR*</v>
      </c>
      <c r="E25" t="s">
        <v>56</v>
      </c>
      <c r="G25" t="s">
        <v>20</v>
      </c>
      <c r="J25">
        <v>1</v>
      </c>
      <c r="L25" s="10">
        <f ca="1">SUMIFS(HistoricalBuilds!$C$2:$C$300,HistoricalBuilds!$A$2:$A$300,SKO!A$1,HistoricalBuilds!$B$2:$B$300,SKO!$A25)*$L$1</f>
        <v>0.23499999999999999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UELC-Inv19_sl_SKO</v>
      </c>
      <c r="D26" t="str">
        <f ca="1">$D$7</f>
        <v>*[_]KOR*</v>
      </c>
      <c r="E26" t="s">
        <v>57</v>
      </c>
      <c r="G26" t="s">
        <v>20</v>
      </c>
      <c r="J26">
        <v>1</v>
      </c>
      <c r="L26" s="10">
        <f ca="1">SUMIFS(HistoricalBuilds!$C$2:$C$300,HistoricalBuilds!$A$2:$A$300,SKO!A$1,HistoricalBuilds!$B$2:$B$300,SKO!$A26)*$L$1</f>
        <v>2.265066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UELC-Inv19_he_SKO</v>
      </c>
      <c r="D27" t="str">
        <f ca="1">$D$7</f>
        <v>*[_]KOR*</v>
      </c>
      <c r="E27" t="s">
        <v>86</v>
      </c>
      <c r="G27" t="s">
        <v>20</v>
      </c>
      <c r="J27">
        <v>1</v>
      </c>
      <c r="L27" s="10">
        <f ca="1">SUMIFS(HistoricalBuilds!$C$2:$C$300,HistoricalBuilds!$A$2:$A$300,SKO!A$1,HistoricalBuilds!$B$2:$B$300,SKO!$A27)*$L$1</f>
        <v>0.42100000000000004</v>
      </c>
      <c r="M27">
        <v>4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552A-F600-4C7D-9888-EEE21B047A96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36.26953125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URA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UELC-Bld_ELEWIN_URA</v>
      </c>
      <c r="D7" t="str">
        <f ca="1">VLOOKUP("1"&amp;$A$1,'WEPSReg-Countrymap'!$D$2:$E$232,2,FALSE)</f>
        <v>*[_]ALB*,*[_]ARM*,*[_]AZE*,*[_]BGR*,*[_]BIH*,*[_]BLR*,*[_]FRO*,*[_]GEO*,*[_]HRV*,*[_]KAZ*,*[_]KGZ*,*[_]KSV*,*[_]LIE*,*[_]LTU*,*[_]LVA*,*[_]MDA*,*[_]MKD*,*[_]MLT*,*[_]MNE*,*[_]ROM*,*[_]SRB*,*[_]TJK*,*[_]TKM*,*[_]UKR*,*[_]UZB*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ELEWIN_URA</v>
      </c>
    </row>
    <row r="8" spans="1:14" x14ac:dyDescent="0.35">
      <c r="D8" t="str">
        <f ca="1">"EBldRateStep_Win_2_"&amp;$A$1&amp;",EBldRateStep_Win_3_"&amp;$A$1</f>
        <v>EBldRateStep_Win_2_URA,EBldRateStep_Win_3_URA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UELC-Bld_ELEWIN-step2_URA</v>
      </c>
      <c r="D9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ELEWIN_URA</v>
      </c>
    </row>
    <row r="10" spans="1:14" x14ac:dyDescent="0.35">
      <c r="D10" t="str">
        <f ca="1">"EBldRateStep_Win_2_"&amp;$A$1</f>
        <v>EBldRateStep_Win_2_URA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UELC-Bld_ELEWIN-step3_URA</v>
      </c>
      <c r="D11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ELEWIN_URA</v>
      </c>
    </row>
    <row r="12" spans="1:14" x14ac:dyDescent="0.35">
      <c r="D12" t="str">
        <f ca="1">"EBldRateStep_Win_3_"&amp;$A$1</f>
        <v>EBldRateStep_Win_3_URA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UELC-Bld_ELESOL_URA</v>
      </c>
      <c r="D13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ELESOL_URA</v>
      </c>
    </row>
    <row r="14" spans="1:14" x14ac:dyDescent="0.35">
      <c r="D14" t="str">
        <f ca="1">"EBldRateStep_Sol_2_"&amp;$A$1&amp;",EBldRateStep_Sol_3_"&amp;$A$1</f>
        <v>EBldRateStep_Sol_2_URA,EBldRateStep_Sol_3_URA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UELC-Bld_ELESOL-step2_URA</v>
      </c>
      <c r="D15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ELESOL_URA</v>
      </c>
    </row>
    <row r="16" spans="1:14" x14ac:dyDescent="0.35">
      <c r="D16" t="str">
        <f ca="1">"EBldRateStep_Sol_2_"&amp;$A$1</f>
        <v>EBldRateStep_Sol_2_URA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UELC-Bld_ELESOL-step3_URA</v>
      </c>
      <c r="D17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ELESOL_URA</v>
      </c>
    </row>
    <row r="18" spans="1:14" x14ac:dyDescent="0.35">
      <c r="D18" t="str">
        <f ca="1">"EBldRateStep_Sol_3_"&amp;$A$1</f>
        <v>EBldRateStep_Sol_3_URA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UELC-Bld_ELEHYD_URA</v>
      </c>
      <c r="D19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ELEHYD_URA</v>
      </c>
    </row>
    <row r="20" spans="1:14" x14ac:dyDescent="0.35">
      <c r="D20" t="str">
        <f ca="1">"EBldRateStep_Hyd_2_"&amp;$A$1&amp;",EBldRateStep_Hyd_3_"&amp;$A$1</f>
        <v>EBldRateStep_Hyd_2_URA,EBldRateStep_Hyd_3_URA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UELC-Bld_ELEHYD-step2_URA</v>
      </c>
      <c r="D21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ELEHYD_URA</v>
      </c>
    </row>
    <row r="22" spans="1:14" x14ac:dyDescent="0.35">
      <c r="D22" t="str">
        <f ca="1">"EBldRateStep_Hyd_2_"&amp;$A$1</f>
        <v>EBldRateStep_Hyd_2_URA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UELC-Bld_ELEHYD-step3_URA</v>
      </c>
      <c r="D23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ELEHYD_URA</v>
      </c>
    </row>
    <row r="24" spans="1:14" x14ac:dyDescent="0.35">
      <c r="D24" t="str">
        <f ca="1">"EBldRateStep_Hyd_3_"&amp;$A$1</f>
        <v>EBldRateStep_Hyd_3_URA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s="21" t="str">
        <f ca="1">"UELC-Inv"&amp;RIGHT(HistoricalBuilds!$N$1,2)&amp;"_"&amp;A25&amp;"_"&amp;$A$1</f>
        <v>UELC-Inv19_wn_URA</v>
      </c>
      <c r="D25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25" t="s">
        <v>56</v>
      </c>
      <c r="G25" t="s">
        <v>20</v>
      </c>
      <c r="J25">
        <v>1</v>
      </c>
      <c r="L25" s="10">
        <f ca="1">SUMIFS(HistoricalBuilds!$C$2:$C$300,HistoricalBuilds!$A$2:$A$300,URA!A$1,HistoricalBuilds!$B$2:$B$300,URA!$A25)*$L$1</f>
        <v>1.1703600000000001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UELC-Inv19_sl_URA</v>
      </c>
      <c r="D26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26" t="s">
        <v>57</v>
      </c>
      <c r="G26" t="s">
        <v>20</v>
      </c>
      <c r="J26">
        <v>1</v>
      </c>
      <c r="L26" s="10">
        <f ca="1">SUMIFS(HistoricalBuilds!$C$2:$C$300,HistoricalBuilds!$A$2:$A$300,URA!A$1,HistoricalBuilds!$B$2:$B$300,URA!$A26)*$L$1</f>
        <v>1.168042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UELC-Inv19_he_URA</v>
      </c>
      <c r="D27" t="str">
        <f ca="1">$D$7</f>
        <v>*[_]ALB*,*[_]ARM*,*[_]AZE*,*[_]BGR*,*[_]BIH*,*[_]BLR*,*[_]FRO*,*[_]GEO*,*[_]HRV*,*[_]KAZ*,*[_]KGZ*,*[_]KSV*,*[_]LIE*,*[_]LTU*,*[_]LVA*,*[_]MDA*,*[_]MKD*,*[_]MLT*,*[_]MNE*,*[_]ROM*,*[_]SRB*,*[_]TJK*,*[_]TKM*,*[_]UKR*,*[_]UZB*</v>
      </c>
      <c r="E27" t="s">
        <v>86</v>
      </c>
      <c r="G27" t="s">
        <v>20</v>
      </c>
      <c r="J27">
        <v>1</v>
      </c>
      <c r="L27" s="10">
        <f ca="1">SUMIFS(HistoricalBuilds!$C$2:$C$300,HistoricalBuilds!$A$2:$A$300,URA!A$1,HistoricalBuilds!$B$2:$B$300,URA!$A27)*$L$1</f>
        <v>23.347999999999999</v>
      </c>
      <c r="M27">
        <v>4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67FC-8D1A-4332-9B08-19857997CFEC}">
  <dimension ref="A1:N27"/>
  <sheetViews>
    <sheetView workbookViewId="0">
      <selection activeCell="L1" sqref="L1"/>
    </sheetView>
  </sheetViews>
  <sheetFormatPr defaultColWidth="8.81640625" defaultRowHeight="14.5" x14ac:dyDescent="0.35"/>
  <cols>
    <col min="1" max="1" width="4.453125" bestFit="1" customWidth="1"/>
    <col min="2" max="2" width="8.81640625" customWidth="1"/>
    <col min="3" max="3" width="27.1796875" bestFit="1" customWidth="1"/>
    <col min="4" max="4" width="48.54296875" bestFit="1" customWidth="1"/>
    <col min="5" max="5" width="7.81640625" bestFit="1" customWidth="1"/>
    <col min="6" max="6" width="14.7265625" bestFit="1" customWidth="1"/>
    <col min="7" max="7" width="8.453125" bestFit="1" customWidth="1"/>
    <col min="8" max="8" width="24" bestFit="1" customWidth="1"/>
    <col min="9" max="9" width="5" bestFit="1" customWidth="1"/>
    <col min="10" max="10" width="9.453125" bestFit="1" customWidth="1"/>
    <col min="11" max="11" width="14" bestFit="1" customWidth="1"/>
    <col min="12" max="12" width="8.81640625" bestFit="1" customWidth="1"/>
    <col min="13" max="13" width="10.81640625" bestFit="1" customWidth="1"/>
    <col min="14" max="14" width="41" bestFit="1" customWidth="1"/>
    <col min="15" max="15" width="4.453125" bestFit="1" customWidth="1"/>
  </cols>
  <sheetData>
    <row r="1" spans="1:14" ht="15" thickBot="1" x14ac:dyDescent="0.4">
      <c r="A1" s="15" t="str">
        <f ca="1">MID(CELL( "filename",A1),FIND("]",CELL( "filename",A1))+1,10)</f>
        <v>USA</v>
      </c>
      <c r="L1" s="16">
        <f>AFR!$L$1</f>
        <v>1</v>
      </c>
    </row>
    <row r="2" spans="1:14" ht="15" thickTop="1" x14ac:dyDescent="0.35">
      <c r="C2" t="s">
        <v>2849</v>
      </c>
    </row>
    <row r="3" spans="1:14" x14ac:dyDescent="0.35">
      <c r="C3" t="s">
        <v>50</v>
      </c>
    </row>
    <row r="5" spans="1:14" x14ac:dyDescent="0.35">
      <c r="H5" s="22" t="str">
        <f>"~UC_T: UC_RHST~LO~"&amp;HistoricalBuilds!$N$1</f>
        <v>~UC_T: UC_RHST~LO~2019</v>
      </c>
    </row>
    <row r="6" spans="1:14" x14ac:dyDescent="0.35">
      <c r="C6" t="s">
        <v>1</v>
      </c>
      <c r="D6" t="s">
        <v>46</v>
      </c>
      <c r="E6" t="s">
        <v>2</v>
      </c>
      <c r="F6" t="s">
        <v>17</v>
      </c>
      <c r="G6" t="s">
        <v>8</v>
      </c>
      <c r="H6" t="s">
        <v>7</v>
      </c>
      <c r="I6" t="s">
        <v>61</v>
      </c>
      <c r="J6" t="s">
        <v>65</v>
      </c>
      <c r="K6" t="s">
        <v>84</v>
      </c>
      <c r="L6" t="s">
        <v>3079</v>
      </c>
      <c r="M6" t="s">
        <v>3080</v>
      </c>
      <c r="N6" t="s">
        <v>9</v>
      </c>
    </row>
    <row r="7" spans="1:14" x14ac:dyDescent="0.35">
      <c r="C7" t="str">
        <f ca="1">"UELC-Bld_ELEWIN_"&amp;$A$1</f>
        <v>UELC-Bld_ELEWIN_USA</v>
      </c>
      <c r="D7" t="str">
        <f ca="1">VLOOKUP("1"&amp;$A$1,'WEPSReg-Countrymap'!$D$2:$E$232,2,FALSE)</f>
        <v>*[_]USA*</v>
      </c>
      <c r="E7" t="s">
        <v>56</v>
      </c>
      <c r="F7" t="s">
        <v>66</v>
      </c>
      <c r="J7">
        <v>1.1499999999999999</v>
      </c>
      <c r="K7">
        <v>1</v>
      </c>
      <c r="L7">
        <v>0</v>
      </c>
      <c r="M7">
        <v>5</v>
      </c>
      <c r="N7" t="str">
        <f ca="1">"Annual build rate (GW/Year) of ELEWIN_"&amp;$A$1</f>
        <v>Annual build rate (GW/Year) of ELEWIN_USA</v>
      </c>
    </row>
    <row r="8" spans="1:14" x14ac:dyDescent="0.35">
      <c r="D8" t="str">
        <f ca="1">"EBldRateStep_Win_2_"&amp;$A$1&amp;",EBldRateStep_Win_3_"&amp;$A$1</f>
        <v>EBldRateStep_Win_2_USA,EBldRateStep_Win_3_USA</v>
      </c>
      <c r="F8" t="s">
        <v>62</v>
      </c>
      <c r="H8" t="s">
        <v>53</v>
      </c>
      <c r="I8">
        <v>1</v>
      </c>
    </row>
    <row r="9" spans="1:14" x14ac:dyDescent="0.35">
      <c r="C9" t="str">
        <f ca="1">"UELC-Bld_ELEWIN-step2_"&amp;$A$1</f>
        <v>UELC-Bld_ELEWIN-step2_USA</v>
      </c>
      <c r="D9" t="str">
        <f ca="1">$D$7</f>
        <v>*[_]USA*</v>
      </c>
      <c r="E9" t="s">
        <v>56</v>
      </c>
      <c r="H9" t="s">
        <v>65</v>
      </c>
      <c r="I9">
        <v>0.85</v>
      </c>
      <c r="N9" t="str">
        <f ca="1">"step 2 relaxation of build rate - ELEWIN_"&amp;$A$1</f>
        <v>step 2 relaxation of build rate - ELEWIN_USA</v>
      </c>
    </row>
    <row r="10" spans="1:14" x14ac:dyDescent="0.35">
      <c r="D10" t="str">
        <f ca="1">"EBldRateStep_Win_2_"&amp;$A$1</f>
        <v>EBldRateStep_Win_2_USA</v>
      </c>
      <c r="F10" t="s">
        <v>62</v>
      </c>
      <c r="H10" t="s">
        <v>53</v>
      </c>
      <c r="I10">
        <v>-1</v>
      </c>
      <c r="L10">
        <v>0</v>
      </c>
      <c r="M10">
        <v>5</v>
      </c>
    </row>
    <row r="11" spans="1:14" x14ac:dyDescent="0.35">
      <c r="C11" t="str">
        <f ca="1">"UELC-Bld_ELEWIN-step3_"&amp;$A$1</f>
        <v>UELC-Bld_ELEWIN-step3_USA</v>
      </c>
      <c r="D11" t="str">
        <f ca="1">$D$7</f>
        <v>*[_]USA*</v>
      </c>
      <c r="E11" t="s">
        <v>56</v>
      </c>
      <c r="H11" t="s">
        <v>65</v>
      </c>
      <c r="I11">
        <v>1</v>
      </c>
      <c r="N11" t="str">
        <f ca="1">"step 3 relaxation of build rate - ELEWIN_"&amp;$A$1</f>
        <v>step 3 relaxation of build rate - ELEWIN_USA</v>
      </c>
    </row>
    <row r="12" spans="1:14" x14ac:dyDescent="0.35">
      <c r="D12" t="str">
        <f ca="1">"EBldRateStep_Win_3_"&amp;$A$1</f>
        <v>EBldRateStep_Win_3_USA</v>
      </c>
      <c r="F12" t="s">
        <v>62</v>
      </c>
      <c r="H12" t="s">
        <v>53</v>
      </c>
      <c r="I12">
        <v>-1</v>
      </c>
      <c r="L12">
        <v>0</v>
      </c>
      <c r="M12">
        <v>5</v>
      </c>
    </row>
    <row r="13" spans="1:14" x14ac:dyDescent="0.35">
      <c r="C13" t="str">
        <f ca="1">"UELC-Bld_ELESOL_"&amp;$A$1</f>
        <v>UELC-Bld_ELESOL_USA</v>
      </c>
      <c r="D13" t="str">
        <f ca="1">$D$7</f>
        <v>*[_]USA*</v>
      </c>
      <c r="E13" t="s">
        <v>57</v>
      </c>
      <c r="F13" t="s">
        <v>66</v>
      </c>
      <c r="J13">
        <v>1.1499999999999999</v>
      </c>
      <c r="K13">
        <v>1</v>
      </c>
      <c r="L13">
        <v>0</v>
      </c>
      <c r="M13">
        <v>5</v>
      </c>
      <c r="N13" t="str">
        <f ca="1">"Annual build rate (GW/Year) of ELESOL_"&amp;$A$1</f>
        <v>Annual build rate (GW/Year) of ELESOL_USA</v>
      </c>
    </row>
    <row r="14" spans="1:14" x14ac:dyDescent="0.35">
      <c r="D14" t="str">
        <f ca="1">"EBldRateStep_Sol_2_"&amp;$A$1&amp;",EBldRateStep_Sol_3_"&amp;$A$1</f>
        <v>EBldRateStep_Sol_2_USA,EBldRateStep_Sol_3_USA</v>
      </c>
      <c r="F14" t="s">
        <v>62</v>
      </c>
      <c r="H14" t="s">
        <v>53</v>
      </c>
      <c r="I14">
        <v>1</v>
      </c>
    </row>
    <row r="15" spans="1:14" x14ac:dyDescent="0.35">
      <c r="C15" t="str">
        <f ca="1">"UELC-Bld_ELESOL-step2_"&amp;$A$1</f>
        <v>UELC-Bld_ELESOL-step2_USA</v>
      </c>
      <c r="D15" t="str">
        <f ca="1">$D$7</f>
        <v>*[_]USA*</v>
      </c>
      <c r="E15" t="s">
        <v>57</v>
      </c>
      <c r="H15" t="s">
        <v>65</v>
      </c>
      <c r="I15">
        <f>I9</f>
        <v>0.85</v>
      </c>
      <c r="N15" t="str">
        <f ca="1">"step 2 relaxation of build rate - ELESOL_"&amp;$A$1</f>
        <v>step 2 relaxation of build rate - ELESOL_USA</v>
      </c>
    </row>
    <row r="16" spans="1:14" x14ac:dyDescent="0.35">
      <c r="D16" t="str">
        <f ca="1">"EBldRateStep_Sol_2_"&amp;$A$1</f>
        <v>EBldRateStep_Sol_2_USA</v>
      </c>
      <c r="F16" t="s">
        <v>62</v>
      </c>
      <c r="H16" t="s">
        <v>53</v>
      </c>
      <c r="I16">
        <v>-1</v>
      </c>
      <c r="L16">
        <v>0</v>
      </c>
      <c r="M16">
        <v>5</v>
      </c>
    </row>
    <row r="17" spans="1:14" x14ac:dyDescent="0.35">
      <c r="C17" t="str">
        <f ca="1">"UELC-Bld_ELESOL-step3_"&amp;$A$1</f>
        <v>UELC-Bld_ELESOL-step3_USA</v>
      </c>
      <c r="D17" t="str">
        <f ca="1">$D$7</f>
        <v>*[_]USA*</v>
      </c>
      <c r="E17" t="s">
        <v>57</v>
      </c>
      <c r="H17" t="s">
        <v>65</v>
      </c>
      <c r="I17">
        <f>I11</f>
        <v>1</v>
      </c>
      <c r="N17" t="str">
        <f ca="1">"step 3 relaxation of build rate - ELESOL_"&amp;$A$1</f>
        <v>step 3 relaxation of build rate - ELESOL_USA</v>
      </c>
    </row>
    <row r="18" spans="1:14" x14ac:dyDescent="0.35">
      <c r="D18" t="str">
        <f ca="1">"EBldRateStep_Sol_3_"&amp;$A$1</f>
        <v>EBldRateStep_Sol_3_USA</v>
      </c>
      <c r="F18" t="s">
        <v>62</v>
      </c>
      <c r="H18" t="s">
        <v>53</v>
      </c>
      <c r="I18">
        <v>-1</v>
      </c>
      <c r="L18">
        <v>0</v>
      </c>
      <c r="M18">
        <v>5</v>
      </c>
    </row>
    <row r="19" spans="1:14" x14ac:dyDescent="0.35">
      <c r="C19" t="str">
        <f ca="1">"UELC-Bld_ELEHYD_"&amp;$A$1</f>
        <v>UELC-Bld_ELEHYD_USA</v>
      </c>
      <c r="D19" t="str">
        <f ca="1">$D$7</f>
        <v>*[_]USA*</v>
      </c>
      <c r="E19" t="s">
        <v>86</v>
      </c>
      <c r="F19" t="s">
        <v>66</v>
      </c>
      <c r="J19">
        <v>1.1499999999999999</v>
      </c>
      <c r="K19">
        <v>1</v>
      </c>
      <c r="L19">
        <v>0</v>
      </c>
      <c r="M19">
        <v>5</v>
      </c>
      <c r="N19" t="str">
        <f ca="1">"Annual build rate (GW/Year) of ELEHYD_"&amp;$A$1</f>
        <v>Annual build rate (GW/Year) of ELEHYD_USA</v>
      </c>
    </row>
    <row r="20" spans="1:14" x14ac:dyDescent="0.35">
      <c r="D20" t="str">
        <f ca="1">"EBldRateStep_Hyd_2_"&amp;$A$1&amp;",EBldRateStep_Hyd_3_"&amp;$A$1</f>
        <v>EBldRateStep_Hyd_2_USA,EBldRateStep_Hyd_3_USA</v>
      </c>
      <c r="F20" t="s">
        <v>62</v>
      </c>
      <c r="H20" t="s">
        <v>53</v>
      </c>
      <c r="I20">
        <v>1</v>
      </c>
    </row>
    <row r="21" spans="1:14" x14ac:dyDescent="0.35">
      <c r="C21" t="str">
        <f ca="1">"UELC-Bld_ELEHYD-step2_"&amp;$A$1</f>
        <v>UELC-Bld_ELEHYD-step2_USA</v>
      </c>
      <c r="D21" t="str">
        <f ca="1">$D$7</f>
        <v>*[_]USA*</v>
      </c>
      <c r="E21" t="s">
        <v>86</v>
      </c>
      <c r="H21" t="s">
        <v>65</v>
      </c>
      <c r="I21">
        <f>I15</f>
        <v>0.85</v>
      </c>
      <c r="N21" t="str">
        <f ca="1">"step 2 relaxation of build rate - ELEHYD_"&amp;$A$1</f>
        <v>step 2 relaxation of build rate - ELEHYD_USA</v>
      </c>
    </row>
    <row r="22" spans="1:14" x14ac:dyDescent="0.35">
      <c r="D22" t="str">
        <f ca="1">"EBldRateStep_Hyd_2_"&amp;$A$1</f>
        <v>EBldRateStep_Hyd_2_USA</v>
      </c>
      <c r="F22" t="s">
        <v>62</v>
      </c>
      <c r="H22" t="s">
        <v>53</v>
      </c>
      <c r="I22">
        <v>-1</v>
      </c>
      <c r="L22">
        <v>0</v>
      </c>
      <c r="M22">
        <v>5</v>
      </c>
    </row>
    <row r="23" spans="1:14" x14ac:dyDescent="0.35">
      <c r="C23" t="str">
        <f ca="1">"UELC-Bld_ELEHYD-step3_"&amp;$A$1</f>
        <v>UELC-Bld_ELEHYD-step3_USA</v>
      </c>
      <c r="D23" t="str">
        <f ca="1">$D$7</f>
        <v>*[_]USA*</v>
      </c>
      <c r="E23" t="s">
        <v>86</v>
      </c>
      <c r="H23" t="s">
        <v>65</v>
      </c>
      <c r="I23">
        <f>I17</f>
        <v>1</v>
      </c>
      <c r="N23" t="str">
        <f ca="1">"step 3 relaxation of build rate - ELEHYD_"&amp;$A$1</f>
        <v>step 3 relaxation of build rate - ELEHYD_USA</v>
      </c>
    </row>
    <row r="24" spans="1:14" x14ac:dyDescent="0.35">
      <c r="D24" t="str">
        <f ca="1">"EBldRateStep_Hyd_3_"&amp;$A$1</f>
        <v>EBldRateStep_Hyd_3_USA</v>
      </c>
      <c r="F24" t="s">
        <v>62</v>
      </c>
      <c r="H24" t="s">
        <v>53</v>
      </c>
      <c r="I24">
        <v>-1</v>
      </c>
      <c r="L24">
        <v>0</v>
      </c>
      <c r="M24">
        <v>5</v>
      </c>
    </row>
    <row r="25" spans="1:14" x14ac:dyDescent="0.35">
      <c r="A25" t="s">
        <v>2848</v>
      </c>
      <c r="C25" t="str">
        <f ca="1">"UELC-Inv"&amp;RIGHT(HistoricalBuilds!$N$1,2)&amp;"_"&amp;A25&amp;"_"&amp;$A$1</f>
        <v>UELC-Inv19_wn_USA</v>
      </c>
      <c r="D25" t="str">
        <f ca="1">$D$7</f>
        <v>*[_]USA*</v>
      </c>
      <c r="E25" t="s">
        <v>56</v>
      </c>
      <c r="G25" t="s">
        <v>20</v>
      </c>
      <c r="J25">
        <v>1</v>
      </c>
      <c r="L25" s="10">
        <f ca="1">SUMIFS(HistoricalBuilds!$C$2:$C$300,HistoricalBuilds!$A$2:$A$300,USA!A$1,HistoricalBuilds!$B$2:$B$300,USA!$A25)*$L$1</f>
        <v>13.398900000000005</v>
      </c>
      <c r="M25">
        <v>4</v>
      </c>
    </row>
    <row r="26" spans="1:14" x14ac:dyDescent="0.35">
      <c r="A26" t="s">
        <v>2847</v>
      </c>
      <c r="C26" s="21" t="str">
        <f ca="1">"UELC-Inv"&amp;RIGHT(HistoricalBuilds!$N$1,2)&amp;"_"&amp;A26&amp;"_"&amp;$A$1</f>
        <v>UELC-Inv19_sl_USA</v>
      </c>
      <c r="D26" t="str">
        <f ca="1">$D$7</f>
        <v>*[_]USA*</v>
      </c>
      <c r="E26" t="s">
        <v>57</v>
      </c>
      <c r="G26" t="s">
        <v>20</v>
      </c>
      <c r="J26">
        <v>1</v>
      </c>
      <c r="L26" s="10">
        <f ca="1">SUMIFS(HistoricalBuilds!$C$2:$C$300,HistoricalBuilds!$A$2:$A$300,USA!A$1,HistoricalBuilds!$B$2:$B$300,USA!$A26)*$L$1</f>
        <v>11.274099999999997</v>
      </c>
      <c r="M26">
        <v>4</v>
      </c>
    </row>
    <row r="27" spans="1:14" x14ac:dyDescent="0.35">
      <c r="A27" t="s">
        <v>2846</v>
      </c>
      <c r="C27" s="21" t="str">
        <f ca="1">"UELC-Inv"&amp;RIGHT(HistoricalBuilds!$N$1,2)&amp;"_"&amp;A27&amp;"_"&amp;$A$1</f>
        <v>UELC-Inv19_he_USA</v>
      </c>
      <c r="D27" t="str">
        <f ca="1">$D$7</f>
        <v>*[_]USA*</v>
      </c>
      <c r="E27" t="s">
        <v>86</v>
      </c>
      <c r="G27" t="s">
        <v>20</v>
      </c>
      <c r="J27">
        <v>1</v>
      </c>
      <c r="L27" s="10">
        <f ca="1">SUMIFS(HistoricalBuilds!$C$2:$C$300,HistoricalBuilds!$A$2:$A$300,USA!A$1,HistoricalBuilds!$B$2:$B$300,USA!$A27)*$L$1</f>
        <v>3.8129800000000009</v>
      </c>
      <c r="M27">
        <v>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G8"/>
  <sheetViews>
    <sheetView workbookViewId="0"/>
  </sheetViews>
  <sheetFormatPr defaultColWidth="8.81640625" defaultRowHeight="14.5" x14ac:dyDescent="0.35"/>
  <cols>
    <col min="1" max="2" width="8.81640625" customWidth="1"/>
    <col min="3" max="3" width="28.1796875" customWidth="1"/>
    <col min="4" max="4" width="8.81640625" customWidth="1"/>
    <col min="5" max="5" width="15.1796875" bestFit="1" customWidth="1"/>
    <col min="6" max="6" width="8.453125" bestFit="1" customWidth="1"/>
    <col min="7" max="7" width="10.453125" bestFit="1" customWidth="1"/>
  </cols>
  <sheetData>
    <row r="4" spans="3:7" x14ac:dyDescent="0.35">
      <c r="C4" t="s">
        <v>3100</v>
      </c>
    </row>
    <row r="5" spans="3:7" x14ac:dyDescent="0.35">
      <c r="C5" t="s">
        <v>91</v>
      </c>
      <c r="D5" t="s">
        <v>7</v>
      </c>
      <c r="E5" t="s">
        <v>21</v>
      </c>
      <c r="F5" t="s">
        <v>4</v>
      </c>
      <c r="G5" t="s">
        <v>11</v>
      </c>
    </row>
    <row r="6" spans="3:7" x14ac:dyDescent="0.35">
      <c r="C6" t="s">
        <v>92</v>
      </c>
      <c r="D6" t="s">
        <v>45</v>
      </c>
      <c r="F6" t="s">
        <v>42</v>
      </c>
      <c r="G6">
        <v>1</v>
      </c>
    </row>
    <row r="7" spans="3:7" x14ac:dyDescent="0.35">
      <c r="C7" t="s">
        <v>93</v>
      </c>
      <c r="D7" t="s">
        <v>45</v>
      </c>
      <c r="F7" t="s">
        <v>2368</v>
      </c>
      <c r="G7">
        <v>1</v>
      </c>
    </row>
    <row r="8" spans="3:7" x14ac:dyDescent="0.35">
      <c r="C8" t="s">
        <v>2832</v>
      </c>
      <c r="D8" t="s">
        <v>45</v>
      </c>
      <c r="E8" t="s">
        <v>94</v>
      </c>
      <c r="G8">
        <v>1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85"/>
  <sheetViews>
    <sheetView workbookViewId="0"/>
  </sheetViews>
  <sheetFormatPr defaultColWidth="8.81640625" defaultRowHeight="14.5" x14ac:dyDescent="0.35"/>
  <cols>
    <col min="1" max="1" width="6.7265625" bestFit="1" customWidth="1"/>
    <col min="2" max="2" width="5.1796875" bestFit="1" customWidth="1"/>
    <col min="3" max="3" width="12" bestFit="1" customWidth="1"/>
  </cols>
  <sheetData>
    <row r="1" spans="1:18" ht="15" thickBot="1" x14ac:dyDescent="0.4">
      <c r="A1" t="s">
        <v>2370</v>
      </c>
      <c r="B1" t="s">
        <v>83</v>
      </c>
      <c r="C1" t="s">
        <v>2844</v>
      </c>
      <c r="E1" s="9" t="s">
        <v>3304</v>
      </c>
      <c r="N1" s="16">
        <f>MAX(P2:P6)+1</f>
        <v>2019</v>
      </c>
      <c r="P1" s="12" t="s">
        <v>2376</v>
      </c>
    </row>
    <row r="2" spans="1:18" ht="15" thickTop="1" x14ac:dyDescent="0.35">
      <c r="A2" t="s">
        <v>67</v>
      </c>
      <c r="B2" t="s">
        <v>2845</v>
      </c>
      <c r="C2" s="10">
        <v>0.21498050560426607</v>
      </c>
      <c r="P2" s="12">
        <v>2017</v>
      </c>
      <c r="R2">
        <f>MIN(P2:P5)</f>
        <v>2017</v>
      </c>
    </row>
    <row r="3" spans="1:18" x14ac:dyDescent="0.35">
      <c r="A3" t="s">
        <v>68</v>
      </c>
      <c r="B3" t="s">
        <v>2845</v>
      </c>
      <c r="C3" s="10">
        <v>9.9192272714420937E-2</v>
      </c>
      <c r="P3" s="21">
        <v>2018</v>
      </c>
      <c r="R3" s="12" t="str">
        <f>R2&amp;","&amp;P3</f>
        <v>2017,2018</v>
      </c>
    </row>
    <row r="4" spans="1:18" x14ac:dyDescent="0.35">
      <c r="A4" t="s">
        <v>69</v>
      </c>
      <c r="B4" t="s">
        <v>2845</v>
      </c>
      <c r="C4" s="10">
        <v>1.7646589566143858</v>
      </c>
    </row>
    <row r="5" spans="1:18" x14ac:dyDescent="0.35">
      <c r="A5" t="s">
        <v>70</v>
      </c>
      <c r="B5" t="s">
        <v>2845</v>
      </c>
      <c r="C5" s="10">
        <v>0.28090513183006482</v>
      </c>
    </row>
    <row r="6" spans="1:18" x14ac:dyDescent="0.35">
      <c r="A6" t="s">
        <v>71</v>
      </c>
      <c r="B6" t="s">
        <v>2845</v>
      </c>
      <c r="C6" s="10">
        <v>0.62678613873275302</v>
      </c>
    </row>
    <row r="7" spans="1:18" x14ac:dyDescent="0.35">
      <c r="A7" t="s">
        <v>72</v>
      </c>
      <c r="B7" t="s">
        <v>2845</v>
      </c>
      <c r="C7" s="10">
        <v>0.80362345216708397</v>
      </c>
    </row>
    <row r="8" spans="1:18" x14ac:dyDescent="0.35">
      <c r="A8" t="s">
        <v>73</v>
      </c>
      <c r="B8" t="s">
        <v>2845</v>
      </c>
      <c r="C8" s="10">
        <v>1.788864197751117</v>
      </c>
    </row>
    <row r="9" spans="1:18" x14ac:dyDescent="0.35">
      <c r="A9" t="s">
        <v>74</v>
      </c>
      <c r="B9" t="s">
        <v>2845</v>
      </c>
      <c r="C9" s="10">
        <v>2.3801704577060065</v>
      </c>
    </row>
    <row r="10" spans="1:18" x14ac:dyDescent="0.35">
      <c r="A10" t="s">
        <v>75</v>
      </c>
      <c r="B10" t="s">
        <v>2845</v>
      </c>
      <c r="C10" s="10">
        <v>0.30159667357144848</v>
      </c>
    </row>
    <row r="11" spans="1:18" x14ac:dyDescent="0.35">
      <c r="A11" t="s">
        <v>76</v>
      </c>
      <c r="B11" t="s">
        <v>2845</v>
      </c>
      <c r="C11" s="10">
        <v>1.5687857875701762E-3</v>
      </c>
    </row>
    <row r="12" spans="1:18" x14ac:dyDescent="0.35">
      <c r="A12" t="s">
        <v>77</v>
      </c>
      <c r="B12" t="s">
        <v>2845</v>
      </c>
      <c r="C12" s="10">
        <v>0.33848469008683191</v>
      </c>
    </row>
    <row r="13" spans="1:18" x14ac:dyDescent="0.35">
      <c r="A13" t="s">
        <v>78</v>
      </c>
      <c r="B13" t="s">
        <v>2845</v>
      </c>
      <c r="C13" s="10">
        <v>0.47294307329910223</v>
      </c>
    </row>
    <row r="14" spans="1:18" x14ac:dyDescent="0.35">
      <c r="A14" t="s">
        <v>79</v>
      </c>
      <c r="B14" t="s">
        <v>2845</v>
      </c>
      <c r="C14" s="10">
        <v>4.2928950497980664E-2</v>
      </c>
    </row>
    <row r="15" spans="1:18" x14ac:dyDescent="0.35">
      <c r="A15" t="s">
        <v>80</v>
      </c>
      <c r="B15" t="s">
        <v>2845</v>
      </c>
      <c r="C15" s="10">
        <v>8.6709825544168687E-2</v>
      </c>
    </row>
    <row r="16" spans="1:18" x14ac:dyDescent="0.35">
      <c r="A16" t="s">
        <v>81</v>
      </c>
      <c r="B16" t="s">
        <v>2845</v>
      </c>
      <c r="C16" s="10">
        <v>4.1681873679098008E-2</v>
      </c>
    </row>
    <row r="17" spans="1:3" x14ac:dyDescent="0.35">
      <c r="A17" t="s">
        <v>82</v>
      </c>
      <c r="B17" t="s">
        <v>2845</v>
      </c>
      <c r="C17" s="10">
        <v>0.71568676208670468</v>
      </c>
    </row>
    <row r="18" spans="1:3" x14ac:dyDescent="0.35">
      <c r="A18" t="s">
        <v>67</v>
      </c>
      <c r="B18" t="s">
        <v>3101</v>
      </c>
      <c r="C18" s="10">
        <v>0.63169297456714313</v>
      </c>
    </row>
    <row r="19" spans="1:3" x14ac:dyDescent="0.35">
      <c r="A19" t="s">
        <v>72</v>
      </c>
      <c r="B19" t="s">
        <v>3101</v>
      </c>
      <c r="C19" s="10">
        <v>0.49708163810540418</v>
      </c>
    </row>
    <row r="20" spans="1:3" x14ac:dyDescent="0.35">
      <c r="A20" t="s">
        <v>73</v>
      </c>
      <c r="B20" t="s">
        <v>3101</v>
      </c>
      <c r="C20" s="10">
        <v>1.7598639526935136</v>
      </c>
    </row>
    <row r="21" spans="1:3" x14ac:dyDescent="0.35">
      <c r="A21" t="s">
        <v>75</v>
      </c>
      <c r="B21" t="s">
        <v>3101</v>
      </c>
      <c r="C21" s="10">
        <v>4.0389457858855113</v>
      </c>
    </row>
    <row r="22" spans="1:3" x14ac:dyDescent="0.35">
      <c r="A22" t="s">
        <v>76</v>
      </c>
      <c r="B22" t="s">
        <v>3101</v>
      </c>
      <c r="C22" s="10">
        <v>3.1393619425111243</v>
      </c>
    </row>
    <row r="23" spans="1:3" x14ac:dyDescent="0.35">
      <c r="A23" t="s">
        <v>79</v>
      </c>
      <c r="B23" t="s">
        <v>3101</v>
      </c>
      <c r="C23" s="10">
        <v>7.9097751831185156E-2</v>
      </c>
    </row>
    <row r="24" spans="1:3" x14ac:dyDescent="0.35">
      <c r="A24" t="s">
        <v>81</v>
      </c>
      <c r="B24" t="s">
        <v>3101</v>
      </c>
      <c r="C24" s="10">
        <v>1.8910499198324371</v>
      </c>
    </row>
    <row r="25" spans="1:3" x14ac:dyDescent="0.35">
      <c r="A25" t="s">
        <v>67</v>
      </c>
      <c r="B25" t="s">
        <v>3102</v>
      </c>
      <c r="C25" s="10">
        <v>2.836768171067817</v>
      </c>
    </row>
    <row r="26" spans="1:3" x14ac:dyDescent="0.35">
      <c r="A26" t="s">
        <v>68</v>
      </c>
      <c r="B26" t="s">
        <v>3102</v>
      </c>
      <c r="C26" s="10">
        <v>2.6078219870261883</v>
      </c>
    </row>
    <row r="27" spans="1:3" x14ac:dyDescent="0.35">
      <c r="A27" t="s">
        <v>69</v>
      </c>
      <c r="B27" t="s">
        <v>3102</v>
      </c>
      <c r="C27" s="10">
        <v>1.1683550444621273</v>
      </c>
    </row>
    <row r="28" spans="1:3" x14ac:dyDescent="0.35">
      <c r="A28" t="s">
        <v>70</v>
      </c>
      <c r="B28" t="s">
        <v>3102</v>
      </c>
      <c r="C28" s="10">
        <v>2.3346429795641424</v>
      </c>
    </row>
    <row r="29" spans="1:3" x14ac:dyDescent="0.35">
      <c r="A29" t="s">
        <v>71</v>
      </c>
      <c r="B29" t="s">
        <v>3102</v>
      </c>
      <c r="C29" s="10">
        <v>86.534261685927277</v>
      </c>
    </row>
    <row r="30" spans="1:3" x14ac:dyDescent="0.35">
      <c r="A30" t="s">
        <v>72</v>
      </c>
      <c r="B30" t="s">
        <v>3102</v>
      </c>
      <c r="C30" s="10">
        <v>0.89095934214124373</v>
      </c>
    </row>
    <row r="31" spans="1:3" x14ac:dyDescent="0.35">
      <c r="A31" t="s">
        <v>73</v>
      </c>
      <c r="B31" t="s">
        <v>3102</v>
      </c>
      <c r="C31" s="10">
        <v>54.828916927302629</v>
      </c>
    </row>
    <row r="32" spans="1:3" x14ac:dyDescent="0.35">
      <c r="A32" t="s">
        <v>74</v>
      </c>
      <c r="B32" t="s">
        <v>3102</v>
      </c>
      <c r="C32" s="10">
        <v>23.498938869003752</v>
      </c>
    </row>
    <row r="33" spans="1:3" x14ac:dyDescent="0.35">
      <c r="A33" t="s">
        <v>75</v>
      </c>
      <c r="B33" t="s">
        <v>3102</v>
      </c>
      <c r="C33" s="10">
        <v>5.0476383207980859</v>
      </c>
    </row>
    <row r="34" spans="1:3" x14ac:dyDescent="0.35">
      <c r="A34" t="s">
        <v>76</v>
      </c>
      <c r="B34" t="s">
        <v>3102</v>
      </c>
      <c r="C34" s="10">
        <v>9.1022606126495348E-2</v>
      </c>
    </row>
    <row r="35" spans="1:3" x14ac:dyDescent="0.35">
      <c r="A35" t="s">
        <v>77</v>
      </c>
      <c r="B35" t="s">
        <v>3102</v>
      </c>
      <c r="C35" s="10">
        <v>3.3817816255583573</v>
      </c>
    </row>
    <row r="36" spans="1:3" x14ac:dyDescent="0.35">
      <c r="A36" t="s">
        <v>78</v>
      </c>
      <c r="B36" t="s">
        <v>3102</v>
      </c>
      <c r="C36" s="10">
        <v>9.0996196113663217</v>
      </c>
    </row>
    <row r="37" spans="1:3" x14ac:dyDescent="0.35">
      <c r="A37" t="s">
        <v>79</v>
      </c>
      <c r="B37" t="s">
        <v>3102</v>
      </c>
      <c r="C37" s="10">
        <v>4.5304141523565207</v>
      </c>
    </row>
    <row r="38" spans="1:3" x14ac:dyDescent="0.35">
      <c r="A38" t="s">
        <v>80</v>
      </c>
      <c r="B38" t="s">
        <v>3102</v>
      </c>
      <c r="C38" s="10">
        <v>5.5571972862066588</v>
      </c>
    </row>
    <row r="39" spans="1:3" x14ac:dyDescent="0.35">
      <c r="A39" t="s">
        <v>81</v>
      </c>
      <c r="B39" t="s">
        <v>3102</v>
      </c>
      <c r="C39" s="10">
        <v>53.638405017172289</v>
      </c>
    </row>
    <row r="40" spans="1:3" x14ac:dyDescent="0.35">
      <c r="A40" t="s">
        <v>82</v>
      </c>
      <c r="B40" t="s">
        <v>3102</v>
      </c>
      <c r="C40" s="10">
        <v>16.514755507604605</v>
      </c>
    </row>
    <row r="41" spans="1:3" x14ac:dyDescent="0.35">
      <c r="A41" t="s">
        <v>67</v>
      </c>
      <c r="B41" t="s">
        <v>3103</v>
      </c>
      <c r="C41" s="10">
        <v>0.61158039593486446</v>
      </c>
    </row>
    <row r="42" spans="1:3" x14ac:dyDescent="0.35">
      <c r="A42" t="s">
        <v>68</v>
      </c>
      <c r="B42" t="s">
        <v>3103</v>
      </c>
      <c r="C42" s="10">
        <v>0.37873597135398085</v>
      </c>
    </row>
    <row r="43" spans="1:3" x14ac:dyDescent="0.35">
      <c r="A43" t="s">
        <v>69</v>
      </c>
      <c r="B43" t="s">
        <v>3103</v>
      </c>
      <c r="C43" s="10">
        <v>1.4677131262923866</v>
      </c>
    </row>
    <row r="44" spans="1:3" x14ac:dyDescent="0.35">
      <c r="A44" t="s">
        <v>70</v>
      </c>
      <c r="B44" t="s">
        <v>3103</v>
      </c>
      <c r="C44" s="10">
        <v>0.51247628570824988</v>
      </c>
    </row>
    <row r="45" spans="1:3" x14ac:dyDescent="0.35">
      <c r="A45" t="s">
        <v>72</v>
      </c>
      <c r="B45" t="s">
        <v>3103</v>
      </c>
      <c r="C45" s="10">
        <v>1.2245601560632391</v>
      </c>
    </row>
    <row r="46" spans="1:3" x14ac:dyDescent="0.35">
      <c r="A46" t="s">
        <v>73</v>
      </c>
      <c r="B46" t="s">
        <v>3103</v>
      </c>
      <c r="C46" s="10">
        <v>2.7358839609677661</v>
      </c>
    </row>
    <row r="47" spans="1:3" x14ac:dyDescent="0.35">
      <c r="A47" t="s">
        <v>74</v>
      </c>
      <c r="B47" t="s">
        <v>3103</v>
      </c>
      <c r="C47" s="10">
        <v>2.0120100770224743</v>
      </c>
    </row>
    <row r="48" spans="1:3" x14ac:dyDescent="0.35">
      <c r="A48" t="s">
        <v>75</v>
      </c>
      <c r="B48" t="s">
        <v>3103</v>
      </c>
      <c r="C48" s="10">
        <v>0.77482913137749998</v>
      </c>
    </row>
    <row r="49" spans="1:3" x14ac:dyDescent="0.35">
      <c r="A49" t="s">
        <v>76</v>
      </c>
      <c r="B49" t="s">
        <v>3103</v>
      </c>
      <c r="C49" s="10">
        <v>1.8027734282256347</v>
      </c>
    </row>
    <row r="50" spans="1:3" x14ac:dyDescent="0.35">
      <c r="A50" t="s">
        <v>77</v>
      </c>
      <c r="B50" t="s">
        <v>3103</v>
      </c>
      <c r="C50" s="10">
        <v>2.7436723979981714</v>
      </c>
    </row>
    <row r="51" spans="1:3" x14ac:dyDescent="0.35">
      <c r="A51" t="s">
        <v>78</v>
      </c>
      <c r="B51" t="s">
        <v>3103</v>
      </c>
      <c r="C51" s="10">
        <v>3.5088366934444437</v>
      </c>
    </row>
    <row r="52" spans="1:3" x14ac:dyDescent="0.35">
      <c r="A52" t="s">
        <v>79</v>
      </c>
      <c r="B52" t="s">
        <v>3103</v>
      </c>
      <c r="C52" s="10">
        <v>0.99842360748483783</v>
      </c>
    </row>
    <row r="53" spans="1:3" x14ac:dyDescent="0.35">
      <c r="A53" t="s">
        <v>80</v>
      </c>
      <c r="B53" t="s">
        <v>3103</v>
      </c>
      <c r="C53" s="10">
        <v>0.40269504083490992</v>
      </c>
    </row>
    <row r="54" spans="1:3" x14ac:dyDescent="0.35">
      <c r="A54" t="s">
        <v>81</v>
      </c>
      <c r="B54" t="s">
        <v>3103</v>
      </c>
      <c r="C54" s="10">
        <v>1.0828141962810487</v>
      </c>
    </row>
    <row r="55" spans="1:3" x14ac:dyDescent="0.35">
      <c r="A55" t="s">
        <v>82</v>
      </c>
      <c r="B55" t="s">
        <v>3103</v>
      </c>
      <c r="C55" s="10">
        <v>2.0790353530038193</v>
      </c>
    </row>
    <row r="56" spans="1:3" x14ac:dyDescent="0.35">
      <c r="A56" t="s">
        <v>67</v>
      </c>
      <c r="B56" t="s">
        <v>3104</v>
      </c>
      <c r="C56" s="10">
        <v>0.33160000000000001</v>
      </c>
    </row>
    <row r="57" spans="1:3" x14ac:dyDescent="0.35">
      <c r="A57" t="s">
        <v>68</v>
      </c>
      <c r="B57" t="s">
        <v>3104</v>
      </c>
      <c r="C57" s="10">
        <v>0.12599999999999989</v>
      </c>
    </row>
    <row r="58" spans="1:3" x14ac:dyDescent="0.35">
      <c r="A58" t="s">
        <v>71</v>
      </c>
      <c r="B58" t="s">
        <v>3104</v>
      </c>
      <c r="C58" s="10">
        <v>2.9999999999999992E-3</v>
      </c>
    </row>
    <row r="59" spans="1:3" x14ac:dyDescent="0.35">
      <c r="A59" t="s">
        <v>72</v>
      </c>
      <c r="B59" t="s">
        <v>3104</v>
      </c>
      <c r="C59" s="10">
        <v>8.3000000000000074E-2</v>
      </c>
    </row>
    <row r="60" spans="1:3" x14ac:dyDescent="0.35">
      <c r="A60" t="s">
        <v>73</v>
      </c>
      <c r="B60" t="s">
        <v>3104</v>
      </c>
      <c r="C60" s="10">
        <v>0.29779999999999962</v>
      </c>
    </row>
    <row r="61" spans="1:3" x14ac:dyDescent="0.35">
      <c r="A61" t="s">
        <v>75</v>
      </c>
      <c r="B61" t="s">
        <v>3104</v>
      </c>
      <c r="C61" s="10">
        <v>1.0000000000000009E-2</v>
      </c>
    </row>
    <row r="62" spans="1:3" x14ac:dyDescent="0.35">
      <c r="A62" t="s">
        <v>77</v>
      </c>
      <c r="B62" t="s">
        <v>3104</v>
      </c>
      <c r="C62" s="10">
        <v>0.11699999999999999</v>
      </c>
    </row>
    <row r="63" spans="1:3" x14ac:dyDescent="0.35">
      <c r="A63" t="s">
        <v>78</v>
      </c>
      <c r="B63" t="s">
        <v>3104</v>
      </c>
      <c r="C63" s="10">
        <v>0.25999999999999979</v>
      </c>
    </row>
    <row r="64" spans="1:3" x14ac:dyDescent="0.35">
      <c r="A64" t="s">
        <v>79</v>
      </c>
      <c r="B64" t="s">
        <v>3104</v>
      </c>
      <c r="C64" s="10">
        <v>4.9000000000000002E-2</v>
      </c>
    </row>
    <row r="65" spans="1:3" x14ac:dyDescent="0.35">
      <c r="A65" t="s">
        <v>82</v>
      </c>
      <c r="B65" t="s">
        <v>3104</v>
      </c>
      <c r="C65" s="10">
        <v>0.18290000000000006</v>
      </c>
    </row>
    <row r="66" spans="1:3" x14ac:dyDescent="0.35">
      <c r="A66" t="s">
        <v>67</v>
      </c>
      <c r="B66" t="s">
        <v>2846</v>
      </c>
      <c r="C66" s="10">
        <v>4.125</v>
      </c>
    </row>
    <row r="67" spans="1:3" x14ac:dyDescent="0.35">
      <c r="A67" t="s">
        <v>68</v>
      </c>
      <c r="B67" t="s">
        <v>2846</v>
      </c>
      <c r="C67" s="10">
        <v>1.0276500000000002</v>
      </c>
    </row>
    <row r="68" spans="1:3" x14ac:dyDescent="0.35">
      <c r="A68" t="s">
        <v>69</v>
      </c>
      <c r="B68" t="s">
        <v>2846</v>
      </c>
      <c r="C68" s="10">
        <v>5.2800000000000011</v>
      </c>
    </row>
    <row r="69" spans="1:3" x14ac:dyDescent="0.35">
      <c r="A69" t="s">
        <v>70</v>
      </c>
      <c r="B69" t="s">
        <v>2846</v>
      </c>
      <c r="C69" s="10">
        <v>4.5277000000000012</v>
      </c>
    </row>
    <row r="70" spans="1:3" x14ac:dyDescent="0.35">
      <c r="A70" t="s">
        <v>71</v>
      </c>
      <c r="B70" t="s">
        <v>2846</v>
      </c>
      <c r="C70" s="10">
        <v>29.770000000000039</v>
      </c>
    </row>
    <row r="71" spans="1:3" x14ac:dyDescent="0.35">
      <c r="A71" t="s">
        <v>72</v>
      </c>
      <c r="B71" t="s">
        <v>2846</v>
      </c>
      <c r="C71" s="10">
        <v>4.4030000000000022</v>
      </c>
    </row>
    <row r="72" spans="1:3" x14ac:dyDescent="0.35">
      <c r="A72" t="s">
        <v>73</v>
      </c>
      <c r="B72" t="s">
        <v>2846</v>
      </c>
      <c r="C72" s="10">
        <v>4.7109999999999843</v>
      </c>
    </row>
    <row r="73" spans="1:3" x14ac:dyDescent="0.35">
      <c r="A73" t="s">
        <v>74</v>
      </c>
      <c r="B73" t="s">
        <v>2846</v>
      </c>
      <c r="C73" s="10">
        <v>4.713000000000001</v>
      </c>
    </row>
    <row r="74" spans="1:3" x14ac:dyDescent="0.35">
      <c r="A74" t="s">
        <v>75</v>
      </c>
      <c r="B74" t="s">
        <v>2846</v>
      </c>
      <c r="C74" s="10">
        <v>1.7160000000000011</v>
      </c>
    </row>
    <row r="75" spans="1:3" x14ac:dyDescent="0.35">
      <c r="A75" t="s">
        <v>76</v>
      </c>
      <c r="B75" t="s">
        <v>2846</v>
      </c>
      <c r="C75" s="10">
        <v>1.5670000000000002</v>
      </c>
    </row>
    <row r="76" spans="1:3" x14ac:dyDescent="0.35">
      <c r="A76" t="s">
        <v>77</v>
      </c>
      <c r="B76" t="s">
        <v>2846</v>
      </c>
      <c r="C76" s="10">
        <v>2.7139999999999986</v>
      </c>
    </row>
    <row r="77" spans="1:3" x14ac:dyDescent="0.35">
      <c r="A77" t="s">
        <v>78</v>
      </c>
      <c r="B77" t="s">
        <v>2846</v>
      </c>
      <c r="C77" s="10">
        <v>5.136969999999998</v>
      </c>
    </row>
    <row r="78" spans="1:3" x14ac:dyDescent="0.35">
      <c r="A78" t="s">
        <v>79</v>
      </c>
      <c r="B78" t="s">
        <v>2846</v>
      </c>
      <c r="C78" s="10">
        <v>2.8870999999999998</v>
      </c>
    </row>
    <row r="79" spans="1:3" x14ac:dyDescent="0.35">
      <c r="A79" t="s">
        <v>80</v>
      </c>
      <c r="B79" t="s">
        <v>2846</v>
      </c>
      <c r="C79" s="10">
        <v>0.42100000000000004</v>
      </c>
    </row>
    <row r="80" spans="1:3" x14ac:dyDescent="0.35">
      <c r="A80" t="s">
        <v>81</v>
      </c>
      <c r="B80" t="s">
        <v>2846</v>
      </c>
      <c r="C80" s="10">
        <v>23.347999999999999</v>
      </c>
    </row>
    <row r="81" spans="1:3" x14ac:dyDescent="0.35">
      <c r="A81" t="s">
        <v>82</v>
      </c>
      <c r="B81" t="s">
        <v>2846</v>
      </c>
      <c r="C81" s="10">
        <v>3.8129800000000009</v>
      </c>
    </row>
    <row r="82" spans="1:3" x14ac:dyDescent="0.35">
      <c r="A82" t="s">
        <v>67</v>
      </c>
      <c r="B82" t="s">
        <v>3105</v>
      </c>
      <c r="C82" s="10">
        <v>10.708493469027971</v>
      </c>
    </row>
    <row r="83" spans="1:3" x14ac:dyDescent="0.35">
      <c r="A83" t="s">
        <v>68</v>
      </c>
      <c r="B83" t="s">
        <v>3105</v>
      </c>
      <c r="C83" s="10">
        <v>2.0984670441984079</v>
      </c>
    </row>
    <row r="84" spans="1:3" x14ac:dyDescent="0.35">
      <c r="A84" t="s">
        <v>69</v>
      </c>
      <c r="B84" t="s">
        <v>3105</v>
      </c>
      <c r="C84" s="10">
        <v>2.2445687349090342</v>
      </c>
    </row>
    <row r="85" spans="1:3" x14ac:dyDescent="0.35">
      <c r="A85" t="s">
        <v>70</v>
      </c>
      <c r="B85" t="s">
        <v>3105</v>
      </c>
      <c r="C85" s="10">
        <v>3.410210736622151</v>
      </c>
    </row>
    <row r="86" spans="1:3" x14ac:dyDescent="0.35">
      <c r="A86" t="s">
        <v>71</v>
      </c>
      <c r="B86" t="s">
        <v>3105</v>
      </c>
      <c r="C86" s="10">
        <v>10.271244049703817</v>
      </c>
    </row>
    <row r="87" spans="1:3" x14ac:dyDescent="0.35">
      <c r="A87" t="s">
        <v>72</v>
      </c>
      <c r="B87" t="s">
        <v>3105</v>
      </c>
      <c r="C87" s="10">
        <v>3.9653493569218341</v>
      </c>
    </row>
    <row r="88" spans="1:3" x14ac:dyDescent="0.35">
      <c r="A88" t="s">
        <v>73</v>
      </c>
      <c r="B88" t="s">
        <v>3105</v>
      </c>
      <c r="C88" s="10">
        <v>19.784149082959942</v>
      </c>
    </row>
    <row r="89" spans="1:3" x14ac:dyDescent="0.35">
      <c r="A89" t="s">
        <v>74</v>
      </c>
      <c r="B89" t="s">
        <v>3105</v>
      </c>
      <c r="C89" s="10">
        <v>3.3142069816167599</v>
      </c>
    </row>
    <row r="90" spans="1:3" x14ac:dyDescent="0.35">
      <c r="A90" t="s">
        <v>75</v>
      </c>
      <c r="B90" t="s">
        <v>3105</v>
      </c>
      <c r="C90" s="10">
        <v>4.8958518226091385</v>
      </c>
    </row>
    <row r="91" spans="1:3" x14ac:dyDescent="0.35">
      <c r="A91" t="s">
        <v>76</v>
      </c>
      <c r="B91" t="s">
        <v>3105</v>
      </c>
      <c r="C91" s="10">
        <v>15.034861324385588</v>
      </c>
    </row>
    <row r="92" spans="1:3" x14ac:dyDescent="0.35">
      <c r="A92" t="s">
        <v>77</v>
      </c>
      <c r="B92" t="s">
        <v>3105</v>
      </c>
      <c r="C92" s="10">
        <v>5.2408467483954482</v>
      </c>
    </row>
    <row r="93" spans="1:3" x14ac:dyDescent="0.35">
      <c r="A93" t="s">
        <v>78</v>
      </c>
      <c r="B93" t="s">
        <v>3105</v>
      </c>
      <c r="C93" s="10">
        <v>9.5322109649306697</v>
      </c>
    </row>
    <row r="94" spans="1:3" x14ac:dyDescent="0.35">
      <c r="A94" t="s">
        <v>79</v>
      </c>
      <c r="B94" t="s">
        <v>3105</v>
      </c>
      <c r="C94" s="10">
        <v>13.835595417000462</v>
      </c>
    </row>
    <row r="95" spans="1:3" x14ac:dyDescent="0.35">
      <c r="A95" t="s">
        <v>80</v>
      </c>
      <c r="B95" t="s">
        <v>3105</v>
      </c>
      <c r="C95" s="10">
        <v>5.5509301555960739</v>
      </c>
    </row>
    <row r="96" spans="1:3" x14ac:dyDescent="0.35">
      <c r="A96" t="s">
        <v>81</v>
      </c>
      <c r="B96" t="s">
        <v>3105</v>
      </c>
      <c r="C96" s="10">
        <v>24.811988225568093</v>
      </c>
    </row>
    <row r="97" spans="1:3" x14ac:dyDescent="0.35">
      <c r="A97" t="s">
        <v>82</v>
      </c>
      <c r="B97" t="s">
        <v>3105</v>
      </c>
      <c r="C97" s="10">
        <v>63.523944442717493</v>
      </c>
    </row>
    <row r="98" spans="1:3" x14ac:dyDescent="0.35">
      <c r="A98" t="s">
        <v>67</v>
      </c>
      <c r="B98" t="s">
        <v>3106</v>
      </c>
      <c r="C98" s="10">
        <v>0.92</v>
      </c>
    </row>
    <row r="99" spans="1:3" x14ac:dyDescent="0.35">
      <c r="A99" t="s">
        <v>69</v>
      </c>
      <c r="B99" t="s">
        <v>3106</v>
      </c>
      <c r="C99" s="10">
        <v>1.35</v>
      </c>
    </row>
    <row r="100" spans="1:3" x14ac:dyDescent="0.35">
      <c r="A100" t="s">
        <v>70</v>
      </c>
      <c r="B100" t="s">
        <v>3106</v>
      </c>
      <c r="C100" s="10">
        <v>1.8950000000000005</v>
      </c>
    </row>
    <row r="101" spans="1:3" x14ac:dyDescent="0.35">
      <c r="A101" t="s">
        <v>71</v>
      </c>
      <c r="B101" t="s">
        <v>3106</v>
      </c>
      <c r="C101" s="10">
        <v>8.3439999999999941</v>
      </c>
    </row>
    <row r="102" spans="1:3" x14ac:dyDescent="0.35">
      <c r="A102" t="s">
        <v>72</v>
      </c>
      <c r="B102" t="s">
        <v>3106</v>
      </c>
      <c r="C102" s="10">
        <v>0.69199999999999995</v>
      </c>
    </row>
    <row r="103" spans="1:3" x14ac:dyDescent="0.35">
      <c r="A103" t="s">
        <v>73</v>
      </c>
      <c r="B103" t="s">
        <v>3106</v>
      </c>
      <c r="C103" s="10">
        <v>22.521999999999977</v>
      </c>
    </row>
    <row r="104" spans="1:3" x14ac:dyDescent="0.35">
      <c r="A104" t="s">
        <v>74</v>
      </c>
      <c r="B104" t="s">
        <v>3106</v>
      </c>
      <c r="C104" s="10">
        <v>0.93200000000000038</v>
      </c>
    </row>
    <row r="105" spans="1:3" x14ac:dyDescent="0.35">
      <c r="A105" t="s">
        <v>75</v>
      </c>
      <c r="B105" t="s">
        <v>3106</v>
      </c>
      <c r="C105" s="10">
        <v>6.6669999999999998</v>
      </c>
    </row>
    <row r="106" spans="1:3" x14ac:dyDescent="0.35">
      <c r="A106" t="s">
        <v>76</v>
      </c>
      <c r="B106" t="s">
        <v>3106</v>
      </c>
      <c r="C106" s="10">
        <v>0</v>
      </c>
    </row>
    <row r="107" spans="1:3" x14ac:dyDescent="0.35">
      <c r="A107" t="s">
        <v>77</v>
      </c>
      <c r="B107" t="s">
        <v>3106</v>
      </c>
      <c r="C107" s="10">
        <v>0.60199999999999998</v>
      </c>
    </row>
    <row r="108" spans="1:3" x14ac:dyDescent="0.35">
      <c r="A108" t="s">
        <v>78</v>
      </c>
      <c r="B108" t="s">
        <v>3106</v>
      </c>
      <c r="C108" s="10">
        <v>0.95100000000000007</v>
      </c>
    </row>
    <row r="109" spans="1:3" x14ac:dyDescent="0.35">
      <c r="A109" t="s">
        <v>79</v>
      </c>
      <c r="B109" t="s">
        <v>3106</v>
      </c>
      <c r="C109" s="10">
        <v>1.1099999999999994</v>
      </c>
    </row>
    <row r="110" spans="1:3" x14ac:dyDescent="0.35">
      <c r="A110" t="s">
        <v>80</v>
      </c>
      <c r="B110" t="s">
        <v>3106</v>
      </c>
      <c r="C110" s="10">
        <v>2.5700000000000003</v>
      </c>
    </row>
    <row r="111" spans="1:3" x14ac:dyDescent="0.35">
      <c r="A111" t="s">
        <v>81</v>
      </c>
      <c r="B111" t="s">
        <v>3106</v>
      </c>
      <c r="C111" s="10">
        <v>12.602999999999998</v>
      </c>
    </row>
    <row r="112" spans="1:3" x14ac:dyDescent="0.35">
      <c r="A112" t="s">
        <v>82</v>
      </c>
      <c r="B112" t="s">
        <v>3106</v>
      </c>
      <c r="C112" s="10">
        <v>9.7450000000000045</v>
      </c>
    </row>
    <row r="113" spans="1:3" x14ac:dyDescent="0.35">
      <c r="A113" t="s">
        <v>67</v>
      </c>
      <c r="B113" t="s">
        <v>3107</v>
      </c>
      <c r="C113" s="10">
        <v>0</v>
      </c>
    </row>
    <row r="114" spans="1:3" x14ac:dyDescent="0.35">
      <c r="A114" t="s">
        <v>68</v>
      </c>
      <c r="B114" t="s">
        <v>3107</v>
      </c>
      <c r="C114" s="10">
        <v>2.0000000000000018E-3</v>
      </c>
    </row>
    <row r="115" spans="1:3" x14ac:dyDescent="0.35">
      <c r="A115" t="s">
        <v>69</v>
      </c>
      <c r="B115" t="s">
        <v>3107</v>
      </c>
      <c r="C115" s="10">
        <v>0</v>
      </c>
    </row>
    <row r="116" spans="1:3" x14ac:dyDescent="0.35">
      <c r="A116" t="s">
        <v>70</v>
      </c>
      <c r="B116" t="s">
        <v>3107</v>
      </c>
      <c r="C116" s="10">
        <v>0</v>
      </c>
    </row>
    <row r="117" spans="1:3" x14ac:dyDescent="0.35">
      <c r="A117" t="s">
        <v>71</v>
      </c>
      <c r="B117" t="s">
        <v>3107</v>
      </c>
      <c r="C117" s="10">
        <v>0</v>
      </c>
    </row>
    <row r="118" spans="1:3" x14ac:dyDescent="0.35">
      <c r="A118" t="s">
        <v>73</v>
      </c>
      <c r="B118" t="s">
        <v>3107</v>
      </c>
      <c r="C118" s="10">
        <v>0.48299999999999987</v>
      </c>
    </row>
    <row r="119" spans="1:3" x14ac:dyDescent="0.35">
      <c r="A119" t="s">
        <v>79</v>
      </c>
      <c r="B119" t="s">
        <v>3107</v>
      </c>
      <c r="C119" s="10">
        <v>1.6000000000000001E-3</v>
      </c>
    </row>
    <row r="120" spans="1:3" x14ac:dyDescent="0.35">
      <c r="A120" t="s">
        <v>80</v>
      </c>
      <c r="B120" t="s">
        <v>3107</v>
      </c>
      <c r="C120" s="10">
        <v>0.29500000000000004</v>
      </c>
    </row>
    <row r="121" spans="1:3" x14ac:dyDescent="0.35">
      <c r="A121" t="s">
        <v>81</v>
      </c>
      <c r="B121" t="s">
        <v>3107</v>
      </c>
      <c r="C121" s="10">
        <v>0</v>
      </c>
    </row>
    <row r="122" spans="1:3" x14ac:dyDescent="0.35">
      <c r="A122" t="s">
        <v>67</v>
      </c>
      <c r="B122" t="s">
        <v>3108</v>
      </c>
      <c r="C122" s="10">
        <v>1.3111363292004583</v>
      </c>
    </row>
    <row r="123" spans="1:3" x14ac:dyDescent="0.35">
      <c r="A123" t="s">
        <v>68</v>
      </c>
      <c r="B123" t="s">
        <v>3108</v>
      </c>
      <c r="C123" s="10">
        <v>0.16879672697551756</v>
      </c>
    </row>
    <row r="124" spans="1:3" x14ac:dyDescent="0.35">
      <c r="A124" t="s">
        <v>69</v>
      </c>
      <c r="B124" t="s">
        <v>3108</v>
      </c>
      <c r="C124" s="10">
        <v>1.4027960855321666</v>
      </c>
    </row>
    <row r="125" spans="1:3" x14ac:dyDescent="0.35">
      <c r="A125" t="s">
        <v>70</v>
      </c>
      <c r="B125" t="s">
        <v>3108</v>
      </c>
      <c r="C125" s="10">
        <v>0.30552673740921499</v>
      </c>
    </row>
    <row r="126" spans="1:3" x14ac:dyDescent="0.35">
      <c r="A126" t="s">
        <v>71</v>
      </c>
      <c r="B126" t="s">
        <v>3108</v>
      </c>
      <c r="C126" s="10">
        <v>0.65413599171006531</v>
      </c>
    </row>
    <row r="127" spans="1:3" x14ac:dyDescent="0.35">
      <c r="A127" t="s">
        <v>72</v>
      </c>
      <c r="B127" t="s">
        <v>3108</v>
      </c>
      <c r="C127" s="10">
        <v>1.3996663981961479</v>
      </c>
    </row>
    <row r="128" spans="1:3" x14ac:dyDescent="0.35">
      <c r="A128" t="s">
        <v>73</v>
      </c>
      <c r="B128" t="s">
        <v>3108</v>
      </c>
      <c r="C128" s="10">
        <v>10.709862419261317</v>
      </c>
    </row>
    <row r="129" spans="1:3" x14ac:dyDescent="0.35">
      <c r="A129" t="s">
        <v>74</v>
      </c>
      <c r="B129" t="s">
        <v>3108</v>
      </c>
      <c r="C129" s="10">
        <v>1.0423317994755292</v>
      </c>
    </row>
    <row r="130" spans="1:3" x14ac:dyDescent="0.35">
      <c r="A130" t="s">
        <v>75</v>
      </c>
      <c r="B130" t="s">
        <v>3108</v>
      </c>
      <c r="C130" s="10">
        <v>3.4330847322580311</v>
      </c>
    </row>
    <row r="131" spans="1:3" x14ac:dyDescent="0.35">
      <c r="A131" t="s">
        <v>76</v>
      </c>
      <c r="B131" t="s">
        <v>3108</v>
      </c>
      <c r="C131" s="10">
        <v>2.915629141780534</v>
      </c>
    </row>
    <row r="132" spans="1:3" x14ac:dyDescent="0.35">
      <c r="A132" t="s">
        <v>77</v>
      </c>
      <c r="B132" t="s">
        <v>3108</v>
      </c>
      <c r="C132" s="10">
        <v>2.3628229467833357</v>
      </c>
    </row>
    <row r="133" spans="1:3" x14ac:dyDescent="0.35">
      <c r="A133" t="s">
        <v>78</v>
      </c>
      <c r="B133" t="s">
        <v>3108</v>
      </c>
      <c r="C133" s="10">
        <v>3.5352871337979366</v>
      </c>
    </row>
    <row r="134" spans="1:3" x14ac:dyDescent="0.35">
      <c r="A134" t="s">
        <v>79</v>
      </c>
      <c r="B134" t="s">
        <v>3108</v>
      </c>
      <c r="C134" s="10">
        <v>0.49988364266141971</v>
      </c>
    </row>
    <row r="135" spans="1:3" x14ac:dyDescent="0.35">
      <c r="A135" t="s">
        <v>80</v>
      </c>
      <c r="B135" t="s">
        <v>3108</v>
      </c>
      <c r="C135" s="10">
        <v>0.74681481276130057</v>
      </c>
    </row>
    <row r="136" spans="1:3" x14ac:dyDescent="0.35">
      <c r="A136" t="s">
        <v>81</v>
      </c>
      <c r="B136" t="s">
        <v>3108</v>
      </c>
      <c r="C136" s="10">
        <v>11.92826696092709</v>
      </c>
    </row>
    <row r="137" spans="1:3" x14ac:dyDescent="0.35">
      <c r="A137" t="s">
        <v>82</v>
      </c>
      <c r="B137" t="s">
        <v>3108</v>
      </c>
      <c r="C137" s="10">
        <v>2.2407533806960558</v>
      </c>
    </row>
    <row r="138" spans="1:3" x14ac:dyDescent="0.35">
      <c r="A138" t="s">
        <v>67</v>
      </c>
      <c r="B138" t="s">
        <v>2847</v>
      </c>
      <c r="C138" s="10">
        <v>1.8726440000000002</v>
      </c>
    </row>
    <row r="139" spans="1:3" x14ac:dyDescent="0.35">
      <c r="A139" t="s">
        <v>68</v>
      </c>
      <c r="B139" t="s">
        <v>2847</v>
      </c>
      <c r="C139" s="10">
        <v>3.9709999999999992</v>
      </c>
    </row>
    <row r="140" spans="1:3" x14ac:dyDescent="0.35">
      <c r="A140" t="s">
        <v>69</v>
      </c>
      <c r="B140" t="s">
        <v>2847</v>
      </c>
      <c r="C140" s="10">
        <v>1.2009210000000001</v>
      </c>
    </row>
    <row r="141" spans="1:3" x14ac:dyDescent="0.35">
      <c r="A141" t="s">
        <v>70</v>
      </c>
      <c r="B141" t="s">
        <v>2847</v>
      </c>
      <c r="C141" s="10">
        <v>0.67600000000000016</v>
      </c>
    </row>
    <row r="142" spans="1:3" x14ac:dyDescent="0.35">
      <c r="A142" t="s">
        <v>71</v>
      </c>
      <c r="B142" t="s">
        <v>2847</v>
      </c>
      <c r="C142" s="10">
        <v>52.999999999999986</v>
      </c>
    </row>
    <row r="143" spans="1:3" x14ac:dyDescent="0.35">
      <c r="A143" t="s">
        <v>72</v>
      </c>
      <c r="B143" t="s">
        <v>2847</v>
      </c>
      <c r="C143" s="10">
        <v>0.72401900000000019</v>
      </c>
    </row>
    <row r="144" spans="1:3" x14ac:dyDescent="0.35">
      <c r="A144" t="s">
        <v>73</v>
      </c>
      <c r="B144" t="s">
        <v>2847</v>
      </c>
      <c r="C144" s="10">
        <v>23.060499999999998</v>
      </c>
    </row>
    <row r="145" spans="1:3" x14ac:dyDescent="0.35">
      <c r="A145" t="s">
        <v>74</v>
      </c>
      <c r="B145" t="s">
        <v>2847</v>
      </c>
      <c r="C145" s="10">
        <v>9.2035680000000006</v>
      </c>
    </row>
    <row r="146" spans="1:3" x14ac:dyDescent="0.35">
      <c r="A146" t="s">
        <v>75</v>
      </c>
      <c r="B146" t="s">
        <v>2847</v>
      </c>
      <c r="C146" s="10">
        <v>10.811</v>
      </c>
    </row>
    <row r="147" spans="1:3" x14ac:dyDescent="0.35">
      <c r="A147" t="s">
        <v>76</v>
      </c>
      <c r="B147" t="s">
        <v>2847</v>
      </c>
      <c r="C147" s="10">
        <v>1.2027999999999999</v>
      </c>
    </row>
    <row r="148" spans="1:3" x14ac:dyDescent="0.35">
      <c r="A148" t="s">
        <v>77</v>
      </c>
      <c r="B148" t="s">
        <v>2847</v>
      </c>
      <c r="C148" s="10">
        <v>2.4713920000000003</v>
      </c>
    </row>
    <row r="149" spans="1:3" x14ac:dyDescent="0.35">
      <c r="A149" t="s">
        <v>78</v>
      </c>
      <c r="B149" t="s">
        <v>2847</v>
      </c>
      <c r="C149" s="10">
        <v>3.0067200000000001</v>
      </c>
    </row>
    <row r="150" spans="1:3" x14ac:dyDescent="0.35">
      <c r="A150" t="s">
        <v>79</v>
      </c>
      <c r="B150" t="s">
        <v>2847</v>
      </c>
      <c r="C150" s="10">
        <v>0.26032</v>
      </c>
    </row>
    <row r="151" spans="1:3" x14ac:dyDescent="0.35">
      <c r="A151" t="s">
        <v>80</v>
      </c>
      <c r="B151" t="s">
        <v>2847</v>
      </c>
      <c r="C151" s="10">
        <v>2.265066</v>
      </c>
    </row>
    <row r="152" spans="1:3" x14ac:dyDescent="0.35">
      <c r="A152" t="s">
        <v>81</v>
      </c>
      <c r="B152" t="s">
        <v>2847</v>
      </c>
      <c r="C152" s="10">
        <v>1.168042</v>
      </c>
    </row>
    <row r="153" spans="1:3" x14ac:dyDescent="0.35">
      <c r="A153" t="s">
        <v>82</v>
      </c>
      <c r="B153" t="s">
        <v>2847</v>
      </c>
      <c r="C153" s="10">
        <v>11.274099999999997</v>
      </c>
    </row>
    <row r="154" spans="1:3" x14ac:dyDescent="0.35">
      <c r="A154" t="s">
        <v>67</v>
      </c>
      <c r="B154" t="s">
        <v>2848</v>
      </c>
      <c r="C154" s="10">
        <v>0.92083100000000018</v>
      </c>
    </row>
    <row r="155" spans="1:3" x14ac:dyDescent="0.35">
      <c r="A155" t="s">
        <v>68</v>
      </c>
      <c r="B155" t="s">
        <v>2848</v>
      </c>
      <c r="C155" s="10">
        <v>3.1826999999999996</v>
      </c>
    </row>
    <row r="156" spans="1:3" x14ac:dyDescent="0.35">
      <c r="A156" t="s">
        <v>69</v>
      </c>
      <c r="B156" t="s">
        <v>2848</v>
      </c>
      <c r="C156" s="10">
        <v>3.1086099999999997</v>
      </c>
    </row>
    <row r="157" spans="1:3" x14ac:dyDescent="0.35">
      <c r="A157" t="s">
        <v>70</v>
      </c>
      <c r="B157" t="s">
        <v>2848</v>
      </c>
      <c r="C157" s="10">
        <v>1.8930000000000007</v>
      </c>
    </row>
    <row r="158" spans="1:3" x14ac:dyDescent="0.35">
      <c r="A158" t="s">
        <v>71</v>
      </c>
      <c r="B158" t="s">
        <v>2848</v>
      </c>
      <c r="C158" s="10">
        <v>33</v>
      </c>
    </row>
    <row r="159" spans="1:3" x14ac:dyDescent="0.35">
      <c r="A159" t="s">
        <v>72</v>
      </c>
      <c r="B159" t="s">
        <v>2848</v>
      </c>
      <c r="C159" s="10">
        <v>0.8456999999999999</v>
      </c>
    </row>
    <row r="160" spans="1:3" x14ac:dyDescent="0.35">
      <c r="A160" t="s">
        <v>73</v>
      </c>
      <c r="B160" t="s">
        <v>2848</v>
      </c>
      <c r="C160" s="10">
        <v>15.38300000000001</v>
      </c>
    </row>
    <row r="161" spans="1:3" x14ac:dyDescent="0.35">
      <c r="A161" t="s">
        <v>74</v>
      </c>
      <c r="B161" t="s">
        <v>2848</v>
      </c>
      <c r="C161" s="10">
        <v>4.5999999999999979</v>
      </c>
    </row>
    <row r="162" spans="1:3" x14ac:dyDescent="0.35">
      <c r="A162" t="s">
        <v>75</v>
      </c>
      <c r="B162" t="s">
        <v>2848</v>
      </c>
      <c r="C162" s="10">
        <v>0.57799999999999985</v>
      </c>
    </row>
    <row r="163" spans="1:3" x14ac:dyDescent="0.35">
      <c r="A163" t="s">
        <v>76</v>
      </c>
      <c r="B163" t="s">
        <v>2848</v>
      </c>
      <c r="C163" s="10">
        <v>0.18909999999999999</v>
      </c>
    </row>
    <row r="164" spans="1:3" x14ac:dyDescent="0.35">
      <c r="A164" t="s">
        <v>77</v>
      </c>
      <c r="B164" t="s">
        <v>2848</v>
      </c>
      <c r="C164" s="10">
        <v>1.3570000000000002</v>
      </c>
    </row>
    <row r="165" spans="1:3" x14ac:dyDescent="0.35">
      <c r="A165" t="s">
        <v>78</v>
      </c>
      <c r="B165" t="s">
        <v>2848</v>
      </c>
      <c r="C165" s="10">
        <v>1.0759000000000001</v>
      </c>
    </row>
    <row r="166" spans="1:3" x14ac:dyDescent="0.35">
      <c r="A166" t="s">
        <v>79</v>
      </c>
      <c r="B166" t="s">
        <v>2848</v>
      </c>
      <c r="C166" s="10">
        <v>0.67100000000000004</v>
      </c>
    </row>
    <row r="167" spans="1:3" x14ac:dyDescent="0.35">
      <c r="A167" t="s">
        <v>80</v>
      </c>
      <c r="B167" t="s">
        <v>2848</v>
      </c>
      <c r="C167" s="10">
        <v>0.23499999999999999</v>
      </c>
    </row>
    <row r="168" spans="1:3" x14ac:dyDescent="0.35">
      <c r="A168" t="s">
        <v>81</v>
      </c>
      <c r="B168" t="s">
        <v>2848</v>
      </c>
      <c r="C168" s="10">
        <v>1.1703600000000001</v>
      </c>
    </row>
    <row r="169" spans="1:3" x14ac:dyDescent="0.35">
      <c r="A169" t="s">
        <v>82</v>
      </c>
      <c r="B169" t="s">
        <v>2848</v>
      </c>
      <c r="C169" s="10">
        <v>13.398900000000005</v>
      </c>
    </row>
    <row r="170" spans="1:3" x14ac:dyDescent="0.35">
      <c r="A170" t="s">
        <v>67</v>
      </c>
      <c r="B170" t="s">
        <v>3109</v>
      </c>
      <c r="C170" s="10">
        <v>6.8323572316022735E-2</v>
      </c>
    </row>
    <row r="171" spans="1:3" x14ac:dyDescent="0.35">
      <c r="A171" t="s">
        <v>68</v>
      </c>
      <c r="B171" t="s">
        <v>3109</v>
      </c>
      <c r="C171" s="10">
        <v>5.3807727285579143E-2</v>
      </c>
    </row>
    <row r="172" spans="1:3" x14ac:dyDescent="0.35">
      <c r="A172" t="s">
        <v>69</v>
      </c>
      <c r="B172" t="s">
        <v>3109</v>
      </c>
      <c r="C172" s="10">
        <v>0.43134104338561374</v>
      </c>
    </row>
    <row r="173" spans="1:3" x14ac:dyDescent="0.35">
      <c r="A173" t="s">
        <v>70</v>
      </c>
      <c r="B173" t="s">
        <v>3109</v>
      </c>
      <c r="C173" s="10">
        <v>0.22742849525578857</v>
      </c>
    </row>
    <row r="174" spans="1:3" x14ac:dyDescent="0.35">
      <c r="A174" t="s">
        <v>71</v>
      </c>
      <c r="B174" t="s">
        <v>3109</v>
      </c>
      <c r="C174" s="10">
        <v>1.7678809419855188</v>
      </c>
    </row>
    <row r="175" spans="1:3" x14ac:dyDescent="0.35">
      <c r="A175" t="s">
        <v>72</v>
      </c>
      <c r="B175" t="s">
        <v>3109</v>
      </c>
      <c r="C175" s="10">
        <v>0.14150785189190568</v>
      </c>
    </row>
    <row r="176" spans="1:3" x14ac:dyDescent="0.35">
      <c r="A176" t="s">
        <v>73</v>
      </c>
      <c r="B176" t="s">
        <v>3109</v>
      </c>
      <c r="C176" s="10">
        <v>2.7638329124734042</v>
      </c>
    </row>
    <row r="177" spans="1:3" x14ac:dyDescent="0.35">
      <c r="A177" t="s">
        <v>74</v>
      </c>
      <c r="B177" t="s">
        <v>3109</v>
      </c>
      <c r="C177" s="10">
        <v>1.036784542293993</v>
      </c>
    </row>
    <row r="178" spans="1:3" x14ac:dyDescent="0.35">
      <c r="A178" t="s">
        <v>75</v>
      </c>
      <c r="B178" t="s">
        <v>3109</v>
      </c>
      <c r="C178" s="10">
        <v>0.44262145721754953</v>
      </c>
    </row>
    <row r="179" spans="1:3" x14ac:dyDescent="0.35">
      <c r="A179" t="s">
        <v>76</v>
      </c>
      <c r="B179" t="s">
        <v>3109</v>
      </c>
      <c r="C179" s="10">
        <v>3.8431214212429829E-2</v>
      </c>
    </row>
    <row r="180" spans="1:3" x14ac:dyDescent="0.35">
      <c r="A180" t="s">
        <v>77</v>
      </c>
      <c r="B180" t="s">
        <v>3109</v>
      </c>
      <c r="C180" s="10">
        <v>0.34151530991316781</v>
      </c>
    </row>
    <row r="181" spans="1:3" x14ac:dyDescent="0.35">
      <c r="A181" t="s">
        <v>78</v>
      </c>
      <c r="B181" t="s">
        <v>3109</v>
      </c>
      <c r="C181" s="10">
        <v>0.4772555324929022</v>
      </c>
    </row>
    <row r="182" spans="1:3" x14ac:dyDescent="0.35">
      <c r="A182" t="s">
        <v>79</v>
      </c>
      <c r="B182" t="s">
        <v>3109</v>
      </c>
      <c r="C182" s="10">
        <v>0.1626807804813164</v>
      </c>
    </row>
    <row r="183" spans="1:3" x14ac:dyDescent="0.35">
      <c r="A183" t="s">
        <v>80</v>
      </c>
      <c r="B183" t="s">
        <v>3109</v>
      </c>
      <c r="C183" s="10">
        <v>0.98029017445583089</v>
      </c>
    </row>
    <row r="184" spans="1:3" x14ac:dyDescent="0.35">
      <c r="A184" t="s">
        <v>81</v>
      </c>
      <c r="B184" t="s">
        <v>3109</v>
      </c>
      <c r="C184" s="10">
        <v>0.17180012632090202</v>
      </c>
    </row>
    <row r="185" spans="1:3" x14ac:dyDescent="0.35">
      <c r="A185" t="s">
        <v>82</v>
      </c>
      <c r="B185" t="s">
        <v>3109</v>
      </c>
      <c r="C185">
        <v>0.94141323791329512</v>
      </c>
    </row>
  </sheetData>
  <pageMargins left="0.7" right="0.7" top="0.75" bottom="0.75" header="0.3" footer="0.3"/>
  <pageSetup paperSize="9"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998"/>
  <sheetViews>
    <sheetView workbookViewId="0"/>
  </sheetViews>
  <sheetFormatPr defaultColWidth="8.81640625" defaultRowHeight="14.5" x14ac:dyDescent="0.35"/>
  <cols>
    <col min="1" max="1" width="12.26953125" bestFit="1" customWidth="1"/>
    <col min="2" max="3" width="8.81640625" customWidth="1"/>
    <col min="4" max="4" width="26.1796875" customWidth="1"/>
    <col min="5" max="14" width="8.81640625" customWidth="1"/>
    <col min="15" max="15" width="5" bestFit="1" customWidth="1"/>
    <col min="16" max="17" width="8.81640625" customWidth="1"/>
    <col min="18" max="18" width="7" bestFit="1" customWidth="1"/>
    <col min="19" max="19" width="6" customWidth="1"/>
    <col min="20" max="20" width="19.7265625" bestFit="1" customWidth="1"/>
    <col min="21" max="21" width="8.81640625" bestFit="1" customWidth="1"/>
    <col min="22" max="22" width="7.7265625" bestFit="1" customWidth="1"/>
    <col min="23" max="23" width="9.1796875" bestFit="1" customWidth="1"/>
    <col min="24" max="24" width="24.81640625" bestFit="1" customWidth="1"/>
    <col min="25" max="25" width="6" bestFit="1" customWidth="1"/>
    <col min="26" max="29" width="5" bestFit="1" customWidth="1"/>
    <col min="30" max="30" width="6" bestFit="1" customWidth="1"/>
    <col min="31" max="34" width="5" bestFit="1" customWidth="1"/>
    <col min="35" max="35" width="6" bestFit="1" customWidth="1"/>
    <col min="36" max="37" width="5" bestFit="1" customWidth="1"/>
  </cols>
  <sheetData>
    <row r="1" spans="1:37" x14ac:dyDescent="0.35">
      <c r="A1" t="s">
        <v>2369</v>
      </c>
      <c r="B1" t="s">
        <v>2370</v>
      </c>
      <c r="C1" t="s">
        <v>2371</v>
      </c>
      <c r="D1" t="s">
        <v>2372</v>
      </c>
      <c r="E1" t="s">
        <v>2373</v>
      </c>
      <c r="F1" t="s">
        <v>2374</v>
      </c>
      <c r="G1" t="s">
        <v>2375</v>
      </c>
      <c r="H1" t="s">
        <v>2376</v>
      </c>
      <c r="I1" t="s">
        <v>2377</v>
      </c>
      <c r="J1" t="s">
        <v>2378</v>
      </c>
      <c r="K1" t="s">
        <v>2379</v>
      </c>
      <c r="L1" t="s">
        <v>2380</v>
      </c>
      <c r="M1" t="s">
        <v>2381</v>
      </c>
    </row>
    <row r="2" spans="1:37" x14ac:dyDescent="0.35">
      <c r="A2" t="s">
        <v>95</v>
      </c>
      <c r="B2" t="s">
        <v>3110</v>
      </c>
      <c r="C2" t="s">
        <v>45</v>
      </c>
      <c r="D2" t="s">
        <v>104</v>
      </c>
      <c r="E2" t="s">
        <v>96</v>
      </c>
      <c r="F2" t="s">
        <v>96</v>
      </c>
      <c r="G2" t="s">
        <v>96</v>
      </c>
      <c r="H2">
        <v>2010</v>
      </c>
      <c r="I2" t="s">
        <v>96</v>
      </c>
      <c r="J2" t="s">
        <v>97</v>
      </c>
      <c r="K2" t="s">
        <v>96</v>
      </c>
      <c r="L2" t="s">
        <v>96</v>
      </c>
      <c r="M2">
        <v>3823.75</v>
      </c>
      <c r="O2" s="12" t="str">
        <f>LEFT(B2,3)</f>
        <v>AFR</v>
      </c>
      <c r="P2" s="12" t="str">
        <f>LEFT(D2,5)</f>
        <v>E_WON</v>
      </c>
    </row>
    <row r="3" spans="1:37" x14ac:dyDescent="0.35">
      <c r="A3" t="s">
        <v>95</v>
      </c>
      <c r="B3" t="s">
        <v>3110</v>
      </c>
      <c r="C3" t="s">
        <v>45</v>
      </c>
      <c r="D3" t="s">
        <v>105</v>
      </c>
      <c r="E3" t="s">
        <v>96</v>
      </c>
      <c r="F3" t="s">
        <v>96</v>
      </c>
      <c r="G3" t="s">
        <v>96</v>
      </c>
      <c r="H3">
        <v>2010</v>
      </c>
      <c r="I3" t="s">
        <v>96</v>
      </c>
      <c r="J3" t="s">
        <v>97</v>
      </c>
      <c r="K3" t="s">
        <v>96</v>
      </c>
      <c r="L3" t="s">
        <v>96</v>
      </c>
      <c r="M3">
        <v>3823.75</v>
      </c>
      <c r="O3" s="12" t="str">
        <f t="shared" ref="O3:O66" si="0">LEFT(B3,3)</f>
        <v>AFR</v>
      </c>
      <c r="P3" s="12" t="str">
        <f t="shared" ref="P3:P66" si="1">LEFT(D3,5)</f>
        <v>E_WON</v>
      </c>
    </row>
    <row r="4" spans="1:37" x14ac:dyDescent="0.35">
      <c r="A4" t="s">
        <v>95</v>
      </c>
      <c r="B4" t="s">
        <v>3110</v>
      </c>
      <c r="C4" t="s">
        <v>45</v>
      </c>
      <c r="D4" t="s">
        <v>106</v>
      </c>
      <c r="E4" t="s">
        <v>96</v>
      </c>
      <c r="F4" t="s">
        <v>96</v>
      </c>
      <c r="G4" t="s">
        <v>96</v>
      </c>
      <c r="H4">
        <v>2010</v>
      </c>
      <c r="I4" t="s">
        <v>96</v>
      </c>
      <c r="J4" t="s">
        <v>97</v>
      </c>
      <c r="K4" t="s">
        <v>96</v>
      </c>
      <c r="L4" t="s">
        <v>96</v>
      </c>
      <c r="M4">
        <v>3823.75</v>
      </c>
      <c r="O4" s="12" t="str">
        <f t="shared" si="0"/>
        <v>AFR</v>
      </c>
      <c r="P4" s="12" t="str">
        <f t="shared" si="1"/>
        <v>E_WON</v>
      </c>
    </row>
    <row r="5" spans="1:37" x14ac:dyDescent="0.35">
      <c r="A5" t="s">
        <v>95</v>
      </c>
      <c r="B5" t="s">
        <v>3110</v>
      </c>
      <c r="C5" t="s">
        <v>45</v>
      </c>
      <c r="D5" t="s">
        <v>113</v>
      </c>
      <c r="E5" t="s">
        <v>96</v>
      </c>
      <c r="F5" t="s">
        <v>96</v>
      </c>
      <c r="G5" t="s">
        <v>96</v>
      </c>
      <c r="H5">
        <v>2010</v>
      </c>
      <c r="I5" t="s">
        <v>96</v>
      </c>
      <c r="J5" t="s">
        <v>97</v>
      </c>
      <c r="K5" t="s">
        <v>96</v>
      </c>
      <c r="L5" t="s">
        <v>96</v>
      </c>
      <c r="M5">
        <v>3823.75</v>
      </c>
      <c r="O5" s="12" t="str">
        <f t="shared" si="0"/>
        <v>AFR</v>
      </c>
      <c r="P5" s="12" t="str">
        <f t="shared" si="1"/>
        <v>E_WON</v>
      </c>
    </row>
    <row r="6" spans="1:37" x14ac:dyDescent="0.35">
      <c r="A6" t="s">
        <v>95</v>
      </c>
      <c r="B6" t="s">
        <v>3110</v>
      </c>
      <c r="C6" t="s">
        <v>45</v>
      </c>
      <c r="D6" t="s">
        <v>115</v>
      </c>
      <c r="E6" t="s">
        <v>96</v>
      </c>
      <c r="F6" t="s">
        <v>96</v>
      </c>
      <c r="G6" t="s">
        <v>96</v>
      </c>
      <c r="H6">
        <v>2010</v>
      </c>
      <c r="I6" t="s">
        <v>96</v>
      </c>
      <c r="J6" t="s">
        <v>97</v>
      </c>
      <c r="K6" t="s">
        <v>96</v>
      </c>
      <c r="L6" t="s">
        <v>96</v>
      </c>
      <c r="M6">
        <v>3823.75</v>
      </c>
      <c r="O6" s="12" t="str">
        <f t="shared" si="0"/>
        <v>AFR</v>
      </c>
      <c r="P6" s="12" t="str">
        <f t="shared" si="1"/>
        <v>E_WON</v>
      </c>
    </row>
    <row r="7" spans="1:37" x14ac:dyDescent="0.35">
      <c r="A7" t="s">
        <v>95</v>
      </c>
      <c r="B7" t="s">
        <v>3110</v>
      </c>
      <c r="C7" t="s">
        <v>45</v>
      </c>
      <c r="D7" t="s">
        <v>117</v>
      </c>
      <c r="E7" t="s">
        <v>96</v>
      </c>
      <c r="F7" t="s">
        <v>96</v>
      </c>
      <c r="G7" t="s">
        <v>96</v>
      </c>
      <c r="H7">
        <v>2010</v>
      </c>
      <c r="I7" t="s">
        <v>96</v>
      </c>
      <c r="J7" t="s">
        <v>97</v>
      </c>
      <c r="K7" t="s">
        <v>96</v>
      </c>
      <c r="L7" t="s">
        <v>96</v>
      </c>
      <c r="M7">
        <v>3823.75</v>
      </c>
      <c r="O7" s="12" t="str">
        <f t="shared" si="0"/>
        <v>AFR</v>
      </c>
      <c r="P7" s="12" t="str">
        <f t="shared" si="1"/>
        <v>E_WON</v>
      </c>
      <c r="T7" t="s">
        <v>46</v>
      </c>
      <c r="U7" t="s">
        <v>7</v>
      </c>
      <c r="V7" t="s">
        <v>67</v>
      </c>
      <c r="W7" t="s">
        <v>68</v>
      </c>
      <c r="X7" t="s">
        <v>69</v>
      </c>
      <c r="Y7" t="s">
        <v>70</v>
      </c>
      <c r="Z7" t="s">
        <v>71</v>
      </c>
      <c r="AA7" t="s">
        <v>72</v>
      </c>
      <c r="AB7" t="s">
        <v>73</v>
      </c>
      <c r="AC7" t="s">
        <v>74</v>
      </c>
      <c r="AD7" t="s">
        <v>75</v>
      </c>
      <c r="AE7" t="s">
        <v>76</v>
      </c>
      <c r="AF7" t="s">
        <v>77</v>
      </c>
      <c r="AG7" t="s">
        <v>78</v>
      </c>
      <c r="AH7" t="s">
        <v>79</v>
      </c>
      <c r="AI7" t="s">
        <v>80</v>
      </c>
      <c r="AJ7" t="s">
        <v>81</v>
      </c>
      <c r="AK7" t="s">
        <v>82</v>
      </c>
    </row>
    <row r="8" spans="1:37" x14ac:dyDescent="0.35">
      <c r="A8" t="s">
        <v>95</v>
      </c>
      <c r="B8" t="s">
        <v>3110</v>
      </c>
      <c r="C8" t="s">
        <v>45</v>
      </c>
      <c r="D8" t="s">
        <v>119</v>
      </c>
      <c r="E8" t="s">
        <v>96</v>
      </c>
      <c r="F8" t="s">
        <v>96</v>
      </c>
      <c r="G8" t="s">
        <v>96</v>
      </c>
      <c r="H8">
        <v>2010</v>
      </c>
      <c r="I8" t="s">
        <v>96</v>
      </c>
      <c r="J8" t="s">
        <v>97</v>
      </c>
      <c r="K8" t="s">
        <v>96</v>
      </c>
      <c r="L8" t="s">
        <v>96</v>
      </c>
      <c r="M8">
        <v>3823.75</v>
      </c>
      <c r="O8" s="12" t="str">
        <f t="shared" si="0"/>
        <v>AFR</v>
      </c>
      <c r="P8" s="12" t="str">
        <f t="shared" si="1"/>
        <v>E_WON</v>
      </c>
      <c r="Q8" s="12" t="s">
        <v>2834</v>
      </c>
      <c r="R8" s="8">
        <v>0.42</v>
      </c>
    </row>
    <row r="9" spans="1:37" x14ac:dyDescent="0.35">
      <c r="A9" t="s">
        <v>95</v>
      </c>
      <c r="B9" t="s">
        <v>3110</v>
      </c>
      <c r="C9" t="s">
        <v>45</v>
      </c>
      <c r="D9" t="s">
        <v>121</v>
      </c>
      <c r="E9" t="s">
        <v>96</v>
      </c>
      <c r="F9" t="s">
        <v>96</v>
      </c>
      <c r="G9" t="s">
        <v>96</v>
      </c>
      <c r="H9">
        <v>2010</v>
      </c>
      <c r="I9" t="s">
        <v>96</v>
      </c>
      <c r="J9" t="s">
        <v>97</v>
      </c>
      <c r="K9" t="s">
        <v>96</v>
      </c>
      <c r="L9" t="s">
        <v>96</v>
      </c>
      <c r="M9">
        <v>3823.75</v>
      </c>
      <c r="O9" s="12" t="str">
        <f t="shared" si="0"/>
        <v>AFR</v>
      </c>
      <c r="P9" s="12" t="str">
        <f t="shared" si="1"/>
        <v>E_WON</v>
      </c>
      <c r="Q9" s="12" t="str">
        <f>Q8</f>
        <v>EN_ZC</v>
      </c>
      <c r="R9" s="8">
        <v>1.35</v>
      </c>
    </row>
    <row r="10" spans="1:37" x14ac:dyDescent="0.35">
      <c r="A10" t="s">
        <v>95</v>
      </c>
      <c r="B10" t="s">
        <v>3110</v>
      </c>
      <c r="C10" t="s">
        <v>45</v>
      </c>
      <c r="D10" t="s">
        <v>132</v>
      </c>
      <c r="E10" t="s">
        <v>96</v>
      </c>
      <c r="F10" t="s">
        <v>96</v>
      </c>
      <c r="G10" t="s">
        <v>96</v>
      </c>
      <c r="H10">
        <v>2010</v>
      </c>
      <c r="I10" t="s">
        <v>96</v>
      </c>
      <c r="J10" t="s">
        <v>97</v>
      </c>
      <c r="K10" t="s">
        <v>96</v>
      </c>
      <c r="L10" t="s">
        <v>96</v>
      </c>
      <c r="M10">
        <v>3823.75</v>
      </c>
      <c r="O10" s="12" t="str">
        <f t="shared" si="0"/>
        <v>AFR</v>
      </c>
      <c r="P10" s="12" t="str">
        <f t="shared" si="1"/>
        <v>E_WON</v>
      </c>
      <c r="Q10" s="12" t="s">
        <v>2835</v>
      </c>
      <c r="R10" s="8">
        <f t="shared" ref="R10:R15" si="2">R8</f>
        <v>0.42</v>
      </c>
      <c r="T10" t="s">
        <v>87</v>
      </c>
      <c r="U10" t="s">
        <v>45</v>
      </c>
      <c r="V10" s="11">
        <f>AVERAGEIFS($M$2:$M$9999,$O$2:$O$9999,V$7,$P$2:$P$9999,$Q10)*$R10</f>
        <v>2882.9322614105267</v>
      </c>
      <c r="W10" s="11">
        <f t="shared" ref="W10:AK10" si="3">AVERAGEIFS($M$2:$M$9999,$O$2:$O$9999,W$7,$P$2:$P$9999,$Q10)*$R10</f>
        <v>1460.4687400800001</v>
      </c>
      <c r="X10" s="11">
        <f t="shared" si="3"/>
        <v>1764.8543864000003</v>
      </c>
      <c r="Y10" s="11">
        <f t="shared" si="3"/>
        <v>3623.7344640000001</v>
      </c>
      <c r="Z10" s="11">
        <f t="shared" si="3"/>
        <v>1258.8624384</v>
      </c>
      <c r="AA10" s="11">
        <f t="shared" si="3"/>
        <v>1375.9612595199992</v>
      </c>
      <c r="AB10" s="11">
        <f t="shared" si="3"/>
        <v>2073.6972346999996</v>
      </c>
      <c r="AC10" s="11">
        <f t="shared" si="3"/>
        <v>846.35396832000004</v>
      </c>
      <c r="AD10" s="11">
        <f t="shared" si="3"/>
        <v>3681.5101679999993</v>
      </c>
      <c r="AE10" s="11">
        <f t="shared" si="3"/>
        <v>716.53932069230007</v>
      </c>
      <c r="AF10" s="11">
        <f t="shared" si="3"/>
        <v>1339.0645220400002</v>
      </c>
      <c r="AG10" s="11">
        <f t="shared" si="3"/>
        <v>1403.5405729523804</v>
      </c>
      <c r="AH10" s="11">
        <f t="shared" si="3"/>
        <v>2656.61382</v>
      </c>
      <c r="AI10" s="11">
        <f t="shared" si="3"/>
        <v>3681.5101679999993</v>
      </c>
      <c r="AJ10" s="11">
        <f t="shared" si="3"/>
        <v>2380.8633384072727</v>
      </c>
      <c r="AK10" s="11">
        <f t="shared" si="3"/>
        <v>2843.7342527999995</v>
      </c>
    </row>
    <row r="11" spans="1:37" x14ac:dyDescent="0.35">
      <c r="A11" t="s">
        <v>95</v>
      </c>
      <c r="B11" t="s">
        <v>3110</v>
      </c>
      <c r="C11" t="s">
        <v>45</v>
      </c>
      <c r="D11" t="s">
        <v>133</v>
      </c>
      <c r="E11" t="s">
        <v>96</v>
      </c>
      <c r="F11" t="s">
        <v>96</v>
      </c>
      <c r="G11" t="s">
        <v>96</v>
      </c>
      <c r="H11">
        <v>2010</v>
      </c>
      <c r="I11" t="s">
        <v>96</v>
      </c>
      <c r="J11" t="s">
        <v>97</v>
      </c>
      <c r="K11" t="s">
        <v>96</v>
      </c>
      <c r="L11" t="s">
        <v>96</v>
      </c>
      <c r="M11">
        <v>3823.75</v>
      </c>
      <c r="O11" s="12" t="str">
        <f t="shared" si="0"/>
        <v>AFR</v>
      </c>
      <c r="P11" s="12" t="str">
        <f t="shared" si="1"/>
        <v>E_WON</v>
      </c>
      <c r="Q11" s="12" t="str">
        <f>Q10</f>
        <v>EN_Hy</v>
      </c>
      <c r="R11" s="8">
        <f t="shared" si="2"/>
        <v>1.35</v>
      </c>
      <c r="T11" t="s">
        <v>88</v>
      </c>
      <c r="U11" t="s">
        <v>45</v>
      </c>
      <c r="V11" s="11">
        <f t="shared" ref="V11:AK15" si="4">AVERAGEIFS($M$2:$M$9999,$O$2:$O$9999,V$7,$P$2:$P$9999,$Q11)*$R11</f>
        <v>9266.5679831052657</v>
      </c>
      <c r="W11" s="11">
        <f t="shared" si="4"/>
        <v>4694.3638074</v>
      </c>
      <c r="X11" s="11">
        <f t="shared" si="4"/>
        <v>5672.7462420000011</v>
      </c>
      <c r="Y11" s="11">
        <f t="shared" si="4"/>
        <v>11647.717920000001</v>
      </c>
      <c r="Z11" s="11">
        <f t="shared" si="4"/>
        <v>4046.3435520000007</v>
      </c>
      <c r="AA11" s="11">
        <f t="shared" si="4"/>
        <v>4422.7326198857118</v>
      </c>
      <c r="AB11" s="11">
        <f t="shared" si="4"/>
        <v>6665.4553972499989</v>
      </c>
      <c r="AC11" s="11">
        <f t="shared" si="4"/>
        <v>2720.4234696000003</v>
      </c>
      <c r="AD11" s="11">
        <f t="shared" si="4"/>
        <v>11833.42554</v>
      </c>
      <c r="AE11" s="11">
        <f t="shared" si="4"/>
        <v>2303.1621022252507</v>
      </c>
      <c r="AF11" s="11">
        <f t="shared" si="4"/>
        <v>4304.1359637000005</v>
      </c>
      <c r="AG11" s="11">
        <f t="shared" si="4"/>
        <v>4511.3804130612234</v>
      </c>
      <c r="AH11" s="11">
        <f t="shared" si="4"/>
        <v>8539.115850000002</v>
      </c>
      <c r="AI11" s="11">
        <f t="shared" si="4"/>
        <v>11833.42554</v>
      </c>
      <c r="AJ11" s="11">
        <f t="shared" si="4"/>
        <v>7652.7750163090923</v>
      </c>
      <c r="AK11" s="11">
        <f t="shared" si="4"/>
        <v>9140.5743839999996</v>
      </c>
    </row>
    <row r="12" spans="1:37" x14ac:dyDescent="0.35">
      <c r="A12" t="s">
        <v>95</v>
      </c>
      <c r="B12" t="s">
        <v>3110</v>
      </c>
      <c r="C12" t="s">
        <v>45</v>
      </c>
      <c r="D12" t="s">
        <v>134</v>
      </c>
      <c r="E12" t="s">
        <v>96</v>
      </c>
      <c r="F12" t="s">
        <v>96</v>
      </c>
      <c r="G12" t="s">
        <v>96</v>
      </c>
      <c r="H12">
        <v>2010</v>
      </c>
      <c r="I12" t="s">
        <v>96</v>
      </c>
      <c r="J12" t="s">
        <v>97</v>
      </c>
      <c r="K12" t="s">
        <v>96</v>
      </c>
      <c r="L12" t="s">
        <v>96</v>
      </c>
      <c r="M12">
        <v>3823.75</v>
      </c>
      <c r="O12" s="12" t="str">
        <f t="shared" si="0"/>
        <v>AFR</v>
      </c>
      <c r="P12" s="12" t="str">
        <f t="shared" si="1"/>
        <v>E_WON</v>
      </c>
      <c r="Q12" s="12" t="s">
        <v>2836</v>
      </c>
      <c r="R12" s="8">
        <f t="shared" si="2"/>
        <v>0.42</v>
      </c>
      <c r="T12" t="s">
        <v>3295</v>
      </c>
      <c r="U12" t="s">
        <v>45</v>
      </c>
      <c r="V12" s="11">
        <f t="shared" si="4"/>
        <v>594.74109589041086</v>
      </c>
      <c r="W12" s="11">
        <f t="shared" si="4"/>
        <v>540.54</v>
      </c>
      <c r="X12" s="11">
        <f t="shared" si="4"/>
        <v>578.76</v>
      </c>
      <c r="Y12" s="11">
        <f t="shared" si="4"/>
        <v>535.07999999999993</v>
      </c>
      <c r="Z12" s="11">
        <f t="shared" si="4"/>
        <v>475.02</v>
      </c>
      <c r="AA12" s="11">
        <f t="shared" si="4"/>
        <v>882.91183177570008</v>
      </c>
      <c r="AB12" s="11">
        <f t="shared" si="4"/>
        <v>522.96412499999997</v>
      </c>
      <c r="AC12" s="11">
        <f t="shared" si="4"/>
        <v>327.59999999999997</v>
      </c>
      <c r="AD12" s="11">
        <f t="shared" si="4"/>
        <v>1201.2</v>
      </c>
      <c r="AE12" s="11">
        <f t="shared" si="4"/>
        <v>627.10822222222225</v>
      </c>
      <c r="AF12" s="11">
        <f t="shared" si="4"/>
        <v>871.46284615384627</v>
      </c>
      <c r="AG12" s="11">
        <f t="shared" si="4"/>
        <v>650.31181651376153</v>
      </c>
      <c r="AH12" s="11">
        <f t="shared" si="4"/>
        <v>1092</v>
      </c>
      <c r="AI12" s="11">
        <f t="shared" si="4"/>
        <v>791.69999999999993</v>
      </c>
      <c r="AJ12" s="11">
        <f t="shared" si="4"/>
        <v>712.48752272727256</v>
      </c>
      <c r="AK12" s="11">
        <f t="shared" si="4"/>
        <v>595.14</v>
      </c>
    </row>
    <row r="13" spans="1:37" x14ac:dyDescent="0.35">
      <c r="A13" t="s">
        <v>95</v>
      </c>
      <c r="B13" t="s">
        <v>3110</v>
      </c>
      <c r="C13" t="s">
        <v>45</v>
      </c>
      <c r="D13" t="s">
        <v>138</v>
      </c>
      <c r="E13" t="s">
        <v>96</v>
      </c>
      <c r="F13" t="s">
        <v>96</v>
      </c>
      <c r="G13" t="s">
        <v>96</v>
      </c>
      <c r="H13">
        <v>2010</v>
      </c>
      <c r="I13" t="s">
        <v>96</v>
      </c>
      <c r="J13" t="s">
        <v>97</v>
      </c>
      <c r="K13" t="s">
        <v>96</v>
      </c>
      <c r="L13" t="s">
        <v>96</v>
      </c>
      <c r="M13">
        <v>3823.75</v>
      </c>
      <c r="O13" s="12" t="str">
        <f t="shared" si="0"/>
        <v>AFR</v>
      </c>
      <c r="P13" s="12" t="str">
        <f t="shared" si="1"/>
        <v>E_WON</v>
      </c>
      <c r="Q13" s="12" t="str">
        <f>Q12</f>
        <v>E_SPV</v>
      </c>
      <c r="R13" s="8">
        <f t="shared" si="2"/>
        <v>1.35</v>
      </c>
      <c r="T13" t="s">
        <v>3296</v>
      </c>
      <c r="U13" t="s">
        <v>45</v>
      </c>
      <c r="V13" s="11">
        <f t="shared" si="4"/>
        <v>1911.6678082191781</v>
      </c>
      <c r="W13" s="11">
        <f t="shared" si="4"/>
        <v>1737.45</v>
      </c>
      <c r="X13" s="11">
        <f t="shared" si="4"/>
        <v>1860.3000000000002</v>
      </c>
      <c r="Y13" s="11">
        <f t="shared" si="4"/>
        <v>1719.9</v>
      </c>
      <c r="Z13" s="11">
        <f t="shared" si="4"/>
        <v>1526.8500000000001</v>
      </c>
      <c r="AA13" s="11">
        <f t="shared" si="4"/>
        <v>2837.9308878504648</v>
      </c>
      <c r="AB13" s="11">
        <f t="shared" si="4"/>
        <v>1680.9561160714288</v>
      </c>
      <c r="AC13" s="11">
        <f t="shared" si="4"/>
        <v>1053</v>
      </c>
      <c r="AD13" s="11">
        <f t="shared" si="4"/>
        <v>3861.0000000000005</v>
      </c>
      <c r="AE13" s="11">
        <f t="shared" si="4"/>
        <v>2015.7050000000004</v>
      </c>
      <c r="AF13" s="11">
        <f t="shared" si="4"/>
        <v>2801.1305769230776</v>
      </c>
      <c r="AG13" s="11">
        <f t="shared" si="4"/>
        <v>2090.2879816513764</v>
      </c>
      <c r="AH13" s="11">
        <f t="shared" si="4"/>
        <v>3510.0000000000005</v>
      </c>
      <c r="AI13" s="11">
        <f t="shared" si="4"/>
        <v>2544.75</v>
      </c>
      <c r="AJ13" s="11">
        <f t="shared" si="4"/>
        <v>2290.1384659090904</v>
      </c>
      <c r="AK13" s="11">
        <f t="shared" si="4"/>
        <v>1912.95</v>
      </c>
    </row>
    <row r="14" spans="1:37" x14ac:dyDescent="0.35">
      <c r="A14" t="s">
        <v>95</v>
      </c>
      <c r="B14" t="s">
        <v>3110</v>
      </c>
      <c r="C14" t="s">
        <v>45</v>
      </c>
      <c r="D14" t="s">
        <v>139</v>
      </c>
      <c r="E14" t="s">
        <v>96</v>
      </c>
      <c r="F14" t="s">
        <v>96</v>
      </c>
      <c r="G14" t="s">
        <v>96</v>
      </c>
      <c r="H14">
        <v>2010</v>
      </c>
      <c r="I14" t="s">
        <v>96</v>
      </c>
      <c r="J14" t="s">
        <v>97</v>
      </c>
      <c r="K14" t="s">
        <v>96</v>
      </c>
      <c r="L14" t="s">
        <v>96</v>
      </c>
      <c r="M14">
        <v>3823.75</v>
      </c>
      <c r="O14" s="12" t="str">
        <f t="shared" si="0"/>
        <v>AFR</v>
      </c>
      <c r="P14" s="12" t="str">
        <f t="shared" si="1"/>
        <v>E_WON</v>
      </c>
      <c r="Q14" s="12" t="s">
        <v>2833</v>
      </c>
      <c r="R14" s="8">
        <f t="shared" si="2"/>
        <v>0.42</v>
      </c>
      <c r="T14" t="s">
        <v>63</v>
      </c>
      <c r="U14" t="s">
        <v>45</v>
      </c>
      <c r="V14" s="11">
        <f t="shared" si="4"/>
        <v>1289.071332644628</v>
      </c>
      <c r="W14" s="11">
        <f t="shared" si="4"/>
        <v>912.25657894736833</v>
      </c>
      <c r="X14" s="11">
        <f t="shared" si="4"/>
        <v>741.42599999999993</v>
      </c>
      <c r="Y14" s="11">
        <f t="shared" si="4"/>
        <v>950.15454545454554</v>
      </c>
      <c r="Z14" s="11">
        <f t="shared" si="4"/>
        <v>646.79999999999995</v>
      </c>
      <c r="AA14" s="11">
        <f t="shared" si="4"/>
        <v>1123.85175</v>
      </c>
      <c r="AB14" s="11">
        <f t="shared" si="4"/>
        <v>872.79664429530203</v>
      </c>
      <c r="AC14" s="11">
        <f t="shared" si="4"/>
        <v>538.24615384615379</v>
      </c>
      <c r="AD14" s="11">
        <f t="shared" si="4"/>
        <v>1405.6875</v>
      </c>
      <c r="AE14" s="11">
        <f t="shared" si="4"/>
        <v>1400.34</v>
      </c>
      <c r="AF14" s="11">
        <f t="shared" si="4"/>
        <v>1056.6977272727272</v>
      </c>
      <c r="AG14" s="11">
        <f t="shared" si="4"/>
        <v>1003.3382198952879</v>
      </c>
      <c r="AH14" s="11">
        <f t="shared" si="4"/>
        <v>1353.0263478260872</v>
      </c>
      <c r="AI14" s="11">
        <f t="shared" si="4"/>
        <v>953.4</v>
      </c>
      <c r="AJ14" s="11">
        <f t="shared" si="4"/>
        <v>962.81528925619818</v>
      </c>
      <c r="AK14" s="11">
        <f t="shared" si="4"/>
        <v>847.18421052631584</v>
      </c>
    </row>
    <row r="15" spans="1:37" x14ac:dyDescent="0.35">
      <c r="A15" t="s">
        <v>95</v>
      </c>
      <c r="B15" t="s">
        <v>3110</v>
      </c>
      <c r="C15" t="s">
        <v>45</v>
      </c>
      <c r="D15" t="s">
        <v>141</v>
      </c>
      <c r="E15" t="s">
        <v>96</v>
      </c>
      <c r="F15" t="s">
        <v>96</v>
      </c>
      <c r="G15" t="s">
        <v>96</v>
      </c>
      <c r="H15">
        <v>2010</v>
      </c>
      <c r="I15" t="s">
        <v>96</v>
      </c>
      <c r="J15" t="s">
        <v>97</v>
      </c>
      <c r="K15" t="s">
        <v>96</v>
      </c>
      <c r="L15" t="s">
        <v>96</v>
      </c>
      <c r="M15">
        <v>3823.75</v>
      </c>
      <c r="O15" s="12" t="str">
        <f t="shared" si="0"/>
        <v>AFR</v>
      </c>
      <c r="P15" s="12" t="str">
        <f t="shared" si="1"/>
        <v>E_WON</v>
      </c>
      <c r="Q15" s="12" t="str">
        <f>Q14</f>
        <v>E_WON</v>
      </c>
      <c r="R15" s="8">
        <f t="shared" si="2"/>
        <v>1.35</v>
      </c>
      <c r="T15" t="s">
        <v>64</v>
      </c>
      <c r="U15" t="s">
        <v>45</v>
      </c>
      <c r="V15" s="11">
        <f t="shared" si="4"/>
        <v>4143.4435692148763</v>
      </c>
      <c r="W15" s="11">
        <f t="shared" si="4"/>
        <v>2932.2532894736842</v>
      </c>
      <c r="X15" s="11">
        <f t="shared" si="4"/>
        <v>2383.1550000000002</v>
      </c>
      <c r="Y15" s="11">
        <f t="shared" si="4"/>
        <v>3054.0681818181824</v>
      </c>
      <c r="Z15" s="11">
        <f t="shared" si="4"/>
        <v>2079</v>
      </c>
      <c r="AA15" s="11">
        <f t="shared" si="4"/>
        <v>3612.3806250000002</v>
      </c>
      <c r="AB15" s="11">
        <f t="shared" si="4"/>
        <v>2805.4177852348998</v>
      </c>
      <c r="AC15" s="11">
        <f t="shared" si="4"/>
        <v>1730.0769230769231</v>
      </c>
      <c r="AD15" s="11">
        <f t="shared" si="4"/>
        <v>4518.28125</v>
      </c>
      <c r="AE15" s="11">
        <f t="shared" si="4"/>
        <v>4501.0928571428576</v>
      </c>
      <c r="AF15" s="11">
        <f t="shared" si="4"/>
        <v>3396.528409090909</v>
      </c>
      <c r="AG15" s="11">
        <f t="shared" si="4"/>
        <v>3225.0157068062831</v>
      </c>
      <c r="AH15" s="11">
        <f t="shared" si="4"/>
        <v>4349.0132608695667</v>
      </c>
      <c r="AI15" s="11">
        <f t="shared" si="4"/>
        <v>3064.5</v>
      </c>
      <c r="AJ15" s="11">
        <f t="shared" si="4"/>
        <v>3094.7634297520658</v>
      </c>
      <c r="AK15" s="11">
        <f t="shared" si="4"/>
        <v>2723.0921052631584</v>
      </c>
    </row>
    <row r="16" spans="1:37" x14ac:dyDescent="0.35">
      <c r="A16" t="s">
        <v>95</v>
      </c>
      <c r="B16" t="s">
        <v>3110</v>
      </c>
      <c r="C16" t="s">
        <v>45</v>
      </c>
      <c r="D16" t="s">
        <v>143</v>
      </c>
      <c r="E16" t="s">
        <v>96</v>
      </c>
      <c r="F16" t="s">
        <v>96</v>
      </c>
      <c r="G16" t="s">
        <v>96</v>
      </c>
      <c r="H16">
        <v>2010</v>
      </c>
      <c r="I16" t="s">
        <v>96</v>
      </c>
      <c r="J16" t="s">
        <v>97</v>
      </c>
      <c r="K16" t="s">
        <v>96</v>
      </c>
      <c r="L16" t="s">
        <v>96</v>
      </c>
      <c r="M16">
        <v>3823.75</v>
      </c>
      <c r="O16" s="12" t="str">
        <f t="shared" si="0"/>
        <v>AFR</v>
      </c>
      <c r="P16" s="12" t="str">
        <f t="shared" si="1"/>
        <v>E_WON</v>
      </c>
    </row>
    <row r="17" spans="1:25" x14ac:dyDescent="0.35">
      <c r="A17" t="s">
        <v>95</v>
      </c>
      <c r="B17" t="s">
        <v>3110</v>
      </c>
      <c r="C17" t="s">
        <v>45</v>
      </c>
      <c r="D17" t="s">
        <v>144</v>
      </c>
      <c r="E17" t="s">
        <v>96</v>
      </c>
      <c r="F17" t="s">
        <v>96</v>
      </c>
      <c r="G17" t="s">
        <v>96</v>
      </c>
      <c r="H17">
        <v>2010</v>
      </c>
      <c r="I17" t="s">
        <v>96</v>
      </c>
      <c r="J17" t="s">
        <v>97</v>
      </c>
      <c r="K17" t="s">
        <v>96</v>
      </c>
      <c r="L17" t="s">
        <v>96</v>
      </c>
      <c r="M17">
        <v>3823.75</v>
      </c>
      <c r="O17" s="12" t="str">
        <f t="shared" si="0"/>
        <v>AFR</v>
      </c>
      <c r="P17" s="12" t="str">
        <f t="shared" si="1"/>
        <v>E_WON</v>
      </c>
    </row>
    <row r="18" spans="1:25" x14ac:dyDescent="0.35">
      <c r="A18" t="s">
        <v>95</v>
      </c>
      <c r="B18" t="s">
        <v>3110</v>
      </c>
      <c r="C18" t="s">
        <v>45</v>
      </c>
      <c r="D18" t="s">
        <v>145</v>
      </c>
      <c r="E18" t="s">
        <v>96</v>
      </c>
      <c r="F18" t="s">
        <v>96</v>
      </c>
      <c r="G18" t="s">
        <v>96</v>
      </c>
      <c r="H18">
        <v>2010</v>
      </c>
      <c r="I18" t="s">
        <v>96</v>
      </c>
      <c r="J18" t="s">
        <v>97</v>
      </c>
      <c r="K18" t="s">
        <v>96</v>
      </c>
      <c r="L18" t="s">
        <v>96</v>
      </c>
      <c r="M18">
        <v>3823.75</v>
      </c>
      <c r="O18" s="12" t="str">
        <f t="shared" si="0"/>
        <v>AFR</v>
      </c>
      <c r="P18" s="12" t="str">
        <f t="shared" si="1"/>
        <v>E_WON</v>
      </c>
      <c r="W18" t="s">
        <v>3078</v>
      </c>
    </row>
    <row r="19" spans="1:25" x14ac:dyDescent="0.35">
      <c r="A19" t="s">
        <v>95</v>
      </c>
      <c r="B19" t="s">
        <v>3110</v>
      </c>
      <c r="C19" t="s">
        <v>45</v>
      </c>
      <c r="D19" t="s">
        <v>147</v>
      </c>
      <c r="E19" t="s">
        <v>96</v>
      </c>
      <c r="F19" t="s">
        <v>96</v>
      </c>
      <c r="G19" t="s">
        <v>96</v>
      </c>
      <c r="H19">
        <v>2010</v>
      </c>
      <c r="I19" t="s">
        <v>96</v>
      </c>
      <c r="J19" t="s">
        <v>97</v>
      </c>
      <c r="K19" t="s">
        <v>96</v>
      </c>
      <c r="L19" t="s">
        <v>96</v>
      </c>
      <c r="M19">
        <v>3823.75</v>
      </c>
      <c r="O19" s="12" t="str">
        <f t="shared" si="0"/>
        <v>AFR</v>
      </c>
      <c r="P19" s="12" t="str">
        <f t="shared" si="1"/>
        <v>E_WON</v>
      </c>
      <c r="W19" t="s">
        <v>7</v>
      </c>
      <c r="X19" t="s">
        <v>46</v>
      </c>
      <c r="Y19">
        <v>2015</v>
      </c>
    </row>
    <row r="20" spans="1:25" x14ac:dyDescent="0.35">
      <c r="A20" t="s">
        <v>95</v>
      </c>
      <c r="B20" t="s">
        <v>3110</v>
      </c>
      <c r="C20" t="s">
        <v>45</v>
      </c>
      <c r="D20" t="s">
        <v>156</v>
      </c>
      <c r="E20" t="s">
        <v>96</v>
      </c>
      <c r="F20" t="s">
        <v>96</v>
      </c>
      <c r="G20" t="s">
        <v>96</v>
      </c>
      <c r="H20">
        <v>2010</v>
      </c>
      <c r="I20" t="s">
        <v>96</v>
      </c>
      <c r="J20" t="s">
        <v>97</v>
      </c>
      <c r="K20" t="s">
        <v>96</v>
      </c>
      <c r="L20" t="s">
        <v>96</v>
      </c>
      <c r="M20">
        <v>3823.75</v>
      </c>
      <c r="O20" s="12" t="str">
        <f t="shared" si="0"/>
        <v>AFR</v>
      </c>
      <c r="P20" s="12" t="str">
        <f t="shared" si="1"/>
        <v>E_WON</v>
      </c>
      <c r="R20">
        <v>1</v>
      </c>
      <c r="T20" t="str">
        <f>T10</f>
        <v>EBldRateStep_HYD_2</v>
      </c>
      <c r="W20" t="s">
        <v>45</v>
      </c>
      <c r="X20" t="str">
        <f t="shared" ref="X20:X51" ca="1" si="5">T20&amp;"_"&amp;OFFSET($U$7,0,R20)</f>
        <v>EBldRateStep_HYD_2_AFR</v>
      </c>
      <c r="Y20" s="11">
        <f t="shared" ref="Y20:Y51" si="6">VLOOKUP(T20,$T$7:$AK$15,R20+2,FALSE)</f>
        <v>2882.9322614105267</v>
      </c>
    </row>
    <row r="21" spans="1:25" x14ac:dyDescent="0.35">
      <c r="A21" t="s">
        <v>95</v>
      </c>
      <c r="B21" t="s">
        <v>3110</v>
      </c>
      <c r="C21" t="s">
        <v>45</v>
      </c>
      <c r="D21" t="s">
        <v>157</v>
      </c>
      <c r="E21" t="s">
        <v>96</v>
      </c>
      <c r="F21" t="s">
        <v>96</v>
      </c>
      <c r="G21" t="s">
        <v>96</v>
      </c>
      <c r="H21">
        <v>2010</v>
      </c>
      <c r="I21" t="s">
        <v>96</v>
      </c>
      <c r="J21" t="s">
        <v>97</v>
      </c>
      <c r="K21" t="s">
        <v>96</v>
      </c>
      <c r="L21" t="s">
        <v>96</v>
      </c>
      <c r="M21">
        <v>3823.75</v>
      </c>
      <c r="O21" s="12" t="str">
        <f t="shared" si="0"/>
        <v>AFR</v>
      </c>
      <c r="P21" s="12" t="str">
        <f t="shared" si="1"/>
        <v>E_WON</v>
      </c>
      <c r="R21">
        <v>1</v>
      </c>
      <c r="T21" t="str">
        <f t="shared" ref="T21:T24" si="7">T11</f>
        <v>EBldRateStep_HYD_3</v>
      </c>
      <c r="W21" t="s">
        <v>45</v>
      </c>
      <c r="X21" t="str">
        <f t="shared" ca="1" si="5"/>
        <v>EBldRateStep_HYD_3_AFR</v>
      </c>
      <c r="Y21" s="11">
        <f t="shared" si="6"/>
        <v>9266.5679831052657</v>
      </c>
    </row>
    <row r="22" spans="1:25" x14ac:dyDescent="0.35">
      <c r="A22" t="s">
        <v>95</v>
      </c>
      <c r="B22" t="s">
        <v>3110</v>
      </c>
      <c r="C22" t="s">
        <v>45</v>
      </c>
      <c r="D22" t="s">
        <v>160</v>
      </c>
      <c r="E22" t="s">
        <v>96</v>
      </c>
      <c r="F22" t="s">
        <v>96</v>
      </c>
      <c r="G22" t="s">
        <v>96</v>
      </c>
      <c r="H22">
        <v>2010</v>
      </c>
      <c r="I22" t="s">
        <v>96</v>
      </c>
      <c r="J22" t="s">
        <v>97</v>
      </c>
      <c r="K22" t="s">
        <v>96</v>
      </c>
      <c r="L22" t="s">
        <v>96</v>
      </c>
      <c r="M22">
        <v>3823.75</v>
      </c>
      <c r="O22" s="12" t="str">
        <f t="shared" si="0"/>
        <v>AFR</v>
      </c>
      <c r="P22" s="12" t="str">
        <f t="shared" si="1"/>
        <v>E_WON</v>
      </c>
      <c r="R22">
        <v>1</v>
      </c>
      <c r="T22" t="str">
        <f t="shared" si="7"/>
        <v>EBldRateStep_Sol_2</v>
      </c>
      <c r="W22" t="s">
        <v>45</v>
      </c>
      <c r="X22" t="str">
        <f t="shared" ca="1" si="5"/>
        <v>EBldRateStep_Sol_2_AFR</v>
      </c>
      <c r="Y22" s="11">
        <f t="shared" si="6"/>
        <v>594.74109589041086</v>
      </c>
    </row>
    <row r="23" spans="1:25" x14ac:dyDescent="0.35">
      <c r="A23" t="s">
        <v>95</v>
      </c>
      <c r="B23" t="s">
        <v>3110</v>
      </c>
      <c r="C23" t="s">
        <v>45</v>
      </c>
      <c r="D23" t="s">
        <v>161</v>
      </c>
      <c r="E23" t="s">
        <v>96</v>
      </c>
      <c r="F23" t="s">
        <v>96</v>
      </c>
      <c r="G23" t="s">
        <v>96</v>
      </c>
      <c r="H23">
        <v>2010</v>
      </c>
      <c r="I23" t="s">
        <v>96</v>
      </c>
      <c r="J23" t="s">
        <v>97</v>
      </c>
      <c r="K23" t="s">
        <v>96</v>
      </c>
      <c r="L23" t="s">
        <v>96</v>
      </c>
      <c r="M23">
        <v>3823.75</v>
      </c>
      <c r="O23" s="12" t="str">
        <f t="shared" si="0"/>
        <v>AFR</v>
      </c>
      <c r="P23" s="12" t="str">
        <f t="shared" si="1"/>
        <v>E_WON</v>
      </c>
      <c r="R23">
        <v>1</v>
      </c>
      <c r="T23" t="str">
        <f t="shared" si="7"/>
        <v>EBldRateStep_Sol_3</v>
      </c>
      <c r="W23" t="s">
        <v>45</v>
      </c>
      <c r="X23" t="str">
        <f t="shared" ca="1" si="5"/>
        <v>EBldRateStep_Sol_3_AFR</v>
      </c>
      <c r="Y23" s="11">
        <f t="shared" si="6"/>
        <v>1911.6678082191781</v>
      </c>
    </row>
    <row r="24" spans="1:25" x14ac:dyDescent="0.35">
      <c r="A24" t="s">
        <v>95</v>
      </c>
      <c r="B24" t="s">
        <v>3110</v>
      </c>
      <c r="C24" t="s">
        <v>45</v>
      </c>
      <c r="D24" t="s">
        <v>163</v>
      </c>
      <c r="E24" t="s">
        <v>96</v>
      </c>
      <c r="F24" t="s">
        <v>96</v>
      </c>
      <c r="G24" t="s">
        <v>96</v>
      </c>
      <c r="H24">
        <v>2010</v>
      </c>
      <c r="I24" t="s">
        <v>96</v>
      </c>
      <c r="J24" t="s">
        <v>97</v>
      </c>
      <c r="K24" t="s">
        <v>96</v>
      </c>
      <c r="L24" t="s">
        <v>96</v>
      </c>
      <c r="M24">
        <v>3823.75</v>
      </c>
      <c r="O24" s="12" t="str">
        <f t="shared" si="0"/>
        <v>AFR</v>
      </c>
      <c r="P24" s="12" t="str">
        <f t="shared" si="1"/>
        <v>E_WON</v>
      </c>
      <c r="R24">
        <v>1</v>
      </c>
      <c r="T24" t="str">
        <f t="shared" si="7"/>
        <v>EBldRateStep_Win_2</v>
      </c>
      <c r="W24" t="s">
        <v>45</v>
      </c>
      <c r="X24" t="str">
        <f t="shared" ca="1" si="5"/>
        <v>EBldRateStep_Win_2_AFR</v>
      </c>
      <c r="Y24" s="11">
        <f t="shared" si="6"/>
        <v>1289.071332644628</v>
      </c>
    </row>
    <row r="25" spans="1:25" x14ac:dyDescent="0.35">
      <c r="A25" t="s">
        <v>95</v>
      </c>
      <c r="B25" t="s">
        <v>3110</v>
      </c>
      <c r="C25" t="s">
        <v>45</v>
      </c>
      <c r="D25" t="s">
        <v>165</v>
      </c>
      <c r="E25" t="s">
        <v>96</v>
      </c>
      <c r="F25" t="s">
        <v>96</v>
      </c>
      <c r="G25" t="s">
        <v>96</v>
      </c>
      <c r="H25">
        <v>2010</v>
      </c>
      <c r="I25" t="s">
        <v>96</v>
      </c>
      <c r="J25" t="s">
        <v>97</v>
      </c>
      <c r="K25" t="s">
        <v>96</v>
      </c>
      <c r="L25" t="s">
        <v>96</v>
      </c>
      <c r="M25">
        <v>3823.75</v>
      </c>
      <c r="O25" s="12" t="str">
        <f t="shared" si="0"/>
        <v>AFR</v>
      </c>
      <c r="P25" s="12" t="str">
        <f t="shared" si="1"/>
        <v>E_WON</v>
      </c>
      <c r="R25">
        <v>1</v>
      </c>
      <c r="T25" t="str">
        <f>T15</f>
        <v>EBldRateStep_Win_3</v>
      </c>
      <c r="W25" t="s">
        <v>45</v>
      </c>
      <c r="X25" t="str">
        <f t="shared" ca="1" si="5"/>
        <v>EBldRateStep_Win_3_AFR</v>
      </c>
      <c r="Y25" s="11">
        <f t="shared" si="6"/>
        <v>4143.4435692148763</v>
      </c>
    </row>
    <row r="26" spans="1:25" x14ac:dyDescent="0.35">
      <c r="A26" t="s">
        <v>95</v>
      </c>
      <c r="B26" t="s">
        <v>3110</v>
      </c>
      <c r="C26" t="s">
        <v>45</v>
      </c>
      <c r="D26" t="s">
        <v>166</v>
      </c>
      <c r="E26" t="s">
        <v>96</v>
      </c>
      <c r="F26" t="s">
        <v>96</v>
      </c>
      <c r="G26" t="s">
        <v>96</v>
      </c>
      <c r="H26">
        <v>2010</v>
      </c>
      <c r="I26" t="s">
        <v>96</v>
      </c>
      <c r="J26" t="s">
        <v>97</v>
      </c>
      <c r="K26" t="s">
        <v>96</v>
      </c>
      <c r="L26" t="s">
        <v>96</v>
      </c>
      <c r="M26">
        <v>3823.75</v>
      </c>
      <c r="O26" s="12" t="str">
        <f t="shared" si="0"/>
        <v>AFR</v>
      </c>
      <c r="P26" s="12" t="str">
        <f t="shared" si="1"/>
        <v>E_WON</v>
      </c>
      <c r="R26">
        <f>R20+1</f>
        <v>2</v>
      </c>
      <c r="T26" t="str">
        <f>T20</f>
        <v>EBldRateStep_HYD_2</v>
      </c>
      <c r="W26" t="s">
        <v>45</v>
      </c>
      <c r="X26" t="str">
        <f t="shared" ca="1" si="5"/>
        <v>EBldRateStep_HYD_2_ANZ</v>
      </c>
      <c r="Y26" s="11">
        <f t="shared" si="6"/>
        <v>1460.4687400800001</v>
      </c>
    </row>
    <row r="27" spans="1:25" x14ac:dyDescent="0.35">
      <c r="A27" t="s">
        <v>95</v>
      </c>
      <c r="B27" t="s">
        <v>3110</v>
      </c>
      <c r="C27" t="s">
        <v>45</v>
      </c>
      <c r="D27" t="s">
        <v>168</v>
      </c>
      <c r="E27" t="s">
        <v>96</v>
      </c>
      <c r="F27" t="s">
        <v>96</v>
      </c>
      <c r="G27" t="s">
        <v>96</v>
      </c>
      <c r="H27">
        <v>2010</v>
      </c>
      <c r="I27" t="s">
        <v>96</v>
      </c>
      <c r="J27" t="s">
        <v>97</v>
      </c>
      <c r="K27" t="s">
        <v>96</v>
      </c>
      <c r="L27" t="s">
        <v>96</v>
      </c>
      <c r="M27">
        <v>3823.75</v>
      </c>
      <c r="O27" s="12" t="str">
        <f t="shared" si="0"/>
        <v>AFR</v>
      </c>
      <c r="P27" s="12" t="str">
        <f t="shared" si="1"/>
        <v>E_WON</v>
      </c>
      <c r="R27">
        <f t="shared" ref="R27:R90" si="8">R21+1</f>
        <v>2</v>
      </c>
      <c r="T27" t="str">
        <f t="shared" ref="T27:T90" si="9">T21</f>
        <v>EBldRateStep_HYD_3</v>
      </c>
      <c r="W27" t="s">
        <v>45</v>
      </c>
      <c r="X27" t="str">
        <f t="shared" ca="1" si="5"/>
        <v>EBldRateStep_HYD_3_ANZ</v>
      </c>
      <c r="Y27" s="11">
        <f t="shared" si="6"/>
        <v>4694.3638074</v>
      </c>
    </row>
    <row r="28" spans="1:25" x14ac:dyDescent="0.35">
      <c r="A28" t="s">
        <v>95</v>
      </c>
      <c r="B28" t="s">
        <v>3110</v>
      </c>
      <c r="C28" t="s">
        <v>45</v>
      </c>
      <c r="D28" t="s">
        <v>171</v>
      </c>
      <c r="E28" t="s">
        <v>96</v>
      </c>
      <c r="F28" t="s">
        <v>96</v>
      </c>
      <c r="G28" t="s">
        <v>96</v>
      </c>
      <c r="H28">
        <v>2010</v>
      </c>
      <c r="I28" t="s">
        <v>96</v>
      </c>
      <c r="J28" t="s">
        <v>97</v>
      </c>
      <c r="K28" t="s">
        <v>96</v>
      </c>
      <c r="L28" t="s">
        <v>96</v>
      </c>
      <c r="M28">
        <v>3823.75</v>
      </c>
      <c r="O28" s="12" t="str">
        <f t="shared" si="0"/>
        <v>AFR</v>
      </c>
      <c r="P28" s="12" t="str">
        <f t="shared" si="1"/>
        <v>E_WON</v>
      </c>
      <c r="R28">
        <f t="shared" si="8"/>
        <v>2</v>
      </c>
      <c r="T28" t="str">
        <f t="shared" si="9"/>
        <v>EBldRateStep_Sol_2</v>
      </c>
      <c r="W28" t="s">
        <v>45</v>
      </c>
      <c r="X28" t="str">
        <f t="shared" ca="1" si="5"/>
        <v>EBldRateStep_Sol_2_ANZ</v>
      </c>
      <c r="Y28" s="11">
        <f t="shared" si="6"/>
        <v>540.54</v>
      </c>
    </row>
    <row r="29" spans="1:25" x14ac:dyDescent="0.35">
      <c r="A29" t="s">
        <v>95</v>
      </c>
      <c r="B29" t="s">
        <v>3110</v>
      </c>
      <c r="C29" t="s">
        <v>45</v>
      </c>
      <c r="D29" t="s">
        <v>172</v>
      </c>
      <c r="E29" t="s">
        <v>96</v>
      </c>
      <c r="F29" t="s">
        <v>96</v>
      </c>
      <c r="G29" t="s">
        <v>96</v>
      </c>
      <c r="H29">
        <v>2010</v>
      </c>
      <c r="I29" t="s">
        <v>96</v>
      </c>
      <c r="J29" t="s">
        <v>97</v>
      </c>
      <c r="K29" t="s">
        <v>96</v>
      </c>
      <c r="L29" t="s">
        <v>96</v>
      </c>
      <c r="M29">
        <v>3823.75</v>
      </c>
      <c r="O29" s="12" t="str">
        <f t="shared" si="0"/>
        <v>AFR</v>
      </c>
      <c r="P29" s="12" t="str">
        <f t="shared" si="1"/>
        <v>E_WON</v>
      </c>
      <c r="R29">
        <f t="shared" si="8"/>
        <v>2</v>
      </c>
      <c r="T29" t="str">
        <f t="shared" si="9"/>
        <v>EBldRateStep_Sol_3</v>
      </c>
      <c r="W29" t="s">
        <v>45</v>
      </c>
      <c r="X29" t="str">
        <f t="shared" ca="1" si="5"/>
        <v>EBldRateStep_Sol_3_ANZ</v>
      </c>
      <c r="Y29" s="11">
        <f t="shared" si="6"/>
        <v>1737.45</v>
      </c>
    </row>
    <row r="30" spans="1:25" x14ac:dyDescent="0.35">
      <c r="A30" t="s">
        <v>95</v>
      </c>
      <c r="B30" t="s">
        <v>3110</v>
      </c>
      <c r="C30" t="s">
        <v>45</v>
      </c>
      <c r="D30" t="s">
        <v>179</v>
      </c>
      <c r="E30" t="s">
        <v>96</v>
      </c>
      <c r="F30" t="s">
        <v>96</v>
      </c>
      <c r="G30" t="s">
        <v>96</v>
      </c>
      <c r="H30">
        <v>2010</v>
      </c>
      <c r="I30" t="s">
        <v>96</v>
      </c>
      <c r="J30" t="s">
        <v>97</v>
      </c>
      <c r="K30" t="s">
        <v>96</v>
      </c>
      <c r="L30" t="s">
        <v>96</v>
      </c>
      <c r="M30">
        <v>3823.75</v>
      </c>
      <c r="O30" s="12" t="str">
        <f t="shared" si="0"/>
        <v>AFR</v>
      </c>
      <c r="P30" s="12" t="str">
        <f t="shared" si="1"/>
        <v>E_WON</v>
      </c>
      <c r="R30">
        <f t="shared" si="8"/>
        <v>2</v>
      </c>
      <c r="T30" t="str">
        <f t="shared" si="9"/>
        <v>EBldRateStep_Win_2</v>
      </c>
      <c r="W30" t="s">
        <v>45</v>
      </c>
      <c r="X30" t="str">
        <f t="shared" ca="1" si="5"/>
        <v>EBldRateStep_Win_2_ANZ</v>
      </c>
      <c r="Y30" s="11">
        <f t="shared" si="6"/>
        <v>912.25657894736833</v>
      </c>
    </row>
    <row r="31" spans="1:25" x14ac:dyDescent="0.35">
      <c r="A31" t="s">
        <v>95</v>
      </c>
      <c r="B31" t="s">
        <v>3110</v>
      </c>
      <c r="C31" t="s">
        <v>45</v>
      </c>
      <c r="D31" t="s">
        <v>180</v>
      </c>
      <c r="E31" t="s">
        <v>96</v>
      </c>
      <c r="F31" t="s">
        <v>96</v>
      </c>
      <c r="G31" t="s">
        <v>96</v>
      </c>
      <c r="H31">
        <v>2010</v>
      </c>
      <c r="I31" t="s">
        <v>96</v>
      </c>
      <c r="J31" t="s">
        <v>97</v>
      </c>
      <c r="K31" t="s">
        <v>96</v>
      </c>
      <c r="L31" t="s">
        <v>96</v>
      </c>
      <c r="M31">
        <v>3823.75</v>
      </c>
      <c r="O31" s="12" t="str">
        <f t="shared" si="0"/>
        <v>AFR</v>
      </c>
      <c r="P31" s="12" t="str">
        <f t="shared" si="1"/>
        <v>E_WON</v>
      </c>
      <c r="R31">
        <f t="shared" si="8"/>
        <v>2</v>
      </c>
      <c r="T31" t="str">
        <f t="shared" si="9"/>
        <v>EBldRateStep_Win_3</v>
      </c>
      <c r="W31" t="s">
        <v>45</v>
      </c>
      <c r="X31" t="str">
        <f t="shared" ca="1" si="5"/>
        <v>EBldRateStep_Win_3_ANZ</v>
      </c>
      <c r="Y31" s="11">
        <f t="shared" si="6"/>
        <v>2932.2532894736842</v>
      </c>
    </row>
    <row r="32" spans="1:25" x14ac:dyDescent="0.35">
      <c r="A32" t="s">
        <v>95</v>
      </c>
      <c r="B32" t="s">
        <v>3110</v>
      </c>
      <c r="C32" t="s">
        <v>45</v>
      </c>
      <c r="D32" t="s">
        <v>183</v>
      </c>
      <c r="E32" t="s">
        <v>96</v>
      </c>
      <c r="F32" t="s">
        <v>96</v>
      </c>
      <c r="G32" t="s">
        <v>96</v>
      </c>
      <c r="H32">
        <v>2010</v>
      </c>
      <c r="I32" t="s">
        <v>96</v>
      </c>
      <c r="J32" t="s">
        <v>97</v>
      </c>
      <c r="K32" t="s">
        <v>96</v>
      </c>
      <c r="L32" t="s">
        <v>96</v>
      </c>
      <c r="M32">
        <v>3823.75</v>
      </c>
      <c r="O32" s="12" t="str">
        <f t="shared" si="0"/>
        <v>AFR</v>
      </c>
      <c r="P32" s="12" t="str">
        <f t="shared" si="1"/>
        <v>E_WON</v>
      </c>
      <c r="R32">
        <f t="shared" si="8"/>
        <v>3</v>
      </c>
      <c r="T32" t="str">
        <f t="shared" si="9"/>
        <v>EBldRateStep_HYD_2</v>
      </c>
      <c r="W32" t="s">
        <v>45</v>
      </c>
      <c r="X32" t="str">
        <f t="shared" ca="1" si="5"/>
        <v>EBldRateStep_HYD_2_BRZ</v>
      </c>
      <c r="Y32" s="11">
        <f t="shared" si="6"/>
        <v>1764.8543864000003</v>
      </c>
    </row>
    <row r="33" spans="1:25" x14ac:dyDescent="0.35">
      <c r="A33" t="s">
        <v>95</v>
      </c>
      <c r="B33" t="s">
        <v>3110</v>
      </c>
      <c r="C33" t="s">
        <v>45</v>
      </c>
      <c r="D33" t="s">
        <v>184</v>
      </c>
      <c r="E33" t="s">
        <v>96</v>
      </c>
      <c r="F33" t="s">
        <v>96</v>
      </c>
      <c r="G33" t="s">
        <v>96</v>
      </c>
      <c r="H33">
        <v>2010</v>
      </c>
      <c r="I33" t="s">
        <v>96</v>
      </c>
      <c r="J33" t="s">
        <v>97</v>
      </c>
      <c r="K33" t="s">
        <v>96</v>
      </c>
      <c r="L33" t="s">
        <v>96</v>
      </c>
      <c r="M33">
        <v>3823.75</v>
      </c>
      <c r="O33" s="12" t="str">
        <f t="shared" si="0"/>
        <v>AFR</v>
      </c>
      <c r="P33" s="12" t="str">
        <f t="shared" si="1"/>
        <v>E_WON</v>
      </c>
      <c r="R33">
        <f t="shared" si="8"/>
        <v>3</v>
      </c>
      <c r="T33" t="str">
        <f t="shared" si="9"/>
        <v>EBldRateStep_HYD_3</v>
      </c>
      <c r="W33" t="s">
        <v>45</v>
      </c>
      <c r="X33" t="str">
        <f t="shared" ca="1" si="5"/>
        <v>EBldRateStep_HYD_3_BRZ</v>
      </c>
      <c r="Y33" s="11">
        <f t="shared" si="6"/>
        <v>5672.7462420000011</v>
      </c>
    </row>
    <row r="34" spans="1:25" x14ac:dyDescent="0.35">
      <c r="A34" t="s">
        <v>95</v>
      </c>
      <c r="B34" t="s">
        <v>3110</v>
      </c>
      <c r="C34" t="s">
        <v>45</v>
      </c>
      <c r="D34" t="s">
        <v>187</v>
      </c>
      <c r="E34" t="s">
        <v>96</v>
      </c>
      <c r="F34" t="s">
        <v>96</v>
      </c>
      <c r="G34" t="s">
        <v>96</v>
      </c>
      <c r="H34">
        <v>2010</v>
      </c>
      <c r="I34" t="s">
        <v>96</v>
      </c>
      <c r="J34" t="s">
        <v>97</v>
      </c>
      <c r="K34" t="s">
        <v>96</v>
      </c>
      <c r="L34" t="s">
        <v>96</v>
      </c>
      <c r="M34">
        <v>3823.75</v>
      </c>
      <c r="O34" s="12" t="str">
        <f t="shared" si="0"/>
        <v>AFR</v>
      </c>
      <c r="P34" s="12" t="str">
        <f t="shared" si="1"/>
        <v>E_WON</v>
      </c>
      <c r="R34">
        <f t="shared" si="8"/>
        <v>3</v>
      </c>
      <c r="T34" t="str">
        <f t="shared" si="9"/>
        <v>EBldRateStep_Sol_2</v>
      </c>
      <c r="W34" t="s">
        <v>45</v>
      </c>
      <c r="X34" t="str">
        <f t="shared" ca="1" si="5"/>
        <v>EBldRateStep_Sol_2_BRZ</v>
      </c>
      <c r="Y34" s="11">
        <f t="shared" si="6"/>
        <v>578.76</v>
      </c>
    </row>
    <row r="35" spans="1:25" x14ac:dyDescent="0.35">
      <c r="A35" t="s">
        <v>95</v>
      </c>
      <c r="B35" t="s">
        <v>3110</v>
      </c>
      <c r="C35" t="s">
        <v>45</v>
      </c>
      <c r="D35" t="s">
        <v>188</v>
      </c>
      <c r="E35" t="s">
        <v>96</v>
      </c>
      <c r="F35" t="s">
        <v>96</v>
      </c>
      <c r="G35" t="s">
        <v>96</v>
      </c>
      <c r="H35">
        <v>2010</v>
      </c>
      <c r="I35" t="s">
        <v>96</v>
      </c>
      <c r="J35" t="s">
        <v>97</v>
      </c>
      <c r="K35" t="s">
        <v>96</v>
      </c>
      <c r="L35" t="s">
        <v>96</v>
      </c>
      <c r="M35">
        <v>3823.75</v>
      </c>
      <c r="O35" s="12" t="str">
        <f t="shared" si="0"/>
        <v>AFR</v>
      </c>
      <c r="P35" s="12" t="str">
        <f t="shared" si="1"/>
        <v>E_WON</v>
      </c>
      <c r="R35">
        <f t="shared" si="8"/>
        <v>3</v>
      </c>
      <c r="T35" t="str">
        <f t="shared" si="9"/>
        <v>EBldRateStep_Sol_3</v>
      </c>
      <c r="W35" t="s">
        <v>45</v>
      </c>
      <c r="X35" t="str">
        <f t="shared" ca="1" si="5"/>
        <v>EBldRateStep_Sol_3_BRZ</v>
      </c>
      <c r="Y35" s="11">
        <f t="shared" si="6"/>
        <v>1860.3000000000002</v>
      </c>
    </row>
    <row r="36" spans="1:25" x14ac:dyDescent="0.35">
      <c r="A36" t="s">
        <v>95</v>
      </c>
      <c r="B36" t="s">
        <v>3110</v>
      </c>
      <c r="C36" t="s">
        <v>45</v>
      </c>
      <c r="D36" t="s">
        <v>189</v>
      </c>
      <c r="E36" t="s">
        <v>96</v>
      </c>
      <c r="F36" t="s">
        <v>96</v>
      </c>
      <c r="G36" t="s">
        <v>96</v>
      </c>
      <c r="H36">
        <v>2010</v>
      </c>
      <c r="I36" t="s">
        <v>96</v>
      </c>
      <c r="J36" t="s">
        <v>97</v>
      </c>
      <c r="K36" t="s">
        <v>96</v>
      </c>
      <c r="L36" t="s">
        <v>96</v>
      </c>
      <c r="M36">
        <v>3823.75</v>
      </c>
      <c r="O36" s="12" t="str">
        <f t="shared" si="0"/>
        <v>AFR</v>
      </c>
      <c r="P36" s="12" t="str">
        <f t="shared" si="1"/>
        <v>E_WON</v>
      </c>
      <c r="R36">
        <f t="shared" si="8"/>
        <v>3</v>
      </c>
      <c r="T36" t="str">
        <f t="shared" si="9"/>
        <v>EBldRateStep_Win_2</v>
      </c>
      <c r="W36" t="s">
        <v>45</v>
      </c>
      <c r="X36" t="str">
        <f t="shared" ca="1" si="5"/>
        <v>EBldRateStep_Win_2_BRZ</v>
      </c>
      <c r="Y36" s="11">
        <f t="shared" si="6"/>
        <v>741.42599999999993</v>
      </c>
    </row>
    <row r="37" spans="1:25" x14ac:dyDescent="0.35">
      <c r="A37" t="s">
        <v>95</v>
      </c>
      <c r="B37" t="s">
        <v>3110</v>
      </c>
      <c r="C37" t="s">
        <v>45</v>
      </c>
      <c r="D37" t="s">
        <v>191</v>
      </c>
      <c r="E37" t="s">
        <v>96</v>
      </c>
      <c r="F37" t="s">
        <v>96</v>
      </c>
      <c r="G37" t="s">
        <v>96</v>
      </c>
      <c r="H37">
        <v>2010</v>
      </c>
      <c r="I37" t="s">
        <v>96</v>
      </c>
      <c r="J37" t="s">
        <v>97</v>
      </c>
      <c r="K37" t="s">
        <v>96</v>
      </c>
      <c r="L37" t="s">
        <v>96</v>
      </c>
      <c r="M37">
        <v>3823.75</v>
      </c>
      <c r="O37" s="12" t="str">
        <f t="shared" si="0"/>
        <v>AFR</v>
      </c>
      <c r="P37" s="12" t="str">
        <f t="shared" si="1"/>
        <v>E_WON</v>
      </c>
      <c r="R37">
        <f t="shared" si="8"/>
        <v>3</v>
      </c>
      <c r="T37" t="str">
        <f t="shared" si="9"/>
        <v>EBldRateStep_Win_3</v>
      </c>
      <c r="W37" t="s">
        <v>45</v>
      </c>
      <c r="X37" t="str">
        <f t="shared" ca="1" si="5"/>
        <v>EBldRateStep_Win_3_BRZ</v>
      </c>
      <c r="Y37" s="11">
        <f t="shared" si="6"/>
        <v>2383.1550000000002</v>
      </c>
    </row>
    <row r="38" spans="1:25" x14ac:dyDescent="0.35">
      <c r="A38" t="s">
        <v>95</v>
      </c>
      <c r="B38" t="s">
        <v>3110</v>
      </c>
      <c r="C38" t="s">
        <v>45</v>
      </c>
      <c r="D38" t="s">
        <v>197</v>
      </c>
      <c r="E38" t="s">
        <v>96</v>
      </c>
      <c r="F38" t="s">
        <v>96</v>
      </c>
      <c r="G38" t="s">
        <v>96</v>
      </c>
      <c r="H38">
        <v>2010</v>
      </c>
      <c r="I38" t="s">
        <v>96</v>
      </c>
      <c r="J38" t="s">
        <v>97</v>
      </c>
      <c r="K38" t="s">
        <v>96</v>
      </c>
      <c r="L38" t="s">
        <v>96</v>
      </c>
      <c r="M38">
        <v>3823.75</v>
      </c>
      <c r="O38" s="12" t="str">
        <f t="shared" si="0"/>
        <v>AFR</v>
      </c>
      <c r="P38" s="12" t="str">
        <f t="shared" si="1"/>
        <v>E_WON</v>
      </c>
      <c r="R38">
        <f t="shared" si="8"/>
        <v>4</v>
      </c>
      <c r="T38" t="str">
        <f t="shared" si="9"/>
        <v>EBldRateStep_HYD_2</v>
      </c>
      <c r="W38" t="s">
        <v>45</v>
      </c>
      <c r="X38" t="str">
        <f t="shared" ca="1" si="5"/>
        <v>EBldRateStep_HYD_2_CAN</v>
      </c>
      <c r="Y38" s="11">
        <f t="shared" si="6"/>
        <v>3623.7344640000001</v>
      </c>
    </row>
    <row r="39" spans="1:25" x14ac:dyDescent="0.35">
      <c r="A39" t="s">
        <v>95</v>
      </c>
      <c r="B39" t="s">
        <v>3110</v>
      </c>
      <c r="C39" t="s">
        <v>45</v>
      </c>
      <c r="D39" t="s">
        <v>198</v>
      </c>
      <c r="E39" t="s">
        <v>96</v>
      </c>
      <c r="F39" t="s">
        <v>96</v>
      </c>
      <c r="G39" t="s">
        <v>96</v>
      </c>
      <c r="H39">
        <v>2010</v>
      </c>
      <c r="I39" t="s">
        <v>96</v>
      </c>
      <c r="J39" t="s">
        <v>97</v>
      </c>
      <c r="K39" t="s">
        <v>96</v>
      </c>
      <c r="L39" t="s">
        <v>96</v>
      </c>
      <c r="M39">
        <v>3823.75</v>
      </c>
      <c r="O39" s="12" t="str">
        <f t="shared" si="0"/>
        <v>AFR</v>
      </c>
      <c r="P39" s="12" t="str">
        <f t="shared" si="1"/>
        <v>E_WON</v>
      </c>
      <c r="R39">
        <f t="shared" si="8"/>
        <v>4</v>
      </c>
      <c r="T39" t="str">
        <f t="shared" si="9"/>
        <v>EBldRateStep_HYD_3</v>
      </c>
      <c r="W39" t="s">
        <v>45</v>
      </c>
      <c r="X39" t="str">
        <f t="shared" ca="1" si="5"/>
        <v>EBldRateStep_HYD_3_CAN</v>
      </c>
      <c r="Y39" s="11">
        <f t="shared" si="6"/>
        <v>11647.717920000001</v>
      </c>
    </row>
    <row r="40" spans="1:25" x14ac:dyDescent="0.35">
      <c r="A40" t="s">
        <v>95</v>
      </c>
      <c r="B40" t="s">
        <v>3110</v>
      </c>
      <c r="C40" t="s">
        <v>45</v>
      </c>
      <c r="D40" t="s">
        <v>201</v>
      </c>
      <c r="E40" t="s">
        <v>96</v>
      </c>
      <c r="F40" t="s">
        <v>96</v>
      </c>
      <c r="G40" t="s">
        <v>96</v>
      </c>
      <c r="H40">
        <v>2010</v>
      </c>
      <c r="I40" t="s">
        <v>96</v>
      </c>
      <c r="J40" t="s">
        <v>97</v>
      </c>
      <c r="K40" t="s">
        <v>96</v>
      </c>
      <c r="L40" t="s">
        <v>96</v>
      </c>
      <c r="M40">
        <v>3823.75</v>
      </c>
      <c r="O40" s="12" t="str">
        <f t="shared" si="0"/>
        <v>AFR</v>
      </c>
      <c r="P40" s="12" t="str">
        <f t="shared" si="1"/>
        <v>E_WON</v>
      </c>
      <c r="R40">
        <f t="shared" si="8"/>
        <v>4</v>
      </c>
      <c r="T40" t="str">
        <f t="shared" si="9"/>
        <v>EBldRateStep_Sol_2</v>
      </c>
      <c r="W40" t="s">
        <v>45</v>
      </c>
      <c r="X40" t="str">
        <f t="shared" ca="1" si="5"/>
        <v>EBldRateStep_Sol_2_CAN</v>
      </c>
      <c r="Y40" s="11">
        <f t="shared" si="6"/>
        <v>535.07999999999993</v>
      </c>
    </row>
    <row r="41" spans="1:25" x14ac:dyDescent="0.35">
      <c r="A41" t="s">
        <v>95</v>
      </c>
      <c r="B41" t="s">
        <v>3110</v>
      </c>
      <c r="C41" t="s">
        <v>45</v>
      </c>
      <c r="D41" t="s">
        <v>202</v>
      </c>
      <c r="E41" t="s">
        <v>96</v>
      </c>
      <c r="F41" t="s">
        <v>96</v>
      </c>
      <c r="G41" t="s">
        <v>96</v>
      </c>
      <c r="H41">
        <v>2010</v>
      </c>
      <c r="I41" t="s">
        <v>96</v>
      </c>
      <c r="J41" t="s">
        <v>97</v>
      </c>
      <c r="K41" t="s">
        <v>96</v>
      </c>
      <c r="L41" t="s">
        <v>96</v>
      </c>
      <c r="M41">
        <v>3823.75</v>
      </c>
      <c r="O41" s="12" t="str">
        <f t="shared" si="0"/>
        <v>AFR</v>
      </c>
      <c r="P41" s="12" t="str">
        <f t="shared" si="1"/>
        <v>E_WON</v>
      </c>
      <c r="R41">
        <f t="shared" si="8"/>
        <v>4</v>
      </c>
      <c r="T41" t="str">
        <f t="shared" si="9"/>
        <v>EBldRateStep_Sol_3</v>
      </c>
      <c r="W41" t="s">
        <v>45</v>
      </c>
      <c r="X41" t="str">
        <f t="shared" ca="1" si="5"/>
        <v>EBldRateStep_Sol_3_CAN</v>
      </c>
      <c r="Y41" s="11">
        <f t="shared" si="6"/>
        <v>1719.9</v>
      </c>
    </row>
    <row r="42" spans="1:25" x14ac:dyDescent="0.35">
      <c r="A42" t="s">
        <v>95</v>
      </c>
      <c r="B42" t="s">
        <v>3110</v>
      </c>
      <c r="C42" t="s">
        <v>45</v>
      </c>
      <c r="D42" t="s">
        <v>205</v>
      </c>
      <c r="E42" t="s">
        <v>96</v>
      </c>
      <c r="F42" t="s">
        <v>96</v>
      </c>
      <c r="G42" t="s">
        <v>96</v>
      </c>
      <c r="H42">
        <v>2010</v>
      </c>
      <c r="I42" t="s">
        <v>96</v>
      </c>
      <c r="J42" t="s">
        <v>97</v>
      </c>
      <c r="K42" t="s">
        <v>96</v>
      </c>
      <c r="L42" t="s">
        <v>96</v>
      </c>
      <c r="M42">
        <v>3823.75</v>
      </c>
      <c r="O42" s="12" t="str">
        <f t="shared" si="0"/>
        <v>AFR</v>
      </c>
      <c r="P42" s="12" t="str">
        <f t="shared" si="1"/>
        <v>E_WON</v>
      </c>
      <c r="R42">
        <f t="shared" si="8"/>
        <v>4</v>
      </c>
      <c r="T42" t="str">
        <f t="shared" si="9"/>
        <v>EBldRateStep_Win_2</v>
      </c>
      <c r="W42" t="s">
        <v>45</v>
      </c>
      <c r="X42" t="str">
        <f t="shared" ca="1" si="5"/>
        <v>EBldRateStep_Win_2_CAN</v>
      </c>
      <c r="Y42" s="11">
        <f t="shared" si="6"/>
        <v>950.15454545454554</v>
      </c>
    </row>
    <row r="43" spans="1:25" x14ac:dyDescent="0.35">
      <c r="A43" t="s">
        <v>95</v>
      </c>
      <c r="B43" t="s">
        <v>3110</v>
      </c>
      <c r="C43" t="s">
        <v>45</v>
      </c>
      <c r="D43" t="s">
        <v>206</v>
      </c>
      <c r="E43" t="s">
        <v>96</v>
      </c>
      <c r="F43" t="s">
        <v>96</v>
      </c>
      <c r="G43" t="s">
        <v>96</v>
      </c>
      <c r="H43">
        <v>2010</v>
      </c>
      <c r="I43" t="s">
        <v>96</v>
      </c>
      <c r="J43" t="s">
        <v>97</v>
      </c>
      <c r="K43" t="s">
        <v>96</v>
      </c>
      <c r="L43" t="s">
        <v>96</v>
      </c>
      <c r="M43">
        <v>3823.75</v>
      </c>
      <c r="O43" s="12" t="str">
        <f t="shared" si="0"/>
        <v>AFR</v>
      </c>
      <c r="P43" s="12" t="str">
        <f t="shared" si="1"/>
        <v>E_WON</v>
      </c>
      <c r="R43">
        <f t="shared" si="8"/>
        <v>4</v>
      </c>
      <c r="T43" t="str">
        <f t="shared" si="9"/>
        <v>EBldRateStep_Win_3</v>
      </c>
      <c r="W43" t="s">
        <v>45</v>
      </c>
      <c r="X43" t="str">
        <f t="shared" ca="1" si="5"/>
        <v>EBldRateStep_Win_3_CAN</v>
      </c>
      <c r="Y43" s="11">
        <f t="shared" si="6"/>
        <v>3054.0681818181824</v>
      </c>
    </row>
    <row r="44" spans="1:25" x14ac:dyDescent="0.35">
      <c r="A44" t="s">
        <v>95</v>
      </c>
      <c r="B44" t="s">
        <v>3110</v>
      </c>
      <c r="C44" t="s">
        <v>45</v>
      </c>
      <c r="D44" t="s">
        <v>207</v>
      </c>
      <c r="E44" t="s">
        <v>96</v>
      </c>
      <c r="F44" t="s">
        <v>96</v>
      </c>
      <c r="G44" t="s">
        <v>96</v>
      </c>
      <c r="H44">
        <v>2010</v>
      </c>
      <c r="I44" t="s">
        <v>96</v>
      </c>
      <c r="J44" t="s">
        <v>97</v>
      </c>
      <c r="K44" t="s">
        <v>96</v>
      </c>
      <c r="L44" t="s">
        <v>96</v>
      </c>
      <c r="M44">
        <v>3823.75</v>
      </c>
      <c r="O44" s="12" t="str">
        <f t="shared" si="0"/>
        <v>AFR</v>
      </c>
      <c r="P44" s="12" t="str">
        <f t="shared" si="1"/>
        <v>E_WON</v>
      </c>
      <c r="R44">
        <f t="shared" si="8"/>
        <v>5</v>
      </c>
      <c r="T44" t="str">
        <f t="shared" si="9"/>
        <v>EBldRateStep_HYD_2</v>
      </c>
      <c r="W44" t="s">
        <v>45</v>
      </c>
      <c r="X44" t="str">
        <f t="shared" ca="1" si="5"/>
        <v>EBldRateStep_HYD_2_CHI</v>
      </c>
      <c r="Y44" s="11">
        <f t="shared" si="6"/>
        <v>1258.8624384</v>
      </c>
    </row>
    <row r="45" spans="1:25" x14ac:dyDescent="0.35">
      <c r="A45" t="s">
        <v>95</v>
      </c>
      <c r="B45" t="s">
        <v>3110</v>
      </c>
      <c r="C45" t="s">
        <v>45</v>
      </c>
      <c r="D45" t="s">
        <v>209</v>
      </c>
      <c r="E45" t="s">
        <v>96</v>
      </c>
      <c r="F45" t="s">
        <v>96</v>
      </c>
      <c r="G45" t="s">
        <v>96</v>
      </c>
      <c r="H45">
        <v>2010</v>
      </c>
      <c r="I45" t="s">
        <v>96</v>
      </c>
      <c r="J45" t="s">
        <v>97</v>
      </c>
      <c r="K45" t="s">
        <v>96</v>
      </c>
      <c r="L45" t="s">
        <v>96</v>
      </c>
      <c r="M45">
        <v>3823.75</v>
      </c>
      <c r="O45" s="12" t="str">
        <f t="shared" si="0"/>
        <v>AFR</v>
      </c>
      <c r="P45" s="12" t="str">
        <f t="shared" si="1"/>
        <v>E_WON</v>
      </c>
      <c r="R45">
        <f t="shared" si="8"/>
        <v>5</v>
      </c>
      <c r="T45" t="str">
        <f t="shared" si="9"/>
        <v>EBldRateStep_HYD_3</v>
      </c>
      <c r="W45" t="s">
        <v>45</v>
      </c>
      <c r="X45" t="str">
        <f t="shared" ca="1" si="5"/>
        <v>EBldRateStep_HYD_3_CHI</v>
      </c>
      <c r="Y45" s="11">
        <f t="shared" si="6"/>
        <v>4046.3435520000007</v>
      </c>
    </row>
    <row r="46" spans="1:25" x14ac:dyDescent="0.35">
      <c r="A46" t="s">
        <v>95</v>
      </c>
      <c r="B46" t="s">
        <v>3110</v>
      </c>
      <c r="C46" t="s">
        <v>45</v>
      </c>
      <c r="D46" t="s">
        <v>215</v>
      </c>
      <c r="E46" t="s">
        <v>96</v>
      </c>
      <c r="F46" t="s">
        <v>96</v>
      </c>
      <c r="G46" t="s">
        <v>96</v>
      </c>
      <c r="H46">
        <v>2010</v>
      </c>
      <c r="I46" t="s">
        <v>96</v>
      </c>
      <c r="J46" t="s">
        <v>97</v>
      </c>
      <c r="K46" t="s">
        <v>96</v>
      </c>
      <c r="L46" t="s">
        <v>96</v>
      </c>
      <c r="M46">
        <v>3823.75</v>
      </c>
      <c r="O46" s="12" t="str">
        <f t="shared" si="0"/>
        <v>AFR</v>
      </c>
      <c r="P46" s="12" t="str">
        <f t="shared" si="1"/>
        <v>E_WON</v>
      </c>
      <c r="R46">
        <f t="shared" si="8"/>
        <v>5</v>
      </c>
      <c r="T46" t="str">
        <f t="shared" si="9"/>
        <v>EBldRateStep_Sol_2</v>
      </c>
      <c r="W46" t="s">
        <v>45</v>
      </c>
      <c r="X46" t="str">
        <f t="shared" ca="1" si="5"/>
        <v>EBldRateStep_Sol_2_CHI</v>
      </c>
      <c r="Y46" s="11">
        <f t="shared" si="6"/>
        <v>475.02</v>
      </c>
    </row>
    <row r="47" spans="1:25" x14ac:dyDescent="0.35">
      <c r="A47" t="s">
        <v>95</v>
      </c>
      <c r="B47" t="s">
        <v>3110</v>
      </c>
      <c r="C47" t="s">
        <v>45</v>
      </c>
      <c r="D47" t="s">
        <v>216</v>
      </c>
      <c r="E47" t="s">
        <v>96</v>
      </c>
      <c r="F47" t="s">
        <v>96</v>
      </c>
      <c r="G47" t="s">
        <v>96</v>
      </c>
      <c r="H47">
        <v>2010</v>
      </c>
      <c r="I47" t="s">
        <v>96</v>
      </c>
      <c r="J47" t="s">
        <v>97</v>
      </c>
      <c r="K47" t="s">
        <v>96</v>
      </c>
      <c r="L47" t="s">
        <v>96</v>
      </c>
      <c r="M47">
        <v>3823.75</v>
      </c>
      <c r="O47" s="12" t="str">
        <f t="shared" si="0"/>
        <v>AFR</v>
      </c>
      <c r="P47" s="12" t="str">
        <f t="shared" si="1"/>
        <v>E_WON</v>
      </c>
      <c r="R47">
        <f t="shared" si="8"/>
        <v>5</v>
      </c>
      <c r="T47" t="str">
        <f t="shared" si="9"/>
        <v>EBldRateStep_Sol_3</v>
      </c>
      <c r="W47" t="s">
        <v>45</v>
      </c>
      <c r="X47" t="str">
        <f t="shared" ca="1" si="5"/>
        <v>EBldRateStep_Sol_3_CHI</v>
      </c>
      <c r="Y47" s="11">
        <f t="shared" si="6"/>
        <v>1526.8500000000001</v>
      </c>
    </row>
    <row r="48" spans="1:25" x14ac:dyDescent="0.35">
      <c r="A48" t="s">
        <v>95</v>
      </c>
      <c r="B48" t="s">
        <v>3110</v>
      </c>
      <c r="C48" t="s">
        <v>45</v>
      </c>
      <c r="D48" t="s">
        <v>218</v>
      </c>
      <c r="E48" t="s">
        <v>96</v>
      </c>
      <c r="F48" t="s">
        <v>96</v>
      </c>
      <c r="G48" t="s">
        <v>96</v>
      </c>
      <c r="H48">
        <v>2010</v>
      </c>
      <c r="I48" t="s">
        <v>96</v>
      </c>
      <c r="J48" t="s">
        <v>97</v>
      </c>
      <c r="K48" t="s">
        <v>96</v>
      </c>
      <c r="L48" t="s">
        <v>96</v>
      </c>
      <c r="M48">
        <v>3823.75</v>
      </c>
      <c r="O48" s="12" t="str">
        <f t="shared" si="0"/>
        <v>AFR</v>
      </c>
      <c r="P48" s="12" t="str">
        <f t="shared" si="1"/>
        <v>E_WON</v>
      </c>
      <c r="R48">
        <f t="shared" si="8"/>
        <v>5</v>
      </c>
      <c r="T48" t="str">
        <f t="shared" si="9"/>
        <v>EBldRateStep_Win_2</v>
      </c>
      <c r="W48" t="s">
        <v>45</v>
      </c>
      <c r="X48" t="str">
        <f t="shared" ca="1" si="5"/>
        <v>EBldRateStep_Win_2_CHI</v>
      </c>
      <c r="Y48" s="11">
        <f t="shared" si="6"/>
        <v>646.79999999999995</v>
      </c>
    </row>
    <row r="49" spans="1:25" x14ac:dyDescent="0.35">
      <c r="A49" t="s">
        <v>95</v>
      </c>
      <c r="B49" t="s">
        <v>3110</v>
      </c>
      <c r="C49" t="s">
        <v>45</v>
      </c>
      <c r="D49" t="s">
        <v>219</v>
      </c>
      <c r="E49" t="s">
        <v>96</v>
      </c>
      <c r="F49" t="s">
        <v>96</v>
      </c>
      <c r="G49" t="s">
        <v>96</v>
      </c>
      <c r="H49">
        <v>2010</v>
      </c>
      <c r="I49" t="s">
        <v>96</v>
      </c>
      <c r="J49" t="s">
        <v>97</v>
      </c>
      <c r="K49" t="s">
        <v>96</v>
      </c>
      <c r="L49" t="s">
        <v>96</v>
      </c>
      <c r="M49">
        <v>3823.75</v>
      </c>
      <c r="O49" s="12" t="str">
        <f t="shared" si="0"/>
        <v>AFR</v>
      </c>
      <c r="P49" s="12" t="str">
        <f t="shared" si="1"/>
        <v>E_WON</v>
      </c>
      <c r="R49">
        <f t="shared" si="8"/>
        <v>5</v>
      </c>
      <c r="T49" t="str">
        <f t="shared" si="9"/>
        <v>EBldRateStep_Win_3</v>
      </c>
      <c r="W49" t="s">
        <v>45</v>
      </c>
      <c r="X49" t="str">
        <f t="shared" ca="1" si="5"/>
        <v>EBldRateStep_Win_3_CHI</v>
      </c>
      <c r="Y49" s="11">
        <f t="shared" si="6"/>
        <v>2079</v>
      </c>
    </row>
    <row r="50" spans="1:25" x14ac:dyDescent="0.35">
      <c r="A50" t="s">
        <v>95</v>
      </c>
      <c r="B50" t="s">
        <v>3110</v>
      </c>
      <c r="C50" t="s">
        <v>45</v>
      </c>
      <c r="D50" t="s">
        <v>220</v>
      </c>
      <c r="E50" t="s">
        <v>96</v>
      </c>
      <c r="F50" t="s">
        <v>96</v>
      </c>
      <c r="G50" t="s">
        <v>96</v>
      </c>
      <c r="H50">
        <v>2010</v>
      </c>
      <c r="I50" t="s">
        <v>96</v>
      </c>
      <c r="J50" t="s">
        <v>97</v>
      </c>
      <c r="K50" t="s">
        <v>96</v>
      </c>
      <c r="L50" t="s">
        <v>96</v>
      </c>
      <c r="M50">
        <v>3823.75</v>
      </c>
      <c r="O50" s="12" t="str">
        <f t="shared" si="0"/>
        <v>AFR</v>
      </c>
      <c r="P50" s="12" t="str">
        <f t="shared" si="1"/>
        <v>E_WON</v>
      </c>
      <c r="R50">
        <f t="shared" si="8"/>
        <v>6</v>
      </c>
      <c r="T50" t="str">
        <f t="shared" si="9"/>
        <v>EBldRateStep_HYD_2</v>
      </c>
      <c r="W50" t="s">
        <v>45</v>
      </c>
      <c r="X50" t="str">
        <f t="shared" ca="1" si="5"/>
        <v>EBldRateStep_HYD_2_CSA</v>
      </c>
      <c r="Y50" s="11">
        <f t="shared" si="6"/>
        <v>1375.9612595199992</v>
      </c>
    </row>
    <row r="51" spans="1:25" x14ac:dyDescent="0.35">
      <c r="A51" t="s">
        <v>95</v>
      </c>
      <c r="B51" t="s">
        <v>3110</v>
      </c>
      <c r="C51" t="s">
        <v>45</v>
      </c>
      <c r="D51" t="s">
        <v>222</v>
      </c>
      <c r="E51" t="s">
        <v>96</v>
      </c>
      <c r="F51" t="s">
        <v>96</v>
      </c>
      <c r="G51" t="s">
        <v>96</v>
      </c>
      <c r="H51">
        <v>2010</v>
      </c>
      <c r="I51" t="s">
        <v>96</v>
      </c>
      <c r="J51" t="s">
        <v>97</v>
      </c>
      <c r="K51" t="s">
        <v>96</v>
      </c>
      <c r="L51" t="s">
        <v>96</v>
      </c>
      <c r="M51">
        <v>3823.75</v>
      </c>
      <c r="O51" s="12" t="str">
        <f t="shared" si="0"/>
        <v>AFR</v>
      </c>
      <c r="P51" s="12" t="str">
        <f t="shared" si="1"/>
        <v>E_WON</v>
      </c>
      <c r="R51">
        <f t="shared" si="8"/>
        <v>6</v>
      </c>
      <c r="T51" t="str">
        <f t="shared" si="9"/>
        <v>EBldRateStep_HYD_3</v>
      </c>
      <c r="W51" t="s">
        <v>45</v>
      </c>
      <c r="X51" t="str">
        <f t="shared" ca="1" si="5"/>
        <v>EBldRateStep_HYD_3_CSA</v>
      </c>
      <c r="Y51" s="11">
        <f t="shared" si="6"/>
        <v>4422.7326198857118</v>
      </c>
    </row>
    <row r="52" spans="1:25" x14ac:dyDescent="0.35">
      <c r="A52" t="s">
        <v>95</v>
      </c>
      <c r="B52" t="s">
        <v>3110</v>
      </c>
      <c r="C52" t="s">
        <v>45</v>
      </c>
      <c r="D52" t="s">
        <v>227</v>
      </c>
      <c r="E52" t="s">
        <v>96</v>
      </c>
      <c r="F52" t="s">
        <v>96</v>
      </c>
      <c r="G52" t="s">
        <v>96</v>
      </c>
      <c r="H52">
        <v>2010</v>
      </c>
      <c r="I52" t="s">
        <v>96</v>
      </c>
      <c r="J52" t="s">
        <v>97</v>
      </c>
      <c r="K52" t="s">
        <v>96</v>
      </c>
      <c r="L52" t="s">
        <v>96</v>
      </c>
      <c r="M52">
        <v>3823.75</v>
      </c>
      <c r="O52" s="12" t="str">
        <f t="shared" si="0"/>
        <v>AFR</v>
      </c>
      <c r="P52" s="12" t="str">
        <f t="shared" si="1"/>
        <v>E_WON</v>
      </c>
      <c r="R52">
        <f t="shared" si="8"/>
        <v>6</v>
      </c>
      <c r="T52" t="str">
        <f t="shared" si="9"/>
        <v>EBldRateStep_Sol_2</v>
      </c>
      <c r="W52" t="s">
        <v>45</v>
      </c>
      <c r="X52" t="str">
        <f t="shared" ref="X52:X83" ca="1" si="10">T52&amp;"_"&amp;OFFSET($U$7,0,R52)</f>
        <v>EBldRateStep_Sol_2_CSA</v>
      </c>
      <c r="Y52" s="11">
        <f t="shared" ref="Y52:Y83" si="11">VLOOKUP(T52,$T$7:$AK$15,R52+2,FALSE)</f>
        <v>882.91183177570008</v>
      </c>
    </row>
    <row r="53" spans="1:25" x14ac:dyDescent="0.35">
      <c r="A53" t="s">
        <v>95</v>
      </c>
      <c r="B53" t="s">
        <v>3110</v>
      </c>
      <c r="C53" t="s">
        <v>45</v>
      </c>
      <c r="D53" t="s">
        <v>230</v>
      </c>
      <c r="E53" t="s">
        <v>96</v>
      </c>
      <c r="F53" t="s">
        <v>96</v>
      </c>
      <c r="G53" t="s">
        <v>96</v>
      </c>
      <c r="H53">
        <v>2010</v>
      </c>
      <c r="I53" t="s">
        <v>96</v>
      </c>
      <c r="J53" t="s">
        <v>97</v>
      </c>
      <c r="K53" t="s">
        <v>96</v>
      </c>
      <c r="L53" t="s">
        <v>96</v>
      </c>
      <c r="M53">
        <v>3823.75</v>
      </c>
      <c r="O53" s="12" t="str">
        <f t="shared" si="0"/>
        <v>AFR</v>
      </c>
      <c r="P53" s="12" t="str">
        <f t="shared" si="1"/>
        <v>E_WON</v>
      </c>
      <c r="R53">
        <f t="shared" si="8"/>
        <v>6</v>
      </c>
      <c r="T53" t="str">
        <f t="shared" si="9"/>
        <v>EBldRateStep_Sol_3</v>
      </c>
      <c r="W53" t="s">
        <v>45</v>
      </c>
      <c r="X53" t="str">
        <f t="shared" ca="1" si="10"/>
        <v>EBldRateStep_Sol_3_CSA</v>
      </c>
      <c r="Y53" s="11">
        <f t="shared" si="11"/>
        <v>2837.9308878504648</v>
      </c>
    </row>
    <row r="54" spans="1:25" x14ac:dyDescent="0.35">
      <c r="A54" t="s">
        <v>95</v>
      </c>
      <c r="B54" t="s">
        <v>3110</v>
      </c>
      <c r="C54" t="s">
        <v>45</v>
      </c>
      <c r="D54" t="s">
        <v>235</v>
      </c>
      <c r="E54" t="s">
        <v>96</v>
      </c>
      <c r="F54" t="s">
        <v>96</v>
      </c>
      <c r="G54" t="s">
        <v>96</v>
      </c>
      <c r="H54">
        <v>2010</v>
      </c>
      <c r="I54" t="s">
        <v>96</v>
      </c>
      <c r="J54" t="s">
        <v>97</v>
      </c>
      <c r="K54" t="s">
        <v>96</v>
      </c>
      <c r="L54" t="s">
        <v>96</v>
      </c>
      <c r="M54">
        <v>3823.75</v>
      </c>
      <c r="O54" s="12" t="str">
        <f t="shared" si="0"/>
        <v>AFR</v>
      </c>
      <c r="P54" s="12" t="str">
        <f t="shared" si="1"/>
        <v>E_WON</v>
      </c>
      <c r="R54">
        <f t="shared" si="8"/>
        <v>6</v>
      </c>
      <c r="T54" t="str">
        <f t="shared" si="9"/>
        <v>EBldRateStep_Win_2</v>
      </c>
      <c r="W54" t="s">
        <v>45</v>
      </c>
      <c r="X54" t="str">
        <f t="shared" ca="1" si="10"/>
        <v>EBldRateStep_Win_2_CSA</v>
      </c>
      <c r="Y54" s="11">
        <f t="shared" si="11"/>
        <v>1123.85175</v>
      </c>
    </row>
    <row r="55" spans="1:25" x14ac:dyDescent="0.35">
      <c r="A55" t="s">
        <v>95</v>
      </c>
      <c r="B55" t="s">
        <v>3110</v>
      </c>
      <c r="C55" t="s">
        <v>45</v>
      </c>
      <c r="D55" t="s">
        <v>250</v>
      </c>
      <c r="E55" t="s">
        <v>96</v>
      </c>
      <c r="F55" t="s">
        <v>96</v>
      </c>
      <c r="G55" t="s">
        <v>96</v>
      </c>
      <c r="H55">
        <v>2010</v>
      </c>
      <c r="I55" t="s">
        <v>96</v>
      </c>
      <c r="J55" t="s">
        <v>97</v>
      </c>
      <c r="K55" t="s">
        <v>96</v>
      </c>
      <c r="L55" t="s">
        <v>96</v>
      </c>
      <c r="M55">
        <v>2185</v>
      </c>
      <c r="O55" s="12" t="str">
        <f t="shared" si="0"/>
        <v>AFR</v>
      </c>
      <c r="P55" s="12" t="str">
        <f t="shared" si="1"/>
        <v>E_WON</v>
      </c>
      <c r="R55">
        <f t="shared" si="8"/>
        <v>6</v>
      </c>
      <c r="T55" t="str">
        <f t="shared" si="9"/>
        <v>EBldRateStep_Win_3</v>
      </c>
      <c r="W55" t="s">
        <v>45</v>
      </c>
      <c r="X55" t="str">
        <f t="shared" ca="1" si="10"/>
        <v>EBldRateStep_Win_3_CSA</v>
      </c>
      <c r="Y55" s="11">
        <f t="shared" si="11"/>
        <v>3612.3806250000002</v>
      </c>
    </row>
    <row r="56" spans="1:25" x14ac:dyDescent="0.35">
      <c r="A56" t="s">
        <v>95</v>
      </c>
      <c r="B56" t="s">
        <v>3110</v>
      </c>
      <c r="C56" t="s">
        <v>45</v>
      </c>
      <c r="D56" t="s">
        <v>251</v>
      </c>
      <c r="E56" t="s">
        <v>96</v>
      </c>
      <c r="F56" t="s">
        <v>96</v>
      </c>
      <c r="G56" t="s">
        <v>96</v>
      </c>
      <c r="H56">
        <v>2010</v>
      </c>
      <c r="I56" t="s">
        <v>96</v>
      </c>
      <c r="J56" t="s">
        <v>97</v>
      </c>
      <c r="K56" t="s">
        <v>96</v>
      </c>
      <c r="L56" t="s">
        <v>96</v>
      </c>
      <c r="M56">
        <v>2185</v>
      </c>
      <c r="O56" s="12" t="str">
        <f t="shared" si="0"/>
        <v>AFR</v>
      </c>
      <c r="P56" s="12" t="str">
        <f t="shared" si="1"/>
        <v>E_WON</v>
      </c>
      <c r="R56">
        <f t="shared" si="8"/>
        <v>7</v>
      </c>
      <c r="T56" t="str">
        <f t="shared" si="9"/>
        <v>EBldRateStep_HYD_2</v>
      </c>
      <c r="W56" t="s">
        <v>45</v>
      </c>
      <c r="X56" t="str">
        <f t="shared" ca="1" si="10"/>
        <v>EBldRateStep_HYD_2_EUR</v>
      </c>
      <c r="Y56" s="11">
        <f t="shared" si="11"/>
        <v>2073.6972346999996</v>
      </c>
    </row>
    <row r="57" spans="1:25" x14ac:dyDescent="0.35">
      <c r="A57" t="s">
        <v>95</v>
      </c>
      <c r="B57" t="s">
        <v>3110</v>
      </c>
      <c r="C57" t="s">
        <v>45</v>
      </c>
      <c r="D57" t="s">
        <v>262</v>
      </c>
      <c r="E57" t="s">
        <v>96</v>
      </c>
      <c r="F57" t="s">
        <v>96</v>
      </c>
      <c r="G57" t="s">
        <v>96</v>
      </c>
      <c r="H57">
        <v>2010</v>
      </c>
      <c r="I57" t="s">
        <v>96</v>
      </c>
      <c r="J57" t="s">
        <v>97</v>
      </c>
      <c r="K57" t="s">
        <v>96</v>
      </c>
      <c r="L57" t="s">
        <v>96</v>
      </c>
      <c r="M57">
        <v>2185</v>
      </c>
      <c r="O57" s="12" t="str">
        <f t="shared" si="0"/>
        <v>AFR</v>
      </c>
      <c r="P57" s="12" t="str">
        <f t="shared" si="1"/>
        <v>E_WON</v>
      </c>
      <c r="R57">
        <f t="shared" si="8"/>
        <v>7</v>
      </c>
      <c r="T57" t="str">
        <f t="shared" si="9"/>
        <v>EBldRateStep_HYD_3</v>
      </c>
      <c r="W57" t="s">
        <v>45</v>
      </c>
      <c r="X57" t="str">
        <f t="shared" ca="1" si="10"/>
        <v>EBldRateStep_HYD_3_EUR</v>
      </c>
      <c r="Y57" s="11">
        <f t="shared" si="11"/>
        <v>6665.4553972499989</v>
      </c>
    </row>
    <row r="58" spans="1:25" x14ac:dyDescent="0.35">
      <c r="A58" t="s">
        <v>95</v>
      </c>
      <c r="B58" t="s">
        <v>3110</v>
      </c>
      <c r="C58" t="s">
        <v>45</v>
      </c>
      <c r="D58" t="s">
        <v>264</v>
      </c>
      <c r="E58" t="s">
        <v>96</v>
      </c>
      <c r="F58" t="s">
        <v>96</v>
      </c>
      <c r="G58" t="s">
        <v>96</v>
      </c>
      <c r="H58">
        <v>2010</v>
      </c>
      <c r="I58" t="s">
        <v>96</v>
      </c>
      <c r="J58" t="s">
        <v>97</v>
      </c>
      <c r="K58" t="s">
        <v>96</v>
      </c>
      <c r="L58" t="s">
        <v>96</v>
      </c>
      <c r="M58">
        <v>2185</v>
      </c>
      <c r="O58" s="12" t="str">
        <f t="shared" si="0"/>
        <v>AFR</v>
      </c>
      <c r="P58" s="12" t="str">
        <f t="shared" si="1"/>
        <v>E_WON</v>
      </c>
      <c r="R58">
        <f t="shared" si="8"/>
        <v>7</v>
      </c>
      <c r="T58" t="str">
        <f t="shared" si="9"/>
        <v>EBldRateStep_Sol_2</v>
      </c>
      <c r="W58" t="s">
        <v>45</v>
      </c>
      <c r="X58" t="str">
        <f t="shared" ca="1" si="10"/>
        <v>EBldRateStep_Sol_2_EUR</v>
      </c>
      <c r="Y58" s="11">
        <f t="shared" si="11"/>
        <v>522.96412499999997</v>
      </c>
    </row>
    <row r="59" spans="1:25" x14ac:dyDescent="0.35">
      <c r="A59" t="s">
        <v>95</v>
      </c>
      <c r="B59" t="s">
        <v>3110</v>
      </c>
      <c r="C59" t="s">
        <v>45</v>
      </c>
      <c r="D59" t="s">
        <v>267</v>
      </c>
      <c r="E59" t="s">
        <v>96</v>
      </c>
      <c r="F59" t="s">
        <v>96</v>
      </c>
      <c r="G59" t="s">
        <v>96</v>
      </c>
      <c r="H59">
        <v>2010</v>
      </c>
      <c r="I59" t="s">
        <v>96</v>
      </c>
      <c r="J59" t="s">
        <v>97</v>
      </c>
      <c r="K59" t="s">
        <v>96</v>
      </c>
      <c r="L59" t="s">
        <v>96</v>
      </c>
      <c r="M59">
        <v>2185</v>
      </c>
      <c r="O59" s="12" t="str">
        <f t="shared" si="0"/>
        <v>AFR</v>
      </c>
      <c r="P59" s="12" t="str">
        <f t="shared" si="1"/>
        <v>E_WON</v>
      </c>
      <c r="R59">
        <f t="shared" si="8"/>
        <v>7</v>
      </c>
      <c r="T59" t="str">
        <f t="shared" si="9"/>
        <v>EBldRateStep_Sol_3</v>
      </c>
      <c r="W59" t="s">
        <v>45</v>
      </c>
      <c r="X59" t="str">
        <f t="shared" ca="1" si="10"/>
        <v>EBldRateStep_Sol_3_EUR</v>
      </c>
      <c r="Y59" s="11">
        <f t="shared" si="11"/>
        <v>1680.9561160714288</v>
      </c>
    </row>
    <row r="60" spans="1:25" x14ac:dyDescent="0.35">
      <c r="A60" t="s">
        <v>95</v>
      </c>
      <c r="B60" t="s">
        <v>3110</v>
      </c>
      <c r="C60" t="s">
        <v>45</v>
      </c>
      <c r="D60" t="s">
        <v>270</v>
      </c>
      <c r="E60" t="s">
        <v>96</v>
      </c>
      <c r="F60" t="s">
        <v>96</v>
      </c>
      <c r="G60" t="s">
        <v>96</v>
      </c>
      <c r="H60">
        <v>2010</v>
      </c>
      <c r="I60" t="s">
        <v>96</v>
      </c>
      <c r="J60" t="s">
        <v>97</v>
      </c>
      <c r="K60" t="s">
        <v>96</v>
      </c>
      <c r="L60" t="s">
        <v>96</v>
      </c>
      <c r="M60">
        <v>2185</v>
      </c>
      <c r="O60" s="12" t="str">
        <f t="shared" si="0"/>
        <v>AFR</v>
      </c>
      <c r="P60" s="12" t="str">
        <f t="shared" si="1"/>
        <v>E_WON</v>
      </c>
      <c r="R60">
        <f t="shared" si="8"/>
        <v>7</v>
      </c>
      <c r="T60" t="str">
        <f t="shared" si="9"/>
        <v>EBldRateStep_Win_2</v>
      </c>
      <c r="W60" t="s">
        <v>45</v>
      </c>
      <c r="X60" t="str">
        <f t="shared" ca="1" si="10"/>
        <v>EBldRateStep_Win_2_EUR</v>
      </c>
      <c r="Y60" s="11">
        <f t="shared" si="11"/>
        <v>872.79664429530203</v>
      </c>
    </row>
    <row r="61" spans="1:25" x14ac:dyDescent="0.35">
      <c r="A61" t="s">
        <v>95</v>
      </c>
      <c r="B61" t="s">
        <v>3110</v>
      </c>
      <c r="C61" t="s">
        <v>45</v>
      </c>
      <c r="D61" t="s">
        <v>275</v>
      </c>
      <c r="E61" t="s">
        <v>96</v>
      </c>
      <c r="F61" t="s">
        <v>96</v>
      </c>
      <c r="G61" t="s">
        <v>96</v>
      </c>
      <c r="H61">
        <v>2010</v>
      </c>
      <c r="I61" t="s">
        <v>96</v>
      </c>
      <c r="J61" t="s">
        <v>97</v>
      </c>
      <c r="K61" t="s">
        <v>96</v>
      </c>
      <c r="L61" t="s">
        <v>96</v>
      </c>
      <c r="M61">
        <v>2185</v>
      </c>
      <c r="O61" s="12" t="str">
        <f t="shared" si="0"/>
        <v>AFR</v>
      </c>
      <c r="P61" s="12" t="str">
        <f t="shared" si="1"/>
        <v>E_WON</v>
      </c>
      <c r="R61">
        <f t="shared" si="8"/>
        <v>7</v>
      </c>
      <c r="T61" t="str">
        <f t="shared" si="9"/>
        <v>EBldRateStep_Win_3</v>
      </c>
      <c r="W61" t="s">
        <v>45</v>
      </c>
      <c r="X61" t="str">
        <f t="shared" ca="1" si="10"/>
        <v>EBldRateStep_Win_3_EUR</v>
      </c>
      <c r="Y61" s="11">
        <f t="shared" si="11"/>
        <v>2805.4177852348998</v>
      </c>
    </row>
    <row r="62" spans="1:25" x14ac:dyDescent="0.35">
      <c r="A62" t="s">
        <v>95</v>
      </c>
      <c r="B62" t="s">
        <v>3110</v>
      </c>
      <c r="C62" t="s">
        <v>45</v>
      </c>
      <c r="D62" t="s">
        <v>289</v>
      </c>
      <c r="E62" t="s">
        <v>96</v>
      </c>
      <c r="F62" t="s">
        <v>96</v>
      </c>
      <c r="G62" t="s">
        <v>96</v>
      </c>
      <c r="H62">
        <v>2010</v>
      </c>
      <c r="I62" t="s">
        <v>96</v>
      </c>
      <c r="J62" t="s">
        <v>97</v>
      </c>
      <c r="K62" t="s">
        <v>96</v>
      </c>
      <c r="L62" t="s">
        <v>96</v>
      </c>
      <c r="M62">
        <v>2185</v>
      </c>
      <c r="O62" s="12" t="str">
        <f t="shared" si="0"/>
        <v>AFR</v>
      </c>
      <c r="P62" s="12" t="str">
        <f t="shared" si="1"/>
        <v>E_WON</v>
      </c>
      <c r="R62">
        <f t="shared" si="8"/>
        <v>8</v>
      </c>
      <c r="T62" t="str">
        <f t="shared" si="9"/>
        <v>EBldRateStep_HYD_2</v>
      </c>
      <c r="W62" t="s">
        <v>45</v>
      </c>
      <c r="X62" t="str">
        <f t="shared" ca="1" si="10"/>
        <v>EBldRateStep_HYD_2_IND</v>
      </c>
      <c r="Y62" s="11">
        <f t="shared" si="11"/>
        <v>846.35396832000004</v>
      </c>
    </row>
    <row r="63" spans="1:25" x14ac:dyDescent="0.35">
      <c r="A63" t="s">
        <v>95</v>
      </c>
      <c r="B63" t="s">
        <v>3110</v>
      </c>
      <c r="C63" t="s">
        <v>45</v>
      </c>
      <c r="D63" t="s">
        <v>290</v>
      </c>
      <c r="E63" t="s">
        <v>96</v>
      </c>
      <c r="F63" t="s">
        <v>96</v>
      </c>
      <c r="G63" t="s">
        <v>96</v>
      </c>
      <c r="H63">
        <v>2010</v>
      </c>
      <c r="I63" t="s">
        <v>96</v>
      </c>
      <c r="J63" t="s">
        <v>97</v>
      </c>
      <c r="K63" t="s">
        <v>96</v>
      </c>
      <c r="L63" t="s">
        <v>96</v>
      </c>
      <c r="M63">
        <v>2185</v>
      </c>
      <c r="O63" s="12" t="str">
        <f t="shared" si="0"/>
        <v>AFR</v>
      </c>
      <c r="P63" s="12" t="str">
        <f t="shared" si="1"/>
        <v>E_WON</v>
      </c>
      <c r="R63">
        <f t="shared" si="8"/>
        <v>8</v>
      </c>
      <c r="T63" t="str">
        <f t="shared" si="9"/>
        <v>EBldRateStep_HYD_3</v>
      </c>
      <c r="W63" t="s">
        <v>45</v>
      </c>
      <c r="X63" t="str">
        <f t="shared" ca="1" si="10"/>
        <v>EBldRateStep_HYD_3_IND</v>
      </c>
      <c r="Y63" s="11">
        <f t="shared" si="11"/>
        <v>2720.4234696000003</v>
      </c>
    </row>
    <row r="64" spans="1:25" x14ac:dyDescent="0.35">
      <c r="A64" t="s">
        <v>95</v>
      </c>
      <c r="B64" t="s">
        <v>3110</v>
      </c>
      <c r="C64" t="s">
        <v>45</v>
      </c>
      <c r="D64" t="s">
        <v>291</v>
      </c>
      <c r="E64" t="s">
        <v>96</v>
      </c>
      <c r="F64" t="s">
        <v>96</v>
      </c>
      <c r="G64" t="s">
        <v>96</v>
      </c>
      <c r="H64">
        <v>2010</v>
      </c>
      <c r="I64" t="s">
        <v>96</v>
      </c>
      <c r="J64" t="s">
        <v>97</v>
      </c>
      <c r="K64" t="s">
        <v>96</v>
      </c>
      <c r="L64" t="s">
        <v>96</v>
      </c>
      <c r="M64">
        <v>2185</v>
      </c>
      <c r="O64" s="12" t="str">
        <f t="shared" si="0"/>
        <v>AFR</v>
      </c>
      <c r="P64" s="12" t="str">
        <f t="shared" si="1"/>
        <v>E_WON</v>
      </c>
      <c r="R64">
        <f t="shared" si="8"/>
        <v>8</v>
      </c>
      <c r="T64" t="str">
        <f t="shared" si="9"/>
        <v>EBldRateStep_Sol_2</v>
      </c>
      <c r="W64" t="s">
        <v>45</v>
      </c>
      <c r="X64" t="str">
        <f t="shared" ca="1" si="10"/>
        <v>EBldRateStep_Sol_2_IND</v>
      </c>
      <c r="Y64" s="11">
        <f t="shared" si="11"/>
        <v>327.59999999999997</v>
      </c>
    </row>
    <row r="65" spans="1:25" x14ac:dyDescent="0.35">
      <c r="A65" t="s">
        <v>95</v>
      </c>
      <c r="B65" t="s">
        <v>3110</v>
      </c>
      <c r="C65" t="s">
        <v>45</v>
      </c>
      <c r="D65" t="s">
        <v>298</v>
      </c>
      <c r="E65" t="s">
        <v>96</v>
      </c>
      <c r="F65" t="s">
        <v>96</v>
      </c>
      <c r="G65" t="s">
        <v>96</v>
      </c>
      <c r="H65">
        <v>2010</v>
      </c>
      <c r="I65" t="s">
        <v>96</v>
      </c>
      <c r="J65" t="s">
        <v>97</v>
      </c>
      <c r="K65" t="s">
        <v>96</v>
      </c>
      <c r="L65" t="s">
        <v>96</v>
      </c>
      <c r="M65">
        <v>2185</v>
      </c>
      <c r="O65" s="12" t="str">
        <f t="shared" si="0"/>
        <v>AFR</v>
      </c>
      <c r="P65" s="12" t="str">
        <f t="shared" si="1"/>
        <v>E_WON</v>
      </c>
      <c r="R65">
        <f t="shared" si="8"/>
        <v>8</v>
      </c>
      <c r="T65" t="str">
        <f t="shared" si="9"/>
        <v>EBldRateStep_Sol_3</v>
      </c>
      <c r="W65" t="s">
        <v>45</v>
      </c>
      <c r="X65" t="str">
        <f t="shared" ca="1" si="10"/>
        <v>EBldRateStep_Sol_3_IND</v>
      </c>
      <c r="Y65" s="11">
        <f t="shared" si="11"/>
        <v>1053</v>
      </c>
    </row>
    <row r="66" spans="1:25" x14ac:dyDescent="0.35">
      <c r="A66" t="s">
        <v>95</v>
      </c>
      <c r="B66" t="s">
        <v>3110</v>
      </c>
      <c r="C66" t="s">
        <v>45</v>
      </c>
      <c r="D66" t="s">
        <v>300</v>
      </c>
      <c r="E66" t="s">
        <v>96</v>
      </c>
      <c r="F66" t="s">
        <v>96</v>
      </c>
      <c r="G66" t="s">
        <v>96</v>
      </c>
      <c r="H66">
        <v>2010</v>
      </c>
      <c r="I66" t="s">
        <v>96</v>
      </c>
      <c r="J66" t="s">
        <v>97</v>
      </c>
      <c r="K66" t="s">
        <v>96</v>
      </c>
      <c r="L66" t="s">
        <v>96</v>
      </c>
      <c r="M66">
        <v>2185</v>
      </c>
      <c r="O66" s="12" t="str">
        <f t="shared" si="0"/>
        <v>AFR</v>
      </c>
      <c r="P66" s="12" t="str">
        <f t="shared" si="1"/>
        <v>E_WON</v>
      </c>
      <c r="R66">
        <f t="shared" si="8"/>
        <v>8</v>
      </c>
      <c r="T66" t="str">
        <f t="shared" si="9"/>
        <v>EBldRateStep_Win_2</v>
      </c>
      <c r="W66" t="s">
        <v>45</v>
      </c>
      <c r="X66" t="str">
        <f t="shared" ca="1" si="10"/>
        <v>EBldRateStep_Win_2_IND</v>
      </c>
      <c r="Y66" s="11">
        <f t="shared" si="11"/>
        <v>538.24615384615379</v>
      </c>
    </row>
    <row r="67" spans="1:25" x14ac:dyDescent="0.35">
      <c r="A67" t="s">
        <v>95</v>
      </c>
      <c r="B67" t="s">
        <v>3110</v>
      </c>
      <c r="C67" t="s">
        <v>45</v>
      </c>
      <c r="D67" t="s">
        <v>302</v>
      </c>
      <c r="E67" t="s">
        <v>96</v>
      </c>
      <c r="F67" t="s">
        <v>96</v>
      </c>
      <c r="G67" t="s">
        <v>96</v>
      </c>
      <c r="H67">
        <v>2010</v>
      </c>
      <c r="I67" t="s">
        <v>96</v>
      </c>
      <c r="J67" t="s">
        <v>97</v>
      </c>
      <c r="K67" t="s">
        <v>96</v>
      </c>
      <c r="L67" t="s">
        <v>96</v>
      </c>
      <c r="M67">
        <v>2185</v>
      </c>
      <c r="O67" s="12" t="str">
        <f t="shared" ref="O67:O130" si="12">LEFT(B67,3)</f>
        <v>AFR</v>
      </c>
      <c r="P67" s="12" t="str">
        <f t="shared" ref="P67:P130" si="13">LEFT(D67,5)</f>
        <v>E_WON</v>
      </c>
      <c r="R67">
        <f t="shared" si="8"/>
        <v>8</v>
      </c>
      <c r="T67" t="str">
        <f t="shared" si="9"/>
        <v>EBldRateStep_Win_3</v>
      </c>
      <c r="W67" t="s">
        <v>45</v>
      </c>
      <c r="X67" t="str">
        <f t="shared" ca="1" si="10"/>
        <v>EBldRateStep_Win_3_IND</v>
      </c>
      <c r="Y67" s="11">
        <f t="shared" si="11"/>
        <v>1730.0769230769231</v>
      </c>
    </row>
    <row r="68" spans="1:25" x14ac:dyDescent="0.35">
      <c r="A68" t="s">
        <v>95</v>
      </c>
      <c r="B68" t="s">
        <v>3110</v>
      </c>
      <c r="C68" t="s">
        <v>45</v>
      </c>
      <c r="D68" t="s">
        <v>305</v>
      </c>
      <c r="E68" t="s">
        <v>96</v>
      </c>
      <c r="F68" t="s">
        <v>96</v>
      </c>
      <c r="G68" t="s">
        <v>96</v>
      </c>
      <c r="H68">
        <v>2010</v>
      </c>
      <c r="I68" t="s">
        <v>96</v>
      </c>
      <c r="J68" t="s">
        <v>97</v>
      </c>
      <c r="K68" t="s">
        <v>96</v>
      </c>
      <c r="L68" t="s">
        <v>96</v>
      </c>
      <c r="M68">
        <v>2185</v>
      </c>
      <c r="O68" s="12" t="str">
        <f t="shared" si="12"/>
        <v>AFR</v>
      </c>
      <c r="P68" s="12" t="str">
        <f t="shared" si="13"/>
        <v>E_WON</v>
      </c>
      <c r="R68">
        <f t="shared" si="8"/>
        <v>9</v>
      </c>
      <c r="T68" t="str">
        <f t="shared" si="9"/>
        <v>EBldRateStep_HYD_2</v>
      </c>
      <c r="W68" t="s">
        <v>45</v>
      </c>
      <c r="X68" t="str">
        <f t="shared" ca="1" si="10"/>
        <v>EBldRateStep_HYD_2_JPN</v>
      </c>
      <c r="Y68" s="11">
        <f t="shared" si="11"/>
        <v>3681.5101679999993</v>
      </c>
    </row>
    <row r="69" spans="1:25" x14ac:dyDescent="0.35">
      <c r="A69" t="s">
        <v>95</v>
      </c>
      <c r="B69" t="s">
        <v>3110</v>
      </c>
      <c r="C69" t="s">
        <v>45</v>
      </c>
      <c r="D69" t="s">
        <v>307</v>
      </c>
      <c r="E69" t="s">
        <v>96</v>
      </c>
      <c r="F69" t="s">
        <v>96</v>
      </c>
      <c r="G69" t="s">
        <v>96</v>
      </c>
      <c r="H69">
        <v>2010</v>
      </c>
      <c r="I69" t="s">
        <v>96</v>
      </c>
      <c r="J69" t="s">
        <v>97</v>
      </c>
      <c r="K69" t="s">
        <v>96</v>
      </c>
      <c r="L69" t="s">
        <v>96</v>
      </c>
      <c r="M69">
        <v>2185</v>
      </c>
      <c r="O69" s="12" t="str">
        <f t="shared" si="12"/>
        <v>AFR</v>
      </c>
      <c r="P69" s="12" t="str">
        <f t="shared" si="13"/>
        <v>E_WON</v>
      </c>
      <c r="R69">
        <f t="shared" si="8"/>
        <v>9</v>
      </c>
      <c r="T69" t="str">
        <f t="shared" si="9"/>
        <v>EBldRateStep_HYD_3</v>
      </c>
      <c r="W69" t="s">
        <v>45</v>
      </c>
      <c r="X69" t="str">
        <f t="shared" ca="1" si="10"/>
        <v>EBldRateStep_HYD_3_JPN</v>
      </c>
      <c r="Y69" s="11">
        <f t="shared" si="11"/>
        <v>11833.42554</v>
      </c>
    </row>
    <row r="70" spans="1:25" x14ac:dyDescent="0.35">
      <c r="A70" t="s">
        <v>95</v>
      </c>
      <c r="B70" t="s">
        <v>3110</v>
      </c>
      <c r="C70" t="s">
        <v>45</v>
      </c>
      <c r="D70" t="s">
        <v>311</v>
      </c>
      <c r="E70" t="s">
        <v>96</v>
      </c>
      <c r="F70" t="s">
        <v>96</v>
      </c>
      <c r="G70" t="s">
        <v>96</v>
      </c>
      <c r="H70">
        <v>2010</v>
      </c>
      <c r="I70" t="s">
        <v>96</v>
      </c>
      <c r="J70" t="s">
        <v>97</v>
      </c>
      <c r="K70" t="s">
        <v>96</v>
      </c>
      <c r="L70" t="s">
        <v>96</v>
      </c>
      <c r="M70">
        <v>2185</v>
      </c>
      <c r="O70" s="12" t="str">
        <f t="shared" si="12"/>
        <v>AFR</v>
      </c>
      <c r="P70" s="12" t="str">
        <f t="shared" si="13"/>
        <v>E_WON</v>
      </c>
      <c r="R70">
        <f t="shared" si="8"/>
        <v>9</v>
      </c>
      <c r="T70" t="str">
        <f t="shared" si="9"/>
        <v>EBldRateStep_Sol_2</v>
      </c>
      <c r="W70" t="s">
        <v>45</v>
      </c>
      <c r="X70" t="str">
        <f t="shared" ca="1" si="10"/>
        <v>EBldRateStep_Sol_2_JPN</v>
      </c>
      <c r="Y70" s="11">
        <f t="shared" si="11"/>
        <v>1201.2</v>
      </c>
    </row>
    <row r="71" spans="1:25" x14ac:dyDescent="0.35">
      <c r="A71" t="s">
        <v>95</v>
      </c>
      <c r="B71" t="s">
        <v>3110</v>
      </c>
      <c r="C71" t="s">
        <v>45</v>
      </c>
      <c r="D71" t="s">
        <v>313</v>
      </c>
      <c r="E71" t="s">
        <v>96</v>
      </c>
      <c r="F71" t="s">
        <v>96</v>
      </c>
      <c r="G71" t="s">
        <v>96</v>
      </c>
      <c r="H71">
        <v>2010</v>
      </c>
      <c r="I71" t="s">
        <v>96</v>
      </c>
      <c r="J71" t="s">
        <v>97</v>
      </c>
      <c r="K71" t="s">
        <v>96</v>
      </c>
      <c r="L71" t="s">
        <v>96</v>
      </c>
      <c r="M71">
        <v>2185</v>
      </c>
      <c r="O71" s="12" t="str">
        <f t="shared" si="12"/>
        <v>AFR</v>
      </c>
      <c r="P71" s="12" t="str">
        <f t="shared" si="13"/>
        <v>E_WON</v>
      </c>
      <c r="R71">
        <f t="shared" si="8"/>
        <v>9</v>
      </c>
      <c r="T71" t="str">
        <f t="shared" si="9"/>
        <v>EBldRateStep_Sol_3</v>
      </c>
      <c r="W71" t="s">
        <v>45</v>
      </c>
      <c r="X71" t="str">
        <f t="shared" ca="1" si="10"/>
        <v>EBldRateStep_Sol_3_JPN</v>
      </c>
      <c r="Y71" s="11">
        <f t="shared" si="11"/>
        <v>3861.0000000000005</v>
      </c>
    </row>
    <row r="72" spans="1:25" x14ac:dyDescent="0.35">
      <c r="A72" t="s">
        <v>95</v>
      </c>
      <c r="B72" t="s">
        <v>3110</v>
      </c>
      <c r="C72" t="s">
        <v>45</v>
      </c>
      <c r="D72" t="s">
        <v>324</v>
      </c>
      <c r="E72" t="s">
        <v>96</v>
      </c>
      <c r="F72" t="s">
        <v>96</v>
      </c>
      <c r="G72" t="s">
        <v>96</v>
      </c>
      <c r="H72">
        <v>2010</v>
      </c>
      <c r="I72" t="s">
        <v>96</v>
      </c>
      <c r="J72" t="s">
        <v>97</v>
      </c>
      <c r="K72" t="s">
        <v>96</v>
      </c>
      <c r="L72" t="s">
        <v>96</v>
      </c>
      <c r="M72">
        <v>2185</v>
      </c>
      <c r="O72" s="12" t="str">
        <f t="shared" si="12"/>
        <v>AFR</v>
      </c>
      <c r="P72" s="12" t="str">
        <f t="shared" si="13"/>
        <v>E_WON</v>
      </c>
      <c r="R72">
        <f t="shared" si="8"/>
        <v>9</v>
      </c>
      <c r="T72" t="str">
        <f t="shared" si="9"/>
        <v>EBldRateStep_Win_2</v>
      </c>
      <c r="W72" t="s">
        <v>45</v>
      </c>
      <c r="X72" t="str">
        <f t="shared" ca="1" si="10"/>
        <v>EBldRateStep_Win_2_JPN</v>
      </c>
      <c r="Y72" s="11">
        <f t="shared" si="11"/>
        <v>1405.6875</v>
      </c>
    </row>
    <row r="73" spans="1:25" x14ac:dyDescent="0.35">
      <c r="A73" t="s">
        <v>95</v>
      </c>
      <c r="B73" t="s">
        <v>3110</v>
      </c>
      <c r="C73" t="s">
        <v>45</v>
      </c>
      <c r="D73" t="s">
        <v>325</v>
      </c>
      <c r="E73" t="s">
        <v>96</v>
      </c>
      <c r="F73" t="s">
        <v>96</v>
      </c>
      <c r="G73" t="s">
        <v>96</v>
      </c>
      <c r="H73">
        <v>2010</v>
      </c>
      <c r="I73" t="s">
        <v>96</v>
      </c>
      <c r="J73" t="s">
        <v>97</v>
      </c>
      <c r="K73" t="s">
        <v>96</v>
      </c>
      <c r="L73" t="s">
        <v>96</v>
      </c>
      <c r="M73">
        <v>2185</v>
      </c>
      <c r="O73" s="12" t="str">
        <f t="shared" si="12"/>
        <v>AFR</v>
      </c>
      <c r="P73" s="12" t="str">
        <f t="shared" si="13"/>
        <v>E_WON</v>
      </c>
      <c r="R73">
        <f t="shared" si="8"/>
        <v>9</v>
      </c>
      <c r="T73" t="str">
        <f t="shared" si="9"/>
        <v>EBldRateStep_Win_3</v>
      </c>
      <c r="W73" t="s">
        <v>45</v>
      </c>
      <c r="X73" t="str">
        <f t="shared" ca="1" si="10"/>
        <v>EBldRateStep_Win_3_JPN</v>
      </c>
      <c r="Y73" s="11">
        <f t="shared" si="11"/>
        <v>4518.28125</v>
      </c>
    </row>
    <row r="74" spans="1:25" x14ac:dyDescent="0.35">
      <c r="A74" t="s">
        <v>95</v>
      </c>
      <c r="B74" t="s">
        <v>3110</v>
      </c>
      <c r="C74" t="s">
        <v>45</v>
      </c>
      <c r="D74" t="s">
        <v>326</v>
      </c>
      <c r="E74" t="s">
        <v>96</v>
      </c>
      <c r="F74" t="s">
        <v>96</v>
      </c>
      <c r="G74" t="s">
        <v>96</v>
      </c>
      <c r="H74">
        <v>2010</v>
      </c>
      <c r="I74" t="s">
        <v>96</v>
      </c>
      <c r="J74" t="s">
        <v>97</v>
      </c>
      <c r="K74" t="s">
        <v>96</v>
      </c>
      <c r="L74" t="s">
        <v>96</v>
      </c>
      <c r="M74">
        <v>2185</v>
      </c>
      <c r="O74" s="12" t="str">
        <f t="shared" si="12"/>
        <v>AFR</v>
      </c>
      <c r="P74" s="12" t="str">
        <f t="shared" si="13"/>
        <v>E_WON</v>
      </c>
      <c r="R74">
        <f t="shared" si="8"/>
        <v>10</v>
      </c>
      <c r="T74" t="str">
        <f t="shared" si="9"/>
        <v>EBldRateStep_HYD_2</v>
      </c>
      <c r="W74" t="s">
        <v>45</v>
      </c>
      <c r="X74" t="str">
        <f t="shared" ca="1" si="10"/>
        <v>EBldRateStep_HYD_2_MID</v>
      </c>
      <c r="Y74" s="11">
        <f t="shared" si="11"/>
        <v>716.53932069230007</v>
      </c>
    </row>
    <row r="75" spans="1:25" x14ac:dyDescent="0.35">
      <c r="A75" t="s">
        <v>95</v>
      </c>
      <c r="B75" t="s">
        <v>3110</v>
      </c>
      <c r="C75" t="s">
        <v>45</v>
      </c>
      <c r="D75" t="s">
        <v>329</v>
      </c>
      <c r="E75" t="s">
        <v>96</v>
      </c>
      <c r="F75" t="s">
        <v>96</v>
      </c>
      <c r="G75" t="s">
        <v>96</v>
      </c>
      <c r="H75">
        <v>2010</v>
      </c>
      <c r="I75" t="s">
        <v>96</v>
      </c>
      <c r="J75" t="s">
        <v>97</v>
      </c>
      <c r="K75" t="s">
        <v>96</v>
      </c>
      <c r="L75" t="s">
        <v>96</v>
      </c>
      <c r="M75">
        <v>2185</v>
      </c>
      <c r="O75" s="12" t="str">
        <f t="shared" si="12"/>
        <v>AFR</v>
      </c>
      <c r="P75" s="12" t="str">
        <f t="shared" si="13"/>
        <v>E_WON</v>
      </c>
      <c r="R75">
        <f t="shared" si="8"/>
        <v>10</v>
      </c>
      <c r="T75" t="str">
        <f t="shared" si="9"/>
        <v>EBldRateStep_HYD_3</v>
      </c>
      <c r="W75" t="s">
        <v>45</v>
      </c>
      <c r="X75" t="str">
        <f t="shared" ca="1" si="10"/>
        <v>EBldRateStep_HYD_3_MID</v>
      </c>
      <c r="Y75" s="11">
        <f t="shared" si="11"/>
        <v>2303.1621022252507</v>
      </c>
    </row>
    <row r="76" spans="1:25" x14ac:dyDescent="0.35">
      <c r="A76" t="s">
        <v>95</v>
      </c>
      <c r="B76" t="s">
        <v>3110</v>
      </c>
      <c r="C76" t="s">
        <v>45</v>
      </c>
      <c r="D76" t="s">
        <v>331</v>
      </c>
      <c r="E76" t="s">
        <v>96</v>
      </c>
      <c r="F76" t="s">
        <v>96</v>
      </c>
      <c r="G76" t="s">
        <v>96</v>
      </c>
      <c r="H76">
        <v>2010</v>
      </c>
      <c r="I76" t="s">
        <v>96</v>
      </c>
      <c r="J76" t="s">
        <v>97</v>
      </c>
      <c r="K76" t="s">
        <v>96</v>
      </c>
      <c r="L76" t="s">
        <v>96</v>
      </c>
      <c r="M76">
        <v>2185</v>
      </c>
      <c r="O76" s="12" t="str">
        <f t="shared" si="12"/>
        <v>AFR</v>
      </c>
      <c r="P76" s="12" t="str">
        <f t="shared" si="13"/>
        <v>E_WON</v>
      </c>
      <c r="R76">
        <f t="shared" si="8"/>
        <v>10</v>
      </c>
      <c r="T76" t="str">
        <f t="shared" si="9"/>
        <v>EBldRateStep_Sol_2</v>
      </c>
      <c r="W76" t="s">
        <v>45</v>
      </c>
      <c r="X76" t="str">
        <f t="shared" ca="1" si="10"/>
        <v>EBldRateStep_Sol_2_MID</v>
      </c>
      <c r="Y76" s="11">
        <f t="shared" si="11"/>
        <v>627.10822222222225</v>
      </c>
    </row>
    <row r="77" spans="1:25" x14ac:dyDescent="0.35">
      <c r="A77" t="s">
        <v>95</v>
      </c>
      <c r="B77" t="s">
        <v>3110</v>
      </c>
      <c r="C77" t="s">
        <v>45</v>
      </c>
      <c r="D77" t="s">
        <v>333</v>
      </c>
      <c r="E77" t="s">
        <v>96</v>
      </c>
      <c r="F77" t="s">
        <v>96</v>
      </c>
      <c r="G77" t="s">
        <v>96</v>
      </c>
      <c r="H77">
        <v>2010</v>
      </c>
      <c r="I77" t="s">
        <v>96</v>
      </c>
      <c r="J77" t="s">
        <v>97</v>
      </c>
      <c r="K77" t="s">
        <v>96</v>
      </c>
      <c r="L77" t="s">
        <v>96</v>
      </c>
      <c r="M77">
        <v>2185</v>
      </c>
      <c r="O77" s="12" t="str">
        <f t="shared" si="12"/>
        <v>AFR</v>
      </c>
      <c r="P77" s="12" t="str">
        <f t="shared" si="13"/>
        <v>E_WON</v>
      </c>
      <c r="R77">
        <f t="shared" si="8"/>
        <v>10</v>
      </c>
      <c r="T77" t="str">
        <f t="shared" si="9"/>
        <v>EBldRateStep_Sol_3</v>
      </c>
      <c r="W77" t="s">
        <v>45</v>
      </c>
      <c r="X77" t="str">
        <f t="shared" ca="1" si="10"/>
        <v>EBldRateStep_Sol_3_MID</v>
      </c>
      <c r="Y77" s="11">
        <f t="shared" si="11"/>
        <v>2015.7050000000004</v>
      </c>
    </row>
    <row r="78" spans="1:25" x14ac:dyDescent="0.35">
      <c r="A78" t="s">
        <v>95</v>
      </c>
      <c r="B78" t="s">
        <v>3110</v>
      </c>
      <c r="C78" t="s">
        <v>45</v>
      </c>
      <c r="D78" t="s">
        <v>335</v>
      </c>
      <c r="E78" t="s">
        <v>96</v>
      </c>
      <c r="F78" t="s">
        <v>96</v>
      </c>
      <c r="G78" t="s">
        <v>96</v>
      </c>
      <c r="H78">
        <v>2010</v>
      </c>
      <c r="I78" t="s">
        <v>96</v>
      </c>
      <c r="J78" t="s">
        <v>97</v>
      </c>
      <c r="K78" t="s">
        <v>96</v>
      </c>
      <c r="L78" t="s">
        <v>96</v>
      </c>
      <c r="M78">
        <v>2185</v>
      </c>
      <c r="O78" s="12" t="str">
        <f t="shared" si="12"/>
        <v>AFR</v>
      </c>
      <c r="P78" s="12" t="str">
        <f t="shared" si="13"/>
        <v>E_WON</v>
      </c>
      <c r="R78">
        <f t="shared" si="8"/>
        <v>10</v>
      </c>
      <c r="T78" t="str">
        <f t="shared" si="9"/>
        <v>EBldRateStep_Win_2</v>
      </c>
      <c r="W78" t="s">
        <v>45</v>
      </c>
      <c r="X78" t="str">
        <f t="shared" ca="1" si="10"/>
        <v>EBldRateStep_Win_2_MID</v>
      </c>
      <c r="Y78" s="11">
        <f t="shared" si="11"/>
        <v>1400.34</v>
      </c>
    </row>
    <row r="79" spans="1:25" x14ac:dyDescent="0.35">
      <c r="A79" t="s">
        <v>95</v>
      </c>
      <c r="B79" t="s">
        <v>3110</v>
      </c>
      <c r="C79" t="s">
        <v>45</v>
      </c>
      <c r="D79" t="s">
        <v>337</v>
      </c>
      <c r="E79" t="s">
        <v>96</v>
      </c>
      <c r="F79" t="s">
        <v>96</v>
      </c>
      <c r="G79" t="s">
        <v>96</v>
      </c>
      <c r="H79">
        <v>2010</v>
      </c>
      <c r="I79" t="s">
        <v>96</v>
      </c>
      <c r="J79" t="s">
        <v>97</v>
      </c>
      <c r="K79" t="s">
        <v>96</v>
      </c>
      <c r="L79" t="s">
        <v>96</v>
      </c>
      <c r="M79">
        <v>2185</v>
      </c>
      <c r="O79" s="12" t="str">
        <f t="shared" si="12"/>
        <v>AFR</v>
      </c>
      <c r="P79" s="12" t="str">
        <f t="shared" si="13"/>
        <v>E_WON</v>
      </c>
      <c r="R79">
        <f t="shared" si="8"/>
        <v>10</v>
      </c>
      <c r="T79" t="str">
        <f t="shared" si="9"/>
        <v>EBldRateStep_Win_3</v>
      </c>
      <c r="W79" t="s">
        <v>45</v>
      </c>
      <c r="X79" t="str">
        <f t="shared" ca="1" si="10"/>
        <v>EBldRateStep_Win_3_MID</v>
      </c>
      <c r="Y79" s="11">
        <f t="shared" si="11"/>
        <v>4501.0928571428576</v>
      </c>
    </row>
    <row r="80" spans="1:25" x14ac:dyDescent="0.35">
      <c r="A80" t="s">
        <v>95</v>
      </c>
      <c r="B80" t="s">
        <v>3110</v>
      </c>
      <c r="C80" t="s">
        <v>45</v>
      </c>
      <c r="D80" t="s">
        <v>339</v>
      </c>
      <c r="E80" t="s">
        <v>96</v>
      </c>
      <c r="F80" t="s">
        <v>96</v>
      </c>
      <c r="G80" t="s">
        <v>96</v>
      </c>
      <c r="H80">
        <v>2010</v>
      </c>
      <c r="I80" t="s">
        <v>96</v>
      </c>
      <c r="J80" t="s">
        <v>97</v>
      </c>
      <c r="K80" t="s">
        <v>96</v>
      </c>
      <c r="L80" t="s">
        <v>96</v>
      </c>
      <c r="M80">
        <v>2185</v>
      </c>
      <c r="O80" s="12" t="str">
        <f t="shared" si="12"/>
        <v>AFR</v>
      </c>
      <c r="P80" s="12" t="str">
        <f t="shared" si="13"/>
        <v>E_WON</v>
      </c>
      <c r="R80">
        <f t="shared" si="8"/>
        <v>11</v>
      </c>
      <c r="T80" t="str">
        <f t="shared" si="9"/>
        <v>EBldRateStep_HYD_2</v>
      </c>
      <c r="W80" t="s">
        <v>45</v>
      </c>
      <c r="X80" t="str">
        <f t="shared" ca="1" si="10"/>
        <v>EBldRateStep_HYD_2_MXC</v>
      </c>
      <c r="Y80" s="11">
        <f t="shared" si="11"/>
        <v>1339.0645220400002</v>
      </c>
    </row>
    <row r="81" spans="1:25" x14ac:dyDescent="0.35">
      <c r="A81" t="s">
        <v>95</v>
      </c>
      <c r="B81" t="s">
        <v>3110</v>
      </c>
      <c r="C81" t="s">
        <v>45</v>
      </c>
      <c r="D81" t="s">
        <v>343</v>
      </c>
      <c r="E81" t="s">
        <v>96</v>
      </c>
      <c r="F81" t="s">
        <v>96</v>
      </c>
      <c r="G81" t="s">
        <v>96</v>
      </c>
      <c r="H81">
        <v>2010</v>
      </c>
      <c r="I81" t="s">
        <v>96</v>
      </c>
      <c r="J81" t="s">
        <v>97</v>
      </c>
      <c r="K81" t="s">
        <v>96</v>
      </c>
      <c r="L81" t="s">
        <v>96</v>
      </c>
      <c r="M81">
        <v>2185</v>
      </c>
      <c r="O81" s="12" t="str">
        <f t="shared" si="12"/>
        <v>AFR</v>
      </c>
      <c r="P81" s="12" t="str">
        <f t="shared" si="13"/>
        <v>E_WON</v>
      </c>
      <c r="R81">
        <f t="shared" si="8"/>
        <v>11</v>
      </c>
      <c r="T81" t="str">
        <f t="shared" si="9"/>
        <v>EBldRateStep_HYD_3</v>
      </c>
      <c r="W81" t="s">
        <v>45</v>
      </c>
      <c r="X81" t="str">
        <f t="shared" ca="1" si="10"/>
        <v>EBldRateStep_HYD_3_MXC</v>
      </c>
      <c r="Y81" s="11">
        <f t="shared" si="11"/>
        <v>4304.1359637000005</v>
      </c>
    </row>
    <row r="82" spans="1:25" x14ac:dyDescent="0.35">
      <c r="A82" t="s">
        <v>95</v>
      </c>
      <c r="B82" t="s">
        <v>3110</v>
      </c>
      <c r="C82" t="s">
        <v>45</v>
      </c>
      <c r="D82" t="s">
        <v>344</v>
      </c>
      <c r="E82" t="s">
        <v>96</v>
      </c>
      <c r="F82" t="s">
        <v>96</v>
      </c>
      <c r="G82" t="s">
        <v>96</v>
      </c>
      <c r="H82">
        <v>2010</v>
      </c>
      <c r="I82" t="s">
        <v>96</v>
      </c>
      <c r="J82" t="s">
        <v>97</v>
      </c>
      <c r="K82" t="s">
        <v>96</v>
      </c>
      <c r="L82" t="s">
        <v>96</v>
      </c>
      <c r="M82">
        <v>2185</v>
      </c>
      <c r="O82" s="12" t="str">
        <f t="shared" si="12"/>
        <v>AFR</v>
      </c>
      <c r="P82" s="12" t="str">
        <f t="shared" si="13"/>
        <v>E_WON</v>
      </c>
      <c r="R82">
        <f t="shared" si="8"/>
        <v>11</v>
      </c>
      <c r="T82" t="str">
        <f t="shared" si="9"/>
        <v>EBldRateStep_Sol_2</v>
      </c>
      <c r="W82" t="s">
        <v>45</v>
      </c>
      <c r="X82" t="str">
        <f t="shared" ca="1" si="10"/>
        <v>EBldRateStep_Sol_2_MXC</v>
      </c>
      <c r="Y82" s="11">
        <f t="shared" si="11"/>
        <v>871.46284615384627</v>
      </c>
    </row>
    <row r="83" spans="1:25" x14ac:dyDescent="0.35">
      <c r="A83" t="s">
        <v>95</v>
      </c>
      <c r="B83" t="s">
        <v>3110</v>
      </c>
      <c r="C83" t="s">
        <v>45</v>
      </c>
      <c r="D83" t="s">
        <v>353</v>
      </c>
      <c r="E83" t="s">
        <v>96</v>
      </c>
      <c r="F83" t="s">
        <v>96</v>
      </c>
      <c r="G83" t="s">
        <v>96</v>
      </c>
      <c r="H83">
        <v>2010</v>
      </c>
      <c r="I83" t="s">
        <v>96</v>
      </c>
      <c r="J83" t="s">
        <v>97</v>
      </c>
      <c r="K83" t="s">
        <v>96</v>
      </c>
      <c r="L83" t="s">
        <v>96</v>
      </c>
      <c r="M83">
        <v>2185</v>
      </c>
      <c r="O83" s="12" t="str">
        <f t="shared" si="12"/>
        <v>AFR</v>
      </c>
      <c r="P83" s="12" t="str">
        <f t="shared" si="13"/>
        <v>E_WON</v>
      </c>
      <c r="R83">
        <f t="shared" si="8"/>
        <v>11</v>
      </c>
      <c r="T83" t="str">
        <f t="shared" si="9"/>
        <v>EBldRateStep_Sol_3</v>
      </c>
      <c r="W83" t="s">
        <v>45</v>
      </c>
      <c r="X83" t="str">
        <f t="shared" ca="1" si="10"/>
        <v>EBldRateStep_Sol_3_MXC</v>
      </c>
      <c r="Y83" s="11">
        <f t="shared" si="11"/>
        <v>2801.1305769230776</v>
      </c>
    </row>
    <row r="84" spans="1:25" x14ac:dyDescent="0.35">
      <c r="A84" t="s">
        <v>95</v>
      </c>
      <c r="B84" t="s">
        <v>3110</v>
      </c>
      <c r="C84" t="s">
        <v>45</v>
      </c>
      <c r="D84" t="s">
        <v>354</v>
      </c>
      <c r="E84" t="s">
        <v>96</v>
      </c>
      <c r="F84" t="s">
        <v>96</v>
      </c>
      <c r="G84" t="s">
        <v>96</v>
      </c>
      <c r="H84">
        <v>2010</v>
      </c>
      <c r="I84" t="s">
        <v>96</v>
      </c>
      <c r="J84" t="s">
        <v>97</v>
      </c>
      <c r="K84" t="s">
        <v>96</v>
      </c>
      <c r="L84" t="s">
        <v>96</v>
      </c>
      <c r="M84">
        <v>2185</v>
      </c>
      <c r="O84" s="12" t="str">
        <f t="shared" si="12"/>
        <v>AFR</v>
      </c>
      <c r="P84" s="12" t="str">
        <f t="shared" si="13"/>
        <v>E_WON</v>
      </c>
      <c r="R84">
        <f t="shared" si="8"/>
        <v>11</v>
      </c>
      <c r="T84" t="str">
        <f t="shared" si="9"/>
        <v>EBldRateStep_Win_2</v>
      </c>
      <c r="W84" t="s">
        <v>45</v>
      </c>
      <c r="X84" t="str">
        <f t="shared" ref="X84:X115" ca="1" si="14">T84&amp;"_"&amp;OFFSET($U$7,0,R84)</f>
        <v>EBldRateStep_Win_2_MXC</v>
      </c>
      <c r="Y84" s="11">
        <f t="shared" ref="Y84:Y115" si="15">VLOOKUP(T84,$T$7:$AK$15,R84+2,FALSE)</f>
        <v>1056.6977272727272</v>
      </c>
    </row>
    <row r="85" spans="1:25" x14ac:dyDescent="0.35">
      <c r="A85" t="s">
        <v>95</v>
      </c>
      <c r="B85" t="s">
        <v>3110</v>
      </c>
      <c r="C85" t="s">
        <v>45</v>
      </c>
      <c r="D85" t="s">
        <v>355</v>
      </c>
      <c r="E85" t="s">
        <v>96</v>
      </c>
      <c r="F85" t="s">
        <v>96</v>
      </c>
      <c r="G85" t="s">
        <v>96</v>
      </c>
      <c r="H85">
        <v>2010</v>
      </c>
      <c r="I85" t="s">
        <v>96</v>
      </c>
      <c r="J85" t="s">
        <v>97</v>
      </c>
      <c r="K85" t="s">
        <v>96</v>
      </c>
      <c r="L85" t="s">
        <v>96</v>
      </c>
      <c r="M85">
        <v>2185</v>
      </c>
      <c r="O85" s="12" t="str">
        <f t="shared" si="12"/>
        <v>AFR</v>
      </c>
      <c r="P85" s="12" t="str">
        <f t="shared" si="13"/>
        <v>E_WON</v>
      </c>
      <c r="R85">
        <f t="shared" si="8"/>
        <v>11</v>
      </c>
      <c r="T85" t="str">
        <f t="shared" si="9"/>
        <v>EBldRateStep_Win_3</v>
      </c>
      <c r="W85" t="s">
        <v>45</v>
      </c>
      <c r="X85" t="str">
        <f t="shared" ca="1" si="14"/>
        <v>EBldRateStep_Win_3_MXC</v>
      </c>
      <c r="Y85" s="11">
        <f t="shared" si="15"/>
        <v>3396.528409090909</v>
      </c>
    </row>
    <row r="86" spans="1:25" x14ac:dyDescent="0.35">
      <c r="A86" t="s">
        <v>95</v>
      </c>
      <c r="B86" t="s">
        <v>3110</v>
      </c>
      <c r="C86" t="s">
        <v>45</v>
      </c>
      <c r="D86" t="s">
        <v>358</v>
      </c>
      <c r="E86" t="s">
        <v>96</v>
      </c>
      <c r="F86" t="s">
        <v>96</v>
      </c>
      <c r="G86" t="s">
        <v>96</v>
      </c>
      <c r="H86">
        <v>2010</v>
      </c>
      <c r="I86" t="s">
        <v>96</v>
      </c>
      <c r="J86" t="s">
        <v>97</v>
      </c>
      <c r="K86" t="s">
        <v>96</v>
      </c>
      <c r="L86" t="s">
        <v>96</v>
      </c>
      <c r="M86">
        <v>2185</v>
      </c>
      <c r="O86" s="12" t="str">
        <f t="shared" si="12"/>
        <v>AFR</v>
      </c>
      <c r="P86" s="12" t="str">
        <f t="shared" si="13"/>
        <v>E_WON</v>
      </c>
      <c r="R86">
        <f t="shared" si="8"/>
        <v>12</v>
      </c>
      <c r="T86" t="str">
        <f t="shared" si="9"/>
        <v>EBldRateStep_HYD_2</v>
      </c>
      <c r="W86" t="s">
        <v>45</v>
      </c>
      <c r="X86" t="str">
        <f t="shared" ca="1" si="14"/>
        <v>EBldRateStep_HYD_2_OAS</v>
      </c>
      <c r="Y86" s="11">
        <f t="shared" si="15"/>
        <v>1403.5405729523804</v>
      </c>
    </row>
    <row r="87" spans="1:25" x14ac:dyDescent="0.35">
      <c r="A87" t="s">
        <v>95</v>
      </c>
      <c r="B87" t="s">
        <v>3110</v>
      </c>
      <c r="C87" t="s">
        <v>45</v>
      </c>
      <c r="D87" t="s">
        <v>359</v>
      </c>
      <c r="E87" t="s">
        <v>96</v>
      </c>
      <c r="F87" t="s">
        <v>96</v>
      </c>
      <c r="G87" t="s">
        <v>96</v>
      </c>
      <c r="H87">
        <v>2010</v>
      </c>
      <c r="I87" t="s">
        <v>96</v>
      </c>
      <c r="J87" t="s">
        <v>97</v>
      </c>
      <c r="K87" t="s">
        <v>96</v>
      </c>
      <c r="L87" t="s">
        <v>96</v>
      </c>
      <c r="M87">
        <v>2185</v>
      </c>
      <c r="O87" s="12" t="str">
        <f t="shared" si="12"/>
        <v>AFR</v>
      </c>
      <c r="P87" s="12" t="str">
        <f t="shared" si="13"/>
        <v>E_WON</v>
      </c>
      <c r="R87">
        <f t="shared" si="8"/>
        <v>12</v>
      </c>
      <c r="T87" t="str">
        <f t="shared" si="9"/>
        <v>EBldRateStep_HYD_3</v>
      </c>
      <c r="W87" t="s">
        <v>45</v>
      </c>
      <c r="X87" t="str">
        <f t="shared" ca="1" si="14"/>
        <v>EBldRateStep_HYD_3_OAS</v>
      </c>
      <c r="Y87" s="11">
        <f t="shared" si="15"/>
        <v>4511.3804130612234</v>
      </c>
    </row>
    <row r="88" spans="1:25" x14ac:dyDescent="0.35">
      <c r="A88" t="s">
        <v>95</v>
      </c>
      <c r="B88" t="s">
        <v>3110</v>
      </c>
      <c r="C88" t="s">
        <v>45</v>
      </c>
      <c r="D88" t="s">
        <v>362</v>
      </c>
      <c r="E88" t="s">
        <v>96</v>
      </c>
      <c r="F88" t="s">
        <v>96</v>
      </c>
      <c r="G88" t="s">
        <v>96</v>
      </c>
      <c r="H88">
        <v>2010</v>
      </c>
      <c r="I88" t="s">
        <v>96</v>
      </c>
      <c r="J88" t="s">
        <v>97</v>
      </c>
      <c r="K88" t="s">
        <v>96</v>
      </c>
      <c r="L88" t="s">
        <v>96</v>
      </c>
      <c r="M88">
        <v>2185</v>
      </c>
      <c r="O88" s="12" t="str">
        <f t="shared" si="12"/>
        <v>AFR</v>
      </c>
      <c r="P88" s="12" t="str">
        <f t="shared" si="13"/>
        <v>E_WON</v>
      </c>
      <c r="R88">
        <f t="shared" si="8"/>
        <v>12</v>
      </c>
      <c r="T88" t="str">
        <f t="shared" si="9"/>
        <v>EBldRateStep_Sol_2</v>
      </c>
      <c r="W88" t="s">
        <v>45</v>
      </c>
      <c r="X88" t="str">
        <f t="shared" ca="1" si="14"/>
        <v>EBldRateStep_Sol_2_OAS</v>
      </c>
      <c r="Y88" s="11">
        <f t="shared" si="15"/>
        <v>650.31181651376153</v>
      </c>
    </row>
    <row r="89" spans="1:25" x14ac:dyDescent="0.35">
      <c r="A89" t="s">
        <v>95</v>
      </c>
      <c r="B89" t="s">
        <v>3110</v>
      </c>
      <c r="C89" t="s">
        <v>45</v>
      </c>
      <c r="D89" t="s">
        <v>365</v>
      </c>
      <c r="E89" t="s">
        <v>96</v>
      </c>
      <c r="F89" t="s">
        <v>96</v>
      </c>
      <c r="G89" t="s">
        <v>96</v>
      </c>
      <c r="H89">
        <v>2010</v>
      </c>
      <c r="I89" t="s">
        <v>96</v>
      </c>
      <c r="J89" t="s">
        <v>97</v>
      </c>
      <c r="K89" t="s">
        <v>96</v>
      </c>
      <c r="L89" t="s">
        <v>96</v>
      </c>
      <c r="M89">
        <v>2185</v>
      </c>
      <c r="O89" s="12" t="str">
        <f t="shared" si="12"/>
        <v>AFR</v>
      </c>
      <c r="P89" s="12" t="str">
        <f t="shared" si="13"/>
        <v>E_WON</v>
      </c>
      <c r="R89">
        <f t="shared" si="8"/>
        <v>12</v>
      </c>
      <c r="T89" t="str">
        <f t="shared" si="9"/>
        <v>EBldRateStep_Sol_3</v>
      </c>
      <c r="W89" t="s">
        <v>45</v>
      </c>
      <c r="X89" t="str">
        <f t="shared" ca="1" si="14"/>
        <v>EBldRateStep_Sol_3_OAS</v>
      </c>
      <c r="Y89" s="11">
        <f t="shared" si="15"/>
        <v>2090.2879816513764</v>
      </c>
    </row>
    <row r="90" spans="1:25" x14ac:dyDescent="0.35">
      <c r="A90" t="s">
        <v>95</v>
      </c>
      <c r="B90" t="s">
        <v>3110</v>
      </c>
      <c r="C90" t="s">
        <v>45</v>
      </c>
      <c r="D90" t="s">
        <v>367</v>
      </c>
      <c r="E90" t="s">
        <v>96</v>
      </c>
      <c r="F90" t="s">
        <v>96</v>
      </c>
      <c r="G90" t="s">
        <v>96</v>
      </c>
      <c r="H90">
        <v>2010</v>
      </c>
      <c r="I90" t="s">
        <v>96</v>
      </c>
      <c r="J90" t="s">
        <v>97</v>
      </c>
      <c r="K90" t="s">
        <v>96</v>
      </c>
      <c r="L90" t="s">
        <v>96</v>
      </c>
      <c r="M90">
        <v>2185</v>
      </c>
      <c r="O90" s="12" t="str">
        <f t="shared" si="12"/>
        <v>AFR</v>
      </c>
      <c r="P90" s="12" t="str">
        <f t="shared" si="13"/>
        <v>E_WON</v>
      </c>
      <c r="R90">
        <f t="shared" si="8"/>
        <v>12</v>
      </c>
      <c r="T90" t="str">
        <f t="shared" si="9"/>
        <v>EBldRateStep_Win_2</v>
      </c>
      <c r="W90" t="s">
        <v>45</v>
      </c>
      <c r="X90" t="str">
        <f t="shared" ca="1" si="14"/>
        <v>EBldRateStep_Win_2_OAS</v>
      </c>
      <c r="Y90" s="11">
        <f t="shared" si="15"/>
        <v>1003.3382198952879</v>
      </c>
    </row>
    <row r="91" spans="1:25" x14ac:dyDescent="0.35">
      <c r="A91" t="s">
        <v>95</v>
      </c>
      <c r="B91" t="s">
        <v>3110</v>
      </c>
      <c r="C91" t="s">
        <v>45</v>
      </c>
      <c r="D91" t="s">
        <v>370</v>
      </c>
      <c r="E91" t="s">
        <v>96</v>
      </c>
      <c r="F91" t="s">
        <v>96</v>
      </c>
      <c r="G91" t="s">
        <v>96</v>
      </c>
      <c r="H91">
        <v>2010</v>
      </c>
      <c r="I91" t="s">
        <v>96</v>
      </c>
      <c r="J91" t="s">
        <v>97</v>
      </c>
      <c r="K91" t="s">
        <v>96</v>
      </c>
      <c r="L91" t="s">
        <v>96</v>
      </c>
      <c r="M91">
        <v>2185</v>
      </c>
      <c r="O91" s="12" t="str">
        <f t="shared" si="12"/>
        <v>AFR</v>
      </c>
      <c r="P91" s="12" t="str">
        <f t="shared" si="13"/>
        <v>E_WON</v>
      </c>
      <c r="R91">
        <f t="shared" ref="R91:R115" si="16">R85+1</f>
        <v>12</v>
      </c>
      <c r="T91" t="str">
        <f t="shared" ref="T91:T115" si="17">T85</f>
        <v>EBldRateStep_Win_3</v>
      </c>
      <c r="W91" t="s">
        <v>45</v>
      </c>
      <c r="X91" t="str">
        <f t="shared" ca="1" si="14"/>
        <v>EBldRateStep_Win_3_OAS</v>
      </c>
      <c r="Y91" s="11">
        <f t="shared" si="15"/>
        <v>3225.0157068062831</v>
      </c>
    </row>
    <row r="92" spans="1:25" x14ac:dyDescent="0.35">
      <c r="A92" t="s">
        <v>95</v>
      </c>
      <c r="B92" t="s">
        <v>3110</v>
      </c>
      <c r="C92" t="s">
        <v>45</v>
      </c>
      <c r="D92" t="s">
        <v>375</v>
      </c>
      <c r="E92" t="s">
        <v>96</v>
      </c>
      <c r="F92" t="s">
        <v>96</v>
      </c>
      <c r="G92" t="s">
        <v>96</v>
      </c>
      <c r="H92">
        <v>2010</v>
      </c>
      <c r="I92" t="s">
        <v>96</v>
      </c>
      <c r="J92" t="s">
        <v>97</v>
      </c>
      <c r="K92" t="s">
        <v>96</v>
      </c>
      <c r="L92" t="s">
        <v>96</v>
      </c>
      <c r="M92">
        <v>2185</v>
      </c>
      <c r="O92" s="12" t="str">
        <f t="shared" si="12"/>
        <v>AFR</v>
      </c>
      <c r="P92" s="12" t="str">
        <f t="shared" si="13"/>
        <v>E_WON</v>
      </c>
      <c r="R92">
        <f t="shared" si="16"/>
        <v>13</v>
      </c>
      <c r="T92" t="str">
        <f t="shared" si="17"/>
        <v>EBldRateStep_HYD_2</v>
      </c>
      <c r="W92" t="s">
        <v>45</v>
      </c>
      <c r="X92" t="str">
        <f t="shared" ca="1" si="14"/>
        <v>EBldRateStep_HYD_2_RUS</v>
      </c>
      <c r="Y92" s="11">
        <f t="shared" si="15"/>
        <v>2656.61382</v>
      </c>
    </row>
    <row r="93" spans="1:25" x14ac:dyDescent="0.35">
      <c r="A93" t="s">
        <v>95</v>
      </c>
      <c r="B93" t="s">
        <v>3110</v>
      </c>
      <c r="C93" t="s">
        <v>45</v>
      </c>
      <c r="D93" t="s">
        <v>376</v>
      </c>
      <c r="E93" t="s">
        <v>96</v>
      </c>
      <c r="F93" t="s">
        <v>96</v>
      </c>
      <c r="G93" t="s">
        <v>96</v>
      </c>
      <c r="H93">
        <v>2010</v>
      </c>
      <c r="I93" t="s">
        <v>96</v>
      </c>
      <c r="J93" t="s">
        <v>97</v>
      </c>
      <c r="K93" t="s">
        <v>96</v>
      </c>
      <c r="L93" t="s">
        <v>96</v>
      </c>
      <c r="M93">
        <v>2185</v>
      </c>
      <c r="O93" s="12" t="str">
        <f t="shared" si="12"/>
        <v>AFR</v>
      </c>
      <c r="P93" s="12" t="str">
        <f t="shared" si="13"/>
        <v>E_WON</v>
      </c>
      <c r="R93">
        <f t="shared" si="16"/>
        <v>13</v>
      </c>
      <c r="T93" t="str">
        <f t="shared" si="17"/>
        <v>EBldRateStep_HYD_3</v>
      </c>
      <c r="W93" t="s">
        <v>45</v>
      </c>
      <c r="X93" t="str">
        <f t="shared" ca="1" si="14"/>
        <v>EBldRateStep_HYD_3_RUS</v>
      </c>
      <c r="Y93" s="11">
        <f t="shared" si="15"/>
        <v>8539.115850000002</v>
      </c>
    </row>
    <row r="94" spans="1:25" x14ac:dyDescent="0.35">
      <c r="A94" t="s">
        <v>95</v>
      </c>
      <c r="B94" t="s">
        <v>3110</v>
      </c>
      <c r="C94" t="s">
        <v>45</v>
      </c>
      <c r="D94" t="s">
        <v>379</v>
      </c>
      <c r="E94" t="s">
        <v>96</v>
      </c>
      <c r="F94" t="s">
        <v>96</v>
      </c>
      <c r="G94" t="s">
        <v>96</v>
      </c>
      <c r="H94">
        <v>2010</v>
      </c>
      <c r="I94" t="s">
        <v>96</v>
      </c>
      <c r="J94" t="s">
        <v>97</v>
      </c>
      <c r="K94" t="s">
        <v>96</v>
      </c>
      <c r="L94" t="s">
        <v>96</v>
      </c>
      <c r="M94">
        <v>2185</v>
      </c>
      <c r="O94" s="12" t="str">
        <f t="shared" si="12"/>
        <v>AFR</v>
      </c>
      <c r="P94" s="12" t="str">
        <f t="shared" si="13"/>
        <v>E_WON</v>
      </c>
      <c r="R94">
        <f t="shared" si="16"/>
        <v>13</v>
      </c>
      <c r="T94" t="str">
        <f t="shared" si="17"/>
        <v>EBldRateStep_Sol_2</v>
      </c>
      <c r="W94" t="s">
        <v>45</v>
      </c>
      <c r="X94" t="str">
        <f t="shared" ca="1" si="14"/>
        <v>EBldRateStep_Sol_2_RUS</v>
      </c>
      <c r="Y94" s="11">
        <f t="shared" si="15"/>
        <v>1092</v>
      </c>
    </row>
    <row r="95" spans="1:25" x14ac:dyDescent="0.35">
      <c r="A95" t="s">
        <v>95</v>
      </c>
      <c r="B95" t="s">
        <v>3110</v>
      </c>
      <c r="C95" t="s">
        <v>45</v>
      </c>
      <c r="D95" t="s">
        <v>381</v>
      </c>
      <c r="E95" t="s">
        <v>96</v>
      </c>
      <c r="F95" t="s">
        <v>96</v>
      </c>
      <c r="G95" t="s">
        <v>96</v>
      </c>
      <c r="H95">
        <v>2010</v>
      </c>
      <c r="I95" t="s">
        <v>96</v>
      </c>
      <c r="J95" t="s">
        <v>97</v>
      </c>
      <c r="K95" t="s">
        <v>96</v>
      </c>
      <c r="L95" t="s">
        <v>96</v>
      </c>
      <c r="M95">
        <v>2185</v>
      </c>
      <c r="O95" s="12" t="str">
        <f t="shared" si="12"/>
        <v>AFR</v>
      </c>
      <c r="P95" s="12" t="str">
        <f t="shared" si="13"/>
        <v>E_WON</v>
      </c>
      <c r="R95">
        <f t="shared" si="16"/>
        <v>13</v>
      </c>
      <c r="T95" t="str">
        <f t="shared" si="17"/>
        <v>EBldRateStep_Sol_3</v>
      </c>
      <c r="W95" t="s">
        <v>45</v>
      </c>
      <c r="X95" t="str">
        <f t="shared" ca="1" si="14"/>
        <v>EBldRateStep_Sol_3_RUS</v>
      </c>
      <c r="Y95" s="11">
        <f t="shared" si="15"/>
        <v>3510.0000000000005</v>
      </c>
    </row>
    <row r="96" spans="1:25" x14ac:dyDescent="0.35">
      <c r="A96" t="s">
        <v>95</v>
      </c>
      <c r="B96" t="s">
        <v>3110</v>
      </c>
      <c r="C96" t="s">
        <v>45</v>
      </c>
      <c r="D96" t="s">
        <v>384</v>
      </c>
      <c r="E96" t="s">
        <v>96</v>
      </c>
      <c r="F96" t="s">
        <v>96</v>
      </c>
      <c r="G96" t="s">
        <v>96</v>
      </c>
      <c r="H96">
        <v>2010</v>
      </c>
      <c r="I96" t="s">
        <v>96</v>
      </c>
      <c r="J96" t="s">
        <v>97</v>
      </c>
      <c r="K96" t="s">
        <v>96</v>
      </c>
      <c r="L96" t="s">
        <v>96</v>
      </c>
      <c r="M96">
        <v>2185</v>
      </c>
      <c r="O96" s="12" t="str">
        <f t="shared" si="12"/>
        <v>AFR</v>
      </c>
      <c r="P96" s="12" t="str">
        <f t="shared" si="13"/>
        <v>E_WON</v>
      </c>
      <c r="R96">
        <f t="shared" si="16"/>
        <v>13</v>
      </c>
      <c r="T96" t="str">
        <f t="shared" si="17"/>
        <v>EBldRateStep_Win_2</v>
      </c>
      <c r="W96" t="s">
        <v>45</v>
      </c>
      <c r="X96" t="str">
        <f t="shared" ca="1" si="14"/>
        <v>EBldRateStep_Win_2_RUS</v>
      </c>
      <c r="Y96" s="11">
        <f t="shared" si="15"/>
        <v>1353.0263478260872</v>
      </c>
    </row>
    <row r="97" spans="1:25" x14ac:dyDescent="0.35">
      <c r="A97" t="s">
        <v>95</v>
      </c>
      <c r="B97" t="s">
        <v>3110</v>
      </c>
      <c r="C97" t="s">
        <v>45</v>
      </c>
      <c r="D97" t="s">
        <v>388</v>
      </c>
      <c r="E97" t="s">
        <v>96</v>
      </c>
      <c r="F97" t="s">
        <v>96</v>
      </c>
      <c r="G97" t="s">
        <v>96</v>
      </c>
      <c r="H97">
        <v>2010</v>
      </c>
      <c r="I97" t="s">
        <v>96</v>
      </c>
      <c r="J97" t="s">
        <v>97</v>
      </c>
      <c r="K97" t="s">
        <v>96</v>
      </c>
      <c r="L97" t="s">
        <v>96</v>
      </c>
      <c r="M97">
        <v>2185</v>
      </c>
      <c r="O97" s="12" t="str">
        <f t="shared" si="12"/>
        <v>AFR</v>
      </c>
      <c r="P97" s="12" t="str">
        <f t="shared" si="13"/>
        <v>E_WON</v>
      </c>
      <c r="R97">
        <f t="shared" si="16"/>
        <v>13</v>
      </c>
      <c r="T97" t="str">
        <f t="shared" si="17"/>
        <v>EBldRateStep_Win_3</v>
      </c>
      <c r="W97" t="s">
        <v>45</v>
      </c>
      <c r="X97" t="str">
        <f t="shared" ca="1" si="14"/>
        <v>EBldRateStep_Win_3_RUS</v>
      </c>
      <c r="Y97" s="11">
        <f t="shared" si="15"/>
        <v>4349.0132608695667</v>
      </c>
    </row>
    <row r="98" spans="1:25" x14ac:dyDescent="0.35">
      <c r="A98" t="s">
        <v>95</v>
      </c>
      <c r="B98" t="s">
        <v>3110</v>
      </c>
      <c r="C98" t="s">
        <v>45</v>
      </c>
      <c r="D98" t="s">
        <v>391</v>
      </c>
      <c r="E98" t="s">
        <v>96</v>
      </c>
      <c r="F98" t="s">
        <v>96</v>
      </c>
      <c r="G98" t="s">
        <v>96</v>
      </c>
      <c r="H98">
        <v>2010</v>
      </c>
      <c r="I98" t="s">
        <v>96</v>
      </c>
      <c r="J98" t="s">
        <v>97</v>
      </c>
      <c r="K98" t="s">
        <v>96</v>
      </c>
      <c r="L98" t="s">
        <v>96</v>
      </c>
      <c r="M98">
        <v>2185</v>
      </c>
      <c r="O98" s="12" t="str">
        <f t="shared" si="12"/>
        <v>AFR</v>
      </c>
      <c r="P98" s="12" t="str">
        <f t="shared" si="13"/>
        <v>E_WON</v>
      </c>
      <c r="R98">
        <f t="shared" si="16"/>
        <v>14</v>
      </c>
      <c r="T98" t="str">
        <f t="shared" si="17"/>
        <v>EBldRateStep_HYD_2</v>
      </c>
      <c r="W98" t="s">
        <v>45</v>
      </c>
      <c r="X98" t="str">
        <f t="shared" ca="1" si="14"/>
        <v>EBldRateStep_HYD_2_SKO</v>
      </c>
      <c r="Y98" s="11">
        <f t="shared" si="15"/>
        <v>3681.5101679999993</v>
      </c>
    </row>
    <row r="99" spans="1:25" x14ac:dyDescent="0.35">
      <c r="A99" t="s">
        <v>95</v>
      </c>
      <c r="B99" t="s">
        <v>3110</v>
      </c>
      <c r="C99" t="s">
        <v>45</v>
      </c>
      <c r="D99" t="s">
        <v>393</v>
      </c>
      <c r="E99" t="s">
        <v>96</v>
      </c>
      <c r="F99" t="s">
        <v>96</v>
      </c>
      <c r="G99" t="s">
        <v>96</v>
      </c>
      <c r="H99">
        <v>2010</v>
      </c>
      <c r="I99" t="s">
        <v>96</v>
      </c>
      <c r="J99" t="s">
        <v>97</v>
      </c>
      <c r="K99" t="s">
        <v>96</v>
      </c>
      <c r="L99" t="s">
        <v>96</v>
      </c>
      <c r="M99">
        <v>2185</v>
      </c>
      <c r="O99" s="12" t="str">
        <f t="shared" si="12"/>
        <v>AFR</v>
      </c>
      <c r="P99" s="12" t="str">
        <f t="shared" si="13"/>
        <v>E_WON</v>
      </c>
      <c r="R99">
        <f t="shared" si="16"/>
        <v>14</v>
      </c>
      <c r="T99" t="str">
        <f t="shared" si="17"/>
        <v>EBldRateStep_HYD_3</v>
      </c>
      <c r="W99" t="s">
        <v>45</v>
      </c>
      <c r="X99" t="str">
        <f t="shared" ca="1" si="14"/>
        <v>EBldRateStep_HYD_3_SKO</v>
      </c>
      <c r="Y99" s="11">
        <f t="shared" si="15"/>
        <v>11833.42554</v>
      </c>
    </row>
    <row r="100" spans="1:25" x14ac:dyDescent="0.35">
      <c r="A100" t="s">
        <v>95</v>
      </c>
      <c r="B100" t="s">
        <v>3110</v>
      </c>
      <c r="C100" t="s">
        <v>45</v>
      </c>
      <c r="D100" t="s">
        <v>397</v>
      </c>
      <c r="E100" t="s">
        <v>96</v>
      </c>
      <c r="F100" t="s">
        <v>96</v>
      </c>
      <c r="G100" t="s">
        <v>96</v>
      </c>
      <c r="H100">
        <v>2010</v>
      </c>
      <c r="I100" t="s">
        <v>96</v>
      </c>
      <c r="J100" t="s">
        <v>97</v>
      </c>
      <c r="K100" t="s">
        <v>96</v>
      </c>
      <c r="L100" t="s">
        <v>96</v>
      </c>
      <c r="M100">
        <v>2185</v>
      </c>
      <c r="O100" s="12" t="str">
        <f t="shared" si="12"/>
        <v>AFR</v>
      </c>
      <c r="P100" s="12" t="str">
        <f t="shared" si="13"/>
        <v>E_WON</v>
      </c>
      <c r="R100">
        <f t="shared" si="16"/>
        <v>14</v>
      </c>
      <c r="T100" t="str">
        <f t="shared" si="17"/>
        <v>EBldRateStep_Sol_2</v>
      </c>
      <c r="W100" t="s">
        <v>45</v>
      </c>
      <c r="X100" t="str">
        <f t="shared" ca="1" si="14"/>
        <v>EBldRateStep_Sol_2_SKO</v>
      </c>
      <c r="Y100" s="11">
        <f t="shared" si="15"/>
        <v>791.69999999999993</v>
      </c>
    </row>
    <row r="101" spans="1:25" x14ac:dyDescent="0.35">
      <c r="A101" t="s">
        <v>95</v>
      </c>
      <c r="B101" t="s">
        <v>3110</v>
      </c>
      <c r="C101" t="s">
        <v>45</v>
      </c>
      <c r="D101" t="s">
        <v>400</v>
      </c>
      <c r="E101" t="s">
        <v>96</v>
      </c>
      <c r="F101" t="s">
        <v>96</v>
      </c>
      <c r="G101" t="s">
        <v>96</v>
      </c>
      <c r="H101">
        <v>2010</v>
      </c>
      <c r="I101" t="s">
        <v>96</v>
      </c>
      <c r="J101" t="s">
        <v>97</v>
      </c>
      <c r="K101" t="s">
        <v>96</v>
      </c>
      <c r="L101" t="s">
        <v>96</v>
      </c>
      <c r="M101">
        <v>2185</v>
      </c>
      <c r="O101" s="12" t="str">
        <f t="shared" si="12"/>
        <v>AFR</v>
      </c>
      <c r="P101" s="12" t="str">
        <f t="shared" si="13"/>
        <v>E_WON</v>
      </c>
      <c r="R101">
        <f t="shared" si="16"/>
        <v>14</v>
      </c>
      <c r="T101" t="str">
        <f t="shared" si="17"/>
        <v>EBldRateStep_Sol_3</v>
      </c>
      <c r="W101" t="s">
        <v>45</v>
      </c>
      <c r="X101" t="str">
        <f t="shared" ca="1" si="14"/>
        <v>EBldRateStep_Sol_3_SKO</v>
      </c>
      <c r="Y101" s="11">
        <f t="shared" si="15"/>
        <v>2544.75</v>
      </c>
    </row>
    <row r="102" spans="1:25" x14ac:dyDescent="0.35">
      <c r="A102" t="s">
        <v>95</v>
      </c>
      <c r="B102" t="s">
        <v>3110</v>
      </c>
      <c r="C102" t="s">
        <v>45</v>
      </c>
      <c r="D102" t="s">
        <v>402</v>
      </c>
      <c r="E102" t="s">
        <v>96</v>
      </c>
      <c r="F102" t="s">
        <v>96</v>
      </c>
      <c r="G102" t="s">
        <v>96</v>
      </c>
      <c r="H102">
        <v>2010</v>
      </c>
      <c r="I102" t="s">
        <v>96</v>
      </c>
      <c r="J102" t="s">
        <v>97</v>
      </c>
      <c r="K102" t="s">
        <v>96</v>
      </c>
      <c r="L102" t="s">
        <v>96</v>
      </c>
      <c r="M102">
        <v>2185</v>
      </c>
      <c r="O102" s="12" t="str">
        <f t="shared" si="12"/>
        <v>AFR</v>
      </c>
      <c r="P102" s="12" t="str">
        <f t="shared" si="13"/>
        <v>E_WON</v>
      </c>
      <c r="R102">
        <f t="shared" si="16"/>
        <v>14</v>
      </c>
      <c r="T102" t="str">
        <f t="shared" si="17"/>
        <v>EBldRateStep_Win_2</v>
      </c>
      <c r="W102" t="s">
        <v>45</v>
      </c>
      <c r="X102" t="str">
        <f t="shared" ca="1" si="14"/>
        <v>EBldRateStep_Win_2_SKO</v>
      </c>
      <c r="Y102" s="11">
        <f t="shared" si="15"/>
        <v>953.4</v>
      </c>
    </row>
    <row r="103" spans="1:25" x14ac:dyDescent="0.35">
      <c r="A103" t="s">
        <v>95</v>
      </c>
      <c r="B103" t="s">
        <v>3110</v>
      </c>
      <c r="C103" t="s">
        <v>45</v>
      </c>
      <c r="D103" t="s">
        <v>404</v>
      </c>
      <c r="E103" t="s">
        <v>96</v>
      </c>
      <c r="F103" t="s">
        <v>96</v>
      </c>
      <c r="G103" t="s">
        <v>96</v>
      </c>
      <c r="H103">
        <v>2010</v>
      </c>
      <c r="I103" t="s">
        <v>96</v>
      </c>
      <c r="J103" t="s">
        <v>97</v>
      </c>
      <c r="K103" t="s">
        <v>96</v>
      </c>
      <c r="L103" t="s">
        <v>96</v>
      </c>
      <c r="M103">
        <v>2185</v>
      </c>
      <c r="O103" s="12" t="str">
        <f t="shared" si="12"/>
        <v>AFR</v>
      </c>
      <c r="P103" s="12" t="str">
        <f t="shared" si="13"/>
        <v>E_WON</v>
      </c>
      <c r="R103">
        <f t="shared" si="16"/>
        <v>14</v>
      </c>
      <c r="T103" t="str">
        <f t="shared" si="17"/>
        <v>EBldRateStep_Win_3</v>
      </c>
      <c r="W103" t="s">
        <v>45</v>
      </c>
      <c r="X103" t="str">
        <f t="shared" ca="1" si="14"/>
        <v>EBldRateStep_Win_3_SKO</v>
      </c>
      <c r="Y103" s="11">
        <f t="shared" si="15"/>
        <v>3064.5</v>
      </c>
    </row>
    <row r="104" spans="1:25" x14ac:dyDescent="0.35">
      <c r="A104" t="s">
        <v>95</v>
      </c>
      <c r="B104" t="s">
        <v>3110</v>
      </c>
      <c r="C104" t="s">
        <v>45</v>
      </c>
      <c r="D104" t="s">
        <v>405</v>
      </c>
      <c r="E104" t="s">
        <v>96</v>
      </c>
      <c r="F104" t="s">
        <v>96</v>
      </c>
      <c r="G104" t="s">
        <v>96</v>
      </c>
      <c r="H104">
        <v>2010</v>
      </c>
      <c r="I104" t="s">
        <v>96</v>
      </c>
      <c r="J104" t="s">
        <v>97</v>
      </c>
      <c r="K104" t="s">
        <v>96</v>
      </c>
      <c r="L104" t="s">
        <v>96</v>
      </c>
      <c r="M104">
        <v>2185</v>
      </c>
      <c r="O104" s="12" t="str">
        <f t="shared" si="12"/>
        <v>AFR</v>
      </c>
      <c r="P104" s="12" t="str">
        <f t="shared" si="13"/>
        <v>E_WON</v>
      </c>
      <c r="R104">
        <f t="shared" si="16"/>
        <v>15</v>
      </c>
      <c r="T104" t="str">
        <f t="shared" si="17"/>
        <v>EBldRateStep_HYD_2</v>
      </c>
      <c r="W104" t="s">
        <v>45</v>
      </c>
      <c r="X104" t="str">
        <f t="shared" ca="1" si="14"/>
        <v>EBldRateStep_HYD_2_URA</v>
      </c>
      <c r="Y104" s="11">
        <f t="shared" si="15"/>
        <v>2380.8633384072727</v>
      </c>
    </row>
    <row r="105" spans="1:25" x14ac:dyDescent="0.35">
      <c r="A105" t="s">
        <v>95</v>
      </c>
      <c r="B105" t="s">
        <v>3110</v>
      </c>
      <c r="C105" t="s">
        <v>45</v>
      </c>
      <c r="D105" t="s">
        <v>417</v>
      </c>
      <c r="E105" t="s">
        <v>96</v>
      </c>
      <c r="F105" t="s">
        <v>96</v>
      </c>
      <c r="G105" t="s">
        <v>96</v>
      </c>
      <c r="H105">
        <v>2010</v>
      </c>
      <c r="I105" t="s">
        <v>96</v>
      </c>
      <c r="J105" t="s">
        <v>97</v>
      </c>
      <c r="K105" t="s">
        <v>96</v>
      </c>
      <c r="L105" t="s">
        <v>96</v>
      </c>
      <c r="M105">
        <v>3277.5</v>
      </c>
      <c r="O105" s="12" t="str">
        <f t="shared" si="12"/>
        <v>AFR</v>
      </c>
      <c r="P105" s="12" t="str">
        <f t="shared" si="13"/>
        <v>E_WON</v>
      </c>
      <c r="R105">
        <f t="shared" si="16"/>
        <v>15</v>
      </c>
      <c r="T105" t="str">
        <f t="shared" si="17"/>
        <v>EBldRateStep_HYD_3</v>
      </c>
      <c r="W105" t="s">
        <v>45</v>
      </c>
      <c r="X105" t="str">
        <f t="shared" ca="1" si="14"/>
        <v>EBldRateStep_HYD_3_URA</v>
      </c>
      <c r="Y105" s="11">
        <f t="shared" si="15"/>
        <v>7652.7750163090923</v>
      </c>
    </row>
    <row r="106" spans="1:25" x14ac:dyDescent="0.35">
      <c r="A106" t="s">
        <v>95</v>
      </c>
      <c r="B106" t="s">
        <v>3110</v>
      </c>
      <c r="C106" t="s">
        <v>45</v>
      </c>
      <c r="D106" t="s">
        <v>418</v>
      </c>
      <c r="E106" t="s">
        <v>96</v>
      </c>
      <c r="F106" t="s">
        <v>96</v>
      </c>
      <c r="G106" t="s">
        <v>96</v>
      </c>
      <c r="H106">
        <v>2010</v>
      </c>
      <c r="I106" t="s">
        <v>96</v>
      </c>
      <c r="J106" t="s">
        <v>97</v>
      </c>
      <c r="K106" t="s">
        <v>96</v>
      </c>
      <c r="L106" t="s">
        <v>96</v>
      </c>
      <c r="M106">
        <v>3277.5</v>
      </c>
      <c r="O106" s="12" t="str">
        <f t="shared" si="12"/>
        <v>AFR</v>
      </c>
      <c r="P106" s="12" t="str">
        <f t="shared" si="13"/>
        <v>E_WON</v>
      </c>
      <c r="R106">
        <f t="shared" si="16"/>
        <v>15</v>
      </c>
      <c r="T106" t="str">
        <f t="shared" si="17"/>
        <v>EBldRateStep_Sol_2</v>
      </c>
      <c r="W106" t="s">
        <v>45</v>
      </c>
      <c r="X106" t="str">
        <f t="shared" ca="1" si="14"/>
        <v>EBldRateStep_Sol_2_URA</v>
      </c>
      <c r="Y106" s="11">
        <f t="shared" si="15"/>
        <v>712.48752272727256</v>
      </c>
    </row>
    <row r="107" spans="1:25" x14ac:dyDescent="0.35">
      <c r="A107" t="s">
        <v>95</v>
      </c>
      <c r="B107" t="s">
        <v>3110</v>
      </c>
      <c r="C107" t="s">
        <v>45</v>
      </c>
      <c r="D107" t="s">
        <v>419</v>
      </c>
      <c r="E107" t="s">
        <v>96</v>
      </c>
      <c r="F107" t="s">
        <v>96</v>
      </c>
      <c r="G107" t="s">
        <v>96</v>
      </c>
      <c r="H107">
        <v>2010</v>
      </c>
      <c r="I107" t="s">
        <v>96</v>
      </c>
      <c r="J107" t="s">
        <v>97</v>
      </c>
      <c r="K107" t="s">
        <v>96</v>
      </c>
      <c r="L107" t="s">
        <v>96</v>
      </c>
      <c r="M107">
        <v>3277.5</v>
      </c>
      <c r="O107" s="12" t="str">
        <f t="shared" si="12"/>
        <v>AFR</v>
      </c>
      <c r="P107" s="12" t="str">
        <f t="shared" si="13"/>
        <v>E_WON</v>
      </c>
      <c r="R107">
        <f t="shared" si="16"/>
        <v>15</v>
      </c>
      <c r="T107" t="str">
        <f t="shared" si="17"/>
        <v>EBldRateStep_Sol_3</v>
      </c>
      <c r="W107" t="s">
        <v>45</v>
      </c>
      <c r="X107" t="str">
        <f t="shared" ca="1" si="14"/>
        <v>EBldRateStep_Sol_3_URA</v>
      </c>
      <c r="Y107" s="11">
        <f t="shared" si="15"/>
        <v>2290.1384659090904</v>
      </c>
    </row>
    <row r="108" spans="1:25" x14ac:dyDescent="0.35">
      <c r="A108" t="s">
        <v>95</v>
      </c>
      <c r="B108" t="s">
        <v>3110</v>
      </c>
      <c r="C108" t="s">
        <v>45</v>
      </c>
      <c r="D108" t="s">
        <v>430</v>
      </c>
      <c r="E108" t="s">
        <v>96</v>
      </c>
      <c r="F108" t="s">
        <v>96</v>
      </c>
      <c r="G108" t="s">
        <v>96</v>
      </c>
      <c r="H108">
        <v>2010</v>
      </c>
      <c r="I108" t="s">
        <v>96</v>
      </c>
      <c r="J108" t="s">
        <v>97</v>
      </c>
      <c r="K108" t="s">
        <v>96</v>
      </c>
      <c r="L108" t="s">
        <v>96</v>
      </c>
      <c r="M108">
        <v>3277.5</v>
      </c>
      <c r="O108" s="12" t="str">
        <f t="shared" si="12"/>
        <v>AFR</v>
      </c>
      <c r="P108" s="12" t="str">
        <f t="shared" si="13"/>
        <v>E_WON</v>
      </c>
      <c r="R108">
        <f t="shared" si="16"/>
        <v>15</v>
      </c>
      <c r="T108" t="str">
        <f t="shared" si="17"/>
        <v>EBldRateStep_Win_2</v>
      </c>
      <c r="W108" t="s">
        <v>45</v>
      </c>
      <c r="X108" t="str">
        <f t="shared" ca="1" si="14"/>
        <v>EBldRateStep_Win_2_URA</v>
      </c>
      <c r="Y108" s="11">
        <f t="shared" si="15"/>
        <v>962.81528925619818</v>
      </c>
    </row>
    <row r="109" spans="1:25" x14ac:dyDescent="0.35">
      <c r="A109" t="s">
        <v>95</v>
      </c>
      <c r="B109" t="s">
        <v>3110</v>
      </c>
      <c r="C109" t="s">
        <v>45</v>
      </c>
      <c r="D109" t="s">
        <v>432</v>
      </c>
      <c r="E109" t="s">
        <v>96</v>
      </c>
      <c r="F109" t="s">
        <v>96</v>
      </c>
      <c r="G109" t="s">
        <v>96</v>
      </c>
      <c r="H109">
        <v>2010</v>
      </c>
      <c r="I109" t="s">
        <v>96</v>
      </c>
      <c r="J109" t="s">
        <v>97</v>
      </c>
      <c r="K109" t="s">
        <v>96</v>
      </c>
      <c r="L109" t="s">
        <v>96</v>
      </c>
      <c r="M109">
        <v>3277.5</v>
      </c>
      <c r="O109" s="12" t="str">
        <f t="shared" si="12"/>
        <v>AFR</v>
      </c>
      <c r="P109" s="12" t="str">
        <f t="shared" si="13"/>
        <v>E_WON</v>
      </c>
      <c r="R109">
        <f t="shared" si="16"/>
        <v>15</v>
      </c>
      <c r="T109" t="str">
        <f t="shared" si="17"/>
        <v>EBldRateStep_Win_3</v>
      </c>
      <c r="W109" t="s">
        <v>45</v>
      </c>
      <c r="X109" t="str">
        <f t="shared" ca="1" si="14"/>
        <v>EBldRateStep_Win_3_URA</v>
      </c>
      <c r="Y109" s="11">
        <f t="shared" si="15"/>
        <v>3094.7634297520658</v>
      </c>
    </row>
    <row r="110" spans="1:25" x14ac:dyDescent="0.35">
      <c r="A110" t="s">
        <v>95</v>
      </c>
      <c r="B110" t="s">
        <v>3110</v>
      </c>
      <c r="C110" t="s">
        <v>45</v>
      </c>
      <c r="D110" t="s">
        <v>435</v>
      </c>
      <c r="E110" t="s">
        <v>96</v>
      </c>
      <c r="F110" t="s">
        <v>96</v>
      </c>
      <c r="G110" t="s">
        <v>96</v>
      </c>
      <c r="H110">
        <v>2010</v>
      </c>
      <c r="I110" t="s">
        <v>96</v>
      </c>
      <c r="J110" t="s">
        <v>97</v>
      </c>
      <c r="K110" t="s">
        <v>96</v>
      </c>
      <c r="L110" t="s">
        <v>96</v>
      </c>
      <c r="M110">
        <v>3277.5</v>
      </c>
      <c r="O110" s="12" t="str">
        <f t="shared" si="12"/>
        <v>AFR</v>
      </c>
      <c r="P110" s="12" t="str">
        <f t="shared" si="13"/>
        <v>E_WON</v>
      </c>
      <c r="R110">
        <f t="shared" si="16"/>
        <v>16</v>
      </c>
      <c r="T110" t="str">
        <f t="shared" si="17"/>
        <v>EBldRateStep_HYD_2</v>
      </c>
      <c r="W110" t="s">
        <v>45</v>
      </c>
      <c r="X110" t="str">
        <f t="shared" ca="1" si="14"/>
        <v>EBldRateStep_HYD_2_USA</v>
      </c>
      <c r="Y110" s="11">
        <f t="shared" si="15"/>
        <v>2843.7342527999995</v>
      </c>
    </row>
    <row r="111" spans="1:25" x14ac:dyDescent="0.35">
      <c r="A111" t="s">
        <v>95</v>
      </c>
      <c r="B111" t="s">
        <v>3110</v>
      </c>
      <c r="C111" t="s">
        <v>45</v>
      </c>
      <c r="D111" t="s">
        <v>437</v>
      </c>
      <c r="E111" t="s">
        <v>96</v>
      </c>
      <c r="F111" t="s">
        <v>96</v>
      </c>
      <c r="G111" t="s">
        <v>96</v>
      </c>
      <c r="H111">
        <v>2010</v>
      </c>
      <c r="I111" t="s">
        <v>96</v>
      </c>
      <c r="J111" t="s">
        <v>97</v>
      </c>
      <c r="K111" t="s">
        <v>96</v>
      </c>
      <c r="L111" t="s">
        <v>96</v>
      </c>
      <c r="M111">
        <v>3277.5</v>
      </c>
      <c r="O111" s="12" t="str">
        <f t="shared" si="12"/>
        <v>AFR</v>
      </c>
      <c r="P111" s="12" t="str">
        <f t="shared" si="13"/>
        <v>E_WON</v>
      </c>
      <c r="R111">
        <f t="shared" si="16"/>
        <v>16</v>
      </c>
      <c r="T111" t="str">
        <f t="shared" si="17"/>
        <v>EBldRateStep_HYD_3</v>
      </c>
      <c r="W111" t="s">
        <v>45</v>
      </c>
      <c r="X111" t="str">
        <f t="shared" ca="1" si="14"/>
        <v>EBldRateStep_HYD_3_USA</v>
      </c>
      <c r="Y111" s="11">
        <f t="shared" si="15"/>
        <v>9140.5743839999996</v>
      </c>
    </row>
    <row r="112" spans="1:25" x14ac:dyDescent="0.35">
      <c r="A112" t="s">
        <v>95</v>
      </c>
      <c r="B112" t="s">
        <v>3110</v>
      </c>
      <c r="C112" t="s">
        <v>45</v>
      </c>
      <c r="D112" t="s">
        <v>441</v>
      </c>
      <c r="E112" t="s">
        <v>96</v>
      </c>
      <c r="F112" t="s">
        <v>96</v>
      </c>
      <c r="G112" t="s">
        <v>96</v>
      </c>
      <c r="H112">
        <v>2010</v>
      </c>
      <c r="I112" t="s">
        <v>96</v>
      </c>
      <c r="J112" t="s">
        <v>97</v>
      </c>
      <c r="K112" t="s">
        <v>96</v>
      </c>
      <c r="L112" t="s">
        <v>96</v>
      </c>
      <c r="M112">
        <v>3277.5</v>
      </c>
      <c r="O112" s="12" t="str">
        <f t="shared" si="12"/>
        <v>AFR</v>
      </c>
      <c r="P112" s="12" t="str">
        <f t="shared" si="13"/>
        <v>E_WON</v>
      </c>
      <c r="R112">
        <f t="shared" si="16"/>
        <v>16</v>
      </c>
      <c r="T112" t="str">
        <f t="shared" si="17"/>
        <v>EBldRateStep_Sol_2</v>
      </c>
      <c r="W112" t="s">
        <v>45</v>
      </c>
      <c r="X112" t="str">
        <f t="shared" ca="1" si="14"/>
        <v>EBldRateStep_Sol_2_USA</v>
      </c>
      <c r="Y112" s="11">
        <f t="shared" si="15"/>
        <v>595.14</v>
      </c>
    </row>
    <row r="113" spans="1:25" x14ac:dyDescent="0.35">
      <c r="A113" t="s">
        <v>95</v>
      </c>
      <c r="B113" t="s">
        <v>3110</v>
      </c>
      <c r="C113" t="s">
        <v>45</v>
      </c>
      <c r="D113" t="s">
        <v>455</v>
      </c>
      <c r="E113" t="s">
        <v>96</v>
      </c>
      <c r="F113" t="s">
        <v>96</v>
      </c>
      <c r="G113" t="s">
        <v>96</v>
      </c>
      <c r="H113">
        <v>2010</v>
      </c>
      <c r="I113" t="s">
        <v>96</v>
      </c>
      <c r="J113" t="s">
        <v>97</v>
      </c>
      <c r="K113" t="s">
        <v>96</v>
      </c>
      <c r="L113" t="s">
        <v>96</v>
      </c>
      <c r="M113">
        <v>3277.5</v>
      </c>
      <c r="O113" s="12" t="str">
        <f t="shared" si="12"/>
        <v>AFR</v>
      </c>
      <c r="P113" s="12" t="str">
        <f t="shared" si="13"/>
        <v>E_WON</v>
      </c>
      <c r="R113">
        <f t="shared" si="16"/>
        <v>16</v>
      </c>
      <c r="T113" t="str">
        <f t="shared" si="17"/>
        <v>EBldRateStep_Sol_3</v>
      </c>
      <c r="W113" t="s">
        <v>45</v>
      </c>
      <c r="X113" t="str">
        <f t="shared" ca="1" si="14"/>
        <v>EBldRateStep_Sol_3_USA</v>
      </c>
      <c r="Y113" s="11">
        <f t="shared" si="15"/>
        <v>1912.95</v>
      </c>
    </row>
    <row r="114" spans="1:25" x14ac:dyDescent="0.35">
      <c r="A114" t="s">
        <v>95</v>
      </c>
      <c r="B114" t="s">
        <v>3110</v>
      </c>
      <c r="C114" t="s">
        <v>45</v>
      </c>
      <c r="D114" t="s">
        <v>456</v>
      </c>
      <c r="E114" t="s">
        <v>96</v>
      </c>
      <c r="F114" t="s">
        <v>96</v>
      </c>
      <c r="G114" t="s">
        <v>96</v>
      </c>
      <c r="H114">
        <v>2010</v>
      </c>
      <c r="I114" t="s">
        <v>96</v>
      </c>
      <c r="J114" t="s">
        <v>97</v>
      </c>
      <c r="K114" t="s">
        <v>96</v>
      </c>
      <c r="L114" t="s">
        <v>96</v>
      </c>
      <c r="M114">
        <v>3277.5</v>
      </c>
      <c r="O114" s="12" t="str">
        <f t="shared" si="12"/>
        <v>AFR</v>
      </c>
      <c r="P114" s="12" t="str">
        <f t="shared" si="13"/>
        <v>E_WON</v>
      </c>
      <c r="R114">
        <f t="shared" si="16"/>
        <v>16</v>
      </c>
      <c r="T114" t="str">
        <f t="shared" si="17"/>
        <v>EBldRateStep_Win_2</v>
      </c>
      <c r="W114" t="s">
        <v>45</v>
      </c>
      <c r="X114" t="str">
        <f t="shared" ca="1" si="14"/>
        <v>EBldRateStep_Win_2_USA</v>
      </c>
      <c r="Y114" s="11">
        <f t="shared" si="15"/>
        <v>847.18421052631584</v>
      </c>
    </row>
    <row r="115" spans="1:25" x14ac:dyDescent="0.35">
      <c r="A115" t="s">
        <v>95</v>
      </c>
      <c r="B115" t="s">
        <v>3110</v>
      </c>
      <c r="C115" t="s">
        <v>45</v>
      </c>
      <c r="D115" t="s">
        <v>457</v>
      </c>
      <c r="E115" t="s">
        <v>96</v>
      </c>
      <c r="F115" t="s">
        <v>96</v>
      </c>
      <c r="G115" t="s">
        <v>96</v>
      </c>
      <c r="H115">
        <v>2010</v>
      </c>
      <c r="I115" t="s">
        <v>96</v>
      </c>
      <c r="J115" t="s">
        <v>97</v>
      </c>
      <c r="K115" t="s">
        <v>96</v>
      </c>
      <c r="L115" t="s">
        <v>96</v>
      </c>
      <c r="M115">
        <v>3277.5</v>
      </c>
      <c r="O115" s="12" t="str">
        <f t="shared" si="12"/>
        <v>AFR</v>
      </c>
      <c r="P115" s="12" t="str">
        <f t="shared" si="13"/>
        <v>E_WON</v>
      </c>
      <c r="R115">
        <f t="shared" si="16"/>
        <v>16</v>
      </c>
      <c r="T115" t="str">
        <f t="shared" si="17"/>
        <v>EBldRateStep_Win_3</v>
      </c>
      <c r="W115" t="s">
        <v>45</v>
      </c>
      <c r="X115" t="str">
        <f t="shared" ca="1" si="14"/>
        <v>EBldRateStep_Win_3_USA</v>
      </c>
      <c r="Y115" s="11">
        <f t="shared" si="15"/>
        <v>2723.0921052631584</v>
      </c>
    </row>
    <row r="116" spans="1:25" x14ac:dyDescent="0.35">
      <c r="A116" t="s">
        <v>95</v>
      </c>
      <c r="B116" t="s">
        <v>3110</v>
      </c>
      <c r="C116" t="s">
        <v>45</v>
      </c>
      <c r="D116" t="s">
        <v>464</v>
      </c>
      <c r="E116" t="s">
        <v>96</v>
      </c>
      <c r="F116" t="s">
        <v>96</v>
      </c>
      <c r="G116" t="s">
        <v>96</v>
      </c>
      <c r="H116">
        <v>2010</v>
      </c>
      <c r="I116" t="s">
        <v>96</v>
      </c>
      <c r="J116" t="s">
        <v>97</v>
      </c>
      <c r="K116" t="s">
        <v>96</v>
      </c>
      <c r="L116" t="s">
        <v>96</v>
      </c>
      <c r="M116">
        <v>3277.5</v>
      </c>
      <c r="O116" s="12" t="str">
        <f t="shared" si="12"/>
        <v>AFR</v>
      </c>
      <c r="P116" s="12" t="str">
        <f t="shared" si="13"/>
        <v>E_WON</v>
      </c>
    </row>
    <row r="117" spans="1:25" x14ac:dyDescent="0.35">
      <c r="A117" t="s">
        <v>95</v>
      </c>
      <c r="B117" t="s">
        <v>3110</v>
      </c>
      <c r="C117" t="s">
        <v>45</v>
      </c>
      <c r="D117" t="s">
        <v>466</v>
      </c>
      <c r="E117" t="s">
        <v>96</v>
      </c>
      <c r="F117" t="s">
        <v>96</v>
      </c>
      <c r="G117" t="s">
        <v>96</v>
      </c>
      <c r="H117">
        <v>2010</v>
      </c>
      <c r="I117" t="s">
        <v>96</v>
      </c>
      <c r="J117" t="s">
        <v>97</v>
      </c>
      <c r="K117" t="s">
        <v>96</v>
      </c>
      <c r="L117" t="s">
        <v>96</v>
      </c>
      <c r="M117">
        <v>3277.5</v>
      </c>
      <c r="O117" s="12" t="str">
        <f t="shared" si="12"/>
        <v>AFR</v>
      </c>
      <c r="P117" s="12" t="str">
        <f t="shared" si="13"/>
        <v>E_WON</v>
      </c>
    </row>
    <row r="118" spans="1:25" x14ac:dyDescent="0.35">
      <c r="A118" t="s">
        <v>95</v>
      </c>
      <c r="B118" t="s">
        <v>3110</v>
      </c>
      <c r="C118" t="s">
        <v>45</v>
      </c>
      <c r="D118" t="s">
        <v>468</v>
      </c>
      <c r="E118" t="s">
        <v>96</v>
      </c>
      <c r="F118" t="s">
        <v>96</v>
      </c>
      <c r="G118" t="s">
        <v>96</v>
      </c>
      <c r="H118">
        <v>2010</v>
      </c>
      <c r="I118" t="s">
        <v>96</v>
      </c>
      <c r="J118" t="s">
        <v>97</v>
      </c>
      <c r="K118" t="s">
        <v>96</v>
      </c>
      <c r="L118" t="s">
        <v>96</v>
      </c>
      <c r="M118">
        <v>3277.5</v>
      </c>
      <c r="O118" s="12" t="str">
        <f t="shared" si="12"/>
        <v>AFR</v>
      </c>
      <c r="P118" s="12" t="str">
        <f t="shared" si="13"/>
        <v>E_WON</v>
      </c>
    </row>
    <row r="119" spans="1:25" x14ac:dyDescent="0.35">
      <c r="A119" t="s">
        <v>95</v>
      </c>
      <c r="B119" t="s">
        <v>3110</v>
      </c>
      <c r="C119" t="s">
        <v>45</v>
      </c>
      <c r="D119" t="s">
        <v>471</v>
      </c>
      <c r="E119" t="s">
        <v>96</v>
      </c>
      <c r="F119" t="s">
        <v>96</v>
      </c>
      <c r="G119" t="s">
        <v>96</v>
      </c>
      <c r="H119">
        <v>2010</v>
      </c>
      <c r="I119" t="s">
        <v>96</v>
      </c>
      <c r="J119" t="s">
        <v>97</v>
      </c>
      <c r="K119" t="s">
        <v>96</v>
      </c>
      <c r="L119" t="s">
        <v>96</v>
      </c>
      <c r="M119">
        <v>3277.5</v>
      </c>
      <c r="O119" s="12" t="str">
        <f t="shared" si="12"/>
        <v>AFR</v>
      </c>
      <c r="P119" s="12" t="str">
        <f t="shared" si="13"/>
        <v>E_WON</v>
      </c>
    </row>
    <row r="120" spans="1:25" x14ac:dyDescent="0.35">
      <c r="A120" t="s">
        <v>95</v>
      </c>
      <c r="B120" t="s">
        <v>3110</v>
      </c>
      <c r="C120" t="s">
        <v>45</v>
      </c>
      <c r="D120" t="s">
        <v>473</v>
      </c>
      <c r="E120" t="s">
        <v>96</v>
      </c>
      <c r="F120" t="s">
        <v>96</v>
      </c>
      <c r="G120" t="s">
        <v>96</v>
      </c>
      <c r="H120">
        <v>2010</v>
      </c>
      <c r="I120" t="s">
        <v>96</v>
      </c>
      <c r="J120" t="s">
        <v>97</v>
      </c>
      <c r="K120" t="s">
        <v>96</v>
      </c>
      <c r="L120" t="s">
        <v>96</v>
      </c>
      <c r="M120">
        <v>3277.5</v>
      </c>
      <c r="O120" s="12" t="str">
        <f t="shared" si="12"/>
        <v>AFR</v>
      </c>
      <c r="P120" s="12" t="str">
        <f t="shared" si="13"/>
        <v>E_WON</v>
      </c>
    </row>
    <row r="121" spans="1:25" x14ac:dyDescent="0.35">
      <c r="A121" t="s">
        <v>95</v>
      </c>
      <c r="B121" t="s">
        <v>3110</v>
      </c>
      <c r="C121" t="s">
        <v>45</v>
      </c>
      <c r="D121" t="s">
        <v>477</v>
      </c>
      <c r="E121" t="s">
        <v>96</v>
      </c>
      <c r="F121" t="s">
        <v>96</v>
      </c>
      <c r="G121" t="s">
        <v>96</v>
      </c>
      <c r="H121">
        <v>2010</v>
      </c>
      <c r="I121" t="s">
        <v>96</v>
      </c>
      <c r="J121" t="s">
        <v>97</v>
      </c>
      <c r="K121" t="s">
        <v>96</v>
      </c>
      <c r="L121" t="s">
        <v>96</v>
      </c>
      <c r="M121">
        <v>3277.5</v>
      </c>
      <c r="O121" s="12" t="str">
        <f t="shared" si="12"/>
        <v>AFR</v>
      </c>
      <c r="P121" s="12" t="str">
        <f t="shared" si="13"/>
        <v>E_WON</v>
      </c>
    </row>
    <row r="122" spans="1:25" x14ac:dyDescent="0.35">
      <c r="A122" t="s">
        <v>95</v>
      </c>
      <c r="B122" t="s">
        <v>3110</v>
      </c>
      <c r="C122" t="s">
        <v>45</v>
      </c>
      <c r="D122" t="s">
        <v>479</v>
      </c>
      <c r="E122" t="s">
        <v>96</v>
      </c>
      <c r="F122" t="s">
        <v>96</v>
      </c>
      <c r="G122" t="s">
        <v>96</v>
      </c>
      <c r="H122">
        <v>2010</v>
      </c>
      <c r="I122" t="s">
        <v>96</v>
      </c>
      <c r="J122" t="s">
        <v>97</v>
      </c>
      <c r="K122" t="s">
        <v>96</v>
      </c>
      <c r="L122" t="s">
        <v>96</v>
      </c>
      <c r="M122">
        <v>3277.5</v>
      </c>
      <c r="O122" s="12" t="str">
        <f t="shared" si="12"/>
        <v>AFR</v>
      </c>
      <c r="P122" s="12" t="str">
        <f t="shared" si="13"/>
        <v>E_WON</v>
      </c>
    </row>
    <row r="123" spans="1:25" x14ac:dyDescent="0.35">
      <c r="A123" t="s">
        <v>95</v>
      </c>
      <c r="B123" t="s">
        <v>3110</v>
      </c>
      <c r="C123" t="s">
        <v>45</v>
      </c>
      <c r="D123" t="s">
        <v>490</v>
      </c>
      <c r="E123" t="s">
        <v>96</v>
      </c>
      <c r="F123" t="s">
        <v>96</v>
      </c>
      <c r="G123" t="s">
        <v>96</v>
      </c>
      <c r="H123">
        <v>2010</v>
      </c>
      <c r="I123" t="s">
        <v>96</v>
      </c>
      <c r="J123" t="s">
        <v>97</v>
      </c>
      <c r="K123" t="s">
        <v>96</v>
      </c>
      <c r="L123" t="s">
        <v>96</v>
      </c>
      <c r="M123">
        <v>3277.5</v>
      </c>
      <c r="O123" s="12" t="str">
        <f t="shared" si="12"/>
        <v>AFR</v>
      </c>
      <c r="P123" s="12" t="str">
        <f t="shared" si="13"/>
        <v>E_WON</v>
      </c>
    </row>
    <row r="124" spans="1:25" x14ac:dyDescent="0.35">
      <c r="A124" t="s">
        <v>95</v>
      </c>
      <c r="B124" t="s">
        <v>3110</v>
      </c>
      <c r="C124" t="s">
        <v>45</v>
      </c>
      <c r="D124" t="s">
        <v>491</v>
      </c>
      <c r="E124" t="s">
        <v>96</v>
      </c>
      <c r="F124" t="s">
        <v>96</v>
      </c>
      <c r="G124" t="s">
        <v>96</v>
      </c>
      <c r="H124">
        <v>2010</v>
      </c>
      <c r="I124" t="s">
        <v>96</v>
      </c>
      <c r="J124" t="s">
        <v>97</v>
      </c>
      <c r="K124" t="s">
        <v>96</v>
      </c>
      <c r="L124" t="s">
        <v>96</v>
      </c>
      <c r="M124">
        <v>3277.5</v>
      </c>
      <c r="O124" s="12" t="str">
        <f t="shared" si="12"/>
        <v>AFR</v>
      </c>
      <c r="P124" s="12" t="str">
        <f t="shared" si="13"/>
        <v>E_WON</v>
      </c>
    </row>
    <row r="125" spans="1:25" x14ac:dyDescent="0.35">
      <c r="A125" t="s">
        <v>95</v>
      </c>
      <c r="B125" t="s">
        <v>3110</v>
      </c>
      <c r="C125" t="s">
        <v>45</v>
      </c>
      <c r="D125" t="s">
        <v>492</v>
      </c>
      <c r="E125" t="s">
        <v>96</v>
      </c>
      <c r="F125" t="s">
        <v>96</v>
      </c>
      <c r="G125" t="s">
        <v>96</v>
      </c>
      <c r="H125">
        <v>2010</v>
      </c>
      <c r="I125" t="s">
        <v>96</v>
      </c>
      <c r="J125" t="s">
        <v>97</v>
      </c>
      <c r="K125" t="s">
        <v>96</v>
      </c>
      <c r="L125" t="s">
        <v>96</v>
      </c>
      <c r="M125">
        <v>3277.5</v>
      </c>
      <c r="O125" s="12" t="str">
        <f t="shared" si="12"/>
        <v>AFR</v>
      </c>
      <c r="P125" s="12" t="str">
        <f t="shared" si="13"/>
        <v>E_WON</v>
      </c>
    </row>
    <row r="126" spans="1:25" x14ac:dyDescent="0.35">
      <c r="A126" t="s">
        <v>95</v>
      </c>
      <c r="B126" t="s">
        <v>3110</v>
      </c>
      <c r="C126" t="s">
        <v>45</v>
      </c>
      <c r="D126" t="s">
        <v>495</v>
      </c>
      <c r="E126" t="s">
        <v>96</v>
      </c>
      <c r="F126" t="s">
        <v>96</v>
      </c>
      <c r="G126" t="s">
        <v>96</v>
      </c>
      <c r="H126">
        <v>2010</v>
      </c>
      <c r="I126" t="s">
        <v>96</v>
      </c>
      <c r="J126" t="s">
        <v>97</v>
      </c>
      <c r="K126" t="s">
        <v>96</v>
      </c>
      <c r="L126" t="s">
        <v>96</v>
      </c>
      <c r="M126">
        <v>3277.5</v>
      </c>
      <c r="O126" s="12" t="str">
        <f t="shared" si="12"/>
        <v>AFR</v>
      </c>
      <c r="P126" s="12" t="str">
        <f t="shared" si="13"/>
        <v>E_WON</v>
      </c>
    </row>
    <row r="127" spans="1:25" x14ac:dyDescent="0.35">
      <c r="A127" t="s">
        <v>95</v>
      </c>
      <c r="B127" t="s">
        <v>3110</v>
      </c>
      <c r="C127" t="s">
        <v>45</v>
      </c>
      <c r="D127" t="s">
        <v>497</v>
      </c>
      <c r="E127" t="s">
        <v>96</v>
      </c>
      <c r="F127" t="s">
        <v>96</v>
      </c>
      <c r="G127" t="s">
        <v>96</v>
      </c>
      <c r="H127">
        <v>2010</v>
      </c>
      <c r="I127" t="s">
        <v>96</v>
      </c>
      <c r="J127" t="s">
        <v>97</v>
      </c>
      <c r="K127" t="s">
        <v>96</v>
      </c>
      <c r="L127" t="s">
        <v>96</v>
      </c>
      <c r="M127">
        <v>3277.5</v>
      </c>
      <c r="O127" s="12" t="str">
        <f t="shared" si="12"/>
        <v>AFR</v>
      </c>
      <c r="P127" s="12" t="str">
        <f t="shared" si="13"/>
        <v>E_WON</v>
      </c>
    </row>
    <row r="128" spans="1:25" x14ac:dyDescent="0.35">
      <c r="A128" t="s">
        <v>95</v>
      </c>
      <c r="B128" t="s">
        <v>3110</v>
      </c>
      <c r="C128" t="s">
        <v>45</v>
      </c>
      <c r="D128" t="s">
        <v>499</v>
      </c>
      <c r="E128" t="s">
        <v>96</v>
      </c>
      <c r="F128" t="s">
        <v>96</v>
      </c>
      <c r="G128" t="s">
        <v>96</v>
      </c>
      <c r="H128">
        <v>2010</v>
      </c>
      <c r="I128" t="s">
        <v>96</v>
      </c>
      <c r="J128" t="s">
        <v>97</v>
      </c>
      <c r="K128" t="s">
        <v>96</v>
      </c>
      <c r="L128" t="s">
        <v>96</v>
      </c>
      <c r="M128">
        <v>3277.5</v>
      </c>
      <c r="O128" s="12" t="str">
        <f t="shared" si="12"/>
        <v>AFR</v>
      </c>
      <c r="P128" s="12" t="str">
        <f t="shared" si="13"/>
        <v>E_WON</v>
      </c>
    </row>
    <row r="129" spans="1:16" x14ac:dyDescent="0.35">
      <c r="A129" t="s">
        <v>95</v>
      </c>
      <c r="B129" t="s">
        <v>3110</v>
      </c>
      <c r="C129" t="s">
        <v>45</v>
      </c>
      <c r="D129" t="s">
        <v>501</v>
      </c>
      <c r="E129" t="s">
        <v>96</v>
      </c>
      <c r="F129" t="s">
        <v>96</v>
      </c>
      <c r="G129" t="s">
        <v>96</v>
      </c>
      <c r="H129">
        <v>2010</v>
      </c>
      <c r="I129" t="s">
        <v>96</v>
      </c>
      <c r="J129" t="s">
        <v>97</v>
      </c>
      <c r="K129" t="s">
        <v>96</v>
      </c>
      <c r="L129" t="s">
        <v>96</v>
      </c>
      <c r="M129">
        <v>3277.5</v>
      </c>
      <c r="O129" s="12" t="str">
        <f t="shared" si="12"/>
        <v>AFR</v>
      </c>
      <c r="P129" s="12" t="str">
        <f t="shared" si="13"/>
        <v>E_WON</v>
      </c>
    </row>
    <row r="130" spans="1:16" x14ac:dyDescent="0.35">
      <c r="A130" t="s">
        <v>95</v>
      </c>
      <c r="B130" t="s">
        <v>3110</v>
      </c>
      <c r="C130" t="s">
        <v>45</v>
      </c>
      <c r="D130" t="s">
        <v>503</v>
      </c>
      <c r="E130" t="s">
        <v>96</v>
      </c>
      <c r="F130" t="s">
        <v>96</v>
      </c>
      <c r="G130" t="s">
        <v>96</v>
      </c>
      <c r="H130">
        <v>2010</v>
      </c>
      <c r="I130" t="s">
        <v>96</v>
      </c>
      <c r="J130" t="s">
        <v>97</v>
      </c>
      <c r="K130" t="s">
        <v>96</v>
      </c>
      <c r="L130" t="s">
        <v>96</v>
      </c>
      <c r="M130">
        <v>3277.5</v>
      </c>
      <c r="O130" s="12" t="str">
        <f t="shared" si="12"/>
        <v>AFR</v>
      </c>
      <c r="P130" s="12" t="str">
        <f t="shared" si="13"/>
        <v>E_WON</v>
      </c>
    </row>
    <row r="131" spans="1:16" x14ac:dyDescent="0.35">
      <c r="A131" t="s">
        <v>95</v>
      </c>
      <c r="B131" t="s">
        <v>3110</v>
      </c>
      <c r="C131" t="s">
        <v>45</v>
      </c>
      <c r="D131" t="s">
        <v>505</v>
      </c>
      <c r="E131" t="s">
        <v>96</v>
      </c>
      <c r="F131" t="s">
        <v>96</v>
      </c>
      <c r="G131" t="s">
        <v>96</v>
      </c>
      <c r="H131">
        <v>2010</v>
      </c>
      <c r="I131" t="s">
        <v>96</v>
      </c>
      <c r="J131" t="s">
        <v>97</v>
      </c>
      <c r="K131" t="s">
        <v>96</v>
      </c>
      <c r="L131" t="s">
        <v>96</v>
      </c>
      <c r="M131">
        <v>3277.5</v>
      </c>
      <c r="O131" s="12" t="str">
        <f t="shared" ref="O131:O194" si="18">LEFT(B131,3)</f>
        <v>AFR</v>
      </c>
      <c r="P131" s="12" t="str">
        <f t="shared" ref="P131:P194" si="19">LEFT(D131,5)</f>
        <v>E_WON</v>
      </c>
    </row>
    <row r="132" spans="1:16" x14ac:dyDescent="0.35">
      <c r="A132" t="s">
        <v>95</v>
      </c>
      <c r="B132" t="s">
        <v>3110</v>
      </c>
      <c r="C132" t="s">
        <v>45</v>
      </c>
      <c r="D132" t="s">
        <v>509</v>
      </c>
      <c r="E132" t="s">
        <v>96</v>
      </c>
      <c r="F132" t="s">
        <v>96</v>
      </c>
      <c r="G132" t="s">
        <v>96</v>
      </c>
      <c r="H132">
        <v>2010</v>
      </c>
      <c r="I132" t="s">
        <v>96</v>
      </c>
      <c r="J132" t="s">
        <v>97</v>
      </c>
      <c r="K132" t="s">
        <v>96</v>
      </c>
      <c r="L132" t="s">
        <v>96</v>
      </c>
      <c r="M132">
        <v>3277.5</v>
      </c>
      <c r="O132" s="12" t="str">
        <f t="shared" si="18"/>
        <v>AFR</v>
      </c>
      <c r="P132" s="12" t="str">
        <f t="shared" si="19"/>
        <v>E_WON</v>
      </c>
    </row>
    <row r="133" spans="1:16" x14ac:dyDescent="0.35">
      <c r="A133" t="s">
        <v>95</v>
      </c>
      <c r="B133" t="s">
        <v>3110</v>
      </c>
      <c r="C133" t="s">
        <v>45</v>
      </c>
      <c r="D133" t="s">
        <v>510</v>
      </c>
      <c r="E133" t="s">
        <v>96</v>
      </c>
      <c r="F133" t="s">
        <v>96</v>
      </c>
      <c r="G133" t="s">
        <v>96</v>
      </c>
      <c r="H133">
        <v>2010</v>
      </c>
      <c r="I133" t="s">
        <v>96</v>
      </c>
      <c r="J133" t="s">
        <v>97</v>
      </c>
      <c r="K133" t="s">
        <v>96</v>
      </c>
      <c r="L133" t="s">
        <v>96</v>
      </c>
      <c r="M133">
        <v>3277.5</v>
      </c>
      <c r="O133" s="12" t="str">
        <f t="shared" si="18"/>
        <v>AFR</v>
      </c>
      <c r="P133" s="12" t="str">
        <f t="shared" si="19"/>
        <v>E_WON</v>
      </c>
    </row>
    <row r="134" spans="1:16" x14ac:dyDescent="0.35">
      <c r="A134" t="s">
        <v>95</v>
      </c>
      <c r="B134" t="s">
        <v>3110</v>
      </c>
      <c r="C134" t="s">
        <v>45</v>
      </c>
      <c r="D134" t="s">
        <v>520</v>
      </c>
      <c r="E134" t="s">
        <v>96</v>
      </c>
      <c r="F134" t="s">
        <v>96</v>
      </c>
      <c r="G134" t="s">
        <v>96</v>
      </c>
      <c r="H134">
        <v>2010</v>
      </c>
      <c r="I134" t="s">
        <v>96</v>
      </c>
      <c r="J134" t="s">
        <v>97</v>
      </c>
      <c r="K134" t="s">
        <v>96</v>
      </c>
      <c r="L134" t="s">
        <v>96</v>
      </c>
      <c r="M134">
        <v>3277.5</v>
      </c>
      <c r="O134" s="12" t="str">
        <f t="shared" si="18"/>
        <v>AFR</v>
      </c>
      <c r="P134" s="12" t="str">
        <f t="shared" si="19"/>
        <v>E_WON</v>
      </c>
    </row>
    <row r="135" spans="1:16" x14ac:dyDescent="0.35">
      <c r="A135" t="s">
        <v>95</v>
      </c>
      <c r="B135" t="s">
        <v>3110</v>
      </c>
      <c r="C135" t="s">
        <v>45</v>
      </c>
      <c r="D135" t="s">
        <v>521</v>
      </c>
      <c r="E135" t="s">
        <v>96</v>
      </c>
      <c r="F135" t="s">
        <v>96</v>
      </c>
      <c r="G135" t="s">
        <v>96</v>
      </c>
      <c r="H135">
        <v>2010</v>
      </c>
      <c r="I135" t="s">
        <v>96</v>
      </c>
      <c r="J135" t="s">
        <v>97</v>
      </c>
      <c r="K135" t="s">
        <v>96</v>
      </c>
      <c r="L135" t="s">
        <v>96</v>
      </c>
      <c r="M135">
        <v>3277.5</v>
      </c>
      <c r="O135" s="12" t="str">
        <f t="shared" si="18"/>
        <v>AFR</v>
      </c>
      <c r="P135" s="12" t="str">
        <f t="shared" si="19"/>
        <v>E_WON</v>
      </c>
    </row>
    <row r="136" spans="1:16" x14ac:dyDescent="0.35">
      <c r="A136" t="s">
        <v>95</v>
      </c>
      <c r="B136" t="s">
        <v>3110</v>
      </c>
      <c r="C136" t="s">
        <v>45</v>
      </c>
      <c r="D136" t="s">
        <v>522</v>
      </c>
      <c r="E136" t="s">
        <v>96</v>
      </c>
      <c r="F136" t="s">
        <v>96</v>
      </c>
      <c r="G136" t="s">
        <v>96</v>
      </c>
      <c r="H136">
        <v>2010</v>
      </c>
      <c r="I136" t="s">
        <v>96</v>
      </c>
      <c r="J136" t="s">
        <v>97</v>
      </c>
      <c r="K136" t="s">
        <v>96</v>
      </c>
      <c r="L136" t="s">
        <v>96</v>
      </c>
      <c r="M136">
        <v>3277.5</v>
      </c>
      <c r="O136" s="12" t="str">
        <f t="shared" si="18"/>
        <v>AFR</v>
      </c>
      <c r="P136" s="12" t="str">
        <f t="shared" si="19"/>
        <v>E_WON</v>
      </c>
    </row>
    <row r="137" spans="1:16" x14ac:dyDescent="0.35">
      <c r="A137" t="s">
        <v>95</v>
      </c>
      <c r="B137" t="s">
        <v>3110</v>
      </c>
      <c r="C137" t="s">
        <v>45</v>
      </c>
      <c r="D137" t="s">
        <v>525</v>
      </c>
      <c r="E137" t="s">
        <v>96</v>
      </c>
      <c r="F137" t="s">
        <v>96</v>
      </c>
      <c r="G137" t="s">
        <v>96</v>
      </c>
      <c r="H137">
        <v>2010</v>
      </c>
      <c r="I137" t="s">
        <v>96</v>
      </c>
      <c r="J137" t="s">
        <v>97</v>
      </c>
      <c r="K137" t="s">
        <v>96</v>
      </c>
      <c r="L137" t="s">
        <v>96</v>
      </c>
      <c r="M137">
        <v>3277.5</v>
      </c>
      <c r="O137" s="12" t="str">
        <f t="shared" si="18"/>
        <v>AFR</v>
      </c>
      <c r="P137" s="12" t="str">
        <f t="shared" si="19"/>
        <v>E_WON</v>
      </c>
    </row>
    <row r="138" spans="1:16" x14ac:dyDescent="0.35">
      <c r="A138" t="s">
        <v>95</v>
      </c>
      <c r="B138" t="s">
        <v>3110</v>
      </c>
      <c r="C138" t="s">
        <v>45</v>
      </c>
      <c r="D138" t="s">
        <v>527</v>
      </c>
      <c r="E138" t="s">
        <v>96</v>
      </c>
      <c r="F138" t="s">
        <v>96</v>
      </c>
      <c r="G138" t="s">
        <v>96</v>
      </c>
      <c r="H138">
        <v>2010</v>
      </c>
      <c r="I138" t="s">
        <v>96</v>
      </c>
      <c r="J138" t="s">
        <v>97</v>
      </c>
      <c r="K138" t="s">
        <v>96</v>
      </c>
      <c r="L138" t="s">
        <v>96</v>
      </c>
      <c r="M138">
        <v>3277.5</v>
      </c>
      <c r="O138" s="12" t="str">
        <f t="shared" si="18"/>
        <v>AFR</v>
      </c>
      <c r="P138" s="12" t="str">
        <f t="shared" si="19"/>
        <v>E_WON</v>
      </c>
    </row>
    <row r="139" spans="1:16" x14ac:dyDescent="0.35">
      <c r="A139" t="s">
        <v>95</v>
      </c>
      <c r="B139" t="s">
        <v>3110</v>
      </c>
      <c r="C139" t="s">
        <v>45</v>
      </c>
      <c r="D139" t="s">
        <v>530</v>
      </c>
      <c r="E139" t="s">
        <v>96</v>
      </c>
      <c r="F139" t="s">
        <v>96</v>
      </c>
      <c r="G139" t="s">
        <v>96</v>
      </c>
      <c r="H139">
        <v>2010</v>
      </c>
      <c r="I139" t="s">
        <v>96</v>
      </c>
      <c r="J139" t="s">
        <v>97</v>
      </c>
      <c r="K139" t="s">
        <v>96</v>
      </c>
      <c r="L139" t="s">
        <v>96</v>
      </c>
      <c r="M139">
        <v>3277.5</v>
      </c>
      <c r="O139" s="12" t="str">
        <f t="shared" si="18"/>
        <v>AFR</v>
      </c>
      <c r="P139" s="12" t="str">
        <f t="shared" si="19"/>
        <v>E_WON</v>
      </c>
    </row>
    <row r="140" spans="1:16" x14ac:dyDescent="0.35">
      <c r="A140" t="s">
        <v>95</v>
      </c>
      <c r="B140" t="s">
        <v>3110</v>
      </c>
      <c r="C140" t="s">
        <v>45</v>
      </c>
      <c r="D140" t="s">
        <v>532</v>
      </c>
      <c r="E140" t="s">
        <v>96</v>
      </c>
      <c r="F140" t="s">
        <v>96</v>
      </c>
      <c r="G140" t="s">
        <v>96</v>
      </c>
      <c r="H140">
        <v>2010</v>
      </c>
      <c r="I140" t="s">
        <v>96</v>
      </c>
      <c r="J140" t="s">
        <v>97</v>
      </c>
      <c r="K140" t="s">
        <v>96</v>
      </c>
      <c r="L140" t="s">
        <v>96</v>
      </c>
      <c r="M140">
        <v>3277.5</v>
      </c>
      <c r="O140" s="12" t="str">
        <f t="shared" si="18"/>
        <v>AFR</v>
      </c>
      <c r="P140" s="12" t="str">
        <f t="shared" si="19"/>
        <v>E_WON</v>
      </c>
    </row>
    <row r="141" spans="1:16" x14ac:dyDescent="0.35">
      <c r="A141" t="s">
        <v>95</v>
      </c>
      <c r="B141" t="s">
        <v>3110</v>
      </c>
      <c r="C141" t="s">
        <v>45</v>
      </c>
      <c r="D141" t="s">
        <v>534</v>
      </c>
      <c r="E141" t="s">
        <v>96</v>
      </c>
      <c r="F141" t="s">
        <v>96</v>
      </c>
      <c r="G141" t="s">
        <v>96</v>
      </c>
      <c r="H141">
        <v>2010</v>
      </c>
      <c r="I141" t="s">
        <v>96</v>
      </c>
      <c r="J141" t="s">
        <v>97</v>
      </c>
      <c r="K141" t="s">
        <v>96</v>
      </c>
      <c r="L141" t="s">
        <v>96</v>
      </c>
      <c r="M141">
        <v>3277.5</v>
      </c>
      <c r="O141" s="12" t="str">
        <f t="shared" si="18"/>
        <v>AFR</v>
      </c>
      <c r="P141" s="12" t="str">
        <f t="shared" si="19"/>
        <v>E_WON</v>
      </c>
    </row>
    <row r="142" spans="1:16" x14ac:dyDescent="0.35">
      <c r="A142" t="s">
        <v>95</v>
      </c>
      <c r="B142" t="s">
        <v>3110</v>
      </c>
      <c r="C142" t="s">
        <v>45</v>
      </c>
      <c r="D142" t="s">
        <v>537</v>
      </c>
      <c r="E142" t="s">
        <v>96</v>
      </c>
      <c r="F142" t="s">
        <v>96</v>
      </c>
      <c r="G142" t="s">
        <v>96</v>
      </c>
      <c r="H142">
        <v>2010</v>
      </c>
      <c r="I142" t="s">
        <v>96</v>
      </c>
      <c r="J142" t="s">
        <v>97</v>
      </c>
      <c r="K142" t="s">
        <v>96</v>
      </c>
      <c r="L142" t="s">
        <v>96</v>
      </c>
      <c r="M142">
        <v>3277.5</v>
      </c>
      <c r="O142" s="12" t="str">
        <f t="shared" si="18"/>
        <v>AFR</v>
      </c>
      <c r="P142" s="12" t="str">
        <f t="shared" si="19"/>
        <v>E_WON</v>
      </c>
    </row>
    <row r="143" spans="1:16" x14ac:dyDescent="0.35">
      <c r="A143" t="s">
        <v>95</v>
      </c>
      <c r="B143" t="s">
        <v>3110</v>
      </c>
      <c r="C143" t="s">
        <v>45</v>
      </c>
      <c r="D143" t="s">
        <v>544</v>
      </c>
      <c r="E143" t="s">
        <v>96</v>
      </c>
      <c r="F143" t="s">
        <v>96</v>
      </c>
      <c r="G143" t="s">
        <v>96</v>
      </c>
      <c r="H143">
        <v>2010</v>
      </c>
      <c r="I143" t="s">
        <v>96</v>
      </c>
      <c r="J143" t="s">
        <v>97</v>
      </c>
      <c r="K143" t="s">
        <v>96</v>
      </c>
      <c r="L143" t="s">
        <v>96</v>
      </c>
      <c r="M143">
        <v>3277.5</v>
      </c>
      <c r="O143" s="12" t="str">
        <f t="shared" si="18"/>
        <v>AFR</v>
      </c>
      <c r="P143" s="12" t="str">
        <f t="shared" si="19"/>
        <v>E_WON</v>
      </c>
    </row>
    <row r="144" spans="1:16" x14ac:dyDescent="0.35">
      <c r="A144" t="s">
        <v>95</v>
      </c>
      <c r="B144" t="s">
        <v>3110</v>
      </c>
      <c r="C144" t="s">
        <v>45</v>
      </c>
      <c r="D144" t="s">
        <v>545</v>
      </c>
      <c r="E144" t="s">
        <v>96</v>
      </c>
      <c r="F144" t="s">
        <v>96</v>
      </c>
      <c r="G144" t="s">
        <v>96</v>
      </c>
      <c r="H144">
        <v>2010</v>
      </c>
      <c r="I144" t="s">
        <v>96</v>
      </c>
      <c r="J144" t="s">
        <v>97</v>
      </c>
      <c r="K144" t="s">
        <v>96</v>
      </c>
      <c r="L144" t="s">
        <v>96</v>
      </c>
      <c r="M144">
        <v>3277.5</v>
      </c>
      <c r="O144" s="12" t="str">
        <f t="shared" si="18"/>
        <v>AFR</v>
      </c>
      <c r="P144" s="12" t="str">
        <f t="shared" si="19"/>
        <v>E_WON</v>
      </c>
    </row>
    <row r="145" spans="1:16" x14ac:dyDescent="0.35">
      <c r="A145" t="s">
        <v>95</v>
      </c>
      <c r="B145" t="s">
        <v>3110</v>
      </c>
      <c r="C145" t="s">
        <v>45</v>
      </c>
      <c r="D145" t="s">
        <v>548</v>
      </c>
      <c r="E145" t="s">
        <v>96</v>
      </c>
      <c r="F145" t="s">
        <v>96</v>
      </c>
      <c r="G145" t="s">
        <v>96</v>
      </c>
      <c r="H145">
        <v>2010</v>
      </c>
      <c r="I145" t="s">
        <v>96</v>
      </c>
      <c r="J145" t="s">
        <v>97</v>
      </c>
      <c r="K145" t="s">
        <v>96</v>
      </c>
      <c r="L145" t="s">
        <v>96</v>
      </c>
      <c r="M145">
        <v>3277.5</v>
      </c>
      <c r="O145" s="12" t="str">
        <f t="shared" si="18"/>
        <v>AFR</v>
      </c>
      <c r="P145" s="12" t="str">
        <f t="shared" si="19"/>
        <v>E_WON</v>
      </c>
    </row>
    <row r="146" spans="1:16" x14ac:dyDescent="0.35">
      <c r="A146" t="s">
        <v>95</v>
      </c>
      <c r="B146" t="s">
        <v>3110</v>
      </c>
      <c r="C146" t="s">
        <v>45</v>
      </c>
      <c r="D146" t="s">
        <v>551</v>
      </c>
      <c r="E146" t="s">
        <v>96</v>
      </c>
      <c r="F146" t="s">
        <v>96</v>
      </c>
      <c r="G146" t="s">
        <v>96</v>
      </c>
      <c r="H146">
        <v>2010</v>
      </c>
      <c r="I146" t="s">
        <v>96</v>
      </c>
      <c r="J146" t="s">
        <v>97</v>
      </c>
      <c r="K146" t="s">
        <v>96</v>
      </c>
      <c r="L146" t="s">
        <v>96</v>
      </c>
      <c r="M146">
        <v>3277.5</v>
      </c>
      <c r="O146" s="12" t="str">
        <f t="shared" si="18"/>
        <v>AFR</v>
      </c>
      <c r="P146" s="12" t="str">
        <f t="shared" si="19"/>
        <v>E_WON</v>
      </c>
    </row>
    <row r="147" spans="1:16" x14ac:dyDescent="0.35">
      <c r="A147" t="s">
        <v>95</v>
      </c>
      <c r="B147" t="s">
        <v>3110</v>
      </c>
      <c r="C147" t="s">
        <v>45</v>
      </c>
      <c r="D147" t="s">
        <v>552</v>
      </c>
      <c r="E147" t="s">
        <v>96</v>
      </c>
      <c r="F147" t="s">
        <v>96</v>
      </c>
      <c r="G147" t="s">
        <v>96</v>
      </c>
      <c r="H147">
        <v>2010</v>
      </c>
      <c r="I147" t="s">
        <v>96</v>
      </c>
      <c r="J147" t="s">
        <v>97</v>
      </c>
      <c r="K147" t="s">
        <v>96</v>
      </c>
      <c r="L147" t="s">
        <v>96</v>
      </c>
      <c r="M147">
        <v>3277.5</v>
      </c>
      <c r="O147" s="12" t="str">
        <f t="shared" si="18"/>
        <v>AFR</v>
      </c>
      <c r="P147" s="12" t="str">
        <f t="shared" si="19"/>
        <v>E_WON</v>
      </c>
    </row>
    <row r="148" spans="1:16" x14ac:dyDescent="0.35">
      <c r="A148" t="s">
        <v>95</v>
      </c>
      <c r="B148" t="s">
        <v>3110</v>
      </c>
      <c r="C148" t="s">
        <v>45</v>
      </c>
      <c r="D148" t="s">
        <v>558</v>
      </c>
      <c r="E148" t="s">
        <v>96</v>
      </c>
      <c r="F148" t="s">
        <v>96</v>
      </c>
      <c r="G148" t="s">
        <v>96</v>
      </c>
      <c r="H148">
        <v>2010</v>
      </c>
      <c r="I148" t="s">
        <v>96</v>
      </c>
      <c r="J148" t="s">
        <v>97</v>
      </c>
      <c r="K148" t="s">
        <v>96</v>
      </c>
      <c r="L148" t="s">
        <v>96</v>
      </c>
      <c r="M148">
        <v>3277.5</v>
      </c>
      <c r="O148" s="12" t="str">
        <f t="shared" si="18"/>
        <v>AFR</v>
      </c>
      <c r="P148" s="12" t="str">
        <f t="shared" si="19"/>
        <v>E_WON</v>
      </c>
    </row>
    <row r="149" spans="1:16" x14ac:dyDescent="0.35">
      <c r="A149" t="s">
        <v>95</v>
      </c>
      <c r="B149" t="s">
        <v>3110</v>
      </c>
      <c r="C149" t="s">
        <v>45</v>
      </c>
      <c r="D149" t="s">
        <v>561</v>
      </c>
      <c r="E149" t="s">
        <v>96</v>
      </c>
      <c r="F149" t="s">
        <v>96</v>
      </c>
      <c r="G149" t="s">
        <v>96</v>
      </c>
      <c r="H149">
        <v>2010</v>
      </c>
      <c r="I149" t="s">
        <v>96</v>
      </c>
      <c r="J149" t="s">
        <v>97</v>
      </c>
      <c r="K149" t="s">
        <v>96</v>
      </c>
      <c r="L149" t="s">
        <v>96</v>
      </c>
      <c r="M149">
        <v>3277.5</v>
      </c>
      <c r="O149" s="12" t="str">
        <f t="shared" si="18"/>
        <v>AFR</v>
      </c>
      <c r="P149" s="12" t="str">
        <f t="shared" si="19"/>
        <v>E_WON</v>
      </c>
    </row>
    <row r="150" spans="1:16" x14ac:dyDescent="0.35">
      <c r="A150" t="s">
        <v>95</v>
      </c>
      <c r="B150" t="s">
        <v>3110</v>
      </c>
      <c r="C150" t="s">
        <v>45</v>
      </c>
      <c r="D150" t="s">
        <v>563</v>
      </c>
      <c r="E150" t="s">
        <v>96</v>
      </c>
      <c r="F150" t="s">
        <v>96</v>
      </c>
      <c r="G150" t="s">
        <v>96</v>
      </c>
      <c r="H150">
        <v>2010</v>
      </c>
      <c r="I150" t="s">
        <v>96</v>
      </c>
      <c r="J150" t="s">
        <v>97</v>
      </c>
      <c r="K150" t="s">
        <v>96</v>
      </c>
      <c r="L150" t="s">
        <v>96</v>
      </c>
      <c r="M150">
        <v>3277.5</v>
      </c>
      <c r="O150" s="12" t="str">
        <f t="shared" si="18"/>
        <v>AFR</v>
      </c>
      <c r="P150" s="12" t="str">
        <f t="shared" si="19"/>
        <v>E_WON</v>
      </c>
    </row>
    <row r="151" spans="1:16" x14ac:dyDescent="0.35">
      <c r="A151" t="s">
        <v>95</v>
      </c>
      <c r="B151" t="s">
        <v>3110</v>
      </c>
      <c r="C151" t="s">
        <v>45</v>
      </c>
      <c r="D151" t="s">
        <v>564</v>
      </c>
      <c r="E151" t="s">
        <v>96</v>
      </c>
      <c r="F151" t="s">
        <v>96</v>
      </c>
      <c r="G151" t="s">
        <v>96</v>
      </c>
      <c r="H151">
        <v>2010</v>
      </c>
      <c r="I151" t="s">
        <v>96</v>
      </c>
      <c r="J151" t="s">
        <v>97</v>
      </c>
      <c r="K151" t="s">
        <v>96</v>
      </c>
      <c r="L151" t="s">
        <v>96</v>
      </c>
      <c r="M151">
        <v>3277.5</v>
      </c>
      <c r="O151" s="12" t="str">
        <f t="shared" si="18"/>
        <v>AFR</v>
      </c>
      <c r="P151" s="12" t="str">
        <f t="shared" si="19"/>
        <v>E_WON</v>
      </c>
    </row>
    <row r="152" spans="1:16" x14ac:dyDescent="0.35">
      <c r="A152" t="s">
        <v>95</v>
      </c>
      <c r="B152" t="s">
        <v>3110</v>
      </c>
      <c r="C152" t="s">
        <v>45</v>
      </c>
      <c r="D152" t="s">
        <v>569</v>
      </c>
      <c r="E152" t="s">
        <v>96</v>
      </c>
      <c r="F152" t="s">
        <v>96</v>
      </c>
      <c r="G152" t="s">
        <v>96</v>
      </c>
      <c r="H152">
        <v>2010</v>
      </c>
      <c r="I152" t="s">
        <v>96</v>
      </c>
      <c r="J152" t="s">
        <v>97</v>
      </c>
      <c r="K152" t="s">
        <v>96</v>
      </c>
      <c r="L152" t="s">
        <v>96</v>
      </c>
      <c r="M152">
        <v>3277.5</v>
      </c>
      <c r="O152" s="12" t="str">
        <f t="shared" si="18"/>
        <v>AFR</v>
      </c>
      <c r="P152" s="12" t="str">
        <f t="shared" si="19"/>
        <v>E_WON</v>
      </c>
    </row>
    <row r="153" spans="1:16" x14ac:dyDescent="0.35">
      <c r="A153" t="s">
        <v>95</v>
      </c>
      <c r="B153" t="s">
        <v>3110</v>
      </c>
      <c r="C153" t="s">
        <v>45</v>
      </c>
      <c r="D153" t="s">
        <v>572</v>
      </c>
      <c r="E153" t="s">
        <v>96</v>
      </c>
      <c r="F153" t="s">
        <v>96</v>
      </c>
      <c r="G153" t="s">
        <v>96</v>
      </c>
      <c r="H153">
        <v>2010</v>
      </c>
      <c r="I153" t="s">
        <v>96</v>
      </c>
      <c r="J153" t="s">
        <v>97</v>
      </c>
      <c r="K153" t="s">
        <v>96</v>
      </c>
      <c r="L153" t="s">
        <v>96</v>
      </c>
      <c r="M153">
        <v>3277.5</v>
      </c>
      <c r="O153" s="12" t="str">
        <f t="shared" si="18"/>
        <v>AFR</v>
      </c>
      <c r="P153" s="12" t="str">
        <f t="shared" si="19"/>
        <v>E_WON</v>
      </c>
    </row>
    <row r="154" spans="1:16" x14ac:dyDescent="0.35">
      <c r="A154" t="s">
        <v>95</v>
      </c>
      <c r="B154" t="s">
        <v>3110</v>
      </c>
      <c r="C154" t="s">
        <v>45</v>
      </c>
      <c r="D154" t="s">
        <v>574</v>
      </c>
      <c r="E154" t="s">
        <v>96</v>
      </c>
      <c r="F154" t="s">
        <v>96</v>
      </c>
      <c r="G154" t="s">
        <v>96</v>
      </c>
      <c r="H154">
        <v>2010</v>
      </c>
      <c r="I154" t="s">
        <v>96</v>
      </c>
      <c r="J154" t="s">
        <v>97</v>
      </c>
      <c r="K154" t="s">
        <v>96</v>
      </c>
      <c r="L154" t="s">
        <v>96</v>
      </c>
      <c r="M154">
        <v>3277.5</v>
      </c>
      <c r="O154" s="12" t="str">
        <f t="shared" si="18"/>
        <v>AFR</v>
      </c>
      <c r="P154" s="12" t="str">
        <f t="shared" si="19"/>
        <v>E_WON</v>
      </c>
    </row>
    <row r="155" spans="1:16" x14ac:dyDescent="0.35">
      <c r="A155" t="s">
        <v>95</v>
      </c>
      <c r="B155" t="s">
        <v>3110</v>
      </c>
      <c r="C155" t="s">
        <v>45</v>
      </c>
      <c r="D155" t="s">
        <v>577</v>
      </c>
      <c r="E155" t="s">
        <v>96</v>
      </c>
      <c r="F155" t="s">
        <v>96</v>
      </c>
      <c r="G155" t="s">
        <v>96</v>
      </c>
      <c r="H155">
        <v>2010</v>
      </c>
      <c r="I155" t="s">
        <v>96</v>
      </c>
      <c r="J155" t="s">
        <v>97</v>
      </c>
      <c r="K155" t="s">
        <v>96</v>
      </c>
      <c r="L155" t="s">
        <v>96</v>
      </c>
      <c r="M155">
        <v>3277.5</v>
      </c>
      <c r="O155" s="12" t="str">
        <f t="shared" si="18"/>
        <v>AFR</v>
      </c>
      <c r="P155" s="12" t="str">
        <f t="shared" si="19"/>
        <v>E_WON</v>
      </c>
    </row>
    <row r="156" spans="1:16" x14ac:dyDescent="0.35">
      <c r="A156" t="s">
        <v>95</v>
      </c>
      <c r="B156" t="s">
        <v>3110</v>
      </c>
      <c r="C156" t="s">
        <v>45</v>
      </c>
      <c r="D156" t="s">
        <v>580</v>
      </c>
      <c r="E156" t="s">
        <v>96</v>
      </c>
      <c r="F156" t="s">
        <v>96</v>
      </c>
      <c r="G156" t="s">
        <v>96</v>
      </c>
      <c r="H156">
        <v>2010</v>
      </c>
      <c r="I156" t="s">
        <v>96</v>
      </c>
      <c r="J156" t="s">
        <v>97</v>
      </c>
      <c r="K156" t="s">
        <v>96</v>
      </c>
      <c r="L156" t="s">
        <v>96</v>
      </c>
      <c r="M156">
        <v>3277.5</v>
      </c>
      <c r="O156" s="12" t="str">
        <f t="shared" si="18"/>
        <v>AFR</v>
      </c>
      <c r="P156" s="12" t="str">
        <f t="shared" si="19"/>
        <v>E_WON</v>
      </c>
    </row>
    <row r="157" spans="1:16" x14ac:dyDescent="0.35">
      <c r="A157" t="s">
        <v>95</v>
      </c>
      <c r="B157" t="s">
        <v>3111</v>
      </c>
      <c r="C157" t="s">
        <v>45</v>
      </c>
      <c r="D157" t="s">
        <v>98</v>
      </c>
      <c r="E157" t="s">
        <v>96</v>
      </c>
      <c r="F157" t="s">
        <v>96</v>
      </c>
      <c r="G157" t="s">
        <v>96</v>
      </c>
      <c r="H157">
        <v>2010</v>
      </c>
      <c r="I157" t="s">
        <v>96</v>
      </c>
      <c r="J157" t="s">
        <v>97</v>
      </c>
      <c r="K157" t="s">
        <v>96</v>
      </c>
      <c r="L157" t="s">
        <v>96</v>
      </c>
      <c r="M157">
        <v>3823.75</v>
      </c>
      <c r="O157" s="12" t="str">
        <f t="shared" si="18"/>
        <v>AFR</v>
      </c>
      <c r="P157" s="12" t="str">
        <f t="shared" si="19"/>
        <v>E_WON</v>
      </c>
    </row>
    <row r="158" spans="1:16" x14ac:dyDescent="0.35">
      <c r="A158" t="s">
        <v>95</v>
      </c>
      <c r="B158" t="s">
        <v>3111</v>
      </c>
      <c r="C158" t="s">
        <v>45</v>
      </c>
      <c r="D158" t="s">
        <v>99</v>
      </c>
      <c r="E158" t="s">
        <v>96</v>
      </c>
      <c r="F158" t="s">
        <v>96</v>
      </c>
      <c r="G158" t="s">
        <v>96</v>
      </c>
      <c r="H158">
        <v>2010</v>
      </c>
      <c r="I158" t="s">
        <v>96</v>
      </c>
      <c r="J158" t="s">
        <v>97</v>
      </c>
      <c r="K158" t="s">
        <v>96</v>
      </c>
      <c r="L158" t="s">
        <v>96</v>
      </c>
      <c r="M158">
        <v>3823.75</v>
      </c>
      <c r="O158" s="12" t="str">
        <f t="shared" si="18"/>
        <v>AFR</v>
      </c>
      <c r="P158" s="12" t="str">
        <f t="shared" si="19"/>
        <v>E_WON</v>
      </c>
    </row>
    <row r="159" spans="1:16" x14ac:dyDescent="0.35">
      <c r="A159" t="s">
        <v>95</v>
      </c>
      <c r="B159" t="s">
        <v>3111</v>
      </c>
      <c r="C159" t="s">
        <v>45</v>
      </c>
      <c r="D159" t="s">
        <v>100</v>
      </c>
      <c r="E159" t="s">
        <v>96</v>
      </c>
      <c r="F159" t="s">
        <v>96</v>
      </c>
      <c r="G159" t="s">
        <v>96</v>
      </c>
      <c r="H159">
        <v>2010</v>
      </c>
      <c r="I159" t="s">
        <v>96</v>
      </c>
      <c r="J159" t="s">
        <v>97</v>
      </c>
      <c r="K159" t="s">
        <v>96</v>
      </c>
      <c r="L159" t="s">
        <v>96</v>
      </c>
      <c r="M159">
        <v>3823.75</v>
      </c>
      <c r="O159" s="12" t="str">
        <f t="shared" si="18"/>
        <v>AFR</v>
      </c>
      <c r="P159" s="12" t="str">
        <f t="shared" si="19"/>
        <v>E_WON</v>
      </c>
    </row>
    <row r="160" spans="1:16" x14ac:dyDescent="0.35">
      <c r="A160" t="s">
        <v>95</v>
      </c>
      <c r="B160" t="s">
        <v>3111</v>
      </c>
      <c r="C160" t="s">
        <v>45</v>
      </c>
      <c r="D160" t="s">
        <v>101</v>
      </c>
      <c r="E160" t="s">
        <v>96</v>
      </c>
      <c r="F160" t="s">
        <v>96</v>
      </c>
      <c r="G160" t="s">
        <v>96</v>
      </c>
      <c r="H160">
        <v>2010</v>
      </c>
      <c r="I160" t="s">
        <v>96</v>
      </c>
      <c r="J160" t="s">
        <v>97</v>
      </c>
      <c r="K160" t="s">
        <v>96</v>
      </c>
      <c r="L160" t="s">
        <v>96</v>
      </c>
      <c r="M160">
        <v>3823.75</v>
      </c>
      <c r="O160" s="12" t="str">
        <f t="shared" si="18"/>
        <v>AFR</v>
      </c>
      <c r="P160" s="12" t="str">
        <f t="shared" si="19"/>
        <v>E_WON</v>
      </c>
    </row>
    <row r="161" spans="1:16" x14ac:dyDescent="0.35">
      <c r="A161" t="s">
        <v>95</v>
      </c>
      <c r="B161" t="s">
        <v>3111</v>
      </c>
      <c r="C161" t="s">
        <v>45</v>
      </c>
      <c r="D161" t="s">
        <v>102</v>
      </c>
      <c r="E161" t="s">
        <v>96</v>
      </c>
      <c r="F161" t="s">
        <v>96</v>
      </c>
      <c r="G161" t="s">
        <v>96</v>
      </c>
      <c r="H161">
        <v>2010</v>
      </c>
      <c r="I161" t="s">
        <v>96</v>
      </c>
      <c r="J161" t="s">
        <v>97</v>
      </c>
      <c r="K161" t="s">
        <v>96</v>
      </c>
      <c r="L161" t="s">
        <v>96</v>
      </c>
      <c r="M161">
        <v>3823.75</v>
      </c>
      <c r="O161" s="12" t="str">
        <f t="shared" si="18"/>
        <v>AFR</v>
      </c>
      <c r="P161" s="12" t="str">
        <f t="shared" si="19"/>
        <v>E_WON</v>
      </c>
    </row>
    <row r="162" spans="1:16" x14ac:dyDescent="0.35">
      <c r="A162" t="s">
        <v>95</v>
      </c>
      <c r="B162" t="s">
        <v>3111</v>
      </c>
      <c r="C162" t="s">
        <v>45</v>
      </c>
      <c r="D162" t="s">
        <v>103</v>
      </c>
      <c r="E162" t="s">
        <v>96</v>
      </c>
      <c r="F162" t="s">
        <v>96</v>
      </c>
      <c r="G162" t="s">
        <v>96</v>
      </c>
      <c r="H162">
        <v>2010</v>
      </c>
      <c r="I162" t="s">
        <v>96</v>
      </c>
      <c r="J162" t="s">
        <v>97</v>
      </c>
      <c r="K162" t="s">
        <v>96</v>
      </c>
      <c r="L162" t="s">
        <v>96</v>
      </c>
      <c r="M162">
        <v>3823.75</v>
      </c>
      <c r="O162" s="12" t="str">
        <f t="shared" si="18"/>
        <v>AFR</v>
      </c>
      <c r="P162" s="12" t="str">
        <f t="shared" si="19"/>
        <v>E_WON</v>
      </c>
    </row>
    <row r="163" spans="1:16" x14ac:dyDescent="0.35">
      <c r="A163" t="s">
        <v>95</v>
      </c>
      <c r="B163" t="s">
        <v>3111</v>
      </c>
      <c r="C163" t="s">
        <v>45</v>
      </c>
      <c r="D163" t="s">
        <v>107</v>
      </c>
      <c r="E163" t="s">
        <v>96</v>
      </c>
      <c r="F163" t="s">
        <v>96</v>
      </c>
      <c r="G163" t="s">
        <v>96</v>
      </c>
      <c r="H163">
        <v>2010</v>
      </c>
      <c r="I163" t="s">
        <v>96</v>
      </c>
      <c r="J163" t="s">
        <v>97</v>
      </c>
      <c r="K163" t="s">
        <v>96</v>
      </c>
      <c r="L163" t="s">
        <v>96</v>
      </c>
      <c r="M163">
        <v>3823.75</v>
      </c>
      <c r="O163" s="12" t="str">
        <f t="shared" si="18"/>
        <v>AFR</v>
      </c>
      <c r="P163" s="12" t="str">
        <f t="shared" si="19"/>
        <v>E_WON</v>
      </c>
    </row>
    <row r="164" spans="1:16" x14ac:dyDescent="0.35">
      <c r="A164" t="s">
        <v>95</v>
      </c>
      <c r="B164" t="s">
        <v>3111</v>
      </c>
      <c r="C164" t="s">
        <v>45</v>
      </c>
      <c r="D164" t="s">
        <v>108</v>
      </c>
      <c r="E164" t="s">
        <v>96</v>
      </c>
      <c r="F164" t="s">
        <v>96</v>
      </c>
      <c r="G164" t="s">
        <v>96</v>
      </c>
      <c r="H164">
        <v>2010</v>
      </c>
      <c r="I164" t="s">
        <v>96</v>
      </c>
      <c r="J164" t="s">
        <v>97</v>
      </c>
      <c r="K164" t="s">
        <v>96</v>
      </c>
      <c r="L164" t="s">
        <v>96</v>
      </c>
      <c r="M164">
        <v>3823.75</v>
      </c>
      <c r="O164" s="12" t="str">
        <f t="shared" si="18"/>
        <v>AFR</v>
      </c>
      <c r="P164" s="12" t="str">
        <f t="shared" si="19"/>
        <v>E_WON</v>
      </c>
    </row>
    <row r="165" spans="1:16" x14ac:dyDescent="0.35">
      <c r="A165" t="s">
        <v>95</v>
      </c>
      <c r="B165" t="s">
        <v>3111</v>
      </c>
      <c r="C165" t="s">
        <v>45</v>
      </c>
      <c r="D165" t="s">
        <v>109</v>
      </c>
      <c r="E165" t="s">
        <v>96</v>
      </c>
      <c r="F165" t="s">
        <v>96</v>
      </c>
      <c r="G165" t="s">
        <v>96</v>
      </c>
      <c r="H165">
        <v>2010</v>
      </c>
      <c r="I165" t="s">
        <v>96</v>
      </c>
      <c r="J165" t="s">
        <v>97</v>
      </c>
      <c r="K165" t="s">
        <v>96</v>
      </c>
      <c r="L165" t="s">
        <v>96</v>
      </c>
      <c r="M165">
        <v>3823.75</v>
      </c>
      <c r="O165" s="12" t="str">
        <f t="shared" si="18"/>
        <v>AFR</v>
      </c>
      <c r="P165" s="12" t="str">
        <f t="shared" si="19"/>
        <v>E_WON</v>
      </c>
    </row>
    <row r="166" spans="1:16" x14ac:dyDescent="0.35">
      <c r="A166" t="s">
        <v>95</v>
      </c>
      <c r="B166" t="s">
        <v>3111</v>
      </c>
      <c r="C166" t="s">
        <v>45</v>
      </c>
      <c r="D166" t="s">
        <v>110</v>
      </c>
      <c r="E166" t="s">
        <v>96</v>
      </c>
      <c r="F166" t="s">
        <v>96</v>
      </c>
      <c r="G166" t="s">
        <v>96</v>
      </c>
      <c r="H166">
        <v>2010</v>
      </c>
      <c r="I166" t="s">
        <v>96</v>
      </c>
      <c r="J166" t="s">
        <v>97</v>
      </c>
      <c r="K166" t="s">
        <v>96</v>
      </c>
      <c r="L166" t="s">
        <v>96</v>
      </c>
      <c r="M166">
        <v>3823.75</v>
      </c>
      <c r="O166" s="12" t="str">
        <f t="shared" si="18"/>
        <v>AFR</v>
      </c>
      <c r="P166" s="12" t="str">
        <f t="shared" si="19"/>
        <v>E_WON</v>
      </c>
    </row>
    <row r="167" spans="1:16" x14ac:dyDescent="0.35">
      <c r="A167" t="s">
        <v>95</v>
      </c>
      <c r="B167" t="s">
        <v>3111</v>
      </c>
      <c r="C167" t="s">
        <v>45</v>
      </c>
      <c r="D167" t="s">
        <v>111</v>
      </c>
      <c r="E167" t="s">
        <v>96</v>
      </c>
      <c r="F167" t="s">
        <v>96</v>
      </c>
      <c r="G167" t="s">
        <v>96</v>
      </c>
      <c r="H167">
        <v>2010</v>
      </c>
      <c r="I167" t="s">
        <v>96</v>
      </c>
      <c r="J167" t="s">
        <v>97</v>
      </c>
      <c r="K167" t="s">
        <v>96</v>
      </c>
      <c r="L167" t="s">
        <v>96</v>
      </c>
      <c r="M167">
        <v>4532.5</v>
      </c>
      <c r="O167" s="12" t="str">
        <f t="shared" si="18"/>
        <v>AFR</v>
      </c>
      <c r="P167" s="12" t="str">
        <f t="shared" si="19"/>
        <v>E_WON</v>
      </c>
    </row>
    <row r="168" spans="1:16" x14ac:dyDescent="0.35">
      <c r="A168" t="s">
        <v>95</v>
      </c>
      <c r="B168" t="s">
        <v>3111</v>
      </c>
      <c r="C168" t="s">
        <v>45</v>
      </c>
      <c r="D168" t="s">
        <v>112</v>
      </c>
      <c r="E168" t="s">
        <v>96</v>
      </c>
      <c r="F168" t="s">
        <v>96</v>
      </c>
      <c r="G168" t="s">
        <v>96</v>
      </c>
      <c r="H168">
        <v>2010</v>
      </c>
      <c r="I168" t="s">
        <v>96</v>
      </c>
      <c r="J168" t="s">
        <v>97</v>
      </c>
      <c r="K168" t="s">
        <v>96</v>
      </c>
      <c r="L168" t="s">
        <v>96</v>
      </c>
      <c r="M168">
        <v>3823.75</v>
      </c>
      <c r="O168" s="12" t="str">
        <f t="shared" si="18"/>
        <v>AFR</v>
      </c>
      <c r="P168" s="12" t="str">
        <f t="shared" si="19"/>
        <v>E_WON</v>
      </c>
    </row>
    <row r="169" spans="1:16" x14ac:dyDescent="0.35">
      <c r="A169" t="s">
        <v>95</v>
      </c>
      <c r="B169" t="s">
        <v>3111</v>
      </c>
      <c r="C169" t="s">
        <v>45</v>
      </c>
      <c r="D169" t="s">
        <v>114</v>
      </c>
      <c r="E169" t="s">
        <v>96</v>
      </c>
      <c r="F169" t="s">
        <v>96</v>
      </c>
      <c r="G169" t="s">
        <v>96</v>
      </c>
      <c r="H169">
        <v>2010</v>
      </c>
      <c r="I169" t="s">
        <v>96</v>
      </c>
      <c r="J169" t="s">
        <v>97</v>
      </c>
      <c r="K169" t="s">
        <v>96</v>
      </c>
      <c r="L169" t="s">
        <v>96</v>
      </c>
      <c r="M169">
        <v>3823.75</v>
      </c>
      <c r="O169" s="12" t="str">
        <f t="shared" si="18"/>
        <v>AFR</v>
      </c>
      <c r="P169" s="12" t="str">
        <f t="shared" si="19"/>
        <v>E_WON</v>
      </c>
    </row>
    <row r="170" spans="1:16" x14ac:dyDescent="0.35">
      <c r="A170" t="s">
        <v>95</v>
      </c>
      <c r="B170" t="s">
        <v>3111</v>
      </c>
      <c r="C170" t="s">
        <v>45</v>
      </c>
      <c r="D170" t="s">
        <v>116</v>
      </c>
      <c r="E170" t="s">
        <v>96</v>
      </c>
      <c r="F170" t="s">
        <v>96</v>
      </c>
      <c r="G170" t="s">
        <v>96</v>
      </c>
      <c r="H170">
        <v>2010</v>
      </c>
      <c r="I170" t="s">
        <v>96</v>
      </c>
      <c r="J170" t="s">
        <v>97</v>
      </c>
      <c r="K170" t="s">
        <v>96</v>
      </c>
      <c r="L170" t="s">
        <v>96</v>
      </c>
      <c r="M170">
        <v>3823.75</v>
      </c>
      <c r="O170" s="12" t="str">
        <f t="shared" si="18"/>
        <v>AFR</v>
      </c>
      <c r="P170" s="12" t="str">
        <f t="shared" si="19"/>
        <v>E_WON</v>
      </c>
    </row>
    <row r="171" spans="1:16" x14ac:dyDescent="0.35">
      <c r="A171" t="s">
        <v>95</v>
      </c>
      <c r="B171" t="s">
        <v>3111</v>
      </c>
      <c r="C171" t="s">
        <v>45</v>
      </c>
      <c r="D171" t="s">
        <v>118</v>
      </c>
      <c r="E171" t="s">
        <v>96</v>
      </c>
      <c r="F171" t="s">
        <v>96</v>
      </c>
      <c r="G171" t="s">
        <v>96</v>
      </c>
      <c r="H171">
        <v>2010</v>
      </c>
      <c r="I171" t="s">
        <v>96</v>
      </c>
      <c r="J171" t="s">
        <v>97</v>
      </c>
      <c r="K171" t="s">
        <v>96</v>
      </c>
      <c r="L171" t="s">
        <v>96</v>
      </c>
      <c r="M171">
        <v>3823.75</v>
      </c>
      <c r="O171" s="12" t="str">
        <f t="shared" si="18"/>
        <v>AFR</v>
      </c>
      <c r="P171" s="12" t="str">
        <f t="shared" si="19"/>
        <v>E_WON</v>
      </c>
    </row>
    <row r="172" spans="1:16" x14ac:dyDescent="0.35">
      <c r="A172" t="s">
        <v>95</v>
      </c>
      <c r="B172" t="s">
        <v>3111</v>
      </c>
      <c r="C172" t="s">
        <v>45</v>
      </c>
      <c r="D172" t="s">
        <v>120</v>
      </c>
      <c r="E172" t="s">
        <v>96</v>
      </c>
      <c r="F172" t="s">
        <v>96</v>
      </c>
      <c r="G172" t="s">
        <v>96</v>
      </c>
      <c r="H172">
        <v>2010</v>
      </c>
      <c r="I172" t="s">
        <v>96</v>
      </c>
      <c r="J172" t="s">
        <v>97</v>
      </c>
      <c r="K172" t="s">
        <v>96</v>
      </c>
      <c r="L172" t="s">
        <v>96</v>
      </c>
      <c r="M172">
        <v>3823.75</v>
      </c>
      <c r="O172" s="12" t="str">
        <f t="shared" si="18"/>
        <v>AFR</v>
      </c>
      <c r="P172" s="12" t="str">
        <f t="shared" si="19"/>
        <v>E_WON</v>
      </c>
    </row>
    <row r="173" spans="1:16" x14ac:dyDescent="0.35">
      <c r="A173" t="s">
        <v>95</v>
      </c>
      <c r="B173" t="s">
        <v>3111</v>
      </c>
      <c r="C173" t="s">
        <v>45</v>
      </c>
      <c r="D173" t="s">
        <v>122</v>
      </c>
      <c r="E173" t="s">
        <v>96</v>
      </c>
      <c r="F173" t="s">
        <v>96</v>
      </c>
      <c r="G173" t="s">
        <v>96</v>
      </c>
      <c r="H173">
        <v>2010</v>
      </c>
      <c r="I173" t="s">
        <v>96</v>
      </c>
      <c r="J173" t="s">
        <v>97</v>
      </c>
      <c r="K173" t="s">
        <v>96</v>
      </c>
      <c r="L173" t="s">
        <v>96</v>
      </c>
      <c r="M173">
        <v>3823.75</v>
      </c>
      <c r="O173" s="12" t="str">
        <f t="shared" si="18"/>
        <v>AFR</v>
      </c>
      <c r="P173" s="12" t="str">
        <f t="shared" si="19"/>
        <v>E_WON</v>
      </c>
    </row>
    <row r="174" spans="1:16" x14ac:dyDescent="0.35">
      <c r="A174" t="s">
        <v>95</v>
      </c>
      <c r="B174" t="s">
        <v>3111</v>
      </c>
      <c r="C174" t="s">
        <v>45</v>
      </c>
      <c r="D174" t="s">
        <v>123</v>
      </c>
      <c r="E174" t="s">
        <v>96</v>
      </c>
      <c r="F174" t="s">
        <v>96</v>
      </c>
      <c r="G174" t="s">
        <v>96</v>
      </c>
      <c r="H174">
        <v>2010</v>
      </c>
      <c r="I174" t="s">
        <v>96</v>
      </c>
      <c r="J174" t="s">
        <v>97</v>
      </c>
      <c r="K174" t="s">
        <v>96</v>
      </c>
      <c r="L174" t="s">
        <v>96</v>
      </c>
      <c r="M174">
        <v>3115</v>
      </c>
      <c r="O174" s="12" t="str">
        <f t="shared" si="18"/>
        <v>AFR</v>
      </c>
      <c r="P174" s="12" t="str">
        <f t="shared" si="19"/>
        <v>E_WON</v>
      </c>
    </row>
    <row r="175" spans="1:16" x14ac:dyDescent="0.35">
      <c r="A175" t="s">
        <v>95</v>
      </c>
      <c r="B175" t="s">
        <v>3111</v>
      </c>
      <c r="C175" t="s">
        <v>45</v>
      </c>
      <c r="D175" t="s">
        <v>124</v>
      </c>
      <c r="E175" t="s">
        <v>96</v>
      </c>
      <c r="F175" t="s">
        <v>96</v>
      </c>
      <c r="G175" t="s">
        <v>96</v>
      </c>
      <c r="H175">
        <v>2010</v>
      </c>
      <c r="I175" t="s">
        <v>96</v>
      </c>
      <c r="J175" t="s">
        <v>97</v>
      </c>
      <c r="K175" t="s">
        <v>96</v>
      </c>
      <c r="L175" t="s">
        <v>96</v>
      </c>
      <c r="M175">
        <v>3823.75</v>
      </c>
      <c r="O175" s="12" t="str">
        <f t="shared" si="18"/>
        <v>AFR</v>
      </c>
      <c r="P175" s="12" t="str">
        <f t="shared" si="19"/>
        <v>E_WON</v>
      </c>
    </row>
    <row r="176" spans="1:16" x14ac:dyDescent="0.35">
      <c r="A176" t="s">
        <v>95</v>
      </c>
      <c r="B176" t="s">
        <v>3111</v>
      </c>
      <c r="C176" t="s">
        <v>45</v>
      </c>
      <c r="D176" t="s">
        <v>125</v>
      </c>
      <c r="E176" t="s">
        <v>96</v>
      </c>
      <c r="F176" t="s">
        <v>96</v>
      </c>
      <c r="G176" t="s">
        <v>96</v>
      </c>
      <c r="H176">
        <v>2010</v>
      </c>
      <c r="I176" t="s">
        <v>96</v>
      </c>
      <c r="J176" t="s">
        <v>97</v>
      </c>
      <c r="K176" t="s">
        <v>96</v>
      </c>
      <c r="L176" t="s">
        <v>96</v>
      </c>
      <c r="M176">
        <v>3823.75</v>
      </c>
      <c r="O176" s="12" t="str">
        <f t="shared" si="18"/>
        <v>AFR</v>
      </c>
      <c r="P176" s="12" t="str">
        <f t="shared" si="19"/>
        <v>E_WON</v>
      </c>
    </row>
    <row r="177" spans="1:16" x14ac:dyDescent="0.35">
      <c r="A177" t="s">
        <v>95</v>
      </c>
      <c r="B177" t="s">
        <v>3111</v>
      </c>
      <c r="C177" t="s">
        <v>45</v>
      </c>
      <c r="D177" t="s">
        <v>126</v>
      </c>
      <c r="E177" t="s">
        <v>96</v>
      </c>
      <c r="F177" t="s">
        <v>96</v>
      </c>
      <c r="G177" t="s">
        <v>96</v>
      </c>
      <c r="H177">
        <v>2010</v>
      </c>
      <c r="I177" t="s">
        <v>96</v>
      </c>
      <c r="J177" t="s">
        <v>97</v>
      </c>
      <c r="K177" t="s">
        <v>96</v>
      </c>
      <c r="L177" t="s">
        <v>96</v>
      </c>
      <c r="M177">
        <v>3823.75</v>
      </c>
      <c r="O177" s="12" t="str">
        <f t="shared" si="18"/>
        <v>AFR</v>
      </c>
      <c r="P177" s="12" t="str">
        <f t="shared" si="19"/>
        <v>E_WON</v>
      </c>
    </row>
    <row r="178" spans="1:16" x14ac:dyDescent="0.35">
      <c r="A178" t="s">
        <v>95</v>
      </c>
      <c r="B178" t="s">
        <v>3111</v>
      </c>
      <c r="C178" t="s">
        <v>45</v>
      </c>
      <c r="D178" t="s">
        <v>127</v>
      </c>
      <c r="E178" t="s">
        <v>96</v>
      </c>
      <c r="F178" t="s">
        <v>96</v>
      </c>
      <c r="G178" t="s">
        <v>96</v>
      </c>
      <c r="H178">
        <v>2010</v>
      </c>
      <c r="I178" t="s">
        <v>96</v>
      </c>
      <c r="J178" t="s">
        <v>97</v>
      </c>
      <c r="K178" t="s">
        <v>96</v>
      </c>
      <c r="L178" t="s">
        <v>96</v>
      </c>
      <c r="M178">
        <v>3823.75</v>
      </c>
      <c r="O178" s="12" t="str">
        <f t="shared" si="18"/>
        <v>AFR</v>
      </c>
      <c r="P178" s="12" t="str">
        <f t="shared" si="19"/>
        <v>E_WON</v>
      </c>
    </row>
    <row r="179" spans="1:16" x14ac:dyDescent="0.35">
      <c r="A179" t="s">
        <v>95</v>
      </c>
      <c r="B179" t="s">
        <v>3111</v>
      </c>
      <c r="C179" t="s">
        <v>45</v>
      </c>
      <c r="D179" t="s">
        <v>128</v>
      </c>
      <c r="E179" t="s">
        <v>96</v>
      </c>
      <c r="F179" t="s">
        <v>96</v>
      </c>
      <c r="G179" t="s">
        <v>96</v>
      </c>
      <c r="H179">
        <v>2010</v>
      </c>
      <c r="I179" t="s">
        <v>96</v>
      </c>
      <c r="J179" t="s">
        <v>97</v>
      </c>
      <c r="K179" t="s">
        <v>96</v>
      </c>
      <c r="L179" t="s">
        <v>96</v>
      </c>
      <c r="M179">
        <v>3823.75</v>
      </c>
      <c r="O179" s="12" t="str">
        <f t="shared" si="18"/>
        <v>AFR</v>
      </c>
      <c r="P179" s="12" t="str">
        <f t="shared" si="19"/>
        <v>E_WON</v>
      </c>
    </row>
    <row r="180" spans="1:16" x14ac:dyDescent="0.35">
      <c r="A180" t="s">
        <v>95</v>
      </c>
      <c r="B180" t="s">
        <v>3111</v>
      </c>
      <c r="C180" t="s">
        <v>45</v>
      </c>
      <c r="D180" t="s">
        <v>129</v>
      </c>
      <c r="E180" t="s">
        <v>96</v>
      </c>
      <c r="F180" t="s">
        <v>96</v>
      </c>
      <c r="G180" t="s">
        <v>96</v>
      </c>
      <c r="H180">
        <v>2010</v>
      </c>
      <c r="I180" t="s">
        <v>96</v>
      </c>
      <c r="J180" t="s">
        <v>97</v>
      </c>
      <c r="K180" t="s">
        <v>96</v>
      </c>
      <c r="L180" t="s">
        <v>96</v>
      </c>
      <c r="M180">
        <v>3823.75</v>
      </c>
      <c r="O180" s="12" t="str">
        <f t="shared" si="18"/>
        <v>AFR</v>
      </c>
      <c r="P180" s="12" t="str">
        <f t="shared" si="19"/>
        <v>E_WON</v>
      </c>
    </row>
    <row r="181" spans="1:16" x14ac:dyDescent="0.35">
      <c r="A181" t="s">
        <v>95</v>
      </c>
      <c r="B181" t="s">
        <v>3111</v>
      </c>
      <c r="C181" t="s">
        <v>45</v>
      </c>
      <c r="D181" t="s">
        <v>130</v>
      </c>
      <c r="E181" t="s">
        <v>96</v>
      </c>
      <c r="F181" t="s">
        <v>96</v>
      </c>
      <c r="G181" t="s">
        <v>96</v>
      </c>
      <c r="H181">
        <v>2010</v>
      </c>
      <c r="I181" t="s">
        <v>96</v>
      </c>
      <c r="J181" t="s">
        <v>97</v>
      </c>
      <c r="K181" t="s">
        <v>96</v>
      </c>
      <c r="L181" t="s">
        <v>96</v>
      </c>
      <c r="M181">
        <v>3823.75</v>
      </c>
      <c r="O181" s="12" t="str">
        <f t="shared" si="18"/>
        <v>AFR</v>
      </c>
      <c r="P181" s="12" t="str">
        <f t="shared" si="19"/>
        <v>E_WON</v>
      </c>
    </row>
    <row r="182" spans="1:16" x14ac:dyDescent="0.35">
      <c r="A182" t="s">
        <v>95</v>
      </c>
      <c r="B182" t="s">
        <v>3111</v>
      </c>
      <c r="C182" t="s">
        <v>45</v>
      </c>
      <c r="D182" t="s">
        <v>131</v>
      </c>
      <c r="E182" t="s">
        <v>96</v>
      </c>
      <c r="F182" t="s">
        <v>96</v>
      </c>
      <c r="G182" t="s">
        <v>96</v>
      </c>
      <c r="H182">
        <v>2010</v>
      </c>
      <c r="I182" t="s">
        <v>96</v>
      </c>
      <c r="J182" t="s">
        <v>97</v>
      </c>
      <c r="K182" t="s">
        <v>96</v>
      </c>
      <c r="L182" t="s">
        <v>96</v>
      </c>
      <c r="M182">
        <v>3823.75</v>
      </c>
      <c r="O182" s="12" t="str">
        <f t="shared" si="18"/>
        <v>AFR</v>
      </c>
      <c r="P182" s="12" t="str">
        <f t="shared" si="19"/>
        <v>E_WON</v>
      </c>
    </row>
    <row r="183" spans="1:16" x14ac:dyDescent="0.35">
      <c r="A183" t="s">
        <v>95</v>
      </c>
      <c r="B183" t="s">
        <v>3111</v>
      </c>
      <c r="C183" t="s">
        <v>45</v>
      </c>
      <c r="D183" t="s">
        <v>135</v>
      </c>
      <c r="E183" t="s">
        <v>96</v>
      </c>
      <c r="F183" t="s">
        <v>96</v>
      </c>
      <c r="G183" t="s">
        <v>96</v>
      </c>
      <c r="H183">
        <v>2010</v>
      </c>
      <c r="I183" t="s">
        <v>96</v>
      </c>
      <c r="J183" t="s">
        <v>97</v>
      </c>
      <c r="K183" t="s">
        <v>96</v>
      </c>
      <c r="L183" t="s">
        <v>96</v>
      </c>
      <c r="M183">
        <v>3823.75</v>
      </c>
      <c r="O183" s="12" t="str">
        <f t="shared" si="18"/>
        <v>AFR</v>
      </c>
      <c r="P183" s="12" t="str">
        <f t="shared" si="19"/>
        <v>E_WON</v>
      </c>
    </row>
    <row r="184" spans="1:16" x14ac:dyDescent="0.35">
      <c r="A184" t="s">
        <v>95</v>
      </c>
      <c r="B184" t="s">
        <v>3111</v>
      </c>
      <c r="C184" t="s">
        <v>45</v>
      </c>
      <c r="D184" t="s">
        <v>136</v>
      </c>
      <c r="E184" t="s">
        <v>96</v>
      </c>
      <c r="F184" t="s">
        <v>96</v>
      </c>
      <c r="G184" t="s">
        <v>96</v>
      </c>
      <c r="H184">
        <v>2010</v>
      </c>
      <c r="I184" t="s">
        <v>96</v>
      </c>
      <c r="J184" t="s">
        <v>97</v>
      </c>
      <c r="K184" t="s">
        <v>96</v>
      </c>
      <c r="L184" t="s">
        <v>96</v>
      </c>
      <c r="M184">
        <v>3823.75</v>
      </c>
      <c r="O184" s="12" t="str">
        <f t="shared" si="18"/>
        <v>AFR</v>
      </c>
      <c r="P184" s="12" t="str">
        <f t="shared" si="19"/>
        <v>E_WON</v>
      </c>
    </row>
    <row r="185" spans="1:16" x14ac:dyDescent="0.35">
      <c r="A185" t="s">
        <v>95</v>
      </c>
      <c r="B185" t="s">
        <v>3111</v>
      </c>
      <c r="C185" t="s">
        <v>45</v>
      </c>
      <c r="D185" t="s">
        <v>137</v>
      </c>
      <c r="E185" t="s">
        <v>96</v>
      </c>
      <c r="F185" t="s">
        <v>96</v>
      </c>
      <c r="G185" t="s">
        <v>96</v>
      </c>
      <c r="H185">
        <v>2010</v>
      </c>
      <c r="I185" t="s">
        <v>96</v>
      </c>
      <c r="J185" t="s">
        <v>97</v>
      </c>
      <c r="K185" t="s">
        <v>96</v>
      </c>
      <c r="L185" t="s">
        <v>96</v>
      </c>
      <c r="M185">
        <v>4532.5</v>
      </c>
      <c r="O185" s="12" t="str">
        <f t="shared" si="18"/>
        <v>AFR</v>
      </c>
      <c r="P185" s="12" t="str">
        <f t="shared" si="19"/>
        <v>E_WON</v>
      </c>
    </row>
    <row r="186" spans="1:16" x14ac:dyDescent="0.35">
      <c r="A186" t="s">
        <v>95</v>
      </c>
      <c r="B186" t="s">
        <v>3111</v>
      </c>
      <c r="C186" t="s">
        <v>45</v>
      </c>
      <c r="D186" t="s">
        <v>140</v>
      </c>
      <c r="E186" t="s">
        <v>96</v>
      </c>
      <c r="F186" t="s">
        <v>96</v>
      </c>
      <c r="G186" t="s">
        <v>96</v>
      </c>
      <c r="H186">
        <v>2010</v>
      </c>
      <c r="I186" t="s">
        <v>96</v>
      </c>
      <c r="J186" t="s">
        <v>97</v>
      </c>
      <c r="K186" t="s">
        <v>96</v>
      </c>
      <c r="L186" t="s">
        <v>96</v>
      </c>
      <c r="M186">
        <v>3823.75</v>
      </c>
      <c r="O186" s="12" t="str">
        <f t="shared" si="18"/>
        <v>AFR</v>
      </c>
      <c r="P186" s="12" t="str">
        <f t="shared" si="19"/>
        <v>E_WON</v>
      </c>
    </row>
    <row r="187" spans="1:16" x14ac:dyDescent="0.35">
      <c r="A187" t="s">
        <v>95</v>
      </c>
      <c r="B187" t="s">
        <v>3111</v>
      </c>
      <c r="C187" t="s">
        <v>45</v>
      </c>
      <c r="D187" t="s">
        <v>142</v>
      </c>
      <c r="E187" t="s">
        <v>96</v>
      </c>
      <c r="F187" t="s">
        <v>96</v>
      </c>
      <c r="G187" t="s">
        <v>96</v>
      </c>
      <c r="H187">
        <v>2010</v>
      </c>
      <c r="I187" t="s">
        <v>96</v>
      </c>
      <c r="J187" t="s">
        <v>97</v>
      </c>
      <c r="K187" t="s">
        <v>96</v>
      </c>
      <c r="L187" t="s">
        <v>96</v>
      </c>
      <c r="M187">
        <v>3823.75</v>
      </c>
      <c r="O187" s="12" t="str">
        <f t="shared" si="18"/>
        <v>AFR</v>
      </c>
      <c r="P187" s="12" t="str">
        <f t="shared" si="19"/>
        <v>E_WON</v>
      </c>
    </row>
    <row r="188" spans="1:16" x14ac:dyDescent="0.35">
      <c r="A188" t="s">
        <v>95</v>
      </c>
      <c r="B188" t="s">
        <v>3111</v>
      </c>
      <c r="C188" t="s">
        <v>45</v>
      </c>
      <c r="D188" t="s">
        <v>146</v>
      </c>
      <c r="E188" t="s">
        <v>96</v>
      </c>
      <c r="F188" t="s">
        <v>96</v>
      </c>
      <c r="G188" t="s">
        <v>96</v>
      </c>
      <c r="H188">
        <v>2010</v>
      </c>
      <c r="I188" t="s">
        <v>96</v>
      </c>
      <c r="J188" t="s">
        <v>97</v>
      </c>
      <c r="K188" t="s">
        <v>96</v>
      </c>
      <c r="L188" t="s">
        <v>96</v>
      </c>
      <c r="M188">
        <v>3823.75</v>
      </c>
      <c r="O188" s="12" t="str">
        <f t="shared" si="18"/>
        <v>AFR</v>
      </c>
      <c r="P188" s="12" t="str">
        <f t="shared" si="19"/>
        <v>E_WON</v>
      </c>
    </row>
    <row r="189" spans="1:16" x14ac:dyDescent="0.35">
      <c r="A189" t="s">
        <v>95</v>
      </c>
      <c r="B189" t="s">
        <v>3111</v>
      </c>
      <c r="C189" t="s">
        <v>45</v>
      </c>
      <c r="D189" t="s">
        <v>148</v>
      </c>
      <c r="E189" t="s">
        <v>96</v>
      </c>
      <c r="F189" t="s">
        <v>96</v>
      </c>
      <c r="G189" t="s">
        <v>96</v>
      </c>
      <c r="H189">
        <v>2010</v>
      </c>
      <c r="I189" t="s">
        <v>96</v>
      </c>
      <c r="J189" t="s">
        <v>97</v>
      </c>
      <c r="K189" t="s">
        <v>96</v>
      </c>
      <c r="L189" t="s">
        <v>96</v>
      </c>
      <c r="M189">
        <v>3823.75</v>
      </c>
      <c r="O189" s="12" t="str">
        <f t="shared" si="18"/>
        <v>AFR</v>
      </c>
      <c r="P189" s="12" t="str">
        <f t="shared" si="19"/>
        <v>E_WON</v>
      </c>
    </row>
    <row r="190" spans="1:16" x14ac:dyDescent="0.35">
      <c r="A190" t="s">
        <v>95</v>
      </c>
      <c r="B190" t="s">
        <v>3111</v>
      </c>
      <c r="C190" t="s">
        <v>45</v>
      </c>
      <c r="D190" t="s">
        <v>149</v>
      </c>
      <c r="E190" t="s">
        <v>96</v>
      </c>
      <c r="F190" t="s">
        <v>96</v>
      </c>
      <c r="G190" t="s">
        <v>96</v>
      </c>
      <c r="H190">
        <v>2010</v>
      </c>
      <c r="I190" t="s">
        <v>96</v>
      </c>
      <c r="J190" t="s">
        <v>97</v>
      </c>
      <c r="K190" t="s">
        <v>96</v>
      </c>
      <c r="L190" t="s">
        <v>96</v>
      </c>
      <c r="M190">
        <v>3115</v>
      </c>
      <c r="O190" s="12" t="str">
        <f t="shared" si="18"/>
        <v>AFR</v>
      </c>
      <c r="P190" s="12" t="str">
        <f t="shared" si="19"/>
        <v>E_WON</v>
      </c>
    </row>
    <row r="191" spans="1:16" x14ac:dyDescent="0.35">
      <c r="A191" t="s">
        <v>95</v>
      </c>
      <c r="B191" t="s">
        <v>3111</v>
      </c>
      <c r="C191" t="s">
        <v>45</v>
      </c>
      <c r="D191" t="s">
        <v>150</v>
      </c>
      <c r="E191" t="s">
        <v>96</v>
      </c>
      <c r="F191" t="s">
        <v>96</v>
      </c>
      <c r="G191" t="s">
        <v>96</v>
      </c>
      <c r="H191">
        <v>2010</v>
      </c>
      <c r="I191" t="s">
        <v>96</v>
      </c>
      <c r="J191" t="s">
        <v>97</v>
      </c>
      <c r="K191" t="s">
        <v>96</v>
      </c>
      <c r="L191" t="s">
        <v>96</v>
      </c>
      <c r="M191">
        <v>3823.75</v>
      </c>
      <c r="O191" s="12" t="str">
        <f t="shared" si="18"/>
        <v>AFR</v>
      </c>
      <c r="P191" s="12" t="str">
        <f t="shared" si="19"/>
        <v>E_WON</v>
      </c>
    </row>
    <row r="192" spans="1:16" x14ac:dyDescent="0.35">
      <c r="A192" t="s">
        <v>95</v>
      </c>
      <c r="B192" t="s">
        <v>3111</v>
      </c>
      <c r="C192" t="s">
        <v>45</v>
      </c>
      <c r="D192" t="s">
        <v>151</v>
      </c>
      <c r="E192" t="s">
        <v>96</v>
      </c>
      <c r="F192" t="s">
        <v>96</v>
      </c>
      <c r="G192" t="s">
        <v>96</v>
      </c>
      <c r="H192">
        <v>2010</v>
      </c>
      <c r="I192" t="s">
        <v>96</v>
      </c>
      <c r="J192" t="s">
        <v>97</v>
      </c>
      <c r="K192" t="s">
        <v>96</v>
      </c>
      <c r="L192" t="s">
        <v>96</v>
      </c>
      <c r="M192">
        <v>3823.75</v>
      </c>
      <c r="O192" s="12" t="str">
        <f t="shared" si="18"/>
        <v>AFR</v>
      </c>
      <c r="P192" s="12" t="str">
        <f t="shared" si="19"/>
        <v>E_WON</v>
      </c>
    </row>
    <row r="193" spans="1:16" x14ac:dyDescent="0.35">
      <c r="A193" t="s">
        <v>95</v>
      </c>
      <c r="B193" t="s">
        <v>3111</v>
      </c>
      <c r="C193" t="s">
        <v>45</v>
      </c>
      <c r="D193" t="s">
        <v>152</v>
      </c>
      <c r="E193" t="s">
        <v>96</v>
      </c>
      <c r="F193" t="s">
        <v>96</v>
      </c>
      <c r="G193" t="s">
        <v>96</v>
      </c>
      <c r="H193">
        <v>2010</v>
      </c>
      <c r="I193" t="s">
        <v>96</v>
      </c>
      <c r="J193" t="s">
        <v>97</v>
      </c>
      <c r="K193" t="s">
        <v>96</v>
      </c>
      <c r="L193" t="s">
        <v>96</v>
      </c>
      <c r="M193">
        <v>3823.75</v>
      </c>
      <c r="O193" s="12" t="str">
        <f t="shared" si="18"/>
        <v>AFR</v>
      </c>
      <c r="P193" s="12" t="str">
        <f t="shared" si="19"/>
        <v>E_WON</v>
      </c>
    </row>
    <row r="194" spans="1:16" x14ac:dyDescent="0.35">
      <c r="A194" t="s">
        <v>95</v>
      </c>
      <c r="B194" t="s">
        <v>3111</v>
      </c>
      <c r="C194" t="s">
        <v>45</v>
      </c>
      <c r="D194" t="s">
        <v>153</v>
      </c>
      <c r="E194" t="s">
        <v>96</v>
      </c>
      <c r="F194" t="s">
        <v>96</v>
      </c>
      <c r="G194" t="s">
        <v>96</v>
      </c>
      <c r="H194">
        <v>2010</v>
      </c>
      <c r="I194" t="s">
        <v>96</v>
      </c>
      <c r="J194" t="s">
        <v>97</v>
      </c>
      <c r="K194" t="s">
        <v>96</v>
      </c>
      <c r="L194" t="s">
        <v>96</v>
      </c>
      <c r="M194">
        <v>3823.75</v>
      </c>
      <c r="O194" s="12" t="str">
        <f t="shared" si="18"/>
        <v>AFR</v>
      </c>
      <c r="P194" s="12" t="str">
        <f t="shared" si="19"/>
        <v>E_WON</v>
      </c>
    </row>
    <row r="195" spans="1:16" x14ac:dyDescent="0.35">
      <c r="A195" t="s">
        <v>95</v>
      </c>
      <c r="B195" t="s">
        <v>3111</v>
      </c>
      <c r="C195" t="s">
        <v>45</v>
      </c>
      <c r="D195" t="s">
        <v>154</v>
      </c>
      <c r="E195" t="s">
        <v>96</v>
      </c>
      <c r="F195" t="s">
        <v>96</v>
      </c>
      <c r="G195" t="s">
        <v>96</v>
      </c>
      <c r="H195">
        <v>2010</v>
      </c>
      <c r="I195" t="s">
        <v>96</v>
      </c>
      <c r="J195" t="s">
        <v>97</v>
      </c>
      <c r="K195" t="s">
        <v>96</v>
      </c>
      <c r="L195" t="s">
        <v>96</v>
      </c>
      <c r="M195">
        <v>3823.75</v>
      </c>
      <c r="O195" s="12" t="str">
        <f t="shared" ref="O195:O258" si="20">LEFT(B195,3)</f>
        <v>AFR</v>
      </c>
      <c r="P195" s="12" t="str">
        <f t="shared" ref="P195:P258" si="21">LEFT(D195,5)</f>
        <v>E_WON</v>
      </c>
    </row>
    <row r="196" spans="1:16" x14ac:dyDescent="0.35">
      <c r="A196" t="s">
        <v>95</v>
      </c>
      <c r="B196" t="s">
        <v>3111</v>
      </c>
      <c r="C196" t="s">
        <v>45</v>
      </c>
      <c r="D196" t="s">
        <v>155</v>
      </c>
      <c r="E196" t="s">
        <v>96</v>
      </c>
      <c r="F196" t="s">
        <v>96</v>
      </c>
      <c r="G196" t="s">
        <v>96</v>
      </c>
      <c r="H196">
        <v>2010</v>
      </c>
      <c r="I196" t="s">
        <v>96</v>
      </c>
      <c r="J196" t="s">
        <v>97</v>
      </c>
      <c r="K196" t="s">
        <v>96</v>
      </c>
      <c r="L196" t="s">
        <v>96</v>
      </c>
      <c r="M196">
        <v>3823.75</v>
      </c>
      <c r="O196" s="12" t="str">
        <f t="shared" si="20"/>
        <v>AFR</v>
      </c>
      <c r="P196" s="12" t="str">
        <f t="shared" si="21"/>
        <v>E_WON</v>
      </c>
    </row>
    <row r="197" spans="1:16" x14ac:dyDescent="0.35">
      <c r="A197" t="s">
        <v>95</v>
      </c>
      <c r="B197" t="s">
        <v>3111</v>
      </c>
      <c r="C197" t="s">
        <v>45</v>
      </c>
      <c r="D197" t="s">
        <v>158</v>
      </c>
      <c r="E197" t="s">
        <v>96</v>
      </c>
      <c r="F197" t="s">
        <v>96</v>
      </c>
      <c r="G197" t="s">
        <v>96</v>
      </c>
      <c r="H197">
        <v>2010</v>
      </c>
      <c r="I197" t="s">
        <v>96</v>
      </c>
      <c r="J197" t="s">
        <v>97</v>
      </c>
      <c r="K197" t="s">
        <v>96</v>
      </c>
      <c r="L197" t="s">
        <v>96</v>
      </c>
      <c r="M197">
        <v>3823.75</v>
      </c>
      <c r="O197" s="12" t="str">
        <f t="shared" si="20"/>
        <v>AFR</v>
      </c>
      <c r="P197" s="12" t="str">
        <f t="shared" si="21"/>
        <v>E_WON</v>
      </c>
    </row>
    <row r="198" spans="1:16" x14ac:dyDescent="0.35">
      <c r="A198" t="s">
        <v>95</v>
      </c>
      <c r="B198" t="s">
        <v>3111</v>
      </c>
      <c r="C198" t="s">
        <v>45</v>
      </c>
      <c r="D198" t="s">
        <v>159</v>
      </c>
      <c r="E198" t="s">
        <v>96</v>
      </c>
      <c r="F198" t="s">
        <v>96</v>
      </c>
      <c r="G198" t="s">
        <v>96</v>
      </c>
      <c r="H198">
        <v>2010</v>
      </c>
      <c r="I198" t="s">
        <v>96</v>
      </c>
      <c r="J198" t="s">
        <v>97</v>
      </c>
      <c r="K198" t="s">
        <v>96</v>
      </c>
      <c r="L198" t="s">
        <v>96</v>
      </c>
      <c r="M198">
        <v>4532.5</v>
      </c>
      <c r="O198" s="12" t="str">
        <f t="shared" si="20"/>
        <v>AFR</v>
      </c>
      <c r="P198" s="12" t="str">
        <f t="shared" si="21"/>
        <v>E_WON</v>
      </c>
    </row>
    <row r="199" spans="1:16" x14ac:dyDescent="0.35">
      <c r="A199" t="s">
        <v>95</v>
      </c>
      <c r="B199" t="s">
        <v>3111</v>
      </c>
      <c r="C199" t="s">
        <v>45</v>
      </c>
      <c r="D199" t="s">
        <v>162</v>
      </c>
      <c r="E199" t="s">
        <v>96</v>
      </c>
      <c r="F199" t="s">
        <v>96</v>
      </c>
      <c r="G199" t="s">
        <v>96</v>
      </c>
      <c r="H199">
        <v>2010</v>
      </c>
      <c r="I199" t="s">
        <v>96</v>
      </c>
      <c r="J199" t="s">
        <v>97</v>
      </c>
      <c r="K199" t="s">
        <v>96</v>
      </c>
      <c r="L199" t="s">
        <v>96</v>
      </c>
      <c r="M199">
        <v>3823.75</v>
      </c>
      <c r="O199" s="12" t="str">
        <f t="shared" si="20"/>
        <v>AFR</v>
      </c>
      <c r="P199" s="12" t="str">
        <f t="shared" si="21"/>
        <v>E_WON</v>
      </c>
    </row>
    <row r="200" spans="1:16" x14ac:dyDescent="0.35">
      <c r="A200" t="s">
        <v>95</v>
      </c>
      <c r="B200" t="s">
        <v>3111</v>
      </c>
      <c r="C200" t="s">
        <v>45</v>
      </c>
      <c r="D200" t="s">
        <v>164</v>
      </c>
      <c r="E200" t="s">
        <v>96</v>
      </c>
      <c r="F200" t="s">
        <v>96</v>
      </c>
      <c r="G200" t="s">
        <v>96</v>
      </c>
      <c r="H200">
        <v>2010</v>
      </c>
      <c r="I200" t="s">
        <v>96</v>
      </c>
      <c r="J200" t="s">
        <v>97</v>
      </c>
      <c r="K200" t="s">
        <v>96</v>
      </c>
      <c r="L200" t="s">
        <v>96</v>
      </c>
      <c r="M200">
        <v>3823.75</v>
      </c>
      <c r="O200" s="12" t="str">
        <f t="shared" si="20"/>
        <v>AFR</v>
      </c>
      <c r="P200" s="12" t="str">
        <f t="shared" si="21"/>
        <v>E_WON</v>
      </c>
    </row>
    <row r="201" spans="1:16" x14ac:dyDescent="0.35">
      <c r="A201" t="s">
        <v>95</v>
      </c>
      <c r="B201" t="s">
        <v>3111</v>
      </c>
      <c r="C201" t="s">
        <v>45</v>
      </c>
      <c r="D201" t="s">
        <v>167</v>
      </c>
      <c r="E201" t="s">
        <v>96</v>
      </c>
      <c r="F201" t="s">
        <v>96</v>
      </c>
      <c r="G201" t="s">
        <v>96</v>
      </c>
      <c r="H201">
        <v>2010</v>
      </c>
      <c r="I201" t="s">
        <v>96</v>
      </c>
      <c r="J201" t="s">
        <v>97</v>
      </c>
      <c r="K201" t="s">
        <v>96</v>
      </c>
      <c r="L201" t="s">
        <v>96</v>
      </c>
      <c r="M201">
        <v>3823.75</v>
      </c>
      <c r="O201" s="12" t="str">
        <f t="shared" si="20"/>
        <v>AFR</v>
      </c>
      <c r="P201" s="12" t="str">
        <f t="shared" si="21"/>
        <v>E_WON</v>
      </c>
    </row>
    <row r="202" spans="1:16" x14ac:dyDescent="0.35">
      <c r="A202" t="s">
        <v>95</v>
      </c>
      <c r="B202" t="s">
        <v>3111</v>
      </c>
      <c r="C202" t="s">
        <v>45</v>
      </c>
      <c r="D202" t="s">
        <v>169</v>
      </c>
      <c r="E202" t="s">
        <v>96</v>
      </c>
      <c r="F202" t="s">
        <v>96</v>
      </c>
      <c r="G202" t="s">
        <v>96</v>
      </c>
      <c r="H202">
        <v>2010</v>
      </c>
      <c r="I202" t="s">
        <v>96</v>
      </c>
      <c r="J202" t="s">
        <v>97</v>
      </c>
      <c r="K202" t="s">
        <v>96</v>
      </c>
      <c r="L202" t="s">
        <v>96</v>
      </c>
      <c r="M202">
        <v>3823.75</v>
      </c>
      <c r="O202" s="12" t="str">
        <f t="shared" si="20"/>
        <v>AFR</v>
      </c>
      <c r="P202" s="12" t="str">
        <f t="shared" si="21"/>
        <v>E_WON</v>
      </c>
    </row>
    <row r="203" spans="1:16" x14ac:dyDescent="0.35">
      <c r="A203" t="s">
        <v>95</v>
      </c>
      <c r="B203" t="s">
        <v>3111</v>
      </c>
      <c r="C203" t="s">
        <v>45</v>
      </c>
      <c r="D203" t="s">
        <v>170</v>
      </c>
      <c r="E203" t="s">
        <v>96</v>
      </c>
      <c r="F203" t="s">
        <v>96</v>
      </c>
      <c r="G203" t="s">
        <v>96</v>
      </c>
      <c r="H203">
        <v>2010</v>
      </c>
      <c r="I203" t="s">
        <v>96</v>
      </c>
      <c r="J203" t="s">
        <v>97</v>
      </c>
      <c r="K203" t="s">
        <v>96</v>
      </c>
      <c r="L203" t="s">
        <v>96</v>
      </c>
      <c r="M203">
        <v>3823.75</v>
      </c>
      <c r="O203" s="12" t="str">
        <f t="shared" si="20"/>
        <v>AFR</v>
      </c>
      <c r="P203" s="12" t="str">
        <f t="shared" si="21"/>
        <v>E_WON</v>
      </c>
    </row>
    <row r="204" spans="1:16" x14ac:dyDescent="0.35">
      <c r="A204" t="s">
        <v>95</v>
      </c>
      <c r="B204" t="s">
        <v>3111</v>
      </c>
      <c r="C204" t="s">
        <v>45</v>
      </c>
      <c r="D204" t="s">
        <v>173</v>
      </c>
      <c r="E204" t="s">
        <v>96</v>
      </c>
      <c r="F204" t="s">
        <v>96</v>
      </c>
      <c r="G204" t="s">
        <v>96</v>
      </c>
      <c r="H204">
        <v>2010</v>
      </c>
      <c r="I204" t="s">
        <v>96</v>
      </c>
      <c r="J204" t="s">
        <v>97</v>
      </c>
      <c r="K204" t="s">
        <v>96</v>
      </c>
      <c r="L204" t="s">
        <v>96</v>
      </c>
      <c r="M204">
        <v>3823.75</v>
      </c>
      <c r="O204" s="12" t="str">
        <f t="shared" si="20"/>
        <v>AFR</v>
      </c>
      <c r="P204" s="12" t="str">
        <f t="shared" si="21"/>
        <v>E_WON</v>
      </c>
    </row>
    <row r="205" spans="1:16" x14ac:dyDescent="0.35">
      <c r="A205" t="s">
        <v>95</v>
      </c>
      <c r="B205" t="s">
        <v>3111</v>
      </c>
      <c r="C205" t="s">
        <v>45</v>
      </c>
      <c r="D205" t="s">
        <v>174</v>
      </c>
      <c r="E205" t="s">
        <v>96</v>
      </c>
      <c r="F205" t="s">
        <v>96</v>
      </c>
      <c r="G205" t="s">
        <v>96</v>
      </c>
      <c r="H205">
        <v>2010</v>
      </c>
      <c r="I205" t="s">
        <v>96</v>
      </c>
      <c r="J205" t="s">
        <v>97</v>
      </c>
      <c r="K205" t="s">
        <v>96</v>
      </c>
      <c r="L205" t="s">
        <v>96</v>
      </c>
      <c r="M205">
        <v>3115</v>
      </c>
      <c r="O205" s="12" t="str">
        <f t="shared" si="20"/>
        <v>AFR</v>
      </c>
      <c r="P205" s="12" t="str">
        <f t="shared" si="21"/>
        <v>E_WON</v>
      </c>
    </row>
    <row r="206" spans="1:16" x14ac:dyDescent="0.35">
      <c r="A206" t="s">
        <v>95</v>
      </c>
      <c r="B206" t="s">
        <v>3111</v>
      </c>
      <c r="C206" t="s">
        <v>45</v>
      </c>
      <c r="D206" t="s">
        <v>175</v>
      </c>
      <c r="E206" t="s">
        <v>96</v>
      </c>
      <c r="F206" t="s">
        <v>96</v>
      </c>
      <c r="G206" t="s">
        <v>96</v>
      </c>
      <c r="H206">
        <v>2010</v>
      </c>
      <c r="I206" t="s">
        <v>96</v>
      </c>
      <c r="J206" t="s">
        <v>97</v>
      </c>
      <c r="K206" t="s">
        <v>96</v>
      </c>
      <c r="L206" t="s">
        <v>96</v>
      </c>
      <c r="M206">
        <v>3823.75</v>
      </c>
      <c r="O206" s="12" t="str">
        <f t="shared" si="20"/>
        <v>AFR</v>
      </c>
      <c r="P206" s="12" t="str">
        <f t="shared" si="21"/>
        <v>E_WON</v>
      </c>
    </row>
    <row r="207" spans="1:16" x14ac:dyDescent="0.35">
      <c r="A207" t="s">
        <v>95</v>
      </c>
      <c r="B207" t="s">
        <v>3111</v>
      </c>
      <c r="C207" t="s">
        <v>45</v>
      </c>
      <c r="D207" t="s">
        <v>176</v>
      </c>
      <c r="E207" t="s">
        <v>96</v>
      </c>
      <c r="F207" t="s">
        <v>96</v>
      </c>
      <c r="G207" t="s">
        <v>96</v>
      </c>
      <c r="H207">
        <v>2010</v>
      </c>
      <c r="I207" t="s">
        <v>96</v>
      </c>
      <c r="J207" t="s">
        <v>97</v>
      </c>
      <c r="K207" t="s">
        <v>96</v>
      </c>
      <c r="L207" t="s">
        <v>96</v>
      </c>
      <c r="M207">
        <v>3823.75</v>
      </c>
      <c r="O207" s="12" t="str">
        <f t="shared" si="20"/>
        <v>AFR</v>
      </c>
      <c r="P207" s="12" t="str">
        <f t="shared" si="21"/>
        <v>E_WON</v>
      </c>
    </row>
    <row r="208" spans="1:16" x14ac:dyDescent="0.35">
      <c r="A208" t="s">
        <v>95</v>
      </c>
      <c r="B208" t="s">
        <v>3111</v>
      </c>
      <c r="C208" t="s">
        <v>45</v>
      </c>
      <c r="D208" t="s">
        <v>177</v>
      </c>
      <c r="E208" t="s">
        <v>96</v>
      </c>
      <c r="F208" t="s">
        <v>96</v>
      </c>
      <c r="G208" t="s">
        <v>96</v>
      </c>
      <c r="H208">
        <v>2010</v>
      </c>
      <c r="I208" t="s">
        <v>96</v>
      </c>
      <c r="J208" t="s">
        <v>97</v>
      </c>
      <c r="K208" t="s">
        <v>96</v>
      </c>
      <c r="L208" t="s">
        <v>96</v>
      </c>
      <c r="M208">
        <v>3823.75</v>
      </c>
      <c r="O208" s="12" t="str">
        <f t="shared" si="20"/>
        <v>AFR</v>
      </c>
      <c r="P208" s="12" t="str">
        <f t="shared" si="21"/>
        <v>E_WON</v>
      </c>
    </row>
    <row r="209" spans="1:16" x14ac:dyDescent="0.35">
      <c r="A209" t="s">
        <v>95</v>
      </c>
      <c r="B209" t="s">
        <v>3111</v>
      </c>
      <c r="C209" t="s">
        <v>45</v>
      </c>
      <c r="D209" t="s">
        <v>178</v>
      </c>
      <c r="E209" t="s">
        <v>96</v>
      </c>
      <c r="F209" t="s">
        <v>96</v>
      </c>
      <c r="G209" t="s">
        <v>96</v>
      </c>
      <c r="H209">
        <v>2010</v>
      </c>
      <c r="I209" t="s">
        <v>96</v>
      </c>
      <c r="J209" t="s">
        <v>97</v>
      </c>
      <c r="K209" t="s">
        <v>96</v>
      </c>
      <c r="L209" t="s">
        <v>96</v>
      </c>
      <c r="M209">
        <v>3823.75</v>
      </c>
      <c r="O209" s="12" t="str">
        <f t="shared" si="20"/>
        <v>AFR</v>
      </c>
      <c r="P209" s="12" t="str">
        <f t="shared" si="21"/>
        <v>E_WON</v>
      </c>
    </row>
    <row r="210" spans="1:16" x14ac:dyDescent="0.35">
      <c r="A210" t="s">
        <v>95</v>
      </c>
      <c r="B210" t="s">
        <v>3111</v>
      </c>
      <c r="C210" t="s">
        <v>45</v>
      </c>
      <c r="D210" t="s">
        <v>181</v>
      </c>
      <c r="E210" t="s">
        <v>96</v>
      </c>
      <c r="F210" t="s">
        <v>96</v>
      </c>
      <c r="G210" t="s">
        <v>96</v>
      </c>
      <c r="H210">
        <v>2010</v>
      </c>
      <c r="I210" t="s">
        <v>96</v>
      </c>
      <c r="J210" t="s">
        <v>97</v>
      </c>
      <c r="K210" t="s">
        <v>96</v>
      </c>
      <c r="L210" t="s">
        <v>96</v>
      </c>
      <c r="M210">
        <v>3823.75</v>
      </c>
      <c r="O210" s="12" t="str">
        <f t="shared" si="20"/>
        <v>AFR</v>
      </c>
      <c r="P210" s="12" t="str">
        <f t="shared" si="21"/>
        <v>E_WON</v>
      </c>
    </row>
    <row r="211" spans="1:16" x14ac:dyDescent="0.35">
      <c r="A211" t="s">
        <v>95</v>
      </c>
      <c r="B211" t="s">
        <v>3111</v>
      </c>
      <c r="C211" t="s">
        <v>45</v>
      </c>
      <c r="D211" t="s">
        <v>182</v>
      </c>
      <c r="E211" t="s">
        <v>96</v>
      </c>
      <c r="F211" t="s">
        <v>96</v>
      </c>
      <c r="G211" t="s">
        <v>96</v>
      </c>
      <c r="H211">
        <v>2010</v>
      </c>
      <c r="I211" t="s">
        <v>96</v>
      </c>
      <c r="J211" t="s">
        <v>97</v>
      </c>
      <c r="K211" t="s">
        <v>96</v>
      </c>
      <c r="L211" t="s">
        <v>96</v>
      </c>
      <c r="M211">
        <v>4532.5</v>
      </c>
      <c r="O211" s="12" t="str">
        <f t="shared" si="20"/>
        <v>AFR</v>
      </c>
      <c r="P211" s="12" t="str">
        <f t="shared" si="21"/>
        <v>E_WON</v>
      </c>
    </row>
    <row r="212" spans="1:16" x14ac:dyDescent="0.35">
      <c r="A212" t="s">
        <v>95</v>
      </c>
      <c r="B212" t="s">
        <v>3111</v>
      </c>
      <c r="C212" t="s">
        <v>45</v>
      </c>
      <c r="D212" t="s">
        <v>185</v>
      </c>
      <c r="E212" t="s">
        <v>96</v>
      </c>
      <c r="F212" t="s">
        <v>96</v>
      </c>
      <c r="G212" t="s">
        <v>96</v>
      </c>
      <c r="H212">
        <v>2010</v>
      </c>
      <c r="I212" t="s">
        <v>96</v>
      </c>
      <c r="J212" t="s">
        <v>97</v>
      </c>
      <c r="K212" t="s">
        <v>96</v>
      </c>
      <c r="L212" t="s">
        <v>96</v>
      </c>
      <c r="M212">
        <v>3823.75</v>
      </c>
      <c r="O212" s="12" t="str">
        <f t="shared" si="20"/>
        <v>AFR</v>
      </c>
      <c r="P212" s="12" t="str">
        <f t="shared" si="21"/>
        <v>E_WON</v>
      </c>
    </row>
    <row r="213" spans="1:16" x14ac:dyDescent="0.35">
      <c r="A213" t="s">
        <v>95</v>
      </c>
      <c r="B213" t="s">
        <v>3111</v>
      </c>
      <c r="C213" t="s">
        <v>45</v>
      </c>
      <c r="D213" t="s">
        <v>186</v>
      </c>
      <c r="E213" t="s">
        <v>96</v>
      </c>
      <c r="F213" t="s">
        <v>96</v>
      </c>
      <c r="G213" t="s">
        <v>96</v>
      </c>
      <c r="H213">
        <v>2010</v>
      </c>
      <c r="I213" t="s">
        <v>96</v>
      </c>
      <c r="J213" t="s">
        <v>97</v>
      </c>
      <c r="K213" t="s">
        <v>96</v>
      </c>
      <c r="L213" t="s">
        <v>96</v>
      </c>
      <c r="M213">
        <v>3823.75</v>
      </c>
      <c r="O213" s="12" t="str">
        <f t="shared" si="20"/>
        <v>AFR</v>
      </c>
      <c r="P213" s="12" t="str">
        <f t="shared" si="21"/>
        <v>E_WON</v>
      </c>
    </row>
    <row r="214" spans="1:16" x14ac:dyDescent="0.35">
      <c r="A214" t="s">
        <v>95</v>
      </c>
      <c r="B214" t="s">
        <v>3111</v>
      </c>
      <c r="C214" t="s">
        <v>45</v>
      </c>
      <c r="D214" t="s">
        <v>190</v>
      </c>
      <c r="E214" t="s">
        <v>96</v>
      </c>
      <c r="F214" t="s">
        <v>96</v>
      </c>
      <c r="G214" t="s">
        <v>96</v>
      </c>
      <c r="H214">
        <v>2010</v>
      </c>
      <c r="I214" t="s">
        <v>96</v>
      </c>
      <c r="J214" t="s">
        <v>97</v>
      </c>
      <c r="K214" t="s">
        <v>96</v>
      </c>
      <c r="L214" t="s">
        <v>96</v>
      </c>
      <c r="M214">
        <v>3823.75</v>
      </c>
      <c r="O214" s="12" t="str">
        <f t="shared" si="20"/>
        <v>AFR</v>
      </c>
      <c r="P214" s="12" t="str">
        <f t="shared" si="21"/>
        <v>E_WON</v>
      </c>
    </row>
    <row r="215" spans="1:16" x14ac:dyDescent="0.35">
      <c r="A215" t="s">
        <v>95</v>
      </c>
      <c r="B215" t="s">
        <v>3111</v>
      </c>
      <c r="C215" t="s">
        <v>45</v>
      </c>
      <c r="D215" t="s">
        <v>192</v>
      </c>
      <c r="E215" t="s">
        <v>96</v>
      </c>
      <c r="F215" t="s">
        <v>96</v>
      </c>
      <c r="G215" t="s">
        <v>96</v>
      </c>
      <c r="H215">
        <v>2010</v>
      </c>
      <c r="I215" t="s">
        <v>96</v>
      </c>
      <c r="J215" t="s">
        <v>97</v>
      </c>
      <c r="K215" t="s">
        <v>96</v>
      </c>
      <c r="L215" t="s">
        <v>96</v>
      </c>
      <c r="M215">
        <v>3823.75</v>
      </c>
      <c r="O215" s="12" t="str">
        <f t="shared" si="20"/>
        <v>AFR</v>
      </c>
      <c r="P215" s="12" t="str">
        <f t="shared" si="21"/>
        <v>E_WON</v>
      </c>
    </row>
    <row r="216" spans="1:16" x14ac:dyDescent="0.35">
      <c r="A216" t="s">
        <v>95</v>
      </c>
      <c r="B216" t="s">
        <v>3111</v>
      </c>
      <c r="C216" t="s">
        <v>45</v>
      </c>
      <c r="D216" t="s">
        <v>193</v>
      </c>
      <c r="E216" t="s">
        <v>96</v>
      </c>
      <c r="F216" t="s">
        <v>96</v>
      </c>
      <c r="G216" t="s">
        <v>96</v>
      </c>
      <c r="H216">
        <v>2010</v>
      </c>
      <c r="I216" t="s">
        <v>96</v>
      </c>
      <c r="J216" t="s">
        <v>97</v>
      </c>
      <c r="K216" t="s">
        <v>96</v>
      </c>
      <c r="L216" t="s">
        <v>96</v>
      </c>
      <c r="M216">
        <v>3823.75</v>
      </c>
      <c r="O216" s="12" t="str">
        <f t="shared" si="20"/>
        <v>AFR</v>
      </c>
      <c r="P216" s="12" t="str">
        <f t="shared" si="21"/>
        <v>E_WON</v>
      </c>
    </row>
    <row r="217" spans="1:16" x14ac:dyDescent="0.35">
      <c r="A217" t="s">
        <v>95</v>
      </c>
      <c r="B217" t="s">
        <v>3111</v>
      </c>
      <c r="C217" t="s">
        <v>45</v>
      </c>
      <c r="D217" t="s">
        <v>194</v>
      </c>
      <c r="E217" t="s">
        <v>96</v>
      </c>
      <c r="F217" t="s">
        <v>96</v>
      </c>
      <c r="G217" t="s">
        <v>96</v>
      </c>
      <c r="H217">
        <v>2010</v>
      </c>
      <c r="I217" t="s">
        <v>96</v>
      </c>
      <c r="J217" t="s">
        <v>97</v>
      </c>
      <c r="K217" t="s">
        <v>96</v>
      </c>
      <c r="L217" t="s">
        <v>96</v>
      </c>
      <c r="M217">
        <v>3115</v>
      </c>
      <c r="O217" s="12" t="str">
        <f t="shared" si="20"/>
        <v>AFR</v>
      </c>
      <c r="P217" s="12" t="str">
        <f t="shared" si="21"/>
        <v>E_WON</v>
      </c>
    </row>
    <row r="218" spans="1:16" x14ac:dyDescent="0.35">
      <c r="A218" t="s">
        <v>95</v>
      </c>
      <c r="B218" t="s">
        <v>3111</v>
      </c>
      <c r="C218" t="s">
        <v>45</v>
      </c>
      <c r="D218" t="s">
        <v>195</v>
      </c>
      <c r="E218" t="s">
        <v>96</v>
      </c>
      <c r="F218" t="s">
        <v>96</v>
      </c>
      <c r="G218" t="s">
        <v>96</v>
      </c>
      <c r="H218">
        <v>2010</v>
      </c>
      <c r="I218" t="s">
        <v>96</v>
      </c>
      <c r="J218" t="s">
        <v>97</v>
      </c>
      <c r="K218" t="s">
        <v>96</v>
      </c>
      <c r="L218" t="s">
        <v>96</v>
      </c>
      <c r="M218">
        <v>3823.75</v>
      </c>
      <c r="O218" s="12" t="str">
        <f t="shared" si="20"/>
        <v>AFR</v>
      </c>
      <c r="P218" s="12" t="str">
        <f t="shared" si="21"/>
        <v>E_WON</v>
      </c>
    </row>
    <row r="219" spans="1:16" x14ac:dyDescent="0.35">
      <c r="A219" t="s">
        <v>95</v>
      </c>
      <c r="B219" t="s">
        <v>3111</v>
      </c>
      <c r="C219" t="s">
        <v>45</v>
      </c>
      <c r="D219" t="s">
        <v>196</v>
      </c>
      <c r="E219" t="s">
        <v>96</v>
      </c>
      <c r="F219" t="s">
        <v>96</v>
      </c>
      <c r="G219" t="s">
        <v>96</v>
      </c>
      <c r="H219">
        <v>2010</v>
      </c>
      <c r="I219" t="s">
        <v>96</v>
      </c>
      <c r="J219" t="s">
        <v>97</v>
      </c>
      <c r="K219" t="s">
        <v>96</v>
      </c>
      <c r="L219" t="s">
        <v>96</v>
      </c>
      <c r="M219">
        <v>3823.75</v>
      </c>
      <c r="O219" s="12" t="str">
        <f t="shared" si="20"/>
        <v>AFR</v>
      </c>
      <c r="P219" s="12" t="str">
        <f t="shared" si="21"/>
        <v>E_WON</v>
      </c>
    </row>
    <row r="220" spans="1:16" x14ac:dyDescent="0.35">
      <c r="A220" t="s">
        <v>95</v>
      </c>
      <c r="B220" t="s">
        <v>3111</v>
      </c>
      <c r="C220" t="s">
        <v>45</v>
      </c>
      <c r="D220" t="s">
        <v>199</v>
      </c>
      <c r="E220" t="s">
        <v>96</v>
      </c>
      <c r="F220" t="s">
        <v>96</v>
      </c>
      <c r="G220" t="s">
        <v>96</v>
      </c>
      <c r="H220">
        <v>2010</v>
      </c>
      <c r="I220" t="s">
        <v>96</v>
      </c>
      <c r="J220" t="s">
        <v>97</v>
      </c>
      <c r="K220" t="s">
        <v>96</v>
      </c>
      <c r="L220" t="s">
        <v>96</v>
      </c>
      <c r="M220">
        <v>3823.75</v>
      </c>
      <c r="O220" s="12" t="str">
        <f t="shared" si="20"/>
        <v>AFR</v>
      </c>
      <c r="P220" s="12" t="str">
        <f t="shared" si="21"/>
        <v>E_WON</v>
      </c>
    </row>
    <row r="221" spans="1:16" x14ac:dyDescent="0.35">
      <c r="A221" t="s">
        <v>95</v>
      </c>
      <c r="B221" t="s">
        <v>3111</v>
      </c>
      <c r="C221" t="s">
        <v>45</v>
      </c>
      <c r="D221" t="s">
        <v>200</v>
      </c>
      <c r="E221" t="s">
        <v>96</v>
      </c>
      <c r="F221" t="s">
        <v>96</v>
      </c>
      <c r="G221" t="s">
        <v>96</v>
      </c>
      <c r="H221">
        <v>2010</v>
      </c>
      <c r="I221" t="s">
        <v>96</v>
      </c>
      <c r="J221" t="s">
        <v>97</v>
      </c>
      <c r="K221" t="s">
        <v>96</v>
      </c>
      <c r="L221" t="s">
        <v>96</v>
      </c>
      <c r="M221">
        <v>4532.5</v>
      </c>
      <c r="O221" s="12" t="str">
        <f t="shared" si="20"/>
        <v>AFR</v>
      </c>
      <c r="P221" s="12" t="str">
        <f t="shared" si="21"/>
        <v>E_WON</v>
      </c>
    </row>
    <row r="222" spans="1:16" x14ac:dyDescent="0.35">
      <c r="A222" t="s">
        <v>95</v>
      </c>
      <c r="B222" t="s">
        <v>3111</v>
      </c>
      <c r="C222" t="s">
        <v>45</v>
      </c>
      <c r="D222" t="s">
        <v>203</v>
      </c>
      <c r="E222" t="s">
        <v>96</v>
      </c>
      <c r="F222" t="s">
        <v>96</v>
      </c>
      <c r="G222" t="s">
        <v>96</v>
      </c>
      <c r="H222">
        <v>2010</v>
      </c>
      <c r="I222" t="s">
        <v>96</v>
      </c>
      <c r="J222" t="s">
        <v>97</v>
      </c>
      <c r="K222" t="s">
        <v>96</v>
      </c>
      <c r="L222" t="s">
        <v>96</v>
      </c>
      <c r="M222">
        <v>3823.75</v>
      </c>
      <c r="O222" s="12" t="str">
        <f t="shared" si="20"/>
        <v>AFR</v>
      </c>
      <c r="P222" s="12" t="str">
        <f t="shared" si="21"/>
        <v>E_WON</v>
      </c>
    </row>
    <row r="223" spans="1:16" x14ac:dyDescent="0.35">
      <c r="A223" t="s">
        <v>95</v>
      </c>
      <c r="B223" t="s">
        <v>3111</v>
      </c>
      <c r="C223" t="s">
        <v>45</v>
      </c>
      <c r="D223" t="s">
        <v>204</v>
      </c>
      <c r="E223" t="s">
        <v>96</v>
      </c>
      <c r="F223" t="s">
        <v>96</v>
      </c>
      <c r="G223" t="s">
        <v>96</v>
      </c>
      <c r="H223">
        <v>2010</v>
      </c>
      <c r="I223" t="s">
        <v>96</v>
      </c>
      <c r="J223" t="s">
        <v>97</v>
      </c>
      <c r="K223" t="s">
        <v>96</v>
      </c>
      <c r="L223" t="s">
        <v>96</v>
      </c>
      <c r="M223">
        <v>3823.75</v>
      </c>
      <c r="O223" s="12" t="str">
        <f t="shared" si="20"/>
        <v>AFR</v>
      </c>
      <c r="P223" s="12" t="str">
        <f t="shared" si="21"/>
        <v>E_WON</v>
      </c>
    </row>
    <row r="224" spans="1:16" x14ac:dyDescent="0.35">
      <c r="A224" t="s">
        <v>95</v>
      </c>
      <c r="B224" t="s">
        <v>3111</v>
      </c>
      <c r="C224" t="s">
        <v>45</v>
      </c>
      <c r="D224" t="s">
        <v>208</v>
      </c>
      <c r="E224" t="s">
        <v>96</v>
      </c>
      <c r="F224" t="s">
        <v>96</v>
      </c>
      <c r="G224" t="s">
        <v>96</v>
      </c>
      <c r="H224">
        <v>2010</v>
      </c>
      <c r="I224" t="s">
        <v>96</v>
      </c>
      <c r="J224" t="s">
        <v>97</v>
      </c>
      <c r="K224" t="s">
        <v>96</v>
      </c>
      <c r="L224" t="s">
        <v>96</v>
      </c>
      <c r="M224">
        <v>3823.75</v>
      </c>
      <c r="O224" s="12" t="str">
        <f t="shared" si="20"/>
        <v>AFR</v>
      </c>
      <c r="P224" s="12" t="str">
        <f t="shared" si="21"/>
        <v>E_WON</v>
      </c>
    </row>
    <row r="225" spans="1:16" x14ac:dyDescent="0.35">
      <c r="A225" t="s">
        <v>95</v>
      </c>
      <c r="B225" t="s">
        <v>3111</v>
      </c>
      <c r="C225" t="s">
        <v>45</v>
      </c>
      <c r="D225" t="s">
        <v>210</v>
      </c>
      <c r="E225" t="s">
        <v>96</v>
      </c>
      <c r="F225" t="s">
        <v>96</v>
      </c>
      <c r="G225" t="s">
        <v>96</v>
      </c>
      <c r="H225">
        <v>2010</v>
      </c>
      <c r="I225" t="s">
        <v>96</v>
      </c>
      <c r="J225" t="s">
        <v>97</v>
      </c>
      <c r="K225" t="s">
        <v>96</v>
      </c>
      <c r="L225" t="s">
        <v>96</v>
      </c>
      <c r="M225">
        <v>3823.75</v>
      </c>
      <c r="O225" s="12" t="str">
        <f t="shared" si="20"/>
        <v>AFR</v>
      </c>
      <c r="P225" s="12" t="str">
        <f t="shared" si="21"/>
        <v>E_WON</v>
      </c>
    </row>
    <row r="226" spans="1:16" x14ac:dyDescent="0.35">
      <c r="A226" t="s">
        <v>95</v>
      </c>
      <c r="B226" t="s">
        <v>3111</v>
      </c>
      <c r="C226" t="s">
        <v>45</v>
      </c>
      <c r="D226" t="s">
        <v>211</v>
      </c>
      <c r="E226" t="s">
        <v>96</v>
      </c>
      <c r="F226" t="s">
        <v>96</v>
      </c>
      <c r="G226" t="s">
        <v>96</v>
      </c>
      <c r="H226">
        <v>2010</v>
      </c>
      <c r="I226" t="s">
        <v>96</v>
      </c>
      <c r="J226" t="s">
        <v>97</v>
      </c>
      <c r="K226" t="s">
        <v>96</v>
      </c>
      <c r="L226" t="s">
        <v>96</v>
      </c>
      <c r="M226">
        <v>3823.75</v>
      </c>
      <c r="O226" s="12" t="str">
        <f t="shared" si="20"/>
        <v>AFR</v>
      </c>
      <c r="P226" s="12" t="str">
        <f t="shared" si="21"/>
        <v>E_WON</v>
      </c>
    </row>
    <row r="227" spans="1:16" x14ac:dyDescent="0.35">
      <c r="A227" t="s">
        <v>95</v>
      </c>
      <c r="B227" t="s">
        <v>3111</v>
      </c>
      <c r="C227" t="s">
        <v>45</v>
      </c>
      <c r="D227" t="s">
        <v>212</v>
      </c>
      <c r="E227" t="s">
        <v>96</v>
      </c>
      <c r="F227" t="s">
        <v>96</v>
      </c>
      <c r="G227" t="s">
        <v>96</v>
      </c>
      <c r="H227">
        <v>2010</v>
      </c>
      <c r="I227" t="s">
        <v>96</v>
      </c>
      <c r="J227" t="s">
        <v>97</v>
      </c>
      <c r="K227" t="s">
        <v>96</v>
      </c>
      <c r="L227" t="s">
        <v>96</v>
      </c>
      <c r="M227">
        <v>3823.75</v>
      </c>
      <c r="O227" s="12" t="str">
        <f t="shared" si="20"/>
        <v>AFR</v>
      </c>
      <c r="P227" s="12" t="str">
        <f t="shared" si="21"/>
        <v>E_WON</v>
      </c>
    </row>
    <row r="228" spans="1:16" x14ac:dyDescent="0.35">
      <c r="A228" t="s">
        <v>95</v>
      </c>
      <c r="B228" t="s">
        <v>3111</v>
      </c>
      <c r="C228" t="s">
        <v>45</v>
      </c>
      <c r="D228" t="s">
        <v>213</v>
      </c>
      <c r="E228" t="s">
        <v>96</v>
      </c>
      <c r="F228" t="s">
        <v>96</v>
      </c>
      <c r="G228" t="s">
        <v>96</v>
      </c>
      <c r="H228">
        <v>2010</v>
      </c>
      <c r="I228" t="s">
        <v>96</v>
      </c>
      <c r="J228" t="s">
        <v>97</v>
      </c>
      <c r="K228" t="s">
        <v>96</v>
      </c>
      <c r="L228" t="s">
        <v>96</v>
      </c>
      <c r="M228">
        <v>3823.75</v>
      </c>
      <c r="O228" s="12" t="str">
        <f t="shared" si="20"/>
        <v>AFR</v>
      </c>
      <c r="P228" s="12" t="str">
        <f t="shared" si="21"/>
        <v>E_WON</v>
      </c>
    </row>
    <row r="229" spans="1:16" x14ac:dyDescent="0.35">
      <c r="A229" t="s">
        <v>95</v>
      </c>
      <c r="B229" t="s">
        <v>3111</v>
      </c>
      <c r="C229" t="s">
        <v>45</v>
      </c>
      <c r="D229" t="s">
        <v>214</v>
      </c>
      <c r="E229" t="s">
        <v>96</v>
      </c>
      <c r="F229" t="s">
        <v>96</v>
      </c>
      <c r="G229" t="s">
        <v>96</v>
      </c>
      <c r="H229">
        <v>2010</v>
      </c>
      <c r="I229" t="s">
        <v>96</v>
      </c>
      <c r="J229" t="s">
        <v>97</v>
      </c>
      <c r="K229" t="s">
        <v>96</v>
      </c>
      <c r="L229" t="s">
        <v>96</v>
      </c>
      <c r="M229">
        <v>4532.5</v>
      </c>
      <c r="O229" s="12" t="str">
        <f t="shared" si="20"/>
        <v>AFR</v>
      </c>
      <c r="P229" s="12" t="str">
        <f t="shared" si="21"/>
        <v>E_WON</v>
      </c>
    </row>
    <row r="230" spans="1:16" x14ac:dyDescent="0.35">
      <c r="A230" t="s">
        <v>95</v>
      </c>
      <c r="B230" t="s">
        <v>3111</v>
      </c>
      <c r="C230" t="s">
        <v>45</v>
      </c>
      <c r="D230" t="s">
        <v>217</v>
      </c>
      <c r="E230" t="s">
        <v>96</v>
      </c>
      <c r="F230" t="s">
        <v>96</v>
      </c>
      <c r="G230" t="s">
        <v>96</v>
      </c>
      <c r="H230">
        <v>2010</v>
      </c>
      <c r="I230" t="s">
        <v>96</v>
      </c>
      <c r="J230" t="s">
        <v>97</v>
      </c>
      <c r="K230" t="s">
        <v>96</v>
      </c>
      <c r="L230" t="s">
        <v>96</v>
      </c>
      <c r="M230">
        <v>3823.75</v>
      </c>
      <c r="O230" s="12" t="str">
        <f t="shared" si="20"/>
        <v>AFR</v>
      </c>
      <c r="P230" s="12" t="str">
        <f t="shared" si="21"/>
        <v>E_WON</v>
      </c>
    </row>
    <row r="231" spans="1:16" x14ac:dyDescent="0.35">
      <c r="A231" t="s">
        <v>95</v>
      </c>
      <c r="B231" t="s">
        <v>3111</v>
      </c>
      <c r="C231" t="s">
        <v>45</v>
      </c>
      <c r="D231" t="s">
        <v>221</v>
      </c>
      <c r="E231" t="s">
        <v>96</v>
      </c>
      <c r="F231" t="s">
        <v>96</v>
      </c>
      <c r="G231" t="s">
        <v>96</v>
      </c>
      <c r="H231">
        <v>2010</v>
      </c>
      <c r="I231" t="s">
        <v>96</v>
      </c>
      <c r="J231" t="s">
        <v>97</v>
      </c>
      <c r="K231" t="s">
        <v>96</v>
      </c>
      <c r="L231" t="s">
        <v>96</v>
      </c>
      <c r="M231">
        <v>3823.75</v>
      </c>
      <c r="O231" s="12" t="str">
        <f t="shared" si="20"/>
        <v>AFR</v>
      </c>
      <c r="P231" s="12" t="str">
        <f t="shared" si="21"/>
        <v>E_WON</v>
      </c>
    </row>
    <row r="232" spans="1:16" x14ac:dyDescent="0.35">
      <c r="A232" t="s">
        <v>95</v>
      </c>
      <c r="B232" t="s">
        <v>3111</v>
      </c>
      <c r="C232" t="s">
        <v>45</v>
      </c>
      <c r="D232" t="s">
        <v>223</v>
      </c>
      <c r="E232" t="s">
        <v>96</v>
      </c>
      <c r="F232" t="s">
        <v>96</v>
      </c>
      <c r="G232" t="s">
        <v>96</v>
      </c>
      <c r="H232">
        <v>2010</v>
      </c>
      <c r="I232" t="s">
        <v>96</v>
      </c>
      <c r="J232" t="s">
        <v>97</v>
      </c>
      <c r="K232" t="s">
        <v>96</v>
      </c>
      <c r="L232" t="s">
        <v>96</v>
      </c>
      <c r="M232">
        <v>3823.75</v>
      </c>
      <c r="O232" s="12" t="str">
        <f t="shared" si="20"/>
        <v>AFR</v>
      </c>
      <c r="P232" s="12" t="str">
        <f t="shared" si="21"/>
        <v>E_WON</v>
      </c>
    </row>
    <row r="233" spans="1:16" x14ac:dyDescent="0.35">
      <c r="A233" t="s">
        <v>95</v>
      </c>
      <c r="B233" t="s">
        <v>3111</v>
      </c>
      <c r="C233" t="s">
        <v>45</v>
      </c>
      <c r="D233" t="s">
        <v>224</v>
      </c>
      <c r="E233" t="s">
        <v>96</v>
      </c>
      <c r="F233" t="s">
        <v>96</v>
      </c>
      <c r="G233" t="s">
        <v>96</v>
      </c>
      <c r="H233">
        <v>2010</v>
      </c>
      <c r="I233" t="s">
        <v>96</v>
      </c>
      <c r="J233" t="s">
        <v>97</v>
      </c>
      <c r="K233" t="s">
        <v>96</v>
      </c>
      <c r="L233" t="s">
        <v>96</v>
      </c>
      <c r="M233">
        <v>3823.75</v>
      </c>
      <c r="O233" s="12" t="str">
        <f t="shared" si="20"/>
        <v>AFR</v>
      </c>
      <c r="P233" s="12" t="str">
        <f t="shared" si="21"/>
        <v>E_WON</v>
      </c>
    </row>
    <row r="234" spans="1:16" x14ac:dyDescent="0.35">
      <c r="A234" t="s">
        <v>95</v>
      </c>
      <c r="B234" t="s">
        <v>3111</v>
      </c>
      <c r="C234" t="s">
        <v>45</v>
      </c>
      <c r="D234" t="s">
        <v>225</v>
      </c>
      <c r="E234" t="s">
        <v>96</v>
      </c>
      <c r="F234" t="s">
        <v>96</v>
      </c>
      <c r="G234" t="s">
        <v>96</v>
      </c>
      <c r="H234">
        <v>2010</v>
      </c>
      <c r="I234" t="s">
        <v>96</v>
      </c>
      <c r="J234" t="s">
        <v>97</v>
      </c>
      <c r="K234" t="s">
        <v>96</v>
      </c>
      <c r="L234" t="s">
        <v>96</v>
      </c>
      <c r="M234">
        <v>3823.75</v>
      </c>
      <c r="O234" s="12" t="str">
        <f t="shared" si="20"/>
        <v>AFR</v>
      </c>
      <c r="P234" s="12" t="str">
        <f t="shared" si="21"/>
        <v>E_WON</v>
      </c>
    </row>
    <row r="235" spans="1:16" x14ac:dyDescent="0.35">
      <c r="A235" t="s">
        <v>95</v>
      </c>
      <c r="B235" t="s">
        <v>3111</v>
      </c>
      <c r="C235" t="s">
        <v>45</v>
      </c>
      <c r="D235" t="s">
        <v>226</v>
      </c>
      <c r="E235" t="s">
        <v>96</v>
      </c>
      <c r="F235" t="s">
        <v>96</v>
      </c>
      <c r="G235" t="s">
        <v>96</v>
      </c>
      <c r="H235">
        <v>2010</v>
      </c>
      <c r="I235" t="s">
        <v>96</v>
      </c>
      <c r="J235" t="s">
        <v>97</v>
      </c>
      <c r="K235" t="s">
        <v>96</v>
      </c>
      <c r="L235" t="s">
        <v>96</v>
      </c>
      <c r="M235">
        <v>4532.5</v>
      </c>
      <c r="O235" s="12" t="str">
        <f t="shared" si="20"/>
        <v>AFR</v>
      </c>
      <c r="P235" s="12" t="str">
        <f t="shared" si="21"/>
        <v>E_WON</v>
      </c>
    </row>
    <row r="236" spans="1:16" x14ac:dyDescent="0.35">
      <c r="A236" t="s">
        <v>95</v>
      </c>
      <c r="B236" t="s">
        <v>3111</v>
      </c>
      <c r="C236" t="s">
        <v>45</v>
      </c>
      <c r="D236" t="s">
        <v>228</v>
      </c>
      <c r="E236" t="s">
        <v>96</v>
      </c>
      <c r="F236" t="s">
        <v>96</v>
      </c>
      <c r="G236" t="s">
        <v>96</v>
      </c>
      <c r="H236">
        <v>2010</v>
      </c>
      <c r="I236" t="s">
        <v>96</v>
      </c>
      <c r="J236" t="s">
        <v>97</v>
      </c>
      <c r="K236" t="s">
        <v>96</v>
      </c>
      <c r="L236" t="s">
        <v>96</v>
      </c>
      <c r="M236">
        <v>3823.75</v>
      </c>
      <c r="O236" s="12" t="str">
        <f t="shared" si="20"/>
        <v>AFR</v>
      </c>
      <c r="P236" s="12" t="str">
        <f t="shared" si="21"/>
        <v>E_WON</v>
      </c>
    </row>
    <row r="237" spans="1:16" x14ac:dyDescent="0.35">
      <c r="A237" t="s">
        <v>95</v>
      </c>
      <c r="B237" t="s">
        <v>3111</v>
      </c>
      <c r="C237" t="s">
        <v>45</v>
      </c>
      <c r="D237" t="s">
        <v>229</v>
      </c>
      <c r="E237" t="s">
        <v>96</v>
      </c>
      <c r="F237" t="s">
        <v>96</v>
      </c>
      <c r="G237" t="s">
        <v>96</v>
      </c>
      <c r="H237">
        <v>2010</v>
      </c>
      <c r="I237" t="s">
        <v>96</v>
      </c>
      <c r="J237" t="s">
        <v>97</v>
      </c>
      <c r="K237" t="s">
        <v>96</v>
      </c>
      <c r="L237" t="s">
        <v>96</v>
      </c>
      <c r="M237">
        <v>3823.75</v>
      </c>
      <c r="O237" s="12" t="str">
        <f t="shared" si="20"/>
        <v>AFR</v>
      </c>
      <c r="P237" s="12" t="str">
        <f t="shared" si="21"/>
        <v>E_WON</v>
      </c>
    </row>
    <row r="238" spans="1:16" x14ac:dyDescent="0.35">
      <c r="A238" t="s">
        <v>95</v>
      </c>
      <c r="B238" t="s">
        <v>3111</v>
      </c>
      <c r="C238" t="s">
        <v>45</v>
      </c>
      <c r="D238" t="s">
        <v>231</v>
      </c>
      <c r="E238" t="s">
        <v>96</v>
      </c>
      <c r="F238" t="s">
        <v>96</v>
      </c>
      <c r="G238" t="s">
        <v>96</v>
      </c>
      <c r="H238">
        <v>2010</v>
      </c>
      <c r="I238" t="s">
        <v>96</v>
      </c>
      <c r="J238" t="s">
        <v>97</v>
      </c>
      <c r="K238" t="s">
        <v>96</v>
      </c>
      <c r="L238" t="s">
        <v>96</v>
      </c>
      <c r="M238">
        <v>3823.75</v>
      </c>
      <c r="O238" s="12" t="str">
        <f t="shared" si="20"/>
        <v>AFR</v>
      </c>
      <c r="P238" s="12" t="str">
        <f t="shared" si="21"/>
        <v>E_WON</v>
      </c>
    </row>
    <row r="239" spans="1:16" x14ac:dyDescent="0.35">
      <c r="A239" t="s">
        <v>95</v>
      </c>
      <c r="B239" t="s">
        <v>3111</v>
      </c>
      <c r="C239" t="s">
        <v>45</v>
      </c>
      <c r="D239" t="s">
        <v>232</v>
      </c>
      <c r="E239" t="s">
        <v>96</v>
      </c>
      <c r="F239" t="s">
        <v>96</v>
      </c>
      <c r="G239" t="s">
        <v>96</v>
      </c>
      <c r="H239">
        <v>2010</v>
      </c>
      <c r="I239" t="s">
        <v>96</v>
      </c>
      <c r="J239" t="s">
        <v>97</v>
      </c>
      <c r="K239" t="s">
        <v>96</v>
      </c>
      <c r="L239" t="s">
        <v>96</v>
      </c>
      <c r="M239">
        <v>4532.5</v>
      </c>
      <c r="O239" s="12" t="str">
        <f t="shared" si="20"/>
        <v>AFR</v>
      </c>
      <c r="P239" s="12" t="str">
        <f t="shared" si="21"/>
        <v>E_WON</v>
      </c>
    </row>
    <row r="240" spans="1:16" x14ac:dyDescent="0.35">
      <c r="A240" t="s">
        <v>95</v>
      </c>
      <c r="B240" t="s">
        <v>3111</v>
      </c>
      <c r="C240" t="s">
        <v>45</v>
      </c>
      <c r="D240" t="s">
        <v>233</v>
      </c>
      <c r="E240" t="s">
        <v>96</v>
      </c>
      <c r="F240" t="s">
        <v>96</v>
      </c>
      <c r="G240" t="s">
        <v>96</v>
      </c>
      <c r="H240">
        <v>2010</v>
      </c>
      <c r="I240" t="s">
        <v>96</v>
      </c>
      <c r="J240" t="s">
        <v>97</v>
      </c>
      <c r="K240" t="s">
        <v>96</v>
      </c>
      <c r="L240" t="s">
        <v>96</v>
      </c>
      <c r="M240">
        <v>3823.75</v>
      </c>
      <c r="O240" s="12" t="str">
        <f t="shared" si="20"/>
        <v>AFR</v>
      </c>
      <c r="P240" s="12" t="str">
        <f t="shared" si="21"/>
        <v>E_WON</v>
      </c>
    </row>
    <row r="241" spans="1:16" x14ac:dyDescent="0.35">
      <c r="A241" t="s">
        <v>95</v>
      </c>
      <c r="B241" t="s">
        <v>3111</v>
      </c>
      <c r="C241" t="s">
        <v>45</v>
      </c>
      <c r="D241" t="s">
        <v>234</v>
      </c>
      <c r="E241" t="s">
        <v>96</v>
      </c>
      <c r="F241" t="s">
        <v>96</v>
      </c>
      <c r="G241" t="s">
        <v>96</v>
      </c>
      <c r="H241">
        <v>2010</v>
      </c>
      <c r="I241" t="s">
        <v>96</v>
      </c>
      <c r="J241" t="s">
        <v>97</v>
      </c>
      <c r="K241" t="s">
        <v>96</v>
      </c>
      <c r="L241" t="s">
        <v>96</v>
      </c>
      <c r="M241">
        <v>3823.75</v>
      </c>
      <c r="O241" s="12" t="str">
        <f t="shared" si="20"/>
        <v>AFR</v>
      </c>
      <c r="P241" s="12" t="str">
        <f t="shared" si="21"/>
        <v>E_WON</v>
      </c>
    </row>
    <row r="242" spans="1:16" x14ac:dyDescent="0.35">
      <c r="A242" t="s">
        <v>95</v>
      </c>
      <c r="B242" t="s">
        <v>3111</v>
      </c>
      <c r="C242" t="s">
        <v>45</v>
      </c>
      <c r="D242" t="s">
        <v>236</v>
      </c>
      <c r="E242" t="s">
        <v>96</v>
      </c>
      <c r="F242" t="s">
        <v>96</v>
      </c>
      <c r="G242" t="s">
        <v>96</v>
      </c>
      <c r="H242">
        <v>2010</v>
      </c>
      <c r="I242" t="s">
        <v>96</v>
      </c>
      <c r="J242" t="s">
        <v>97</v>
      </c>
      <c r="K242" t="s">
        <v>96</v>
      </c>
      <c r="L242" t="s">
        <v>96</v>
      </c>
      <c r="M242">
        <v>3823.75</v>
      </c>
      <c r="O242" s="12" t="str">
        <f t="shared" si="20"/>
        <v>AFR</v>
      </c>
      <c r="P242" s="12" t="str">
        <f t="shared" si="21"/>
        <v>E_WON</v>
      </c>
    </row>
    <row r="243" spans="1:16" x14ac:dyDescent="0.35">
      <c r="A243" t="s">
        <v>95</v>
      </c>
      <c r="B243" t="s">
        <v>3111</v>
      </c>
      <c r="C243" t="s">
        <v>45</v>
      </c>
      <c r="D243" t="s">
        <v>237</v>
      </c>
      <c r="E243" t="s">
        <v>96</v>
      </c>
      <c r="F243" t="s">
        <v>96</v>
      </c>
      <c r="G243" t="s">
        <v>96</v>
      </c>
      <c r="H243">
        <v>2010</v>
      </c>
      <c r="I243" t="s">
        <v>96</v>
      </c>
      <c r="J243" t="s">
        <v>97</v>
      </c>
      <c r="K243" t="s">
        <v>96</v>
      </c>
      <c r="L243" t="s">
        <v>96</v>
      </c>
      <c r="M243">
        <v>4532.5</v>
      </c>
      <c r="O243" s="12" t="str">
        <f t="shared" si="20"/>
        <v>AFR</v>
      </c>
      <c r="P243" s="12" t="str">
        <f t="shared" si="21"/>
        <v>E_WON</v>
      </c>
    </row>
    <row r="244" spans="1:16" x14ac:dyDescent="0.35">
      <c r="A244" t="s">
        <v>95</v>
      </c>
      <c r="B244" t="s">
        <v>3111</v>
      </c>
      <c r="C244" t="s">
        <v>45</v>
      </c>
      <c r="D244" t="s">
        <v>238</v>
      </c>
      <c r="E244" t="s">
        <v>96</v>
      </c>
      <c r="F244" t="s">
        <v>96</v>
      </c>
      <c r="G244" t="s">
        <v>96</v>
      </c>
      <c r="H244">
        <v>2010</v>
      </c>
      <c r="I244" t="s">
        <v>96</v>
      </c>
      <c r="J244" t="s">
        <v>97</v>
      </c>
      <c r="K244" t="s">
        <v>96</v>
      </c>
      <c r="L244" t="s">
        <v>96</v>
      </c>
      <c r="M244">
        <v>3823.75</v>
      </c>
      <c r="O244" s="12" t="str">
        <f t="shared" si="20"/>
        <v>AFR</v>
      </c>
      <c r="P244" s="12" t="str">
        <f t="shared" si="21"/>
        <v>E_WON</v>
      </c>
    </row>
    <row r="245" spans="1:16" x14ac:dyDescent="0.35">
      <c r="A245" t="s">
        <v>95</v>
      </c>
      <c r="B245" t="s">
        <v>3111</v>
      </c>
      <c r="C245" t="s">
        <v>45</v>
      </c>
      <c r="D245" t="s">
        <v>239</v>
      </c>
      <c r="E245" t="s">
        <v>96</v>
      </c>
      <c r="F245" t="s">
        <v>96</v>
      </c>
      <c r="G245" t="s">
        <v>96</v>
      </c>
      <c r="H245">
        <v>2010</v>
      </c>
      <c r="I245" t="s">
        <v>96</v>
      </c>
      <c r="J245" t="s">
        <v>97</v>
      </c>
      <c r="K245" t="s">
        <v>96</v>
      </c>
      <c r="L245" t="s">
        <v>96</v>
      </c>
      <c r="M245">
        <v>3823.75</v>
      </c>
      <c r="O245" s="12" t="str">
        <f t="shared" si="20"/>
        <v>AFR</v>
      </c>
      <c r="P245" s="12" t="str">
        <f t="shared" si="21"/>
        <v>E_WON</v>
      </c>
    </row>
    <row r="246" spans="1:16" x14ac:dyDescent="0.35">
      <c r="A246" t="s">
        <v>95</v>
      </c>
      <c r="B246" t="s">
        <v>3111</v>
      </c>
      <c r="C246" t="s">
        <v>45</v>
      </c>
      <c r="D246" t="s">
        <v>240</v>
      </c>
      <c r="E246" t="s">
        <v>96</v>
      </c>
      <c r="F246" t="s">
        <v>96</v>
      </c>
      <c r="G246" t="s">
        <v>96</v>
      </c>
      <c r="H246">
        <v>2010</v>
      </c>
      <c r="I246" t="s">
        <v>96</v>
      </c>
      <c r="J246" t="s">
        <v>97</v>
      </c>
      <c r="K246" t="s">
        <v>96</v>
      </c>
      <c r="L246" t="s">
        <v>96</v>
      </c>
      <c r="M246">
        <v>2185</v>
      </c>
      <c r="O246" s="12" t="str">
        <f t="shared" si="20"/>
        <v>AFR</v>
      </c>
      <c r="P246" s="12" t="str">
        <f t="shared" si="21"/>
        <v>E_WON</v>
      </c>
    </row>
    <row r="247" spans="1:16" x14ac:dyDescent="0.35">
      <c r="A247" t="s">
        <v>95</v>
      </c>
      <c r="B247" t="s">
        <v>3111</v>
      </c>
      <c r="C247" t="s">
        <v>45</v>
      </c>
      <c r="D247" t="s">
        <v>241</v>
      </c>
      <c r="E247" t="s">
        <v>96</v>
      </c>
      <c r="F247" t="s">
        <v>96</v>
      </c>
      <c r="G247" t="s">
        <v>96</v>
      </c>
      <c r="H247">
        <v>2010</v>
      </c>
      <c r="I247" t="s">
        <v>96</v>
      </c>
      <c r="J247" t="s">
        <v>97</v>
      </c>
      <c r="K247" t="s">
        <v>96</v>
      </c>
      <c r="L247" t="s">
        <v>96</v>
      </c>
      <c r="M247">
        <v>2185</v>
      </c>
      <c r="O247" s="12" t="str">
        <f t="shared" si="20"/>
        <v>AFR</v>
      </c>
      <c r="P247" s="12" t="str">
        <f t="shared" si="21"/>
        <v>E_WON</v>
      </c>
    </row>
    <row r="248" spans="1:16" x14ac:dyDescent="0.35">
      <c r="A248" t="s">
        <v>95</v>
      </c>
      <c r="B248" t="s">
        <v>3111</v>
      </c>
      <c r="C248" t="s">
        <v>45</v>
      </c>
      <c r="D248" t="s">
        <v>242</v>
      </c>
      <c r="E248" t="s">
        <v>96</v>
      </c>
      <c r="F248" t="s">
        <v>96</v>
      </c>
      <c r="G248" t="s">
        <v>96</v>
      </c>
      <c r="H248">
        <v>2010</v>
      </c>
      <c r="I248" t="s">
        <v>96</v>
      </c>
      <c r="J248" t="s">
        <v>97</v>
      </c>
      <c r="K248" t="s">
        <v>96</v>
      </c>
      <c r="L248" t="s">
        <v>96</v>
      </c>
      <c r="M248">
        <v>2185</v>
      </c>
      <c r="O248" s="12" t="str">
        <f t="shared" si="20"/>
        <v>AFR</v>
      </c>
      <c r="P248" s="12" t="str">
        <f t="shared" si="21"/>
        <v>E_WON</v>
      </c>
    </row>
    <row r="249" spans="1:16" x14ac:dyDescent="0.35">
      <c r="A249" t="s">
        <v>95</v>
      </c>
      <c r="B249" t="s">
        <v>3111</v>
      </c>
      <c r="C249" t="s">
        <v>45</v>
      </c>
      <c r="D249" t="s">
        <v>243</v>
      </c>
      <c r="E249" t="s">
        <v>96</v>
      </c>
      <c r="F249" t="s">
        <v>96</v>
      </c>
      <c r="G249" t="s">
        <v>96</v>
      </c>
      <c r="H249">
        <v>2010</v>
      </c>
      <c r="I249" t="s">
        <v>96</v>
      </c>
      <c r="J249" t="s">
        <v>97</v>
      </c>
      <c r="K249" t="s">
        <v>96</v>
      </c>
      <c r="L249" t="s">
        <v>96</v>
      </c>
      <c r="M249">
        <v>2185</v>
      </c>
      <c r="O249" s="12" t="str">
        <f t="shared" si="20"/>
        <v>AFR</v>
      </c>
      <c r="P249" s="12" t="str">
        <f t="shared" si="21"/>
        <v>E_WON</v>
      </c>
    </row>
    <row r="250" spans="1:16" x14ac:dyDescent="0.35">
      <c r="A250" t="s">
        <v>95</v>
      </c>
      <c r="B250" t="s">
        <v>3111</v>
      </c>
      <c r="C250" t="s">
        <v>45</v>
      </c>
      <c r="D250" t="s">
        <v>244</v>
      </c>
      <c r="E250" t="s">
        <v>96</v>
      </c>
      <c r="F250" t="s">
        <v>96</v>
      </c>
      <c r="G250" t="s">
        <v>96</v>
      </c>
      <c r="H250">
        <v>2010</v>
      </c>
      <c r="I250" t="s">
        <v>96</v>
      </c>
      <c r="J250" t="s">
        <v>97</v>
      </c>
      <c r="K250" t="s">
        <v>96</v>
      </c>
      <c r="L250" t="s">
        <v>96</v>
      </c>
      <c r="M250">
        <v>2185</v>
      </c>
      <c r="O250" s="12" t="str">
        <f t="shared" si="20"/>
        <v>AFR</v>
      </c>
      <c r="P250" s="12" t="str">
        <f t="shared" si="21"/>
        <v>E_WON</v>
      </c>
    </row>
    <row r="251" spans="1:16" x14ac:dyDescent="0.35">
      <c r="A251" t="s">
        <v>95</v>
      </c>
      <c r="B251" t="s">
        <v>3111</v>
      </c>
      <c r="C251" t="s">
        <v>45</v>
      </c>
      <c r="D251" t="s">
        <v>245</v>
      </c>
      <c r="E251" t="s">
        <v>96</v>
      </c>
      <c r="F251" t="s">
        <v>96</v>
      </c>
      <c r="G251" t="s">
        <v>96</v>
      </c>
      <c r="H251">
        <v>2010</v>
      </c>
      <c r="I251" t="s">
        <v>96</v>
      </c>
      <c r="J251" t="s">
        <v>97</v>
      </c>
      <c r="K251" t="s">
        <v>96</v>
      </c>
      <c r="L251" t="s">
        <v>96</v>
      </c>
      <c r="M251">
        <v>2185</v>
      </c>
      <c r="O251" s="12" t="str">
        <f t="shared" si="20"/>
        <v>AFR</v>
      </c>
      <c r="P251" s="12" t="str">
        <f t="shared" si="21"/>
        <v>E_WON</v>
      </c>
    </row>
    <row r="252" spans="1:16" x14ac:dyDescent="0.35">
      <c r="A252" t="s">
        <v>95</v>
      </c>
      <c r="B252" t="s">
        <v>3111</v>
      </c>
      <c r="C252" t="s">
        <v>45</v>
      </c>
      <c r="D252" t="s">
        <v>246</v>
      </c>
      <c r="E252" t="s">
        <v>96</v>
      </c>
      <c r="F252" t="s">
        <v>96</v>
      </c>
      <c r="G252" t="s">
        <v>96</v>
      </c>
      <c r="H252">
        <v>2010</v>
      </c>
      <c r="I252" t="s">
        <v>96</v>
      </c>
      <c r="J252" t="s">
        <v>97</v>
      </c>
      <c r="K252" t="s">
        <v>96</v>
      </c>
      <c r="L252" t="s">
        <v>96</v>
      </c>
      <c r="M252">
        <v>2185</v>
      </c>
      <c r="O252" s="12" t="str">
        <f t="shared" si="20"/>
        <v>AFR</v>
      </c>
      <c r="P252" s="12" t="str">
        <f t="shared" si="21"/>
        <v>E_WON</v>
      </c>
    </row>
    <row r="253" spans="1:16" x14ac:dyDescent="0.35">
      <c r="A253" t="s">
        <v>95</v>
      </c>
      <c r="B253" t="s">
        <v>3111</v>
      </c>
      <c r="C253" t="s">
        <v>45</v>
      </c>
      <c r="D253" t="s">
        <v>247</v>
      </c>
      <c r="E253" t="s">
        <v>96</v>
      </c>
      <c r="F253" t="s">
        <v>96</v>
      </c>
      <c r="G253" t="s">
        <v>96</v>
      </c>
      <c r="H253">
        <v>2010</v>
      </c>
      <c r="I253" t="s">
        <v>96</v>
      </c>
      <c r="J253" t="s">
        <v>97</v>
      </c>
      <c r="K253" t="s">
        <v>96</v>
      </c>
      <c r="L253" t="s">
        <v>96</v>
      </c>
      <c r="M253">
        <v>2185</v>
      </c>
      <c r="O253" s="12" t="str">
        <f t="shared" si="20"/>
        <v>AFR</v>
      </c>
      <c r="P253" s="12" t="str">
        <f t="shared" si="21"/>
        <v>E_WON</v>
      </c>
    </row>
    <row r="254" spans="1:16" x14ac:dyDescent="0.35">
      <c r="A254" t="s">
        <v>95</v>
      </c>
      <c r="B254" t="s">
        <v>3111</v>
      </c>
      <c r="C254" t="s">
        <v>45</v>
      </c>
      <c r="D254" t="s">
        <v>248</v>
      </c>
      <c r="E254" t="s">
        <v>96</v>
      </c>
      <c r="F254" t="s">
        <v>96</v>
      </c>
      <c r="G254" t="s">
        <v>96</v>
      </c>
      <c r="H254">
        <v>2010</v>
      </c>
      <c r="I254" t="s">
        <v>96</v>
      </c>
      <c r="J254" t="s">
        <v>97</v>
      </c>
      <c r="K254" t="s">
        <v>96</v>
      </c>
      <c r="L254" t="s">
        <v>96</v>
      </c>
      <c r="M254">
        <v>2185</v>
      </c>
      <c r="O254" s="12" t="str">
        <f t="shared" si="20"/>
        <v>AFR</v>
      </c>
      <c r="P254" s="12" t="str">
        <f t="shared" si="21"/>
        <v>E_WON</v>
      </c>
    </row>
    <row r="255" spans="1:16" x14ac:dyDescent="0.35">
      <c r="A255" t="s">
        <v>95</v>
      </c>
      <c r="B255" t="s">
        <v>3111</v>
      </c>
      <c r="C255" t="s">
        <v>45</v>
      </c>
      <c r="D255" t="s">
        <v>249</v>
      </c>
      <c r="E255" t="s">
        <v>96</v>
      </c>
      <c r="F255" t="s">
        <v>96</v>
      </c>
      <c r="G255" t="s">
        <v>96</v>
      </c>
      <c r="H255">
        <v>2010</v>
      </c>
      <c r="I255" t="s">
        <v>96</v>
      </c>
      <c r="J255" t="s">
        <v>97</v>
      </c>
      <c r="K255" t="s">
        <v>96</v>
      </c>
      <c r="L255" t="s">
        <v>96</v>
      </c>
      <c r="M255">
        <v>2185</v>
      </c>
      <c r="O255" s="12" t="str">
        <f t="shared" si="20"/>
        <v>AFR</v>
      </c>
      <c r="P255" s="12" t="str">
        <f t="shared" si="21"/>
        <v>E_WON</v>
      </c>
    </row>
    <row r="256" spans="1:16" x14ac:dyDescent="0.35">
      <c r="A256" t="s">
        <v>95</v>
      </c>
      <c r="B256" t="s">
        <v>3111</v>
      </c>
      <c r="C256" t="s">
        <v>45</v>
      </c>
      <c r="D256" t="s">
        <v>252</v>
      </c>
      <c r="E256" t="s">
        <v>96</v>
      </c>
      <c r="F256" t="s">
        <v>96</v>
      </c>
      <c r="G256" t="s">
        <v>96</v>
      </c>
      <c r="H256">
        <v>2010</v>
      </c>
      <c r="I256" t="s">
        <v>96</v>
      </c>
      <c r="J256" t="s">
        <v>97</v>
      </c>
      <c r="K256" t="s">
        <v>96</v>
      </c>
      <c r="L256" t="s">
        <v>96</v>
      </c>
      <c r="M256">
        <v>2185</v>
      </c>
      <c r="O256" s="12" t="str">
        <f t="shared" si="20"/>
        <v>AFR</v>
      </c>
      <c r="P256" s="12" t="str">
        <f t="shared" si="21"/>
        <v>E_WON</v>
      </c>
    </row>
    <row r="257" spans="1:16" x14ac:dyDescent="0.35">
      <c r="A257" t="s">
        <v>95</v>
      </c>
      <c r="B257" t="s">
        <v>3111</v>
      </c>
      <c r="C257" t="s">
        <v>45</v>
      </c>
      <c r="D257" t="s">
        <v>253</v>
      </c>
      <c r="E257" t="s">
        <v>96</v>
      </c>
      <c r="F257" t="s">
        <v>96</v>
      </c>
      <c r="G257" t="s">
        <v>96</v>
      </c>
      <c r="H257">
        <v>2010</v>
      </c>
      <c r="I257" t="s">
        <v>96</v>
      </c>
      <c r="J257" t="s">
        <v>97</v>
      </c>
      <c r="K257" t="s">
        <v>96</v>
      </c>
      <c r="L257" t="s">
        <v>96</v>
      </c>
      <c r="M257">
        <v>2185</v>
      </c>
      <c r="O257" s="12" t="str">
        <f t="shared" si="20"/>
        <v>AFR</v>
      </c>
      <c r="P257" s="12" t="str">
        <f t="shared" si="21"/>
        <v>E_WON</v>
      </c>
    </row>
    <row r="258" spans="1:16" x14ac:dyDescent="0.35">
      <c r="A258" t="s">
        <v>95</v>
      </c>
      <c r="B258" t="s">
        <v>3111</v>
      </c>
      <c r="C258" t="s">
        <v>45</v>
      </c>
      <c r="D258" t="s">
        <v>254</v>
      </c>
      <c r="E258" t="s">
        <v>96</v>
      </c>
      <c r="F258" t="s">
        <v>96</v>
      </c>
      <c r="G258" t="s">
        <v>96</v>
      </c>
      <c r="H258">
        <v>2010</v>
      </c>
      <c r="I258" t="s">
        <v>96</v>
      </c>
      <c r="J258" t="s">
        <v>97</v>
      </c>
      <c r="K258" t="s">
        <v>96</v>
      </c>
      <c r="L258" t="s">
        <v>96</v>
      </c>
      <c r="M258">
        <v>2185</v>
      </c>
      <c r="O258" s="12" t="str">
        <f t="shared" si="20"/>
        <v>AFR</v>
      </c>
      <c r="P258" s="12" t="str">
        <f t="shared" si="21"/>
        <v>E_WON</v>
      </c>
    </row>
    <row r="259" spans="1:16" x14ac:dyDescent="0.35">
      <c r="A259" t="s">
        <v>95</v>
      </c>
      <c r="B259" t="s">
        <v>3111</v>
      </c>
      <c r="C259" t="s">
        <v>45</v>
      </c>
      <c r="D259" t="s">
        <v>255</v>
      </c>
      <c r="E259" t="s">
        <v>96</v>
      </c>
      <c r="F259" t="s">
        <v>96</v>
      </c>
      <c r="G259" t="s">
        <v>96</v>
      </c>
      <c r="H259">
        <v>2010</v>
      </c>
      <c r="I259" t="s">
        <v>96</v>
      </c>
      <c r="J259" t="s">
        <v>97</v>
      </c>
      <c r="K259" t="s">
        <v>96</v>
      </c>
      <c r="L259" t="s">
        <v>96</v>
      </c>
      <c r="M259">
        <v>2185</v>
      </c>
      <c r="O259" s="12" t="str">
        <f t="shared" ref="O259:O322" si="22">LEFT(B259,3)</f>
        <v>AFR</v>
      </c>
      <c r="P259" s="12" t="str">
        <f t="shared" ref="P259:P322" si="23">LEFT(D259,5)</f>
        <v>E_WON</v>
      </c>
    </row>
    <row r="260" spans="1:16" x14ac:dyDescent="0.35">
      <c r="A260" t="s">
        <v>95</v>
      </c>
      <c r="B260" t="s">
        <v>3111</v>
      </c>
      <c r="C260" t="s">
        <v>45</v>
      </c>
      <c r="D260" t="s">
        <v>256</v>
      </c>
      <c r="E260" t="s">
        <v>96</v>
      </c>
      <c r="F260" t="s">
        <v>96</v>
      </c>
      <c r="G260" t="s">
        <v>96</v>
      </c>
      <c r="H260">
        <v>2010</v>
      </c>
      <c r="I260" t="s">
        <v>96</v>
      </c>
      <c r="J260" t="s">
        <v>97</v>
      </c>
      <c r="K260" t="s">
        <v>96</v>
      </c>
      <c r="L260" t="s">
        <v>96</v>
      </c>
      <c r="M260">
        <v>2185</v>
      </c>
      <c r="O260" s="12" t="str">
        <f t="shared" si="22"/>
        <v>AFR</v>
      </c>
      <c r="P260" s="12" t="str">
        <f t="shared" si="23"/>
        <v>E_WON</v>
      </c>
    </row>
    <row r="261" spans="1:16" x14ac:dyDescent="0.35">
      <c r="A261" t="s">
        <v>95</v>
      </c>
      <c r="B261" t="s">
        <v>3111</v>
      </c>
      <c r="C261" t="s">
        <v>45</v>
      </c>
      <c r="D261" t="s">
        <v>257</v>
      </c>
      <c r="E261" t="s">
        <v>96</v>
      </c>
      <c r="F261" t="s">
        <v>96</v>
      </c>
      <c r="G261" t="s">
        <v>96</v>
      </c>
      <c r="H261">
        <v>2010</v>
      </c>
      <c r="I261" t="s">
        <v>96</v>
      </c>
      <c r="J261" t="s">
        <v>97</v>
      </c>
      <c r="K261" t="s">
        <v>96</v>
      </c>
      <c r="L261" t="s">
        <v>96</v>
      </c>
      <c r="M261">
        <v>2185</v>
      </c>
      <c r="O261" s="12" t="str">
        <f t="shared" si="22"/>
        <v>AFR</v>
      </c>
      <c r="P261" s="12" t="str">
        <f t="shared" si="23"/>
        <v>E_WON</v>
      </c>
    </row>
    <row r="262" spans="1:16" x14ac:dyDescent="0.35">
      <c r="A262" t="s">
        <v>95</v>
      </c>
      <c r="B262" t="s">
        <v>3111</v>
      </c>
      <c r="C262" t="s">
        <v>45</v>
      </c>
      <c r="D262" t="s">
        <v>258</v>
      </c>
      <c r="E262" t="s">
        <v>96</v>
      </c>
      <c r="F262" t="s">
        <v>96</v>
      </c>
      <c r="G262" t="s">
        <v>96</v>
      </c>
      <c r="H262">
        <v>2010</v>
      </c>
      <c r="I262" t="s">
        <v>96</v>
      </c>
      <c r="J262" t="s">
        <v>97</v>
      </c>
      <c r="K262" t="s">
        <v>96</v>
      </c>
      <c r="L262" t="s">
        <v>96</v>
      </c>
      <c r="M262">
        <v>2185</v>
      </c>
      <c r="O262" s="12" t="str">
        <f t="shared" si="22"/>
        <v>AFR</v>
      </c>
      <c r="P262" s="12" t="str">
        <f t="shared" si="23"/>
        <v>E_WON</v>
      </c>
    </row>
    <row r="263" spans="1:16" x14ac:dyDescent="0.35">
      <c r="A263" t="s">
        <v>95</v>
      </c>
      <c r="B263" t="s">
        <v>3111</v>
      </c>
      <c r="C263" t="s">
        <v>45</v>
      </c>
      <c r="D263" t="s">
        <v>259</v>
      </c>
      <c r="E263" t="s">
        <v>96</v>
      </c>
      <c r="F263" t="s">
        <v>96</v>
      </c>
      <c r="G263" t="s">
        <v>96</v>
      </c>
      <c r="H263">
        <v>2010</v>
      </c>
      <c r="I263" t="s">
        <v>96</v>
      </c>
      <c r="J263" t="s">
        <v>97</v>
      </c>
      <c r="K263" t="s">
        <v>96</v>
      </c>
      <c r="L263" t="s">
        <v>96</v>
      </c>
      <c r="M263">
        <v>2590</v>
      </c>
      <c r="O263" s="12" t="str">
        <f t="shared" si="22"/>
        <v>AFR</v>
      </c>
      <c r="P263" s="12" t="str">
        <f t="shared" si="23"/>
        <v>E_WON</v>
      </c>
    </row>
    <row r="264" spans="1:16" x14ac:dyDescent="0.35">
      <c r="A264" t="s">
        <v>95</v>
      </c>
      <c r="B264" t="s">
        <v>3111</v>
      </c>
      <c r="C264" t="s">
        <v>45</v>
      </c>
      <c r="D264" t="s">
        <v>260</v>
      </c>
      <c r="E264" t="s">
        <v>96</v>
      </c>
      <c r="F264" t="s">
        <v>96</v>
      </c>
      <c r="G264" t="s">
        <v>96</v>
      </c>
      <c r="H264">
        <v>2010</v>
      </c>
      <c r="I264" t="s">
        <v>96</v>
      </c>
      <c r="J264" t="s">
        <v>97</v>
      </c>
      <c r="K264" t="s">
        <v>96</v>
      </c>
      <c r="L264" t="s">
        <v>96</v>
      </c>
      <c r="M264">
        <v>2185</v>
      </c>
      <c r="O264" s="12" t="str">
        <f t="shared" si="22"/>
        <v>AFR</v>
      </c>
      <c r="P264" s="12" t="str">
        <f t="shared" si="23"/>
        <v>E_WON</v>
      </c>
    </row>
    <row r="265" spans="1:16" x14ac:dyDescent="0.35">
      <c r="A265" t="s">
        <v>95</v>
      </c>
      <c r="B265" t="s">
        <v>3111</v>
      </c>
      <c r="C265" t="s">
        <v>45</v>
      </c>
      <c r="D265" t="s">
        <v>261</v>
      </c>
      <c r="E265" t="s">
        <v>96</v>
      </c>
      <c r="F265" t="s">
        <v>96</v>
      </c>
      <c r="G265" t="s">
        <v>96</v>
      </c>
      <c r="H265">
        <v>2010</v>
      </c>
      <c r="I265" t="s">
        <v>96</v>
      </c>
      <c r="J265" t="s">
        <v>97</v>
      </c>
      <c r="K265" t="s">
        <v>96</v>
      </c>
      <c r="L265" t="s">
        <v>96</v>
      </c>
      <c r="M265">
        <v>2185</v>
      </c>
      <c r="O265" s="12" t="str">
        <f t="shared" si="22"/>
        <v>AFR</v>
      </c>
      <c r="P265" s="12" t="str">
        <f t="shared" si="23"/>
        <v>E_WON</v>
      </c>
    </row>
    <row r="266" spans="1:16" x14ac:dyDescent="0.35">
      <c r="A266" t="s">
        <v>95</v>
      </c>
      <c r="B266" t="s">
        <v>3111</v>
      </c>
      <c r="C266" t="s">
        <v>45</v>
      </c>
      <c r="D266" t="s">
        <v>263</v>
      </c>
      <c r="E266" t="s">
        <v>96</v>
      </c>
      <c r="F266" t="s">
        <v>96</v>
      </c>
      <c r="G266" t="s">
        <v>96</v>
      </c>
      <c r="H266">
        <v>2010</v>
      </c>
      <c r="I266" t="s">
        <v>96</v>
      </c>
      <c r="J266" t="s">
        <v>97</v>
      </c>
      <c r="K266" t="s">
        <v>96</v>
      </c>
      <c r="L266" t="s">
        <v>96</v>
      </c>
      <c r="M266">
        <v>2185</v>
      </c>
      <c r="O266" s="12" t="str">
        <f t="shared" si="22"/>
        <v>AFR</v>
      </c>
      <c r="P266" s="12" t="str">
        <f t="shared" si="23"/>
        <v>E_WON</v>
      </c>
    </row>
    <row r="267" spans="1:16" x14ac:dyDescent="0.35">
      <c r="A267" t="s">
        <v>95</v>
      </c>
      <c r="B267" t="s">
        <v>3111</v>
      </c>
      <c r="C267" t="s">
        <v>45</v>
      </c>
      <c r="D267" t="s">
        <v>265</v>
      </c>
      <c r="E267" t="s">
        <v>96</v>
      </c>
      <c r="F267" t="s">
        <v>96</v>
      </c>
      <c r="G267" t="s">
        <v>96</v>
      </c>
      <c r="H267">
        <v>2010</v>
      </c>
      <c r="I267" t="s">
        <v>96</v>
      </c>
      <c r="J267" t="s">
        <v>97</v>
      </c>
      <c r="K267" t="s">
        <v>96</v>
      </c>
      <c r="L267" t="s">
        <v>96</v>
      </c>
      <c r="M267">
        <v>2185</v>
      </c>
      <c r="O267" s="12" t="str">
        <f t="shared" si="22"/>
        <v>AFR</v>
      </c>
      <c r="P267" s="12" t="str">
        <f t="shared" si="23"/>
        <v>E_WON</v>
      </c>
    </row>
    <row r="268" spans="1:16" x14ac:dyDescent="0.35">
      <c r="A268" t="s">
        <v>95</v>
      </c>
      <c r="B268" t="s">
        <v>3111</v>
      </c>
      <c r="C268" t="s">
        <v>45</v>
      </c>
      <c r="D268" t="s">
        <v>266</v>
      </c>
      <c r="E268" t="s">
        <v>96</v>
      </c>
      <c r="F268" t="s">
        <v>96</v>
      </c>
      <c r="G268" t="s">
        <v>96</v>
      </c>
      <c r="H268">
        <v>2010</v>
      </c>
      <c r="I268" t="s">
        <v>96</v>
      </c>
      <c r="J268" t="s">
        <v>97</v>
      </c>
      <c r="K268" t="s">
        <v>96</v>
      </c>
      <c r="L268" t="s">
        <v>96</v>
      </c>
      <c r="M268">
        <v>2185</v>
      </c>
      <c r="O268" s="12" t="str">
        <f t="shared" si="22"/>
        <v>AFR</v>
      </c>
      <c r="P268" s="12" t="str">
        <f t="shared" si="23"/>
        <v>E_WON</v>
      </c>
    </row>
    <row r="269" spans="1:16" x14ac:dyDescent="0.35">
      <c r="A269" t="s">
        <v>95</v>
      </c>
      <c r="B269" t="s">
        <v>3111</v>
      </c>
      <c r="C269" t="s">
        <v>45</v>
      </c>
      <c r="D269" t="s">
        <v>268</v>
      </c>
      <c r="E269" t="s">
        <v>96</v>
      </c>
      <c r="F269" t="s">
        <v>96</v>
      </c>
      <c r="G269" t="s">
        <v>96</v>
      </c>
      <c r="H269">
        <v>2010</v>
      </c>
      <c r="I269" t="s">
        <v>96</v>
      </c>
      <c r="J269" t="s">
        <v>97</v>
      </c>
      <c r="K269" t="s">
        <v>96</v>
      </c>
      <c r="L269" t="s">
        <v>96</v>
      </c>
      <c r="M269">
        <v>2185</v>
      </c>
      <c r="O269" s="12" t="str">
        <f t="shared" si="22"/>
        <v>AFR</v>
      </c>
      <c r="P269" s="12" t="str">
        <f t="shared" si="23"/>
        <v>E_WON</v>
      </c>
    </row>
    <row r="270" spans="1:16" x14ac:dyDescent="0.35">
      <c r="A270" t="s">
        <v>95</v>
      </c>
      <c r="B270" t="s">
        <v>3111</v>
      </c>
      <c r="C270" t="s">
        <v>45</v>
      </c>
      <c r="D270" t="s">
        <v>269</v>
      </c>
      <c r="E270" t="s">
        <v>96</v>
      </c>
      <c r="F270" t="s">
        <v>96</v>
      </c>
      <c r="G270" t="s">
        <v>96</v>
      </c>
      <c r="H270">
        <v>2010</v>
      </c>
      <c r="I270" t="s">
        <v>96</v>
      </c>
      <c r="J270" t="s">
        <v>97</v>
      </c>
      <c r="K270" t="s">
        <v>96</v>
      </c>
      <c r="L270" t="s">
        <v>96</v>
      </c>
      <c r="M270">
        <v>2185</v>
      </c>
      <c r="O270" s="12" t="str">
        <f t="shared" si="22"/>
        <v>AFR</v>
      </c>
      <c r="P270" s="12" t="str">
        <f t="shared" si="23"/>
        <v>E_WON</v>
      </c>
    </row>
    <row r="271" spans="1:16" x14ac:dyDescent="0.35">
      <c r="A271" t="s">
        <v>95</v>
      </c>
      <c r="B271" t="s">
        <v>3111</v>
      </c>
      <c r="C271" t="s">
        <v>45</v>
      </c>
      <c r="D271" t="s">
        <v>271</v>
      </c>
      <c r="E271" t="s">
        <v>96</v>
      </c>
      <c r="F271" t="s">
        <v>96</v>
      </c>
      <c r="G271" t="s">
        <v>96</v>
      </c>
      <c r="H271">
        <v>2010</v>
      </c>
      <c r="I271" t="s">
        <v>96</v>
      </c>
      <c r="J271" t="s">
        <v>97</v>
      </c>
      <c r="K271" t="s">
        <v>96</v>
      </c>
      <c r="L271" t="s">
        <v>96</v>
      </c>
      <c r="M271">
        <v>2185</v>
      </c>
      <c r="O271" s="12" t="str">
        <f t="shared" si="22"/>
        <v>AFR</v>
      </c>
      <c r="P271" s="12" t="str">
        <f t="shared" si="23"/>
        <v>E_WON</v>
      </c>
    </row>
    <row r="272" spans="1:16" x14ac:dyDescent="0.35">
      <c r="A272" t="s">
        <v>95</v>
      </c>
      <c r="B272" t="s">
        <v>3111</v>
      </c>
      <c r="C272" t="s">
        <v>45</v>
      </c>
      <c r="D272" t="s">
        <v>272</v>
      </c>
      <c r="E272" t="s">
        <v>96</v>
      </c>
      <c r="F272" t="s">
        <v>96</v>
      </c>
      <c r="G272" t="s">
        <v>96</v>
      </c>
      <c r="H272">
        <v>2010</v>
      </c>
      <c r="I272" t="s">
        <v>96</v>
      </c>
      <c r="J272" t="s">
        <v>97</v>
      </c>
      <c r="K272" t="s">
        <v>96</v>
      </c>
      <c r="L272" t="s">
        <v>96</v>
      </c>
      <c r="M272">
        <v>2185</v>
      </c>
      <c r="O272" s="12" t="str">
        <f t="shared" si="22"/>
        <v>AFR</v>
      </c>
      <c r="P272" s="12" t="str">
        <f t="shared" si="23"/>
        <v>E_WON</v>
      </c>
    </row>
    <row r="273" spans="1:16" x14ac:dyDescent="0.35">
      <c r="A273" t="s">
        <v>95</v>
      </c>
      <c r="B273" t="s">
        <v>3111</v>
      </c>
      <c r="C273" t="s">
        <v>45</v>
      </c>
      <c r="D273" t="s">
        <v>273</v>
      </c>
      <c r="E273" t="s">
        <v>96</v>
      </c>
      <c r="F273" t="s">
        <v>96</v>
      </c>
      <c r="G273" t="s">
        <v>96</v>
      </c>
      <c r="H273">
        <v>2010</v>
      </c>
      <c r="I273" t="s">
        <v>96</v>
      </c>
      <c r="J273" t="s">
        <v>97</v>
      </c>
      <c r="K273" t="s">
        <v>96</v>
      </c>
      <c r="L273" t="s">
        <v>96</v>
      </c>
      <c r="M273">
        <v>2185</v>
      </c>
      <c r="O273" s="12" t="str">
        <f t="shared" si="22"/>
        <v>AFR</v>
      </c>
      <c r="P273" s="12" t="str">
        <f t="shared" si="23"/>
        <v>E_WON</v>
      </c>
    </row>
    <row r="274" spans="1:16" x14ac:dyDescent="0.35">
      <c r="A274" t="s">
        <v>95</v>
      </c>
      <c r="B274" t="s">
        <v>3111</v>
      </c>
      <c r="C274" t="s">
        <v>45</v>
      </c>
      <c r="D274" t="s">
        <v>274</v>
      </c>
      <c r="E274" t="s">
        <v>96</v>
      </c>
      <c r="F274" t="s">
        <v>96</v>
      </c>
      <c r="G274" t="s">
        <v>96</v>
      </c>
      <c r="H274">
        <v>2010</v>
      </c>
      <c r="I274" t="s">
        <v>96</v>
      </c>
      <c r="J274" t="s">
        <v>97</v>
      </c>
      <c r="K274" t="s">
        <v>96</v>
      </c>
      <c r="L274" t="s">
        <v>96</v>
      </c>
      <c r="M274">
        <v>2185</v>
      </c>
      <c r="O274" s="12" t="str">
        <f t="shared" si="22"/>
        <v>AFR</v>
      </c>
      <c r="P274" s="12" t="str">
        <f t="shared" si="23"/>
        <v>E_WON</v>
      </c>
    </row>
    <row r="275" spans="1:16" x14ac:dyDescent="0.35">
      <c r="A275" t="s">
        <v>95</v>
      </c>
      <c r="B275" t="s">
        <v>3111</v>
      </c>
      <c r="C275" t="s">
        <v>45</v>
      </c>
      <c r="D275" t="s">
        <v>276</v>
      </c>
      <c r="E275" t="s">
        <v>96</v>
      </c>
      <c r="F275" t="s">
        <v>96</v>
      </c>
      <c r="G275" t="s">
        <v>96</v>
      </c>
      <c r="H275">
        <v>2010</v>
      </c>
      <c r="I275" t="s">
        <v>96</v>
      </c>
      <c r="J275" t="s">
        <v>97</v>
      </c>
      <c r="K275" t="s">
        <v>96</v>
      </c>
      <c r="L275" t="s">
        <v>96</v>
      </c>
      <c r="M275">
        <v>2185</v>
      </c>
      <c r="O275" s="12" t="str">
        <f t="shared" si="22"/>
        <v>AFR</v>
      </c>
      <c r="P275" s="12" t="str">
        <f t="shared" si="23"/>
        <v>E_WON</v>
      </c>
    </row>
    <row r="276" spans="1:16" x14ac:dyDescent="0.35">
      <c r="A276" t="s">
        <v>95</v>
      </c>
      <c r="B276" t="s">
        <v>3111</v>
      </c>
      <c r="C276" t="s">
        <v>45</v>
      </c>
      <c r="D276" t="s">
        <v>277</v>
      </c>
      <c r="E276" t="s">
        <v>96</v>
      </c>
      <c r="F276" t="s">
        <v>96</v>
      </c>
      <c r="G276" t="s">
        <v>96</v>
      </c>
      <c r="H276">
        <v>2010</v>
      </c>
      <c r="I276" t="s">
        <v>96</v>
      </c>
      <c r="J276" t="s">
        <v>97</v>
      </c>
      <c r="K276" t="s">
        <v>96</v>
      </c>
      <c r="L276" t="s">
        <v>96</v>
      </c>
      <c r="M276">
        <v>2185</v>
      </c>
      <c r="O276" s="12" t="str">
        <f t="shared" si="22"/>
        <v>AFR</v>
      </c>
      <c r="P276" s="12" t="str">
        <f t="shared" si="23"/>
        <v>E_WON</v>
      </c>
    </row>
    <row r="277" spans="1:16" x14ac:dyDescent="0.35">
      <c r="A277" t="s">
        <v>95</v>
      </c>
      <c r="B277" t="s">
        <v>3111</v>
      </c>
      <c r="C277" t="s">
        <v>45</v>
      </c>
      <c r="D277" t="s">
        <v>278</v>
      </c>
      <c r="E277" t="s">
        <v>96</v>
      </c>
      <c r="F277" t="s">
        <v>96</v>
      </c>
      <c r="G277" t="s">
        <v>96</v>
      </c>
      <c r="H277">
        <v>2010</v>
      </c>
      <c r="I277" t="s">
        <v>96</v>
      </c>
      <c r="J277" t="s">
        <v>97</v>
      </c>
      <c r="K277" t="s">
        <v>96</v>
      </c>
      <c r="L277" t="s">
        <v>96</v>
      </c>
      <c r="M277">
        <v>2185</v>
      </c>
      <c r="O277" s="12" t="str">
        <f t="shared" si="22"/>
        <v>AFR</v>
      </c>
      <c r="P277" s="12" t="str">
        <f t="shared" si="23"/>
        <v>E_WON</v>
      </c>
    </row>
    <row r="278" spans="1:16" x14ac:dyDescent="0.35">
      <c r="A278" t="s">
        <v>95</v>
      </c>
      <c r="B278" t="s">
        <v>3111</v>
      </c>
      <c r="C278" t="s">
        <v>45</v>
      </c>
      <c r="D278" t="s">
        <v>279</v>
      </c>
      <c r="E278" t="s">
        <v>96</v>
      </c>
      <c r="F278" t="s">
        <v>96</v>
      </c>
      <c r="G278" t="s">
        <v>96</v>
      </c>
      <c r="H278">
        <v>2010</v>
      </c>
      <c r="I278" t="s">
        <v>96</v>
      </c>
      <c r="J278" t="s">
        <v>97</v>
      </c>
      <c r="K278" t="s">
        <v>96</v>
      </c>
      <c r="L278" t="s">
        <v>96</v>
      </c>
      <c r="M278">
        <v>1780</v>
      </c>
      <c r="O278" s="12" t="str">
        <f t="shared" si="22"/>
        <v>AFR</v>
      </c>
      <c r="P278" s="12" t="str">
        <f t="shared" si="23"/>
        <v>E_WON</v>
      </c>
    </row>
    <row r="279" spans="1:16" x14ac:dyDescent="0.35">
      <c r="A279" t="s">
        <v>95</v>
      </c>
      <c r="B279" t="s">
        <v>3111</v>
      </c>
      <c r="C279" t="s">
        <v>45</v>
      </c>
      <c r="D279" t="s">
        <v>280</v>
      </c>
      <c r="E279" t="s">
        <v>96</v>
      </c>
      <c r="F279" t="s">
        <v>96</v>
      </c>
      <c r="G279" t="s">
        <v>96</v>
      </c>
      <c r="H279">
        <v>2010</v>
      </c>
      <c r="I279" t="s">
        <v>96</v>
      </c>
      <c r="J279" t="s">
        <v>97</v>
      </c>
      <c r="K279" t="s">
        <v>96</v>
      </c>
      <c r="L279" t="s">
        <v>96</v>
      </c>
      <c r="M279">
        <v>2185</v>
      </c>
      <c r="O279" s="12" t="str">
        <f t="shared" si="22"/>
        <v>AFR</v>
      </c>
      <c r="P279" s="12" t="str">
        <f t="shared" si="23"/>
        <v>E_WON</v>
      </c>
    </row>
    <row r="280" spans="1:16" x14ac:dyDescent="0.35">
      <c r="A280" t="s">
        <v>95</v>
      </c>
      <c r="B280" t="s">
        <v>3111</v>
      </c>
      <c r="C280" t="s">
        <v>45</v>
      </c>
      <c r="D280" t="s">
        <v>281</v>
      </c>
      <c r="E280" t="s">
        <v>96</v>
      </c>
      <c r="F280" t="s">
        <v>96</v>
      </c>
      <c r="G280" t="s">
        <v>96</v>
      </c>
      <c r="H280">
        <v>2010</v>
      </c>
      <c r="I280" t="s">
        <v>96</v>
      </c>
      <c r="J280" t="s">
        <v>97</v>
      </c>
      <c r="K280" t="s">
        <v>96</v>
      </c>
      <c r="L280" t="s">
        <v>96</v>
      </c>
      <c r="M280">
        <v>2185</v>
      </c>
      <c r="O280" s="12" t="str">
        <f t="shared" si="22"/>
        <v>AFR</v>
      </c>
      <c r="P280" s="12" t="str">
        <f t="shared" si="23"/>
        <v>E_WON</v>
      </c>
    </row>
    <row r="281" spans="1:16" x14ac:dyDescent="0.35">
      <c r="A281" t="s">
        <v>95</v>
      </c>
      <c r="B281" t="s">
        <v>3111</v>
      </c>
      <c r="C281" t="s">
        <v>45</v>
      </c>
      <c r="D281" t="s">
        <v>282</v>
      </c>
      <c r="E281" t="s">
        <v>96</v>
      </c>
      <c r="F281" t="s">
        <v>96</v>
      </c>
      <c r="G281" t="s">
        <v>96</v>
      </c>
      <c r="H281">
        <v>2010</v>
      </c>
      <c r="I281" t="s">
        <v>96</v>
      </c>
      <c r="J281" t="s">
        <v>97</v>
      </c>
      <c r="K281" t="s">
        <v>96</v>
      </c>
      <c r="L281" t="s">
        <v>96</v>
      </c>
      <c r="M281">
        <v>2185</v>
      </c>
      <c r="O281" s="12" t="str">
        <f t="shared" si="22"/>
        <v>AFR</v>
      </c>
      <c r="P281" s="12" t="str">
        <f t="shared" si="23"/>
        <v>E_WON</v>
      </c>
    </row>
    <row r="282" spans="1:16" x14ac:dyDescent="0.35">
      <c r="A282" t="s">
        <v>95</v>
      </c>
      <c r="B282" t="s">
        <v>3111</v>
      </c>
      <c r="C282" t="s">
        <v>45</v>
      </c>
      <c r="D282" t="s">
        <v>283</v>
      </c>
      <c r="E282" t="s">
        <v>96</v>
      </c>
      <c r="F282" t="s">
        <v>96</v>
      </c>
      <c r="G282" t="s">
        <v>96</v>
      </c>
      <c r="H282">
        <v>2010</v>
      </c>
      <c r="I282" t="s">
        <v>96</v>
      </c>
      <c r="J282" t="s">
        <v>97</v>
      </c>
      <c r="K282" t="s">
        <v>96</v>
      </c>
      <c r="L282" t="s">
        <v>96</v>
      </c>
      <c r="M282">
        <v>2185</v>
      </c>
      <c r="O282" s="12" t="str">
        <f t="shared" si="22"/>
        <v>AFR</v>
      </c>
      <c r="P282" s="12" t="str">
        <f t="shared" si="23"/>
        <v>E_WON</v>
      </c>
    </row>
    <row r="283" spans="1:16" x14ac:dyDescent="0.35">
      <c r="A283" t="s">
        <v>95</v>
      </c>
      <c r="B283" t="s">
        <v>3111</v>
      </c>
      <c r="C283" t="s">
        <v>45</v>
      </c>
      <c r="D283" t="s">
        <v>284</v>
      </c>
      <c r="E283" t="s">
        <v>96</v>
      </c>
      <c r="F283" t="s">
        <v>96</v>
      </c>
      <c r="G283" t="s">
        <v>96</v>
      </c>
      <c r="H283">
        <v>2010</v>
      </c>
      <c r="I283" t="s">
        <v>96</v>
      </c>
      <c r="J283" t="s">
        <v>97</v>
      </c>
      <c r="K283" t="s">
        <v>96</v>
      </c>
      <c r="L283" t="s">
        <v>96</v>
      </c>
      <c r="M283">
        <v>2185</v>
      </c>
      <c r="O283" s="12" t="str">
        <f t="shared" si="22"/>
        <v>AFR</v>
      </c>
      <c r="P283" s="12" t="str">
        <f t="shared" si="23"/>
        <v>E_WON</v>
      </c>
    </row>
    <row r="284" spans="1:16" x14ac:dyDescent="0.35">
      <c r="A284" t="s">
        <v>95</v>
      </c>
      <c r="B284" t="s">
        <v>3111</v>
      </c>
      <c r="C284" t="s">
        <v>45</v>
      </c>
      <c r="D284" t="s">
        <v>285</v>
      </c>
      <c r="E284" t="s">
        <v>96</v>
      </c>
      <c r="F284" t="s">
        <v>96</v>
      </c>
      <c r="G284" t="s">
        <v>96</v>
      </c>
      <c r="H284">
        <v>2010</v>
      </c>
      <c r="I284" t="s">
        <v>96</v>
      </c>
      <c r="J284" t="s">
        <v>97</v>
      </c>
      <c r="K284" t="s">
        <v>96</v>
      </c>
      <c r="L284" t="s">
        <v>96</v>
      </c>
      <c r="M284">
        <v>2185</v>
      </c>
      <c r="O284" s="12" t="str">
        <f t="shared" si="22"/>
        <v>AFR</v>
      </c>
      <c r="P284" s="12" t="str">
        <f t="shared" si="23"/>
        <v>E_WON</v>
      </c>
    </row>
    <row r="285" spans="1:16" x14ac:dyDescent="0.35">
      <c r="A285" t="s">
        <v>95</v>
      </c>
      <c r="B285" t="s">
        <v>3111</v>
      </c>
      <c r="C285" t="s">
        <v>45</v>
      </c>
      <c r="D285" t="s">
        <v>286</v>
      </c>
      <c r="E285" t="s">
        <v>96</v>
      </c>
      <c r="F285" t="s">
        <v>96</v>
      </c>
      <c r="G285" t="s">
        <v>96</v>
      </c>
      <c r="H285">
        <v>2010</v>
      </c>
      <c r="I285" t="s">
        <v>96</v>
      </c>
      <c r="J285" t="s">
        <v>97</v>
      </c>
      <c r="K285" t="s">
        <v>96</v>
      </c>
      <c r="L285" t="s">
        <v>96</v>
      </c>
      <c r="M285">
        <v>2185</v>
      </c>
      <c r="O285" s="12" t="str">
        <f t="shared" si="22"/>
        <v>AFR</v>
      </c>
      <c r="P285" s="12" t="str">
        <f t="shared" si="23"/>
        <v>E_WON</v>
      </c>
    </row>
    <row r="286" spans="1:16" x14ac:dyDescent="0.35">
      <c r="A286" t="s">
        <v>95</v>
      </c>
      <c r="B286" t="s">
        <v>3111</v>
      </c>
      <c r="C286" t="s">
        <v>45</v>
      </c>
      <c r="D286" t="s">
        <v>287</v>
      </c>
      <c r="E286" t="s">
        <v>96</v>
      </c>
      <c r="F286" t="s">
        <v>96</v>
      </c>
      <c r="G286" t="s">
        <v>96</v>
      </c>
      <c r="H286">
        <v>2010</v>
      </c>
      <c r="I286" t="s">
        <v>96</v>
      </c>
      <c r="J286" t="s">
        <v>97</v>
      </c>
      <c r="K286" t="s">
        <v>96</v>
      </c>
      <c r="L286" t="s">
        <v>96</v>
      </c>
      <c r="M286">
        <v>2185</v>
      </c>
      <c r="O286" s="12" t="str">
        <f t="shared" si="22"/>
        <v>AFR</v>
      </c>
      <c r="P286" s="12" t="str">
        <f t="shared" si="23"/>
        <v>E_WON</v>
      </c>
    </row>
    <row r="287" spans="1:16" x14ac:dyDescent="0.35">
      <c r="A287" t="s">
        <v>95</v>
      </c>
      <c r="B287" t="s">
        <v>3111</v>
      </c>
      <c r="C287" t="s">
        <v>45</v>
      </c>
      <c r="D287" t="s">
        <v>288</v>
      </c>
      <c r="E287" t="s">
        <v>96</v>
      </c>
      <c r="F287" t="s">
        <v>96</v>
      </c>
      <c r="G287" t="s">
        <v>96</v>
      </c>
      <c r="H287">
        <v>2010</v>
      </c>
      <c r="I287" t="s">
        <v>96</v>
      </c>
      <c r="J287" t="s">
        <v>97</v>
      </c>
      <c r="K287" t="s">
        <v>96</v>
      </c>
      <c r="L287" t="s">
        <v>96</v>
      </c>
      <c r="M287">
        <v>2185</v>
      </c>
      <c r="O287" s="12" t="str">
        <f t="shared" si="22"/>
        <v>AFR</v>
      </c>
      <c r="P287" s="12" t="str">
        <f t="shared" si="23"/>
        <v>E_WON</v>
      </c>
    </row>
    <row r="288" spans="1:16" x14ac:dyDescent="0.35">
      <c r="A288" t="s">
        <v>95</v>
      </c>
      <c r="B288" t="s">
        <v>3111</v>
      </c>
      <c r="C288" t="s">
        <v>45</v>
      </c>
      <c r="D288" t="s">
        <v>292</v>
      </c>
      <c r="E288" t="s">
        <v>96</v>
      </c>
      <c r="F288" t="s">
        <v>96</v>
      </c>
      <c r="G288" t="s">
        <v>96</v>
      </c>
      <c r="H288">
        <v>2010</v>
      </c>
      <c r="I288" t="s">
        <v>96</v>
      </c>
      <c r="J288" t="s">
        <v>97</v>
      </c>
      <c r="K288" t="s">
        <v>96</v>
      </c>
      <c r="L288" t="s">
        <v>96</v>
      </c>
      <c r="M288">
        <v>2185</v>
      </c>
      <c r="O288" s="12" t="str">
        <f t="shared" si="22"/>
        <v>AFR</v>
      </c>
      <c r="P288" s="12" t="str">
        <f t="shared" si="23"/>
        <v>E_WON</v>
      </c>
    </row>
    <row r="289" spans="1:16" x14ac:dyDescent="0.35">
      <c r="A289" t="s">
        <v>95</v>
      </c>
      <c r="B289" t="s">
        <v>3111</v>
      </c>
      <c r="C289" t="s">
        <v>45</v>
      </c>
      <c r="D289" t="s">
        <v>293</v>
      </c>
      <c r="E289" t="s">
        <v>96</v>
      </c>
      <c r="F289" t="s">
        <v>96</v>
      </c>
      <c r="G289" t="s">
        <v>96</v>
      </c>
      <c r="H289">
        <v>2010</v>
      </c>
      <c r="I289" t="s">
        <v>96</v>
      </c>
      <c r="J289" t="s">
        <v>97</v>
      </c>
      <c r="K289" t="s">
        <v>96</v>
      </c>
      <c r="L289" t="s">
        <v>96</v>
      </c>
      <c r="M289">
        <v>2185</v>
      </c>
      <c r="O289" s="12" t="str">
        <f t="shared" si="22"/>
        <v>AFR</v>
      </c>
      <c r="P289" s="12" t="str">
        <f t="shared" si="23"/>
        <v>E_WON</v>
      </c>
    </row>
    <row r="290" spans="1:16" x14ac:dyDescent="0.35">
      <c r="A290" t="s">
        <v>95</v>
      </c>
      <c r="B290" t="s">
        <v>3111</v>
      </c>
      <c r="C290" t="s">
        <v>45</v>
      </c>
      <c r="D290" t="s">
        <v>294</v>
      </c>
      <c r="E290" t="s">
        <v>96</v>
      </c>
      <c r="F290" t="s">
        <v>96</v>
      </c>
      <c r="G290" t="s">
        <v>96</v>
      </c>
      <c r="H290">
        <v>2010</v>
      </c>
      <c r="I290" t="s">
        <v>96</v>
      </c>
      <c r="J290" t="s">
        <v>97</v>
      </c>
      <c r="K290" t="s">
        <v>96</v>
      </c>
      <c r="L290" t="s">
        <v>96</v>
      </c>
      <c r="M290">
        <v>2185</v>
      </c>
      <c r="O290" s="12" t="str">
        <f t="shared" si="22"/>
        <v>AFR</v>
      </c>
      <c r="P290" s="12" t="str">
        <f t="shared" si="23"/>
        <v>E_WON</v>
      </c>
    </row>
    <row r="291" spans="1:16" x14ac:dyDescent="0.35">
      <c r="A291" t="s">
        <v>95</v>
      </c>
      <c r="B291" t="s">
        <v>3111</v>
      </c>
      <c r="C291" t="s">
        <v>45</v>
      </c>
      <c r="D291" t="s">
        <v>295</v>
      </c>
      <c r="E291" t="s">
        <v>96</v>
      </c>
      <c r="F291" t="s">
        <v>96</v>
      </c>
      <c r="G291" t="s">
        <v>96</v>
      </c>
      <c r="H291">
        <v>2010</v>
      </c>
      <c r="I291" t="s">
        <v>96</v>
      </c>
      <c r="J291" t="s">
        <v>97</v>
      </c>
      <c r="K291" t="s">
        <v>96</v>
      </c>
      <c r="L291" t="s">
        <v>96</v>
      </c>
      <c r="M291">
        <v>2185</v>
      </c>
      <c r="O291" s="12" t="str">
        <f t="shared" si="22"/>
        <v>AFR</v>
      </c>
      <c r="P291" s="12" t="str">
        <f t="shared" si="23"/>
        <v>E_WON</v>
      </c>
    </row>
    <row r="292" spans="1:16" x14ac:dyDescent="0.35">
      <c r="A292" t="s">
        <v>95</v>
      </c>
      <c r="B292" t="s">
        <v>3111</v>
      </c>
      <c r="C292" t="s">
        <v>45</v>
      </c>
      <c r="D292" t="s">
        <v>296</v>
      </c>
      <c r="E292" t="s">
        <v>96</v>
      </c>
      <c r="F292" t="s">
        <v>96</v>
      </c>
      <c r="G292" t="s">
        <v>96</v>
      </c>
      <c r="H292">
        <v>2010</v>
      </c>
      <c r="I292" t="s">
        <v>96</v>
      </c>
      <c r="J292" t="s">
        <v>97</v>
      </c>
      <c r="K292" t="s">
        <v>96</v>
      </c>
      <c r="L292" t="s">
        <v>96</v>
      </c>
      <c r="M292">
        <v>2185</v>
      </c>
      <c r="O292" s="12" t="str">
        <f t="shared" si="22"/>
        <v>AFR</v>
      </c>
      <c r="P292" s="12" t="str">
        <f t="shared" si="23"/>
        <v>E_WON</v>
      </c>
    </row>
    <row r="293" spans="1:16" x14ac:dyDescent="0.35">
      <c r="A293" t="s">
        <v>95</v>
      </c>
      <c r="B293" t="s">
        <v>3111</v>
      </c>
      <c r="C293" t="s">
        <v>45</v>
      </c>
      <c r="D293" t="s">
        <v>297</v>
      </c>
      <c r="E293" t="s">
        <v>96</v>
      </c>
      <c r="F293" t="s">
        <v>96</v>
      </c>
      <c r="G293" t="s">
        <v>96</v>
      </c>
      <c r="H293">
        <v>2010</v>
      </c>
      <c r="I293" t="s">
        <v>96</v>
      </c>
      <c r="J293" t="s">
        <v>97</v>
      </c>
      <c r="K293" t="s">
        <v>96</v>
      </c>
      <c r="L293" t="s">
        <v>96</v>
      </c>
      <c r="M293">
        <v>2590</v>
      </c>
      <c r="O293" s="12" t="str">
        <f t="shared" si="22"/>
        <v>AFR</v>
      </c>
      <c r="P293" s="12" t="str">
        <f t="shared" si="23"/>
        <v>E_WON</v>
      </c>
    </row>
    <row r="294" spans="1:16" x14ac:dyDescent="0.35">
      <c r="A294" t="s">
        <v>95</v>
      </c>
      <c r="B294" t="s">
        <v>3111</v>
      </c>
      <c r="C294" t="s">
        <v>45</v>
      </c>
      <c r="D294" t="s">
        <v>299</v>
      </c>
      <c r="E294" t="s">
        <v>96</v>
      </c>
      <c r="F294" t="s">
        <v>96</v>
      </c>
      <c r="G294" t="s">
        <v>96</v>
      </c>
      <c r="H294">
        <v>2010</v>
      </c>
      <c r="I294" t="s">
        <v>96</v>
      </c>
      <c r="J294" t="s">
        <v>97</v>
      </c>
      <c r="K294" t="s">
        <v>96</v>
      </c>
      <c r="L294" t="s">
        <v>96</v>
      </c>
      <c r="M294">
        <v>2185</v>
      </c>
      <c r="O294" s="12" t="str">
        <f t="shared" si="22"/>
        <v>AFR</v>
      </c>
      <c r="P294" s="12" t="str">
        <f t="shared" si="23"/>
        <v>E_WON</v>
      </c>
    </row>
    <row r="295" spans="1:16" x14ac:dyDescent="0.35">
      <c r="A295" t="s">
        <v>95</v>
      </c>
      <c r="B295" t="s">
        <v>3111</v>
      </c>
      <c r="C295" t="s">
        <v>45</v>
      </c>
      <c r="D295" t="s">
        <v>301</v>
      </c>
      <c r="E295" t="s">
        <v>96</v>
      </c>
      <c r="F295" t="s">
        <v>96</v>
      </c>
      <c r="G295" t="s">
        <v>96</v>
      </c>
      <c r="H295">
        <v>2010</v>
      </c>
      <c r="I295" t="s">
        <v>96</v>
      </c>
      <c r="J295" t="s">
        <v>97</v>
      </c>
      <c r="K295" t="s">
        <v>96</v>
      </c>
      <c r="L295" t="s">
        <v>96</v>
      </c>
      <c r="M295">
        <v>2185</v>
      </c>
      <c r="O295" s="12" t="str">
        <f t="shared" si="22"/>
        <v>AFR</v>
      </c>
      <c r="P295" s="12" t="str">
        <f t="shared" si="23"/>
        <v>E_WON</v>
      </c>
    </row>
    <row r="296" spans="1:16" x14ac:dyDescent="0.35">
      <c r="A296" t="s">
        <v>95</v>
      </c>
      <c r="B296" t="s">
        <v>3111</v>
      </c>
      <c r="C296" t="s">
        <v>45</v>
      </c>
      <c r="D296" t="s">
        <v>303</v>
      </c>
      <c r="E296" t="s">
        <v>96</v>
      </c>
      <c r="F296" t="s">
        <v>96</v>
      </c>
      <c r="G296" t="s">
        <v>96</v>
      </c>
      <c r="H296">
        <v>2010</v>
      </c>
      <c r="I296" t="s">
        <v>96</v>
      </c>
      <c r="J296" t="s">
        <v>97</v>
      </c>
      <c r="K296" t="s">
        <v>96</v>
      </c>
      <c r="L296" t="s">
        <v>96</v>
      </c>
      <c r="M296">
        <v>2185</v>
      </c>
      <c r="O296" s="12" t="str">
        <f t="shared" si="22"/>
        <v>AFR</v>
      </c>
      <c r="P296" s="12" t="str">
        <f t="shared" si="23"/>
        <v>E_WON</v>
      </c>
    </row>
    <row r="297" spans="1:16" x14ac:dyDescent="0.35">
      <c r="A297" t="s">
        <v>95</v>
      </c>
      <c r="B297" t="s">
        <v>3111</v>
      </c>
      <c r="C297" t="s">
        <v>45</v>
      </c>
      <c r="D297" t="s">
        <v>304</v>
      </c>
      <c r="E297" t="s">
        <v>96</v>
      </c>
      <c r="F297" t="s">
        <v>96</v>
      </c>
      <c r="G297" t="s">
        <v>96</v>
      </c>
      <c r="H297">
        <v>2010</v>
      </c>
      <c r="I297" t="s">
        <v>96</v>
      </c>
      <c r="J297" t="s">
        <v>97</v>
      </c>
      <c r="K297" t="s">
        <v>96</v>
      </c>
      <c r="L297" t="s">
        <v>96</v>
      </c>
      <c r="M297">
        <v>2185</v>
      </c>
      <c r="O297" s="12" t="str">
        <f t="shared" si="22"/>
        <v>AFR</v>
      </c>
      <c r="P297" s="12" t="str">
        <f t="shared" si="23"/>
        <v>E_WON</v>
      </c>
    </row>
    <row r="298" spans="1:16" x14ac:dyDescent="0.35">
      <c r="A298" t="s">
        <v>95</v>
      </c>
      <c r="B298" t="s">
        <v>3111</v>
      </c>
      <c r="C298" t="s">
        <v>45</v>
      </c>
      <c r="D298" t="s">
        <v>306</v>
      </c>
      <c r="E298" t="s">
        <v>96</v>
      </c>
      <c r="F298" t="s">
        <v>96</v>
      </c>
      <c r="G298" t="s">
        <v>96</v>
      </c>
      <c r="H298">
        <v>2010</v>
      </c>
      <c r="I298" t="s">
        <v>96</v>
      </c>
      <c r="J298" t="s">
        <v>97</v>
      </c>
      <c r="K298" t="s">
        <v>96</v>
      </c>
      <c r="L298" t="s">
        <v>96</v>
      </c>
      <c r="M298">
        <v>2185</v>
      </c>
      <c r="O298" s="12" t="str">
        <f t="shared" si="22"/>
        <v>AFR</v>
      </c>
      <c r="P298" s="12" t="str">
        <f t="shared" si="23"/>
        <v>E_WON</v>
      </c>
    </row>
    <row r="299" spans="1:16" x14ac:dyDescent="0.35">
      <c r="A299" t="s">
        <v>95</v>
      </c>
      <c r="B299" t="s">
        <v>3111</v>
      </c>
      <c r="C299" t="s">
        <v>45</v>
      </c>
      <c r="D299" t="s">
        <v>308</v>
      </c>
      <c r="E299" t="s">
        <v>96</v>
      </c>
      <c r="F299" t="s">
        <v>96</v>
      </c>
      <c r="G299" t="s">
        <v>96</v>
      </c>
      <c r="H299">
        <v>2010</v>
      </c>
      <c r="I299" t="s">
        <v>96</v>
      </c>
      <c r="J299" t="s">
        <v>97</v>
      </c>
      <c r="K299" t="s">
        <v>96</v>
      </c>
      <c r="L299" t="s">
        <v>96</v>
      </c>
      <c r="M299">
        <v>2185</v>
      </c>
      <c r="O299" s="12" t="str">
        <f t="shared" si="22"/>
        <v>AFR</v>
      </c>
      <c r="P299" s="12" t="str">
        <f t="shared" si="23"/>
        <v>E_WON</v>
      </c>
    </row>
    <row r="300" spans="1:16" x14ac:dyDescent="0.35">
      <c r="A300" t="s">
        <v>95</v>
      </c>
      <c r="B300" t="s">
        <v>3111</v>
      </c>
      <c r="C300" t="s">
        <v>45</v>
      </c>
      <c r="D300" t="s">
        <v>309</v>
      </c>
      <c r="E300" t="s">
        <v>96</v>
      </c>
      <c r="F300" t="s">
        <v>96</v>
      </c>
      <c r="G300" t="s">
        <v>96</v>
      </c>
      <c r="H300">
        <v>2010</v>
      </c>
      <c r="I300" t="s">
        <v>96</v>
      </c>
      <c r="J300" t="s">
        <v>97</v>
      </c>
      <c r="K300" t="s">
        <v>96</v>
      </c>
      <c r="L300" t="s">
        <v>96</v>
      </c>
      <c r="M300">
        <v>2185</v>
      </c>
      <c r="O300" s="12" t="str">
        <f t="shared" si="22"/>
        <v>AFR</v>
      </c>
      <c r="P300" s="12" t="str">
        <f t="shared" si="23"/>
        <v>E_WON</v>
      </c>
    </row>
    <row r="301" spans="1:16" x14ac:dyDescent="0.35">
      <c r="A301" t="s">
        <v>95</v>
      </c>
      <c r="B301" t="s">
        <v>3111</v>
      </c>
      <c r="C301" t="s">
        <v>45</v>
      </c>
      <c r="D301" t="s">
        <v>310</v>
      </c>
      <c r="E301" t="s">
        <v>96</v>
      </c>
      <c r="F301" t="s">
        <v>96</v>
      </c>
      <c r="G301" t="s">
        <v>96</v>
      </c>
      <c r="H301">
        <v>2010</v>
      </c>
      <c r="I301" t="s">
        <v>96</v>
      </c>
      <c r="J301" t="s">
        <v>97</v>
      </c>
      <c r="K301" t="s">
        <v>96</v>
      </c>
      <c r="L301" t="s">
        <v>96</v>
      </c>
      <c r="M301">
        <v>2185</v>
      </c>
      <c r="O301" s="12" t="str">
        <f t="shared" si="22"/>
        <v>AFR</v>
      </c>
      <c r="P301" s="12" t="str">
        <f t="shared" si="23"/>
        <v>E_WON</v>
      </c>
    </row>
    <row r="302" spans="1:16" x14ac:dyDescent="0.35">
      <c r="A302" t="s">
        <v>95</v>
      </c>
      <c r="B302" t="s">
        <v>3111</v>
      </c>
      <c r="C302" t="s">
        <v>45</v>
      </c>
      <c r="D302" t="s">
        <v>312</v>
      </c>
      <c r="E302" t="s">
        <v>96</v>
      </c>
      <c r="F302" t="s">
        <v>96</v>
      </c>
      <c r="G302" t="s">
        <v>96</v>
      </c>
      <c r="H302">
        <v>2010</v>
      </c>
      <c r="I302" t="s">
        <v>96</v>
      </c>
      <c r="J302" t="s">
        <v>97</v>
      </c>
      <c r="K302" t="s">
        <v>96</v>
      </c>
      <c r="L302" t="s">
        <v>96</v>
      </c>
      <c r="M302">
        <v>2185</v>
      </c>
      <c r="O302" s="12" t="str">
        <f t="shared" si="22"/>
        <v>AFR</v>
      </c>
      <c r="P302" s="12" t="str">
        <f t="shared" si="23"/>
        <v>E_WON</v>
      </c>
    </row>
    <row r="303" spans="1:16" x14ac:dyDescent="0.35">
      <c r="A303" t="s">
        <v>95</v>
      </c>
      <c r="B303" t="s">
        <v>3111</v>
      </c>
      <c r="C303" t="s">
        <v>45</v>
      </c>
      <c r="D303" t="s">
        <v>314</v>
      </c>
      <c r="E303" t="s">
        <v>96</v>
      </c>
      <c r="F303" t="s">
        <v>96</v>
      </c>
      <c r="G303" t="s">
        <v>96</v>
      </c>
      <c r="H303">
        <v>2010</v>
      </c>
      <c r="I303" t="s">
        <v>96</v>
      </c>
      <c r="J303" t="s">
        <v>97</v>
      </c>
      <c r="K303" t="s">
        <v>96</v>
      </c>
      <c r="L303" t="s">
        <v>96</v>
      </c>
      <c r="M303">
        <v>2185</v>
      </c>
      <c r="O303" s="12" t="str">
        <f t="shared" si="22"/>
        <v>AFR</v>
      </c>
      <c r="P303" s="12" t="str">
        <f t="shared" si="23"/>
        <v>E_WON</v>
      </c>
    </row>
    <row r="304" spans="1:16" x14ac:dyDescent="0.35">
      <c r="A304" t="s">
        <v>95</v>
      </c>
      <c r="B304" t="s">
        <v>3111</v>
      </c>
      <c r="C304" t="s">
        <v>45</v>
      </c>
      <c r="D304" t="s">
        <v>315</v>
      </c>
      <c r="E304" t="s">
        <v>96</v>
      </c>
      <c r="F304" t="s">
        <v>96</v>
      </c>
      <c r="G304" t="s">
        <v>96</v>
      </c>
      <c r="H304">
        <v>2010</v>
      </c>
      <c r="I304" t="s">
        <v>96</v>
      </c>
      <c r="J304" t="s">
        <v>97</v>
      </c>
      <c r="K304" t="s">
        <v>96</v>
      </c>
      <c r="L304" t="s">
        <v>96</v>
      </c>
      <c r="M304">
        <v>2185</v>
      </c>
      <c r="O304" s="12" t="str">
        <f t="shared" si="22"/>
        <v>AFR</v>
      </c>
      <c r="P304" s="12" t="str">
        <f t="shared" si="23"/>
        <v>E_WON</v>
      </c>
    </row>
    <row r="305" spans="1:16" x14ac:dyDescent="0.35">
      <c r="A305" t="s">
        <v>95</v>
      </c>
      <c r="B305" t="s">
        <v>3111</v>
      </c>
      <c r="C305" t="s">
        <v>45</v>
      </c>
      <c r="D305" t="s">
        <v>316</v>
      </c>
      <c r="E305" t="s">
        <v>96</v>
      </c>
      <c r="F305" t="s">
        <v>96</v>
      </c>
      <c r="G305" t="s">
        <v>96</v>
      </c>
      <c r="H305">
        <v>2010</v>
      </c>
      <c r="I305" t="s">
        <v>96</v>
      </c>
      <c r="J305" t="s">
        <v>97</v>
      </c>
      <c r="K305" t="s">
        <v>96</v>
      </c>
      <c r="L305" t="s">
        <v>96</v>
      </c>
      <c r="M305">
        <v>1780</v>
      </c>
      <c r="O305" s="12" t="str">
        <f t="shared" si="22"/>
        <v>AFR</v>
      </c>
      <c r="P305" s="12" t="str">
        <f t="shared" si="23"/>
        <v>E_WON</v>
      </c>
    </row>
    <row r="306" spans="1:16" x14ac:dyDescent="0.35">
      <c r="A306" t="s">
        <v>95</v>
      </c>
      <c r="B306" t="s">
        <v>3111</v>
      </c>
      <c r="C306" t="s">
        <v>45</v>
      </c>
      <c r="D306" t="s">
        <v>317</v>
      </c>
      <c r="E306" t="s">
        <v>96</v>
      </c>
      <c r="F306" t="s">
        <v>96</v>
      </c>
      <c r="G306" t="s">
        <v>96</v>
      </c>
      <c r="H306">
        <v>2010</v>
      </c>
      <c r="I306" t="s">
        <v>96</v>
      </c>
      <c r="J306" t="s">
        <v>97</v>
      </c>
      <c r="K306" t="s">
        <v>96</v>
      </c>
      <c r="L306" t="s">
        <v>96</v>
      </c>
      <c r="M306">
        <v>2185</v>
      </c>
      <c r="O306" s="12" t="str">
        <f t="shared" si="22"/>
        <v>AFR</v>
      </c>
      <c r="P306" s="12" t="str">
        <f t="shared" si="23"/>
        <v>E_WON</v>
      </c>
    </row>
    <row r="307" spans="1:16" x14ac:dyDescent="0.35">
      <c r="A307" t="s">
        <v>95</v>
      </c>
      <c r="B307" t="s">
        <v>3111</v>
      </c>
      <c r="C307" t="s">
        <v>45</v>
      </c>
      <c r="D307" t="s">
        <v>318</v>
      </c>
      <c r="E307" t="s">
        <v>96</v>
      </c>
      <c r="F307" t="s">
        <v>96</v>
      </c>
      <c r="G307" t="s">
        <v>96</v>
      </c>
      <c r="H307">
        <v>2010</v>
      </c>
      <c r="I307" t="s">
        <v>96</v>
      </c>
      <c r="J307" t="s">
        <v>97</v>
      </c>
      <c r="K307" t="s">
        <v>96</v>
      </c>
      <c r="L307" t="s">
        <v>96</v>
      </c>
      <c r="M307">
        <v>2185</v>
      </c>
      <c r="O307" s="12" t="str">
        <f t="shared" si="22"/>
        <v>AFR</v>
      </c>
      <c r="P307" s="12" t="str">
        <f t="shared" si="23"/>
        <v>E_WON</v>
      </c>
    </row>
    <row r="308" spans="1:16" x14ac:dyDescent="0.35">
      <c r="A308" t="s">
        <v>95</v>
      </c>
      <c r="B308" t="s">
        <v>3111</v>
      </c>
      <c r="C308" t="s">
        <v>45</v>
      </c>
      <c r="D308" t="s">
        <v>319</v>
      </c>
      <c r="E308" t="s">
        <v>96</v>
      </c>
      <c r="F308" t="s">
        <v>96</v>
      </c>
      <c r="G308" t="s">
        <v>96</v>
      </c>
      <c r="H308">
        <v>2010</v>
      </c>
      <c r="I308" t="s">
        <v>96</v>
      </c>
      <c r="J308" t="s">
        <v>97</v>
      </c>
      <c r="K308" t="s">
        <v>96</v>
      </c>
      <c r="L308" t="s">
        <v>96</v>
      </c>
      <c r="M308">
        <v>2185</v>
      </c>
      <c r="O308" s="12" t="str">
        <f t="shared" si="22"/>
        <v>AFR</v>
      </c>
      <c r="P308" s="12" t="str">
        <f t="shared" si="23"/>
        <v>E_WON</v>
      </c>
    </row>
    <row r="309" spans="1:16" x14ac:dyDescent="0.35">
      <c r="A309" t="s">
        <v>95</v>
      </c>
      <c r="B309" t="s">
        <v>3111</v>
      </c>
      <c r="C309" t="s">
        <v>45</v>
      </c>
      <c r="D309" t="s">
        <v>320</v>
      </c>
      <c r="E309" t="s">
        <v>96</v>
      </c>
      <c r="F309" t="s">
        <v>96</v>
      </c>
      <c r="G309" t="s">
        <v>96</v>
      </c>
      <c r="H309">
        <v>2010</v>
      </c>
      <c r="I309" t="s">
        <v>96</v>
      </c>
      <c r="J309" t="s">
        <v>97</v>
      </c>
      <c r="K309" t="s">
        <v>96</v>
      </c>
      <c r="L309" t="s">
        <v>96</v>
      </c>
      <c r="M309">
        <v>2185</v>
      </c>
      <c r="O309" s="12" t="str">
        <f t="shared" si="22"/>
        <v>AFR</v>
      </c>
      <c r="P309" s="12" t="str">
        <f t="shared" si="23"/>
        <v>E_WON</v>
      </c>
    </row>
    <row r="310" spans="1:16" x14ac:dyDescent="0.35">
      <c r="A310" t="s">
        <v>95</v>
      </c>
      <c r="B310" t="s">
        <v>3111</v>
      </c>
      <c r="C310" t="s">
        <v>45</v>
      </c>
      <c r="D310" t="s">
        <v>321</v>
      </c>
      <c r="E310" t="s">
        <v>96</v>
      </c>
      <c r="F310" t="s">
        <v>96</v>
      </c>
      <c r="G310" t="s">
        <v>96</v>
      </c>
      <c r="H310">
        <v>2010</v>
      </c>
      <c r="I310" t="s">
        <v>96</v>
      </c>
      <c r="J310" t="s">
        <v>97</v>
      </c>
      <c r="K310" t="s">
        <v>96</v>
      </c>
      <c r="L310" t="s">
        <v>96</v>
      </c>
      <c r="M310">
        <v>2185</v>
      </c>
      <c r="O310" s="12" t="str">
        <f t="shared" si="22"/>
        <v>AFR</v>
      </c>
      <c r="P310" s="12" t="str">
        <f t="shared" si="23"/>
        <v>E_WON</v>
      </c>
    </row>
    <row r="311" spans="1:16" x14ac:dyDescent="0.35">
      <c r="A311" t="s">
        <v>95</v>
      </c>
      <c r="B311" t="s">
        <v>3111</v>
      </c>
      <c r="C311" t="s">
        <v>45</v>
      </c>
      <c r="D311" t="s">
        <v>322</v>
      </c>
      <c r="E311" t="s">
        <v>96</v>
      </c>
      <c r="F311" t="s">
        <v>96</v>
      </c>
      <c r="G311" t="s">
        <v>96</v>
      </c>
      <c r="H311">
        <v>2010</v>
      </c>
      <c r="I311" t="s">
        <v>96</v>
      </c>
      <c r="J311" t="s">
        <v>97</v>
      </c>
      <c r="K311" t="s">
        <v>96</v>
      </c>
      <c r="L311" t="s">
        <v>96</v>
      </c>
      <c r="M311">
        <v>2185</v>
      </c>
      <c r="O311" s="12" t="str">
        <f t="shared" si="22"/>
        <v>AFR</v>
      </c>
      <c r="P311" s="12" t="str">
        <f t="shared" si="23"/>
        <v>E_WON</v>
      </c>
    </row>
    <row r="312" spans="1:16" x14ac:dyDescent="0.35">
      <c r="A312" t="s">
        <v>95</v>
      </c>
      <c r="B312" t="s">
        <v>3111</v>
      </c>
      <c r="C312" t="s">
        <v>45</v>
      </c>
      <c r="D312" t="s">
        <v>323</v>
      </c>
      <c r="E312" t="s">
        <v>96</v>
      </c>
      <c r="F312" t="s">
        <v>96</v>
      </c>
      <c r="G312" t="s">
        <v>96</v>
      </c>
      <c r="H312">
        <v>2010</v>
      </c>
      <c r="I312" t="s">
        <v>96</v>
      </c>
      <c r="J312" t="s">
        <v>97</v>
      </c>
      <c r="K312" t="s">
        <v>96</v>
      </c>
      <c r="L312" t="s">
        <v>96</v>
      </c>
      <c r="M312">
        <v>2185</v>
      </c>
      <c r="O312" s="12" t="str">
        <f t="shared" si="22"/>
        <v>AFR</v>
      </c>
      <c r="P312" s="12" t="str">
        <f t="shared" si="23"/>
        <v>E_WON</v>
      </c>
    </row>
    <row r="313" spans="1:16" x14ac:dyDescent="0.35">
      <c r="A313" t="s">
        <v>95</v>
      </c>
      <c r="B313" t="s">
        <v>3111</v>
      </c>
      <c r="C313" t="s">
        <v>45</v>
      </c>
      <c r="D313" t="s">
        <v>327</v>
      </c>
      <c r="E313" t="s">
        <v>96</v>
      </c>
      <c r="F313" t="s">
        <v>96</v>
      </c>
      <c r="G313" t="s">
        <v>96</v>
      </c>
      <c r="H313">
        <v>2010</v>
      </c>
      <c r="I313" t="s">
        <v>96</v>
      </c>
      <c r="J313" t="s">
        <v>97</v>
      </c>
      <c r="K313" t="s">
        <v>96</v>
      </c>
      <c r="L313" t="s">
        <v>96</v>
      </c>
      <c r="M313">
        <v>2185</v>
      </c>
      <c r="O313" s="12" t="str">
        <f t="shared" si="22"/>
        <v>AFR</v>
      </c>
      <c r="P313" s="12" t="str">
        <f t="shared" si="23"/>
        <v>E_WON</v>
      </c>
    </row>
    <row r="314" spans="1:16" x14ac:dyDescent="0.35">
      <c r="A314" t="s">
        <v>95</v>
      </c>
      <c r="B314" t="s">
        <v>3111</v>
      </c>
      <c r="C314" t="s">
        <v>45</v>
      </c>
      <c r="D314" t="s">
        <v>328</v>
      </c>
      <c r="E314" t="s">
        <v>96</v>
      </c>
      <c r="F314" t="s">
        <v>96</v>
      </c>
      <c r="G314" t="s">
        <v>96</v>
      </c>
      <c r="H314">
        <v>2010</v>
      </c>
      <c r="I314" t="s">
        <v>96</v>
      </c>
      <c r="J314" t="s">
        <v>97</v>
      </c>
      <c r="K314" t="s">
        <v>96</v>
      </c>
      <c r="L314" t="s">
        <v>96</v>
      </c>
      <c r="M314">
        <v>2590</v>
      </c>
      <c r="O314" s="12" t="str">
        <f t="shared" si="22"/>
        <v>AFR</v>
      </c>
      <c r="P314" s="12" t="str">
        <f t="shared" si="23"/>
        <v>E_WON</v>
      </c>
    </row>
    <row r="315" spans="1:16" x14ac:dyDescent="0.35">
      <c r="A315" t="s">
        <v>95</v>
      </c>
      <c r="B315" t="s">
        <v>3111</v>
      </c>
      <c r="C315" t="s">
        <v>45</v>
      </c>
      <c r="D315" t="s">
        <v>330</v>
      </c>
      <c r="E315" t="s">
        <v>96</v>
      </c>
      <c r="F315" t="s">
        <v>96</v>
      </c>
      <c r="G315" t="s">
        <v>96</v>
      </c>
      <c r="H315">
        <v>2010</v>
      </c>
      <c r="I315" t="s">
        <v>96</v>
      </c>
      <c r="J315" t="s">
        <v>97</v>
      </c>
      <c r="K315" t="s">
        <v>96</v>
      </c>
      <c r="L315" t="s">
        <v>96</v>
      </c>
      <c r="M315">
        <v>2185</v>
      </c>
      <c r="O315" s="12" t="str">
        <f t="shared" si="22"/>
        <v>AFR</v>
      </c>
      <c r="P315" s="12" t="str">
        <f t="shared" si="23"/>
        <v>E_WON</v>
      </c>
    </row>
    <row r="316" spans="1:16" x14ac:dyDescent="0.35">
      <c r="A316" t="s">
        <v>95</v>
      </c>
      <c r="B316" t="s">
        <v>3111</v>
      </c>
      <c r="C316" t="s">
        <v>45</v>
      </c>
      <c r="D316" t="s">
        <v>332</v>
      </c>
      <c r="E316" t="s">
        <v>96</v>
      </c>
      <c r="F316" t="s">
        <v>96</v>
      </c>
      <c r="G316" t="s">
        <v>96</v>
      </c>
      <c r="H316">
        <v>2010</v>
      </c>
      <c r="I316" t="s">
        <v>96</v>
      </c>
      <c r="J316" t="s">
        <v>97</v>
      </c>
      <c r="K316" t="s">
        <v>96</v>
      </c>
      <c r="L316" t="s">
        <v>96</v>
      </c>
      <c r="M316">
        <v>2185</v>
      </c>
      <c r="O316" s="12" t="str">
        <f t="shared" si="22"/>
        <v>AFR</v>
      </c>
      <c r="P316" s="12" t="str">
        <f t="shared" si="23"/>
        <v>E_WON</v>
      </c>
    </row>
    <row r="317" spans="1:16" x14ac:dyDescent="0.35">
      <c r="A317" t="s">
        <v>95</v>
      </c>
      <c r="B317" t="s">
        <v>3111</v>
      </c>
      <c r="C317" t="s">
        <v>45</v>
      </c>
      <c r="D317" t="s">
        <v>334</v>
      </c>
      <c r="E317" t="s">
        <v>96</v>
      </c>
      <c r="F317" t="s">
        <v>96</v>
      </c>
      <c r="G317" t="s">
        <v>96</v>
      </c>
      <c r="H317">
        <v>2010</v>
      </c>
      <c r="I317" t="s">
        <v>96</v>
      </c>
      <c r="J317" t="s">
        <v>97</v>
      </c>
      <c r="K317" t="s">
        <v>96</v>
      </c>
      <c r="L317" t="s">
        <v>96</v>
      </c>
      <c r="M317">
        <v>2185</v>
      </c>
      <c r="O317" s="12" t="str">
        <f t="shared" si="22"/>
        <v>AFR</v>
      </c>
      <c r="P317" s="12" t="str">
        <f t="shared" si="23"/>
        <v>E_WON</v>
      </c>
    </row>
    <row r="318" spans="1:16" x14ac:dyDescent="0.35">
      <c r="A318" t="s">
        <v>95</v>
      </c>
      <c r="B318" t="s">
        <v>3111</v>
      </c>
      <c r="C318" t="s">
        <v>45</v>
      </c>
      <c r="D318" t="s">
        <v>336</v>
      </c>
      <c r="E318" t="s">
        <v>96</v>
      </c>
      <c r="F318" t="s">
        <v>96</v>
      </c>
      <c r="G318" t="s">
        <v>96</v>
      </c>
      <c r="H318">
        <v>2010</v>
      </c>
      <c r="I318" t="s">
        <v>96</v>
      </c>
      <c r="J318" t="s">
        <v>97</v>
      </c>
      <c r="K318" t="s">
        <v>96</v>
      </c>
      <c r="L318" t="s">
        <v>96</v>
      </c>
      <c r="M318">
        <v>2185</v>
      </c>
      <c r="O318" s="12" t="str">
        <f t="shared" si="22"/>
        <v>AFR</v>
      </c>
      <c r="P318" s="12" t="str">
        <f t="shared" si="23"/>
        <v>E_WON</v>
      </c>
    </row>
    <row r="319" spans="1:16" x14ac:dyDescent="0.35">
      <c r="A319" t="s">
        <v>95</v>
      </c>
      <c r="B319" t="s">
        <v>3111</v>
      </c>
      <c r="C319" t="s">
        <v>45</v>
      </c>
      <c r="D319" t="s">
        <v>338</v>
      </c>
      <c r="E319" t="s">
        <v>96</v>
      </c>
      <c r="F319" t="s">
        <v>96</v>
      </c>
      <c r="G319" t="s">
        <v>96</v>
      </c>
      <c r="H319">
        <v>2010</v>
      </c>
      <c r="I319" t="s">
        <v>96</v>
      </c>
      <c r="J319" t="s">
        <v>97</v>
      </c>
      <c r="K319" t="s">
        <v>96</v>
      </c>
      <c r="L319" t="s">
        <v>96</v>
      </c>
      <c r="M319">
        <v>2185</v>
      </c>
      <c r="O319" s="12" t="str">
        <f t="shared" si="22"/>
        <v>AFR</v>
      </c>
      <c r="P319" s="12" t="str">
        <f t="shared" si="23"/>
        <v>E_WON</v>
      </c>
    </row>
    <row r="320" spans="1:16" x14ac:dyDescent="0.35">
      <c r="A320" t="s">
        <v>95</v>
      </c>
      <c r="B320" t="s">
        <v>3111</v>
      </c>
      <c r="C320" t="s">
        <v>45</v>
      </c>
      <c r="D320" t="s">
        <v>340</v>
      </c>
      <c r="E320" t="s">
        <v>96</v>
      </c>
      <c r="F320" t="s">
        <v>96</v>
      </c>
      <c r="G320" t="s">
        <v>96</v>
      </c>
      <c r="H320">
        <v>2010</v>
      </c>
      <c r="I320" t="s">
        <v>96</v>
      </c>
      <c r="J320" t="s">
        <v>97</v>
      </c>
      <c r="K320" t="s">
        <v>96</v>
      </c>
      <c r="L320" t="s">
        <v>96</v>
      </c>
      <c r="M320">
        <v>2185</v>
      </c>
      <c r="O320" s="12" t="str">
        <f t="shared" si="22"/>
        <v>AFR</v>
      </c>
      <c r="P320" s="12" t="str">
        <f t="shared" si="23"/>
        <v>E_WON</v>
      </c>
    </row>
    <row r="321" spans="1:16" x14ac:dyDescent="0.35">
      <c r="A321" t="s">
        <v>95</v>
      </c>
      <c r="B321" t="s">
        <v>3111</v>
      </c>
      <c r="C321" t="s">
        <v>45</v>
      </c>
      <c r="D321" t="s">
        <v>341</v>
      </c>
      <c r="E321" t="s">
        <v>96</v>
      </c>
      <c r="F321" t="s">
        <v>96</v>
      </c>
      <c r="G321" t="s">
        <v>96</v>
      </c>
      <c r="H321">
        <v>2010</v>
      </c>
      <c r="I321" t="s">
        <v>96</v>
      </c>
      <c r="J321" t="s">
        <v>97</v>
      </c>
      <c r="K321" t="s">
        <v>96</v>
      </c>
      <c r="L321" t="s">
        <v>96</v>
      </c>
      <c r="M321">
        <v>2185</v>
      </c>
      <c r="O321" s="12" t="str">
        <f t="shared" si="22"/>
        <v>AFR</v>
      </c>
      <c r="P321" s="12" t="str">
        <f t="shared" si="23"/>
        <v>E_WON</v>
      </c>
    </row>
    <row r="322" spans="1:16" x14ac:dyDescent="0.35">
      <c r="A322" t="s">
        <v>95</v>
      </c>
      <c r="B322" t="s">
        <v>3111</v>
      </c>
      <c r="C322" t="s">
        <v>45</v>
      </c>
      <c r="D322" t="s">
        <v>342</v>
      </c>
      <c r="E322" t="s">
        <v>96</v>
      </c>
      <c r="F322" t="s">
        <v>96</v>
      </c>
      <c r="G322" t="s">
        <v>96</v>
      </c>
      <c r="H322">
        <v>2010</v>
      </c>
      <c r="I322" t="s">
        <v>96</v>
      </c>
      <c r="J322" t="s">
        <v>97</v>
      </c>
      <c r="K322" t="s">
        <v>96</v>
      </c>
      <c r="L322" t="s">
        <v>96</v>
      </c>
      <c r="M322">
        <v>2185</v>
      </c>
      <c r="O322" s="12" t="str">
        <f t="shared" si="22"/>
        <v>AFR</v>
      </c>
      <c r="P322" s="12" t="str">
        <f t="shared" si="23"/>
        <v>E_WON</v>
      </c>
    </row>
    <row r="323" spans="1:16" x14ac:dyDescent="0.35">
      <c r="A323" t="s">
        <v>95</v>
      </c>
      <c r="B323" t="s">
        <v>3111</v>
      </c>
      <c r="C323" t="s">
        <v>45</v>
      </c>
      <c r="D323" t="s">
        <v>345</v>
      </c>
      <c r="E323" t="s">
        <v>96</v>
      </c>
      <c r="F323" t="s">
        <v>96</v>
      </c>
      <c r="G323" t="s">
        <v>96</v>
      </c>
      <c r="H323">
        <v>2010</v>
      </c>
      <c r="I323" t="s">
        <v>96</v>
      </c>
      <c r="J323" t="s">
        <v>97</v>
      </c>
      <c r="K323" t="s">
        <v>96</v>
      </c>
      <c r="L323" t="s">
        <v>96</v>
      </c>
      <c r="M323">
        <v>2185</v>
      </c>
      <c r="O323" s="12" t="str">
        <f t="shared" ref="O323:O386" si="24">LEFT(B323,3)</f>
        <v>AFR</v>
      </c>
      <c r="P323" s="12" t="str">
        <f t="shared" ref="P323:P386" si="25">LEFT(D323,5)</f>
        <v>E_WON</v>
      </c>
    </row>
    <row r="324" spans="1:16" x14ac:dyDescent="0.35">
      <c r="A324" t="s">
        <v>95</v>
      </c>
      <c r="B324" t="s">
        <v>3111</v>
      </c>
      <c r="C324" t="s">
        <v>45</v>
      </c>
      <c r="D324" t="s">
        <v>346</v>
      </c>
      <c r="E324" t="s">
        <v>96</v>
      </c>
      <c r="F324" t="s">
        <v>96</v>
      </c>
      <c r="G324" t="s">
        <v>96</v>
      </c>
      <c r="H324">
        <v>2010</v>
      </c>
      <c r="I324" t="s">
        <v>96</v>
      </c>
      <c r="J324" t="s">
        <v>97</v>
      </c>
      <c r="K324" t="s">
        <v>96</v>
      </c>
      <c r="L324" t="s">
        <v>96</v>
      </c>
      <c r="M324">
        <v>2185</v>
      </c>
      <c r="O324" s="12" t="str">
        <f t="shared" si="24"/>
        <v>AFR</v>
      </c>
      <c r="P324" s="12" t="str">
        <f t="shared" si="25"/>
        <v>E_WON</v>
      </c>
    </row>
    <row r="325" spans="1:16" x14ac:dyDescent="0.35">
      <c r="A325" t="s">
        <v>95</v>
      </c>
      <c r="B325" t="s">
        <v>3111</v>
      </c>
      <c r="C325" t="s">
        <v>45</v>
      </c>
      <c r="D325" t="s">
        <v>347</v>
      </c>
      <c r="E325" t="s">
        <v>96</v>
      </c>
      <c r="F325" t="s">
        <v>96</v>
      </c>
      <c r="G325" t="s">
        <v>96</v>
      </c>
      <c r="H325">
        <v>2010</v>
      </c>
      <c r="I325" t="s">
        <v>96</v>
      </c>
      <c r="J325" t="s">
        <v>97</v>
      </c>
      <c r="K325" t="s">
        <v>96</v>
      </c>
      <c r="L325" t="s">
        <v>96</v>
      </c>
      <c r="M325">
        <v>1780</v>
      </c>
      <c r="O325" s="12" t="str">
        <f t="shared" si="24"/>
        <v>AFR</v>
      </c>
      <c r="P325" s="12" t="str">
        <f t="shared" si="25"/>
        <v>E_WON</v>
      </c>
    </row>
    <row r="326" spans="1:16" x14ac:dyDescent="0.35">
      <c r="A326" t="s">
        <v>95</v>
      </c>
      <c r="B326" t="s">
        <v>3111</v>
      </c>
      <c r="C326" t="s">
        <v>45</v>
      </c>
      <c r="D326" t="s">
        <v>348</v>
      </c>
      <c r="E326" t="s">
        <v>96</v>
      </c>
      <c r="F326" t="s">
        <v>96</v>
      </c>
      <c r="G326" t="s">
        <v>96</v>
      </c>
      <c r="H326">
        <v>2010</v>
      </c>
      <c r="I326" t="s">
        <v>96</v>
      </c>
      <c r="J326" t="s">
        <v>97</v>
      </c>
      <c r="K326" t="s">
        <v>96</v>
      </c>
      <c r="L326" t="s">
        <v>96</v>
      </c>
      <c r="M326">
        <v>2185</v>
      </c>
      <c r="O326" s="12" t="str">
        <f t="shared" si="24"/>
        <v>AFR</v>
      </c>
      <c r="P326" s="12" t="str">
        <f t="shared" si="25"/>
        <v>E_WON</v>
      </c>
    </row>
    <row r="327" spans="1:16" x14ac:dyDescent="0.35">
      <c r="A327" t="s">
        <v>95</v>
      </c>
      <c r="B327" t="s">
        <v>3111</v>
      </c>
      <c r="C327" t="s">
        <v>45</v>
      </c>
      <c r="D327" t="s">
        <v>349</v>
      </c>
      <c r="E327" t="s">
        <v>96</v>
      </c>
      <c r="F327" t="s">
        <v>96</v>
      </c>
      <c r="G327" t="s">
        <v>96</v>
      </c>
      <c r="H327">
        <v>2010</v>
      </c>
      <c r="I327" t="s">
        <v>96</v>
      </c>
      <c r="J327" t="s">
        <v>97</v>
      </c>
      <c r="K327" t="s">
        <v>96</v>
      </c>
      <c r="L327" t="s">
        <v>96</v>
      </c>
      <c r="M327">
        <v>2185</v>
      </c>
      <c r="O327" s="12" t="str">
        <f t="shared" si="24"/>
        <v>AFR</v>
      </c>
      <c r="P327" s="12" t="str">
        <f t="shared" si="25"/>
        <v>E_WON</v>
      </c>
    </row>
    <row r="328" spans="1:16" x14ac:dyDescent="0.35">
      <c r="A328" t="s">
        <v>95</v>
      </c>
      <c r="B328" t="s">
        <v>3111</v>
      </c>
      <c r="C328" t="s">
        <v>45</v>
      </c>
      <c r="D328" t="s">
        <v>350</v>
      </c>
      <c r="E328" t="s">
        <v>96</v>
      </c>
      <c r="F328" t="s">
        <v>96</v>
      </c>
      <c r="G328" t="s">
        <v>96</v>
      </c>
      <c r="H328">
        <v>2010</v>
      </c>
      <c r="I328" t="s">
        <v>96</v>
      </c>
      <c r="J328" t="s">
        <v>97</v>
      </c>
      <c r="K328" t="s">
        <v>96</v>
      </c>
      <c r="L328" t="s">
        <v>96</v>
      </c>
      <c r="M328">
        <v>2185</v>
      </c>
      <c r="O328" s="12" t="str">
        <f t="shared" si="24"/>
        <v>AFR</v>
      </c>
      <c r="P328" s="12" t="str">
        <f t="shared" si="25"/>
        <v>E_WON</v>
      </c>
    </row>
    <row r="329" spans="1:16" x14ac:dyDescent="0.35">
      <c r="A329" t="s">
        <v>95</v>
      </c>
      <c r="B329" t="s">
        <v>3111</v>
      </c>
      <c r="C329" t="s">
        <v>45</v>
      </c>
      <c r="D329" t="s">
        <v>351</v>
      </c>
      <c r="E329" t="s">
        <v>96</v>
      </c>
      <c r="F329" t="s">
        <v>96</v>
      </c>
      <c r="G329" t="s">
        <v>96</v>
      </c>
      <c r="H329">
        <v>2010</v>
      </c>
      <c r="I329" t="s">
        <v>96</v>
      </c>
      <c r="J329" t="s">
        <v>97</v>
      </c>
      <c r="K329" t="s">
        <v>96</v>
      </c>
      <c r="L329" t="s">
        <v>96</v>
      </c>
      <c r="M329">
        <v>2185</v>
      </c>
      <c r="O329" s="12" t="str">
        <f t="shared" si="24"/>
        <v>AFR</v>
      </c>
      <c r="P329" s="12" t="str">
        <f t="shared" si="25"/>
        <v>E_WON</v>
      </c>
    </row>
    <row r="330" spans="1:16" x14ac:dyDescent="0.35">
      <c r="A330" t="s">
        <v>95</v>
      </c>
      <c r="B330" t="s">
        <v>3111</v>
      </c>
      <c r="C330" t="s">
        <v>45</v>
      </c>
      <c r="D330" t="s">
        <v>352</v>
      </c>
      <c r="E330" t="s">
        <v>96</v>
      </c>
      <c r="F330" t="s">
        <v>96</v>
      </c>
      <c r="G330" t="s">
        <v>96</v>
      </c>
      <c r="H330">
        <v>2010</v>
      </c>
      <c r="I330" t="s">
        <v>96</v>
      </c>
      <c r="J330" t="s">
        <v>97</v>
      </c>
      <c r="K330" t="s">
        <v>96</v>
      </c>
      <c r="L330" t="s">
        <v>96</v>
      </c>
      <c r="M330">
        <v>2185</v>
      </c>
      <c r="O330" s="12" t="str">
        <f t="shared" si="24"/>
        <v>AFR</v>
      </c>
      <c r="P330" s="12" t="str">
        <f t="shared" si="25"/>
        <v>E_WON</v>
      </c>
    </row>
    <row r="331" spans="1:16" x14ac:dyDescent="0.35">
      <c r="A331" t="s">
        <v>95</v>
      </c>
      <c r="B331" t="s">
        <v>3111</v>
      </c>
      <c r="C331" t="s">
        <v>45</v>
      </c>
      <c r="D331" t="s">
        <v>356</v>
      </c>
      <c r="E331" t="s">
        <v>96</v>
      </c>
      <c r="F331" t="s">
        <v>96</v>
      </c>
      <c r="G331" t="s">
        <v>96</v>
      </c>
      <c r="H331">
        <v>2010</v>
      </c>
      <c r="I331" t="s">
        <v>96</v>
      </c>
      <c r="J331" t="s">
        <v>97</v>
      </c>
      <c r="K331" t="s">
        <v>96</v>
      </c>
      <c r="L331" t="s">
        <v>96</v>
      </c>
      <c r="M331">
        <v>2185</v>
      </c>
      <c r="O331" s="12" t="str">
        <f t="shared" si="24"/>
        <v>AFR</v>
      </c>
      <c r="P331" s="12" t="str">
        <f t="shared" si="25"/>
        <v>E_WON</v>
      </c>
    </row>
    <row r="332" spans="1:16" x14ac:dyDescent="0.35">
      <c r="A332" t="s">
        <v>95</v>
      </c>
      <c r="B332" t="s">
        <v>3111</v>
      </c>
      <c r="C332" t="s">
        <v>45</v>
      </c>
      <c r="D332" t="s">
        <v>357</v>
      </c>
      <c r="E332" t="s">
        <v>96</v>
      </c>
      <c r="F332" t="s">
        <v>96</v>
      </c>
      <c r="G332" t="s">
        <v>96</v>
      </c>
      <c r="H332">
        <v>2010</v>
      </c>
      <c r="I332" t="s">
        <v>96</v>
      </c>
      <c r="J332" t="s">
        <v>97</v>
      </c>
      <c r="K332" t="s">
        <v>96</v>
      </c>
      <c r="L332" t="s">
        <v>96</v>
      </c>
      <c r="M332">
        <v>2590</v>
      </c>
      <c r="O332" s="12" t="str">
        <f t="shared" si="24"/>
        <v>AFR</v>
      </c>
      <c r="P332" s="12" t="str">
        <f t="shared" si="25"/>
        <v>E_WON</v>
      </c>
    </row>
    <row r="333" spans="1:16" x14ac:dyDescent="0.35">
      <c r="A333" t="s">
        <v>95</v>
      </c>
      <c r="B333" t="s">
        <v>3111</v>
      </c>
      <c r="C333" t="s">
        <v>45</v>
      </c>
      <c r="D333" t="s">
        <v>360</v>
      </c>
      <c r="E333" t="s">
        <v>96</v>
      </c>
      <c r="F333" t="s">
        <v>96</v>
      </c>
      <c r="G333" t="s">
        <v>96</v>
      </c>
      <c r="H333">
        <v>2010</v>
      </c>
      <c r="I333" t="s">
        <v>96</v>
      </c>
      <c r="J333" t="s">
        <v>97</v>
      </c>
      <c r="K333" t="s">
        <v>96</v>
      </c>
      <c r="L333" t="s">
        <v>96</v>
      </c>
      <c r="M333">
        <v>2185</v>
      </c>
      <c r="O333" s="12" t="str">
        <f t="shared" si="24"/>
        <v>AFR</v>
      </c>
      <c r="P333" s="12" t="str">
        <f t="shared" si="25"/>
        <v>E_WON</v>
      </c>
    </row>
    <row r="334" spans="1:16" x14ac:dyDescent="0.35">
      <c r="A334" t="s">
        <v>95</v>
      </c>
      <c r="B334" t="s">
        <v>3111</v>
      </c>
      <c r="C334" t="s">
        <v>45</v>
      </c>
      <c r="D334" t="s">
        <v>361</v>
      </c>
      <c r="E334" t="s">
        <v>96</v>
      </c>
      <c r="F334" t="s">
        <v>96</v>
      </c>
      <c r="G334" t="s">
        <v>96</v>
      </c>
      <c r="H334">
        <v>2010</v>
      </c>
      <c r="I334" t="s">
        <v>96</v>
      </c>
      <c r="J334" t="s">
        <v>97</v>
      </c>
      <c r="K334" t="s">
        <v>96</v>
      </c>
      <c r="L334" t="s">
        <v>96</v>
      </c>
      <c r="M334">
        <v>2185</v>
      </c>
      <c r="O334" s="12" t="str">
        <f t="shared" si="24"/>
        <v>AFR</v>
      </c>
      <c r="P334" s="12" t="str">
        <f t="shared" si="25"/>
        <v>E_WON</v>
      </c>
    </row>
    <row r="335" spans="1:16" x14ac:dyDescent="0.35">
      <c r="A335" t="s">
        <v>95</v>
      </c>
      <c r="B335" t="s">
        <v>3111</v>
      </c>
      <c r="C335" t="s">
        <v>45</v>
      </c>
      <c r="D335" t="s">
        <v>363</v>
      </c>
      <c r="E335" t="s">
        <v>96</v>
      </c>
      <c r="F335" t="s">
        <v>96</v>
      </c>
      <c r="G335" t="s">
        <v>96</v>
      </c>
      <c r="H335">
        <v>2010</v>
      </c>
      <c r="I335" t="s">
        <v>96</v>
      </c>
      <c r="J335" t="s">
        <v>97</v>
      </c>
      <c r="K335" t="s">
        <v>96</v>
      </c>
      <c r="L335" t="s">
        <v>96</v>
      </c>
      <c r="M335">
        <v>2185</v>
      </c>
      <c r="O335" s="12" t="str">
        <f t="shared" si="24"/>
        <v>AFR</v>
      </c>
      <c r="P335" s="12" t="str">
        <f t="shared" si="25"/>
        <v>E_WON</v>
      </c>
    </row>
    <row r="336" spans="1:16" x14ac:dyDescent="0.35">
      <c r="A336" t="s">
        <v>95</v>
      </c>
      <c r="B336" t="s">
        <v>3111</v>
      </c>
      <c r="C336" t="s">
        <v>45</v>
      </c>
      <c r="D336" t="s">
        <v>364</v>
      </c>
      <c r="E336" t="s">
        <v>96</v>
      </c>
      <c r="F336" t="s">
        <v>96</v>
      </c>
      <c r="G336" t="s">
        <v>96</v>
      </c>
      <c r="H336">
        <v>2010</v>
      </c>
      <c r="I336" t="s">
        <v>96</v>
      </c>
      <c r="J336" t="s">
        <v>97</v>
      </c>
      <c r="K336" t="s">
        <v>96</v>
      </c>
      <c r="L336" t="s">
        <v>96</v>
      </c>
      <c r="M336">
        <v>2185</v>
      </c>
      <c r="O336" s="12" t="str">
        <f t="shared" si="24"/>
        <v>AFR</v>
      </c>
      <c r="P336" s="12" t="str">
        <f t="shared" si="25"/>
        <v>E_WON</v>
      </c>
    </row>
    <row r="337" spans="1:16" x14ac:dyDescent="0.35">
      <c r="A337" t="s">
        <v>95</v>
      </c>
      <c r="B337" t="s">
        <v>3111</v>
      </c>
      <c r="C337" t="s">
        <v>45</v>
      </c>
      <c r="D337" t="s">
        <v>366</v>
      </c>
      <c r="E337" t="s">
        <v>96</v>
      </c>
      <c r="F337" t="s">
        <v>96</v>
      </c>
      <c r="G337" t="s">
        <v>96</v>
      </c>
      <c r="H337">
        <v>2010</v>
      </c>
      <c r="I337" t="s">
        <v>96</v>
      </c>
      <c r="J337" t="s">
        <v>97</v>
      </c>
      <c r="K337" t="s">
        <v>96</v>
      </c>
      <c r="L337" t="s">
        <v>96</v>
      </c>
      <c r="M337">
        <v>2185</v>
      </c>
      <c r="O337" s="12" t="str">
        <f t="shared" si="24"/>
        <v>AFR</v>
      </c>
      <c r="P337" s="12" t="str">
        <f t="shared" si="25"/>
        <v>E_WON</v>
      </c>
    </row>
    <row r="338" spans="1:16" x14ac:dyDescent="0.35">
      <c r="A338" t="s">
        <v>95</v>
      </c>
      <c r="B338" t="s">
        <v>3111</v>
      </c>
      <c r="C338" t="s">
        <v>45</v>
      </c>
      <c r="D338" t="s">
        <v>368</v>
      </c>
      <c r="E338" t="s">
        <v>96</v>
      </c>
      <c r="F338" t="s">
        <v>96</v>
      </c>
      <c r="G338" t="s">
        <v>96</v>
      </c>
      <c r="H338">
        <v>2010</v>
      </c>
      <c r="I338" t="s">
        <v>96</v>
      </c>
      <c r="J338" t="s">
        <v>97</v>
      </c>
      <c r="K338" t="s">
        <v>96</v>
      </c>
      <c r="L338" t="s">
        <v>96</v>
      </c>
      <c r="M338">
        <v>2185</v>
      </c>
      <c r="O338" s="12" t="str">
        <f t="shared" si="24"/>
        <v>AFR</v>
      </c>
      <c r="P338" s="12" t="str">
        <f t="shared" si="25"/>
        <v>E_WON</v>
      </c>
    </row>
    <row r="339" spans="1:16" x14ac:dyDescent="0.35">
      <c r="A339" t="s">
        <v>95</v>
      </c>
      <c r="B339" t="s">
        <v>3111</v>
      </c>
      <c r="C339" t="s">
        <v>45</v>
      </c>
      <c r="D339" t="s">
        <v>369</v>
      </c>
      <c r="E339" t="s">
        <v>96</v>
      </c>
      <c r="F339" t="s">
        <v>96</v>
      </c>
      <c r="G339" t="s">
        <v>96</v>
      </c>
      <c r="H339">
        <v>2010</v>
      </c>
      <c r="I339" t="s">
        <v>96</v>
      </c>
      <c r="J339" t="s">
        <v>97</v>
      </c>
      <c r="K339" t="s">
        <v>96</v>
      </c>
      <c r="L339" t="s">
        <v>96</v>
      </c>
      <c r="M339">
        <v>2185</v>
      </c>
      <c r="O339" s="12" t="str">
        <f t="shared" si="24"/>
        <v>AFR</v>
      </c>
      <c r="P339" s="12" t="str">
        <f t="shared" si="25"/>
        <v>E_WON</v>
      </c>
    </row>
    <row r="340" spans="1:16" x14ac:dyDescent="0.35">
      <c r="A340" t="s">
        <v>95</v>
      </c>
      <c r="B340" t="s">
        <v>3111</v>
      </c>
      <c r="C340" t="s">
        <v>45</v>
      </c>
      <c r="D340" t="s">
        <v>371</v>
      </c>
      <c r="E340" t="s">
        <v>96</v>
      </c>
      <c r="F340" t="s">
        <v>96</v>
      </c>
      <c r="G340" t="s">
        <v>96</v>
      </c>
      <c r="H340">
        <v>2010</v>
      </c>
      <c r="I340" t="s">
        <v>96</v>
      </c>
      <c r="J340" t="s">
        <v>97</v>
      </c>
      <c r="K340" t="s">
        <v>96</v>
      </c>
      <c r="L340" t="s">
        <v>96</v>
      </c>
      <c r="M340">
        <v>2185</v>
      </c>
      <c r="O340" s="12" t="str">
        <f t="shared" si="24"/>
        <v>AFR</v>
      </c>
      <c r="P340" s="12" t="str">
        <f t="shared" si="25"/>
        <v>E_WON</v>
      </c>
    </row>
    <row r="341" spans="1:16" x14ac:dyDescent="0.35">
      <c r="A341" t="s">
        <v>95</v>
      </c>
      <c r="B341" t="s">
        <v>3111</v>
      </c>
      <c r="C341" t="s">
        <v>45</v>
      </c>
      <c r="D341" t="s">
        <v>372</v>
      </c>
      <c r="E341" t="s">
        <v>96</v>
      </c>
      <c r="F341" t="s">
        <v>96</v>
      </c>
      <c r="G341" t="s">
        <v>96</v>
      </c>
      <c r="H341">
        <v>2010</v>
      </c>
      <c r="I341" t="s">
        <v>96</v>
      </c>
      <c r="J341" t="s">
        <v>97</v>
      </c>
      <c r="K341" t="s">
        <v>96</v>
      </c>
      <c r="L341" t="s">
        <v>96</v>
      </c>
      <c r="M341">
        <v>2185</v>
      </c>
      <c r="O341" s="12" t="str">
        <f t="shared" si="24"/>
        <v>AFR</v>
      </c>
      <c r="P341" s="12" t="str">
        <f t="shared" si="25"/>
        <v>E_WON</v>
      </c>
    </row>
    <row r="342" spans="1:16" x14ac:dyDescent="0.35">
      <c r="A342" t="s">
        <v>95</v>
      </c>
      <c r="B342" t="s">
        <v>3111</v>
      </c>
      <c r="C342" t="s">
        <v>45</v>
      </c>
      <c r="D342" t="s">
        <v>373</v>
      </c>
      <c r="E342" t="s">
        <v>96</v>
      </c>
      <c r="F342" t="s">
        <v>96</v>
      </c>
      <c r="G342" t="s">
        <v>96</v>
      </c>
      <c r="H342">
        <v>2010</v>
      </c>
      <c r="I342" t="s">
        <v>96</v>
      </c>
      <c r="J342" t="s">
        <v>97</v>
      </c>
      <c r="K342" t="s">
        <v>96</v>
      </c>
      <c r="L342" t="s">
        <v>96</v>
      </c>
      <c r="M342">
        <v>1780</v>
      </c>
      <c r="O342" s="12" t="str">
        <f t="shared" si="24"/>
        <v>AFR</v>
      </c>
      <c r="P342" s="12" t="str">
        <f t="shared" si="25"/>
        <v>E_WON</v>
      </c>
    </row>
    <row r="343" spans="1:16" x14ac:dyDescent="0.35">
      <c r="A343" t="s">
        <v>95</v>
      </c>
      <c r="B343" t="s">
        <v>3111</v>
      </c>
      <c r="C343" t="s">
        <v>45</v>
      </c>
      <c r="D343" t="s">
        <v>374</v>
      </c>
      <c r="E343" t="s">
        <v>96</v>
      </c>
      <c r="F343" t="s">
        <v>96</v>
      </c>
      <c r="G343" t="s">
        <v>96</v>
      </c>
      <c r="H343">
        <v>2010</v>
      </c>
      <c r="I343" t="s">
        <v>96</v>
      </c>
      <c r="J343" t="s">
        <v>97</v>
      </c>
      <c r="K343" t="s">
        <v>96</v>
      </c>
      <c r="L343" t="s">
        <v>96</v>
      </c>
      <c r="M343">
        <v>2185</v>
      </c>
      <c r="O343" s="12" t="str">
        <f t="shared" si="24"/>
        <v>AFR</v>
      </c>
      <c r="P343" s="12" t="str">
        <f t="shared" si="25"/>
        <v>E_WON</v>
      </c>
    </row>
    <row r="344" spans="1:16" x14ac:dyDescent="0.35">
      <c r="A344" t="s">
        <v>95</v>
      </c>
      <c r="B344" t="s">
        <v>3111</v>
      </c>
      <c r="C344" t="s">
        <v>45</v>
      </c>
      <c r="D344" t="s">
        <v>377</v>
      </c>
      <c r="E344" t="s">
        <v>96</v>
      </c>
      <c r="F344" t="s">
        <v>96</v>
      </c>
      <c r="G344" t="s">
        <v>96</v>
      </c>
      <c r="H344">
        <v>2010</v>
      </c>
      <c r="I344" t="s">
        <v>96</v>
      </c>
      <c r="J344" t="s">
        <v>97</v>
      </c>
      <c r="K344" t="s">
        <v>96</v>
      </c>
      <c r="L344" t="s">
        <v>96</v>
      </c>
      <c r="M344">
        <v>2185</v>
      </c>
      <c r="O344" s="12" t="str">
        <f t="shared" si="24"/>
        <v>AFR</v>
      </c>
      <c r="P344" s="12" t="str">
        <f t="shared" si="25"/>
        <v>E_WON</v>
      </c>
    </row>
    <row r="345" spans="1:16" x14ac:dyDescent="0.35">
      <c r="A345" t="s">
        <v>95</v>
      </c>
      <c r="B345" t="s">
        <v>3111</v>
      </c>
      <c r="C345" t="s">
        <v>45</v>
      </c>
      <c r="D345" t="s">
        <v>378</v>
      </c>
      <c r="E345" t="s">
        <v>96</v>
      </c>
      <c r="F345" t="s">
        <v>96</v>
      </c>
      <c r="G345" t="s">
        <v>96</v>
      </c>
      <c r="H345">
        <v>2010</v>
      </c>
      <c r="I345" t="s">
        <v>96</v>
      </c>
      <c r="J345" t="s">
        <v>97</v>
      </c>
      <c r="K345" t="s">
        <v>96</v>
      </c>
      <c r="L345" t="s">
        <v>96</v>
      </c>
      <c r="M345">
        <v>2590</v>
      </c>
      <c r="O345" s="12" t="str">
        <f t="shared" si="24"/>
        <v>AFR</v>
      </c>
      <c r="P345" s="12" t="str">
        <f t="shared" si="25"/>
        <v>E_WON</v>
      </c>
    </row>
    <row r="346" spans="1:16" x14ac:dyDescent="0.35">
      <c r="A346" t="s">
        <v>95</v>
      </c>
      <c r="B346" t="s">
        <v>3111</v>
      </c>
      <c r="C346" t="s">
        <v>45</v>
      </c>
      <c r="D346" t="s">
        <v>380</v>
      </c>
      <c r="E346" t="s">
        <v>96</v>
      </c>
      <c r="F346" t="s">
        <v>96</v>
      </c>
      <c r="G346" t="s">
        <v>96</v>
      </c>
      <c r="H346">
        <v>2010</v>
      </c>
      <c r="I346" t="s">
        <v>96</v>
      </c>
      <c r="J346" t="s">
        <v>97</v>
      </c>
      <c r="K346" t="s">
        <v>96</v>
      </c>
      <c r="L346" t="s">
        <v>96</v>
      </c>
      <c r="M346">
        <v>2185</v>
      </c>
      <c r="O346" s="12" t="str">
        <f t="shared" si="24"/>
        <v>AFR</v>
      </c>
      <c r="P346" s="12" t="str">
        <f t="shared" si="25"/>
        <v>E_WON</v>
      </c>
    </row>
    <row r="347" spans="1:16" x14ac:dyDescent="0.35">
      <c r="A347" t="s">
        <v>95</v>
      </c>
      <c r="B347" t="s">
        <v>3111</v>
      </c>
      <c r="C347" t="s">
        <v>45</v>
      </c>
      <c r="D347" t="s">
        <v>382</v>
      </c>
      <c r="E347" t="s">
        <v>96</v>
      </c>
      <c r="F347" t="s">
        <v>96</v>
      </c>
      <c r="G347" t="s">
        <v>96</v>
      </c>
      <c r="H347">
        <v>2010</v>
      </c>
      <c r="I347" t="s">
        <v>96</v>
      </c>
      <c r="J347" t="s">
        <v>97</v>
      </c>
      <c r="K347" t="s">
        <v>96</v>
      </c>
      <c r="L347" t="s">
        <v>96</v>
      </c>
      <c r="M347">
        <v>2185</v>
      </c>
      <c r="O347" s="12" t="str">
        <f t="shared" si="24"/>
        <v>AFR</v>
      </c>
      <c r="P347" s="12" t="str">
        <f t="shared" si="25"/>
        <v>E_WON</v>
      </c>
    </row>
    <row r="348" spans="1:16" x14ac:dyDescent="0.35">
      <c r="A348" t="s">
        <v>95</v>
      </c>
      <c r="B348" t="s">
        <v>3111</v>
      </c>
      <c r="C348" t="s">
        <v>45</v>
      </c>
      <c r="D348" t="s">
        <v>383</v>
      </c>
      <c r="E348" t="s">
        <v>96</v>
      </c>
      <c r="F348" t="s">
        <v>96</v>
      </c>
      <c r="G348" t="s">
        <v>96</v>
      </c>
      <c r="H348">
        <v>2010</v>
      </c>
      <c r="I348" t="s">
        <v>96</v>
      </c>
      <c r="J348" t="s">
        <v>97</v>
      </c>
      <c r="K348" t="s">
        <v>96</v>
      </c>
      <c r="L348" t="s">
        <v>96</v>
      </c>
      <c r="M348">
        <v>2185</v>
      </c>
      <c r="O348" s="12" t="str">
        <f t="shared" si="24"/>
        <v>AFR</v>
      </c>
      <c r="P348" s="12" t="str">
        <f t="shared" si="25"/>
        <v>E_WON</v>
      </c>
    </row>
    <row r="349" spans="1:16" x14ac:dyDescent="0.35">
      <c r="A349" t="s">
        <v>95</v>
      </c>
      <c r="B349" t="s">
        <v>3111</v>
      </c>
      <c r="C349" t="s">
        <v>45</v>
      </c>
      <c r="D349" t="s">
        <v>385</v>
      </c>
      <c r="E349" t="s">
        <v>96</v>
      </c>
      <c r="F349" t="s">
        <v>96</v>
      </c>
      <c r="G349" t="s">
        <v>96</v>
      </c>
      <c r="H349">
        <v>2010</v>
      </c>
      <c r="I349" t="s">
        <v>96</v>
      </c>
      <c r="J349" t="s">
        <v>97</v>
      </c>
      <c r="K349" t="s">
        <v>96</v>
      </c>
      <c r="L349" t="s">
        <v>96</v>
      </c>
      <c r="M349">
        <v>2185</v>
      </c>
      <c r="O349" s="12" t="str">
        <f t="shared" si="24"/>
        <v>AFR</v>
      </c>
      <c r="P349" s="12" t="str">
        <f t="shared" si="25"/>
        <v>E_WON</v>
      </c>
    </row>
    <row r="350" spans="1:16" x14ac:dyDescent="0.35">
      <c r="A350" t="s">
        <v>95</v>
      </c>
      <c r="B350" t="s">
        <v>3111</v>
      </c>
      <c r="C350" t="s">
        <v>45</v>
      </c>
      <c r="D350" t="s">
        <v>386</v>
      </c>
      <c r="E350" t="s">
        <v>96</v>
      </c>
      <c r="F350" t="s">
        <v>96</v>
      </c>
      <c r="G350" t="s">
        <v>96</v>
      </c>
      <c r="H350">
        <v>2010</v>
      </c>
      <c r="I350" t="s">
        <v>96</v>
      </c>
      <c r="J350" t="s">
        <v>97</v>
      </c>
      <c r="K350" t="s">
        <v>96</v>
      </c>
      <c r="L350" t="s">
        <v>96</v>
      </c>
      <c r="M350">
        <v>2185</v>
      </c>
      <c r="O350" s="12" t="str">
        <f t="shared" si="24"/>
        <v>AFR</v>
      </c>
      <c r="P350" s="12" t="str">
        <f t="shared" si="25"/>
        <v>E_WON</v>
      </c>
    </row>
    <row r="351" spans="1:16" x14ac:dyDescent="0.35">
      <c r="A351" t="s">
        <v>95</v>
      </c>
      <c r="B351" t="s">
        <v>3111</v>
      </c>
      <c r="C351" t="s">
        <v>45</v>
      </c>
      <c r="D351" t="s">
        <v>387</v>
      </c>
      <c r="E351" t="s">
        <v>96</v>
      </c>
      <c r="F351" t="s">
        <v>96</v>
      </c>
      <c r="G351" t="s">
        <v>96</v>
      </c>
      <c r="H351">
        <v>2010</v>
      </c>
      <c r="I351" t="s">
        <v>96</v>
      </c>
      <c r="J351" t="s">
        <v>97</v>
      </c>
      <c r="K351" t="s">
        <v>96</v>
      </c>
      <c r="L351" t="s">
        <v>96</v>
      </c>
      <c r="M351">
        <v>1780</v>
      </c>
      <c r="O351" s="12" t="str">
        <f t="shared" si="24"/>
        <v>AFR</v>
      </c>
      <c r="P351" s="12" t="str">
        <f t="shared" si="25"/>
        <v>E_WON</v>
      </c>
    </row>
    <row r="352" spans="1:16" x14ac:dyDescent="0.35">
      <c r="A352" t="s">
        <v>95</v>
      </c>
      <c r="B352" t="s">
        <v>3111</v>
      </c>
      <c r="C352" t="s">
        <v>45</v>
      </c>
      <c r="D352" t="s">
        <v>389</v>
      </c>
      <c r="E352" t="s">
        <v>96</v>
      </c>
      <c r="F352" t="s">
        <v>96</v>
      </c>
      <c r="G352" t="s">
        <v>96</v>
      </c>
      <c r="H352">
        <v>2010</v>
      </c>
      <c r="I352" t="s">
        <v>96</v>
      </c>
      <c r="J352" t="s">
        <v>97</v>
      </c>
      <c r="K352" t="s">
        <v>96</v>
      </c>
      <c r="L352" t="s">
        <v>96</v>
      </c>
      <c r="M352">
        <v>2185</v>
      </c>
      <c r="O352" s="12" t="str">
        <f t="shared" si="24"/>
        <v>AFR</v>
      </c>
      <c r="P352" s="12" t="str">
        <f t="shared" si="25"/>
        <v>E_WON</v>
      </c>
    </row>
    <row r="353" spans="1:16" x14ac:dyDescent="0.35">
      <c r="A353" t="s">
        <v>95</v>
      </c>
      <c r="B353" t="s">
        <v>3111</v>
      </c>
      <c r="C353" t="s">
        <v>45</v>
      </c>
      <c r="D353" t="s">
        <v>390</v>
      </c>
      <c r="E353" t="s">
        <v>96</v>
      </c>
      <c r="F353" t="s">
        <v>96</v>
      </c>
      <c r="G353" t="s">
        <v>96</v>
      </c>
      <c r="H353">
        <v>2010</v>
      </c>
      <c r="I353" t="s">
        <v>96</v>
      </c>
      <c r="J353" t="s">
        <v>97</v>
      </c>
      <c r="K353" t="s">
        <v>96</v>
      </c>
      <c r="L353" t="s">
        <v>96</v>
      </c>
      <c r="M353">
        <v>2590</v>
      </c>
      <c r="O353" s="12" t="str">
        <f t="shared" si="24"/>
        <v>AFR</v>
      </c>
      <c r="P353" s="12" t="str">
        <f t="shared" si="25"/>
        <v>E_WON</v>
      </c>
    </row>
    <row r="354" spans="1:16" x14ac:dyDescent="0.35">
      <c r="A354" t="s">
        <v>95</v>
      </c>
      <c r="B354" t="s">
        <v>3111</v>
      </c>
      <c r="C354" t="s">
        <v>45</v>
      </c>
      <c r="D354" t="s">
        <v>392</v>
      </c>
      <c r="E354" t="s">
        <v>96</v>
      </c>
      <c r="F354" t="s">
        <v>96</v>
      </c>
      <c r="G354" t="s">
        <v>96</v>
      </c>
      <c r="H354">
        <v>2010</v>
      </c>
      <c r="I354" t="s">
        <v>96</v>
      </c>
      <c r="J354" t="s">
        <v>97</v>
      </c>
      <c r="K354" t="s">
        <v>96</v>
      </c>
      <c r="L354" t="s">
        <v>96</v>
      </c>
      <c r="M354">
        <v>2185</v>
      </c>
      <c r="O354" s="12" t="str">
        <f t="shared" si="24"/>
        <v>AFR</v>
      </c>
      <c r="P354" s="12" t="str">
        <f t="shared" si="25"/>
        <v>E_WON</v>
      </c>
    </row>
    <row r="355" spans="1:16" x14ac:dyDescent="0.35">
      <c r="A355" t="s">
        <v>95</v>
      </c>
      <c r="B355" t="s">
        <v>3111</v>
      </c>
      <c r="C355" t="s">
        <v>45</v>
      </c>
      <c r="D355" t="s">
        <v>394</v>
      </c>
      <c r="E355" t="s">
        <v>96</v>
      </c>
      <c r="F355" t="s">
        <v>96</v>
      </c>
      <c r="G355" t="s">
        <v>96</v>
      </c>
      <c r="H355">
        <v>2010</v>
      </c>
      <c r="I355" t="s">
        <v>96</v>
      </c>
      <c r="J355" t="s">
        <v>97</v>
      </c>
      <c r="K355" t="s">
        <v>96</v>
      </c>
      <c r="L355" t="s">
        <v>96</v>
      </c>
      <c r="M355">
        <v>2185</v>
      </c>
      <c r="O355" s="12" t="str">
        <f t="shared" si="24"/>
        <v>AFR</v>
      </c>
      <c r="P355" s="12" t="str">
        <f t="shared" si="25"/>
        <v>E_WON</v>
      </c>
    </row>
    <row r="356" spans="1:16" x14ac:dyDescent="0.35">
      <c r="A356" t="s">
        <v>95</v>
      </c>
      <c r="B356" t="s">
        <v>3111</v>
      </c>
      <c r="C356" t="s">
        <v>45</v>
      </c>
      <c r="D356" t="s">
        <v>395</v>
      </c>
      <c r="E356" t="s">
        <v>96</v>
      </c>
      <c r="F356" t="s">
        <v>96</v>
      </c>
      <c r="G356" t="s">
        <v>96</v>
      </c>
      <c r="H356">
        <v>2010</v>
      </c>
      <c r="I356" t="s">
        <v>96</v>
      </c>
      <c r="J356" t="s">
        <v>97</v>
      </c>
      <c r="K356" t="s">
        <v>96</v>
      </c>
      <c r="L356" t="s">
        <v>96</v>
      </c>
      <c r="M356">
        <v>2185</v>
      </c>
      <c r="O356" s="12" t="str">
        <f t="shared" si="24"/>
        <v>AFR</v>
      </c>
      <c r="P356" s="12" t="str">
        <f t="shared" si="25"/>
        <v>E_WON</v>
      </c>
    </row>
    <row r="357" spans="1:16" x14ac:dyDescent="0.35">
      <c r="A357" t="s">
        <v>95</v>
      </c>
      <c r="B357" t="s">
        <v>3111</v>
      </c>
      <c r="C357" t="s">
        <v>45</v>
      </c>
      <c r="D357" t="s">
        <v>396</v>
      </c>
      <c r="E357" t="s">
        <v>96</v>
      </c>
      <c r="F357" t="s">
        <v>96</v>
      </c>
      <c r="G357" t="s">
        <v>96</v>
      </c>
      <c r="H357">
        <v>2010</v>
      </c>
      <c r="I357" t="s">
        <v>96</v>
      </c>
      <c r="J357" t="s">
        <v>97</v>
      </c>
      <c r="K357" t="s">
        <v>96</v>
      </c>
      <c r="L357" t="s">
        <v>96</v>
      </c>
      <c r="M357">
        <v>1780</v>
      </c>
      <c r="O357" s="12" t="str">
        <f t="shared" si="24"/>
        <v>AFR</v>
      </c>
      <c r="P357" s="12" t="str">
        <f t="shared" si="25"/>
        <v>E_WON</v>
      </c>
    </row>
    <row r="358" spans="1:16" x14ac:dyDescent="0.35">
      <c r="A358" t="s">
        <v>95</v>
      </c>
      <c r="B358" t="s">
        <v>3111</v>
      </c>
      <c r="C358" t="s">
        <v>45</v>
      </c>
      <c r="D358" t="s">
        <v>398</v>
      </c>
      <c r="E358" t="s">
        <v>96</v>
      </c>
      <c r="F358" t="s">
        <v>96</v>
      </c>
      <c r="G358" t="s">
        <v>96</v>
      </c>
      <c r="H358">
        <v>2010</v>
      </c>
      <c r="I358" t="s">
        <v>96</v>
      </c>
      <c r="J358" t="s">
        <v>97</v>
      </c>
      <c r="K358" t="s">
        <v>96</v>
      </c>
      <c r="L358" t="s">
        <v>96</v>
      </c>
      <c r="M358">
        <v>2185</v>
      </c>
      <c r="O358" s="12" t="str">
        <f t="shared" si="24"/>
        <v>AFR</v>
      </c>
      <c r="P358" s="12" t="str">
        <f t="shared" si="25"/>
        <v>E_WON</v>
      </c>
    </row>
    <row r="359" spans="1:16" x14ac:dyDescent="0.35">
      <c r="A359" t="s">
        <v>95</v>
      </c>
      <c r="B359" t="s">
        <v>3111</v>
      </c>
      <c r="C359" t="s">
        <v>45</v>
      </c>
      <c r="D359" t="s">
        <v>399</v>
      </c>
      <c r="E359" t="s">
        <v>96</v>
      </c>
      <c r="F359" t="s">
        <v>96</v>
      </c>
      <c r="G359" t="s">
        <v>96</v>
      </c>
      <c r="H359">
        <v>2010</v>
      </c>
      <c r="I359" t="s">
        <v>96</v>
      </c>
      <c r="J359" t="s">
        <v>97</v>
      </c>
      <c r="K359" t="s">
        <v>96</v>
      </c>
      <c r="L359" t="s">
        <v>96</v>
      </c>
      <c r="M359">
        <v>2590</v>
      </c>
      <c r="O359" s="12" t="str">
        <f t="shared" si="24"/>
        <v>AFR</v>
      </c>
      <c r="P359" s="12" t="str">
        <f t="shared" si="25"/>
        <v>E_WON</v>
      </c>
    </row>
    <row r="360" spans="1:16" x14ac:dyDescent="0.35">
      <c r="A360" t="s">
        <v>95</v>
      </c>
      <c r="B360" t="s">
        <v>3111</v>
      </c>
      <c r="C360" t="s">
        <v>45</v>
      </c>
      <c r="D360" t="s">
        <v>401</v>
      </c>
      <c r="E360" t="s">
        <v>96</v>
      </c>
      <c r="F360" t="s">
        <v>96</v>
      </c>
      <c r="G360" t="s">
        <v>96</v>
      </c>
      <c r="H360">
        <v>2010</v>
      </c>
      <c r="I360" t="s">
        <v>96</v>
      </c>
      <c r="J360" t="s">
        <v>97</v>
      </c>
      <c r="K360" t="s">
        <v>96</v>
      </c>
      <c r="L360" t="s">
        <v>96</v>
      </c>
      <c r="M360">
        <v>2185</v>
      </c>
      <c r="O360" s="12" t="str">
        <f t="shared" si="24"/>
        <v>AFR</v>
      </c>
      <c r="P360" s="12" t="str">
        <f t="shared" si="25"/>
        <v>E_WON</v>
      </c>
    </row>
    <row r="361" spans="1:16" x14ac:dyDescent="0.35">
      <c r="A361" t="s">
        <v>95</v>
      </c>
      <c r="B361" t="s">
        <v>3111</v>
      </c>
      <c r="C361" t="s">
        <v>45</v>
      </c>
      <c r="D361" t="s">
        <v>403</v>
      </c>
      <c r="E361" t="s">
        <v>96</v>
      </c>
      <c r="F361" t="s">
        <v>96</v>
      </c>
      <c r="G361" t="s">
        <v>96</v>
      </c>
      <c r="H361">
        <v>2010</v>
      </c>
      <c r="I361" t="s">
        <v>96</v>
      </c>
      <c r="J361" t="s">
        <v>97</v>
      </c>
      <c r="K361" t="s">
        <v>96</v>
      </c>
      <c r="L361" t="s">
        <v>96</v>
      </c>
      <c r="M361">
        <v>2185</v>
      </c>
      <c r="O361" s="12" t="str">
        <f t="shared" si="24"/>
        <v>AFR</v>
      </c>
      <c r="P361" s="12" t="str">
        <f t="shared" si="25"/>
        <v>E_WON</v>
      </c>
    </row>
    <row r="362" spans="1:16" x14ac:dyDescent="0.35">
      <c r="A362" t="s">
        <v>95</v>
      </c>
      <c r="B362" t="s">
        <v>3111</v>
      </c>
      <c r="C362" t="s">
        <v>45</v>
      </c>
      <c r="D362" t="s">
        <v>406</v>
      </c>
      <c r="E362" t="s">
        <v>96</v>
      </c>
      <c r="F362" t="s">
        <v>96</v>
      </c>
      <c r="G362" t="s">
        <v>96</v>
      </c>
      <c r="H362">
        <v>2010</v>
      </c>
      <c r="I362" t="s">
        <v>96</v>
      </c>
      <c r="J362" t="s">
        <v>97</v>
      </c>
      <c r="K362" t="s">
        <v>96</v>
      </c>
      <c r="L362" t="s">
        <v>96</v>
      </c>
      <c r="M362">
        <v>2185</v>
      </c>
      <c r="O362" s="12" t="str">
        <f t="shared" si="24"/>
        <v>AFR</v>
      </c>
      <c r="P362" s="12" t="str">
        <f t="shared" si="25"/>
        <v>E_WON</v>
      </c>
    </row>
    <row r="363" spans="1:16" x14ac:dyDescent="0.35">
      <c r="A363" t="s">
        <v>95</v>
      </c>
      <c r="B363" t="s">
        <v>3111</v>
      </c>
      <c r="C363" t="s">
        <v>45</v>
      </c>
      <c r="D363" t="s">
        <v>407</v>
      </c>
      <c r="E363" t="s">
        <v>96</v>
      </c>
      <c r="F363" t="s">
        <v>96</v>
      </c>
      <c r="G363" t="s">
        <v>96</v>
      </c>
      <c r="H363">
        <v>2010</v>
      </c>
      <c r="I363" t="s">
        <v>96</v>
      </c>
      <c r="J363" t="s">
        <v>97</v>
      </c>
      <c r="K363" t="s">
        <v>96</v>
      </c>
      <c r="L363" t="s">
        <v>96</v>
      </c>
      <c r="M363">
        <v>2185</v>
      </c>
      <c r="O363" s="12" t="str">
        <f t="shared" si="24"/>
        <v>AFR</v>
      </c>
      <c r="P363" s="12" t="str">
        <f t="shared" si="25"/>
        <v>E_WON</v>
      </c>
    </row>
    <row r="364" spans="1:16" x14ac:dyDescent="0.35">
      <c r="A364" t="s">
        <v>95</v>
      </c>
      <c r="B364" t="s">
        <v>3111</v>
      </c>
      <c r="C364" t="s">
        <v>45</v>
      </c>
      <c r="D364" t="s">
        <v>408</v>
      </c>
      <c r="E364" t="s">
        <v>96</v>
      </c>
      <c r="F364" t="s">
        <v>96</v>
      </c>
      <c r="G364" t="s">
        <v>96</v>
      </c>
      <c r="H364">
        <v>2010</v>
      </c>
      <c r="I364" t="s">
        <v>96</v>
      </c>
      <c r="J364" t="s">
        <v>97</v>
      </c>
      <c r="K364" t="s">
        <v>96</v>
      </c>
      <c r="L364" t="s">
        <v>96</v>
      </c>
      <c r="M364">
        <v>3277.5</v>
      </c>
      <c r="O364" s="12" t="str">
        <f t="shared" si="24"/>
        <v>AFR</v>
      </c>
      <c r="P364" s="12" t="str">
        <f t="shared" si="25"/>
        <v>E_WON</v>
      </c>
    </row>
    <row r="365" spans="1:16" x14ac:dyDescent="0.35">
      <c r="A365" t="s">
        <v>95</v>
      </c>
      <c r="B365" t="s">
        <v>3111</v>
      </c>
      <c r="C365" t="s">
        <v>45</v>
      </c>
      <c r="D365" t="s">
        <v>409</v>
      </c>
      <c r="E365" t="s">
        <v>96</v>
      </c>
      <c r="F365" t="s">
        <v>96</v>
      </c>
      <c r="G365" t="s">
        <v>96</v>
      </c>
      <c r="H365">
        <v>2010</v>
      </c>
      <c r="I365" t="s">
        <v>96</v>
      </c>
      <c r="J365" t="s">
        <v>97</v>
      </c>
      <c r="K365" t="s">
        <v>96</v>
      </c>
      <c r="L365" t="s">
        <v>96</v>
      </c>
      <c r="M365">
        <v>3277.5</v>
      </c>
      <c r="O365" s="12" t="str">
        <f t="shared" si="24"/>
        <v>AFR</v>
      </c>
      <c r="P365" s="12" t="str">
        <f t="shared" si="25"/>
        <v>E_WON</v>
      </c>
    </row>
    <row r="366" spans="1:16" x14ac:dyDescent="0.35">
      <c r="A366" t="s">
        <v>95</v>
      </c>
      <c r="B366" t="s">
        <v>3111</v>
      </c>
      <c r="C366" t="s">
        <v>45</v>
      </c>
      <c r="D366" t="s">
        <v>410</v>
      </c>
      <c r="E366" t="s">
        <v>96</v>
      </c>
      <c r="F366" t="s">
        <v>96</v>
      </c>
      <c r="G366" t="s">
        <v>96</v>
      </c>
      <c r="H366">
        <v>2010</v>
      </c>
      <c r="I366" t="s">
        <v>96</v>
      </c>
      <c r="J366" t="s">
        <v>97</v>
      </c>
      <c r="K366" t="s">
        <v>96</v>
      </c>
      <c r="L366" t="s">
        <v>96</v>
      </c>
      <c r="M366">
        <v>3277.5</v>
      </c>
      <c r="O366" s="12" t="str">
        <f t="shared" si="24"/>
        <v>AFR</v>
      </c>
      <c r="P366" s="12" t="str">
        <f t="shared" si="25"/>
        <v>E_WON</v>
      </c>
    </row>
    <row r="367" spans="1:16" x14ac:dyDescent="0.35">
      <c r="A367" t="s">
        <v>95</v>
      </c>
      <c r="B367" t="s">
        <v>3111</v>
      </c>
      <c r="C367" t="s">
        <v>45</v>
      </c>
      <c r="D367" t="s">
        <v>411</v>
      </c>
      <c r="E367" t="s">
        <v>96</v>
      </c>
      <c r="F367" t="s">
        <v>96</v>
      </c>
      <c r="G367" t="s">
        <v>96</v>
      </c>
      <c r="H367">
        <v>2010</v>
      </c>
      <c r="I367" t="s">
        <v>96</v>
      </c>
      <c r="J367" t="s">
        <v>97</v>
      </c>
      <c r="K367" t="s">
        <v>96</v>
      </c>
      <c r="L367" t="s">
        <v>96</v>
      </c>
      <c r="M367">
        <v>3277.5</v>
      </c>
      <c r="O367" s="12" t="str">
        <f t="shared" si="24"/>
        <v>AFR</v>
      </c>
      <c r="P367" s="12" t="str">
        <f t="shared" si="25"/>
        <v>E_WON</v>
      </c>
    </row>
    <row r="368" spans="1:16" x14ac:dyDescent="0.35">
      <c r="A368" t="s">
        <v>95</v>
      </c>
      <c r="B368" t="s">
        <v>3111</v>
      </c>
      <c r="C368" t="s">
        <v>45</v>
      </c>
      <c r="D368" t="s">
        <v>412</v>
      </c>
      <c r="E368" t="s">
        <v>96</v>
      </c>
      <c r="F368" t="s">
        <v>96</v>
      </c>
      <c r="G368" t="s">
        <v>96</v>
      </c>
      <c r="H368">
        <v>2010</v>
      </c>
      <c r="I368" t="s">
        <v>96</v>
      </c>
      <c r="J368" t="s">
        <v>97</v>
      </c>
      <c r="K368" t="s">
        <v>96</v>
      </c>
      <c r="L368" t="s">
        <v>96</v>
      </c>
      <c r="M368">
        <v>3277.5</v>
      </c>
      <c r="O368" s="12" t="str">
        <f t="shared" si="24"/>
        <v>AFR</v>
      </c>
      <c r="P368" s="12" t="str">
        <f t="shared" si="25"/>
        <v>E_WON</v>
      </c>
    </row>
    <row r="369" spans="1:16" x14ac:dyDescent="0.35">
      <c r="A369" t="s">
        <v>95</v>
      </c>
      <c r="B369" t="s">
        <v>3111</v>
      </c>
      <c r="C369" t="s">
        <v>45</v>
      </c>
      <c r="D369" t="s">
        <v>413</v>
      </c>
      <c r="E369" t="s">
        <v>96</v>
      </c>
      <c r="F369" t="s">
        <v>96</v>
      </c>
      <c r="G369" t="s">
        <v>96</v>
      </c>
      <c r="H369">
        <v>2010</v>
      </c>
      <c r="I369" t="s">
        <v>96</v>
      </c>
      <c r="J369" t="s">
        <v>97</v>
      </c>
      <c r="K369" t="s">
        <v>96</v>
      </c>
      <c r="L369" t="s">
        <v>96</v>
      </c>
      <c r="M369">
        <v>3277.5</v>
      </c>
      <c r="O369" s="12" t="str">
        <f t="shared" si="24"/>
        <v>AFR</v>
      </c>
      <c r="P369" s="12" t="str">
        <f t="shared" si="25"/>
        <v>E_WON</v>
      </c>
    </row>
    <row r="370" spans="1:16" x14ac:dyDescent="0.35">
      <c r="A370" t="s">
        <v>95</v>
      </c>
      <c r="B370" t="s">
        <v>3111</v>
      </c>
      <c r="C370" t="s">
        <v>45</v>
      </c>
      <c r="D370" t="s">
        <v>414</v>
      </c>
      <c r="E370" t="s">
        <v>96</v>
      </c>
      <c r="F370" t="s">
        <v>96</v>
      </c>
      <c r="G370" t="s">
        <v>96</v>
      </c>
      <c r="H370">
        <v>2010</v>
      </c>
      <c r="I370" t="s">
        <v>96</v>
      </c>
      <c r="J370" t="s">
        <v>97</v>
      </c>
      <c r="K370" t="s">
        <v>96</v>
      </c>
      <c r="L370" t="s">
        <v>96</v>
      </c>
      <c r="M370">
        <v>3277.5</v>
      </c>
      <c r="O370" s="12" t="str">
        <f t="shared" si="24"/>
        <v>AFR</v>
      </c>
      <c r="P370" s="12" t="str">
        <f t="shared" si="25"/>
        <v>E_WON</v>
      </c>
    </row>
    <row r="371" spans="1:16" x14ac:dyDescent="0.35">
      <c r="A371" t="s">
        <v>95</v>
      </c>
      <c r="B371" t="s">
        <v>3111</v>
      </c>
      <c r="C371" t="s">
        <v>45</v>
      </c>
      <c r="D371" t="s">
        <v>415</v>
      </c>
      <c r="E371" t="s">
        <v>96</v>
      </c>
      <c r="F371" t="s">
        <v>96</v>
      </c>
      <c r="G371" t="s">
        <v>96</v>
      </c>
      <c r="H371">
        <v>2010</v>
      </c>
      <c r="I371" t="s">
        <v>96</v>
      </c>
      <c r="J371" t="s">
        <v>97</v>
      </c>
      <c r="K371" t="s">
        <v>96</v>
      </c>
      <c r="L371" t="s">
        <v>96</v>
      </c>
      <c r="M371">
        <v>3277.5</v>
      </c>
      <c r="O371" s="12" t="str">
        <f t="shared" si="24"/>
        <v>AFR</v>
      </c>
      <c r="P371" s="12" t="str">
        <f t="shared" si="25"/>
        <v>E_WON</v>
      </c>
    </row>
    <row r="372" spans="1:16" x14ac:dyDescent="0.35">
      <c r="A372" t="s">
        <v>95</v>
      </c>
      <c r="B372" t="s">
        <v>3111</v>
      </c>
      <c r="C372" t="s">
        <v>45</v>
      </c>
      <c r="D372" t="s">
        <v>416</v>
      </c>
      <c r="E372" t="s">
        <v>96</v>
      </c>
      <c r="F372" t="s">
        <v>96</v>
      </c>
      <c r="G372" t="s">
        <v>96</v>
      </c>
      <c r="H372">
        <v>2010</v>
      </c>
      <c r="I372" t="s">
        <v>96</v>
      </c>
      <c r="J372" t="s">
        <v>97</v>
      </c>
      <c r="K372" t="s">
        <v>96</v>
      </c>
      <c r="L372" t="s">
        <v>96</v>
      </c>
      <c r="M372">
        <v>3277.5</v>
      </c>
      <c r="O372" s="12" t="str">
        <f t="shared" si="24"/>
        <v>AFR</v>
      </c>
      <c r="P372" s="12" t="str">
        <f t="shared" si="25"/>
        <v>E_WON</v>
      </c>
    </row>
    <row r="373" spans="1:16" x14ac:dyDescent="0.35">
      <c r="A373" t="s">
        <v>95</v>
      </c>
      <c r="B373" t="s">
        <v>3111</v>
      </c>
      <c r="C373" t="s">
        <v>45</v>
      </c>
      <c r="D373" t="s">
        <v>420</v>
      </c>
      <c r="E373" t="s">
        <v>96</v>
      </c>
      <c r="F373" t="s">
        <v>96</v>
      </c>
      <c r="G373" t="s">
        <v>96</v>
      </c>
      <c r="H373">
        <v>2010</v>
      </c>
      <c r="I373" t="s">
        <v>96</v>
      </c>
      <c r="J373" t="s">
        <v>97</v>
      </c>
      <c r="K373" t="s">
        <v>96</v>
      </c>
      <c r="L373" t="s">
        <v>96</v>
      </c>
      <c r="M373">
        <v>3277.5</v>
      </c>
      <c r="O373" s="12" t="str">
        <f t="shared" si="24"/>
        <v>AFR</v>
      </c>
      <c r="P373" s="12" t="str">
        <f t="shared" si="25"/>
        <v>E_WON</v>
      </c>
    </row>
    <row r="374" spans="1:16" x14ac:dyDescent="0.35">
      <c r="A374" t="s">
        <v>95</v>
      </c>
      <c r="B374" t="s">
        <v>3111</v>
      </c>
      <c r="C374" t="s">
        <v>45</v>
      </c>
      <c r="D374" t="s">
        <v>421</v>
      </c>
      <c r="E374" t="s">
        <v>96</v>
      </c>
      <c r="F374" t="s">
        <v>96</v>
      </c>
      <c r="G374" t="s">
        <v>96</v>
      </c>
      <c r="H374">
        <v>2010</v>
      </c>
      <c r="I374" t="s">
        <v>96</v>
      </c>
      <c r="J374" t="s">
        <v>97</v>
      </c>
      <c r="K374" t="s">
        <v>96</v>
      </c>
      <c r="L374" t="s">
        <v>96</v>
      </c>
      <c r="M374">
        <v>3277.5</v>
      </c>
      <c r="O374" s="12" t="str">
        <f t="shared" si="24"/>
        <v>AFR</v>
      </c>
      <c r="P374" s="12" t="str">
        <f t="shared" si="25"/>
        <v>E_WON</v>
      </c>
    </row>
    <row r="375" spans="1:16" x14ac:dyDescent="0.35">
      <c r="A375" t="s">
        <v>95</v>
      </c>
      <c r="B375" t="s">
        <v>3111</v>
      </c>
      <c r="C375" t="s">
        <v>45</v>
      </c>
      <c r="D375" t="s">
        <v>422</v>
      </c>
      <c r="E375" t="s">
        <v>96</v>
      </c>
      <c r="F375" t="s">
        <v>96</v>
      </c>
      <c r="G375" t="s">
        <v>96</v>
      </c>
      <c r="H375">
        <v>2010</v>
      </c>
      <c r="I375" t="s">
        <v>96</v>
      </c>
      <c r="J375" t="s">
        <v>97</v>
      </c>
      <c r="K375" t="s">
        <v>96</v>
      </c>
      <c r="L375" t="s">
        <v>96</v>
      </c>
      <c r="M375">
        <v>3277.5</v>
      </c>
      <c r="O375" s="12" t="str">
        <f t="shared" si="24"/>
        <v>AFR</v>
      </c>
      <c r="P375" s="12" t="str">
        <f t="shared" si="25"/>
        <v>E_WON</v>
      </c>
    </row>
    <row r="376" spans="1:16" x14ac:dyDescent="0.35">
      <c r="A376" t="s">
        <v>95</v>
      </c>
      <c r="B376" t="s">
        <v>3111</v>
      </c>
      <c r="C376" t="s">
        <v>45</v>
      </c>
      <c r="D376" t="s">
        <v>423</v>
      </c>
      <c r="E376" t="s">
        <v>96</v>
      </c>
      <c r="F376" t="s">
        <v>96</v>
      </c>
      <c r="G376" t="s">
        <v>96</v>
      </c>
      <c r="H376">
        <v>2010</v>
      </c>
      <c r="I376" t="s">
        <v>96</v>
      </c>
      <c r="J376" t="s">
        <v>97</v>
      </c>
      <c r="K376" t="s">
        <v>96</v>
      </c>
      <c r="L376" t="s">
        <v>96</v>
      </c>
      <c r="M376">
        <v>3277.5</v>
      </c>
      <c r="O376" s="12" t="str">
        <f t="shared" si="24"/>
        <v>AFR</v>
      </c>
      <c r="P376" s="12" t="str">
        <f t="shared" si="25"/>
        <v>E_WON</v>
      </c>
    </row>
    <row r="377" spans="1:16" x14ac:dyDescent="0.35">
      <c r="A377" t="s">
        <v>95</v>
      </c>
      <c r="B377" t="s">
        <v>3111</v>
      </c>
      <c r="C377" t="s">
        <v>45</v>
      </c>
      <c r="D377" t="s">
        <v>424</v>
      </c>
      <c r="E377" t="s">
        <v>96</v>
      </c>
      <c r="F377" t="s">
        <v>96</v>
      </c>
      <c r="G377" t="s">
        <v>96</v>
      </c>
      <c r="H377">
        <v>2010</v>
      </c>
      <c r="I377" t="s">
        <v>96</v>
      </c>
      <c r="J377" t="s">
        <v>97</v>
      </c>
      <c r="K377" t="s">
        <v>96</v>
      </c>
      <c r="L377" t="s">
        <v>96</v>
      </c>
      <c r="M377">
        <v>3277.5</v>
      </c>
      <c r="O377" s="12" t="str">
        <f t="shared" si="24"/>
        <v>AFR</v>
      </c>
      <c r="P377" s="12" t="str">
        <f t="shared" si="25"/>
        <v>E_WON</v>
      </c>
    </row>
    <row r="378" spans="1:16" x14ac:dyDescent="0.35">
      <c r="A378" t="s">
        <v>95</v>
      </c>
      <c r="B378" t="s">
        <v>3111</v>
      </c>
      <c r="C378" t="s">
        <v>45</v>
      </c>
      <c r="D378" t="s">
        <v>425</v>
      </c>
      <c r="E378" t="s">
        <v>96</v>
      </c>
      <c r="F378" t="s">
        <v>96</v>
      </c>
      <c r="G378" t="s">
        <v>96</v>
      </c>
      <c r="H378">
        <v>2010</v>
      </c>
      <c r="I378" t="s">
        <v>96</v>
      </c>
      <c r="J378" t="s">
        <v>97</v>
      </c>
      <c r="K378" t="s">
        <v>96</v>
      </c>
      <c r="L378" t="s">
        <v>96</v>
      </c>
      <c r="M378">
        <v>3277.5</v>
      </c>
      <c r="O378" s="12" t="str">
        <f t="shared" si="24"/>
        <v>AFR</v>
      </c>
      <c r="P378" s="12" t="str">
        <f t="shared" si="25"/>
        <v>E_WON</v>
      </c>
    </row>
    <row r="379" spans="1:16" x14ac:dyDescent="0.35">
      <c r="A379" t="s">
        <v>95</v>
      </c>
      <c r="B379" t="s">
        <v>3111</v>
      </c>
      <c r="C379" t="s">
        <v>45</v>
      </c>
      <c r="D379" t="s">
        <v>426</v>
      </c>
      <c r="E379" t="s">
        <v>96</v>
      </c>
      <c r="F379" t="s">
        <v>96</v>
      </c>
      <c r="G379" t="s">
        <v>96</v>
      </c>
      <c r="H379">
        <v>2010</v>
      </c>
      <c r="I379" t="s">
        <v>96</v>
      </c>
      <c r="J379" t="s">
        <v>97</v>
      </c>
      <c r="K379" t="s">
        <v>96</v>
      </c>
      <c r="L379" t="s">
        <v>96</v>
      </c>
      <c r="M379">
        <v>3277.5</v>
      </c>
      <c r="O379" s="12" t="str">
        <f t="shared" si="24"/>
        <v>AFR</v>
      </c>
      <c r="P379" s="12" t="str">
        <f t="shared" si="25"/>
        <v>E_WON</v>
      </c>
    </row>
    <row r="380" spans="1:16" x14ac:dyDescent="0.35">
      <c r="A380" t="s">
        <v>95</v>
      </c>
      <c r="B380" t="s">
        <v>3111</v>
      </c>
      <c r="C380" t="s">
        <v>45</v>
      </c>
      <c r="D380" t="s">
        <v>427</v>
      </c>
      <c r="E380" t="s">
        <v>96</v>
      </c>
      <c r="F380" t="s">
        <v>96</v>
      </c>
      <c r="G380" t="s">
        <v>96</v>
      </c>
      <c r="H380">
        <v>2010</v>
      </c>
      <c r="I380" t="s">
        <v>96</v>
      </c>
      <c r="J380" t="s">
        <v>97</v>
      </c>
      <c r="K380" t="s">
        <v>96</v>
      </c>
      <c r="L380" t="s">
        <v>96</v>
      </c>
      <c r="M380">
        <v>3885</v>
      </c>
      <c r="O380" s="12" t="str">
        <f t="shared" si="24"/>
        <v>AFR</v>
      </c>
      <c r="P380" s="12" t="str">
        <f t="shared" si="25"/>
        <v>E_WON</v>
      </c>
    </row>
    <row r="381" spans="1:16" x14ac:dyDescent="0.35">
      <c r="A381" t="s">
        <v>95</v>
      </c>
      <c r="B381" t="s">
        <v>3111</v>
      </c>
      <c r="C381" t="s">
        <v>45</v>
      </c>
      <c r="D381" t="s">
        <v>428</v>
      </c>
      <c r="E381" t="s">
        <v>96</v>
      </c>
      <c r="F381" t="s">
        <v>96</v>
      </c>
      <c r="G381" t="s">
        <v>96</v>
      </c>
      <c r="H381">
        <v>2010</v>
      </c>
      <c r="I381" t="s">
        <v>96</v>
      </c>
      <c r="J381" t="s">
        <v>97</v>
      </c>
      <c r="K381" t="s">
        <v>96</v>
      </c>
      <c r="L381" t="s">
        <v>96</v>
      </c>
      <c r="M381">
        <v>3277.5</v>
      </c>
      <c r="O381" s="12" t="str">
        <f t="shared" si="24"/>
        <v>AFR</v>
      </c>
      <c r="P381" s="12" t="str">
        <f t="shared" si="25"/>
        <v>E_WON</v>
      </c>
    </row>
    <row r="382" spans="1:16" x14ac:dyDescent="0.35">
      <c r="A382" t="s">
        <v>95</v>
      </c>
      <c r="B382" t="s">
        <v>3111</v>
      </c>
      <c r="C382" t="s">
        <v>45</v>
      </c>
      <c r="D382" t="s">
        <v>429</v>
      </c>
      <c r="E382" t="s">
        <v>96</v>
      </c>
      <c r="F382" t="s">
        <v>96</v>
      </c>
      <c r="G382" t="s">
        <v>96</v>
      </c>
      <c r="H382">
        <v>2010</v>
      </c>
      <c r="I382" t="s">
        <v>96</v>
      </c>
      <c r="J382" t="s">
        <v>97</v>
      </c>
      <c r="K382" t="s">
        <v>96</v>
      </c>
      <c r="L382" t="s">
        <v>96</v>
      </c>
      <c r="M382">
        <v>3277.5</v>
      </c>
      <c r="O382" s="12" t="str">
        <f t="shared" si="24"/>
        <v>AFR</v>
      </c>
      <c r="P382" s="12" t="str">
        <f t="shared" si="25"/>
        <v>E_WON</v>
      </c>
    </row>
    <row r="383" spans="1:16" x14ac:dyDescent="0.35">
      <c r="A383" t="s">
        <v>95</v>
      </c>
      <c r="B383" t="s">
        <v>3111</v>
      </c>
      <c r="C383" t="s">
        <v>45</v>
      </c>
      <c r="D383" t="s">
        <v>431</v>
      </c>
      <c r="E383" t="s">
        <v>96</v>
      </c>
      <c r="F383" t="s">
        <v>96</v>
      </c>
      <c r="G383" t="s">
        <v>96</v>
      </c>
      <c r="H383">
        <v>2010</v>
      </c>
      <c r="I383" t="s">
        <v>96</v>
      </c>
      <c r="J383" t="s">
        <v>97</v>
      </c>
      <c r="K383" t="s">
        <v>96</v>
      </c>
      <c r="L383" t="s">
        <v>96</v>
      </c>
      <c r="M383">
        <v>3277.5</v>
      </c>
      <c r="O383" s="12" t="str">
        <f t="shared" si="24"/>
        <v>AFR</v>
      </c>
      <c r="P383" s="12" t="str">
        <f t="shared" si="25"/>
        <v>E_WON</v>
      </c>
    </row>
    <row r="384" spans="1:16" x14ac:dyDescent="0.35">
      <c r="A384" t="s">
        <v>95</v>
      </c>
      <c r="B384" t="s">
        <v>3111</v>
      </c>
      <c r="C384" t="s">
        <v>45</v>
      </c>
      <c r="D384" t="s">
        <v>433</v>
      </c>
      <c r="E384" t="s">
        <v>96</v>
      </c>
      <c r="F384" t="s">
        <v>96</v>
      </c>
      <c r="G384" t="s">
        <v>96</v>
      </c>
      <c r="H384">
        <v>2010</v>
      </c>
      <c r="I384" t="s">
        <v>96</v>
      </c>
      <c r="J384" t="s">
        <v>97</v>
      </c>
      <c r="K384" t="s">
        <v>96</v>
      </c>
      <c r="L384" t="s">
        <v>96</v>
      </c>
      <c r="M384">
        <v>3277.5</v>
      </c>
      <c r="O384" s="12" t="str">
        <f t="shared" si="24"/>
        <v>AFR</v>
      </c>
      <c r="P384" s="12" t="str">
        <f t="shared" si="25"/>
        <v>E_WON</v>
      </c>
    </row>
    <row r="385" spans="1:16" x14ac:dyDescent="0.35">
      <c r="A385" t="s">
        <v>95</v>
      </c>
      <c r="B385" t="s">
        <v>3111</v>
      </c>
      <c r="C385" t="s">
        <v>45</v>
      </c>
      <c r="D385" t="s">
        <v>434</v>
      </c>
      <c r="E385" t="s">
        <v>96</v>
      </c>
      <c r="F385" t="s">
        <v>96</v>
      </c>
      <c r="G385" t="s">
        <v>96</v>
      </c>
      <c r="H385">
        <v>2010</v>
      </c>
      <c r="I385" t="s">
        <v>96</v>
      </c>
      <c r="J385" t="s">
        <v>97</v>
      </c>
      <c r="K385" t="s">
        <v>96</v>
      </c>
      <c r="L385" t="s">
        <v>96</v>
      </c>
      <c r="M385">
        <v>3277.5</v>
      </c>
      <c r="O385" s="12" t="str">
        <f t="shared" si="24"/>
        <v>AFR</v>
      </c>
      <c r="P385" s="12" t="str">
        <f t="shared" si="25"/>
        <v>E_WON</v>
      </c>
    </row>
    <row r="386" spans="1:16" x14ac:dyDescent="0.35">
      <c r="A386" t="s">
        <v>95</v>
      </c>
      <c r="B386" t="s">
        <v>3111</v>
      </c>
      <c r="C386" t="s">
        <v>45</v>
      </c>
      <c r="D386" t="s">
        <v>436</v>
      </c>
      <c r="E386" t="s">
        <v>96</v>
      </c>
      <c r="F386" t="s">
        <v>96</v>
      </c>
      <c r="G386" t="s">
        <v>96</v>
      </c>
      <c r="H386">
        <v>2010</v>
      </c>
      <c r="I386" t="s">
        <v>96</v>
      </c>
      <c r="J386" t="s">
        <v>97</v>
      </c>
      <c r="K386" t="s">
        <v>96</v>
      </c>
      <c r="L386" t="s">
        <v>96</v>
      </c>
      <c r="M386">
        <v>3277.5</v>
      </c>
      <c r="O386" s="12" t="str">
        <f t="shared" si="24"/>
        <v>AFR</v>
      </c>
      <c r="P386" s="12" t="str">
        <f t="shared" si="25"/>
        <v>E_WON</v>
      </c>
    </row>
    <row r="387" spans="1:16" x14ac:dyDescent="0.35">
      <c r="A387" t="s">
        <v>95</v>
      </c>
      <c r="B387" t="s">
        <v>3111</v>
      </c>
      <c r="C387" t="s">
        <v>45</v>
      </c>
      <c r="D387" t="s">
        <v>438</v>
      </c>
      <c r="E387" t="s">
        <v>96</v>
      </c>
      <c r="F387" t="s">
        <v>96</v>
      </c>
      <c r="G387" t="s">
        <v>96</v>
      </c>
      <c r="H387">
        <v>2010</v>
      </c>
      <c r="I387" t="s">
        <v>96</v>
      </c>
      <c r="J387" t="s">
        <v>97</v>
      </c>
      <c r="K387" t="s">
        <v>96</v>
      </c>
      <c r="L387" t="s">
        <v>96</v>
      </c>
      <c r="M387">
        <v>3277.5</v>
      </c>
      <c r="O387" s="12" t="str">
        <f t="shared" ref="O387:O450" si="26">LEFT(B387,3)</f>
        <v>AFR</v>
      </c>
      <c r="P387" s="12" t="str">
        <f t="shared" ref="P387:P450" si="27">LEFT(D387,5)</f>
        <v>E_WON</v>
      </c>
    </row>
    <row r="388" spans="1:16" x14ac:dyDescent="0.35">
      <c r="A388" t="s">
        <v>95</v>
      </c>
      <c r="B388" t="s">
        <v>3111</v>
      </c>
      <c r="C388" t="s">
        <v>45</v>
      </c>
      <c r="D388" t="s">
        <v>439</v>
      </c>
      <c r="E388" t="s">
        <v>96</v>
      </c>
      <c r="F388" t="s">
        <v>96</v>
      </c>
      <c r="G388" t="s">
        <v>96</v>
      </c>
      <c r="H388">
        <v>2010</v>
      </c>
      <c r="I388" t="s">
        <v>96</v>
      </c>
      <c r="J388" t="s">
        <v>97</v>
      </c>
      <c r="K388" t="s">
        <v>96</v>
      </c>
      <c r="L388" t="s">
        <v>96</v>
      </c>
      <c r="M388">
        <v>3277.5</v>
      </c>
      <c r="O388" s="12" t="str">
        <f t="shared" si="26"/>
        <v>AFR</v>
      </c>
      <c r="P388" s="12" t="str">
        <f t="shared" si="27"/>
        <v>E_WON</v>
      </c>
    </row>
    <row r="389" spans="1:16" x14ac:dyDescent="0.35">
      <c r="A389" t="s">
        <v>95</v>
      </c>
      <c r="B389" t="s">
        <v>3111</v>
      </c>
      <c r="C389" t="s">
        <v>45</v>
      </c>
      <c r="D389" t="s">
        <v>440</v>
      </c>
      <c r="E389" t="s">
        <v>96</v>
      </c>
      <c r="F389" t="s">
        <v>96</v>
      </c>
      <c r="G389" t="s">
        <v>96</v>
      </c>
      <c r="H389">
        <v>2010</v>
      </c>
      <c r="I389" t="s">
        <v>96</v>
      </c>
      <c r="J389" t="s">
        <v>97</v>
      </c>
      <c r="K389" t="s">
        <v>96</v>
      </c>
      <c r="L389" t="s">
        <v>96</v>
      </c>
      <c r="M389">
        <v>3277.5</v>
      </c>
      <c r="O389" s="12" t="str">
        <f t="shared" si="26"/>
        <v>AFR</v>
      </c>
      <c r="P389" s="12" t="str">
        <f t="shared" si="27"/>
        <v>E_WON</v>
      </c>
    </row>
    <row r="390" spans="1:16" x14ac:dyDescent="0.35">
      <c r="A390" t="s">
        <v>95</v>
      </c>
      <c r="B390" t="s">
        <v>3111</v>
      </c>
      <c r="C390" t="s">
        <v>45</v>
      </c>
      <c r="D390" t="s">
        <v>442</v>
      </c>
      <c r="E390" t="s">
        <v>96</v>
      </c>
      <c r="F390" t="s">
        <v>96</v>
      </c>
      <c r="G390" t="s">
        <v>96</v>
      </c>
      <c r="H390">
        <v>2010</v>
      </c>
      <c r="I390" t="s">
        <v>96</v>
      </c>
      <c r="J390" t="s">
        <v>97</v>
      </c>
      <c r="K390" t="s">
        <v>96</v>
      </c>
      <c r="L390" t="s">
        <v>96</v>
      </c>
      <c r="M390">
        <v>3277.5</v>
      </c>
      <c r="O390" s="12" t="str">
        <f t="shared" si="26"/>
        <v>AFR</v>
      </c>
      <c r="P390" s="12" t="str">
        <f t="shared" si="27"/>
        <v>E_WON</v>
      </c>
    </row>
    <row r="391" spans="1:16" x14ac:dyDescent="0.35">
      <c r="A391" t="s">
        <v>95</v>
      </c>
      <c r="B391" t="s">
        <v>3111</v>
      </c>
      <c r="C391" t="s">
        <v>45</v>
      </c>
      <c r="D391" t="s">
        <v>443</v>
      </c>
      <c r="E391" t="s">
        <v>96</v>
      </c>
      <c r="F391" t="s">
        <v>96</v>
      </c>
      <c r="G391" t="s">
        <v>96</v>
      </c>
      <c r="H391">
        <v>2010</v>
      </c>
      <c r="I391" t="s">
        <v>96</v>
      </c>
      <c r="J391" t="s">
        <v>97</v>
      </c>
      <c r="K391" t="s">
        <v>96</v>
      </c>
      <c r="L391" t="s">
        <v>96</v>
      </c>
      <c r="M391">
        <v>3277.5</v>
      </c>
      <c r="O391" s="12" t="str">
        <f t="shared" si="26"/>
        <v>AFR</v>
      </c>
      <c r="P391" s="12" t="str">
        <f t="shared" si="27"/>
        <v>E_WON</v>
      </c>
    </row>
    <row r="392" spans="1:16" x14ac:dyDescent="0.35">
      <c r="A392" t="s">
        <v>95</v>
      </c>
      <c r="B392" t="s">
        <v>3111</v>
      </c>
      <c r="C392" t="s">
        <v>45</v>
      </c>
      <c r="D392" t="s">
        <v>444</v>
      </c>
      <c r="E392" t="s">
        <v>96</v>
      </c>
      <c r="F392" t="s">
        <v>96</v>
      </c>
      <c r="G392" t="s">
        <v>96</v>
      </c>
      <c r="H392">
        <v>2010</v>
      </c>
      <c r="I392" t="s">
        <v>96</v>
      </c>
      <c r="J392" t="s">
        <v>97</v>
      </c>
      <c r="K392" t="s">
        <v>96</v>
      </c>
      <c r="L392" t="s">
        <v>96</v>
      </c>
      <c r="M392">
        <v>3277.5</v>
      </c>
      <c r="O392" s="12" t="str">
        <f t="shared" si="26"/>
        <v>AFR</v>
      </c>
      <c r="P392" s="12" t="str">
        <f t="shared" si="27"/>
        <v>E_WON</v>
      </c>
    </row>
    <row r="393" spans="1:16" x14ac:dyDescent="0.35">
      <c r="A393" t="s">
        <v>95</v>
      </c>
      <c r="B393" t="s">
        <v>3111</v>
      </c>
      <c r="C393" t="s">
        <v>45</v>
      </c>
      <c r="D393" t="s">
        <v>445</v>
      </c>
      <c r="E393" t="s">
        <v>96</v>
      </c>
      <c r="F393" t="s">
        <v>96</v>
      </c>
      <c r="G393" t="s">
        <v>96</v>
      </c>
      <c r="H393">
        <v>2010</v>
      </c>
      <c r="I393" t="s">
        <v>96</v>
      </c>
      <c r="J393" t="s">
        <v>97</v>
      </c>
      <c r="K393" t="s">
        <v>96</v>
      </c>
      <c r="L393" t="s">
        <v>96</v>
      </c>
      <c r="M393">
        <v>2670</v>
      </c>
      <c r="O393" s="12" t="str">
        <f t="shared" si="26"/>
        <v>AFR</v>
      </c>
      <c r="P393" s="12" t="str">
        <f t="shared" si="27"/>
        <v>E_WON</v>
      </c>
    </row>
    <row r="394" spans="1:16" x14ac:dyDescent="0.35">
      <c r="A394" t="s">
        <v>95</v>
      </c>
      <c r="B394" t="s">
        <v>3111</v>
      </c>
      <c r="C394" t="s">
        <v>45</v>
      </c>
      <c r="D394" t="s">
        <v>446</v>
      </c>
      <c r="E394" t="s">
        <v>96</v>
      </c>
      <c r="F394" t="s">
        <v>96</v>
      </c>
      <c r="G394" t="s">
        <v>96</v>
      </c>
      <c r="H394">
        <v>2010</v>
      </c>
      <c r="I394" t="s">
        <v>96</v>
      </c>
      <c r="J394" t="s">
        <v>97</v>
      </c>
      <c r="K394" t="s">
        <v>96</v>
      </c>
      <c r="L394" t="s">
        <v>96</v>
      </c>
      <c r="M394">
        <v>3277.5</v>
      </c>
      <c r="O394" s="12" t="str">
        <f t="shared" si="26"/>
        <v>AFR</v>
      </c>
      <c r="P394" s="12" t="str">
        <f t="shared" si="27"/>
        <v>E_WON</v>
      </c>
    </row>
    <row r="395" spans="1:16" x14ac:dyDescent="0.35">
      <c r="A395" t="s">
        <v>95</v>
      </c>
      <c r="B395" t="s">
        <v>3111</v>
      </c>
      <c r="C395" t="s">
        <v>45</v>
      </c>
      <c r="D395" t="s">
        <v>447</v>
      </c>
      <c r="E395" t="s">
        <v>96</v>
      </c>
      <c r="F395" t="s">
        <v>96</v>
      </c>
      <c r="G395" t="s">
        <v>96</v>
      </c>
      <c r="H395">
        <v>2010</v>
      </c>
      <c r="I395" t="s">
        <v>96</v>
      </c>
      <c r="J395" t="s">
        <v>97</v>
      </c>
      <c r="K395" t="s">
        <v>96</v>
      </c>
      <c r="L395" t="s">
        <v>96</v>
      </c>
      <c r="M395">
        <v>3277.5</v>
      </c>
      <c r="O395" s="12" t="str">
        <f t="shared" si="26"/>
        <v>AFR</v>
      </c>
      <c r="P395" s="12" t="str">
        <f t="shared" si="27"/>
        <v>E_WON</v>
      </c>
    </row>
    <row r="396" spans="1:16" x14ac:dyDescent="0.35">
      <c r="A396" t="s">
        <v>95</v>
      </c>
      <c r="B396" t="s">
        <v>3111</v>
      </c>
      <c r="C396" t="s">
        <v>45</v>
      </c>
      <c r="D396" t="s">
        <v>448</v>
      </c>
      <c r="E396" t="s">
        <v>96</v>
      </c>
      <c r="F396" t="s">
        <v>96</v>
      </c>
      <c r="G396" t="s">
        <v>96</v>
      </c>
      <c r="H396">
        <v>2010</v>
      </c>
      <c r="I396" t="s">
        <v>96</v>
      </c>
      <c r="J396" t="s">
        <v>97</v>
      </c>
      <c r="K396" t="s">
        <v>96</v>
      </c>
      <c r="L396" t="s">
        <v>96</v>
      </c>
      <c r="M396">
        <v>3277.5</v>
      </c>
      <c r="O396" s="12" t="str">
        <f t="shared" si="26"/>
        <v>AFR</v>
      </c>
      <c r="P396" s="12" t="str">
        <f t="shared" si="27"/>
        <v>E_WON</v>
      </c>
    </row>
    <row r="397" spans="1:16" x14ac:dyDescent="0.35">
      <c r="A397" t="s">
        <v>95</v>
      </c>
      <c r="B397" t="s">
        <v>3111</v>
      </c>
      <c r="C397" t="s">
        <v>45</v>
      </c>
      <c r="D397" t="s">
        <v>449</v>
      </c>
      <c r="E397" t="s">
        <v>96</v>
      </c>
      <c r="F397" t="s">
        <v>96</v>
      </c>
      <c r="G397" t="s">
        <v>96</v>
      </c>
      <c r="H397">
        <v>2010</v>
      </c>
      <c r="I397" t="s">
        <v>96</v>
      </c>
      <c r="J397" t="s">
        <v>97</v>
      </c>
      <c r="K397" t="s">
        <v>96</v>
      </c>
      <c r="L397" t="s">
        <v>96</v>
      </c>
      <c r="M397">
        <v>3277.5</v>
      </c>
      <c r="O397" s="12" t="str">
        <f t="shared" si="26"/>
        <v>AFR</v>
      </c>
      <c r="P397" s="12" t="str">
        <f t="shared" si="27"/>
        <v>E_WON</v>
      </c>
    </row>
    <row r="398" spans="1:16" x14ac:dyDescent="0.35">
      <c r="A398" t="s">
        <v>95</v>
      </c>
      <c r="B398" t="s">
        <v>3111</v>
      </c>
      <c r="C398" t="s">
        <v>45</v>
      </c>
      <c r="D398" t="s">
        <v>450</v>
      </c>
      <c r="E398" t="s">
        <v>96</v>
      </c>
      <c r="F398" t="s">
        <v>96</v>
      </c>
      <c r="G398" t="s">
        <v>96</v>
      </c>
      <c r="H398">
        <v>2010</v>
      </c>
      <c r="I398" t="s">
        <v>96</v>
      </c>
      <c r="J398" t="s">
        <v>97</v>
      </c>
      <c r="K398" t="s">
        <v>96</v>
      </c>
      <c r="L398" t="s">
        <v>96</v>
      </c>
      <c r="M398">
        <v>3277.5</v>
      </c>
      <c r="O398" s="12" t="str">
        <f t="shared" si="26"/>
        <v>AFR</v>
      </c>
      <c r="P398" s="12" t="str">
        <f t="shared" si="27"/>
        <v>E_WON</v>
      </c>
    </row>
    <row r="399" spans="1:16" x14ac:dyDescent="0.35">
      <c r="A399" t="s">
        <v>95</v>
      </c>
      <c r="B399" t="s">
        <v>3111</v>
      </c>
      <c r="C399" t="s">
        <v>45</v>
      </c>
      <c r="D399" t="s">
        <v>451</v>
      </c>
      <c r="E399" t="s">
        <v>96</v>
      </c>
      <c r="F399" t="s">
        <v>96</v>
      </c>
      <c r="G399" t="s">
        <v>96</v>
      </c>
      <c r="H399">
        <v>2010</v>
      </c>
      <c r="I399" t="s">
        <v>96</v>
      </c>
      <c r="J399" t="s">
        <v>97</v>
      </c>
      <c r="K399" t="s">
        <v>96</v>
      </c>
      <c r="L399" t="s">
        <v>96</v>
      </c>
      <c r="M399">
        <v>3277.5</v>
      </c>
      <c r="O399" s="12" t="str">
        <f t="shared" si="26"/>
        <v>AFR</v>
      </c>
      <c r="P399" s="12" t="str">
        <f t="shared" si="27"/>
        <v>E_WON</v>
      </c>
    </row>
    <row r="400" spans="1:16" x14ac:dyDescent="0.35">
      <c r="A400" t="s">
        <v>95</v>
      </c>
      <c r="B400" t="s">
        <v>3111</v>
      </c>
      <c r="C400" t="s">
        <v>45</v>
      </c>
      <c r="D400" t="s">
        <v>452</v>
      </c>
      <c r="E400" t="s">
        <v>96</v>
      </c>
      <c r="F400" t="s">
        <v>96</v>
      </c>
      <c r="G400" t="s">
        <v>96</v>
      </c>
      <c r="H400">
        <v>2010</v>
      </c>
      <c r="I400" t="s">
        <v>96</v>
      </c>
      <c r="J400" t="s">
        <v>97</v>
      </c>
      <c r="K400" t="s">
        <v>96</v>
      </c>
      <c r="L400" t="s">
        <v>96</v>
      </c>
      <c r="M400">
        <v>3277.5</v>
      </c>
      <c r="O400" s="12" t="str">
        <f t="shared" si="26"/>
        <v>AFR</v>
      </c>
      <c r="P400" s="12" t="str">
        <f t="shared" si="27"/>
        <v>E_WON</v>
      </c>
    </row>
    <row r="401" spans="1:16" x14ac:dyDescent="0.35">
      <c r="A401" t="s">
        <v>95</v>
      </c>
      <c r="B401" t="s">
        <v>3111</v>
      </c>
      <c r="C401" t="s">
        <v>45</v>
      </c>
      <c r="D401" t="s">
        <v>453</v>
      </c>
      <c r="E401" t="s">
        <v>96</v>
      </c>
      <c r="F401" t="s">
        <v>96</v>
      </c>
      <c r="G401" t="s">
        <v>96</v>
      </c>
      <c r="H401">
        <v>2010</v>
      </c>
      <c r="I401" t="s">
        <v>96</v>
      </c>
      <c r="J401" t="s">
        <v>97</v>
      </c>
      <c r="K401" t="s">
        <v>96</v>
      </c>
      <c r="L401" t="s">
        <v>96</v>
      </c>
      <c r="M401">
        <v>3277.5</v>
      </c>
      <c r="O401" s="12" t="str">
        <f t="shared" si="26"/>
        <v>AFR</v>
      </c>
      <c r="P401" s="12" t="str">
        <f t="shared" si="27"/>
        <v>E_WON</v>
      </c>
    </row>
    <row r="402" spans="1:16" x14ac:dyDescent="0.35">
      <c r="A402" t="s">
        <v>95</v>
      </c>
      <c r="B402" t="s">
        <v>3111</v>
      </c>
      <c r="C402" t="s">
        <v>45</v>
      </c>
      <c r="D402" t="s">
        <v>454</v>
      </c>
      <c r="E402" t="s">
        <v>96</v>
      </c>
      <c r="F402" t="s">
        <v>96</v>
      </c>
      <c r="G402" t="s">
        <v>96</v>
      </c>
      <c r="H402">
        <v>2010</v>
      </c>
      <c r="I402" t="s">
        <v>96</v>
      </c>
      <c r="J402" t="s">
        <v>97</v>
      </c>
      <c r="K402" t="s">
        <v>96</v>
      </c>
      <c r="L402" t="s">
        <v>96</v>
      </c>
      <c r="M402">
        <v>3277.5</v>
      </c>
      <c r="O402" s="12" t="str">
        <f t="shared" si="26"/>
        <v>AFR</v>
      </c>
      <c r="P402" s="12" t="str">
        <f t="shared" si="27"/>
        <v>E_WON</v>
      </c>
    </row>
    <row r="403" spans="1:16" x14ac:dyDescent="0.35">
      <c r="A403" t="s">
        <v>95</v>
      </c>
      <c r="B403" t="s">
        <v>3111</v>
      </c>
      <c r="C403" t="s">
        <v>45</v>
      </c>
      <c r="D403" t="s">
        <v>458</v>
      </c>
      <c r="E403" t="s">
        <v>96</v>
      </c>
      <c r="F403" t="s">
        <v>96</v>
      </c>
      <c r="G403" t="s">
        <v>96</v>
      </c>
      <c r="H403">
        <v>2010</v>
      </c>
      <c r="I403" t="s">
        <v>96</v>
      </c>
      <c r="J403" t="s">
        <v>97</v>
      </c>
      <c r="K403" t="s">
        <v>96</v>
      </c>
      <c r="L403" t="s">
        <v>96</v>
      </c>
      <c r="M403">
        <v>3277.5</v>
      </c>
      <c r="O403" s="12" t="str">
        <f t="shared" si="26"/>
        <v>AFR</v>
      </c>
      <c r="P403" s="12" t="str">
        <f t="shared" si="27"/>
        <v>E_WON</v>
      </c>
    </row>
    <row r="404" spans="1:16" x14ac:dyDescent="0.35">
      <c r="A404" t="s">
        <v>95</v>
      </c>
      <c r="B404" t="s">
        <v>3111</v>
      </c>
      <c r="C404" t="s">
        <v>45</v>
      </c>
      <c r="D404" t="s">
        <v>459</v>
      </c>
      <c r="E404" t="s">
        <v>96</v>
      </c>
      <c r="F404" t="s">
        <v>96</v>
      </c>
      <c r="G404" t="s">
        <v>96</v>
      </c>
      <c r="H404">
        <v>2010</v>
      </c>
      <c r="I404" t="s">
        <v>96</v>
      </c>
      <c r="J404" t="s">
        <v>97</v>
      </c>
      <c r="K404" t="s">
        <v>96</v>
      </c>
      <c r="L404" t="s">
        <v>96</v>
      </c>
      <c r="M404">
        <v>3277.5</v>
      </c>
      <c r="O404" s="12" t="str">
        <f t="shared" si="26"/>
        <v>AFR</v>
      </c>
      <c r="P404" s="12" t="str">
        <f t="shared" si="27"/>
        <v>E_WON</v>
      </c>
    </row>
    <row r="405" spans="1:16" x14ac:dyDescent="0.35">
      <c r="A405" t="s">
        <v>95</v>
      </c>
      <c r="B405" t="s">
        <v>3111</v>
      </c>
      <c r="C405" t="s">
        <v>45</v>
      </c>
      <c r="D405" t="s">
        <v>460</v>
      </c>
      <c r="E405" t="s">
        <v>96</v>
      </c>
      <c r="F405" t="s">
        <v>96</v>
      </c>
      <c r="G405" t="s">
        <v>96</v>
      </c>
      <c r="H405">
        <v>2010</v>
      </c>
      <c r="I405" t="s">
        <v>96</v>
      </c>
      <c r="J405" t="s">
        <v>97</v>
      </c>
      <c r="K405" t="s">
        <v>96</v>
      </c>
      <c r="L405" t="s">
        <v>96</v>
      </c>
      <c r="M405">
        <v>3277.5</v>
      </c>
      <c r="O405" s="12" t="str">
        <f t="shared" si="26"/>
        <v>AFR</v>
      </c>
      <c r="P405" s="12" t="str">
        <f t="shared" si="27"/>
        <v>E_WON</v>
      </c>
    </row>
    <row r="406" spans="1:16" x14ac:dyDescent="0.35">
      <c r="A406" t="s">
        <v>95</v>
      </c>
      <c r="B406" t="s">
        <v>3111</v>
      </c>
      <c r="C406" t="s">
        <v>45</v>
      </c>
      <c r="D406" t="s">
        <v>461</v>
      </c>
      <c r="E406" t="s">
        <v>96</v>
      </c>
      <c r="F406" t="s">
        <v>96</v>
      </c>
      <c r="G406" t="s">
        <v>96</v>
      </c>
      <c r="H406">
        <v>2010</v>
      </c>
      <c r="I406" t="s">
        <v>96</v>
      </c>
      <c r="J406" t="s">
        <v>97</v>
      </c>
      <c r="K406" t="s">
        <v>96</v>
      </c>
      <c r="L406" t="s">
        <v>96</v>
      </c>
      <c r="M406">
        <v>3277.5</v>
      </c>
      <c r="O406" s="12" t="str">
        <f t="shared" si="26"/>
        <v>AFR</v>
      </c>
      <c r="P406" s="12" t="str">
        <f t="shared" si="27"/>
        <v>E_WON</v>
      </c>
    </row>
    <row r="407" spans="1:16" x14ac:dyDescent="0.35">
      <c r="A407" t="s">
        <v>95</v>
      </c>
      <c r="B407" t="s">
        <v>3111</v>
      </c>
      <c r="C407" t="s">
        <v>45</v>
      </c>
      <c r="D407" t="s">
        <v>462</v>
      </c>
      <c r="E407" t="s">
        <v>96</v>
      </c>
      <c r="F407" t="s">
        <v>96</v>
      </c>
      <c r="G407" t="s">
        <v>96</v>
      </c>
      <c r="H407">
        <v>2010</v>
      </c>
      <c r="I407" t="s">
        <v>96</v>
      </c>
      <c r="J407" t="s">
        <v>97</v>
      </c>
      <c r="K407" t="s">
        <v>96</v>
      </c>
      <c r="L407" t="s">
        <v>96</v>
      </c>
      <c r="M407">
        <v>3277.5</v>
      </c>
      <c r="O407" s="12" t="str">
        <f t="shared" si="26"/>
        <v>AFR</v>
      </c>
      <c r="P407" s="12" t="str">
        <f t="shared" si="27"/>
        <v>E_WON</v>
      </c>
    </row>
    <row r="408" spans="1:16" x14ac:dyDescent="0.35">
      <c r="A408" t="s">
        <v>95</v>
      </c>
      <c r="B408" t="s">
        <v>3111</v>
      </c>
      <c r="C408" t="s">
        <v>45</v>
      </c>
      <c r="D408" t="s">
        <v>463</v>
      </c>
      <c r="E408" t="s">
        <v>96</v>
      </c>
      <c r="F408" t="s">
        <v>96</v>
      </c>
      <c r="G408" t="s">
        <v>96</v>
      </c>
      <c r="H408">
        <v>2010</v>
      </c>
      <c r="I408" t="s">
        <v>96</v>
      </c>
      <c r="J408" t="s">
        <v>97</v>
      </c>
      <c r="K408" t="s">
        <v>96</v>
      </c>
      <c r="L408" t="s">
        <v>96</v>
      </c>
      <c r="M408">
        <v>3885</v>
      </c>
      <c r="O408" s="12" t="str">
        <f t="shared" si="26"/>
        <v>AFR</v>
      </c>
      <c r="P408" s="12" t="str">
        <f t="shared" si="27"/>
        <v>E_WON</v>
      </c>
    </row>
    <row r="409" spans="1:16" x14ac:dyDescent="0.35">
      <c r="A409" t="s">
        <v>95</v>
      </c>
      <c r="B409" t="s">
        <v>3111</v>
      </c>
      <c r="C409" t="s">
        <v>45</v>
      </c>
      <c r="D409" t="s">
        <v>465</v>
      </c>
      <c r="E409" t="s">
        <v>96</v>
      </c>
      <c r="F409" t="s">
        <v>96</v>
      </c>
      <c r="G409" t="s">
        <v>96</v>
      </c>
      <c r="H409">
        <v>2010</v>
      </c>
      <c r="I409" t="s">
        <v>96</v>
      </c>
      <c r="J409" t="s">
        <v>97</v>
      </c>
      <c r="K409" t="s">
        <v>96</v>
      </c>
      <c r="L409" t="s">
        <v>96</v>
      </c>
      <c r="M409">
        <v>3277.5</v>
      </c>
      <c r="O409" s="12" t="str">
        <f t="shared" si="26"/>
        <v>AFR</v>
      </c>
      <c r="P409" s="12" t="str">
        <f t="shared" si="27"/>
        <v>E_WON</v>
      </c>
    </row>
    <row r="410" spans="1:16" x14ac:dyDescent="0.35">
      <c r="A410" t="s">
        <v>95</v>
      </c>
      <c r="B410" t="s">
        <v>3111</v>
      </c>
      <c r="C410" t="s">
        <v>45</v>
      </c>
      <c r="D410" t="s">
        <v>467</v>
      </c>
      <c r="E410" t="s">
        <v>96</v>
      </c>
      <c r="F410" t="s">
        <v>96</v>
      </c>
      <c r="G410" t="s">
        <v>96</v>
      </c>
      <c r="H410">
        <v>2010</v>
      </c>
      <c r="I410" t="s">
        <v>96</v>
      </c>
      <c r="J410" t="s">
        <v>97</v>
      </c>
      <c r="K410" t="s">
        <v>96</v>
      </c>
      <c r="L410" t="s">
        <v>96</v>
      </c>
      <c r="M410">
        <v>3277.5</v>
      </c>
      <c r="O410" s="12" t="str">
        <f t="shared" si="26"/>
        <v>AFR</v>
      </c>
      <c r="P410" s="12" t="str">
        <f t="shared" si="27"/>
        <v>E_WON</v>
      </c>
    </row>
    <row r="411" spans="1:16" x14ac:dyDescent="0.35">
      <c r="A411" t="s">
        <v>95</v>
      </c>
      <c r="B411" t="s">
        <v>3111</v>
      </c>
      <c r="C411" t="s">
        <v>45</v>
      </c>
      <c r="D411" t="s">
        <v>469</v>
      </c>
      <c r="E411" t="s">
        <v>96</v>
      </c>
      <c r="F411" t="s">
        <v>96</v>
      </c>
      <c r="G411" t="s">
        <v>96</v>
      </c>
      <c r="H411">
        <v>2010</v>
      </c>
      <c r="I411" t="s">
        <v>96</v>
      </c>
      <c r="J411" t="s">
        <v>97</v>
      </c>
      <c r="K411" t="s">
        <v>96</v>
      </c>
      <c r="L411" t="s">
        <v>96</v>
      </c>
      <c r="M411">
        <v>3277.5</v>
      </c>
      <c r="O411" s="12" t="str">
        <f t="shared" si="26"/>
        <v>AFR</v>
      </c>
      <c r="P411" s="12" t="str">
        <f t="shared" si="27"/>
        <v>E_WON</v>
      </c>
    </row>
    <row r="412" spans="1:16" x14ac:dyDescent="0.35">
      <c r="A412" t="s">
        <v>95</v>
      </c>
      <c r="B412" t="s">
        <v>3111</v>
      </c>
      <c r="C412" t="s">
        <v>45</v>
      </c>
      <c r="D412" t="s">
        <v>470</v>
      </c>
      <c r="E412" t="s">
        <v>96</v>
      </c>
      <c r="F412" t="s">
        <v>96</v>
      </c>
      <c r="G412" t="s">
        <v>96</v>
      </c>
      <c r="H412">
        <v>2010</v>
      </c>
      <c r="I412" t="s">
        <v>96</v>
      </c>
      <c r="J412" t="s">
        <v>97</v>
      </c>
      <c r="K412" t="s">
        <v>96</v>
      </c>
      <c r="L412" t="s">
        <v>96</v>
      </c>
      <c r="M412">
        <v>3277.5</v>
      </c>
      <c r="O412" s="12" t="str">
        <f t="shared" si="26"/>
        <v>AFR</v>
      </c>
      <c r="P412" s="12" t="str">
        <f t="shared" si="27"/>
        <v>E_WON</v>
      </c>
    </row>
    <row r="413" spans="1:16" x14ac:dyDescent="0.35">
      <c r="A413" t="s">
        <v>95</v>
      </c>
      <c r="B413" t="s">
        <v>3111</v>
      </c>
      <c r="C413" t="s">
        <v>45</v>
      </c>
      <c r="D413" t="s">
        <v>472</v>
      </c>
      <c r="E413" t="s">
        <v>96</v>
      </c>
      <c r="F413" t="s">
        <v>96</v>
      </c>
      <c r="G413" t="s">
        <v>96</v>
      </c>
      <c r="H413">
        <v>2010</v>
      </c>
      <c r="I413" t="s">
        <v>96</v>
      </c>
      <c r="J413" t="s">
        <v>97</v>
      </c>
      <c r="K413" t="s">
        <v>96</v>
      </c>
      <c r="L413" t="s">
        <v>96</v>
      </c>
      <c r="M413">
        <v>3277.5</v>
      </c>
      <c r="O413" s="12" t="str">
        <f t="shared" si="26"/>
        <v>AFR</v>
      </c>
      <c r="P413" s="12" t="str">
        <f t="shared" si="27"/>
        <v>E_WON</v>
      </c>
    </row>
    <row r="414" spans="1:16" x14ac:dyDescent="0.35">
      <c r="A414" t="s">
        <v>95</v>
      </c>
      <c r="B414" t="s">
        <v>3111</v>
      </c>
      <c r="C414" t="s">
        <v>45</v>
      </c>
      <c r="D414" t="s">
        <v>474</v>
      </c>
      <c r="E414" t="s">
        <v>96</v>
      </c>
      <c r="F414" t="s">
        <v>96</v>
      </c>
      <c r="G414" t="s">
        <v>96</v>
      </c>
      <c r="H414">
        <v>2010</v>
      </c>
      <c r="I414" t="s">
        <v>96</v>
      </c>
      <c r="J414" t="s">
        <v>97</v>
      </c>
      <c r="K414" t="s">
        <v>96</v>
      </c>
      <c r="L414" t="s">
        <v>96</v>
      </c>
      <c r="M414">
        <v>3277.5</v>
      </c>
      <c r="O414" s="12" t="str">
        <f t="shared" si="26"/>
        <v>AFR</v>
      </c>
      <c r="P414" s="12" t="str">
        <f t="shared" si="27"/>
        <v>E_WON</v>
      </c>
    </row>
    <row r="415" spans="1:16" x14ac:dyDescent="0.35">
      <c r="A415" t="s">
        <v>95</v>
      </c>
      <c r="B415" t="s">
        <v>3111</v>
      </c>
      <c r="C415" t="s">
        <v>45</v>
      </c>
      <c r="D415" t="s">
        <v>475</v>
      </c>
      <c r="E415" t="s">
        <v>96</v>
      </c>
      <c r="F415" t="s">
        <v>96</v>
      </c>
      <c r="G415" t="s">
        <v>96</v>
      </c>
      <c r="H415">
        <v>2010</v>
      </c>
      <c r="I415" t="s">
        <v>96</v>
      </c>
      <c r="J415" t="s">
        <v>97</v>
      </c>
      <c r="K415" t="s">
        <v>96</v>
      </c>
      <c r="L415" t="s">
        <v>96</v>
      </c>
      <c r="M415">
        <v>3277.5</v>
      </c>
      <c r="O415" s="12" t="str">
        <f t="shared" si="26"/>
        <v>AFR</v>
      </c>
      <c r="P415" s="12" t="str">
        <f t="shared" si="27"/>
        <v>E_WON</v>
      </c>
    </row>
    <row r="416" spans="1:16" x14ac:dyDescent="0.35">
      <c r="A416" t="s">
        <v>95</v>
      </c>
      <c r="B416" t="s">
        <v>3111</v>
      </c>
      <c r="C416" t="s">
        <v>45</v>
      </c>
      <c r="D416" t="s">
        <v>476</v>
      </c>
      <c r="E416" t="s">
        <v>96</v>
      </c>
      <c r="F416" t="s">
        <v>96</v>
      </c>
      <c r="G416" t="s">
        <v>96</v>
      </c>
      <c r="H416">
        <v>2010</v>
      </c>
      <c r="I416" t="s">
        <v>96</v>
      </c>
      <c r="J416" t="s">
        <v>97</v>
      </c>
      <c r="K416" t="s">
        <v>96</v>
      </c>
      <c r="L416" t="s">
        <v>96</v>
      </c>
      <c r="M416">
        <v>3277.5</v>
      </c>
      <c r="O416" s="12" t="str">
        <f t="shared" si="26"/>
        <v>AFR</v>
      </c>
      <c r="P416" s="12" t="str">
        <f t="shared" si="27"/>
        <v>E_WON</v>
      </c>
    </row>
    <row r="417" spans="1:16" x14ac:dyDescent="0.35">
      <c r="A417" t="s">
        <v>95</v>
      </c>
      <c r="B417" t="s">
        <v>3111</v>
      </c>
      <c r="C417" t="s">
        <v>45</v>
      </c>
      <c r="D417" t="s">
        <v>478</v>
      </c>
      <c r="E417" t="s">
        <v>96</v>
      </c>
      <c r="F417" t="s">
        <v>96</v>
      </c>
      <c r="G417" t="s">
        <v>96</v>
      </c>
      <c r="H417">
        <v>2010</v>
      </c>
      <c r="I417" t="s">
        <v>96</v>
      </c>
      <c r="J417" t="s">
        <v>97</v>
      </c>
      <c r="K417" t="s">
        <v>96</v>
      </c>
      <c r="L417" t="s">
        <v>96</v>
      </c>
      <c r="M417">
        <v>3277.5</v>
      </c>
      <c r="O417" s="12" t="str">
        <f t="shared" si="26"/>
        <v>AFR</v>
      </c>
      <c r="P417" s="12" t="str">
        <f t="shared" si="27"/>
        <v>E_WON</v>
      </c>
    </row>
    <row r="418" spans="1:16" x14ac:dyDescent="0.35">
      <c r="A418" t="s">
        <v>95</v>
      </c>
      <c r="B418" t="s">
        <v>3111</v>
      </c>
      <c r="C418" t="s">
        <v>45</v>
      </c>
      <c r="D418" t="s">
        <v>480</v>
      </c>
      <c r="E418" t="s">
        <v>96</v>
      </c>
      <c r="F418" t="s">
        <v>96</v>
      </c>
      <c r="G418" t="s">
        <v>96</v>
      </c>
      <c r="H418">
        <v>2010</v>
      </c>
      <c r="I418" t="s">
        <v>96</v>
      </c>
      <c r="J418" t="s">
        <v>97</v>
      </c>
      <c r="K418" t="s">
        <v>96</v>
      </c>
      <c r="L418" t="s">
        <v>96</v>
      </c>
      <c r="M418">
        <v>3277.5</v>
      </c>
      <c r="O418" s="12" t="str">
        <f t="shared" si="26"/>
        <v>AFR</v>
      </c>
      <c r="P418" s="12" t="str">
        <f t="shared" si="27"/>
        <v>E_WON</v>
      </c>
    </row>
    <row r="419" spans="1:16" x14ac:dyDescent="0.35">
      <c r="A419" t="s">
        <v>95</v>
      </c>
      <c r="B419" t="s">
        <v>3111</v>
      </c>
      <c r="C419" t="s">
        <v>45</v>
      </c>
      <c r="D419" t="s">
        <v>481</v>
      </c>
      <c r="E419" t="s">
        <v>96</v>
      </c>
      <c r="F419" t="s">
        <v>96</v>
      </c>
      <c r="G419" t="s">
        <v>96</v>
      </c>
      <c r="H419">
        <v>2010</v>
      </c>
      <c r="I419" t="s">
        <v>96</v>
      </c>
      <c r="J419" t="s">
        <v>97</v>
      </c>
      <c r="K419" t="s">
        <v>96</v>
      </c>
      <c r="L419" t="s">
        <v>96</v>
      </c>
      <c r="M419">
        <v>3277.5</v>
      </c>
      <c r="O419" s="12" t="str">
        <f t="shared" si="26"/>
        <v>AFR</v>
      </c>
      <c r="P419" s="12" t="str">
        <f t="shared" si="27"/>
        <v>E_WON</v>
      </c>
    </row>
    <row r="420" spans="1:16" x14ac:dyDescent="0.35">
      <c r="A420" t="s">
        <v>95</v>
      </c>
      <c r="B420" t="s">
        <v>3111</v>
      </c>
      <c r="C420" t="s">
        <v>45</v>
      </c>
      <c r="D420" t="s">
        <v>482</v>
      </c>
      <c r="E420" t="s">
        <v>96</v>
      </c>
      <c r="F420" t="s">
        <v>96</v>
      </c>
      <c r="G420" t="s">
        <v>96</v>
      </c>
      <c r="H420">
        <v>2010</v>
      </c>
      <c r="I420" t="s">
        <v>96</v>
      </c>
      <c r="J420" t="s">
        <v>97</v>
      </c>
      <c r="K420" t="s">
        <v>96</v>
      </c>
      <c r="L420" t="s">
        <v>96</v>
      </c>
      <c r="M420">
        <v>2670</v>
      </c>
      <c r="O420" s="12" t="str">
        <f t="shared" si="26"/>
        <v>AFR</v>
      </c>
      <c r="P420" s="12" t="str">
        <f t="shared" si="27"/>
        <v>E_WON</v>
      </c>
    </row>
    <row r="421" spans="1:16" x14ac:dyDescent="0.35">
      <c r="A421" t="s">
        <v>95</v>
      </c>
      <c r="B421" t="s">
        <v>3111</v>
      </c>
      <c r="C421" t="s">
        <v>45</v>
      </c>
      <c r="D421" t="s">
        <v>483</v>
      </c>
      <c r="E421" t="s">
        <v>96</v>
      </c>
      <c r="F421" t="s">
        <v>96</v>
      </c>
      <c r="G421" t="s">
        <v>96</v>
      </c>
      <c r="H421">
        <v>2010</v>
      </c>
      <c r="I421" t="s">
        <v>96</v>
      </c>
      <c r="J421" t="s">
        <v>97</v>
      </c>
      <c r="K421" t="s">
        <v>96</v>
      </c>
      <c r="L421" t="s">
        <v>96</v>
      </c>
      <c r="M421">
        <v>3277.5</v>
      </c>
      <c r="O421" s="12" t="str">
        <f t="shared" si="26"/>
        <v>AFR</v>
      </c>
      <c r="P421" s="12" t="str">
        <f t="shared" si="27"/>
        <v>E_WON</v>
      </c>
    </row>
    <row r="422" spans="1:16" x14ac:dyDescent="0.35">
      <c r="A422" t="s">
        <v>95</v>
      </c>
      <c r="B422" t="s">
        <v>3111</v>
      </c>
      <c r="C422" t="s">
        <v>45</v>
      </c>
      <c r="D422" t="s">
        <v>484</v>
      </c>
      <c r="E422" t="s">
        <v>96</v>
      </c>
      <c r="F422" t="s">
        <v>96</v>
      </c>
      <c r="G422" t="s">
        <v>96</v>
      </c>
      <c r="H422">
        <v>2010</v>
      </c>
      <c r="I422" t="s">
        <v>96</v>
      </c>
      <c r="J422" t="s">
        <v>97</v>
      </c>
      <c r="K422" t="s">
        <v>96</v>
      </c>
      <c r="L422" t="s">
        <v>96</v>
      </c>
      <c r="M422">
        <v>3277.5</v>
      </c>
      <c r="O422" s="12" t="str">
        <f t="shared" si="26"/>
        <v>AFR</v>
      </c>
      <c r="P422" s="12" t="str">
        <f t="shared" si="27"/>
        <v>E_WON</v>
      </c>
    </row>
    <row r="423" spans="1:16" x14ac:dyDescent="0.35">
      <c r="A423" t="s">
        <v>95</v>
      </c>
      <c r="B423" t="s">
        <v>3111</v>
      </c>
      <c r="C423" t="s">
        <v>45</v>
      </c>
      <c r="D423" t="s">
        <v>485</v>
      </c>
      <c r="E423" t="s">
        <v>96</v>
      </c>
      <c r="F423" t="s">
        <v>96</v>
      </c>
      <c r="G423" t="s">
        <v>96</v>
      </c>
      <c r="H423">
        <v>2010</v>
      </c>
      <c r="I423" t="s">
        <v>96</v>
      </c>
      <c r="J423" t="s">
        <v>97</v>
      </c>
      <c r="K423" t="s">
        <v>96</v>
      </c>
      <c r="L423" t="s">
        <v>96</v>
      </c>
      <c r="M423">
        <v>3277.5</v>
      </c>
      <c r="O423" s="12" t="str">
        <f t="shared" si="26"/>
        <v>AFR</v>
      </c>
      <c r="P423" s="12" t="str">
        <f t="shared" si="27"/>
        <v>E_WON</v>
      </c>
    </row>
    <row r="424" spans="1:16" x14ac:dyDescent="0.35">
      <c r="A424" t="s">
        <v>95</v>
      </c>
      <c r="B424" t="s">
        <v>3111</v>
      </c>
      <c r="C424" t="s">
        <v>45</v>
      </c>
      <c r="D424" t="s">
        <v>486</v>
      </c>
      <c r="E424" t="s">
        <v>96</v>
      </c>
      <c r="F424" t="s">
        <v>96</v>
      </c>
      <c r="G424" t="s">
        <v>96</v>
      </c>
      <c r="H424">
        <v>2010</v>
      </c>
      <c r="I424" t="s">
        <v>96</v>
      </c>
      <c r="J424" t="s">
        <v>97</v>
      </c>
      <c r="K424" t="s">
        <v>96</v>
      </c>
      <c r="L424" t="s">
        <v>96</v>
      </c>
      <c r="M424">
        <v>3277.5</v>
      </c>
      <c r="O424" s="12" t="str">
        <f t="shared" si="26"/>
        <v>AFR</v>
      </c>
      <c r="P424" s="12" t="str">
        <f t="shared" si="27"/>
        <v>E_WON</v>
      </c>
    </row>
    <row r="425" spans="1:16" x14ac:dyDescent="0.35">
      <c r="A425" t="s">
        <v>95</v>
      </c>
      <c r="B425" t="s">
        <v>3111</v>
      </c>
      <c r="C425" t="s">
        <v>45</v>
      </c>
      <c r="D425" t="s">
        <v>487</v>
      </c>
      <c r="E425" t="s">
        <v>96</v>
      </c>
      <c r="F425" t="s">
        <v>96</v>
      </c>
      <c r="G425" t="s">
        <v>96</v>
      </c>
      <c r="H425">
        <v>2010</v>
      </c>
      <c r="I425" t="s">
        <v>96</v>
      </c>
      <c r="J425" t="s">
        <v>97</v>
      </c>
      <c r="K425" t="s">
        <v>96</v>
      </c>
      <c r="L425" t="s">
        <v>96</v>
      </c>
      <c r="M425">
        <v>3277.5</v>
      </c>
      <c r="O425" s="12" t="str">
        <f t="shared" si="26"/>
        <v>AFR</v>
      </c>
      <c r="P425" s="12" t="str">
        <f t="shared" si="27"/>
        <v>E_WON</v>
      </c>
    </row>
    <row r="426" spans="1:16" x14ac:dyDescent="0.35">
      <c r="A426" t="s">
        <v>95</v>
      </c>
      <c r="B426" t="s">
        <v>3111</v>
      </c>
      <c r="C426" t="s">
        <v>45</v>
      </c>
      <c r="D426" t="s">
        <v>488</v>
      </c>
      <c r="E426" t="s">
        <v>96</v>
      </c>
      <c r="F426" t="s">
        <v>96</v>
      </c>
      <c r="G426" t="s">
        <v>96</v>
      </c>
      <c r="H426">
        <v>2010</v>
      </c>
      <c r="I426" t="s">
        <v>96</v>
      </c>
      <c r="J426" t="s">
        <v>97</v>
      </c>
      <c r="K426" t="s">
        <v>96</v>
      </c>
      <c r="L426" t="s">
        <v>96</v>
      </c>
      <c r="M426">
        <v>3277.5</v>
      </c>
      <c r="O426" s="12" t="str">
        <f t="shared" si="26"/>
        <v>AFR</v>
      </c>
      <c r="P426" s="12" t="str">
        <f t="shared" si="27"/>
        <v>E_WON</v>
      </c>
    </row>
    <row r="427" spans="1:16" x14ac:dyDescent="0.35">
      <c r="A427" t="s">
        <v>95</v>
      </c>
      <c r="B427" t="s">
        <v>3111</v>
      </c>
      <c r="C427" t="s">
        <v>45</v>
      </c>
      <c r="D427" t="s">
        <v>489</v>
      </c>
      <c r="E427" t="s">
        <v>96</v>
      </c>
      <c r="F427" t="s">
        <v>96</v>
      </c>
      <c r="G427" t="s">
        <v>96</v>
      </c>
      <c r="H427">
        <v>2010</v>
      </c>
      <c r="I427" t="s">
        <v>96</v>
      </c>
      <c r="J427" t="s">
        <v>97</v>
      </c>
      <c r="K427" t="s">
        <v>96</v>
      </c>
      <c r="L427" t="s">
        <v>96</v>
      </c>
      <c r="M427">
        <v>3277.5</v>
      </c>
      <c r="O427" s="12" t="str">
        <f t="shared" si="26"/>
        <v>AFR</v>
      </c>
      <c r="P427" s="12" t="str">
        <f t="shared" si="27"/>
        <v>E_WON</v>
      </c>
    </row>
    <row r="428" spans="1:16" x14ac:dyDescent="0.35">
      <c r="A428" t="s">
        <v>95</v>
      </c>
      <c r="B428" t="s">
        <v>3111</v>
      </c>
      <c r="C428" t="s">
        <v>45</v>
      </c>
      <c r="D428" t="s">
        <v>493</v>
      </c>
      <c r="E428" t="s">
        <v>96</v>
      </c>
      <c r="F428" t="s">
        <v>96</v>
      </c>
      <c r="G428" t="s">
        <v>96</v>
      </c>
      <c r="H428">
        <v>2010</v>
      </c>
      <c r="I428" t="s">
        <v>96</v>
      </c>
      <c r="J428" t="s">
        <v>97</v>
      </c>
      <c r="K428" t="s">
        <v>96</v>
      </c>
      <c r="L428" t="s">
        <v>96</v>
      </c>
      <c r="M428">
        <v>3277.5</v>
      </c>
      <c r="O428" s="12" t="str">
        <f t="shared" si="26"/>
        <v>AFR</v>
      </c>
      <c r="P428" s="12" t="str">
        <f t="shared" si="27"/>
        <v>E_WON</v>
      </c>
    </row>
    <row r="429" spans="1:16" x14ac:dyDescent="0.35">
      <c r="A429" t="s">
        <v>95</v>
      </c>
      <c r="B429" t="s">
        <v>3111</v>
      </c>
      <c r="C429" t="s">
        <v>45</v>
      </c>
      <c r="D429" t="s">
        <v>494</v>
      </c>
      <c r="E429" t="s">
        <v>96</v>
      </c>
      <c r="F429" t="s">
        <v>96</v>
      </c>
      <c r="G429" t="s">
        <v>96</v>
      </c>
      <c r="H429">
        <v>2010</v>
      </c>
      <c r="I429" t="s">
        <v>96</v>
      </c>
      <c r="J429" t="s">
        <v>97</v>
      </c>
      <c r="K429" t="s">
        <v>96</v>
      </c>
      <c r="L429" t="s">
        <v>96</v>
      </c>
      <c r="M429">
        <v>3885</v>
      </c>
      <c r="O429" s="12" t="str">
        <f t="shared" si="26"/>
        <v>AFR</v>
      </c>
      <c r="P429" s="12" t="str">
        <f t="shared" si="27"/>
        <v>E_WON</v>
      </c>
    </row>
    <row r="430" spans="1:16" x14ac:dyDescent="0.35">
      <c r="A430" t="s">
        <v>95</v>
      </c>
      <c r="B430" t="s">
        <v>3111</v>
      </c>
      <c r="C430" t="s">
        <v>45</v>
      </c>
      <c r="D430" t="s">
        <v>496</v>
      </c>
      <c r="E430" t="s">
        <v>96</v>
      </c>
      <c r="F430" t="s">
        <v>96</v>
      </c>
      <c r="G430" t="s">
        <v>96</v>
      </c>
      <c r="H430">
        <v>2010</v>
      </c>
      <c r="I430" t="s">
        <v>96</v>
      </c>
      <c r="J430" t="s">
        <v>97</v>
      </c>
      <c r="K430" t="s">
        <v>96</v>
      </c>
      <c r="L430" t="s">
        <v>96</v>
      </c>
      <c r="M430">
        <v>3277.5</v>
      </c>
      <c r="O430" s="12" t="str">
        <f t="shared" si="26"/>
        <v>AFR</v>
      </c>
      <c r="P430" s="12" t="str">
        <f t="shared" si="27"/>
        <v>E_WON</v>
      </c>
    </row>
    <row r="431" spans="1:16" x14ac:dyDescent="0.35">
      <c r="A431" t="s">
        <v>95</v>
      </c>
      <c r="B431" t="s">
        <v>3111</v>
      </c>
      <c r="C431" t="s">
        <v>45</v>
      </c>
      <c r="D431" t="s">
        <v>498</v>
      </c>
      <c r="E431" t="s">
        <v>96</v>
      </c>
      <c r="F431" t="s">
        <v>96</v>
      </c>
      <c r="G431" t="s">
        <v>96</v>
      </c>
      <c r="H431">
        <v>2010</v>
      </c>
      <c r="I431" t="s">
        <v>96</v>
      </c>
      <c r="J431" t="s">
        <v>97</v>
      </c>
      <c r="K431" t="s">
        <v>96</v>
      </c>
      <c r="L431" t="s">
        <v>96</v>
      </c>
      <c r="M431">
        <v>3277.5</v>
      </c>
      <c r="O431" s="12" t="str">
        <f t="shared" si="26"/>
        <v>AFR</v>
      </c>
      <c r="P431" s="12" t="str">
        <f t="shared" si="27"/>
        <v>E_WON</v>
      </c>
    </row>
    <row r="432" spans="1:16" x14ac:dyDescent="0.35">
      <c r="A432" t="s">
        <v>95</v>
      </c>
      <c r="B432" t="s">
        <v>3111</v>
      </c>
      <c r="C432" t="s">
        <v>45</v>
      </c>
      <c r="D432" t="s">
        <v>500</v>
      </c>
      <c r="E432" t="s">
        <v>96</v>
      </c>
      <c r="F432" t="s">
        <v>96</v>
      </c>
      <c r="G432" t="s">
        <v>96</v>
      </c>
      <c r="H432">
        <v>2010</v>
      </c>
      <c r="I432" t="s">
        <v>96</v>
      </c>
      <c r="J432" t="s">
        <v>97</v>
      </c>
      <c r="K432" t="s">
        <v>96</v>
      </c>
      <c r="L432" t="s">
        <v>96</v>
      </c>
      <c r="M432">
        <v>3277.5</v>
      </c>
      <c r="O432" s="12" t="str">
        <f t="shared" si="26"/>
        <v>AFR</v>
      </c>
      <c r="P432" s="12" t="str">
        <f t="shared" si="27"/>
        <v>E_WON</v>
      </c>
    </row>
    <row r="433" spans="1:16" x14ac:dyDescent="0.35">
      <c r="A433" t="s">
        <v>95</v>
      </c>
      <c r="B433" t="s">
        <v>3111</v>
      </c>
      <c r="C433" t="s">
        <v>45</v>
      </c>
      <c r="D433" t="s">
        <v>502</v>
      </c>
      <c r="E433" t="s">
        <v>96</v>
      </c>
      <c r="F433" t="s">
        <v>96</v>
      </c>
      <c r="G433" t="s">
        <v>96</v>
      </c>
      <c r="H433">
        <v>2010</v>
      </c>
      <c r="I433" t="s">
        <v>96</v>
      </c>
      <c r="J433" t="s">
        <v>97</v>
      </c>
      <c r="K433" t="s">
        <v>96</v>
      </c>
      <c r="L433" t="s">
        <v>96</v>
      </c>
      <c r="M433">
        <v>3277.5</v>
      </c>
      <c r="O433" s="12" t="str">
        <f t="shared" si="26"/>
        <v>AFR</v>
      </c>
      <c r="P433" s="12" t="str">
        <f t="shared" si="27"/>
        <v>E_WON</v>
      </c>
    </row>
    <row r="434" spans="1:16" x14ac:dyDescent="0.35">
      <c r="A434" t="s">
        <v>95</v>
      </c>
      <c r="B434" t="s">
        <v>3111</v>
      </c>
      <c r="C434" t="s">
        <v>45</v>
      </c>
      <c r="D434" t="s">
        <v>504</v>
      </c>
      <c r="E434" t="s">
        <v>96</v>
      </c>
      <c r="F434" t="s">
        <v>96</v>
      </c>
      <c r="G434" t="s">
        <v>96</v>
      </c>
      <c r="H434">
        <v>2010</v>
      </c>
      <c r="I434" t="s">
        <v>96</v>
      </c>
      <c r="J434" t="s">
        <v>97</v>
      </c>
      <c r="K434" t="s">
        <v>96</v>
      </c>
      <c r="L434" t="s">
        <v>96</v>
      </c>
      <c r="M434">
        <v>3277.5</v>
      </c>
      <c r="O434" s="12" t="str">
        <f t="shared" si="26"/>
        <v>AFR</v>
      </c>
      <c r="P434" s="12" t="str">
        <f t="shared" si="27"/>
        <v>E_WON</v>
      </c>
    </row>
    <row r="435" spans="1:16" x14ac:dyDescent="0.35">
      <c r="A435" t="s">
        <v>95</v>
      </c>
      <c r="B435" t="s">
        <v>3111</v>
      </c>
      <c r="C435" t="s">
        <v>45</v>
      </c>
      <c r="D435" t="s">
        <v>506</v>
      </c>
      <c r="E435" t="s">
        <v>96</v>
      </c>
      <c r="F435" t="s">
        <v>96</v>
      </c>
      <c r="G435" t="s">
        <v>96</v>
      </c>
      <c r="H435">
        <v>2010</v>
      </c>
      <c r="I435" t="s">
        <v>96</v>
      </c>
      <c r="J435" t="s">
        <v>97</v>
      </c>
      <c r="K435" t="s">
        <v>96</v>
      </c>
      <c r="L435" t="s">
        <v>96</v>
      </c>
      <c r="M435">
        <v>3277.5</v>
      </c>
      <c r="O435" s="12" t="str">
        <f t="shared" si="26"/>
        <v>AFR</v>
      </c>
      <c r="P435" s="12" t="str">
        <f t="shared" si="27"/>
        <v>E_WON</v>
      </c>
    </row>
    <row r="436" spans="1:16" x14ac:dyDescent="0.35">
      <c r="A436" t="s">
        <v>95</v>
      </c>
      <c r="B436" t="s">
        <v>3111</v>
      </c>
      <c r="C436" t="s">
        <v>45</v>
      </c>
      <c r="D436" t="s">
        <v>507</v>
      </c>
      <c r="E436" t="s">
        <v>96</v>
      </c>
      <c r="F436" t="s">
        <v>96</v>
      </c>
      <c r="G436" t="s">
        <v>96</v>
      </c>
      <c r="H436">
        <v>2010</v>
      </c>
      <c r="I436" t="s">
        <v>96</v>
      </c>
      <c r="J436" t="s">
        <v>97</v>
      </c>
      <c r="K436" t="s">
        <v>96</v>
      </c>
      <c r="L436" t="s">
        <v>96</v>
      </c>
      <c r="M436">
        <v>3277.5</v>
      </c>
      <c r="O436" s="12" t="str">
        <f t="shared" si="26"/>
        <v>AFR</v>
      </c>
      <c r="P436" s="12" t="str">
        <f t="shared" si="27"/>
        <v>E_WON</v>
      </c>
    </row>
    <row r="437" spans="1:16" x14ac:dyDescent="0.35">
      <c r="A437" t="s">
        <v>95</v>
      </c>
      <c r="B437" t="s">
        <v>3111</v>
      </c>
      <c r="C437" t="s">
        <v>45</v>
      </c>
      <c r="D437" t="s">
        <v>508</v>
      </c>
      <c r="E437" t="s">
        <v>96</v>
      </c>
      <c r="F437" t="s">
        <v>96</v>
      </c>
      <c r="G437" t="s">
        <v>96</v>
      </c>
      <c r="H437">
        <v>2010</v>
      </c>
      <c r="I437" t="s">
        <v>96</v>
      </c>
      <c r="J437" t="s">
        <v>97</v>
      </c>
      <c r="K437" t="s">
        <v>96</v>
      </c>
      <c r="L437" t="s">
        <v>96</v>
      </c>
      <c r="M437">
        <v>3277.5</v>
      </c>
      <c r="O437" s="12" t="str">
        <f t="shared" si="26"/>
        <v>AFR</v>
      </c>
      <c r="P437" s="12" t="str">
        <f t="shared" si="27"/>
        <v>E_WON</v>
      </c>
    </row>
    <row r="438" spans="1:16" x14ac:dyDescent="0.35">
      <c r="A438" t="s">
        <v>95</v>
      </c>
      <c r="B438" t="s">
        <v>3111</v>
      </c>
      <c r="C438" t="s">
        <v>45</v>
      </c>
      <c r="D438" t="s">
        <v>511</v>
      </c>
      <c r="E438" t="s">
        <v>96</v>
      </c>
      <c r="F438" t="s">
        <v>96</v>
      </c>
      <c r="G438" t="s">
        <v>96</v>
      </c>
      <c r="H438">
        <v>2010</v>
      </c>
      <c r="I438" t="s">
        <v>96</v>
      </c>
      <c r="J438" t="s">
        <v>97</v>
      </c>
      <c r="K438" t="s">
        <v>96</v>
      </c>
      <c r="L438" t="s">
        <v>96</v>
      </c>
      <c r="M438">
        <v>3277.5</v>
      </c>
      <c r="O438" s="12" t="str">
        <f t="shared" si="26"/>
        <v>AFR</v>
      </c>
      <c r="P438" s="12" t="str">
        <f t="shared" si="27"/>
        <v>E_WON</v>
      </c>
    </row>
    <row r="439" spans="1:16" x14ac:dyDescent="0.35">
      <c r="A439" t="s">
        <v>95</v>
      </c>
      <c r="B439" t="s">
        <v>3111</v>
      </c>
      <c r="C439" t="s">
        <v>45</v>
      </c>
      <c r="D439" t="s">
        <v>512</v>
      </c>
      <c r="E439" t="s">
        <v>96</v>
      </c>
      <c r="F439" t="s">
        <v>96</v>
      </c>
      <c r="G439" t="s">
        <v>96</v>
      </c>
      <c r="H439">
        <v>2010</v>
      </c>
      <c r="I439" t="s">
        <v>96</v>
      </c>
      <c r="J439" t="s">
        <v>97</v>
      </c>
      <c r="K439" t="s">
        <v>96</v>
      </c>
      <c r="L439" t="s">
        <v>96</v>
      </c>
      <c r="M439">
        <v>3277.5</v>
      </c>
      <c r="O439" s="12" t="str">
        <f t="shared" si="26"/>
        <v>AFR</v>
      </c>
      <c r="P439" s="12" t="str">
        <f t="shared" si="27"/>
        <v>E_WON</v>
      </c>
    </row>
    <row r="440" spans="1:16" x14ac:dyDescent="0.35">
      <c r="A440" t="s">
        <v>95</v>
      </c>
      <c r="B440" t="s">
        <v>3111</v>
      </c>
      <c r="C440" t="s">
        <v>45</v>
      </c>
      <c r="D440" t="s">
        <v>513</v>
      </c>
      <c r="E440" t="s">
        <v>96</v>
      </c>
      <c r="F440" t="s">
        <v>96</v>
      </c>
      <c r="G440" t="s">
        <v>96</v>
      </c>
      <c r="H440">
        <v>2010</v>
      </c>
      <c r="I440" t="s">
        <v>96</v>
      </c>
      <c r="J440" t="s">
        <v>97</v>
      </c>
      <c r="K440" t="s">
        <v>96</v>
      </c>
      <c r="L440" t="s">
        <v>96</v>
      </c>
      <c r="M440">
        <v>2670</v>
      </c>
      <c r="O440" s="12" t="str">
        <f t="shared" si="26"/>
        <v>AFR</v>
      </c>
      <c r="P440" s="12" t="str">
        <f t="shared" si="27"/>
        <v>E_WON</v>
      </c>
    </row>
    <row r="441" spans="1:16" x14ac:dyDescent="0.35">
      <c r="A441" t="s">
        <v>95</v>
      </c>
      <c r="B441" t="s">
        <v>3111</v>
      </c>
      <c r="C441" t="s">
        <v>45</v>
      </c>
      <c r="D441" t="s">
        <v>514</v>
      </c>
      <c r="E441" t="s">
        <v>96</v>
      </c>
      <c r="F441" t="s">
        <v>96</v>
      </c>
      <c r="G441" t="s">
        <v>96</v>
      </c>
      <c r="H441">
        <v>2010</v>
      </c>
      <c r="I441" t="s">
        <v>96</v>
      </c>
      <c r="J441" t="s">
        <v>97</v>
      </c>
      <c r="K441" t="s">
        <v>96</v>
      </c>
      <c r="L441" t="s">
        <v>96</v>
      </c>
      <c r="M441">
        <v>3277.5</v>
      </c>
      <c r="O441" s="12" t="str">
        <f t="shared" si="26"/>
        <v>AFR</v>
      </c>
      <c r="P441" s="12" t="str">
        <f t="shared" si="27"/>
        <v>E_WON</v>
      </c>
    </row>
    <row r="442" spans="1:16" x14ac:dyDescent="0.35">
      <c r="A442" t="s">
        <v>95</v>
      </c>
      <c r="B442" t="s">
        <v>3111</v>
      </c>
      <c r="C442" t="s">
        <v>45</v>
      </c>
      <c r="D442" t="s">
        <v>515</v>
      </c>
      <c r="E442" t="s">
        <v>96</v>
      </c>
      <c r="F442" t="s">
        <v>96</v>
      </c>
      <c r="G442" t="s">
        <v>96</v>
      </c>
      <c r="H442">
        <v>2010</v>
      </c>
      <c r="I442" t="s">
        <v>96</v>
      </c>
      <c r="J442" t="s">
        <v>97</v>
      </c>
      <c r="K442" t="s">
        <v>96</v>
      </c>
      <c r="L442" t="s">
        <v>96</v>
      </c>
      <c r="M442">
        <v>3277.5</v>
      </c>
      <c r="O442" s="12" t="str">
        <f t="shared" si="26"/>
        <v>AFR</v>
      </c>
      <c r="P442" s="12" t="str">
        <f t="shared" si="27"/>
        <v>E_WON</v>
      </c>
    </row>
    <row r="443" spans="1:16" x14ac:dyDescent="0.35">
      <c r="A443" t="s">
        <v>95</v>
      </c>
      <c r="B443" t="s">
        <v>3111</v>
      </c>
      <c r="C443" t="s">
        <v>45</v>
      </c>
      <c r="D443" t="s">
        <v>516</v>
      </c>
      <c r="E443" t="s">
        <v>96</v>
      </c>
      <c r="F443" t="s">
        <v>96</v>
      </c>
      <c r="G443" t="s">
        <v>96</v>
      </c>
      <c r="H443">
        <v>2010</v>
      </c>
      <c r="I443" t="s">
        <v>96</v>
      </c>
      <c r="J443" t="s">
        <v>97</v>
      </c>
      <c r="K443" t="s">
        <v>96</v>
      </c>
      <c r="L443" t="s">
        <v>96</v>
      </c>
      <c r="M443">
        <v>3277.5</v>
      </c>
      <c r="O443" s="12" t="str">
        <f t="shared" si="26"/>
        <v>AFR</v>
      </c>
      <c r="P443" s="12" t="str">
        <f t="shared" si="27"/>
        <v>E_WON</v>
      </c>
    </row>
    <row r="444" spans="1:16" x14ac:dyDescent="0.35">
      <c r="A444" t="s">
        <v>95</v>
      </c>
      <c r="B444" t="s">
        <v>3111</v>
      </c>
      <c r="C444" t="s">
        <v>45</v>
      </c>
      <c r="D444" t="s">
        <v>517</v>
      </c>
      <c r="E444" t="s">
        <v>96</v>
      </c>
      <c r="F444" t="s">
        <v>96</v>
      </c>
      <c r="G444" t="s">
        <v>96</v>
      </c>
      <c r="H444">
        <v>2010</v>
      </c>
      <c r="I444" t="s">
        <v>96</v>
      </c>
      <c r="J444" t="s">
        <v>97</v>
      </c>
      <c r="K444" t="s">
        <v>96</v>
      </c>
      <c r="L444" t="s">
        <v>96</v>
      </c>
      <c r="M444">
        <v>3277.5</v>
      </c>
      <c r="O444" s="12" t="str">
        <f t="shared" si="26"/>
        <v>AFR</v>
      </c>
      <c r="P444" s="12" t="str">
        <f t="shared" si="27"/>
        <v>E_WON</v>
      </c>
    </row>
    <row r="445" spans="1:16" x14ac:dyDescent="0.35">
      <c r="A445" t="s">
        <v>95</v>
      </c>
      <c r="B445" t="s">
        <v>3111</v>
      </c>
      <c r="C445" t="s">
        <v>45</v>
      </c>
      <c r="D445" t="s">
        <v>518</v>
      </c>
      <c r="E445" t="s">
        <v>96</v>
      </c>
      <c r="F445" t="s">
        <v>96</v>
      </c>
      <c r="G445" t="s">
        <v>96</v>
      </c>
      <c r="H445">
        <v>2010</v>
      </c>
      <c r="I445" t="s">
        <v>96</v>
      </c>
      <c r="J445" t="s">
        <v>97</v>
      </c>
      <c r="K445" t="s">
        <v>96</v>
      </c>
      <c r="L445" t="s">
        <v>96</v>
      </c>
      <c r="M445">
        <v>3277.5</v>
      </c>
      <c r="O445" s="12" t="str">
        <f t="shared" si="26"/>
        <v>AFR</v>
      </c>
      <c r="P445" s="12" t="str">
        <f t="shared" si="27"/>
        <v>E_WON</v>
      </c>
    </row>
    <row r="446" spans="1:16" x14ac:dyDescent="0.35">
      <c r="A446" t="s">
        <v>95</v>
      </c>
      <c r="B446" t="s">
        <v>3111</v>
      </c>
      <c r="C446" t="s">
        <v>45</v>
      </c>
      <c r="D446" t="s">
        <v>519</v>
      </c>
      <c r="E446" t="s">
        <v>96</v>
      </c>
      <c r="F446" t="s">
        <v>96</v>
      </c>
      <c r="G446" t="s">
        <v>96</v>
      </c>
      <c r="H446">
        <v>2010</v>
      </c>
      <c r="I446" t="s">
        <v>96</v>
      </c>
      <c r="J446" t="s">
        <v>97</v>
      </c>
      <c r="K446" t="s">
        <v>96</v>
      </c>
      <c r="L446" t="s">
        <v>96</v>
      </c>
      <c r="M446">
        <v>3277.5</v>
      </c>
      <c r="O446" s="12" t="str">
        <f t="shared" si="26"/>
        <v>AFR</v>
      </c>
      <c r="P446" s="12" t="str">
        <f t="shared" si="27"/>
        <v>E_WON</v>
      </c>
    </row>
    <row r="447" spans="1:16" x14ac:dyDescent="0.35">
      <c r="A447" t="s">
        <v>95</v>
      </c>
      <c r="B447" t="s">
        <v>3111</v>
      </c>
      <c r="C447" t="s">
        <v>45</v>
      </c>
      <c r="D447" t="s">
        <v>523</v>
      </c>
      <c r="E447" t="s">
        <v>96</v>
      </c>
      <c r="F447" t="s">
        <v>96</v>
      </c>
      <c r="G447" t="s">
        <v>96</v>
      </c>
      <c r="H447">
        <v>2010</v>
      </c>
      <c r="I447" t="s">
        <v>96</v>
      </c>
      <c r="J447" t="s">
        <v>97</v>
      </c>
      <c r="K447" t="s">
        <v>96</v>
      </c>
      <c r="L447" t="s">
        <v>96</v>
      </c>
      <c r="M447">
        <v>3277.5</v>
      </c>
      <c r="O447" s="12" t="str">
        <f t="shared" si="26"/>
        <v>AFR</v>
      </c>
      <c r="P447" s="12" t="str">
        <f t="shared" si="27"/>
        <v>E_WON</v>
      </c>
    </row>
    <row r="448" spans="1:16" x14ac:dyDescent="0.35">
      <c r="A448" t="s">
        <v>95</v>
      </c>
      <c r="B448" t="s">
        <v>3111</v>
      </c>
      <c r="C448" t="s">
        <v>45</v>
      </c>
      <c r="D448" t="s">
        <v>524</v>
      </c>
      <c r="E448" t="s">
        <v>96</v>
      </c>
      <c r="F448" t="s">
        <v>96</v>
      </c>
      <c r="G448" t="s">
        <v>96</v>
      </c>
      <c r="H448">
        <v>2010</v>
      </c>
      <c r="I448" t="s">
        <v>96</v>
      </c>
      <c r="J448" t="s">
        <v>97</v>
      </c>
      <c r="K448" t="s">
        <v>96</v>
      </c>
      <c r="L448" t="s">
        <v>96</v>
      </c>
      <c r="M448">
        <v>3885</v>
      </c>
      <c r="O448" s="12" t="str">
        <f t="shared" si="26"/>
        <v>AFR</v>
      </c>
      <c r="P448" s="12" t="str">
        <f t="shared" si="27"/>
        <v>E_WON</v>
      </c>
    </row>
    <row r="449" spans="1:16" x14ac:dyDescent="0.35">
      <c r="A449" t="s">
        <v>95</v>
      </c>
      <c r="B449" t="s">
        <v>3111</v>
      </c>
      <c r="C449" t="s">
        <v>45</v>
      </c>
      <c r="D449" t="s">
        <v>526</v>
      </c>
      <c r="E449" t="s">
        <v>96</v>
      </c>
      <c r="F449" t="s">
        <v>96</v>
      </c>
      <c r="G449" t="s">
        <v>96</v>
      </c>
      <c r="H449">
        <v>2010</v>
      </c>
      <c r="I449" t="s">
        <v>96</v>
      </c>
      <c r="J449" t="s">
        <v>97</v>
      </c>
      <c r="K449" t="s">
        <v>96</v>
      </c>
      <c r="L449" t="s">
        <v>96</v>
      </c>
      <c r="M449">
        <v>3277.5</v>
      </c>
      <c r="O449" s="12" t="str">
        <f t="shared" si="26"/>
        <v>AFR</v>
      </c>
      <c r="P449" s="12" t="str">
        <f t="shared" si="27"/>
        <v>E_WON</v>
      </c>
    </row>
    <row r="450" spans="1:16" x14ac:dyDescent="0.35">
      <c r="A450" t="s">
        <v>95</v>
      </c>
      <c r="B450" t="s">
        <v>3111</v>
      </c>
      <c r="C450" t="s">
        <v>45</v>
      </c>
      <c r="D450" t="s">
        <v>528</v>
      </c>
      <c r="E450" t="s">
        <v>96</v>
      </c>
      <c r="F450" t="s">
        <v>96</v>
      </c>
      <c r="G450" t="s">
        <v>96</v>
      </c>
      <c r="H450">
        <v>2010</v>
      </c>
      <c r="I450" t="s">
        <v>96</v>
      </c>
      <c r="J450" t="s">
        <v>97</v>
      </c>
      <c r="K450" t="s">
        <v>96</v>
      </c>
      <c r="L450" t="s">
        <v>96</v>
      </c>
      <c r="M450">
        <v>3277.5</v>
      </c>
      <c r="O450" s="12" t="str">
        <f t="shared" si="26"/>
        <v>AFR</v>
      </c>
      <c r="P450" s="12" t="str">
        <f t="shared" si="27"/>
        <v>E_WON</v>
      </c>
    </row>
    <row r="451" spans="1:16" x14ac:dyDescent="0.35">
      <c r="A451" t="s">
        <v>95</v>
      </c>
      <c r="B451" t="s">
        <v>3111</v>
      </c>
      <c r="C451" t="s">
        <v>45</v>
      </c>
      <c r="D451" t="s">
        <v>529</v>
      </c>
      <c r="E451" t="s">
        <v>96</v>
      </c>
      <c r="F451" t="s">
        <v>96</v>
      </c>
      <c r="G451" t="s">
        <v>96</v>
      </c>
      <c r="H451">
        <v>2010</v>
      </c>
      <c r="I451" t="s">
        <v>96</v>
      </c>
      <c r="J451" t="s">
        <v>97</v>
      </c>
      <c r="K451" t="s">
        <v>96</v>
      </c>
      <c r="L451" t="s">
        <v>96</v>
      </c>
      <c r="M451">
        <v>3277.5</v>
      </c>
      <c r="O451" s="12" t="str">
        <f t="shared" ref="O451:O514" si="28">LEFT(B451,3)</f>
        <v>AFR</v>
      </c>
      <c r="P451" s="12" t="str">
        <f t="shared" ref="P451:P514" si="29">LEFT(D451,5)</f>
        <v>E_WON</v>
      </c>
    </row>
    <row r="452" spans="1:16" x14ac:dyDescent="0.35">
      <c r="A452" t="s">
        <v>95</v>
      </c>
      <c r="B452" t="s">
        <v>3111</v>
      </c>
      <c r="C452" t="s">
        <v>45</v>
      </c>
      <c r="D452" t="s">
        <v>531</v>
      </c>
      <c r="E452" t="s">
        <v>96</v>
      </c>
      <c r="F452" t="s">
        <v>96</v>
      </c>
      <c r="G452" t="s">
        <v>96</v>
      </c>
      <c r="H452">
        <v>2010</v>
      </c>
      <c r="I452" t="s">
        <v>96</v>
      </c>
      <c r="J452" t="s">
        <v>97</v>
      </c>
      <c r="K452" t="s">
        <v>96</v>
      </c>
      <c r="L452" t="s">
        <v>96</v>
      </c>
      <c r="M452">
        <v>3277.5</v>
      </c>
      <c r="O452" s="12" t="str">
        <f t="shared" si="28"/>
        <v>AFR</v>
      </c>
      <c r="P452" s="12" t="str">
        <f t="shared" si="29"/>
        <v>E_WON</v>
      </c>
    </row>
    <row r="453" spans="1:16" x14ac:dyDescent="0.35">
      <c r="A453" t="s">
        <v>95</v>
      </c>
      <c r="B453" t="s">
        <v>3111</v>
      </c>
      <c r="C453" t="s">
        <v>45</v>
      </c>
      <c r="D453" t="s">
        <v>533</v>
      </c>
      <c r="E453" t="s">
        <v>96</v>
      </c>
      <c r="F453" t="s">
        <v>96</v>
      </c>
      <c r="G453" t="s">
        <v>96</v>
      </c>
      <c r="H453">
        <v>2010</v>
      </c>
      <c r="I453" t="s">
        <v>96</v>
      </c>
      <c r="J453" t="s">
        <v>97</v>
      </c>
      <c r="K453" t="s">
        <v>96</v>
      </c>
      <c r="L453" t="s">
        <v>96</v>
      </c>
      <c r="M453">
        <v>3277.5</v>
      </c>
      <c r="O453" s="12" t="str">
        <f t="shared" si="28"/>
        <v>AFR</v>
      </c>
      <c r="P453" s="12" t="str">
        <f t="shared" si="29"/>
        <v>E_WON</v>
      </c>
    </row>
    <row r="454" spans="1:16" x14ac:dyDescent="0.35">
      <c r="A454" t="s">
        <v>95</v>
      </c>
      <c r="B454" t="s">
        <v>3111</v>
      </c>
      <c r="C454" t="s">
        <v>45</v>
      </c>
      <c r="D454" t="s">
        <v>535</v>
      </c>
      <c r="E454" t="s">
        <v>96</v>
      </c>
      <c r="F454" t="s">
        <v>96</v>
      </c>
      <c r="G454" t="s">
        <v>96</v>
      </c>
      <c r="H454">
        <v>2010</v>
      </c>
      <c r="I454" t="s">
        <v>96</v>
      </c>
      <c r="J454" t="s">
        <v>97</v>
      </c>
      <c r="K454" t="s">
        <v>96</v>
      </c>
      <c r="L454" t="s">
        <v>96</v>
      </c>
      <c r="M454">
        <v>3277.5</v>
      </c>
      <c r="O454" s="12" t="str">
        <f t="shared" si="28"/>
        <v>AFR</v>
      </c>
      <c r="P454" s="12" t="str">
        <f t="shared" si="29"/>
        <v>E_WON</v>
      </c>
    </row>
    <row r="455" spans="1:16" x14ac:dyDescent="0.35">
      <c r="A455" t="s">
        <v>95</v>
      </c>
      <c r="B455" t="s">
        <v>3111</v>
      </c>
      <c r="C455" t="s">
        <v>45</v>
      </c>
      <c r="D455" t="s">
        <v>536</v>
      </c>
      <c r="E455" t="s">
        <v>96</v>
      </c>
      <c r="F455" t="s">
        <v>96</v>
      </c>
      <c r="G455" t="s">
        <v>96</v>
      </c>
      <c r="H455">
        <v>2010</v>
      </c>
      <c r="I455" t="s">
        <v>96</v>
      </c>
      <c r="J455" t="s">
        <v>97</v>
      </c>
      <c r="K455" t="s">
        <v>96</v>
      </c>
      <c r="L455" t="s">
        <v>96</v>
      </c>
      <c r="M455">
        <v>3277.5</v>
      </c>
      <c r="O455" s="12" t="str">
        <f t="shared" si="28"/>
        <v>AFR</v>
      </c>
      <c r="P455" s="12" t="str">
        <f t="shared" si="29"/>
        <v>E_WON</v>
      </c>
    </row>
    <row r="456" spans="1:16" x14ac:dyDescent="0.35">
      <c r="A456" t="s">
        <v>95</v>
      </c>
      <c r="B456" t="s">
        <v>3111</v>
      </c>
      <c r="C456" t="s">
        <v>45</v>
      </c>
      <c r="D456" t="s">
        <v>538</v>
      </c>
      <c r="E456" t="s">
        <v>96</v>
      </c>
      <c r="F456" t="s">
        <v>96</v>
      </c>
      <c r="G456" t="s">
        <v>96</v>
      </c>
      <c r="H456">
        <v>2010</v>
      </c>
      <c r="I456" t="s">
        <v>96</v>
      </c>
      <c r="J456" t="s">
        <v>97</v>
      </c>
      <c r="K456" t="s">
        <v>96</v>
      </c>
      <c r="L456" t="s">
        <v>96</v>
      </c>
      <c r="M456">
        <v>3277.5</v>
      </c>
      <c r="O456" s="12" t="str">
        <f t="shared" si="28"/>
        <v>AFR</v>
      </c>
      <c r="P456" s="12" t="str">
        <f t="shared" si="29"/>
        <v>E_WON</v>
      </c>
    </row>
    <row r="457" spans="1:16" x14ac:dyDescent="0.35">
      <c r="A457" t="s">
        <v>95</v>
      </c>
      <c r="B457" t="s">
        <v>3111</v>
      </c>
      <c r="C457" t="s">
        <v>45</v>
      </c>
      <c r="D457" t="s">
        <v>539</v>
      </c>
      <c r="E457" t="s">
        <v>96</v>
      </c>
      <c r="F457" t="s">
        <v>96</v>
      </c>
      <c r="G457" t="s">
        <v>96</v>
      </c>
      <c r="H457">
        <v>2010</v>
      </c>
      <c r="I457" t="s">
        <v>96</v>
      </c>
      <c r="J457" t="s">
        <v>97</v>
      </c>
      <c r="K457" t="s">
        <v>96</v>
      </c>
      <c r="L457" t="s">
        <v>96</v>
      </c>
      <c r="M457">
        <v>3277.5</v>
      </c>
      <c r="O457" s="12" t="str">
        <f t="shared" si="28"/>
        <v>AFR</v>
      </c>
      <c r="P457" s="12" t="str">
        <f t="shared" si="29"/>
        <v>E_WON</v>
      </c>
    </row>
    <row r="458" spans="1:16" x14ac:dyDescent="0.35">
      <c r="A458" t="s">
        <v>95</v>
      </c>
      <c r="B458" t="s">
        <v>3111</v>
      </c>
      <c r="C458" t="s">
        <v>45</v>
      </c>
      <c r="D458" t="s">
        <v>540</v>
      </c>
      <c r="E458" t="s">
        <v>96</v>
      </c>
      <c r="F458" t="s">
        <v>96</v>
      </c>
      <c r="G458" t="s">
        <v>96</v>
      </c>
      <c r="H458">
        <v>2010</v>
      </c>
      <c r="I458" t="s">
        <v>96</v>
      </c>
      <c r="J458" t="s">
        <v>97</v>
      </c>
      <c r="K458" t="s">
        <v>96</v>
      </c>
      <c r="L458" t="s">
        <v>96</v>
      </c>
      <c r="M458">
        <v>2670</v>
      </c>
      <c r="O458" s="12" t="str">
        <f t="shared" si="28"/>
        <v>AFR</v>
      </c>
      <c r="P458" s="12" t="str">
        <f t="shared" si="29"/>
        <v>E_WON</v>
      </c>
    </row>
    <row r="459" spans="1:16" x14ac:dyDescent="0.35">
      <c r="A459" t="s">
        <v>95</v>
      </c>
      <c r="B459" t="s">
        <v>3111</v>
      </c>
      <c r="C459" t="s">
        <v>45</v>
      </c>
      <c r="D459" t="s">
        <v>541</v>
      </c>
      <c r="E459" t="s">
        <v>96</v>
      </c>
      <c r="F459" t="s">
        <v>96</v>
      </c>
      <c r="G459" t="s">
        <v>96</v>
      </c>
      <c r="H459">
        <v>2010</v>
      </c>
      <c r="I459" t="s">
        <v>96</v>
      </c>
      <c r="J459" t="s">
        <v>97</v>
      </c>
      <c r="K459" t="s">
        <v>96</v>
      </c>
      <c r="L459" t="s">
        <v>96</v>
      </c>
      <c r="M459">
        <v>3277.5</v>
      </c>
      <c r="O459" s="12" t="str">
        <f t="shared" si="28"/>
        <v>AFR</v>
      </c>
      <c r="P459" s="12" t="str">
        <f t="shared" si="29"/>
        <v>E_WON</v>
      </c>
    </row>
    <row r="460" spans="1:16" x14ac:dyDescent="0.35">
      <c r="A460" t="s">
        <v>95</v>
      </c>
      <c r="B460" t="s">
        <v>3111</v>
      </c>
      <c r="C460" t="s">
        <v>45</v>
      </c>
      <c r="D460" t="s">
        <v>542</v>
      </c>
      <c r="E460" t="s">
        <v>96</v>
      </c>
      <c r="F460" t="s">
        <v>96</v>
      </c>
      <c r="G460" t="s">
        <v>96</v>
      </c>
      <c r="H460">
        <v>2010</v>
      </c>
      <c r="I460" t="s">
        <v>96</v>
      </c>
      <c r="J460" t="s">
        <v>97</v>
      </c>
      <c r="K460" t="s">
        <v>96</v>
      </c>
      <c r="L460" t="s">
        <v>96</v>
      </c>
      <c r="M460">
        <v>3277.5</v>
      </c>
      <c r="O460" s="12" t="str">
        <f t="shared" si="28"/>
        <v>AFR</v>
      </c>
      <c r="P460" s="12" t="str">
        <f t="shared" si="29"/>
        <v>E_WON</v>
      </c>
    </row>
    <row r="461" spans="1:16" x14ac:dyDescent="0.35">
      <c r="A461" t="s">
        <v>95</v>
      </c>
      <c r="B461" t="s">
        <v>3111</v>
      </c>
      <c r="C461" t="s">
        <v>45</v>
      </c>
      <c r="D461" t="s">
        <v>543</v>
      </c>
      <c r="E461" t="s">
        <v>96</v>
      </c>
      <c r="F461" t="s">
        <v>96</v>
      </c>
      <c r="G461" t="s">
        <v>96</v>
      </c>
      <c r="H461">
        <v>2010</v>
      </c>
      <c r="I461" t="s">
        <v>96</v>
      </c>
      <c r="J461" t="s">
        <v>97</v>
      </c>
      <c r="K461" t="s">
        <v>96</v>
      </c>
      <c r="L461" t="s">
        <v>96</v>
      </c>
      <c r="M461">
        <v>3277.5</v>
      </c>
      <c r="O461" s="12" t="str">
        <f t="shared" si="28"/>
        <v>AFR</v>
      </c>
      <c r="P461" s="12" t="str">
        <f t="shared" si="29"/>
        <v>E_WON</v>
      </c>
    </row>
    <row r="462" spans="1:16" x14ac:dyDescent="0.35">
      <c r="A462" t="s">
        <v>95</v>
      </c>
      <c r="B462" t="s">
        <v>3111</v>
      </c>
      <c r="C462" t="s">
        <v>45</v>
      </c>
      <c r="D462" t="s">
        <v>546</v>
      </c>
      <c r="E462" t="s">
        <v>96</v>
      </c>
      <c r="F462" t="s">
        <v>96</v>
      </c>
      <c r="G462" t="s">
        <v>96</v>
      </c>
      <c r="H462">
        <v>2010</v>
      </c>
      <c r="I462" t="s">
        <v>96</v>
      </c>
      <c r="J462" t="s">
        <v>97</v>
      </c>
      <c r="K462" t="s">
        <v>96</v>
      </c>
      <c r="L462" t="s">
        <v>96</v>
      </c>
      <c r="M462">
        <v>3277.5</v>
      </c>
      <c r="O462" s="12" t="str">
        <f t="shared" si="28"/>
        <v>AFR</v>
      </c>
      <c r="P462" s="12" t="str">
        <f t="shared" si="29"/>
        <v>E_WON</v>
      </c>
    </row>
    <row r="463" spans="1:16" x14ac:dyDescent="0.35">
      <c r="A463" t="s">
        <v>95</v>
      </c>
      <c r="B463" t="s">
        <v>3111</v>
      </c>
      <c r="C463" t="s">
        <v>45</v>
      </c>
      <c r="D463" t="s">
        <v>547</v>
      </c>
      <c r="E463" t="s">
        <v>96</v>
      </c>
      <c r="F463" t="s">
        <v>96</v>
      </c>
      <c r="G463" t="s">
        <v>96</v>
      </c>
      <c r="H463">
        <v>2010</v>
      </c>
      <c r="I463" t="s">
        <v>96</v>
      </c>
      <c r="J463" t="s">
        <v>97</v>
      </c>
      <c r="K463" t="s">
        <v>96</v>
      </c>
      <c r="L463" t="s">
        <v>96</v>
      </c>
      <c r="M463">
        <v>3885</v>
      </c>
      <c r="O463" s="12" t="str">
        <f t="shared" si="28"/>
        <v>AFR</v>
      </c>
      <c r="P463" s="12" t="str">
        <f t="shared" si="29"/>
        <v>E_WON</v>
      </c>
    </row>
    <row r="464" spans="1:16" x14ac:dyDescent="0.35">
      <c r="A464" t="s">
        <v>95</v>
      </c>
      <c r="B464" t="s">
        <v>3111</v>
      </c>
      <c r="C464" t="s">
        <v>45</v>
      </c>
      <c r="D464" t="s">
        <v>549</v>
      </c>
      <c r="E464" t="s">
        <v>96</v>
      </c>
      <c r="F464" t="s">
        <v>96</v>
      </c>
      <c r="G464" t="s">
        <v>96</v>
      </c>
      <c r="H464">
        <v>2010</v>
      </c>
      <c r="I464" t="s">
        <v>96</v>
      </c>
      <c r="J464" t="s">
        <v>97</v>
      </c>
      <c r="K464" t="s">
        <v>96</v>
      </c>
      <c r="L464" t="s">
        <v>96</v>
      </c>
      <c r="M464">
        <v>3277.5</v>
      </c>
      <c r="O464" s="12" t="str">
        <f t="shared" si="28"/>
        <v>AFR</v>
      </c>
      <c r="P464" s="12" t="str">
        <f t="shared" si="29"/>
        <v>E_WON</v>
      </c>
    </row>
    <row r="465" spans="1:16" x14ac:dyDescent="0.35">
      <c r="A465" t="s">
        <v>95</v>
      </c>
      <c r="B465" t="s">
        <v>3111</v>
      </c>
      <c r="C465" t="s">
        <v>45</v>
      </c>
      <c r="D465" t="s">
        <v>550</v>
      </c>
      <c r="E465" t="s">
        <v>96</v>
      </c>
      <c r="F465" t="s">
        <v>96</v>
      </c>
      <c r="G465" t="s">
        <v>96</v>
      </c>
      <c r="H465">
        <v>2010</v>
      </c>
      <c r="I465" t="s">
        <v>96</v>
      </c>
      <c r="J465" t="s">
        <v>97</v>
      </c>
      <c r="K465" t="s">
        <v>96</v>
      </c>
      <c r="L465" t="s">
        <v>96</v>
      </c>
      <c r="M465">
        <v>3277.5</v>
      </c>
      <c r="O465" s="12" t="str">
        <f t="shared" si="28"/>
        <v>AFR</v>
      </c>
      <c r="P465" s="12" t="str">
        <f t="shared" si="29"/>
        <v>E_WON</v>
      </c>
    </row>
    <row r="466" spans="1:16" x14ac:dyDescent="0.35">
      <c r="A466" t="s">
        <v>95</v>
      </c>
      <c r="B466" t="s">
        <v>3111</v>
      </c>
      <c r="C466" t="s">
        <v>45</v>
      </c>
      <c r="D466" t="s">
        <v>553</v>
      </c>
      <c r="E466" t="s">
        <v>96</v>
      </c>
      <c r="F466" t="s">
        <v>96</v>
      </c>
      <c r="G466" t="s">
        <v>96</v>
      </c>
      <c r="H466">
        <v>2010</v>
      </c>
      <c r="I466" t="s">
        <v>96</v>
      </c>
      <c r="J466" t="s">
        <v>97</v>
      </c>
      <c r="K466" t="s">
        <v>96</v>
      </c>
      <c r="L466" t="s">
        <v>96</v>
      </c>
      <c r="M466">
        <v>3277.5</v>
      </c>
      <c r="O466" s="12" t="str">
        <f t="shared" si="28"/>
        <v>AFR</v>
      </c>
      <c r="P466" s="12" t="str">
        <f t="shared" si="29"/>
        <v>E_WON</v>
      </c>
    </row>
    <row r="467" spans="1:16" x14ac:dyDescent="0.35">
      <c r="A467" t="s">
        <v>95</v>
      </c>
      <c r="B467" t="s">
        <v>3111</v>
      </c>
      <c r="C467" t="s">
        <v>45</v>
      </c>
      <c r="D467" t="s">
        <v>554</v>
      </c>
      <c r="E467" t="s">
        <v>96</v>
      </c>
      <c r="F467" t="s">
        <v>96</v>
      </c>
      <c r="G467" t="s">
        <v>96</v>
      </c>
      <c r="H467">
        <v>2010</v>
      </c>
      <c r="I467" t="s">
        <v>96</v>
      </c>
      <c r="J467" t="s">
        <v>97</v>
      </c>
      <c r="K467" t="s">
        <v>96</v>
      </c>
      <c r="L467" t="s">
        <v>96</v>
      </c>
      <c r="M467">
        <v>3277.5</v>
      </c>
      <c r="O467" s="12" t="str">
        <f t="shared" si="28"/>
        <v>AFR</v>
      </c>
      <c r="P467" s="12" t="str">
        <f t="shared" si="29"/>
        <v>E_WON</v>
      </c>
    </row>
    <row r="468" spans="1:16" x14ac:dyDescent="0.35">
      <c r="A468" t="s">
        <v>95</v>
      </c>
      <c r="B468" t="s">
        <v>3111</v>
      </c>
      <c r="C468" t="s">
        <v>45</v>
      </c>
      <c r="D468" t="s">
        <v>555</v>
      </c>
      <c r="E468" t="s">
        <v>96</v>
      </c>
      <c r="F468" t="s">
        <v>96</v>
      </c>
      <c r="G468" t="s">
        <v>96</v>
      </c>
      <c r="H468">
        <v>2010</v>
      </c>
      <c r="I468" t="s">
        <v>96</v>
      </c>
      <c r="J468" t="s">
        <v>97</v>
      </c>
      <c r="K468" t="s">
        <v>96</v>
      </c>
      <c r="L468" t="s">
        <v>96</v>
      </c>
      <c r="M468">
        <v>3277.5</v>
      </c>
      <c r="O468" s="12" t="str">
        <f t="shared" si="28"/>
        <v>AFR</v>
      </c>
      <c r="P468" s="12" t="str">
        <f t="shared" si="29"/>
        <v>E_WON</v>
      </c>
    </row>
    <row r="469" spans="1:16" x14ac:dyDescent="0.35">
      <c r="A469" t="s">
        <v>95</v>
      </c>
      <c r="B469" t="s">
        <v>3111</v>
      </c>
      <c r="C469" t="s">
        <v>45</v>
      </c>
      <c r="D469" t="s">
        <v>556</v>
      </c>
      <c r="E469" t="s">
        <v>96</v>
      </c>
      <c r="F469" t="s">
        <v>96</v>
      </c>
      <c r="G469" t="s">
        <v>96</v>
      </c>
      <c r="H469">
        <v>2010</v>
      </c>
      <c r="I469" t="s">
        <v>96</v>
      </c>
      <c r="J469" t="s">
        <v>97</v>
      </c>
      <c r="K469" t="s">
        <v>96</v>
      </c>
      <c r="L469" t="s">
        <v>96</v>
      </c>
      <c r="M469">
        <v>2670</v>
      </c>
      <c r="O469" s="12" t="str">
        <f t="shared" si="28"/>
        <v>AFR</v>
      </c>
      <c r="P469" s="12" t="str">
        <f t="shared" si="29"/>
        <v>E_WON</v>
      </c>
    </row>
    <row r="470" spans="1:16" x14ac:dyDescent="0.35">
      <c r="A470" t="s">
        <v>95</v>
      </c>
      <c r="B470" t="s">
        <v>3111</v>
      </c>
      <c r="C470" t="s">
        <v>45</v>
      </c>
      <c r="D470" t="s">
        <v>557</v>
      </c>
      <c r="E470" t="s">
        <v>96</v>
      </c>
      <c r="F470" t="s">
        <v>96</v>
      </c>
      <c r="G470" t="s">
        <v>96</v>
      </c>
      <c r="H470">
        <v>2010</v>
      </c>
      <c r="I470" t="s">
        <v>96</v>
      </c>
      <c r="J470" t="s">
        <v>97</v>
      </c>
      <c r="K470" t="s">
        <v>96</v>
      </c>
      <c r="L470" t="s">
        <v>96</v>
      </c>
      <c r="M470">
        <v>3277.5</v>
      </c>
      <c r="O470" s="12" t="str">
        <f t="shared" si="28"/>
        <v>AFR</v>
      </c>
      <c r="P470" s="12" t="str">
        <f t="shared" si="29"/>
        <v>E_WON</v>
      </c>
    </row>
    <row r="471" spans="1:16" x14ac:dyDescent="0.35">
      <c r="A471" t="s">
        <v>95</v>
      </c>
      <c r="B471" t="s">
        <v>3111</v>
      </c>
      <c r="C471" t="s">
        <v>45</v>
      </c>
      <c r="D471" t="s">
        <v>559</v>
      </c>
      <c r="E471" t="s">
        <v>96</v>
      </c>
      <c r="F471" t="s">
        <v>96</v>
      </c>
      <c r="G471" t="s">
        <v>96</v>
      </c>
      <c r="H471">
        <v>2010</v>
      </c>
      <c r="I471" t="s">
        <v>96</v>
      </c>
      <c r="J471" t="s">
        <v>97</v>
      </c>
      <c r="K471" t="s">
        <v>96</v>
      </c>
      <c r="L471" t="s">
        <v>96</v>
      </c>
      <c r="M471">
        <v>3277.5</v>
      </c>
      <c r="O471" s="12" t="str">
        <f t="shared" si="28"/>
        <v>AFR</v>
      </c>
      <c r="P471" s="12" t="str">
        <f t="shared" si="29"/>
        <v>E_WON</v>
      </c>
    </row>
    <row r="472" spans="1:16" x14ac:dyDescent="0.35">
      <c r="A472" t="s">
        <v>95</v>
      </c>
      <c r="B472" t="s">
        <v>3111</v>
      </c>
      <c r="C472" t="s">
        <v>45</v>
      </c>
      <c r="D472" t="s">
        <v>560</v>
      </c>
      <c r="E472" t="s">
        <v>96</v>
      </c>
      <c r="F472" t="s">
        <v>96</v>
      </c>
      <c r="G472" t="s">
        <v>96</v>
      </c>
      <c r="H472">
        <v>2010</v>
      </c>
      <c r="I472" t="s">
        <v>96</v>
      </c>
      <c r="J472" t="s">
        <v>97</v>
      </c>
      <c r="K472" t="s">
        <v>96</v>
      </c>
      <c r="L472" t="s">
        <v>96</v>
      </c>
      <c r="M472">
        <v>3885</v>
      </c>
      <c r="O472" s="12" t="str">
        <f t="shared" si="28"/>
        <v>AFR</v>
      </c>
      <c r="P472" s="12" t="str">
        <f t="shared" si="29"/>
        <v>E_WON</v>
      </c>
    </row>
    <row r="473" spans="1:16" x14ac:dyDescent="0.35">
      <c r="A473" t="s">
        <v>95</v>
      </c>
      <c r="B473" t="s">
        <v>3111</v>
      </c>
      <c r="C473" t="s">
        <v>45</v>
      </c>
      <c r="D473" t="s">
        <v>562</v>
      </c>
      <c r="E473" t="s">
        <v>96</v>
      </c>
      <c r="F473" t="s">
        <v>96</v>
      </c>
      <c r="G473" t="s">
        <v>96</v>
      </c>
      <c r="H473">
        <v>2010</v>
      </c>
      <c r="I473" t="s">
        <v>96</v>
      </c>
      <c r="J473" t="s">
        <v>97</v>
      </c>
      <c r="K473" t="s">
        <v>96</v>
      </c>
      <c r="L473" t="s">
        <v>96</v>
      </c>
      <c r="M473">
        <v>3277.5</v>
      </c>
      <c r="O473" s="12" t="str">
        <f t="shared" si="28"/>
        <v>AFR</v>
      </c>
      <c r="P473" s="12" t="str">
        <f t="shared" si="29"/>
        <v>E_WON</v>
      </c>
    </row>
    <row r="474" spans="1:16" x14ac:dyDescent="0.35">
      <c r="A474" t="s">
        <v>95</v>
      </c>
      <c r="B474" t="s">
        <v>3111</v>
      </c>
      <c r="C474" t="s">
        <v>45</v>
      </c>
      <c r="D474" t="s">
        <v>565</v>
      </c>
      <c r="E474" t="s">
        <v>96</v>
      </c>
      <c r="F474" t="s">
        <v>96</v>
      </c>
      <c r="G474" t="s">
        <v>96</v>
      </c>
      <c r="H474">
        <v>2010</v>
      </c>
      <c r="I474" t="s">
        <v>96</v>
      </c>
      <c r="J474" t="s">
        <v>97</v>
      </c>
      <c r="K474" t="s">
        <v>96</v>
      </c>
      <c r="L474" t="s">
        <v>96</v>
      </c>
      <c r="M474">
        <v>3277.5</v>
      </c>
      <c r="O474" s="12" t="str">
        <f t="shared" si="28"/>
        <v>AFR</v>
      </c>
      <c r="P474" s="12" t="str">
        <f t="shared" si="29"/>
        <v>E_WON</v>
      </c>
    </row>
    <row r="475" spans="1:16" x14ac:dyDescent="0.35">
      <c r="A475" t="s">
        <v>95</v>
      </c>
      <c r="B475" t="s">
        <v>3111</v>
      </c>
      <c r="C475" t="s">
        <v>45</v>
      </c>
      <c r="D475" t="s">
        <v>566</v>
      </c>
      <c r="E475" t="s">
        <v>96</v>
      </c>
      <c r="F475" t="s">
        <v>96</v>
      </c>
      <c r="G475" t="s">
        <v>96</v>
      </c>
      <c r="H475">
        <v>2010</v>
      </c>
      <c r="I475" t="s">
        <v>96</v>
      </c>
      <c r="J475" t="s">
        <v>97</v>
      </c>
      <c r="K475" t="s">
        <v>96</v>
      </c>
      <c r="L475" t="s">
        <v>96</v>
      </c>
      <c r="M475">
        <v>3277.5</v>
      </c>
      <c r="O475" s="12" t="str">
        <f t="shared" si="28"/>
        <v>AFR</v>
      </c>
      <c r="P475" s="12" t="str">
        <f t="shared" si="29"/>
        <v>E_WON</v>
      </c>
    </row>
    <row r="476" spans="1:16" x14ac:dyDescent="0.35">
      <c r="A476" t="s">
        <v>95</v>
      </c>
      <c r="B476" t="s">
        <v>3111</v>
      </c>
      <c r="C476" t="s">
        <v>45</v>
      </c>
      <c r="D476" t="s">
        <v>567</v>
      </c>
      <c r="E476" t="s">
        <v>96</v>
      </c>
      <c r="F476" t="s">
        <v>96</v>
      </c>
      <c r="G476" t="s">
        <v>96</v>
      </c>
      <c r="H476">
        <v>2010</v>
      </c>
      <c r="I476" t="s">
        <v>96</v>
      </c>
      <c r="J476" t="s">
        <v>97</v>
      </c>
      <c r="K476" t="s">
        <v>96</v>
      </c>
      <c r="L476" t="s">
        <v>96</v>
      </c>
      <c r="M476">
        <v>3277.5</v>
      </c>
      <c r="O476" s="12" t="str">
        <f t="shared" si="28"/>
        <v>AFR</v>
      </c>
      <c r="P476" s="12" t="str">
        <f t="shared" si="29"/>
        <v>E_WON</v>
      </c>
    </row>
    <row r="477" spans="1:16" x14ac:dyDescent="0.35">
      <c r="A477" t="s">
        <v>95</v>
      </c>
      <c r="B477" t="s">
        <v>3111</v>
      </c>
      <c r="C477" t="s">
        <v>45</v>
      </c>
      <c r="D477" t="s">
        <v>568</v>
      </c>
      <c r="E477" t="s">
        <v>96</v>
      </c>
      <c r="F477" t="s">
        <v>96</v>
      </c>
      <c r="G477" t="s">
        <v>96</v>
      </c>
      <c r="H477">
        <v>2010</v>
      </c>
      <c r="I477" t="s">
        <v>96</v>
      </c>
      <c r="J477" t="s">
        <v>97</v>
      </c>
      <c r="K477" t="s">
        <v>96</v>
      </c>
      <c r="L477" t="s">
        <v>96</v>
      </c>
      <c r="M477">
        <v>2670</v>
      </c>
      <c r="O477" s="12" t="str">
        <f t="shared" si="28"/>
        <v>AFR</v>
      </c>
      <c r="P477" s="12" t="str">
        <f t="shared" si="29"/>
        <v>E_WON</v>
      </c>
    </row>
    <row r="478" spans="1:16" x14ac:dyDescent="0.35">
      <c r="A478" t="s">
        <v>95</v>
      </c>
      <c r="B478" t="s">
        <v>3111</v>
      </c>
      <c r="C478" t="s">
        <v>45</v>
      </c>
      <c r="D478" t="s">
        <v>570</v>
      </c>
      <c r="E478" t="s">
        <v>96</v>
      </c>
      <c r="F478" t="s">
        <v>96</v>
      </c>
      <c r="G478" t="s">
        <v>96</v>
      </c>
      <c r="H478">
        <v>2010</v>
      </c>
      <c r="I478" t="s">
        <v>96</v>
      </c>
      <c r="J478" t="s">
        <v>97</v>
      </c>
      <c r="K478" t="s">
        <v>96</v>
      </c>
      <c r="L478" t="s">
        <v>96</v>
      </c>
      <c r="M478">
        <v>3277.5</v>
      </c>
      <c r="O478" s="12" t="str">
        <f t="shared" si="28"/>
        <v>AFR</v>
      </c>
      <c r="P478" s="12" t="str">
        <f t="shared" si="29"/>
        <v>E_WON</v>
      </c>
    </row>
    <row r="479" spans="1:16" x14ac:dyDescent="0.35">
      <c r="A479" t="s">
        <v>95</v>
      </c>
      <c r="B479" t="s">
        <v>3111</v>
      </c>
      <c r="C479" t="s">
        <v>45</v>
      </c>
      <c r="D479" t="s">
        <v>571</v>
      </c>
      <c r="E479" t="s">
        <v>96</v>
      </c>
      <c r="F479" t="s">
        <v>96</v>
      </c>
      <c r="G479" t="s">
        <v>96</v>
      </c>
      <c r="H479">
        <v>2010</v>
      </c>
      <c r="I479" t="s">
        <v>96</v>
      </c>
      <c r="J479" t="s">
        <v>97</v>
      </c>
      <c r="K479" t="s">
        <v>96</v>
      </c>
      <c r="L479" t="s">
        <v>96</v>
      </c>
      <c r="M479">
        <v>3885</v>
      </c>
      <c r="O479" s="12" t="str">
        <f t="shared" si="28"/>
        <v>AFR</v>
      </c>
      <c r="P479" s="12" t="str">
        <f t="shared" si="29"/>
        <v>E_WON</v>
      </c>
    </row>
    <row r="480" spans="1:16" x14ac:dyDescent="0.35">
      <c r="A480" t="s">
        <v>95</v>
      </c>
      <c r="B480" t="s">
        <v>3111</v>
      </c>
      <c r="C480" t="s">
        <v>45</v>
      </c>
      <c r="D480" t="s">
        <v>573</v>
      </c>
      <c r="E480" t="s">
        <v>96</v>
      </c>
      <c r="F480" t="s">
        <v>96</v>
      </c>
      <c r="G480" t="s">
        <v>96</v>
      </c>
      <c r="H480">
        <v>2010</v>
      </c>
      <c r="I480" t="s">
        <v>96</v>
      </c>
      <c r="J480" t="s">
        <v>97</v>
      </c>
      <c r="K480" t="s">
        <v>96</v>
      </c>
      <c r="L480" t="s">
        <v>96</v>
      </c>
      <c r="M480">
        <v>3277.5</v>
      </c>
      <c r="O480" s="12" t="str">
        <f t="shared" si="28"/>
        <v>AFR</v>
      </c>
      <c r="P480" s="12" t="str">
        <f t="shared" si="29"/>
        <v>E_WON</v>
      </c>
    </row>
    <row r="481" spans="1:16" x14ac:dyDescent="0.35">
      <c r="A481" t="s">
        <v>95</v>
      </c>
      <c r="B481" t="s">
        <v>3111</v>
      </c>
      <c r="C481" t="s">
        <v>45</v>
      </c>
      <c r="D481" t="s">
        <v>575</v>
      </c>
      <c r="E481" t="s">
        <v>96</v>
      </c>
      <c r="F481" t="s">
        <v>96</v>
      </c>
      <c r="G481" t="s">
        <v>96</v>
      </c>
      <c r="H481">
        <v>2010</v>
      </c>
      <c r="I481" t="s">
        <v>96</v>
      </c>
      <c r="J481" t="s">
        <v>97</v>
      </c>
      <c r="K481" t="s">
        <v>96</v>
      </c>
      <c r="L481" t="s">
        <v>96</v>
      </c>
      <c r="M481">
        <v>3277.5</v>
      </c>
      <c r="O481" s="12" t="str">
        <f t="shared" si="28"/>
        <v>AFR</v>
      </c>
      <c r="P481" s="12" t="str">
        <f t="shared" si="29"/>
        <v>E_WON</v>
      </c>
    </row>
    <row r="482" spans="1:16" x14ac:dyDescent="0.35">
      <c r="A482" t="s">
        <v>95</v>
      </c>
      <c r="B482" t="s">
        <v>3111</v>
      </c>
      <c r="C482" t="s">
        <v>45</v>
      </c>
      <c r="D482" t="s">
        <v>576</v>
      </c>
      <c r="E482" t="s">
        <v>96</v>
      </c>
      <c r="F482" t="s">
        <v>96</v>
      </c>
      <c r="G482" t="s">
        <v>96</v>
      </c>
      <c r="H482">
        <v>2010</v>
      </c>
      <c r="I482" t="s">
        <v>96</v>
      </c>
      <c r="J482" t="s">
        <v>97</v>
      </c>
      <c r="K482" t="s">
        <v>96</v>
      </c>
      <c r="L482" t="s">
        <v>96</v>
      </c>
      <c r="M482">
        <v>3277.5</v>
      </c>
      <c r="O482" s="12" t="str">
        <f t="shared" si="28"/>
        <v>AFR</v>
      </c>
      <c r="P482" s="12" t="str">
        <f t="shared" si="29"/>
        <v>E_WON</v>
      </c>
    </row>
    <row r="483" spans="1:16" x14ac:dyDescent="0.35">
      <c r="A483" t="s">
        <v>95</v>
      </c>
      <c r="B483" t="s">
        <v>3111</v>
      </c>
      <c r="C483" t="s">
        <v>45</v>
      </c>
      <c r="D483" t="s">
        <v>578</v>
      </c>
      <c r="E483" t="s">
        <v>96</v>
      </c>
      <c r="F483" t="s">
        <v>96</v>
      </c>
      <c r="G483" t="s">
        <v>96</v>
      </c>
      <c r="H483">
        <v>2010</v>
      </c>
      <c r="I483" t="s">
        <v>96</v>
      </c>
      <c r="J483" t="s">
        <v>97</v>
      </c>
      <c r="K483" t="s">
        <v>96</v>
      </c>
      <c r="L483" t="s">
        <v>96</v>
      </c>
      <c r="M483">
        <v>3277.5</v>
      </c>
      <c r="O483" s="12" t="str">
        <f t="shared" si="28"/>
        <v>AFR</v>
      </c>
      <c r="P483" s="12" t="str">
        <f t="shared" si="29"/>
        <v>E_WON</v>
      </c>
    </row>
    <row r="484" spans="1:16" x14ac:dyDescent="0.35">
      <c r="A484" t="s">
        <v>95</v>
      </c>
      <c r="B484" t="s">
        <v>3111</v>
      </c>
      <c r="C484" t="s">
        <v>45</v>
      </c>
      <c r="D484" t="s">
        <v>579</v>
      </c>
      <c r="E484" t="s">
        <v>96</v>
      </c>
      <c r="F484" t="s">
        <v>96</v>
      </c>
      <c r="G484" t="s">
        <v>96</v>
      </c>
      <c r="H484">
        <v>2010</v>
      </c>
      <c r="I484" t="s">
        <v>96</v>
      </c>
      <c r="J484" t="s">
        <v>97</v>
      </c>
      <c r="K484" t="s">
        <v>96</v>
      </c>
      <c r="L484" t="s">
        <v>96</v>
      </c>
      <c r="M484">
        <v>3885</v>
      </c>
      <c r="O484" s="12" t="str">
        <f t="shared" si="28"/>
        <v>AFR</v>
      </c>
      <c r="P484" s="12" t="str">
        <f t="shared" si="29"/>
        <v>E_WON</v>
      </c>
    </row>
    <row r="485" spans="1:16" x14ac:dyDescent="0.35">
      <c r="A485" t="s">
        <v>95</v>
      </c>
      <c r="B485" t="s">
        <v>3111</v>
      </c>
      <c r="C485" t="s">
        <v>45</v>
      </c>
      <c r="D485" t="s">
        <v>581</v>
      </c>
      <c r="E485" t="s">
        <v>96</v>
      </c>
      <c r="F485" t="s">
        <v>96</v>
      </c>
      <c r="G485" t="s">
        <v>96</v>
      </c>
      <c r="H485">
        <v>2010</v>
      </c>
      <c r="I485" t="s">
        <v>96</v>
      </c>
      <c r="J485" t="s">
        <v>97</v>
      </c>
      <c r="K485" t="s">
        <v>96</v>
      </c>
      <c r="L485" t="s">
        <v>96</v>
      </c>
      <c r="M485">
        <v>3277.5</v>
      </c>
      <c r="O485" s="12" t="str">
        <f t="shared" si="28"/>
        <v>AFR</v>
      </c>
      <c r="P485" s="12" t="str">
        <f t="shared" si="29"/>
        <v>E_WON</v>
      </c>
    </row>
    <row r="486" spans="1:16" x14ac:dyDescent="0.35">
      <c r="A486" t="s">
        <v>95</v>
      </c>
      <c r="B486" t="s">
        <v>68</v>
      </c>
      <c r="C486" t="s">
        <v>45</v>
      </c>
      <c r="D486" t="s">
        <v>582</v>
      </c>
      <c r="E486" t="s">
        <v>96</v>
      </c>
      <c r="F486" t="s">
        <v>96</v>
      </c>
      <c r="G486" t="s">
        <v>96</v>
      </c>
      <c r="H486">
        <v>2010</v>
      </c>
      <c r="I486" t="s">
        <v>96</v>
      </c>
      <c r="J486" t="s">
        <v>97</v>
      </c>
      <c r="K486" t="s">
        <v>96</v>
      </c>
      <c r="L486" t="s">
        <v>96</v>
      </c>
      <c r="M486">
        <v>2712.5</v>
      </c>
      <c r="O486" s="12" t="str">
        <f t="shared" si="28"/>
        <v>ANZ</v>
      </c>
      <c r="P486" s="12" t="str">
        <f t="shared" si="29"/>
        <v>E_WON</v>
      </c>
    </row>
    <row r="487" spans="1:16" x14ac:dyDescent="0.35">
      <c r="A487" t="s">
        <v>95</v>
      </c>
      <c r="B487" t="s">
        <v>68</v>
      </c>
      <c r="C487" t="s">
        <v>45</v>
      </c>
      <c r="D487" t="s">
        <v>583</v>
      </c>
      <c r="E487" t="s">
        <v>96</v>
      </c>
      <c r="F487" t="s">
        <v>96</v>
      </c>
      <c r="G487" t="s">
        <v>96</v>
      </c>
      <c r="H487">
        <v>2010</v>
      </c>
      <c r="I487" t="s">
        <v>96</v>
      </c>
      <c r="J487" t="s">
        <v>97</v>
      </c>
      <c r="K487" t="s">
        <v>96</v>
      </c>
      <c r="L487" t="s">
        <v>96</v>
      </c>
      <c r="M487">
        <v>2712.5</v>
      </c>
      <c r="O487" s="12" t="str">
        <f t="shared" si="28"/>
        <v>ANZ</v>
      </c>
      <c r="P487" s="12" t="str">
        <f t="shared" si="29"/>
        <v>E_WON</v>
      </c>
    </row>
    <row r="488" spans="1:16" x14ac:dyDescent="0.35">
      <c r="A488" t="s">
        <v>95</v>
      </c>
      <c r="B488" t="s">
        <v>68</v>
      </c>
      <c r="C488" t="s">
        <v>45</v>
      </c>
      <c r="D488" t="s">
        <v>584</v>
      </c>
      <c r="E488" t="s">
        <v>96</v>
      </c>
      <c r="F488" t="s">
        <v>96</v>
      </c>
      <c r="G488" t="s">
        <v>96</v>
      </c>
      <c r="H488">
        <v>2010</v>
      </c>
      <c r="I488" t="s">
        <v>96</v>
      </c>
      <c r="J488" t="s">
        <v>97</v>
      </c>
      <c r="K488" t="s">
        <v>96</v>
      </c>
      <c r="L488" t="s">
        <v>96</v>
      </c>
      <c r="M488">
        <v>2712.5</v>
      </c>
      <c r="O488" s="12" t="str">
        <f t="shared" si="28"/>
        <v>ANZ</v>
      </c>
      <c r="P488" s="12" t="str">
        <f t="shared" si="29"/>
        <v>E_WON</v>
      </c>
    </row>
    <row r="489" spans="1:16" x14ac:dyDescent="0.35">
      <c r="A489" t="s">
        <v>95</v>
      </c>
      <c r="B489" t="s">
        <v>68</v>
      </c>
      <c r="C489" t="s">
        <v>45</v>
      </c>
      <c r="D489" t="s">
        <v>585</v>
      </c>
      <c r="E489" t="s">
        <v>96</v>
      </c>
      <c r="F489" t="s">
        <v>96</v>
      </c>
      <c r="G489" t="s">
        <v>96</v>
      </c>
      <c r="H489">
        <v>2010</v>
      </c>
      <c r="I489" t="s">
        <v>96</v>
      </c>
      <c r="J489" t="s">
        <v>97</v>
      </c>
      <c r="K489" t="s">
        <v>96</v>
      </c>
      <c r="L489" t="s">
        <v>96</v>
      </c>
      <c r="M489">
        <v>2712.5</v>
      </c>
      <c r="O489" s="12" t="str">
        <f t="shared" si="28"/>
        <v>ANZ</v>
      </c>
      <c r="P489" s="12" t="str">
        <f t="shared" si="29"/>
        <v>E_WON</v>
      </c>
    </row>
    <row r="490" spans="1:16" x14ac:dyDescent="0.35">
      <c r="A490" t="s">
        <v>95</v>
      </c>
      <c r="B490" t="s">
        <v>68</v>
      </c>
      <c r="C490" t="s">
        <v>45</v>
      </c>
      <c r="D490" t="s">
        <v>586</v>
      </c>
      <c r="E490" t="s">
        <v>96</v>
      </c>
      <c r="F490" t="s">
        <v>96</v>
      </c>
      <c r="G490" t="s">
        <v>96</v>
      </c>
      <c r="H490">
        <v>2010</v>
      </c>
      <c r="I490" t="s">
        <v>96</v>
      </c>
      <c r="J490" t="s">
        <v>97</v>
      </c>
      <c r="K490" t="s">
        <v>96</v>
      </c>
      <c r="L490" t="s">
        <v>96</v>
      </c>
      <c r="M490">
        <v>2712.5</v>
      </c>
      <c r="O490" s="12" t="str">
        <f t="shared" si="28"/>
        <v>ANZ</v>
      </c>
      <c r="P490" s="12" t="str">
        <f t="shared" si="29"/>
        <v>E_WON</v>
      </c>
    </row>
    <row r="491" spans="1:16" x14ac:dyDescent="0.35">
      <c r="A491" t="s">
        <v>95</v>
      </c>
      <c r="B491" t="s">
        <v>68</v>
      </c>
      <c r="C491" t="s">
        <v>45</v>
      </c>
      <c r="D491" t="s">
        <v>587</v>
      </c>
      <c r="E491" t="s">
        <v>96</v>
      </c>
      <c r="F491" t="s">
        <v>96</v>
      </c>
      <c r="G491" t="s">
        <v>96</v>
      </c>
      <c r="H491">
        <v>2010</v>
      </c>
      <c r="I491" t="s">
        <v>96</v>
      </c>
      <c r="J491" t="s">
        <v>97</v>
      </c>
      <c r="K491" t="s">
        <v>96</v>
      </c>
      <c r="L491" t="s">
        <v>96</v>
      </c>
      <c r="M491">
        <v>2712.5</v>
      </c>
      <c r="O491" s="12" t="str">
        <f t="shared" si="28"/>
        <v>ANZ</v>
      </c>
      <c r="P491" s="12" t="str">
        <f t="shared" si="29"/>
        <v>E_WON</v>
      </c>
    </row>
    <row r="492" spans="1:16" x14ac:dyDescent="0.35">
      <c r="A492" t="s">
        <v>95</v>
      </c>
      <c r="B492" t="s">
        <v>68</v>
      </c>
      <c r="C492" t="s">
        <v>45</v>
      </c>
      <c r="D492" t="s">
        <v>588</v>
      </c>
      <c r="E492" t="s">
        <v>96</v>
      </c>
      <c r="F492" t="s">
        <v>96</v>
      </c>
      <c r="G492" t="s">
        <v>96</v>
      </c>
      <c r="H492">
        <v>2010</v>
      </c>
      <c r="I492" t="s">
        <v>96</v>
      </c>
      <c r="J492" t="s">
        <v>97</v>
      </c>
      <c r="K492" t="s">
        <v>96</v>
      </c>
      <c r="L492" t="s">
        <v>96</v>
      </c>
      <c r="M492">
        <v>2712.5</v>
      </c>
      <c r="O492" s="12" t="str">
        <f t="shared" si="28"/>
        <v>ANZ</v>
      </c>
      <c r="P492" s="12" t="str">
        <f t="shared" si="29"/>
        <v>E_WON</v>
      </c>
    </row>
    <row r="493" spans="1:16" x14ac:dyDescent="0.35">
      <c r="A493" t="s">
        <v>95</v>
      </c>
      <c r="B493" t="s">
        <v>68</v>
      </c>
      <c r="C493" t="s">
        <v>45</v>
      </c>
      <c r="D493" t="s">
        <v>589</v>
      </c>
      <c r="E493" t="s">
        <v>96</v>
      </c>
      <c r="F493" t="s">
        <v>96</v>
      </c>
      <c r="G493" t="s">
        <v>96</v>
      </c>
      <c r="H493">
        <v>2010</v>
      </c>
      <c r="I493" t="s">
        <v>96</v>
      </c>
      <c r="J493" t="s">
        <v>97</v>
      </c>
      <c r="K493" t="s">
        <v>96</v>
      </c>
      <c r="L493" t="s">
        <v>96</v>
      </c>
      <c r="M493">
        <v>2712.5</v>
      </c>
      <c r="O493" s="12" t="str">
        <f t="shared" si="28"/>
        <v>ANZ</v>
      </c>
      <c r="P493" s="12" t="str">
        <f t="shared" si="29"/>
        <v>E_WON</v>
      </c>
    </row>
    <row r="494" spans="1:16" x14ac:dyDescent="0.35">
      <c r="A494" t="s">
        <v>95</v>
      </c>
      <c r="B494" t="s">
        <v>68</v>
      </c>
      <c r="C494" t="s">
        <v>45</v>
      </c>
      <c r="D494" t="s">
        <v>590</v>
      </c>
      <c r="E494" t="s">
        <v>96</v>
      </c>
      <c r="F494" t="s">
        <v>96</v>
      </c>
      <c r="G494" t="s">
        <v>96</v>
      </c>
      <c r="H494">
        <v>2010</v>
      </c>
      <c r="I494" t="s">
        <v>96</v>
      </c>
      <c r="J494" t="s">
        <v>97</v>
      </c>
      <c r="K494" t="s">
        <v>96</v>
      </c>
      <c r="L494" t="s">
        <v>96</v>
      </c>
      <c r="M494">
        <v>2712.5</v>
      </c>
      <c r="O494" s="12" t="str">
        <f t="shared" si="28"/>
        <v>ANZ</v>
      </c>
      <c r="P494" s="12" t="str">
        <f t="shared" si="29"/>
        <v>E_WON</v>
      </c>
    </row>
    <row r="495" spans="1:16" x14ac:dyDescent="0.35">
      <c r="A495" t="s">
        <v>95</v>
      </c>
      <c r="B495" t="s">
        <v>68</v>
      </c>
      <c r="C495" t="s">
        <v>45</v>
      </c>
      <c r="D495" t="s">
        <v>591</v>
      </c>
      <c r="E495" t="s">
        <v>96</v>
      </c>
      <c r="F495" t="s">
        <v>96</v>
      </c>
      <c r="G495" t="s">
        <v>96</v>
      </c>
      <c r="H495">
        <v>2010</v>
      </c>
      <c r="I495" t="s">
        <v>96</v>
      </c>
      <c r="J495" t="s">
        <v>97</v>
      </c>
      <c r="K495" t="s">
        <v>96</v>
      </c>
      <c r="L495" t="s">
        <v>96</v>
      </c>
      <c r="M495">
        <v>2712.5</v>
      </c>
      <c r="O495" s="12" t="str">
        <f t="shared" si="28"/>
        <v>ANZ</v>
      </c>
      <c r="P495" s="12" t="str">
        <f t="shared" si="29"/>
        <v>E_WON</v>
      </c>
    </row>
    <row r="496" spans="1:16" x14ac:dyDescent="0.35">
      <c r="A496" t="s">
        <v>95</v>
      </c>
      <c r="B496" t="s">
        <v>68</v>
      </c>
      <c r="C496" t="s">
        <v>45</v>
      </c>
      <c r="D496" t="s">
        <v>592</v>
      </c>
      <c r="E496" t="s">
        <v>96</v>
      </c>
      <c r="F496" t="s">
        <v>96</v>
      </c>
      <c r="G496" t="s">
        <v>96</v>
      </c>
      <c r="H496">
        <v>2010</v>
      </c>
      <c r="I496" t="s">
        <v>96</v>
      </c>
      <c r="J496" t="s">
        <v>97</v>
      </c>
      <c r="K496" t="s">
        <v>96</v>
      </c>
      <c r="L496" t="s">
        <v>96</v>
      </c>
      <c r="M496">
        <v>2712.5</v>
      </c>
      <c r="O496" s="12" t="str">
        <f t="shared" si="28"/>
        <v>ANZ</v>
      </c>
      <c r="P496" s="12" t="str">
        <f t="shared" si="29"/>
        <v>E_WON</v>
      </c>
    </row>
    <row r="497" spans="1:16" x14ac:dyDescent="0.35">
      <c r="A497" t="s">
        <v>95</v>
      </c>
      <c r="B497" t="s">
        <v>68</v>
      </c>
      <c r="C497" t="s">
        <v>45</v>
      </c>
      <c r="D497" t="s">
        <v>593</v>
      </c>
      <c r="E497" t="s">
        <v>96</v>
      </c>
      <c r="F497" t="s">
        <v>96</v>
      </c>
      <c r="G497" t="s">
        <v>96</v>
      </c>
      <c r="H497">
        <v>2010</v>
      </c>
      <c r="I497" t="s">
        <v>96</v>
      </c>
      <c r="J497" t="s">
        <v>97</v>
      </c>
      <c r="K497" t="s">
        <v>96</v>
      </c>
      <c r="L497" t="s">
        <v>96</v>
      </c>
      <c r="M497">
        <v>1550</v>
      </c>
      <c r="O497" s="12" t="str">
        <f t="shared" si="28"/>
        <v>ANZ</v>
      </c>
      <c r="P497" s="12" t="str">
        <f t="shared" si="29"/>
        <v>E_WON</v>
      </c>
    </row>
    <row r="498" spans="1:16" x14ac:dyDescent="0.35">
      <c r="A498" t="s">
        <v>95</v>
      </c>
      <c r="B498" t="s">
        <v>68</v>
      </c>
      <c r="C498" t="s">
        <v>45</v>
      </c>
      <c r="D498" t="s">
        <v>594</v>
      </c>
      <c r="E498" t="s">
        <v>96</v>
      </c>
      <c r="F498" t="s">
        <v>96</v>
      </c>
      <c r="G498" t="s">
        <v>96</v>
      </c>
      <c r="H498">
        <v>2010</v>
      </c>
      <c r="I498" t="s">
        <v>96</v>
      </c>
      <c r="J498" t="s">
        <v>97</v>
      </c>
      <c r="K498" t="s">
        <v>96</v>
      </c>
      <c r="L498" t="s">
        <v>96</v>
      </c>
      <c r="M498">
        <v>1550</v>
      </c>
      <c r="O498" s="12" t="str">
        <f t="shared" si="28"/>
        <v>ANZ</v>
      </c>
      <c r="P498" s="12" t="str">
        <f t="shared" si="29"/>
        <v>E_WON</v>
      </c>
    </row>
    <row r="499" spans="1:16" x14ac:dyDescent="0.35">
      <c r="A499" t="s">
        <v>95</v>
      </c>
      <c r="B499" t="s">
        <v>68</v>
      </c>
      <c r="C499" t="s">
        <v>45</v>
      </c>
      <c r="D499" t="s">
        <v>595</v>
      </c>
      <c r="E499" t="s">
        <v>96</v>
      </c>
      <c r="F499" t="s">
        <v>96</v>
      </c>
      <c r="G499" t="s">
        <v>96</v>
      </c>
      <c r="H499">
        <v>2010</v>
      </c>
      <c r="I499" t="s">
        <v>96</v>
      </c>
      <c r="J499" t="s">
        <v>97</v>
      </c>
      <c r="K499" t="s">
        <v>96</v>
      </c>
      <c r="L499" t="s">
        <v>96</v>
      </c>
      <c r="M499">
        <v>1550</v>
      </c>
      <c r="O499" s="12" t="str">
        <f t="shared" si="28"/>
        <v>ANZ</v>
      </c>
      <c r="P499" s="12" t="str">
        <f t="shared" si="29"/>
        <v>E_WON</v>
      </c>
    </row>
    <row r="500" spans="1:16" x14ac:dyDescent="0.35">
      <c r="A500" t="s">
        <v>95</v>
      </c>
      <c r="B500" t="s">
        <v>68</v>
      </c>
      <c r="C500" t="s">
        <v>45</v>
      </c>
      <c r="D500" t="s">
        <v>596</v>
      </c>
      <c r="E500" t="s">
        <v>96</v>
      </c>
      <c r="F500" t="s">
        <v>96</v>
      </c>
      <c r="G500" t="s">
        <v>96</v>
      </c>
      <c r="H500">
        <v>2010</v>
      </c>
      <c r="I500" t="s">
        <v>96</v>
      </c>
      <c r="J500" t="s">
        <v>97</v>
      </c>
      <c r="K500" t="s">
        <v>96</v>
      </c>
      <c r="L500" t="s">
        <v>96</v>
      </c>
      <c r="M500">
        <v>1550</v>
      </c>
      <c r="O500" s="12" t="str">
        <f t="shared" si="28"/>
        <v>ANZ</v>
      </c>
      <c r="P500" s="12" t="str">
        <f t="shared" si="29"/>
        <v>E_WON</v>
      </c>
    </row>
    <row r="501" spans="1:16" x14ac:dyDescent="0.35">
      <c r="A501" t="s">
        <v>95</v>
      </c>
      <c r="B501" t="s">
        <v>68</v>
      </c>
      <c r="C501" t="s">
        <v>45</v>
      </c>
      <c r="D501" t="s">
        <v>597</v>
      </c>
      <c r="E501" t="s">
        <v>96</v>
      </c>
      <c r="F501" t="s">
        <v>96</v>
      </c>
      <c r="G501" t="s">
        <v>96</v>
      </c>
      <c r="H501">
        <v>2010</v>
      </c>
      <c r="I501" t="s">
        <v>96</v>
      </c>
      <c r="J501" t="s">
        <v>97</v>
      </c>
      <c r="K501" t="s">
        <v>96</v>
      </c>
      <c r="L501" t="s">
        <v>96</v>
      </c>
      <c r="M501">
        <v>1550</v>
      </c>
      <c r="O501" s="12" t="str">
        <f t="shared" si="28"/>
        <v>ANZ</v>
      </c>
      <c r="P501" s="12" t="str">
        <f t="shared" si="29"/>
        <v>E_WON</v>
      </c>
    </row>
    <row r="502" spans="1:16" x14ac:dyDescent="0.35">
      <c r="A502" t="s">
        <v>95</v>
      </c>
      <c r="B502" t="s">
        <v>68</v>
      </c>
      <c r="C502" t="s">
        <v>45</v>
      </c>
      <c r="D502" t="s">
        <v>598</v>
      </c>
      <c r="E502" t="s">
        <v>96</v>
      </c>
      <c r="F502" t="s">
        <v>96</v>
      </c>
      <c r="G502" t="s">
        <v>96</v>
      </c>
      <c r="H502">
        <v>2010</v>
      </c>
      <c r="I502" t="s">
        <v>96</v>
      </c>
      <c r="J502" t="s">
        <v>97</v>
      </c>
      <c r="K502" t="s">
        <v>96</v>
      </c>
      <c r="L502" t="s">
        <v>96</v>
      </c>
      <c r="M502">
        <v>1550</v>
      </c>
      <c r="O502" s="12" t="str">
        <f t="shared" si="28"/>
        <v>ANZ</v>
      </c>
      <c r="P502" s="12" t="str">
        <f t="shared" si="29"/>
        <v>E_WON</v>
      </c>
    </row>
    <row r="503" spans="1:16" x14ac:dyDescent="0.35">
      <c r="A503" t="s">
        <v>95</v>
      </c>
      <c r="B503" t="s">
        <v>68</v>
      </c>
      <c r="C503" t="s">
        <v>45</v>
      </c>
      <c r="D503" t="s">
        <v>599</v>
      </c>
      <c r="E503" t="s">
        <v>96</v>
      </c>
      <c r="F503" t="s">
        <v>96</v>
      </c>
      <c r="G503" t="s">
        <v>96</v>
      </c>
      <c r="H503">
        <v>2010</v>
      </c>
      <c r="I503" t="s">
        <v>96</v>
      </c>
      <c r="J503" t="s">
        <v>97</v>
      </c>
      <c r="K503" t="s">
        <v>96</v>
      </c>
      <c r="L503" t="s">
        <v>96</v>
      </c>
      <c r="M503">
        <v>1550</v>
      </c>
      <c r="O503" s="12" t="str">
        <f t="shared" si="28"/>
        <v>ANZ</v>
      </c>
      <c r="P503" s="12" t="str">
        <f t="shared" si="29"/>
        <v>E_WON</v>
      </c>
    </row>
    <row r="504" spans="1:16" x14ac:dyDescent="0.35">
      <c r="A504" t="s">
        <v>95</v>
      </c>
      <c r="B504" t="s">
        <v>68</v>
      </c>
      <c r="C504" t="s">
        <v>45</v>
      </c>
      <c r="D504" t="s">
        <v>600</v>
      </c>
      <c r="E504" t="s">
        <v>96</v>
      </c>
      <c r="F504" t="s">
        <v>96</v>
      </c>
      <c r="G504" t="s">
        <v>96</v>
      </c>
      <c r="H504">
        <v>2010</v>
      </c>
      <c r="I504" t="s">
        <v>96</v>
      </c>
      <c r="J504" t="s">
        <v>97</v>
      </c>
      <c r="K504" t="s">
        <v>96</v>
      </c>
      <c r="L504" t="s">
        <v>96</v>
      </c>
      <c r="M504">
        <v>1550</v>
      </c>
      <c r="O504" s="12" t="str">
        <f t="shared" si="28"/>
        <v>ANZ</v>
      </c>
      <c r="P504" s="12" t="str">
        <f t="shared" si="29"/>
        <v>E_WON</v>
      </c>
    </row>
    <row r="505" spans="1:16" x14ac:dyDescent="0.35">
      <c r="A505" t="s">
        <v>95</v>
      </c>
      <c r="B505" t="s">
        <v>68</v>
      </c>
      <c r="C505" t="s">
        <v>45</v>
      </c>
      <c r="D505" t="s">
        <v>601</v>
      </c>
      <c r="E505" t="s">
        <v>96</v>
      </c>
      <c r="F505" t="s">
        <v>96</v>
      </c>
      <c r="G505" t="s">
        <v>96</v>
      </c>
      <c r="H505">
        <v>2010</v>
      </c>
      <c r="I505" t="s">
        <v>96</v>
      </c>
      <c r="J505" t="s">
        <v>97</v>
      </c>
      <c r="K505" t="s">
        <v>96</v>
      </c>
      <c r="L505" t="s">
        <v>96</v>
      </c>
      <c r="M505">
        <v>1550</v>
      </c>
      <c r="O505" s="12" t="str">
        <f t="shared" si="28"/>
        <v>ANZ</v>
      </c>
      <c r="P505" s="12" t="str">
        <f t="shared" si="29"/>
        <v>E_WON</v>
      </c>
    </row>
    <row r="506" spans="1:16" x14ac:dyDescent="0.35">
      <c r="A506" t="s">
        <v>95</v>
      </c>
      <c r="B506" t="s">
        <v>68</v>
      </c>
      <c r="C506" t="s">
        <v>45</v>
      </c>
      <c r="D506" t="s">
        <v>602</v>
      </c>
      <c r="E506" t="s">
        <v>96</v>
      </c>
      <c r="F506" t="s">
        <v>96</v>
      </c>
      <c r="G506" t="s">
        <v>96</v>
      </c>
      <c r="H506">
        <v>2010</v>
      </c>
      <c r="I506" t="s">
        <v>96</v>
      </c>
      <c r="J506" t="s">
        <v>97</v>
      </c>
      <c r="K506" t="s">
        <v>96</v>
      </c>
      <c r="L506" t="s">
        <v>96</v>
      </c>
      <c r="M506">
        <v>1550</v>
      </c>
      <c r="O506" s="12" t="str">
        <f t="shared" si="28"/>
        <v>ANZ</v>
      </c>
      <c r="P506" s="12" t="str">
        <f t="shared" si="29"/>
        <v>E_WON</v>
      </c>
    </row>
    <row r="507" spans="1:16" x14ac:dyDescent="0.35">
      <c r="A507" t="s">
        <v>95</v>
      </c>
      <c r="B507" t="s">
        <v>68</v>
      </c>
      <c r="C507" t="s">
        <v>45</v>
      </c>
      <c r="D507" t="s">
        <v>603</v>
      </c>
      <c r="E507" t="s">
        <v>96</v>
      </c>
      <c r="F507" t="s">
        <v>96</v>
      </c>
      <c r="G507" t="s">
        <v>96</v>
      </c>
      <c r="H507">
        <v>2010</v>
      </c>
      <c r="I507" t="s">
        <v>96</v>
      </c>
      <c r="J507" t="s">
        <v>97</v>
      </c>
      <c r="K507" t="s">
        <v>96</v>
      </c>
      <c r="L507" t="s">
        <v>96</v>
      </c>
      <c r="M507">
        <v>1550</v>
      </c>
      <c r="O507" s="12" t="str">
        <f t="shared" si="28"/>
        <v>ANZ</v>
      </c>
      <c r="P507" s="12" t="str">
        <f t="shared" si="29"/>
        <v>E_WON</v>
      </c>
    </row>
    <row r="508" spans="1:16" x14ac:dyDescent="0.35">
      <c r="A508" t="s">
        <v>95</v>
      </c>
      <c r="B508" t="s">
        <v>68</v>
      </c>
      <c r="C508" t="s">
        <v>45</v>
      </c>
      <c r="D508" t="s">
        <v>604</v>
      </c>
      <c r="E508" t="s">
        <v>96</v>
      </c>
      <c r="F508" t="s">
        <v>96</v>
      </c>
      <c r="G508" t="s">
        <v>96</v>
      </c>
      <c r="H508">
        <v>2010</v>
      </c>
      <c r="I508" t="s">
        <v>96</v>
      </c>
      <c r="J508" t="s">
        <v>97</v>
      </c>
      <c r="K508" t="s">
        <v>96</v>
      </c>
      <c r="L508" t="s">
        <v>96</v>
      </c>
      <c r="M508">
        <v>1550</v>
      </c>
      <c r="O508" s="12" t="str">
        <f t="shared" si="28"/>
        <v>ANZ</v>
      </c>
      <c r="P508" s="12" t="str">
        <f t="shared" si="29"/>
        <v>E_WON</v>
      </c>
    </row>
    <row r="509" spans="1:16" x14ac:dyDescent="0.35">
      <c r="A509" t="s">
        <v>95</v>
      </c>
      <c r="B509" t="s">
        <v>68</v>
      </c>
      <c r="C509" t="s">
        <v>45</v>
      </c>
      <c r="D509" t="s">
        <v>605</v>
      </c>
      <c r="E509" t="s">
        <v>96</v>
      </c>
      <c r="F509" t="s">
        <v>96</v>
      </c>
      <c r="G509" t="s">
        <v>96</v>
      </c>
      <c r="H509">
        <v>2010</v>
      </c>
      <c r="I509" t="s">
        <v>96</v>
      </c>
      <c r="J509" t="s">
        <v>97</v>
      </c>
      <c r="K509" t="s">
        <v>96</v>
      </c>
      <c r="L509" t="s">
        <v>96</v>
      </c>
      <c r="M509">
        <v>1550</v>
      </c>
      <c r="O509" s="12" t="str">
        <f t="shared" si="28"/>
        <v>ANZ</v>
      </c>
      <c r="P509" s="12" t="str">
        <f t="shared" si="29"/>
        <v>E_WON</v>
      </c>
    </row>
    <row r="510" spans="1:16" x14ac:dyDescent="0.35">
      <c r="A510" t="s">
        <v>95</v>
      </c>
      <c r="B510" t="s">
        <v>68</v>
      </c>
      <c r="C510" t="s">
        <v>45</v>
      </c>
      <c r="D510" t="s">
        <v>606</v>
      </c>
      <c r="E510" t="s">
        <v>96</v>
      </c>
      <c r="F510" t="s">
        <v>96</v>
      </c>
      <c r="G510" t="s">
        <v>96</v>
      </c>
      <c r="H510">
        <v>2010</v>
      </c>
      <c r="I510" t="s">
        <v>96</v>
      </c>
      <c r="J510" t="s">
        <v>97</v>
      </c>
      <c r="K510" t="s">
        <v>96</v>
      </c>
      <c r="L510" t="s">
        <v>96</v>
      </c>
      <c r="M510">
        <v>2325</v>
      </c>
      <c r="O510" s="12" t="str">
        <f t="shared" si="28"/>
        <v>ANZ</v>
      </c>
      <c r="P510" s="12" t="str">
        <f t="shared" si="29"/>
        <v>E_WON</v>
      </c>
    </row>
    <row r="511" spans="1:16" x14ac:dyDescent="0.35">
      <c r="A511" t="s">
        <v>95</v>
      </c>
      <c r="B511" t="s">
        <v>68</v>
      </c>
      <c r="C511" t="s">
        <v>45</v>
      </c>
      <c r="D511" t="s">
        <v>607</v>
      </c>
      <c r="E511" t="s">
        <v>96</v>
      </c>
      <c r="F511" t="s">
        <v>96</v>
      </c>
      <c r="G511" t="s">
        <v>96</v>
      </c>
      <c r="H511">
        <v>2010</v>
      </c>
      <c r="I511" t="s">
        <v>96</v>
      </c>
      <c r="J511" t="s">
        <v>97</v>
      </c>
      <c r="K511" t="s">
        <v>96</v>
      </c>
      <c r="L511" t="s">
        <v>96</v>
      </c>
      <c r="M511">
        <v>2325</v>
      </c>
      <c r="O511" s="12" t="str">
        <f t="shared" si="28"/>
        <v>ANZ</v>
      </c>
      <c r="P511" s="12" t="str">
        <f t="shared" si="29"/>
        <v>E_WON</v>
      </c>
    </row>
    <row r="512" spans="1:16" x14ac:dyDescent="0.35">
      <c r="A512" t="s">
        <v>95</v>
      </c>
      <c r="B512" t="s">
        <v>68</v>
      </c>
      <c r="C512" t="s">
        <v>45</v>
      </c>
      <c r="D512" t="s">
        <v>608</v>
      </c>
      <c r="E512" t="s">
        <v>96</v>
      </c>
      <c r="F512" t="s">
        <v>96</v>
      </c>
      <c r="G512" t="s">
        <v>96</v>
      </c>
      <c r="H512">
        <v>2010</v>
      </c>
      <c r="I512" t="s">
        <v>96</v>
      </c>
      <c r="J512" t="s">
        <v>97</v>
      </c>
      <c r="K512" t="s">
        <v>96</v>
      </c>
      <c r="L512" t="s">
        <v>96</v>
      </c>
      <c r="M512">
        <v>2325</v>
      </c>
      <c r="O512" s="12" t="str">
        <f t="shared" si="28"/>
        <v>ANZ</v>
      </c>
      <c r="P512" s="12" t="str">
        <f t="shared" si="29"/>
        <v>E_WON</v>
      </c>
    </row>
    <row r="513" spans="1:16" x14ac:dyDescent="0.35">
      <c r="A513" t="s">
        <v>95</v>
      </c>
      <c r="B513" t="s">
        <v>68</v>
      </c>
      <c r="C513" t="s">
        <v>45</v>
      </c>
      <c r="D513" t="s">
        <v>609</v>
      </c>
      <c r="E513" t="s">
        <v>96</v>
      </c>
      <c r="F513" t="s">
        <v>96</v>
      </c>
      <c r="G513" t="s">
        <v>96</v>
      </c>
      <c r="H513">
        <v>2010</v>
      </c>
      <c r="I513" t="s">
        <v>96</v>
      </c>
      <c r="J513" t="s">
        <v>97</v>
      </c>
      <c r="K513" t="s">
        <v>96</v>
      </c>
      <c r="L513" t="s">
        <v>96</v>
      </c>
      <c r="M513">
        <v>2325</v>
      </c>
      <c r="O513" s="12" t="str">
        <f t="shared" si="28"/>
        <v>ANZ</v>
      </c>
      <c r="P513" s="12" t="str">
        <f t="shared" si="29"/>
        <v>E_WON</v>
      </c>
    </row>
    <row r="514" spans="1:16" x14ac:dyDescent="0.35">
      <c r="A514" t="s">
        <v>95</v>
      </c>
      <c r="B514" t="s">
        <v>68</v>
      </c>
      <c r="C514" t="s">
        <v>45</v>
      </c>
      <c r="D514" t="s">
        <v>610</v>
      </c>
      <c r="E514" t="s">
        <v>96</v>
      </c>
      <c r="F514" t="s">
        <v>96</v>
      </c>
      <c r="G514" t="s">
        <v>96</v>
      </c>
      <c r="H514">
        <v>2010</v>
      </c>
      <c r="I514" t="s">
        <v>96</v>
      </c>
      <c r="J514" t="s">
        <v>97</v>
      </c>
      <c r="K514" t="s">
        <v>96</v>
      </c>
      <c r="L514" t="s">
        <v>96</v>
      </c>
      <c r="M514">
        <v>2325</v>
      </c>
      <c r="O514" s="12" t="str">
        <f t="shared" si="28"/>
        <v>ANZ</v>
      </c>
      <c r="P514" s="12" t="str">
        <f t="shared" si="29"/>
        <v>E_WON</v>
      </c>
    </row>
    <row r="515" spans="1:16" x14ac:dyDescent="0.35">
      <c r="A515" t="s">
        <v>95</v>
      </c>
      <c r="B515" t="s">
        <v>68</v>
      </c>
      <c r="C515" t="s">
        <v>45</v>
      </c>
      <c r="D515" t="s">
        <v>611</v>
      </c>
      <c r="E515" t="s">
        <v>96</v>
      </c>
      <c r="F515" t="s">
        <v>96</v>
      </c>
      <c r="G515" t="s">
        <v>96</v>
      </c>
      <c r="H515">
        <v>2010</v>
      </c>
      <c r="I515" t="s">
        <v>96</v>
      </c>
      <c r="J515" t="s">
        <v>97</v>
      </c>
      <c r="K515" t="s">
        <v>96</v>
      </c>
      <c r="L515" t="s">
        <v>96</v>
      </c>
      <c r="M515">
        <v>2325</v>
      </c>
      <c r="O515" s="12" t="str">
        <f t="shared" ref="O515:O578" si="30">LEFT(B515,3)</f>
        <v>ANZ</v>
      </c>
      <c r="P515" s="12" t="str">
        <f t="shared" ref="P515:P578" si="31">LEFT(D515,5)</f>
        <v>E_WON</v>
      </c>
    </row>
    <row r="516" spans="1:16" x14ac:dyDescent="0.35">
      <c r="A516" t="s">
        <v>95</v>
      </c>
      <c r="B516" t="s">
        <v>68</v>
      </c>
      <c r="C516" t="s">
        <v>45</v>
      </c>
      <c r="D516" t="s">
        <v>612</v>
      </c>
      <c r="E516" t="s">
        <v>96</v>
      </c>
      <c r="F516" t="s">
        <v>96</v>
      </c>
      <c r="G516" t="s">
        <v>96</v>
      </c>
      <c r="H516">
        <v>2010</v>
      </c>
      <c r="I516" t="s">
        <v>96</v>
      </c>
      <c r="J516" t="s">
        <v>97</v>
      </c>
      <c r="K516" t="s">
        <v>96</v>
      </c>
      <c r="L516" t="s">
        <v>96</v>
      </c>
      <c r="M516">
        <v>2325</v>
      </c>
      <c r="O516" s="12" t="str">
        <f t="shared" si="30"/>
        <v>ANZ</v>
      </c>
      <c r="P516" s="12" t="str">
        <f t="shared" si="31"/>
        <v>E_WON</v>
      </c>
    </row>
    <row r="517" spans="1:16" x14ac:dyDescent="0.35">
      <c r="A517" t="s">
        <v>95</v>
      </c>
      <c r="B517" t="s">
        <v>68</v>
      </c>
      <c r="C517" t="s">
        <v>45</v>
      </c>
      <c r="D517" t="s">
        <v>613</v>
      </c>
      <c r="E517" t="s">
        <v>96</v>
      </c>
      <c r="F517" t="s">
        <v>96</v>
      </c>
      <c r="G517" t="s">
        <v>96</v>
      </c>
      <c r="H517">
        <v>2010</v>
      </c>
      <c r="I517" t="s">
        <v>96</v>
      </c>
      <c r="J517" t="s">
        <v>97</v>
      </c>
      <c r="K517" t="s">
        <v>96</v>
      </c>
      <c r="L517" t="s">
        <v>96</v>
      </c>
      <c r="M517">
        <v>2325</v>
      </c>
      <c r="O517" s="12" t="str">
        <f t="shared" si="30"/>
        <v>ANZ</v>
      </c>
      <c r="P517" s="12" t="str">
        <f t="shared" si="31"/>
        <v>E_WON</v>
      </c>
    </row>
    <row r="518" spans="1:16" x14ac:dyDescent="0.35">
      <c r="A518" t="s">
        <v>95</v>
      </c>
      <c r="B518" t="s">
        <v>68</v>
      </c>
      <c r="C518" t="s">
        <v>45</v>
      </c>
      <c r="D518" t="s">
        <v>614</v>
      </c>
      <c r="E518" t="s">
        <v>96</v>
      </c>
      <c r="F518" t="s">
        <v>96</v>
      </c>
      <c r="G518" t="s">
        <v>96</v>
      </c>
      <c r="H518">
        <v>2010</v>
      </c>
      <c r="I518" t="s">
        <v>96</v>
      </c>
      <c r="J518" t="s">
        <v>97</v>
      </c>
      <c r="K518" t="s">
        <v>96</v>
      </c>
      <c r="L518" t="s">
        <v>96</v>
      </c>
      <c r="M518">
        <v>2325</v>
      </c>
      <c r="O518" s="12" t="str">
        <f t="shared" si="30"/>
        <v>ANZ</v>
      </c>
      <c r="P518" s="12" t="str">
        <f t="shared" si="31"/>
        <v>E_WON</v>
      </c>
    </row>
    <row r="519" spans="1:16" x14ac:dyDescent="0.35">
      <c r="A519" t="s">
        <v>95</v>
      </c>
      <c r="B519" t="s">
        <v>68</v>
      </c>
      <c r="C519" t="s">
        <v>45</v>
      </c>
      <c r="D519" t="s">
        <v>615</v>
      </c>
      <c r="E519" t="s">
        <v>96</v>
      </c>
      <c r="F519" t="s">
        <v>96</v>
      </c>
      <c r="G519" t="s">
        <v>96</v>
      </c>
      <c r="H519">
        <v>2010</v>
      </c>
      <c r="I519" t="s">
        <v>96</v>
      </c>
      <c r="J519" t="s">
        <v>97</v>
      </c>
      <c r="K519" t="s">
        <v>96</v>
      </c>
      <c r="L519" t="s">
        <v>96</v>
      </c>
      <c r="M519">
        <v>2325</v>
      </c>
      <c r="O519" s="12" t="str">
        <f t="shared" si="30"/>
        <v>ANZ</v>
      </c>
      <c r="P519" s="12" t="str">
        <f t="shared" si="31"/>
        <v>E_WON</v>
      </c>
    </row>
    <row r="520" spans="1:16" x14ac:dyDescent="0.35">
      <c r="A520" t="s">
        <v>95</v>
      </c>
      <c r="B520" t="s">
        <v>68</v>
      </c>
      <c r="C520" t="s">
        <v>45</v>
      </c>
      <c r="D520" t="s">
        <v>616</v>
      </c>
      <c r="E520" t="s">
        <v>96</v>
      </c>
      <c r="F520" t="s">
        <v>96</v>
      </c>
      <c r="G520" t="s">
        <v>96</v>
      </c>
      <c r="H520">
        <v>2010</v>
      </c>
      <c r="I520" t="s">
        <v>96</v>
      </c>
      <c r="J520" t="s">
        <v>97</v>
      </c>
      <c r="K520" t="s">
        <v>96</v>
      </c>
      <c r="L520" t="s">
        <v>96</v>
      </c>
      <c r="M520">
        <v>2325</v>
      </c>
      <c r="O520" s="12" t="str">
        <f t="shared" si="30"/>
        <v>ANZ</v>
      </c>
      <c r="P520" s="12" t="str">
        <f t="shared" si="31"/>
        <v>E_WON</v>
      </c>
    </row>
    <row r="521" spans="1:16" x14ac:dyDescent="0.35">
      <c r="A521" t="s">
        <v>95</v>
      </c>
      <c r="B521" t="s">
        <v>68</v>
      </c>
      <c r="C521" t="s">
        <v>45</v>
      </c>
      <c r="D521" t="s">
        <v>617</v>
      </c>
      <c r="E521" t="s">
        <v>96</v>
      </c>
      <c r="F521" t="s">
        <v>96</v>
      </c>
      <c r="G521" t="s">
        <v>96</v>
      </c>
      <c r="H521">
        <v>2010</v>
      </c>
      <c r="I521" t="s">
        <v>96</v>
      </c>
      <c r="J521" t="s">
        <v>97</v>
      </c>
      <c r="K521" t="s">
        <v>96</v>
      </c>
      <c r="L521" t="s">
        <v>96</v>
      </c>
      <c r="M521">
        <v>2325</v>
      </c>
      <c r="O521" s="12" t="str">
        <f t="shared" si="30"/>
        <v>ANZ</v>
      </c>
      <c r="P521" s="12" t="str">
        <f t="shared" si="31"/>
        <v>E_WON</v>
      </c>
    </row>
    <row r="522" spans="1:16" x14ac:dyDescent="0.35">
      <c r="A522" t="s">
        <v>95</v>
      </c>
      <c r="B522" t="s">
        <v>68</v>
      </c>
      <c r="C522" t="s">
        <v>45</v>
      </c>
      <c r="D522" t="s">
        <v>618</v>
      </c>
      <c r="E522" t="s">
        <v>96</v>
      </c>
      <c r="F522" t="s">
        <v>96</v>
      </c>
      <c r="G522" t="s">
        <v>96</v>
      </c>
      <c r="H522">
        <v>2010</v>
      </c>
      <c r="I522" t="s">
        <v>96</v>
      </c>
      <c r="J522" t="s">
        <v>97</v>
      </c>
      <c r="K522" t="s">
        <v>96</v>
      </c>
      <c r="L522" t="s">
        <v>96</v>
      </c>
      <c r="M522">
        <v>2325</v>
      </c>
      <c r="O522" s="12" t="str">
        <f t="shared" si="30"/>
        <v>ANZ</v>
      </c>
      <c r="P522" s="12" t="str">
        <f t="shared" si="31"/>
        <v>E_WON</v>
      </c>
    </row>
    <row r="523" spans="1:16" x14ac:dyDescent="0.35">
      <c r="A523" t="s">
        <v>95</v>
      </c>
      <c r="B523" t="s">
        <v>68</v>
      </c>
      <c r="C523" t="s">
        <v>45</v>
      </c>
      <c r="D523" t="s">
        <v>619</v>
      </c>
      <c r="E523" t="s">
        <v>96</v>
      </c>
      <c r="F523" t="s">
        <v>96</v>
      </c>
      <c r="G523" t="s">
        <v>96</v>
      </c>
      <c r="H523">
        <v>2010</v>
      </c>
      <c r="I523" t="s">
        <v>96</v>
      </c>
      <c r="J523" t="s">
        <v>97</v>
      </c>
      <c r="K523" t="s">
        <v>96</v>
      </c>
      <c r="L523" t="s">
        <v>96</v>
      </c>
      <c r="M523">
        <v>2325</v>
      </c>
      <c r="O523" s="12" t="str">
        <f t="shared" si="30"/>
        <v>ANZ</v>
      </c>
      <c r="P523" s="12" t="str">
        <f t="shared" si="31"/>
        <v>E_WON</v>
      </c>
    </row>
    <row r="524" spans="1:16" x14ac:dyDescent="0.35">
      <c r="A524" t="s">
        <v>95</v>
      </c>
      <c r="B524" t="s">
        <v>69</v>
      </c>
      <c r="C524" t="s">
        <v>45</v>
      </c>
      <c r="D524" t="s">
        <v>620</v>
      </c>
      <c r="E524" t="s">
        <v>96</v>
      </c>
      <c r="F524" t="s">
        <v>96</v>
      </c>
      <c r="G524" t="s">
        <v>96</v>
      </c>
      <c r="H524">
        <v>2010</v>
      </c>
      <c r="I524" t="s">
        <v>96</v>
      </c>
      <c r="J524" t="s">
        <v>97</v>
      </c>
      <c r="K524" t="s">
        <v>96</v>
      </c>
      <c r="L524" t="s">
        <v>96</v>
      </c>
      <c r="M524">
        <v>2222.5</v>
      </c>
      <c r="O524" s="12" t="str">
        <f t="shared" si="30"/>
        <v>BRZ</v>
      </c>
      <c r="P524" s="12" t="str">
        <f t="shared" si="31"/>
        <v>E_WON</v>
      </c>
    </row>
    <row r="525" spans="1:16" x14ac:dyDescent="0.35">
      <c r="A525" t="s">
        <v>95</v>
      </c>
      <c r="B525" t="s">
        <v>69</v>
      </c>
      <c r="C525" t="s">
        <v>45</v>
      </c>
      <c r="D525" t="s">
        <v>621</v>
      </c>
      <c r="E525" t="s">
        <v>96</v>
      </c>
      <c r="F525" t="s">
        <v>96</v>
      </c>
      <c r="G525" t="s">
        <v>96</v>
      </c>
      <c r="H525">
        <v>2010</v>
      </c>
      <c r="I525" t="s">
        <v>96</v>
      </c>
      <c r="J525" t="s">
        <v>97</v>
      </c>
      <c r="K525" t="s">
        <v>96</v>
      </c>
      <c r="L525" t="s">
        <v>96</v>
      </c>
      <c r="M525">
        <v>2222.5</v>
      </c>
      <c r="O525" s="12" t="str">
        <f t="shared" si="30"/>
        <v>BRZ</v>
      </c>
      <c r="P525" s="12" t="str">
        <f t="shared" si="31"/>
        <v>E_WON</v>
      </c>
    </row>
    <row r="526" spans="1:16" x14ac:dyDescent="0.35">
      <c r="A526" t="s">
        <v>95</v>
      </c>
      <c r="B526" t="s">
        <v>69</v>
      </c>
      <c r="C526" t="s">
        <v>45</v>
      </c>
      <c r="D526" t="s">
        <v>622</v>
      </c>
      <c r="E526" t="s">
        <v>96</v>
      </c>
      <c r="F526" t="s">
        <v>96</v>
      </c>
      <c r="G526" t="s">
        <v>96</v>
      </c>
      <c r="H526">
        <v>2010</v>
      </c>
      <c r="I526" t="s">
        <v>96</v>
      </c>
      <c r="J526" t="s">
        <v>97</v>
      </c>
      <c r="K526" t="s">
        <v>96</v>
      </c>
      <c r="L526" t="s">
        <v>96</v>
      </c>
      <c r="M526">
        <v>2222.5</v>
      </c>
      <c r="O526" s="12" t="str">
        <f t="shared" si="30"/>
        <v>BRZ</v>
      </c>
      <c r="P526" s="12" t="str">
        <f t="shared" si="31"/>
        <v>E_WON</v>
      </c>
    </row>
    <row r="527" spans="1:16" x14ac:dyDescent="0.35">
      <c r="A527" t="s">
        <v>95</v>
      </c>
      <c r="B527" t="s">
        <v>69</v>
      </c>
      <c r="C527" t="s">
        <v>45</v>
      </c>
      <c r="D527" t="s">
        <v>623</v>
      </c>
      <c r="E527" t="s">
        <v>96</v>
      </c>
      <c r="F527" t="s">
        <v>96</v>
      </c>
      <c r="G527" t="s">
        <v>96</v>
      </c>
      <c r="H527">
        <v>2010</v>
      </c>
      <c r="I527" t="s">
        <v>96</v>
      </c>
      <c r="J527" t="s">
        <v>97</v>
      </c>
      <c r="K527" t="s">
        <v>96</v>
      </c>
      <c r="L527" t="s">
        <v>96</v>
      </c>
      <c r="M527">
        <v>2222.5</v>
      </c>
      <c r="O527" s="12" t="str">
        <f t="shared" si="30"/>
        <v>BRZ</v>
      </c>
      <c r="P527" s="12" t="str">
        <f t="shared" si="31"/>
        <v>E_WON</v>
      </c>
    </row>
    <row r="528" spans="1:16" x14ac:dyDescent="0.35">
      <c r="A528" t="s">
        <v>95</v>
      </c>
      <c r="B528" t="s">
        <v>69</v>
      </c>
      <c r="C528" t="s">
        <v>45</v>
      </c>
      <c r="D528" t="s">
        <v>624</v>
      </c>
      <c r="E528" t="s">
        <v>96</v>
      </c>
      <c r="F528" t="s">
        <v>96</v>
      </c>
      <c r="G528" t="s">
        <v>96</v>
      </c>
      <c r="H528">
        <v>2010</v>
      </c>
      <c r="I528" t="s">
        <v>96</v>
      </c>
      <c r="J528" t="s">
        <v>97</v>
      </c>
      <c r="K528" t="s">
        <v>96</v>
      </c>
      <c r="L528" t="s">
        <v>96</v>
      </c>
      <c r="M528">
        <v>2222.5</v>
      </c>
      <c r="O528" s="12" t="str">
        <f t="shared" si="30"/>
        <v>BRZ</v>
      </c>
      <c r="P528" s="12" t="str">
        <f t="shared" si="31"/>
        <v>E_WON</v>
      </c>
    </row>
    <row r="529" spans="1:16" x14ac:dyDescent="0.35">
      <c r="A529" t="s">
        <v>95</v>
      </c>
      <c r="B529" t="s">
        <v>69</v>
      </c>
      <c r="C529" t="s">
        <v>45</v>
      </c>
      <c r="D529" t="s">
        <v>625</v>
      </c>
      <c r="E529" t="s">
        <v>96</v>
      </c>
      <c r="F529" t="s">
        <v>96</v>
      </c>
      <c r="G529" t="s">
        <v>96</v>
      </c>
      <c r="H529">
        <v>2010</v>
      </c>
      <c r="I529" t="s">
        <v>96</v>
      </c>
      <c r="J529" t="s">
        <v>97</v>
      </c>
      <c r="K529" t="s">
        <v>96</v>
      </c>
      <c r="L529" t="s">
        <v>96</v>
      </c>
      <c r="M529">
        <v>2222.5</v>
      </c>
      <c r="O529" s="12" t="str">
        <f t="shared" si="30"/>
        <v>BRZ</v>
      </c>
      <c r="P529" s="12" t="str">
        <f t="shared" si="31"/>
        <v>E_WON</v>
      </c>
    </row>
    <row r="530" spans="1:16" x14ac:dyDescent="0.35">
      <c r="A530" t="s">
        <v>95</v>
      </c>
      <c r="B530" t="s">
        <v>69</v>
      </c>
      <c r="C530" t="s">
        <v>45</v>
      </c>
      <c r="D530" t="s">
        <v>626</v>
      </c>
      <c r="E530" t="s">
        <v>96</v>
      </c>
      <c r="F530" t="s">
        <v>96</v>
      </c>
      <c r="G530" t="s">
        <v>96</v>
      </c>
      <c r="H530">
        <v>2010</v>
      </c>
      <c r="I530" t="s">
        <v>96</v>
      </c>
      <c r="J530" t="s">
        <v>97</v>
      </c>
      <c r="K530" t="s">
        <v>96</v>
      </c>
      <c r="L530" t="s">
        <v>96</v>
      </c>
      <c r="M530">
        <v>2222.5</v>
      </c>
      <c r="O530" s="12" t="str">
        <f t="shared" si="30"/>
        <v>BRZ</v>
      </c>
      <c r="P530" s="12" t="str">
        <f t="shared" si="31"/>
        <v>E_WON</v>
      </c>
    </row>
    <row r="531" spans="1:16" x14ac:dyDescent="0.35">
      <c r="A531" t="s">
        <v>95</v>
      </c>
      <c r="B531" t="s">
        <v>69</v>
      </c>
      <c r="C531" t="s">
        <v>45</v>
      </c>
      <c r="D531" t="s">
        <v>627</v>
      </c>
      <c r="E531" t="s">
        <v>96</v>
      </c>
      <c r="F531" t="s">
        <v>96</v>
      </c>
      <c r="G531" t="s">
        <v>96</v>
      </c>
      <c r="H531">
        <v>2010</v>
      </c>
      <c r="I531" t="s">
        <v>96</v>
      </c>
      <c r="J531" t="s">
        <v>97</v>
      </c>
      <c r="K531" t="s">
        <v>96</v>
      </c>
      <c r="L531" t="s">
        <v>96</v>
      </c>
      <c r="M531">
        <v>1270</v>
      </c>
      <c r="O531" s="12" t="str">
        <f t="shared" si="30"/>
        <v>BRZ</v>
      </c>
      <c r="P531" s="12" t="str">
        <f t="shared" si="31"/>
        <v>E_WON</v>
      </c>
    </row>
    <row r="532" spans="1:16" x14ac:dyDescent="0.35">
      <c r="A532" t="s">
        <v>95</v>
      </c>
      <c r="B532" t="s">
        <v>69</v>
      </c>
      <c r="C532" t="s">
        <v>45</v>
      </c>
      <c r="D532" t="s">
        <v>628</v>
      </c>
      <c r="E532" t="s">
        <v>96</v>
      </c>
      <c r="F532" t="s">
        <v>96</v>
      </c>
      <c r="G532" t="s">
        <v>96</v>
      </c>
      <c r="H532">
        <v>2010</v>
      </c>
      <c r="I532" t="s">
        <v>96</v>
      </c>
      <c r="J532" t="s">
        <v>97</v>
      </c>
      <c r="K532" t="s">
        <v>96</v>
      </c>
      <c r="L532" t="s">
        <v>96</v>
      </c>
      <c r="M532">
        <v>1270</v>
      </c>
      <c r="O532" s="12" t="str">
        <f t="shared" si="30"/>
        <v>BRZ</v>
      </c>
      <c r="P532" s="12" t="str">
        <f t="shared" si="31"/>
        <v>E_WON</v>
      </c>
    </row>
    <row r="533" spans="1:16" x14ac:dyDescent="0.35">
      <c r="A533" t="s">
        <v>95</v>
      </c>
      <c r="B533" t="s">
        <v>69</v>
      </c>
      <c r="C533" t="s">
        <v>45</v>
      </c>
      <c r="D533" t="s">
        <v>629</v>
      </c>
      <c r="E533" t="s">
        <v>96</v>
      </c>
      <c r="F533" t="s">
        <v>96</v>
      </c>
      <c r="G533" t="s">
        <v>96</v>
      </c>
      <c r="H533">
        <v>2010</v>
      </c>
      <c r="I533" t="s">
        <v>96</v>
      </c>
      <c r="J533" t="s">
        <v>97</v>
      </c>
      <c r="K533" t="s">
        <v>96</v>
      </c>
      <c r="L533" t="s">
        <v>96</v>
      </c>
      <c r="M533">
        <v>1270</v>
      </c>
      <c r="O533" s="12" t="str">
        <f t="shared" si="30"/>
        <v>BRZ</v>
      </c>
      <c r="P533" s="12" t="str">
        <f t="shared" si="31"/>
        <v>E_WON</v>
      </c>
    </row>
    <row r="534" spans="1:16" x14ac:dyDescent="0.35">
      <c r="A534" t="s">
        <v>95</v>
      </c>
      <c r="B534" t="s">
        <v>69</v>
      </c>
      <c r="C534" t="s">
        <v>45</v>
      </c>
      <c r="D534" t="s">
        <v>630</v>
      </c>
      <c r="E534" t="s">
        <v>96</v>
      </c>
      <c r="F534" t="s">
        <v>96</v>
      </c>
      <c r="G534" t="s">
        <v>96</v>
      </c>
      <c r="H534">
        <v>2010</v>
      </c>
      <c r="I534" t="s">
        <v>96</v>
      </c>
      <c r="J534" t="s">
        <v>97</v>
      </c>
      <c r="K534" t="s">
        <v>96</v>
      </c>
      <c r="L534" t="s">
        <v>96</v>
      </c>
      <c r="M534">
        <v>1270</v>
      </c>
      <c r="O534" s="12" t="str">
        <f t="shared" si="30"/>
        <v>BRZ</v>
      </c>
      <c r="P534" s="12" t="str">
        <f t="shared" si="31"/>
        <v>E_WON</v>
      </c>
    </row>
    <row r="535" spans="1:16" x14ac:dyDescent="0.35">
      <c r="A535" t="s">
        <v>95</v>
      </c>
      <c r="B535" t="s">
        <v>69</v>
      </c>
      <c r="C535" t="s">
        <v>45</v>
      </c>
      <c r="D535" t="s">
        <v>631</v>
      </c>
      <c r="E535" t="s">
        <v>96</v>
      </c>
      <c r="F535" t="s">
        <v>96</v>
      </c>
      <c r="G535" t="s">
        <v>96</v>
      </c>
      <c r="H535">
        <v>2010</v>
      </c>
      <c r="I535" t="s">
        <v>96</v>
      </c>
      <c r="J535" t="s">
        <v>97</v>
      </c>
      <c r="K535" t="s">
        <v>96</v>
      </c>
      <c r="L535" t="s">
        <v>96</v>
      </c>
      <c r="M535">
        <v>1270</v>
      </c>
      <c r="O535" s="12" t="str">
        <f t="shared" si="30"/>
        <v>BRZ</v>
      </c>
      <c r="P535" s="12" t="str">
        <f t="shared" si="31"/>
        <v>E_WON</v>
      </c>
    </row>
    <row r="536" spans="1:16" x14ac:dyDescent="0.35">
      <c r="A536" t="s">
        <v>95</v>
      </c>
      <c r="B536" t="s">
        <v>69</v>
      </c>
      <c r="C536" t="s">
        <v>45</v>
      </c>
      <c r="D536" t="s">
        <v>632</v>
      </c>
      <c r="E536" t="s">
        <v>96</v>
      </c>
      <c r="F536" t="s">
        <v>96</v>
      </c>
      <c r="G536" t="s">
        <v>96</v>
      </c>
      <c r="H536">
        <v>2010</v>
      </c>
      <c r="I536" t="s">
        <v>96</v>
      </c>
      <c r="J536" t="s">
        <v>97</v>
      </c>
      <c r="K536" t="s">
        <v>96</v>
      </c>
      <c r="L536" t="s">
        <v>96</v>
      </c>
      <c r="M536">
        <v>1270</v>
      </c>
      <c r="O536" s="12" t="str">
        <f t="shared" si="30"/>
        <v>BRZ</v>
      </c>
      <c r="P536" s="12" t="str">
        <f t="shared" si="31"/>
        <v>E_WON</v>
      </c>
    </row>
    <row r="537" spans="1:16" x14ac:dyDescent="0.35">
      <c r="A537" t="s">
        <v>95</v>
      </c>
      <c r="B537" t="s">
        <v>69</v>
      </c>
      <c r="C537" t="s">
        <v>45</v>
      </c>
      <c r="D537" t="s">
        <v>633</v>
      </c>
      <c r="E537" t="s">
        <v>96</v>
      </c>
      <c r="F537" t="s">
        <v>96</v>
      </c>
      <c r="G537" t="s">
        <v>96</v>
      </c>
      <c r="H537">
        <v>2010</v>
      </c>
      <c r="I537" t="s">
        <v>96</v>
      </c>
      <c r="J537" t="s">
        <v>97</v>
      </c>
      <c r="K537" t="s">
        <v>96</v>
      </c>
      <c r="L537" t="s">
        <v>96</v>
      </c>
      <c r="M537">
        <v>1270</v>
      </c>
      <c r="O537" s="12" t="str">
        <f t="shared" si="30"/>
        <v>BRZ</v>
      </c>
      <c r="P537" s="12" t="str">
        <f t="shared" si="31"/>
        <v>E_WON</v>
      </c>
    </row>
    <row r="538" spans="1:16" x14ac:dyDescent="0.35">
      <c r="A538" t="s">
        <v>95</v>
      </c>
      <c r="B538" t="s">
        <v>69</v>
      </c>
      <c r="C538" t="s">
        <v>45</v>
      </c>
      <c r="D538" t="s">
        <v>634</v>
      </c>
      <c r="E538" t="s">
        <v>96</v>
      </c>
      <c r="F538" t="s">
        <v>96</v>
      </c>
      <c r="G538" t="s">
        <v>96</v>
      </c>
      <c r="H538">
        <v>2010</v>
      </c>
      <c r="I538" t="s">
        <v>96</v>
      </c>
      <c r="J538" t="s">
        <v>97</v>
      </c>
      <c r="K538" t="s">
        <v>96</v>
      </c>
      <c r="L538" t="s">
        <v>96</v>
      </c>
      <c r="M538">
        <v>1270</v>
      </c>
      <c r="O538" s="12" t="str">
        <f t="shared" si="30"/>
        <v>BRZ</v>
      </c>
      <c r="P538" s="12" t="str">
        <f t="shared" si="31"/>
        <v>E_WON</v>
      </c>
    </row>
    <row r="539" spans="1:16" x14ac:dyDescent="0.35">
      <c r="A539" t="s">
        <v>95</v>
      </c>
      <c r="B539" t="s">
        <v>69</v>
      </c>
      <c r="C539" t="s">
        <v>45</v>
      </c>
      <c r="D539" t="s">
        <v>635</v>
      </c>
      <c r="E539" t="s">
        <v>96</v>
      </c>
      <c r="F539" t="s">
        <v>96</v>
      </c>
      <c r="G539" t="s">
        <v>96</v>
      </c>
      <c r="H539">
        <v>2010</v>
      </c>
      <c r="I539" t="s">
        <v>96</v>
      </c>
      <c r="J539" t="s">
        <v>97</v>
      </c>
      <c r="K539" t="s">
        <v>96</v>
      </c>
      <c r="L539" t="s">
        <v>96</v>
      </c>
      <c r="M539">
        <v>1270</v>
      </c>
      <c r="O539" s="12" t="str">
        <f t="shared" si="30"/>
        <v>BRZ</v>
      </c>
      <c r="P539" s="12" t="str">
        <f t="shared" si="31"/>
        <v>E_WON</v>
      </c>
    </row>
    <row r="540" spans="1:16" x14ac:dyDescent="0.35">
      <c r="A540" t="s">
        <v>95</v>
      </c>
      <c r="B540" t="s">
        <v>69</v>
      </c>
      <c r="C540" t="s">
        <v>45</v>
      </c>
      <c r="D540" t="s">
        <v>636</v>
      </c>
      <c r="E540" t="s">
        <v>96</v>
      </c>
      <c r="F540" t="s">
        <v>96</v>
      </c>
      <c r="G540" t="s">
        <v>96</v>
      </c>
      <c r="H540">
        <v>2010</v>
      </c>
      <c r="I540" t="s">
        <v>96</v>
      </c>
      <c r="J540" t="s">
        <v>97</v>
      </c>
      <c r="K540" t="s">
        <v>96</v>
      </c>
      <c r="L540" t="s">
        <v>96</v>
      </c>
      <c r="M540">
        <v>1905</v>
      </c>
      <c r="O540" s="12" t="str">
        <f t="shared" si="30"/>
        <v>BRZ</v>
      </c>
      <c r="P540" s="12" t="str">
        <f t="shared" si="31"/>
        <v>E_WON</v>
      </c>
    </row>
    <row r="541" spans="1:16" x14ac:dyDescent="0.35">
      <c r="A541" t="s">
        <v>95</v>
      </c>
      <c r="B541" t="s">
        <v>69</v>
      </c>
      <c r="C541" t="s">
        <v>45</v>
      </c>
      <c r="D541" t="s">
        <v>637</v>
      </c>
      <c r="E541" t="s">
        <v>96</v>
      </c>
      <c r="F541" t="s">
        <v>96</v>
      </c>
      <c r="G541" t="s">
        <v>96</v>
      </c>
      <c r="H541">
        <v>2010</v>
      </c>
      <c r="I541" t="s">
        <v>96</v>
      </c>
      <c r="J541" t="s">
        <v>97</v>
      </c>
      <c r="K541" t="s">
        <v>96</v>
      </c>
      <c r="L541" t="s">
        <v>96</v>
      </c>
      <c r="M541">
        <v>1905</v>
      </c>
      <c r="O541" s="12" t="str">
        <f t="shared" si="30"/>
        <v>BRZ</v>
      </c>
      <c r="P541" s="12" t="str">
        <f t="shared" si="31"/>
        <v>E_WON</v>
      </c>
    </row>
    <row r="542" spans="1:16" x14ac:dyDescent="0.35">
      <c r="A542" t="s">
        <v>95</v>
      </c>
      <c r="B542" t="s">
        <v>69</v>
      </c>
      <c r="C542" t="s">
        <v>45</v>
      </c>
      <c r="D542" t="s">
        <v>638</v>
      </c>
      <c r="E542" t="s">
        <v>96</v>
      </c>
      <c r="F542" t="s">
        <v>96</v>
      </c>
      <c r="G542" t="s">
        <v>96</v>
      </c>
      <c r="H542">
        <v>2010</v>
      </c>
      <c r="I542" t="s">
        <v>96</v>
      </c>
      <c r="J542" t="s">
        <v>97</v>
      </c>
      <c r="K542" t="s">
        <v>96</v>
      </c>
      <c r="L542" t="s">
        <v>96</v>
      </c>
      <c r="M542">
        <v>1905</v>
      </c>
      <c r="O542" s="12" t="str">
        <f t="shared" si="30"/>
        <v>BRZ</v>
      </c>
      <c r="P542" s="12" t="str">
        <f t="shared" si="31"/>
        <v>E_WON</v>
      </c>
    </row>
    <row r="543" spans="1:16" x14ac:dyDescent="0.35">
      <c r="A543" t="s">
        <v>95</v>
      </c>
      <c r="B543" t="s">
        <v>69</v>
      </c>
      <c r="C543" t="s">
        <v>45</v>
      </c>
      <c r="D543" t="s">
        <v>639</v>
      </c>
      <c r="E543" t="s">
        <v>96</v>
      </c>
      <c r="F543" t="s">
        <v>96</v>
      </c>
      <c r="G543" t="s">
        <v>96</v>
      </c>
      <c r="H543">
        <v>2010</v>
      </c>
      <c r="I543" t="s">
        <v>96</v>
      </c>
      <c r="J543" t="s">
        <v>97</v>
      </c>
      <c r="K543" t="s">
        <v>96</v>
      </c>
      <c r="L543" t="s">
        <v>96</v>
      </c>
      <c r="M543">
        <v>1905</v>
      </c>
      <c r="O543" s="12" t="str">
        <f t="shared" si="30"/>
        <v>BRZ</v>
      </c>
      <c r="P543" s="12" t="str">
        <f t="shared" si="31"/>
        <v>E_WON</v>
      </c>
    </row>
    <row r="544" spans="1:16" x14ac:dyDescent="0.35">
      <c r="A544" t="s">
        <v>95</v>
      </c>
      <c r="B544" t="s">
        <v>69</v>
      </c>
      <c r="C544" t="s">
        <v>45</v>
      </c>
      <c r="D544" t="s">
        <v>640</v>
      </c>
      <c r="E544" t="s">
        <v>96</v>
      </c>
      <c r="F544" t="s">
        <v>96</v>
      </c>
      <c r="G544" t="s">
        <v>96</v>
      </c>
      <c r="H544">
        <v>2010</v>
      </c>
      <c r="I544" t="s">
        <v>96</v>
      </c>
      <c r="J544" t="s">
        <v>97</v>
      </c>
      <c r="K544" t="s">
        <v>96</v>
      </c>
      <c r="L544" t="s">
        <v>96</v>
      </c>
      <c r="M544">
        <v>1905</v>
      </c>
      <c r="O544" s="12" t="str">
        <f t="shared" si="30"/>
        <v>BRZ</v>
      </c>
      <c r="P544" s="12" t="str">
        <f t="shared" si="31"/>
        <v>E_WON</v>
      </c>
    </row>
    <row r="545" spans="1:16" x14ac:dyDescent="0.35">
      <c r="A545" t="s">
        <v>95</v>
      </c>
      <c r="B545" t="s">
        <v>69</v>
      </c>
      <c r="C545" t="s">
        <v>45</v>
      </c>
      <c r="D545" t="s">
        <v>641</v>
      </c>
      <c r="E545" t="s">
        <v>96</v>
      </c>
      <c r="F545" t="s">
        <v>96</v>
      </c>
      <c r="G545" t="s">
        <v>96</v>
      </c>
      <c r="H545">
        <v>2010</v>
      </c>
      <c r="I545" t="s">
        <v>96</v>
      </c>
      <c r="J545" t="s">
        <v>97</v>
      </c>
      <c r="K545" t="s">
        <v>96</v>
      </c>
      <c r="L545" t="s">
        <v>96</v>
      </c>
      <c r="M545">
        <v>1905</v>
      </c>
      <c r="O545" s="12" t="str">
        <f t="shared" si="30"/>
        <v>BRZ</v>
      </c>
      <c r="P545" s="12" t="str">
        <f t="shared" si="31"/>
        <v>E_WON</v>
      </c>
    </row>
    <row r="546" spans="1:16" x14ac:dyDescent="0.35">
      <c r="A546" t="s">
        <v>95</v>
      </c>
      <c r="B546" t="s">
        <v>69</v>
      </c>
      <c r="C546" t="s">
        <v>45</v>
      </c>
      <c r="D546" t="s">
        <v>642</v>
      </c>
      <c r="E546" t="s">
        <v>96</v>
      </c>
      <c r="F546" t="s">
        <v>96</v>
      </c>
      <c r="G546" t="s">
        <v>96</v>
      </c>
      <c r="H546">
        <v>2010</v>
      </c>
      <c r="I546" t="s">
        <v>96</v>
      </c>
      <c r="J546" t="s">
        <v>97</v>
      </c>
      <c r="K546" t="s">
        <v>96</v>
      </c>
      <c r="L546" t="s">
        <v>96</v>
      </c>
      <c r="M546">
        <v>1905</v>
      </c>
      <c r="O546" s="12" t="str">
        <f t="shared" si="30"/>
        <v>BRZ</v>
      </c>
      <c r="P546" s="12" t="str">
        <f t="shared" si="31"/>
        <v>E_WON</v>
      </c>
    </row>
    <row r="547" spans="1:16" x14ac:dyDescent="0.35">
      <c r="A547" t="s">
        <v>95</v>
      </c>
      <c r="B547" t="s">
        <v>69</v>
      </c>
      <c r="C547" t="s">
        <v>45</v>
      </c>
      <c r="D547" t="s">
        <v>643</v>
      </c>
      <c r="E547" t="s">
        <v>96</v>
      </c>
      <c r="F547" t="s">
        <v>96</v>
      </c>
      <c r="G547" t="s">
        <v>96</v>
      </c>
      <c r="H547">
        <v>2010</v>
      </c>
      <c r="I547" t="s">
        <v>96</v>
      </c>
      <c r="J547" t="s">
        <v>97</v>
      </c>
      <c r="K547" t="s">
        <v>96</v>
      </c>
      <c r="L547" t="s">
        <v>96</v>
      </c>
      <c r="M547">
        <v>1905</v>
      </c>
      <c r="O547" s="12" t="str">
        <f t="shared" si="30"/>
        <v>BRZ</v>
      </c>
      <c r="P547" s="12" t="str">
        <f t="shared" si="31"/>
        <v>E_WON</v>
      </c>
    </row>
    <row r="548" spans="1:16" x14ac:dyDescent="0.35">
      <c r="A548" t="s">
        <v>95</v>
      </c>
      <c r="B548" t="s">
        <v>69</v>
      </c>
      <c r="C548" t="s">
        <v>45</v>
      </c>
      <c r="D548" t="s">
        <v>644</v>
      </c>
      <c r="E548" t="s">
        <v>96</v>
      </c>
      <c r="F548" t="s">
        <v>96</v>
      </c>
      <c r="G548" t="s">
        <v>96</v>
      </c>
      <c r="H548">
        <v>2010</v>
      </c>
      <c r="I548" t="s">
        <v>96</v>
      </c>
      <c r="J548" t="s">
        <v>97</v>
      </c>
      <c r="K548" t="s">
        <v>96</v>
      </c>
      <c r="L548" t="s">
        <v>96</v>
      </c>
      <c r="M548">
        <v>1905</v>
      </c>
      <c r="O548" s="12" t="str">
        <f t="shared" si="30"/>
        <v>BRZ</v>
      </c>
      <c r="P548" s="12" t="str">
        <f t="shared" si="31"/>
        <v>E_WON</v>
      </c>
    </row>
    <row r="549" spans="1:16" x14ac:dyDescent="0.35">
      <c r="A549" t="s">
        <v>95</v>
      </c>
      <c r="B549" t="s">
        <v>70</v>
      </c>
      <c r="C549" t="s">
        <v>45</v>
      </c>
      <c r="D549" t="s">
        <v>645</v>
      </c>
      <c r="E549" t="s">
        <v>96</v>
      </c>
      <c r="F549" t="s">
        <v>96</v>
      </c>
      <c r="G549" t="s">
        <v>96</v>
      </c>
      <c r="H549">
        <v>2010</v>
      </c>
      <c r="I549" t="s">
        <v>96</v>
      </c>
      <c r="J549" t="s">
        <v>97</v>
      </c>
      <c r="K549" t="s">
        <v>96</v>
      </c>
      <c r="L549" t="s">
        <v>96</v>
      </c>
      <c r="M549">
        <v>2765</v>
      </c>
      <c r="O549" s="12" t="str">
        <f t="shared" si="30"/>
        <v>CAN</v>
      </c>
      <c r="P549" s="12" t="str">
        <f t="shared" si="31"/>
        <v>E_WON</v>
      </c>
    </row>
    <row r="550" spans="1:16" x14ac:dyDescent="0.35">
      <c r="A550" t="s">
        <v>95</v>
      </c>
      <c r="B550" t="s">
        <v>70</v>
      </c>
      <c r="C550" t="s">
        <v>45</v>
      </c>
      <c r="D550" t="s">
        <v>646</v>
      </c>
      <c r="E550" t="s">
        <v>96</v>
      </c>
      <c r="F550" t="s">
        <v>96</v>
      </c>
      <c r="G550" t="s">
        <v>96</v>
      </c>
      <c r="H550">
        <v>2010</v>
      </c>
      <c r="I550" t="s">
        <v>96</v>
      </c>
      <c r="J550" t="s">
        <v>97</v>
      </c>
      <c r="K550" t="s">
        <v>96</v>
      </c>
      <c r="L550" t="s">
        <v>96</v>
      </c>
      <c r="M550">
        <v>2765</v>
      </c>
      <c r="O550" s="12" t="str">
        <f t="shared" si="30"/>
        <v>CAN</v>
      </c>
      <c r="P550" s="12" t="str">
        <f t="shared" si="31"/>
        <v>E_WON</v>
      </c>
    </row>
    <row r="551" spans="1:16" x14ac:dyDescent="0.35">
      <c r="A551" t="s">
        <v>95</v>
      </c>
      <c r="B551" t="s">
        <v>70</v>
      </c>
      <c r="C551" t="s">
        <v>45</v>
      </c>
      <c r="D551" t="s">
        <v>647</v>
      </c>
      <c r="E551" t="s">
        <v>96</v>
      </c>
      <c r="F551" t="s">
        <v>96</v>
      </c>
      <c r="G551" t="s">
        <v>96</v>
      </c>
      <c r="H551">
        <v>2010</v>
      </c>
      <c r="I551" t="s">
        <v>96</v>
      </c>
      <c r="J551" t="s">
        <v>97</v>
      </c>
      <c r="K551" t="s">
        <v>96</v>
      </c>
      <c r="L551" t="s">
        <v>96</v>
      </c>
      <c r="M551">
        <v>2765</v>
      </c>
      <c r="O551" s="12" t="str">
        <f t="shared" si="30"/>
        <v>CAN</v>
      </c>
      <c r="P551" s="12" t="str">
        <f t="shared" si="31"/>
        <v>E_WON</v>
      </c>
    </row>
    <row r="552" spans="1:16" x14ac:dyDescent="0.35">
      <c r="A552" t="s">
        <v>95</v>
      </c>
      <c r="B552" t="s">
        <v>70</v>
      </c>
      <c r="C552" t="s">
        <v>45</v>
      </c>
      <c r="D552" t="s">
        <v>648</v>
      </c>
      <c r="E552" t="s">
        <v>96</v>
      </c>
      <c r="F552" t="s">
        <v>96</v>
      </c>
      <c r="G552" t="s">
        <v>96</v>
      </c>
      <c r="H552">
        <v>2010</v>
      </c>
      <c r="I552" t="s">
        <v>96</v>
      </c>
      <c r="J552" t="s">
        <v>97</v>
      </c>
      <c r="K552" t="s">
        <v>96</v>
      </c>
      <c r="L552" t="s">
        <v>96</v>
      </c>
      <c r="M552">
        <v>2765</v>
      </c>
      <c r="O552" s="12" t="str">
        <f t="shared" si="30"/>
        <v>CAN</v>
      </c>
      <c r="P552" s="12" t="str">
        <f t="shared" si="31"/>
        <v>E_WON</v>
      </c>
    </row>
    <row r="553" spans="1:16" x14ac:dyDescent="0.35">
      <c r="A553" t="s">
        <v>95</v>
      </c>
      <c r="B553" t="s">
        <v>70</v>
      </c>
      <c r="C553" t="s">
        <v>45</v>
      </c>
      <c r="D553" t="s">
        <v>649</v>
      </c>
      <c r="E553" t="s">
        <v>96</v>
      </c>
      <c r="F553" t="s">
        <v>96</v>
      </c>
      <c r="G553" t="s">
        <v>96</v>
      </c>
      <c r="H553">
        <v>2010</v>
      </c>
      <c r="I553" t="s">
        <v>96</v>
      </c>
      <c r="J553" t="s">
        <v>97</v>
      </c>
      <c r="K553" t="s">
        <v>96</v>
      </c>
      <c r="L553" t="s">
        <v>96</v>
      </c>
      <c r="M553">
        <v>2765</v>
      </c>
      <c r="O553" s="12" t="str">
        <f t="shared" si="30"/>
        <v>CAN</v>
      </c>
      <c r="P553" s="12" t="str">
        <f t="shared" si="31"/>
        <v>E_WON</v>
      </c>
    </row>
    <row r="554" spans="1:16" x14ac:dyDescent="0.35">
      <c r="A554" t="s">
        <v>95</v>
      </c>
      <c r="B554" t="s">
        <v>70</v>
      </c>
      <c r="C554" t="s">
        <v>45</v>
      </c>
      <c r="D554" t="s">
        <v>650</v>
      </c>
      <c r="E554" t="s">
        <v>96</v>
      </c>
      <c r="F554" t="s">
        <v>96</v>
      </c>
      <c r="G554" t="s">
        <v>96</v>
      </c>
      <c r="H554">
        <v>2010</v>
      </c>
      <c r="I554" t="s">
        <v>96</v>
      </c>
      <c r="J554" t="s">
        <v>97</v>
      </c>
      <c r="K554" t="s">
        <v>96</v>
      </c>
      <c r="L554" t="s">
        <v>96</v>
      </c>
      <c r="M554">
        <v>2765</v>
      </c>
      <c r="O554" s="12" t="str">
        <f t="shared" si="30"/>
        <v>CAN</v>
      </c>
      <c r="P554" s="12" t="str">
        <f t="shared" si="31"/>
        <v>E_WON</v>
      </c>
    </row>
    <row r="555" spans="1:16" x14ac:dyDescent="0.35">
      <c r="A555" t="s">
        <v>95</v>
      </c>
      <c r="B555" t="s">
        <v>70</v>
      </c>
      <c r="C555" t="s">
        <v>45</v>
      </c>
      <c r="D555" t="s">
        <v>651</v>
      </c>
      <c r="E555" t="s">
        <v>96</v>
      </c>
      <c r="F555" t="s">
        <v>96</v>
      </c>
      <c r="G555" t="s">
        <v>96</v>
      </c>
      <c r="H555">
        <v>2010</v>
      </c>
      <c r="I555" t="s">
        <v>96</v>
      </c>
      <c r="J555" t="s">
        <v>97</v>
      </c>
      <c r="K555" t="s">
        <v>96</v>
      </c>
      <c r="L555" t="s">
        <v>96</v>
      </c>
      <c r="M555">
        <v>2765</v>
      </c>
      <c r="O555" s="12" t="str">
        <f t="shared" si="30"/>
        <v>CAN</v>
      </c>
      <c r="P555" s="12" t="str">
        <f t="shared" si="31"/>
        <v>E_WON</v>
      </c>
    </row>
    <row r="556" spans="1:16" x14ac:dyDescent="0.35">
      <c r="A556" t="s">
        <v>95</v>
      </c>
      <c r="B556" t="s">
        <v>70</v>
      </c>
      <c r="C556" t="s">
        <v>45</v>
      </c>
      <c r="D556" t="s">
        <v>652</v>
      </c>
      <c r="E556" t="s">
        <v>96</v>
      </c>
      <c r="F556" t="s">
        <v>96</v>
      </c>
      <c r="G556" t="s">
        <v>96</v>
      </c>
      <c r="H556">
        <v>2010</v>
      </c>
      <c r="I556" t="s">
        <v>96</v>
      </c>
      <c r="J556" t="s">
        <v>97</v>
      </c>
      <c r="K556" t="s">
        <v>96</v>
      </c>
      <c r="L556" t="s">
        <v>96</v>
      </c>
      <c r="M556">
        <v>2765</v>
      </c>
      <c r="O556" s="12" t="str">
        <f t="shared" si="30"/>
        <v>CAN</v>
      </c>
      <c r="P556" s="12" t="str">
        <f t="shared" si="31"/>
        <v>E_WON</v>
      </c>
    </row>
    <row r="557" spans="1:16" x14ac:dyDescent="0.35">
      <c r="A557" t="s">
        <v>95</v>
      </c>
      <c r="B557" t="s">
        <v>70</v>
      </c>
      <c r="C557" t="s">
        <v>45</v>
      </c>
      <c r="D557" t="s">
        <v>653</v>
      </c>
      <c r="E557" t="s">
        <v>96</v>
      </c>
      <c r="F557" t="s">
        <v>96</v>
      </c>
      <c r="G557" t="s">
        <v>96</v>
      </c>
      <c r="H557">
        <v>2010</v>
      </c>
      <c r="I557" t="s">
        <v>96</v>
      </c>
      <c r="J557" t="s">
        <v>97</v>
      </c>
      <c r="K557" t="s">
        <v>96</v>
      </c>
      <c r="L557" t="s">
        <v>96</v>
      </c>
      <c r="M557">
        <v>1580</v>
      </c>
      <c r="O557" s="12" t="str">
        <f t="shared" si="30"/>
        <v>CAN</v>
      </c>
      <c r="P557" s="12" t="str">
        <f t="shared" si="31"/>
        <v>E_WON</v>
      </c>
    </row>
    <row r="558" spans="1:16" x14ac:dyDescent="0.35">
      <c r="A558" t="s">
        <v>95</v>
      </c>
      <c r="B558" t="s">
        <v>70</v>
      </c>
      <c r="C558" t="s">
        <v>45</v>
      </c>
      <c r="D558" t="s">
        <v>654</v>
      </c>
      <c r="E558" t="s">
        <v>96</v>
      </c>
      <c r="F558" t="s">
        <v>96</v>
      </c>
      <c r="G558" t="s">
        <v>96</v>
      </c>
      <c r="H558">
        <v>2010</v>
      </c>
      <c r="I558" t="s">
        <v>96</v>
      </c>
      <c r="J558" t="s">
        <v>97</v>
      </c>
      <c r="K558" t="s">
        <v>96</v>
      </c>
      <c r="L558" t="s">
        <v>96</v>
      </c>
      <c r="M558">
        <v>1580</v>
      </c>
      <c r="O558" s="12" t="str">
        <f t="shared" si="30"/>
        <v>CAN</v>
      </c>
      <c r="P558" s="12" t="str">
        <f t="shared" si="31"/>
        <v>E_WON</v>
      </c>
    </row>
    <row r="559" spans="1:16" x14ac:dyDescent="0.35">
      <c r="A559" t="s">
        <v>95</v>
      </c>
      <c r="B559" t="s">
        <v>70</v>
      </c>
      <c r="C559" t="s">
        <v>45</v>
      </c>
      <c r="D559" t="s">
        <v>655</v>
      </c>
      <c r="E559" t="s">
        <v>96</v>
      </c>
      <c r="F559" t="s">
        <v>96</v>
      </c>
      <c r="G559" t="s">
        <v>96</v>
      </c>
      <c r="H559">
        <v>2010</v>
      </c>
      <c r="I559" t="s">
        <v>96</v>
      </c>
      <c r="J559" t="s">
        <v>97</v>
      </c>
      <c r="K559" t="s">
        <v>96</v>
      </c>
      <c r="L559" t="s">
        <v>96</v>
      </c>
      <c r="M559">
        <v>1580</v>
      </c>
      <c r="O559" s="12" t="str">
        <f t="shared" si="30"/>
        <v>CAN</v>
      </c>
      <c r="P559" s="12" t="str">
        <f t="shared" si="31"/>
        <v>E_WON</v>
      </c>
    </row>
    <row r="560" spans="1:16" x14ac:dyDescent="0.35">
      <c r="A560" t="s">
        <v>95</v>
      </c>
      <c r="B560" t="s">
        <v>70</v>
      </c>
      <c r="C560" t="s">
        <v>45</v>
      </c>
      <c r="D560" t="s">
        <v>656</v>
      </c>
      <c r="E560" t="s">
        <v>96</v>
      </c>
      <c r="F560" t="s">
        <v>96</v>
      </c>
      <c r="G560" t="s">
        <v>96</v>
      </c>
      <c r="H560">
        <v>2010</v>
      </c>
      <c r="I560" t="s">
        <v>96</v>
      </c>
      <c r="J560" t="s">
        <v>97</v>
      </c>
      <c r="K560" t="s">
        <v>96</v>
      </c>
      <c r="L560" t="s">
        <v>96</v>
      </c>
      <c r="M560">
        <v>1580</v>
      </c>
      <c r="O560" s="12" t="str">
        <f t="shared" si="30"/>
        <v>CAN</v>
      </c>
      <c r="P560" s="12" t="str">
        <f t="shared" si="31"/>
        <v>E_WON</v>
      </c>
    </row>
    <row r="561" spans="1:16" x14ac:dyDescent="0.35">
      <c r="A561" t="s">
        <v>95</v>
      </c>
      <c r="B561" t="s">
        <v>70</v>
      </c>
      <c r="C561" t="s">
        <v>45</v>
      </c>
      <c r="D561" t="s">
        <v>657</v>
      </c>
      <c r="E561" t="s">
        <v>96</v>
      </c>
      <c r="F561" t="s">
        <v>96</v>
      </c>
      <c r="G561" t="s">
        <v>96</v>
      </c>
      <c r="H561">
        <v>2010</v>
      </c>
      <c r="I561" t="s">
        <v>96</v>
      </c>
      <c r="J561" t="s">
        <v>97</v>
      </c>
      <c r="K561" t="s">
        <v>96</v>
      </c>
      <c r="L561" t="s">
        <v>96</v>
      </c>
      <c r="M561">
        <v>1580</v>
      </c>
      <c r="O561" s="12" t="str">
        <f t="shared" si="30"/>
        <v>CAN</v>
      </c>
      <c r="P561" s="12" t="str">
        <f t="shared" si="31"/>
        <v>E_WON</v>
      </c>
    </row>
    <row r="562" spans="1:16" x14ac:dyDescent="0.35">
      <c r="A562" t="s">
        <v>95</v>
      </c>
      <c r="B562" t="s">
        <v>70</v>
      </c>
      <c r="C562" t="s">
        <v>45</v>
      </c>
      <c r="D562" t="s">
        <v>658</v>
      </c>
      <c r="E562" t="s">
        <v>96</v>
      </c>
      <c r="F562" t="s">
        <v>96</v>
      </c>
      <c r="G562" t="s">
        <v>96</v>
      </c>
      <c r="H562">
        <v>2010</v>
      </c>
      <c r="I562" t="s">
        <v>96</v>
      </c>
      <c r="J562" t="s">
        <v>97</v>
      </c>
      <c r="K562" t="s">
        <v>96</v>
      </c>
      <c r="L562" t="s">
        <v>96</v>
      </c>
      <c r="M562">
        <v>1580</v>
      </c>
      <c r="O562" s="12" t="str">
        <f t="shared" si="30"/>
        <v>CAN</v>
      </c>
      <c r="P562" s="12" t="str">
        <f t="shared" si="31"/>
        <v>E_WON</v>
      </c>
    </row>
    <row r="563" spans="1:16" x14ac:dyDescent="0.35">
      <c r="A563" t="s">
        <v>95</v>
      </c>
      <c r="B563" t="s">
        <v>70</v>
      </c>
      <c r="C563" t="s">
        <v>45</v>
      </c>
      <c r="D563" t="s">
        <v>659</v>
      </c>
      <c r="E563" t="s">
        <v>96</v>
      </c>
      <c r="F563" t="s">
        <v>96</v>
      </c>
      <c r="G563" t="s">
        <v>96</v>
      </c>
      <c r="H563">
        <v>2010</v>
      </c>
      <c r="I563" t="s">
        <v>96</v>
      </c>
      <c r="J563" t="s">
        <v>97</v>
      </c>
      <c r="K563" t="s">
        <v>96</v>
      </c>
      <c r="L563" t="s">
        <v>96</v>
      </c>
      <c r="M563">
        <v>1580</v>
      </c>
      <c r="O563" s="12" t="str">
        <f t="shared" si="30"/>
        <v>CAN</v>
      </c>
      <c r="P563" s="12" t="str">
        <f t="shared" si="31"/>
        <v>E_WON</v>
      </c>
    </row>
    <row r="564" spans="1:16" x14ac:dyDescent="0.35">
      <c r="A564" t="s">
        <v>95</v>
      </c>
      <c r="B564" t="s">
        <v>70</v>
      </c>
      <c r="C564" t="s">
        <v>45</v>
      </c>
      <c r="D564" t="s">
        <v>660</v>
      </c>
      <c r="E564" t="s">
        <v>96</v>
      </c>
      <c r="F564" t="s">
        <v>96</v>
      </c>
      <c r="G564" t="s">
        <v>96</v>
      </c>
      <c r="H564">
        <v>2010</v>
      </c>
      <c r="I564" t="s">
        <v>96</v>
      </c>
      <c r="J564" t="s">
        <v>97</v>
      </c>
      <c r="K564" t="s">
        <v>96</v>
      </c>
      <c r="L564" t="s">
        <v>96</v>
      </c>
      <c r="M564">
        <v>2370</v>
      </c>
      <c r="O564" s="12" t="str">
        <f t="shared" si="30"/>
        <v>CAN</v>
      </c>
      <c r="P564" s="12" t="str">
        <f t="shared" si="31"/>
        <v>E_WON</v>
      </c>
    </row>
    <row r="565" spans="1:16" x14ac:dyDescent="0.35">
      <c r="A565" t="s">
        <v>95</v>
      </c>
      <c r="B565" t="s">
        <v>70</v>
      </c>
      <c r="C565" t="s">
        <v>45</v>
      </c>
      <c r="D565" t="s">
        <v>661</v>
      </c>
      <c r="E565" t="s">
        <v>96</v>
      </c>
      <c r="F565" t="s">
        <v>96</v>
      </c>
      <c r="G565" t="s">
        <v>96</v>
      </c>
      <c r="H565">
        <v>2010</v>
      </c>
      <c r="I565" t="s">
        <v>96</v>
      </c>
      <c r="J565" t="s">
        <v>97</v>
      </c>
      <c r="K565" t="s">
        <v>96</v>
      </c>
      <c r="L565" t="s">
        <v>96</v>
      </c>
      <c r="M565">
        <v>2370</v>
      </c>
      <c r="O565" s="12" t="str">
        <f t="shared" si="30"/>
        <v>CAN</v>
      </c>
      <c r="P565" s="12" t="str">
        <f t="shared" si="31"/>
        <v>E_WON</v>
      </c>
    </row>
    <row r="566" spans="1:16" x14ac:dyDescent="0.35">
      <c r="A566" t="s">
        <v>95</v>
      </c>
      <c r="B566" t="s">
        <v>70</v>
      </c>
      <c r="C566" t="s">
        <v>45</v>
      </c>
      <c r="D566" t="s">
        <v>662</v>
      </c>
      <c r="E566" t="s">
        <v>96</v>
      </c>
      <c r="F566" t="s">
        <v>96</v>
      </c>
      <c r="G566" t="s">
        <v>96</v>
      </c>
      <c r="H566">
        <v>2010</v>
      </c>
      <c r="I566" t="s">
        <v>96</v>
      </c>
      <c r="J566" t="s">
        <v>97</v>
      </c>
      <c r="K566" t="s">
        <v>96</v>
      </c>
      <c r="L566" t="s">
        <v>96</v>
      </c>
      <c r="M566">
        <v>2370</v>
      </c>
      <c r="O566" s="12" t="str">
        <f t="shared" si="30"/>
        <v>CAN</v>
      </c>
      <c r="P566" s="12" t="str">
        <f t="shared" si="31"/>
        <v>E_WON</v>
      </c>
    </row>
    <row r="567" spans="1:16" x14ac:dyDescent="0.35">
      <c r="A567" t="s">
        <v>95</v>
      </c>
      <c r="B567" t="s">
        <v>70</v>
      </c>
      <c r="C567" t="s">
        <v>45</v>
      </c>
      <c r="D567" t="s">
        <v>663</v>
      </c>
      <c r="E567" t="s">
        <v>96</v>
      </c>
      <c r="F567" t="s">
        <v>96</v>
      </c>
      <c r="G567" t="s">
        <v>96</v>
      </c>
      <c r="H567">
        <v>2010</v>
      </c>
      <c r="I567" t="s">
        <v>96</v>
      </c>
      <c r="J567" t="s">
        <v>97</v>
      </c>
      <c r="K567" t="s">
        <v>96</v>
      </c>
      <c r="L567" t="s">
        <v>96</v>
      </c>
      <c r="M567">
        <v>2370</v>
      </c>
      <c r="O567" s="12" t="str">
        <f t="shared" si="30"/>
        <v>CAN</v>
      </c>
      <c r="P567" s="12" t="str">
        <f t="shared" si="31"/>
        <v>E_WON</v>
      </c>
    </row>
    <row r="568" spans="1:16" x14ac:dyDescent="0.35">
      <c r="A568" t="s">
        <v>95</v>
      </c>
      <c r="B568" t="s">
        <v>70</v>
      </c>
      <c r="C568" t="s">
        <v>45</v>
      </c>
      <c r="D568" t="s">
        <v>664</v>
      </c>
      <c r="E568" t="s">
        <v>96</v>
      </c>
      <c r="F568" t="s">
        <v>96</v>
      </c>
      <c r="G568" t="s">
        <v>96</v>
      </c>
      <c r="H568">
        <v>2010</v>
      </c>
      <c r="I568" t="s">
        <v>96</v>
      </c>
      <c r="J568" t="s">
        <v>97</v>
      </c>
      <c r="K568" t="s">
        <v>96</v>
      </c>
      <c r="L568" t="s">
        <v>96</v>
      </c>
      <c r="M568">
        <v>2370</v>
      </c>
      <c r="O568" s="12" t="str">
        <f t="shared" si="30"/>
        <v>CAN</v>
      </c>
      <c r="P568" s="12" t="str">
        <f t="shared" si="31"/>
        <v>E_WON</v>
      </c>
    </row>
    <row r="569" spans="1:16" x14ac:dyDescent="0.35">
      <c r="A569" t="s">
        <v>95</v>
      </c>
      <c r="B569" t="s">
        <v>70</v>
      </c>
      <c r="C569" t="s">
        <v>45</v>
      </c>
      <c r="D569" t="s">
        <v>665</v>
      </c>
      <c r="E569" t="s">
        <v>96</v>
      </c>
      <c r="F569" t="s">
        <v>96</v>
      </c>
      <c r="G569" t="s">
        <v>96</v>
      </c>
      <c r="H569">
        <v>2010</v>
      </c>
      <c r="I569" t="s">
        <v>96</v>
      </c>
      <c r="J569" t="s">
        <v>97</v>
      </c>
      <c r="K569" t="s">
        <v>96</v>
      </c>
      <c r="L569" t="s">
        <v>96</v>
      </c>
      <c r="M569">
        <v>2370</v>
      </c>
      <c r="O569" s="12" t="str">
        <f t="shared" si="30"/>
        <v>CAN</v>
      </c>
      <c r="P569" s="12" t="str">
        <f t="shared" si="31"/>
        <v>E_WON</v>
      </c>
    </row>
    <row r="570" spans="1:16" x14ac:dyDescent="0.35">
      <c r="A570" t="s">
        <v>95</v>
      </c>
      <c r="B570" t="s">
        <v>70</v>
      </c>
      <c r="C570" t="s">
        <v>45</v>
      </c>
      <c r="D570" t="s">
        <v>666</v>
      </c>
      <c r="E570" t="s">
        <v>96</v>
      </c>
      <c r="F570" t="s">
        <v>96</v>
      </c>
      <c r="G570" t="s">
        <v>96</v>
      </c>
      <c r="H570">
        <v>2010</v>
      </c>
      <c r="I570" t="s">
        <v>96</v>
      </c>
      <c r="J570" t="s">
        <v>97</v>
      </c>
      <c r="K570" t="s">
        <v>96</v>
      </c>
      <c r="L570" t="s">
        <v>96</v>
      </c>
      <c r="M570">
        <v>2370</v>
      </c>
      <c r="O570" s="12" t="str">
        <f t="shared" si="30"/>
        <v>CAN</v>
      </c>
      <c r="P570" s="12" t="str">
        <f t="shared" si="31"/>
        <v>E_WON</v>
      </c>
    </row>
    <row r="571" spans="1:16" x14ac:dyDescent="0.35">
      <c r="A571" t="s">
        <v>95</v>
      </c>
      <c r="B571" t="s">
        <v>71</v>
      </c>
      <c r="C571" t="s">
        <v>45</v>
      </c>
      <c r="D571" t="s">
        <v>667</v>
      </c>
      <c r="E571" t="s">
        <v>96</v>
      </c>
      <c r="F571" t="s">
        <v>96</v>
      </c>
      <c r="G571" t="s">
        <v>96</v>
      </c>
      <c r="H571">
        <v>2010</v>
      </c>
      <c r="I571" t="s">
        <v>96</v>
      </c>
      <c r="J571" t="s">
        <v>97</v>
      </c>
      <c r="K571" t="s">
        <v>96</v>
      </c>
      <c r="L571" t="s">
        <v>96</v>
      </c>
      <c r="M571">
        <v>1925</v>
      </c>
      <c r="O571" s="12" t="str">
        <f t="shared" si="30"/>
        <v>CHI</v>
      </c>
      <c r="P571" s="12" t="str">
        <f t="shared" si="31"/>
        <v>E_WON</v>
      </c>
    </row>
    <row r="572" spans="1:16" x14ac:dyDescent="0.35">
      <c r="A572" t="s">
        <v>95</v>
      </c>
      <c r="B572" t="s">
        <v>71</v>
      </c>
      <c r="C572" t="s">
        <v>45</v>
      </c>
      <c r="D572" t="s">
        <v>668</v>
      </c>
      <c r="E572" t="s">
        <v>96</v>
      </c>
      <c r="F572" t="s">
        <v>96</v>
      </c>
      <c r="G572" t="s">
        <v>96</v>
      </c>
      <c r="H572">
        <v>2010</v>
      </c>
      <c r="I572" t="s">
        <v>96</v>
      </c>
      <c r="J572" t="s">
        <v>97</v>
      </c>
      <c r="K572" t="s">
        <v>96</v>
      </c>
      <c r="L572" t="s">
        <v>96</v>
      </c>
      <c r="M572">
        <v>1925</v>
      </c>
      <c r="O572" s="12" t="str">
        <f t="shared" si="30"/>
        <v>CHI</v>
      </c>
      <c r="P572" s="12" t="str">
        <f t="shared" si="31"/>
        <v>E_WON</v>
      </c>
    </row>
    <row r="573" spans="1:16" x14ac:dyDescent="0.35">
      <c r="A573" t="s">
        <v>95</v>
      </c>
      <c r="B573" t="s">
        <v>71</v>
      </c>
      <c r="C573" t="s">
        <v>45</v>
      </c>
      <c r="D573" t="s">
        <v>669</v>
      </c>
      <c r="E573" t="s">
        <v>96</v>
      </c>
      <c r="F573" t="s">
        <v>96</v>
      </c>
      <c r="G573" t="s">
        <v>96</v>
      </c>
      <c r="H573">
        <v>2010</v>
      </c>
      <c r="I573" t="s">
        <v>96</v>
      </c>
      <c r="J573" t="s">
        <v>97</v>
      </c>
      <c r="K573" t="s">
        <v>96</v>
      </c>
      <c r="L573" t="s">
        <v>96</v>
      </c>
      <c r="M573">
        <v>1925</v>
      </c>
      <c r="O573" s="12" t="str">
        <f t="shared" si="30"/>
        <v>CHI</v>
      </c>
      <c r="P573" s="12" t="str">
        <f t="shared" si="31"/>
        <v>E_WON</v>
      </c>
    </row>
    <row r="574" spans="1:16" x14ac:dyDescent="0.35">
      <c r="A574" t="s">
        <v>95</v>
      </c>
      <c r="B574" t="s">
        <v>71</v>
      </c>
      <c r="C574" t="s">
        <v>45</v>
      </c>
      <c r="D574" t="s">
        <v>670</v>
      </c>
      <c r="E574" t="s">
        <v>96</v>
      </c>
      <c r="F574" t="s">
        <v>96</v>
      </c>
      <c r="G574" t="s">
        <v>96</v>
      </c>
      <c r="H574">
        <v>2010</v>
      </c>
      <c r="I574" t="s">
        <v>96</v>
      </c>
      <c r="J574" t="s">
        <v>97</v>
      </c>
      <c r="K574" t="s">
        <v>96</v>
      </c>
      <c r="L574" t="s">
        <v>96</v>
      </c>
      <c r="M574">
        <v>1925</v>
      </c>
      <c r="O574" s="12" t="str">
        <f t="shared" si="30"/>
        <v>CHI</v>
      </c>
      <c r="P574" s="12" t="str">
        <f t="shared" si="31"/>
        <v>E_WON</v>
      </c>
    </row>
    <row r="575" spans="1:16" x14ac:dyDescent="0.35">
      <c r="A575" t="s">
        <v>95</v>
      </c>
      <c r="B575" t="s">
        <v>71</v>
      </c>
      <c r="C575" t="s">
        <v>45</v>
      </c>
      <c r="D575" t="s">
        <v>671</v>
      </c>
      <c r="E575" t="s">
        <v>96</v>
      </c>
      <c r="F575" t="s">
        <v>96</v>
      </c>
      <c r="G575" t="s">
        <v>96</v>
      </c>
      <c r="H575">
        <v>2010</v>
      </c>
      <c r="I575" t="s">
        <v>96</v>
      </c>
      <c r="J575" t="s">
        <v>97</v>
      </c>
      <c r="K575" t="s">
        <v>96</v>
      </c>
      <c r="L575" t="s">
        <v>96</v>
      </c>
      <c r="M575">
        <v>1925</v>
      </c>
      <c r="O575" s="12" t="str">
        <f t="shared" si="30"/>
        <v>CHI</v>
      </c>
      <c r="P575" s="12" t="str">
        <f t="shared" si="31"/>
        <v>E_WON</v>
      </c>
    </row>
    <row r="576" spans="1:16" x14ac:dyDescent="0.35">
      <c r="A576" t="s">
        <v>95</v>
      </c>
      <c r="B576" t="s">
        <v>71</v>
      </c>
      <c r="C576" t="s">
        <v>45</v>
      </c>
      <c r="D576" t="s">
        <v>672</v>
      </c>
      <c r="E576" t="s">
        <v>96</v>
      </c>
      <c r="F576" t="s">
        <v>96</v>
      </c>
      <c r="G576" t="s">
        <v>96</v>
      </c>
      <c r="H576">
        <v>2010</v>
      </c>
      <c r="I576" t="s">
        <v>96</v>
      </c>
      <c r="J576" t="s">
        <v>97</v>
      </c>
      <c r="K576" t="s">
        <v>96</v>
      </c>
      <c r="L576" t="s">
        <v>96</v>
      </c>
      <c r="M576">
        <v>1925</v>
      </c>
      <c r="O576" s="12" t="str">
        <f t="shared" si="30"/>
        <v>CHI</v>
      </c>
      <c r="P576" s="12" t="str">
        <f t="shared" si="31"/>
        <v>E_WON</v>
      </c>
    </row>
    <row r="577" spans="1:16" x14ac:dyDescent="0.35">
      <c r="A577" t="s">
        <v>95</v>
      </c>
      <c r="B577" t="s">
        <v>71</v>
      </c>
      <c r="C577" t="s">
        <v>45</v>
      </c>
      <c r="D577" t="s">
        <v>673</v>
      </c>
      <c r="E577" t="s">
        <v>96</v>
      </c>
      <c r="F577" t="s">
        <v>96</v>
      </c>
      <c r="G577" t="s">
        <v>96</v>
      </c>
      <c r="H577">
        <v>2010</v>
      </c>
      <c r="I577" t="s">
        <v>96</v>
      </c>
      <c r="J577" t="s">
        <v>97</v>
      </c>
      <c r="K577" t="s">
        <v>96</v>
      </c>
      <c r="L577" t="s">
        <v>96</v>
      </c>
      <c r="M577">
        <v>1100</v>
      </c>
      <c r="O577" s="12" t="str">
        <f t="shared" si="30"/>
        <v>CHI</v>
      </c>
      <c r="P577" s="12" t="str">
        <f t="shared" si="31"/>
        <v>E_WON</v>
      </c>
    </row>
    <row r="578" spans="1:16" x14ac:dyDescent="0.35">
      <c r="A578" t="s">
        <v>95</v>
      </c>
      <c r="B578" t="s">
        <v>71</v>
      </c>
      <c r="C578" t="s">
        <v>45</v>
      </c>
      <c r="D578" t="s">
        <v>674</v>
      </c>
      <c r="E578" t="s">
        <v>96</v>
      </c>
      <c r="F578" t="s">
        <v>96</v>
      </c>
      <c r="G578" t="s">
        <v>96</v>
      </c>
      <c r="H578">
        <v>2010</v>
      </c>
      <c r="I578" t="s">
        <v>96</v>
      </c>
      <c r="J578" t="s">
        <v>97</v>
      </c>
      <c r="K578" t="s">
        <v>96</v>
      </c>
      <c r="L578" t="s">
        <v>96</v>
      </c>
      <c r="M578">
        <v>1100</v>
      </c>
      <c r="O578" s="12" t="str">
        <f t="shared" si="30"/>
        <v>CHI</v>
      </c>
      <c r="P578" s="12" t="str">
        <f t="shared" si="31"/>
        <v>E_WON</v>
      </c>
    </row>
    <row r="579" spans="1:16" x14ac:dyDescent="0.35">
      <c r="A579" t="s">
        <v>95</v>
      </c>
      <c r="B579" t="s">
        <v>71</v>
      </c>
      <c r="C579" t="s">
        <v>45</v>
      </c>
      <c r="D579" t="s">
        <v>675</v>
      </c>
      <c r="E579" t="s">
        <v>96</v>
      </c>
      <c r="F579" t="s">
        <v>96</v>
      </c>
      <c r="G579" t="s">
        <v>96</v>
      </c>
      <c r="H579">
        <v>2010</v>
      </c>
      <c r="I579" t="s">
        <v>96</v>
      </c>
      <c r="J579" t="s">
        <v>97</v>
      </c>
      <c r="K579" t="s">
        <v>96</v>
      </c>
      <c r="L579" t="s">
        <v>96</v>
      </c>
      <c r="M579">
        <v>1100</v>
      </c>
      <c r="O579" s="12" t="str">
        <f t="shared" ref="O579:O642" si="32">LEFT(B579,3)</f>
        <v>CHI</v>
      </c>
      <c r="P579" s="12" t="str">
        <f t="shared" ref="P579:P642" si="33">LEFT(D579,5)</f>
        <v>E_WON</v>
      </c>
    </row>
    <row r="580" spans="1:16" x14ac:dyDescent="0.35">
      <c r="A580" t="s">
        <v>95</v>
      </c>
      <c r="B580" t="s">
        <v>71</v>
      </c>
      <c r="C580" t="s">
        <v>45</v>
      </c>
      <c r="D580" t="s">
        <v>676</v>
      </c>
      <c r="E580" t="s">
        <v>96</v>
      </c>
      <c r="F580" t="s">
        <v>96</v>
      </c>
      <c r="G580" t="s">
        <v>96</v>
      </c>
      <c r="H580">
        <v>2010</v>
      </c>
      <c r="I580" t="s">
        <v>96</v>
      </c>
      <c r="J580" t="s">
        <v>97</v>
      </c>
      <c r="K580" t="s">
        <v>96</v>
      </c>
      <c r="L580" t="s">
        <v>96</v>
      </c>
      <c r="M580">
        <v>1100</v>
      </c>
      <c r="O580" s="12" t="str">
        <f t="shared" si="32"/>
        <v>CHI</v>
      </c>
      <c r="P580" s="12" t="str">
        <f t="shared" si="33"/>
        <v>E_WON</v>
      </c>
    </row>
    <row r="581" spans="1:16" x14ac:dyDescent="0.35">
      <c r="A581" t="s">
        <v>95</v>
      </c>
      <c r="B581" t="s">
        <v>71</v>
      </c>
      <c r="C581" t="s">
        <v>45</v>
      </c>
      <c r="D581" t="s">
        <v>677</v>
      </c>
      <c r="E581" t="s">
        <v>96</v>
      </c>
      <c r="F581" t="s">
        <v>96</v>
      </c>
      <c r="G581" t="s">
        <v>96</v>
      </c>
      <c r="H581">
        <v>2010</v>
      </c>
      <c r="I581" t="s">
        <v>96</v>
      </c>
      <c r="J581" t="s">
        <v>97</v>
      </c>
      <c r="K581" t="s">
        <v>96</v>
      </c>
      <c r="L581" t="s">
        <v>96</v>
      </c>
      <c r="M581">
        <v>1100</v>
      </c>
      <c r="O581" s="12" t="str">
        <f t="shared" si="32"/>
        <v>CHI</v>
      </c>
      <c r="P581" s="12" t="str">
        <f t="shared" si="33"/>
        <v>E_WON</v>
      </c>
    </row>
    <row r="582" spans="1:16" x14ac:dyDescent="0.35">
      <c r="A582" t="s">
        <v>95</v>
      </c>
      <c r="B582" t="s">
        <v>71</v>
      </c>
      <c r="C582" t="s">
        <v>45</v>
      </c>
      <c r="D582" t="s">
        <v>678</v>
      </c>
      <c r="E582" t="s">
        <v>96</v>
      </c>
      <c r="F582" t="s">
        <v>96</v>
      </c>
      <c r="G582" t="s">
        <v>96</v>
      </c>
      <c r="H582">
        <v>2010</v>
      </c>
      <c r="I582" t="s">
        <v>96</v>
      </c>
      <c r="J582" t="s">
        <v>97</v>
      </c>
      <c r="K582" t="s">
        <v>96</v>
      </c>
      <c r="L582" t="s">
        <v>96</v>
      </c>
      <c r="M582">
        <v>1100</v>
      </c>
      <c r="O582" s="12" t="str">
        <f t="shared" si="32"/>
        <v>CHI</v>
      </c>
      <c r="P582" s="12" t="str">
        <f t="shared" si="33"/>
        <v>E_WON</v>
      </c>
    </row>
    <row r="583" spans="1:16" x14ac:dyDescent="0.35">
      <c r="A583" t="s">
        <v>95</v>
      </c>
      <c r="B583" t="s">
        <v>71</v>
      </c>
      <c r="C583" t="s">
        <v>45</v>
      </c>
      <c r="D583" t="s">
        <v>679</v>
      </c>
      <c r="E583" t="s">
        <v>96</v>
      </c>
      <c r="F583" t="s">
        <v>96</v>
      </c>
      <c r="G583" t="s">
        <v>96</v>
      </c>
      <c r="H583">
        <v>2010</v>
      </c>
      <c r="I583" t="s">
        <v>96</v>
      </c>
      <c r="J583" t="s">
        <v>97</v>
      </c>
      <c r="K583" t="s">
        <v>96</v>
      </c>
      <c r="L583" t="s">
        <v>96</v>
      </c>
      <c r="M583">
        <v>1100</v>
      </c>
      <c r="O583" s="12" t="str">
        <f t="shared" si="32"/>
        <v>CHI</v>
      </c>
      <c r="P583" s="12" t="str">
        <f t="shared" si="33"/>
        <v>E_WON</v>
      </c>
    </row>
    <row r="584" spans="1:16" x14ac:dyDescent="0.35">
      <c r="A584" t="s">
        <v>95</v>
      </c>
      <c r="B584" t="s">
        <v>71</v>
      </c>
      <c r="C584" t="s">
        <v>45</v>
      </c>
      <c r="D584" t="s">
        <v>680</v>
      </c>
      <c r="E584" t="s">
        <v>96</v>
      </c>
      <c r="F584" t="s">
        <v>96</v>
      </c>
      <c r="G584" t="s">
        <v>96</v>
      </c>
      <c r="H584">
        <v>2010</v>
      </c>
      <c r="I584" t="s">
        <v>96</v>
      </c>
      <c r="J584" t="s">
        <v>97</v>
      </c>
      <c r="K584" t="s">
        <v>96</v>
      </c>
      <c r="L584" t="s">
        <v>96</v>
      </c>
      <c r="M584">
        <v>1650</v>
      </c>
      <c r="O584" s="12" t="str">
        <f t="shared" si="32"/>
        <v>CHI</v>
      </c>
      <c r="P584" s="12" t="str">
        <f t="shared" si="33"/>
        <v>E_WON</v>
      </c>
    </row>
    <row r="585" spans="1:16" x14ac:dyDescent="0.35">
      <c r="A585" t="s">
        <v>95</v>
      </c>
      <c r="B585" t="s">
        <v>71</v>
      </c>
      <c r="C585" t="s">
        <v>45</v>
      </c>
      <c r="D585" t="s">
        <v>681</v>
      </c>
      <c r="E585" t="s">
        <v>96</v>
      </c>
      <c r="F585" t="s">
        <v>96</v>
      </c>
      <c r="G585" t="s">
        <v>96</v>
      </c>
      <c r="H585">
        <v>2010</v>
      </c>
      <c r="I585" t="s">
        <v>96</v>
      </c>
      <c r="J585" t="s">
        <v>97</v>
      </c>
      <c r="K585" t="s">
        <v>96</v>
      </c>
      <c r="L585" t="s">
        <v>96</v>
      </c>
      <c r="M585">
        <v>1650</v>
      </c>
      <c r="O585" s="12" t="str">
        <f t="shared" si="32"/>
        <v>CHI</v>
      </c>
      <c r="P585" s="12" t="str">
        <f t="shared" si="33"/>
        <v>E_WON</v>
      </c>
    </row>
    <row r="586" spans="1:16" x14ac:dyDescent="0.35">
      <c r="A586" t="s">
        <v>95</v>
      </c>
      <c r="B586" t="s">
        <v>71</v>
      </c>
      <c r="C586" t="s">
        <v>45</v>
      </c>
      <c r="D586" t="s">
        <v>682</v>
      </c>
      <c r="E586" t="s">
        <v>96</v>
      </c>
      <c r="F586" t="s">
        <v>96</v>
      </c>
      <c r="G586" t="s">
        <v>96</v>
      </c>
      <c r="H586">
        <v>2010</v>
      </c>
      <c r="I586" t="s">
        <v>96</v>
      </c>
      <c r="J586" t="s">
        <v>97</v>
      </c>
      <c r="K586" t="s">
        <v>96</v>
      </c>
      <c r="L586" t="s">
        <v>96</v>
      </c>
      <c r="M586">
        <v>1650</v>
      </c>
      <c r="O586" s="12" t="str">
        <f t="shared" si="32"/>
        <v>CHI</v>
      </c>
      <c r="P586" s="12" t="str">
        <f t="shared" si="33"/>
        <v>E_WON</v>
      </c>
    </row>
    <row r="587" spans="1:16" x14ac:dyDescent="0.35">
      <c r="A587" t="s">
        <v>95</v>
      </c>
      <c r="B587" t="s">
        <v>71</v>
      </c>
      <c r="C587" t="s">
        <v>45</v>
      </c>
      <c r="D587" t="s">
        <v>683</v>
      </c>
      <c r="E587" t="s">
        <v>96</v>
      </c>
      <c r="F587" t="s">
        <v>96</v>
      </c>
      <c r="G587" t="s">
        <v>96</v>
      </c>
      <c r="H587">
        <v>2010</v>
      </c>
      <c r="I587" t="s">
        <v>96</v>
      </c>
      <c r="J587" t="s">
        <v>97</v>
      </c>
      <c r="K587" t="s">
        <v>96</v>
      </c>
      <c r="L587" t="s">
        <v>96</v>
      </c>
      <c r="M587">
        <v>1650</v>
      </c>
      <c r="O587" s="12" t="str">
        <f t="shared" si="32"/>
        <v>CHI</v>
      </c>
      <c r="P587" s="12" t="str">
        <f t="shared" si="33"/>
        <v>E_WON</v>
      </c>
    </row>
    <row r="588" spans="1:16" x14ac:dyDescent="0.35">
      <c r="A588" t="s">
        <v>95</v>
      </c>
      <c r="B588" t="s">
        <v>71</v>
      </c>
      <c r="C588" t="s">
        <v>45</v>
      </c>
      <c r="D588" t="s">
        <v>684</v>
      </c>
      <c r="E588" t="s">
        <v>96</v>
      </c>
      <c r="F588" t="s">
        <v>96</v>
      </c>
      <c r="G588" t="s">
        <v>96</v>
      </c>
      <c r="H588">
        <v>2010</v>
      </c>
      <c r="I588" t="s">
        <v>96</v>
      </c>
      <c r="J588" t="s">
        <v>97</v>
      </c>
      <c r="K588" t="s">
        <v>96</v>
      </c>
      <c r="L588" t="s">
        <v>96</v>
      </c>
      <c r="M588">
        <v>1650</v>
      </c>
      <c r="O588" s="12" t="str">
        <f t="shared" si="32"/>
        <v>CHI</v>
      </c>
      <c r="P588" s="12" t="str">
        <f t="shared" si="33"/>
        <v>E_WON</v>
      </c>
    </row>
    <row r="589" spans="1:16" x14ac:dyDescent="0.35">
      <c r="A589" t="s">
        <v>95</v>
      </c>
      <c r="B589" t="s">
        <v>71</v>
      </c>
      <c r="C589" t="s">
        <v>45</v>
      </c>
      <c r="D589" t="s">
        <v>685</v>
      </c>
      <c r="E589" t="s">
        <v>96</v>
      </c>
      <c r="F589" t="s">
        <v>96</v>
      </c>
      <c r="G589" t="s">
        <v>96</v>
      </c>
      <c r="H589">
        <v>2010</v>
      </c>
      <c r="I589" t="s">
        <v>96</v>
      </c>
      <c r="J589" t="s">
        <v>97</v>
      </c>
      <c r="K589" t="s">
        <v>96</v>
      </c>
      <c r="L589" t="s">
        <v>96</v>
      </c>
      <c r="M589">
        <v>1650</v>
      </c>
      <c r="O589" s="12" t="str">
        <f t="shared" si="32"/>
        <v>CHI</v>
      </c>
      <c r="P589" s="12" t="str">
        <f t="shared" si="33"/>
        <v>E_WON</v>
      </c>
    </row>
    <row r="590" spans="1:16" x14ac:dyDescent="0.35">
      <c r="A590" t="s">
        <v>95</v>
      </c>
      <c r="B590" t="s">
        <v>71</v>
      </c>
      <c r="C590" t="s">
        <v>45</v>
      </c>
      <c r="D590" t="s">
        <v>686</v>
      </c>
      <c r="E590" t="s">
        <v>96</v>
      </c>
      <c r="F590" t="s">
        <v>96</v>
      </c>
      <c r="G590" t="s">
        <v>96</v>
      </c>
      <c r="H590">
        <v>2010</v>
      </c>
      <c r="I590" t="s">
        <v>96</v>
      </c>
      <c r="J590" t="s">
        <v>97</v>
      </c>
      <c r="K590" t="s">
        <v>96</v>
      </c>
      <c r="L590" t="s">
        <v>96</v>
      </c>
      <c r="M590">
        <v>1650</v>
      </c>
      <c r="O590" s="12" t="str">
        <f t="shared" si="32"/>
        <v>CHI</v>
      </c>
      <c r="P590" s="12" t="str">
        <f t="shared" si="33"/>
        <v>E_WON</v>
      </c>
    </row>
    <row r="591" spans="1:16" x14ac:dyDescent="0.35">
      <c r="A591" t="s">
        <v>95</v>
      </c>
      <c r="B591" t="s">
        <v>72</v>
      </c>
      <c r="C591" t="s">
        <v>45</v>
      </c>
      <c r="D591" t="s">
        <v>687</v>
      </c>
      <c r="E591" t="s">
        <v>96</v>
      </c>
      <c r="F591" t="s">
        <v>96</v>
      </c>
      <c r="G591" t="s">
        <v>96</v>
      </c>
      <c r="H591">
        <v>2010</v>
      </c>
      <c r="I591" t="s">
        <v>96</v>
      </c>
      <c r="J591" t="s">
        <v>97</v>
      </c>
      <c r="K591" t="s">
        <v>96</v>
      </c>
      <c r="L591" t="s">
        <v>96</v>
      </c>
      <c r="M591">
        <v>3202.5</v>
      </c>
      <c r="O591" s="12" t="str">
        <f t="shared" si="32"/>
        <v>CSA</v>
      </c>
      <c r="P591" s="12" t="str">
        <f t="shared" si="33"/>
        <v>E_WON</v>
      </c>
    </row>
    <row r="592" spans="1:16" x14ac:dyDescent="0.35">
      <c r="A592" t="s">
        <v>95</v>
      </c>
      <c r="B592" t="s">
        <v>72</v>
      </c>
      <c r="C592" t="s">
        <v>45</v>
      </c>
      <c r="D592" t="s">
        <v>688</v>
      </c>
      <c r="E592" t="s">
        <v>96</v>
      </c>
      <c r="F592" t="s">
        <v>96</v>
      </c>
      <c r="G592" t="s">
        <v>96</v>
      </c>
      <c r="H592">
        <v>2010</v>
      </c>
      <c r="I592" t="s">
        <v>96</v>
      </c>
      <c r="J592" t="s">
        <v>97</v>
      </c>
      <c r="K592" t="s">
        <v>96</v>
      </c>
      <c r="L592" t="s">
        <v>96</v>
      </c>
      <c r="M592">
        <v>3565.625</v>
      </c>
      <c r="O592" s="12" t="str">
        <f t="shared" si="32"/>
        <v>CSA</v>
      </c>
      <c r="P592" s="12" t="str">
        <f t="shared" si="33"/>
        <v>E_WON</v>
      </c>
    </row>
    <row r="593" spans="1:16" x14ac:dyDescent="0.35">
      <c r="A593" t="s">
        <v>95</v>
      </c>
      <c r="B593" t="s">
        <v>72</v>
      </c>
      <c r="C593" t="s">
        <v>45</v>
      </c>
      <c r="D593" t="s">
        <v>689</v>
      </c>
      <c r="E593" t="s">
        <v>96</v>
      </c>
      <c r="F593" t="s">
        <v>96</v>
      </c>
      <c r="G593" t="s">
        <v>96</v>
      </c>
      <c r="H593">
        <v>2010</v>
      </c>
      <c r="I593" t="s">
        <v>96</v>
      </c>
      <c r="J593" t="s">
        <v>97</v>
      </c>
      <c r="K593" t="s">
        <v>96</v>
      </c>
      <c r="L593" t="s">
        <v>96</v>
      </c>
      <c r="M593">
        <v>3565.625</v>
      </c>
      <c r="O593" s="12" t="str">
        <f t="shared" si="32"/>
        <v>CSA</v>
      </c>
      <c r="P593" s="12" t="str">
        <f t="shared" si="33"/>
        <v>E_WON</v>
      </c>
    </row>
    <row r="594" spans="1:16" x14ac:dyDescent="0.35">
      <c r="A594" t="s">
        <v>95</v>
      </c>
      <c r="B594" t="s">
        <v>72</v>
      </c>
      <c r="C594" t="s">
        <v>45</v>
      </c>
      <c r="D594" t="s">
        <v>691</v>
      </c>
      <c r="E594" t="s">
        <v>96</v>
      </c>
      <c r="F594" t="s">
        <v>96</v>
      </c>
      <c r="G594" t="s">
        <v>96</v>
      </c>
      <c r="H594">
        <v>2010</v>
      </c>
      <c r="I594" t="s">
        <v>96</v>
      </c>
      <c r="J594" t="s">
        <v>97</v>
      </c>
      <c r="K594" t="s">
        <v>96</v>
      </c>
      <c r="L594" t="s">
        <v>96</v>
      </c>
      <c r="M594">
        <v>3565.625</v>
      </c>
      <c r="O594" s="12" t="str">
        <f t="shared" si="32"/>
        <v>CSA</v>
      </c>
      <c r="P594" s="12" t="str">
        <f t="shared" si="33"/>
        <v>E_WON</v>
      </c>
    </row>
    <row r="595" spans="1:16" x14ac:dyDescent="0.35">
      <c r="A595" t="s">
        <v>95</v>
      </c>
      <c r="B595" t="s">
        <v>72</v>
      </c>
      <c r="C595" t="s">
        <v>45</v>
      </c>
      <c r="D595" t="s">
        <v>692</v>
      </c>
      <c r="E595" t="s">
        <v>96</v>
      </c>
      <c r="F595" t="s">
        <v>96</v>
      </c>
      <c r="G595" t="s">
        <v>96</v>
      </c>
      <c r="H595">
        <v>2010</v>
      </c>
      <c r="I595" t="s">
        <v>96</v>
      </c>
      <c r="J595" t="s">
        <v>97</v>
      </c>
      <c r="K595" t="s">
        <v>96</v>
      </c>
      <c r="L595" t="s">
        <v>96</v>
      </c>
      <c r="M595">
        <v>3710</v>
      </c>
      <c r="O595" s="12" t="str">
        <f t="shared" si="32"/>
        <v>CSA</v>
      </c>
      <c r="P595" s="12" t="str">
        <f t="shared" si="33"/>
        <v>E_WON</v>
      </c>
    </row>
    <row r="596" spans="1:16" x14ac:dyDescent="0.35">
      <c r="A596" t="s">
        <v>95</v>
      </c>
      <c r="B596" t="s">
        <v>72</v>
      </c>
      <c r="C596" t="s">
        <v>45</v>
      </c>
      <c r="D596" t="s">
        <v>693</v>
      </c>
      <c r="E596" t="s">
        <v>96</v>
      </c>
      <c r="F596" t="s">
        <v>96</v>
      </c>
      <c r="G596" t="s">
        <v>96</v>
      </c>
      <c r="H596">
        <v>2010</v>
      </c>
      <c r="I596" t="s">
        <v>96</v>
      </c>
      <c r="J596" t="s">
        <v>97</v>
      </c>
      <c r="K596" t="s">
        <v>96</v>
      </c>
      <c r="L596" t="s">
        <v>96</v>
      </c>
      <c r="M596">
        <v>3565.625</v>
      </c>
      <c r="O596" s="12" t="str">
        <f t="shared" si="32"/>
        <v>CSA</v>
      </c>
      <c r="P596" s="12" t="str">
        <f t="shared" si="33"/>
        <v>E_WON</v>
      </c>
    </row>
    <row r="597" spans="1:16" x14ac:dyDescent="0.35">
      <c r="A597" t="s">
        <v>95</v>
      </c>
      <c r="B597" t="s">
        <v>72</v>
      </c>
      <c r="C597" t="s">
        <v>45</v>
      </c>
      <c r="D597" t="s">
        <v>694</v>
      </c>
      <c r="E597" t="s">
        <v>96</v>
      </c>
      <c r="F597" t="s">
        <v>96</v>
      </c>
      <c r="G597" t="s">
        <v>96</v>
      </c>
      <c r="H597">
        <v>2010</v>
      </c>
      <c r="I597" t="s">
        <v>96</v>
      </c>
      <c r="J597" t="s">
        <v>97</v>
      </c>
      <c r="K597" t="s">
        <v>96</v>
      </c>
      <c r="L597" t="s">
        <v>96</v>
      </c>
      <c r="M597">
        <v>3692.5</v>
      </c>
      <c r="O597" s="12" t="str">
        <f t="shared" si="32"/>
        <v>CSA</v>
      </c>
      <c r="P597" s="12" t="str">
        <f t="shared" si="33"/>
        <v>E_WON</v>
      </c>
    </row>
    <row r="598" spans="1:16" x14ac:dyDescent="0.35">
      <c r="A598" t="s">
        <v>95</v>
      </c>
      <c r="B598" t="s">
        <v>72</v>
      </c>
      <c r="C598" t="s">
        <v>45</v>
      </c>
      <c r="D598" t="s">
        <v>695</v>
      </c>
      <c r="E598" t="s">
        <v>96</v>
      </c>
      <c r="F598" t="s">
        <v>96</v>
      </c>
      <c r="G598" t="s">
        <v>96</v>
      </c>
      <c r="H598">
        <v>2010</v>
      </c>
      <c r="I598" t="s">
        <v>96</v>
      </c>
      <c r="J598" t="s">
        <v>97</v>
      </c>
      <c r="K598" t="s">
        <v>96</v>
      </c>
      <c r="L598" t="s">
        <v>96</v>
      </c>
      <c r="M598">
        <v>3565.625</v>
      </c>
      <c r="O598" s="12" t="str">
        <f t="shared" si="32"/>
        <v>CSA</v>
      </c>
      <c r="P598" s="12" t="str">
        <f t="shared" si="33"/>
        <v>E_WON</v>
      </c>
    </row>
    <row r="599" spans="1:16" x14ac:dyDescent="0.35">
      <c r="A599" t="s">
        <v>95</v>
      </c>
      <c r="B599" t="s">
        <v>72</v>
      </c>
      <c r="C599" t="s">
        <v>45</v>
      </c>
      <c r="D599" t="s">
        <v>696</v>
      </c>
      <c r="E599" t="s">
        <v>96</v>
      </c>
      <c r="F599" t="s">
        <v>96</v>
      </c>
      <c r="G599" t="s">
        <v>96</v>
      </c>
      <c r="H599">
        <v>2010</v>
      </c>
      <c r="I599" t="s">
        <v>96</v>
      </c>
      <c r="J599" t="s">
        <v>97</v>
      </c>
      <c r="K599" t="s">
        <v>96</v>
      </c>
      <c r="L599" t="s">
        <v>96</v>
      </c>
      <c r="M599">
        <v>3500</v>
      </c>
      <c r="O599" s="12" t="str">
        <f t="shared" si="32"/>
        <v>CSA</v>
      </c>
      <c r="P599" s="12" t="str">
        <f t="shared" si="33"/>
        <v>E_WON</v>
      </c>
    </row>
    <row r="600" spans="1:16" x14ac:dyDescent="0.35">
      <c r="A600" t="s">
        <v>95</v>
      </c>
      <c r="B600" t="s">
        <v>72</v>
      </c>
      <c r="C600" t="s">
        <v>45</v>
      </c>
      <c r="D600" t="s">
        <v>697</v>
      </c>
      <c r="E600" t="s">
        <v>96</v>
      </c>
      <c r="F600" t="s">
        <v>96</v>
      </c>
      <c r="G600" t="s">
        <v>96</v>
      </c>
      <c r="H600">
        <v>2010</v>
      </c>
      <c r="I600" t="s">
        <v>96</v>
      </c>
      <c r="J600" t="s">
        <v>97</v>
      </c>
      <c r="K600" t="s">
        <v>96</v>
      </c>
      <c r="L600" t="s">
        <v>96</v>
      </c>
      <c r="M600">
        <v>3202.5</v>
      </c>
      <c r="O600" s="12" t="str">
        <f t="shared" si="32"/>
        <v>CSA</v>
      </c>
      <c r="P600" s="12" t="str">
        <f t="shared" si="33"/>
        <v>E_WON</v>
      </c>
    </row>
    <row r="601" spans="1:16" x14ac:dyDescent="0.35">
      <c r="A601" t="s">
        <v>95</v>
      </c>
      <c r="B601" t="s">
        <v>72</v>
      </c>
      <c r="C601" t="s">
        <v>45</v>
      </c>
      <c r="D601" t="s">
        <v>698</v>
      </c>
      <c r="E601" t="s">
        <v>96</v>
      </c>
      <c r="F601" t="s">
        <v>96</v>
      </c>
      <c r="G601" t="s">
        <v>96</v>
      </c>
      <c r="H601">
        <v>2010</v>
      </c>
      <c r="I601" t="s">
        <v>96</v>
      </c>
      <c r="J601" t="s">
        <v>97</v>
      </c>
      <c r="K601" t="s">
        <v>96</v>
      </c>
      <c r="L601" t="s">
        <v>96</v>
      </c>
      <c r="M601">
        <v>3565.625</v>
      </c>
      <c r="O601" s="12" t="str">
        <f t="shared" si="32"/>
        <v>CSA</v>
      </c>
      <c r="P601" s="12" t="str">
        <f t="shared" si="33"/>
        <v>E_WON</v>
      </c>
    </row>
    <row r="602" spans="1:16" x14ac:dyDescent="0.35">
      <c r="A602" t="s">
        <v>95</v>
      </c>
      <c r="B602" t="s">
        <v>72</v>
      </c>
      <c r="C602" t="s">
        <v>45</v>
      </c>
      <c r="D602" t="s">
        <v>699</v>
      </c>
      <c r="E602" t="s">
        <v>96</v>
      </c>
      <c r="F602" t="s">
        <v>96</v>
      </c>
      <c r="G602" t="s">
        <v>96</v>
      </c>
      <c r="H602">
        <v>2010</v>
      </c>
      <c r="I602" t="s">
        <v>96</v>
      </c>
      <c r="J602" t="s">
        <v>97</v>
      </c>
      <c r="K602" t="s">
        <v>96</v>
      </c>
      <c r="L602" t="s">
        <v>96</v>
      </c>
      <c r="M602">
        <v>3565.625</v>
      </c>
      <c r="O602" s="12" t="str">
        <f t="shared" si="32"/>
        <v>CSA</v>
      </c>
      <c r="P602" s="12" t="str">
        <f t="shared" si="33"/>
        <v>E_WON</v>
      </c>
    </row>
    <row r="603" spans="1:16" x14ac:dyDescent="0.35">
      <c r="A603" t="s">
        <v>95</v>
      </c>
      <c r="B603" t="s">
        <v>72</v>
      </c>
      <c r="C603" t="s">
        <v>45</v>
      </c>
      <c r="D603" t="s">
        <v>700</v>
      </c>
      <c r="E603" t="s">
        <v>96</v>
      </c>
      <c r="F603" t="s">
        <v>96</v>
      </c>
      <c r="G603" t="s">
        <v>96</v>
      </c>
      <c r="H603">
        <v>2010</v>
      </c>
      <c r="I603" t="s">
        <v>96</v>
      </c>
      <c r="J603" t="s">
        <v>97</v>
      </c>
      <c r="K603" t="s">
        <v>96</v>
      </c>
      <c r="L603" t="s">
        <v>96</v>
      </c>
      <c r="M603">
        <v>3565.625</v>
      </c>
      <c r="O603" s="12" t="str">
        <f t="shared" si="32"/>
        <v>CSA</v>
      </c>
      <c r="P603" s="12" t="str">
        <f t="shared" si="33"/>
        <v>E_WON</v>
      </c>
    </row>
    <row r="604" spans="1:16" x14ac:dyDescent="0.35">
      <c r="A604" t="s">
        <v>95</v>
      </c>
      <c r="B604" t="s">
        <v>72</v>
      </c>
      <c r="C604" t="s">
        <v>45</v>
      </c>
      <c r="D604" t="s">
        <v>701</v>
      </c>
      <c r="E604" t="s">
        <v>96</v>
      </c>
      <c r="F604" t="s">
        <v>96</v>
      </c>
      <c r="G604" t="s">
        <v>96</v>
      </c>
      <c r="H604">
        <v>2010</v>
      </c>
      <c r="I604" t="s">
        <v>96</v>
      </c>
      <c r="J604" t="s">
        <v>97</v>
      </c>
      <c r="K604" t="s">
        <v>96</v>
      </c>
      <c r="L604" t="s">
        <v>96</v>
      </c>
      <c r="M604">
        <v>3202.5</v>
      </c>
      <c r="O604" s="12" t="str">
        <f t="shared" si="32"/>
        <v>CSA</v>
      </c>
      <c r="P604" s="12" t="str">
        <f t="shared" si="33"/>
        <v>E_WON</v>
      </c>
    </row>
    <row r="605" spans="1:16" x14ac:dyDescent="0.35">
      <c r="A605" t="s">
        <v>95</v>
      </c>
      <c r="B605" t="s">
        <v>72</v>
      </c>
      <c r="C605" t="s">
        <v>45</v>
      </c>
      <c r="D605" t="s">
        <v>702</v>
      </c>
      <c r="E605" t="s">
        <v>96</v>
      </c>
      <c r="F605" t="s">
        <v>96</v>
      </c>
      <c r="G605" t="s">
        <v>96</v>
      </c>
      <c r="H605">
        <v>2010</v>
      </c>
      <c r="I605" t="s">
        <v>96</v>
      </c>
      <c r="J605" t="s">
        <v>97</v>
      </c>
      <c r="K605" t="s">
        <v>96</v>
      </c>
      <c r="L605" t="s">
        <v>96</v>
      </c>
      <c r="M605">
        <v>3565.625</v>
      </c>
      <c r="O605" s="12" t="str">
        <f t="shared" si="32"/>
        <v>CSA</v>
      </c>
      <c r="P605" s="12" t="str">
        <f t="shared" si="33"/>
        <v>E_WON</v>
      </c>
    </row>
    <row r="606" spans="1:16" x14ac:dyDescent="0.35">
      <c r="A606" t="s">
        <v>95</v>
      </c>
      <c r="B606" t="s">
        <v>72</v>
      </c>
      <c r="C606" t="s">
        <v>45</v>
      </c>
      <c r="D606" t="s">
        <v>704</v>
      </c>
      <c r="E606" t="s">
        <v>96</v>
      </c>
      <c r="F606" t="s">
        <v>96</v>
      </c>
      <c r="G606" t="s">
        <v>96</v>
      </c>
      <c r="H606">
        <v>2010</v>
      </c>
      <c r="I606" t="s">
        <v>96</v>
      </c>
      <c r="J606" t="s">
        <v>97</v>
      </c>
      <c r="K606" t="s">
        <v>96</v>
      </c>
      <c r="L606" t="s">
        <v>96</v>
      </c>
      <c r="M606">
        <v>3565.625</v>
      </c>
      <c r="O606" s="12" t="str">
        <f t="shared" si="32"/>
        <v>CSA</v>
      </c>
      <c r="P606" s="12" t="str">
        <f t="shared" si="33"/>
        <v>E_WON</v>
      </c>
    </row>
    <row r="607" spans="1:16" x14ac:dyDescent="0.35">
      <c r="A607" t="s">
        <v>95</v>
      </c>
      <c r="B607" t="s">
        <v>72</v>
      </c>
      <c r="C607" t="s">
        <v>45</v>
      </c>
      <c r="D607" t="s">
        <v>705</v>
      </c>
      <c r="E607" t="s">
        <v>96</v>
      </c>
      <c r="F607" t="s">
        <v>96</v>
      </c>
      <c r="G607" t="s">
        <v>96</v>
      </c>
      <c r="H607">
        <v>2010</v>
      </c>
      <c r="I607" t="s">
        <v>96</v>
      </c>
      <c r="J607" t="s">
        <v>97</v>
      </c>
      <c r="K607" t="s">
        <v>96</v>
      </c>
      <c r="L607" t="s">
        <v>96</v>
      </c>
      <c r="M607">
        <v>3692.5</v>
      </c>
      <c r="O607" s="12" t="str">
        <f t="shared" si="32"/>
        <v>CSA</v>
      </c>
      <c r="P607" s="12" t="str">
        <f t="shared" si="33"/>
        <v>E_WON</v>
      </c>
    </row>
    <row r="608" spans="1:16" x14ac:dyDescent="0.35">
      <c r="A608" t="s">
        <v>95</v>
      </c>
      <c r="B608" t="s">
        <v>72</v>
      </c>
      <c r="C608" t="s">
        <v>45</v>
      </c>
      <c r="D608" t="s">
        <v>706</v>
      </c>
      <c r="E608" t="s">
        <v>96</v>
      </c>
      <c r="F608" t="s">
        <v>96</v>
      </c>
      <c r="G608" t="s">
        <v>96</v>
      </c>
      <c r="H608">
        <v>2010</v>
      </c>
      <c r="I608" t="s">
        <v>96</v>
      </c>
      <c r="J608" t="s">
        <v>97</v>
      </c>
      <c r="K608" t="s">
        <v>96</v>
      </c>
      <c r="L608" t="s">
        <v>96</v>
      </c>
      <c r="M608">
        <v>3565.625</v>
      </c>
      <c r="O608" s="12" t="str">
        <f t="shared" si="32"/>
        <v>CSA</v>
      </c>
      <c r="P608" s="12" t="str">
        <f t="shared" si="33"/>
        <v>E_WON</v>
      </c>
    </row>
    <row r="609" spans="1:16" x14ac:dyDescent="0.35">
      <c r="A609" t="s">
        <v>95</v>
      </c>
      <c r="B609" t="s">
        <v>72</v>
      </c>
      <c r="C609" t="s">
        <v>45</v>
      </c>
      <c r="D609" t="s">
        <v>707</v>
      </c>
      <c r="E609" t="s">
        <v>96</v>
      </c>
      <c r="F609" t="s">
        <v>96</v>
      </c>
      <c r="G609" t="s">
        <v>96</v>
      </c>
      <c r="H609">
        <v>2010</v>
      </c>
      <c r="I609" t="s">
        <v>96</v>
      </c>
      <c r="J609" t="s">
        <v>97</v>
      </c>
      <c r="K609" t="s">
        <v>96</v>
      </c>
      <c r="L609" t="s">
        <v>96</v>
      </c>
      <c r="M609">
        <v>3565.625</v>
      </c>
      <c r="O609" s="12" t="str">
        <f t="shared" si="32"/>
        <v>CSA</v>
      </c>
      <c r="P609" s="12" t="str">
        <f t="shared" si="33"/>
        <v>E_WON</v>
      </c>
    </row>
    <row r="610" spans="1:16" x14ac:dyDescent="0.35">
      <c r="A610" t="s">
        <v>95</v>
      </c>
      <c r="B610" t="s">
        <v>72</v>
      </c>
      <c r="C610" t="s">
        <v>45</v>
      </c>
      <c r="D610" t="s">
        <v>708</v>
      </c>
      <c r="E610" t="s">
        <v>96</v>
      </c>
      <c r="F610" t="s">
        <v>96</v>
      </c>
      <c r="G610" t="s">
        <v>96</v>
      </c>
      <c r="H610">
        <v>2010</v>
      </c>
      <c r="I610" t="s">
        <v>96</v>
      </c>
      <c r="J610" t="s">
        <v>97</v>
      </c>
      <c r="K610" t="s">
        <v>96</v>
      </c>
      <c r="L610" t="s">
        <v>96</v>
      </c>
      <c r="M610">
        <v>3565.625</v>
      </c>
      <c r="O610" s="12" t="str">
        <f t="shared" si="32"/>
        <v>CSA</v>
      </c>
      <c r="P610" s="12" t="str">
        <f t="shared" si="33"/>
        <v>E_WON</v>
      </c>
    </row>
    <row r="611" spans="1:16" x14ac:dyDescent="0.35">
      <c r="A611" t="s">
        <v>95</v>
      </c>
      <c r="B611" t="s">
        <v>72</v>
      </c>
      <c r="C611" t="s">
        <v>45</v>
      </c>
      <c r="D611" t="s">
        <v>709</v>
      </c>
      <c r="E611" t="s">
        <v>96</v>
      </c>
      <c r="F611" t="s">
        <v>96</v>
      </c>
      <c r="G611" t="s">
        <v>96</v>
      </c>
      <c r="H611">
        <v>2010</v>
      </c>
      <c r="I611" t="s">
        <v>96</v>
      </c>
      <c r="J611" t="s">
        <v>97</v>
      </c>
      <c r="K611" t="s">
        <v>96</v>
      </c>
      <c r="L611" t="s">
        <v>96</v>
      </c>
      <c r="M611">
        <v>3565.625</v>
      </c>
      <c r="O611" s="12" t="str">
        <f t="shared" si="32"/>
        <v>CSA</v>
      </c>
      <c r="P611" s="12" t="str">
        <f t="shared" si="33"/>
        <v>E_WON</v>
      </c>
    </row>
    <row r="612" spans="1:16" x14ac:dyDescent="0.35">
      <c r="A612" t="s">
        <v>95</v>
      </c>
      <c r="B612" t="s">
        <v>72</v>
      </c>
      <c r="C612" t="s">
        <v>45</v>
      </c>
      <c r="D612" t="s">
        <v>710</v>
      </c>
      <c r="E612" t="s">
        <v>96</v>
      </c>
      <c r="F612" t="s">
        <v>96</v>
      </c>
      <c r="G612" t="s">
        <v>96</v>
      </c>
      <c r="H612">
        <v>2010</v>
      </c>
      <c r="I612" t="s">
        <v>96</v>
      </c>
      <c r="J612" t="s">
        <v>97</v>
      </c>
      <c r="K612" t="s">
        <v>96</v>
      </c>
      <c r="L612" t="s">
        <v>96</v>
      </c>
      <c r="M612">
        <v>3202.5</v>
      </c>
      <c r="O612" s="12" t="str">
        <f t="shared" si="32"/>
        <v>CSA</v>
      </c>
      <c r="P612" s="12" t="str">
        <f t="shared" si="33"/>
        <v>E_WON</v>
      </c>
    </row>
    <row r="613" spans="1:16" x14ac:dyDescent="0.35">
      <c r="A613" t="s">
        <v>95</v>
      </c>
      <c r="B613" t="s">
        <v>72</v>
      </c>
      <c r="C613" t="s">
        <v>45</v>
      </c>
      <c r="D613" t="s">
        <v>711</v>
      </c>
      <c r="E613" t="s">
        <v>96</v>
      </c>
      <c r="F613" t="s">
        <v>96</v>
      </c>
      <c r="G613" t="s">
        <v>96</v>
      </c>
      <c r="H613">
        <v>2010</v>
      </c>
      <c r="I613" t="s">
        <v>96</v>
      </c>
      <c r="J613" t="s">
        <v>97</v>
      </c>
      <c r="K613" t="s">
        <v>96</v>
      </c>
      <c r="L613" t="s">
        <v>96</v>
      </c>
      <c r="M613">
        <v>3565.625</v>
      </c>
      <c r="O613" s="12" t="str">
        <f t="shared" si="32"/>
        <v>CSA</v>
      </c>
      <c r="P613" s="12" t="str">
        <f t="shared" si="33"/>
        <v>E_WON</v>
      </c>
    </row>
    <row r="614" spans="1:16" x14ac:dyDescent="0.35">
      <c r="A614" t="s">
        <v>95</v>
      </c>
      <c r="B614" t="s">
        <v>72</v>
      </c>
      <c r="C614" t="s">
        <v>45</v>
      </c>
      <c r="D614" t="s">
        <v>712</v>
      </c>
      <c r="E614" t="s">
        <v>96</v>
      </c>
      <c r="F614" t="s">
        <v>96</v>
      </c>
      <c r="G614" t="s">
        <v>96</v>
      </c>
      <c r="H614">
        <v>2010</v>
      </c>
      <c r="I614" t="s">
        <v>96</v>
      </c>
      <c r="J614" t="s">
        <v>97</v>
      </c>
      <c r="K614" t="s">
        <v>96</v>
      </c>
      <c r="L614" t="s">
        <v>96</v>
      </c>
      <c r="M614">
        <v>3565.625</v>
      </c>
      <c r="O614" s="12" t="str">
        <f t="shared" si="32"/>
        <v>CSA</v>
      </c>
      <c r="P614" s="12" t="str">
        <f t="shared" si="33"/>
        <v>E_WON</v>
      </c>
    </row>
    <row r="615" spans="1:16" x14ac:dyDescent="0.35">
      <c r="A615" t="s">
        <v>95</v>
      </c>
      <c r="B615" t="s">
        <v>72</v>
      </c>
      <c r="C615" t="s">
        <v>45</v>
      </c>
      <c r="D615" t="s">
        <v>714</v>
      </c>
      <c r="E615" t="s">
        <v>96</v>
      </c>
      <c r="F615" t="s">
        <v>96</v>
      </c>
      <c r="G615" t="s">
        <v>96</v>
      </c>
      <c r="H615">
        <v>2010</v>
      </c>
      <c r="I615" t="s">
        <v>96</v>
      </c>
      <c r="J615" t="s">
        <v>97</v>
      </c>
      <c r="K615" t="s">
        <v>96</v>
      </c>
      <c r="L615" t="s">
        <v>96</v>
      </c>
      <c r="M615">
        <v>3565.625</v>
      </c>
      <c r="O615" s="12" t="str">
        <f t="shared" si="32"/>
        <v>CSA</v>
      </c>
      <c r="P615" s="12" t="str">
        <f t="shared" si="33"/>
        <v>E_WON</v>
      </c>
    </row>
    <row r="616" spans="1:16" x14ac:dyDescent="0.35">
      <c r="A616" t="s">
        <v>95</v>
      </c>
      <c r="B616" t="s">
        <v>72</v>
      </c>
      <c r="C616" t="s">
        <v>45</v>
      </c>
      <c r="D616" t="s">
        <v>715</v>
      </c>
      <c r="E616" t="s">
        <v>96</v>
      </c>
      <c r="F616" t="s">
        <v>96</v>
      </c>
      <c r="G616" t="s">
        <v>96</v>
      </c>
      <c r="H616">
        <v>2010</v>
      </c>
      <c r="I616" t="s">
        <v>96</v>
      </c>
      <c r="J616" t="s">
        <v>97</v>
      </c>
      <c r="K616" t="s">
        <v>96</v>
      </c>
      <c r="L616" t="s">
        <v>96</v>
      </c>
      <c r="M616">
        <v>3692.5</v>
      </c>
      <c r="O616" s="12" t="str">
        <f t="shared" si="32"/>
        <v>CSA</v>
      </c>
      <c r="P616" s="12" t="str">
        <f t="shared" si="33"/>
        <v>E_WON</v>
      </c>
    </row>
    <row r="617" spans="1:16" x14ac:dyDescent="0.35">
      <c r="A617" t="s">
        <v>95</v>
      </c>
      <c r="B617" t="s">
        <v>72</v>
      </c>
      <c r="C617" t="s">
        <v>45</v>
      </c>
      <c r="D617" t="s">
        <v>716</v>
      </c>
      <c r="E617" t="s">
        <v>96</v>
      </c>
      <c r="F617" t="s">
        <v>96</v>
      </c>
      <c r="G617" t="s">
        <v>96</v>
      </c>
      <c r="H617">
        <v>2010</v>
      </c>
      <c r="I617" t="s">
        <v>96</v>
      </c>
      <c r="J617" t="s">
        <v>97</v>
      </c>
      <c r="K617" t="s">
        <v>96</v>
      </c>
      <c r="L617" t="s">
        <v>96</v>
      </c>
      <c r="M617">
        <v>3565.625</v>
      </c>
      <c r="O617" s="12" t="str">
        <f t="shared" si="32"/>
        <v>CSA</v>
      </c>
      <c r="P617" s="12" t="str">
        <f t="shared" si="33"/>
        <v>E_WON</v>
      </c>
    </row>
    <row r="618" spans="1:16" x14ac:dyDescent="0.35">
      <c r="A618" t="s">
        <v>95</v>
      </c>
      <c r="B618" t="s">
        <v>72</v>
      </c>
      <c r="C618" t="s">
        <v>45</v>
      </c>
      <c r="D618" t="s">
        <v>717</v>
      </c>
      <c r="E618" t="s">
        <v>96</v>
      </c>
      <c r="F618" t="s">
        <v>96</v>
      </c>
      <c r="G618" t="s">
        <v>96</v>
      </c>
      <c r="H618">
        <v>2010</v>
      </c>
      <c r="I618" t="s">
        <v>96</v>
      </c>
      <c r="J618" t="s">
        <v>97</v>
      </c>
      <c r="K618" t="s">
        <v>96</v>
      </c>
      <c r="L618" t="s">
        <v>96</v>
      </c>
      <c r="M618">
        <v>3565.625</v>
      </c>
      <c r="O618" s="12" t="str">
        <f t="shared" si="32"/>
        <v>CSA</v>
      </c>
      <c r="P618" s="12" t="str">
        <f t="shared" si="33"/>
        <v>E_WON</v>
      </c>
    </row>
    <row r="619" spans="1:16" x14ac:dyDescent="0.35">
      <c r="A619" t="s">
        <v>95</v>
      </c>
      <c r="B619" t="s">
        <v>72</v>
      </c>
      <c r="C619" t="s">
        <v>45</v>
      </c>
      <c r="D619" t="s">
        <v>718</v>
      </c>
      <c r="E619" t="s">
        <v>96</v>
      </c>
      <c r="F619" t="s">
        <v>96</v>
      </c>
      <c r="G619" t="s">
        <v>96</v>
      </c>
      <c r="H619">
        <v>2010</v>
      </c>
      <c r="I619" t="s">
        <v>96</v>
      </c>
      <c r="J619" t="s">
        <v>97</v>
      </c>
      <c r="K619" t="s">
        <v>96</v>
      </c>
      <c r="L619" t="s">
        <v>96</v>
      </c>
      <c r="M619">
        <v>3202.5</v>
      </c>
      <c r="O619" s="12" t="str">
        <f t="shared" si="32"/>
        <v>CSA</v>
      </c>
      <c r="P619" s="12" t="str">
        <f t="shared" si="33"/>
        <v>E_WON</v>
      </c>
    </row>
    <row r="620" spans="1:16" x14ac:dyDescent="0.35">
      <c r="A620" t="s">
        <v>95</v>
      </c>
      <c r="B620" t="s">
        <v>72</v>
      </c>
      <c r="C620" t="s">
        <v>45</v>
      </c>
      <c r="D620" t="s">
        <v>719</v>
      </c>
      <c r="E620" t="s">
        <v>96</v>
      </c>
      <c r="F620" t="s">
        <v>96</v>
      </c>
      <c r="G620" t="s">
        <v>96</v>
      </c>
      <c r="H620">
        <v>2010</v>
      </c>
      <c r="I620" t="s">
        <v>96</v>
      </c>
      <c r="J620" t="s">
        <v>97</v>
      </c>
      <c r="K620" t="s">
        <v>96</v>
      </c>
      <c r="L620" t="s">
        <v>96</v>
      </c>
      <c r="M620">
        <v>3565.625</v>
      </c>
      <c r="O620" s="12" t="str">
        <f t="shared" si="32"/>
        <v>CSA</v>
      </c>
      <c r="P620" s="12" t="str">
        <f t="shared" si="33"/>
        <v>E_WON</v>
      </c>
    </row>
    <row r="621" spans="1:16" x14ac:dyDescent="0.35">
      <c r="A621" t="s">
        <v>95</v>
      </c>
      <c r="B621" t="s">
        <v>72</v>
      </c>
      <c r="C621" t="s">
        <v>45</v>
      </c>
      <c r="D621" t="s">
        <v>720</v>
      </c>
      <c r="E621" t="s">
        <v>96</v>
      </c>
      <c r="F621" t="s">
        <v>96</v>
      </c>
      <c r="G621" t="s">
        <v>96</v>
      </c>
      <c r="H621">
        <v>2010</v>
      </c>
      <c r="I621" t="s">
        <v>96</v>
      </c>
      <c r="J621" t="s">
        <v>97</v>
      </c>
      <c r="K621" t="s">
        <v>96</v>
      </c>
      <c r="L621" t="s">
        <v>96</v>
      </c>
      <c r="M621">
        <v>3202.5</v>
      </c>
      <c r="O621" s="12" t="str">
        <f t="shared" si="32"/>
        <v>CSA</v>
      </c>
      <c r="P621" s="12" t="str">
        <f t="shared" si="33"/>
        <v>E_WON</v>
      </c>
    </row>
    <row r="622" spans="1:16" x14ac:dyDescent="0.35">
      <c r="A622" t="s">
        <v>95</v>
      </c>
      <c r="B622" t="s">
        <v>72</v>
      </c>
      <c r="C622" t="s">
        <v>45</v>
      </c>
      <c r="D622" t="s">
        <v>721</v>
      </c>
      <c r="E622" t="s">
        <v>96</v>
      </c>
      <c r="F622" t="s">
        <v>96</v>
      </c>
      <c r="G622" t="s">
        <v>96</v>
      </c>
      <c r="H622">
        <v>2010</v>
      </c>
      <c r="I622" t="s">
        <v>96</v>
      </c>
      <c r="J622" t="s">
        <v>97</v>
      </c>
      <c r="K622" t="s">
        <v>96</v>
      </c>
      <c r="L622" t="s">
        <v>96</v>
      </c>
      <c r="M622">
        <v>3565.625</v>
      </c>
      <c r="O622" s="12" t="str">
        <f t="shared" si="32"/>
        <v>CSA</v>
      </c>
      <c r="P622" s="12" t="str">
        <f t="shared" si="33"/>
        <v>E_WON</v>
      </c>
    </row>
    <row r="623" spans="1:16" x14ac:dyDescent="0.35">
      <c r="A623" t="s">
        <v>95</v>
      </c>
      <c r="B623" t="s">
        <v>72</v>
      </c>
      <c r="C623" t="s">
        <v>45</v>
      </c>
      <c r="D623" t="s">
        <v>722</v>
      </c>
      <c r="E623" t="s">
        <v>96</v>
      </c>
      <c r="F623" t="s">
        <v>96</v>
      </c>
      <c r="G623" t="s">
        <v>96</v>
      </c>
      <c r="H623">
        <v>2010</v>
      </c>
      <c r="I623" t="s">
        <v>96</v>
      </c>
      <c r="J623" t="s">
        <v>97</v>
      </c>
      <c r="K623" t="s">
        <v>96</v>
      </c>
      <c r="L623" t="s">
        <v>96</v>
      </c>
      <c r="M623">
        <v>3565.625</v>
      </c>
      <c r="O623" s="12" t="str">
        <f t="shared" si="32"/>
        <v>CSA</v>
      </c>
      <c r="P623" s="12" t="str">
        <f t="shared" si="33"/>
        <v>E_WON</v>
      </c>
    </row>
    <row r="624" spans="1:16" x14ac:dyDescent="0.35">
      <c r="A624" t="s">
        <v>95</v>
      </c>
      <c r="B624" t="s">
        <v>72</v>
      </c>
      <c r="C624" t="s">
        <v>45</v>
      </c>
      <c r="D624" t="s">
        <v>724</v>
      </c>
      <c r="E624" t="s">
        <v>96</v>
      </c>
      <c r="F624" t="s">
        <v>96</v>
      </c>
      <c r="G624" t="s">
        <v>96</v>
      </c>
      <c r="H624">
        <v>2010</v>
      </c>
      <c r="I624" t="s">
        <v>96</v>
      </c>
      <c r="J624" t="s">
        <v>97</v>
      </c>
      <c r="K624" t="s">
        <v>96</v>
      </c>
      <c r="L624" t="s">
        <v>96</v>
      </c>
      <c r="M624">
        <v>3565.625</v>
      </c>
      <c r="O624" s="12" t="str">
        <f t="shared" si="32"/>
        <v>CSA</v>
      </c>
      <c r="P624" s="12" t="str">
        <f t="shared" si="33"/>
        <v>E_WON</v>
      </c>
    </row>
    <row r="625" spans="1:16" x14ac:dyDescent="0.35">
      <c r="A625" t="s">
        <v>95</v>
      </c>
      <c r="B625" t="s">
        <v>72</v>
      </c>
      <c r="C625" t="s">
        <v>45</v>
      </c>
      <c r="D625" t="s">
        <v>725</v>
      </c>
      <c r="E625" t="s">
        <v>96</v>
      </c>
      <c r="F625" t="s">
        <v>96</v>
      </c>
      <c r="G625" t="s">
        <v>96</v>
      </c>
      <c r="H625">
        <v>2010</v>
      </c>
      <c r="I625" t="s">
        <v>96</v>
      </c>
      <c r="J625" t="s">
        <v>97</v>
      </c>
      <c r="K625" t="s">
        <v>96</v>
      </c>
      <c r="L625" t="s">
        <v>96</v>
      </c>
      <c r="M625">
        <v>3202.5</v>
      </c>
      <c r="O625" s="12" t="str">
        <f t="shared" si="32"/>
        <v>CSA</v>
      </c>
      <c r="P625" s="12" t="str">
        <f t="shared" si="33"/>
        <v>E_WON</v>
      </c>
    </row>
    <row r="626" spans="1:16" x14ac:dyDescent="0.35">
      <c r="A626" t="s">
        <v>95</v>
      </c>
      <c r="B626" t="s">
        <v>72</v>
      </c>
      <c r="C626" t="s">
        <v>45</v>
      </c>
      <c r="D626" t="s">
        <v>726</v>
      </c>
      <c r="E626" t="s">
        <v>96</v>
      </c>
      <c r="F626" t="s">
        <v>96</v>
      </c>
      <c r="G626" t="s">
        <v>96</v>
      </c>
      <c r="H626">
        <v>2010</v>
      </c>
      <c r="I626" t="s">
        <v>96</v>
      </c>
      <c r="J626" t="s">
        <v>97</v>
      </c>
      <c r="K626" t="s">
        <v>96</v>
      </c>
      <c r="L626" t="s">
        <v>96</v>
      </c>
      <c r="M626">
        <v>3565.625</v>
      </c>
      <c r="O626" s="12" t="str">
        <f t="shared" si="32"/>
        <v>CSA</v>
      </c>
      <c r="P626" s="12" t="str">
        <f t="shared" si="33"/>
        <v>E_WON</v>
      </c>
    </row>
    <row r="627" spans="1:16" x14ac:dyDescent="0.35">
      <c r="A627" t="s">
        <v>95</v>
      </c>
      <c r="B627" t="s">
        <v>72</v>
      </c>
      <c r="C627" t="s">
        <v>45</v>
      </c>
      <c r="D627" t="s">
        <v>727</v>
      </c>
      <c r="E627" t="s">
        <v>96</v>
      </c>
      <c r="F627" t="s">
        <v>96</v>
      </c>
      <c r="G627" t="s">
        <v>96</v>
      </c>
      <c r="H627">
        <v>2010</v>
      </c>
      <c r="I627" t="s">
        <v>96</v>
      </c>
      <c r="J627" t="s">
        <v>97</v>
      </c>
      <c r="K627" t="s">
        <v>96</v>
      </c>
      <c r="L627" t="s">
        <v>96</v>
      </c>
      <c r="M627">
        <v>3202.5</v>
      </c>
      <c r="O627" s="12" t="str">
        <f t="shared" si="32"/>
        <v>CSA</v>
      </c>
      <c r="P627" s="12" t="str">
        <f t="shared" si="33"/>
        <v>E_WON</v>
      </c>
    </row>
    <row r="628" spans="1:16" x14ac:dyDescent="0.35">
      <c r="A628" t="s">
        <v>95</v>
      </c>
      <c r="B628" t="s">
        <v>72</v>
      </c>
      <c r="C628" t="s">
        <v>45</v>
      </c>
      <c r="D628" t="s">
        <v>728</v>
      </c>
      <c r="E628" t="s">
        <v>96</v>
      </c>
      <c r="F628" t="s">
        <v>96</v>
      </c>
      <c r="G628" t="s">
        <v>96</v>
      </c>
      <c r="H628">
        <v>2010</v>
      </c>
      <c r="I628" t="s">
        <v>96</v>
      </c>
      <c r="J628" t="s">
        <v>97</v>
      </c>
      <c r="K628" t="s">
        <v>96</v>
      </c>
      <c r="L628" t="s">
        <v>96</v>
      </c>
      <c r="M628">
        <v>3565.625</v>
      </c>
      <c r="O628" s="12" t="str">
        <f t="shared" si="32"/>
        <v>CSA</v>
      </c>
      <c r="P628" s="12" t="str">
        <f t="shared" si="33"/>
        <v>E_WON</v>
      </c>
    </row>
    <row r="629" spans="1:16" x14ac:dyDescent="0.35">
      <c r="A629" t="s">
        <v>95</v>
      </c>
      <c r="B629" t="s">
        <v>72</v>
      </c>
      <c r="C629" t="s">
        <v>45</v>
      </c>
      <c r="D629" t="s">
        <v>729</v>
      </c>
      <c r="E629" t="s">
        <v>96</v>
      </c>
      <c r="F629" t="s">
        <v>96</v>
      </c>
      <c r="G629" t="s">
        <v>96</v>
      </c>
      <c r="H629">
        <v>2010</v>
      </c>
      <c r="I629" t="s">
        <v>96</v>
      </c>
      <c r="J629" t="s">
        <v>97</v>
      </c>
      <c r="K629" t="s">
        <v>96</v>
      </c>
      <c r="L629" t="s">
        <v>96</v>
      </c>
      <c r="M629">
        <v>3565.625</v>
      </c>
      <c r="O629" s="12" t="str">
        <f t="shared" si="32"/>
        <v>CSA</v>
      </c>
      <c r="P629" s="12" t="str">
        <f t="shared" si="33"/>
        <v>E_WON</v>
      </c>
    </row>
    <row r="630" spans="1:16" x14ac:dyDescent="0.35">
      <c r="A630" t="s">
        <v>95</v>
      </c>
      <c r="B630" t="s">
        <v>72</v>
      </c>
      <c r="C630" t="s">
        <v>45</v>
      </c>
      <c r="D630" t="s">
        <v>730</v>
      </c>
      <c r="E630" t="s">
        <v>96</v>
      </c>
      <c r="F630" t="s">
        <v>96</v>
      </c>
      <c r="G630" t="s">
        <v>96</v>
      </c>
      <c r="H630">
        <v>2010</v>
      </c>
      <c r="I630" t="s">
        <v>96</v>
      </c>
      <c r="J630" t="s">
        <v>97</v>
      </c>
      <c r="K630" t="s">
        <v>96</v>
      </c>
      <c r="L630" t="s">
        <v>96</v>
      </c>
      <c r="M630">
        <v>3202.5</v>
      </c>
      <c r="O630" s="12" t="str">
        <f t="shared" si="32"/>
        <v>CSA</v>
      </c>
      <c r="P630" s="12" t="str">
        <f t="shared" si="33"/>
        <v>E_WON</v>
      </c>
    </row>
    <row r="631" spans="1:16" x14ac:dyDescent="0.35">
      <c r="A631" t="s">
        <v>95</v>
      </c>
      <c r="B631" t="s">
        <v>72</v>
      </c>
      <c r="C631" t="s">
        <v>45</v>
      </c>
      <c r="D631" t="s">
        <v>731</v>
      </c>
      <c r="E631" t="s">
        <v>96</v>
      </c>
      <c r="F631" t="s">
        <v>96</v>
      </c>
      <c r="G631" t="s">
        <v>96</v>
      </c>
      <c r="H631">
        <v>2010</v>
      </c>
      <c r="I631" t="s">
        <v>96</v>
      </c>
      <c r="J631" t="s">
        <v>97</v>
      </c>
      <c r="K631" t="s">
        <v>96</v>
      </c>
      <c r="L631" t="s">
        <v>96</v>
      </c>
      <c r="M631">
        <v>3202.5</v>
      </c>
      <c r="O631" s="12" t="str">
        <f t="shared" si="32"/>
        <v>CSA</v>
      </c>
      <c r="P631" s="12" t="str">
        <f t="shared" si="33"/>
        <v>E_WON</v>
      </c>
    </row>
    <row r="632" spans="1:16" x14ac:dyDescent="0.35">
      <c r="A632" t="s">
        <v>95</v>
      </c>
      <c r="B632" t="s">
        <v>72</v>
      </c>
      <c r="C632" t="s">
        <v>45</v>
      </c>
      <c r="D632" t="s">
        <v>732</v>
      </c>
      <c r="E632" t="s">
        <v>96</v>
      </c>
      <c r="F632" t="s">
        <v>96</v>
      </c>
      <c r="G632" t="s">
        <v>96</v>
      </c>
      <c r="H632">
        <v>2010</v>
      </c>
      <c r="I632" t="s">
        <v>96</v>
      </c>
      <c r="J632" t="s">
        <v>97</v>
      </c>
      <c r="K632" t="s">
        <v>96</v>
      </c>
      <c r="L632" t="s">
        <v>96</v>
      </c>
      <c r="M632">
        <v>3202.5</v>
      </c>
      <c r="O632" s="12" t="str">
        <f t="shared" si="32"/>
        <v>CSA</v>
      </c>
      <c r="P632" s="12" t="str">
        <f t="shared" si="33"/>
        <v>E_WON</v>
      </c>
    </row>
    <row r="633" spans="1:16" x14ac:dyDescent="0.35">
      <c r="A633" t="s">
        <v>95</v>
      </c>
      <c r="B633" t="s">
        <v>72</v>
      </c>
      <c r="C633" t="s">
        <v>45</v>
      </c>
      <c r="D633" t="s">
        <v>733</v>
      </c>
      <c r="E633" t="s">
        <v>96</v>
      </c>
      <c r="F633" t="s">
        <v>96</v>
      </c>
      <c r="G633" t="s">
        <v>96</v>
      </c>
      <c r="H633">
        <v>2010</v>
      </c>
      <c r="I633" t="s">
        <v>96</v>
      </c>
      <c r="J633" t="s">
        <v>97</v>
      </c>
      <c r="K633" t="s">
        <v>96</v>
      </c>
      <c r="L633" t="s">
        <v>96</v>
      </c>
      <c r="M633">
        <v>3202.5</v>
      </c>
      <c r="O633" s="12" t="str">
        <f t="shared" si="32"/>
        <v>CSA</v>
      </c>
      <c r="P633" s="12" t="str">
        <f t="shared" si="33"/>
        <v>E_WON</v>
      </c>
    </row>
    <row r="634" spans="1:16" x14ac:dyDescent="0.35">
      <c r="A634" t="s">
        <v>95</v>
      </c>
      <c r="B634" t="s">
        <v>72</v>
      </c>
      <c r="C634" t="s">
        <v>45</v>
      </c>
      <c r="D634" t="s">
        <v>734</v>
      </c>
      <c r="E634" t="s">
        <v>96</v>
      </c>
      <c r="F634" t="s">
        <v>96</v>
      </c>
      <c r="G634" t="s">
        <v>96</v>
      </c>
      <c r="H634">
        <v>2010</v>
      </c>
      <c r="I634" t="s">
        <v>96</v>
      </c>
      <c r="J634" t="s">
        <v>97</v>
      </c>
      <c r="K634" t="s">
        <v>96</v>
      </c>
      <c r="L634" t="s">
        <v>96</v>
      </c>
      <c r="M634">
        <v>1830</v>
      </c>
      <c r="O634" s="12" t="str">
        <f t="shared" si="32"/>
        <v>CSA</v>
      </c>
      <c r="P634" s="12" t="str">
        <f t="shared" si="33"/>
        <v>E_WON</v>
      </c>
    </row>
    <row r="635" spans="1:16" x14ac:dyDescent="0.35">
      <c r="A635" t="s">
        <v>95</v>
      </c>
      <c r="B635" t="s">
        <v>72</v>
      </c>
      <c r="C635" t="s">
        <v>45</v>
      </c>
      <c r="D635" t="s">
        <v>735</v>
      </c>
      <c r="E635" t="s">
        <v>96</v>
      </c>
      <c r="F635" t="s">
        <v>96</v>
      </c>
      <c r="G635" t="s">
        <v>96</v>
      </c>
      <c r="H635">
        <v>2010</v>
      </c>
      <c r="I635" t="s">
        <v>96</v>
      </c>
      <c r="J635" t="s">
        <v>97</v>
      </c>
      <c r="K635" t="s">
        <v>96</v>
      </c>
      <c r="L635" t="s">
        <v>96</v>
      </c>
      <c r="M635">
        <v>2037.5</v>
      </c>
      <c r="O635" s="12" t="str">
        <f t="shared" si="32"/>
        <v>CSA</v>
      </c>
      <c r="P635" s="12" t="str">
        <f t="shared" si="33"/>
        <v>E_WON</v>
      </c>
    </row>
    <row r="636" spans="1:16" x14ac:dyDescent="0.35">
      <c r="A636" t="s">
        <v>95</v>
      </c>
      <c r="B636" t="s">
        <v>72</v>
      </c>
      <c r="C636" t="s">
        <v>45</v>
      </c>
      <c r="D636" t="s">
        <v>736</v>
      </c>
      <c r="E636" t="s">
        <v>96</v>
      </c>
      <c r="F636" t="s">
        <v>96</v>
      </c>
      <c r="G636" t="s">
        <v>96</v>
      </c>
      <c r="H636">
        <v>2010</v>
      </c>
      <c r="I636" t="s">
        <v>96</v>
      </c>
      <c r="J636" t="s">
        <v>97</v>
      </c>
      <c r="K636" t="s">
        <v>96</v>
      </c>
      <c r="L636" t="s">
        <v>96</v>
      </c>
      <c r="M636">
        <v>2037.5</v>
      </c>
      <c r="O636" s="12" t="str">
        <f t="shared" si="32"/>
        <v>CSA</v>
      </c>
      <c r="P636" s="12" t="str">
        <f t="shared" si="33"/>
        <v>E_WON</v>
      </c>
    </row>
    <row r="637" spans="1:16" x14ac:dyDescent="0.35">
      <c r="A637" t="s">
        <v>95</v>
      </c>
      <c r="B637" t="s">
        <v>72</v>
      </c>
      <c r="C637" t="s">
        <v>45</v>
      </c>
      <c r="D637" t="s">
        <v>737</v>
      </c>
      <c r="E637" t="s">
        <v>96</v>
      </c>
      <c r="F637" t="s">
        <v>96</v>
      </c>
      <c r="G637" t="s">
        <v>96</v>
      </c>
      <c r="H637">
        <v>2010</v>
      </c>
      <c r="I637" t="s">
        <v>96</v>
      </c>
      <c r="J637" t="s">
        <v>97</v>
      </c>
      <c r="K637" t="s">
        <v>96</v>
      </c>
      <c r="L637" t="s">
        <v>96</v>
      </c>
      <c r="M637">
        <v>2037.5</v>
      </c>
      <c r="O637" s="12" t="str">
        <f t="shared" si="32"/>
        <v>CSA</v>
      </c>
      <c r="P637" s="12" t="str">
        <f t="shared" si="33"/>
        <v>E_WON</v>
      </c>
    </row>
    <row r="638" spans="1:16" x14ac:dyDescent="0.35">
      <c r="A638" t="s">
        <v>95</v>
      </c>
      <c r="B638" t="s">
        <v>72</v>
      </c>
      <c r="C638" t="s">
        <v>45</v>
      </c>
      <c r="D638" t="s">
        <v>739</v>
      </c>
      <c r="E638" t="s">
        <v>96</v>
      </c>
      <c r="F638" t="s">
        <v>96</v>
      </c>
      <c r="G638" t="s">
        <v>96</v>
      </c>
      <c r="H638">
        <v>2010</v>
      </c>
      <c r="I638" t="s">
        <v>96</v>
      </c>
      <c r="J638" t="s">
        <v>97</v>
      </c>
      <c r="K638" t="s">
        <v>96</v>
      </c>
      <c r="L638" t="s">
        <v>96</v>
      </c>
      <c r="M638">
        <v>2370</v>
      </c>
      <c r="O638" s="12" t="str">
        <f t="shared" si="32"/>
        <v>CSA</v>
      </c>
      <c r="P638" s="12" t="str">
        <f t="shared" si="33"/>
        <v>E_WON</v>
      </c>
    </row>
    <row r="639" spans="1:16" x14ac:dyDescent="0.35">
      <c r="A639" t="s">
        <v>95</v>
      </c>
      <c r="B639" t="s">
        <v>72</v>
      </c>
      <c r="C639" t="s">
        <v>45</v>
      </c>
      <c r="D639" t="s">
        <v>740</v>
      </c>
      <c r="E639" t="s">
        <v>96</v>
      </c>
      <c r="F639" t="s">
        <v>96</v>
      </c>
      <c r="G639" t="s">
        <v>96</v>
      </c>
      <c r="H639">
        <v>2010</v>
      </c>
      <c r="I639" t="s">
        <v>96</v>
      </c>
      <c r="J639" t="s">
        <v>97</v>
      </c>
      <c r="K639" t="s">
        <v>96</v>
      </c>
      <c r="L639" t="s">
        <v>96</v>
      </c>
      <c r="M639">
        <v>2037.5</v>
      </c>
      <c r="O639" s="12" t="str">
        <f t="shared" si="32"/>
        <v>CSA</v>
      </c>
      <c r="P639" s="12" t="str">
        <f t="shared" si="33"/>
        <v>E_WON</v>
      </c>
    </row>
    <row r="640" spans="1:16" x14ac:dyDescent="0.35">
      <c r="A640" t="s">
        <v>95</v>
      </c>
      <c r="B640" t="s">
        <v>72</v>
      </c>
      <c r="C640" t="s">
        <v>45</v>
      </c>
      <c r="D640" t="s">
        <v>741</v>
      </c>
      <c r="E640" t="s">
        <v>96</v>
      </c>
      <c r="F640" t="s">
        <v>96</v>
      </c>
      <c r="G640" t="s">
        <v>96</v>
      </c>
      <c r="H640">
        <v>2010</v>
      </c>
      <c r="I640" t="s">
        <v>96</v>
      </c>
      <c r="J640" t="s">
        <v>97</v>
      </c>
      <c r="K640" t="s">
        <v>96</v>
      </c>
      <c r="L640" t="s">
        <v>96</v>
      </c>
      <c r="M640">
        <v>2210</v>
      </c>
      <c r="O640" s="12" t="str">
        <f t="shared" si="32"/>
        <v>CSA</v>
      </c>
      <c r="P640" s="12" t="str">
        <f t="shared" si="33"/>
        <v>E_WON</v>
      </c>
    </row>
    <row r="641" spans="1:16" x14ac:dyDescent="0.35">
      <c r="A641" t="s">
        <v>95</v>
      </c>
      <c r="B641" t="s">
        <v>72</v>
      </c>
      <c r="C641" t="s">
        <v>45</v>
      </c>
      <c r="D641" t="s">
        <v>742</v>
      </c>
      <c r="E641" t="s">
        <v>96</v>
      </c>
      <c r="F641" t="s">
        <v>96</v>
      </c>
      <c r="G641" t="s">
        <v>96</v>
      </c>
      <c r="H641">
        <v>2010</v>
      </c>
      <c r="I641" t="s">
        <v>96</v>
      </c>
      <c r="J641" t="s">
        <v>97</v>
      </c>
      <c r="K641" t="s">
        <v>96</v>
      </c>
      <c r="L641" t="s">
        <v>96</v>
      </c>
      <c r="M641">
        <v>2037.5</v>
      </c>
      <c r="O641" s="12" t="str">
        <f t="shared" si="32"/>
        <v>CSA</v>
      </c>
      <c r="P641" s="12" t="str">
        <f t="shared" si="33"/>
        <v>E_WON</v>
      </c>
    </row>
    <row r="642" spans="1:16" x14ac:dyDescent="0.35">
      <c r="A642" t="s">
        <v>95</v>
      </c>
      <c r="B642" t="s">
        <v>72</v>
      </c>
      <c r="C642" t="s">
        <v>45</v>
      </c>
      <c r="D642" t="s">
        <v>743</v>
      </c>
      <c r="E642" t="s">
        <v>96</v>
      </c>
      <c r="F642" t="s">
        <v>96</v>
      </c>
      <c r="G642" t="s">
        <v>96</v>
      </c>
      <c r="H642">
        <v>2010</v>
      </c>
      <c r="I642" t="s">
        <v>96</v>
      </c>
      <c r="J642" t="s">
        <v>97</v>
      </c>
      <c r="K642" t="s">
        <v>96</v>
      </c>
      <c r="L642" t="s">
        <v>96</v>
      </c>
      <c r="M642">
        <v>2120</v>
      </c>
      <c r="O642" s="12" t="str">
        <f t="shared" si="32"/>
        <v>CSA</v>
      </c>
      <c r="P642" s="12" t="str">
        <f t="shared" si="33"/>
        <v>E_WON</v>
      </c>
    </row>
    <row r="643" spans="1:16" x14ac:dyDescent="0.35">
      <c r="A643" t="s">
        <v>95</v>
      </c>
      <c r="B643" t="s">
        <v>72</v>
      </c>
      <c r="C643" t="s">
        <v>45</v>
      </c>
      <c r="D643" t="s">
        <v>744</v>
      </c>
      <c r="E643" t="s">
        <v>96</v>
      </c>
      <c r="F643" t="s">
        <v>96</v>
      </c>
      <c r="G643" t="s">
        <v>96</v>
      </c>
      <c r="H643">
        <v>2010</v>
      </c>
      <c r="I643" t="s">
        <v>96</v>
      </c>
      <c r="J643" t="s">
        <v>97</v>
      </c>
      <c r="K643" t="s">
        <v>96</v>
      </c>
      <c r="L643" t="s">
        <v>96</v>
      </c>
      <c r="M643">
        <v>2037.5</v>
      </c>
      <c r="O643" s="12" t="str">
        <f t="shared" ref="O643:O706" si="34">LEFT(B643,3)</f>
        <v>CSA</v>
      </c>
      <c r="P643" s="12" t="str">
        <f t="shared" ref="P643:P706" si="35">LEFT(D643,5)</f>
        <v>E_WON</v>
      </c>
    </row>
    <row r="644" spans="1:16" x14ac:dyDescent="0.35">
      <c r="A644" t="s">
        <v>95</v>
      </c>
      <c r="B644" t="s">
        <v>72</v>
      </c>
      <c r="C644" t="s">
        <v>45</v>
      </c>
      <c r="D644" t="s">
        <v>745</v>
      </c>
      <c r="E644" t="s">
        <v>96</v>
      </c>
      <c r="F644" t="s">
        <v>96</v>
      </c>
      <c r="G644" t="s">
        <v>96</v>
      </c>
      <c r="H644">
        <v>2010</v>
      </c>
      <c r="I644" t="s">
        <v>96</v>
      </c>
      <c r="J644" t="s">
        <v>97</v>
      </c>
      <c r="K644" t="s">
        <v>96</v>
      </c>
      <c r="L644" t="s">
        <v>96</v>
      </c>
      <c r="M644">
        <v>2110</v>
      </c>
      <c r="O644" s="12" t="str">
        <f t="shared" si="34"/>
        <v>CSA</v>
      </c>
      <c r="P644" s="12" t="str">
        <f t="shared" si="35"/>
        <v>E_WON</v>
      </c>
    </row>
    <row r="645" spans="1:16" x14ac:dyDescent="0.35">
      <c r="A645" t="s">
        <v>95</v>
      </c>
      <c r="B645" t="s">
        <v>72</v>
      </c>
      <c r="C645" t="s">
        <v>45</v>
      </c>
      <c r="D645" t="s">
        <v>746</v>
      </c>
      <c r="E645" t="s">
        <v>96</v>
      </c>
      <c r="F645" t="s">
        <v>96</v>
      </c>
      <c r="G645" t="s">
        <v>96</v>
      </c>
      <c r="H645">
        <v>2010</v>
      </c>
      <c r="I645" t="s">
        <v>96</v>
      </c>
      <c r="J645" t="s">
        <v>97</v>
      </c>
      <c r="K645" t="s">
        <v>96</v>
      </c>
      <c r="L645" t="s">
        <v>96</v>
      </c>
      <c r="M645">
        <v>2037.5</v>
      </c>
      <c r="O645" s="12" t="str">
        <f t="shared" si="34"/>
        <v>CSA</v>
      </c>
      <c r="P645" s="12" t="str">
        <f t="shared" si="35"/>
        <v>E_WON</v>
      </c>
    </row>
    <row r="646" spans="1:16" x14ac:dyDescent="0.35">
      <c r="A646" t="s">
        <v>95</v>
      </c>
      <c r="B646" t="s">
        <v>72</v>
      </c>
      <c r="C646" t="s">
        <v>45</v>
      </c>
      <c r="D646" t="s">
        <v>747</v>
      </c>
      <c r="E646" t="s">
        <v>96</v>
      </c>
      <c r="F646" t="s">
        <v>96</v>
      </c>
      <c r="G646" t="s">
        <v>96</v>
      </c>
      <c r="H646">
        <v>2010</v>
      </c>
      <c r="I646" t="s">
        <v>96</v>
      </c>
      <c r="J646" t="s">
        <v>97</v>
      </c>
      <c r="K646" t="s">
        <v>96</v>
      </c>
      <c r="L646" t="s">
        <v>96</v>
      </c>
      <c r="M646">
        <v>2037.5</v>
      </c>
      <c r="O646" s="12" t="str">
        <f t="shared" si="34"/>
        <v>CSA</v>
      </c>
      <c r="P646" s="12" t="str">
        <f t="shared" si="35"/>
        <v>E_WON</v>
      </c>
    </row>
    <row r="647" spans="1:16" x14ac:dyDescent="0.35">
      <c r="A647" t="s">
        <v>95</v>
      </c>
      <c r="B647" t="s">
        <v>72</v>
      </c>
      <c r="C647" t="s">
        <v>45</v>
      </c>
      <c r="D647" t="s">
        <v>748</v>
      </c>
      <c r="E647" t="s">
        <v>96</v>
      </c>
      <c r="F647" t="s">
        <v>96</v>
      </c>
      <c r="G647" t="s">
        <v>96</v>
      </c>
      <c r="H647">
        <v>2010</v>
      </c>
      <c r="I647" t="s">
        <v>96</v>
      </c>
      <c r="J647" t="s">
        <v>97</v>
      </c>
      <c r="K647" t="s">
        <v>96</v>
      </c>
      <c r="L647" t="s">
        <v>96</v>
      </c>
      <c r="M647">
        <v>2000</v>
      </c>
      <c r="O647" s="12" t="str">
        <f t="shared" si="34"/>
        <v>CSA</v>
      </c>
      <c r="P647" s="12" t="str">
        <f t="shared" si="35"/>
        <v>E_WON</v>
      </c>
    </row>
    <row r="648" spans="1:16" x14ac:dyDescent="0.35">
      <c r="A648" t="s">
        <v>95</v>
      </c>
      <c r="B648" t="s">
        <v>72</v>
      </c>
      <c r="C648" t="s">
        <v>45</v>
      </c>
      <c r="D648" t="s">
        <v>749</v>
      </c>
      <c r="E648" t="s">
        <v>96</v>
      </c>
      <c r="F648" t="s">
        <v>96</v>
      </c>
      <c r="G648" t="s">
        <v>96</v>
      </c>
      <c r="H648">
        <v>2010</v>
      </c>
      <c r="I648" t="s">
        <v>96</v>
      </c>
      <c r="J648" t="s">
        <v>97</v>
      </c>
      <c r="K648" t="s">
        <v>96</v>
      </c>
      <c r="L648" t="s">
        <v>96</v>
      </c>
      <c r="M648">
        <v>1830</v>
      </c>
      <c r="O648" s="12" t="str">
        <f t="shared" si="34"/>
        <v>CSA</v>
      </c>
      <c r="P648" s="12" t="str">
        <f t="shared" si="35"/>
        <v>E_WON</v>
      </c>
    </row>
    <row r="649" spans="1:16" x14ac:dyDescent="0.35">
      <c r="A649" t="s">
        <v>95</v>
      </c>
      <c r="B649" t="s">
        <v>72</v>
      </c>
      <c r="C649" t="s">
        <v>45</v>
      </c>
      <c r="D649" t="s">
        <v>750</v>
      </c>
      <c r="E649" t="s">
        <v>96</v>
      </c>
      <c r="F649" t="s">
        <v>96</v>
      </c>
      <c r="G649" t="s">
        <v>96</v>
      </c>
      <c r="H649">
        <v>2010</v>
      </c>
      <c r="I649" t="s">
        <v>96</v>
      </c>
      <c r="J649" t="s">
        <v>97</v>
      </c>
      <c r="K649" t="s">
        <v>96</v>
      </c>
      <c r="L649" t="s">
        <v>96</v>
      </c>
      <c r="M649">
        <v>2037.5</v>
      </c>
      <c r="O649" s="12" t="str">
        <f t="shared" si="34"/>
        <v>CSA</v>
      </c>
      <c r="P649" s="12" t="str">
        <f t="shared" si="35"/>
        <v>E_WON</v>
      </c>
    </row>
    <row r="650" spans="1:16" x14ac:dyDescent="0.35">
      <c r="A650" t="s">
        <v>95</v>
      </c>
      <c r="B650" t="s">
        <v>72</v>
      </c>
      <c r="C650" t="s">
        <v>45</v>
      </c>
      <c r="D650" t="s">
        <v>751</v>
      </c>
      <c r="E650" t="s">
        <v>96</v>
      </c>
      <c r="F650" t="s">
        <v>96</v>
      </c>
      <c r="G650" t="s">
        <v>96</v>
      </c>
      <c r="H650">
        <v>2010</v>
      </c>
      <c r="I650" t="s">
        <v>96</v>
      </c>
      <c r="J650" t="s">
        <v>97</v>
      </c>
      <c r="K650" t="s">
        <v>96</v>
      </c>
      <c r="L650" t="s">
        <v>96</v>
      </c>
      <c r="M650">
        <v>2037.5</v>
      </c>
      <c r="O650" s="12" t="str">
        <f t="shared" si="34"/>
        <v>CSA</v>
      </c>
      <c r="P650" s="12" t="str">
        <f t="shared" si="35"/>
        <v>E_WON</v>
      </c>
    </row>
    <row r="651" spans="1:16" x14ac:dyDescent="0.35">
      <c r="A651" t="s">
        <v>95</v>
      </c>
      <c r="B651" t="s">
        <v>72</v>
      </c>
      <c r="C651" t="s">
        <v>45</v>
      </c>
      <c r="D651" t="s">
        <v>752</v>
      </c>
      <c r="E651" t="s">
        <v>96</v>
      </c>
      <c r="F651" t="s">
        <v>96</v>
      </c>
      <c r="G651" t="s">
        <v>96</v>
      </c>
      <c r="H651">
        <v>2010</v>
      </c>
      <c r="I651" t="s">
        <v>96</v>
      </c>
      <c r="J651" t="s">
        <v>97</v>
      </c>
      <c r="K651" t="s">
        <v>96</v>
      </c>
      <c r="L651" t="s">
        <v>96</v>
      </c>
      <c r="M651">
        <v>2037.5</v>
      </c>
      <c r="O651" s="12" t="str">
        <f t="shared" si="34"/>
        <v>CSA</v>
      </c>
      <c r="P651" s="12" t="str">
        <f t="shared" si="35"/>
        <v>E_WON</v>
      </c>
    </row>
    <row r="652" spans="1:16" x14ac:dyDescent="0.35">
      <c r="A652" t="s">
        <v>95</v>
      </c>
      <c r="B652" t="s">
        <v>72</v>
      </c>
      <c r="C652" t="s">
        <v>45</v>
      </c>
      <c r="D652" t="s">
        <v>753</v>
      </c>
      <c r="E652" t="s">
        <v>96</v>
      </c>
      <c r="F652" t="s">
        <v>96</v>
      </c>
      <c r="G652" t="s">
        <v>96</v>
      </c>
      <c r="H652">
        <v>2010</v>
      </c>
      <c r="I652" t="s">
        <v>96</v>
      </c>
      <c r="J652" t="s">
        <v>97</v>
      </c>
      <c r="K652" t="s">
        <v>96</v>
      </c>
      <c r="L652" t="s">
        <v>96</v>
      </c>
      <c r="M652">
        <v>1830</v>
      </c>
      <c r="O652" s="12" t="str">
        <f t="shared" si="34"/>
        <v>CSA</v>
      </c>
      <c r="P652" s="12" t="str">
        <f t="shared" si="35"/>
        <v>E_WON</v>
      </c>
    </row>
    <row r="653" spans="1:16" x14ac:dyDescent="0.35">
      <c r="A653" t="s">
        <v>95</v>
      </c>
      <c r="B653" t="s">
        <v>72</v>
      </c>
      <c r="C653" t="s">
        <v>45</v>
      </c>
      <c r="D653" t="s">
        <v>754</v>
      </c>
      <c r="E653" t="s">
        <v>96</v>
      </c>
      <c r="F653" t="s">
        <v>96</v>
      </c>
      <c r="G653" t="s">
        <v>96</v>
      </c>
      <c r="H653">
        <v>2010</v>
      </c>
      <c r="I653" t="s">
        <v>96</v>
      </c>
      <c r="J653" t="s">
        <v>97</v>
      </c>
      <c r="K653" t="s">
        <v>96</v>
      </c>
      <c r="L653" t="s">
        <v>96</v>
      </c>
      <c r="M653">
        <v>2037.5</v>
      </c>
      <c r="O653" s="12" t="str">
        <f t="shared" si="34"/>
        <v>CSA</v>
      </c>
      <c r="P653" s="12" t="str">
        <f t="shared" si="35"/>
        <v>E_WON</v>
      </c>
    </row>
    <row r="654" spans="1:16" x14ac:dyDescent="0.35">
      <c r="A654" t="s">
        <v>95</v>
      </c>
      <c r="B654" t="s">
        <v>72</v>
      </c>
      <c r="C654" t="s">
        <v>45</v>
      </c>
      <c r="D654" t="s">
        <v>755</v>
      </c>
      <c r="E654" t="s">
        <v>96</v>
      </c>
      <c r="F654" t="s">
        <v>96</v>
      </c>
      <c r="G654" t="s">
        <v>96</v>
      </c>
      <c r="H654">
        <v>2010</v>
      </c>
      <c r="I654" t="s">
        <v>96</v>
      </c>
      <c r="J654" t="s">
        <v>97</v>
      </c>
      <c r="K654" t="s">
        <v>96</v>
      </c>
      <c r="L654" t="s">
        <v>96</v>
      </c>
      <c r="M654">
        <v>2037.5</v>
      </c>
      <c r="O654" s="12" t="str">
        <f t="shared" si="34"/>
        <v>CSA</v>
      </c>
      <c r="P654" s="12" t="str">
        <f t="shared" si="35"/>
        <v>E_WON</v>
      </c>
    </row>
    <row r="655" spans="1:16" x14ac:dyDescent="0.35">
      <c r="A655" t="s">
        <v>95</v>
      </c>
      <c r="B655" t="s">
        <v>72</v>
      </c>
      <c r="C655" t="s">
        <v>45</v>
      </c>
      <c r="D655" t="s">
        <v>757</v>
      </c>
      <c r="E655" t="s">
        <v>96</v>
      </c>
      <c r="F655" t="s">
        <v>96</v>
      </c>
      <c r="G655" t="s">
        <v>96</v>
      </c>
      <c r="H655">
        <v>2010</v>
      </c>
      <c r="I655" t="s">
        <v>96</v>
      </c>
      <c r="J655" t="s">
        <v>97</v>
      </c>
      <c r="K655" t="s">
        <v>96</v>
      </c>
      <c r="L655" t="s">
        <v>96</v>
      </c>
      <c r="M655">
        <v>2370</v>
      </c>
      <c r="O655" s="12" t="str">
        <f t="shared" si="34"/>
        <v>CSA</v>
      </c>
      <c r="P655" s="12" t="str">
        <f t="shared" si="35"/>
        <v>E_WON</v>
      </c>
    </row>
    <row r="656" spans="1:16" x14ac:dyDescent="0.35">
      <c r="A656" t="s">
        <v>95</v>
      </c>
      <c r="B656" t="s">
        <v>72</v>
      </c>
      <c r="C656" t="s">
        <v>45</v>
      </c>
      <c r="D656" t="s">
        <v>758</v>
      </c>
      <c r="E656" t="s">
        <v>96</v>
      </c>
      <c r="F656" t="s">
        <v>96</v>
      </c>
      <c r="G656" t="s">
        <v>96</v>
      </c>
      <c r="H656">
        <v>2010</v>
      </c>
      <c r="I656" t="s">
        <v>96</v>
      </c>
      <c r="J656" t="s">
        <v>97</v>
      </c>
      <c r="K656" t="s">
        <v>96</v>
      </c>
      <c r="L656" t="s">
        <v>96</v>
      </c>
      <c r="M656">
        <v>2037.5</v>
      </c>
      <c r="O656" s="12" t="str">
        <f t="shared" si="34"/>
        <v>CSA</v>
      </c>
      <c r="P656" s="12" t="str">
        <f t="shared" si="35"/>
        <v>E_WON</v>
      </c>
    </row>
    <row r="657" spans="1:16" x14ac:dyDescent="0.35">
      <c r="A657" t="s">
        <v>95</v>
      </c>
      <c r="B657" t="s">
        <v>72</v>
      </c>
      <c r="C657" t="s">
        <v>45</v>
      </c>
      <c r="D657" t="s">
        <v>759</v>
      </c>
      <c r="E657" t="s">
        <v>96</v>
      </c>
      <c r="F657" t="s">
        <v>96</v>
      </c>
      <c r="G657" t="s">
        <v>96</v>
      </c>
      <c r="H657">
        <v>2010</v>
      </c>
      <c r="I657" t="s">
        <v>96</v>
      </c>
      <c r="J657" t="s">
        <v>97</v>
      </c>
      <c r="K657" t="s">
        <v>96</v>
      </c>
      <c r="L657" t="s">
        <v>96</v>
      </c>
      <c r="M657">
        <v>2210</v>
      </c>
      <c r="O657" s="12" t="str">
        <f t="shared" si="34"/>
        <v>CSA</v>
      </c>
      <c r="P657" s="12" t="str">
        <f t="shared" si="35"/>
        <v>E_WON</v>
      </c>
    </row>
    <row r="658" spans="1:16" x14ac:dyDescent="0.35">
      <c r="A658" t="s">
        <v>95</v>
      </c>
      <c r="B658" t="s">
        <v>72</v>
      </c>
      <c r="C658" t="s">
        <v>45</v>
      </c>
      <c r="D658" t="s">
        <v>760</v>
      </c>
      <c r="E658" t="s">
        <v>96</v>
      </c>
      <c r="F658" t="s">
        <v>96</v>
      </c>
      <c r="G658" t="s">
        <v>96</v>
      </c>
      <c r="H658">
        <v>2010</v>
      </c>
      <c r="I658" t="s">
        <v>96</v>
      </c>
      <c r="J658" t="s">
        <v>97</v>
      </c>
      <c r="K658" t="s">
        <v>96</v>
      </c>
      <c r="L658" t="s">
        <v>96</v>
      </c>
      <c r="M658">
        <v>2037.5</v>
      </c>
      <c r="O658" s="12" t="str">
        <f t="shared" si="34"/>
        <v>CSA</v>
      </c>
      <c r="P658" s="12" t="str">
        <f t="shared" si="35"/>
        <v>E_WON</v>
      </c>
    </row>
    <row r="659" spans="1:16" x14ac:dyDescent="0.35">
      <c r="A659" t="s">
        <v>95</v>
      </c>
      <c r="B659" t="s">
        <v>72</v>
      </c>
      <c r="C659" t="s">
        <v>45</v>
      </c>
      <c r="D659" t="s">
        <v>761</v>
      </c>
      <c r="E659" t="s">
        <v>96</v>
      </c>
      <c r="F659" t="s">
        <v>96</v>
      </c>
      <c r="G659" t="s">
        <v>96</v>
      </c>
      <c r="H659">
        <v>2010</v>
      </c>
      <c r="I659" t="s">
        <v>96</v>
      </c>
      <c r="J659" t="s">
        <v>97</v>
      </c>
      <c r="K659" t="s">
        <v>96</v>
      </c>
      <c r="L659" t="s">
        <v>96</v>
      </c>
      <c r="M659">
        <v>2120</v>
      </c>
      <c r="O659" s="12" t="str">
        <f t="shared" si="34"/>
        <v>CSA</v>
      </c>
      <c r="P659" s="12" t="str">
        <f t="shared" si="35"/>
        <v>E_WON</v>
      </c>
    </row>
    <row r="660" spans="1:16" x14ac:dyDescent="0.35">
      <c r="A660" t="s">
        <v>95</v>
      </c>
      <c r="B660" t="s">
        <v>72</v>
      </c>
      <c r="C660" t="s">
        <v>45</v>
      </c>
      <c r="D660" t="s">
        <v>762</v>
      </c>
      <c r="E660" t="s">
        <v>96</v>
      </c>
      <c r="F660" t="s">
        <v>96</v>
      </c>
      <c r="G660" t="s">
        <v>96</v>
      </c>
      <c r="H660">
        <v>2010</v>
      </c>
      <c r="I660" t="s">
        <v>96</v>
      </c>
      <c r="J660" t="s">
        <v>97</v>
      </c>
      <c r="K660" t="s">
        <v>96</v>
      </c>
      <c r="L660" t="s">
        <v>96</v>
      </c>
      <c r="M660">
        <v>2037.5</v>
      </c>
      <c r="O660" s="12" t="str">
        <f t="shared" si="34"/>
        <v>CSA</v>
      </c>
      <c r="P660" s="12" t="str">
        <f t="shared" si="35"/>
        <v>E_WON</v>
      </c>
    </row>
    <row r="661" spans="1:16" x14ac:dyDescent="0.35">
      <c r="A661" t="s">
        <v>95</v>
      </c>
      <c r="B661" t="s">
        <v>72</v>
      </c>
      <c r="C661" t="s">
        <v>45</v>
      </c>
      <c r="D661" t="s">
        <v>763</v>
      </c>
      <c r="E661" t="s">
        <v>96</v>
      </c>
      <c r="F661" t="s">
        <v>96</v>
      </c>
      <c r="G661" t="s">
        <v>96</v>
      </c>
      <c r="H661">
        <v>2010</v>
      </c>
      <c r="I661" t="s">
        <v>96</v>
      </c>
      <c r="J661" t="s">
        <v>97</v>
      </c>
      <c r="K661" t="s">
        <v>96</v>
      </c>
      <c r="L661" t="s">
        <v>96</v>
      </c>
      <c r="M661">
        <v>2110</v>
      </c>
      <c r="O661" s="12" t="str">
        <f t="shared" si="34"/>
        <v>CSA</v>
      </c>
      <c r="P661" s="12" t="str">
        <f t="shared" si="35"/>
        <v>E_WON</v>
      </c>
    </row>
    <row r="662" spans="1:16" x14ac:dyDescent="0.35">
      <c r="A662" t="s">
        <v>95</v>
      </c>
      <c r="B662" t="s">
        <v>72</v>
      </c>
      <c r="C662" t="s">
        <v>45</v>
      </c>
      <c r="D662" t="s">
        <v>764</v>
      </c>
      <c r="E662" t="s">
        <v>96</v>
      </c>
      <c r="F662" t="s">
        <v>96</v>
      </c>
      <c r="G662" t="s">
        <v>96</v>
      </c>
      <c r="H662">
        <v>2010</v>
      </c>
      <c r="I662" t="s">
        <v>96</v>
      </c>
      <c r="J662" t="s">
        <v>97</v>
      </c>
      <c r="K662" t="s">
        <v>96</v>
      </c>
      <c r="L662" t="s">
        <v>96</v>
      </c>
      <c r="M662">
        <v>2037.5</v>
      </c>
      <c r="O662" s="12" t="str">
        <f t="shared" si="34"/>
        <v>CSA</v>
      </c>
      <c r="P662" s="12" t="str">
        <f t="shared" si="35"/>
        <v>E_WON</v>
      </c>
    </row>
    <row r="663" spans="1:16" x14ac:dyDescent="0.35">
      <c r="A663" t="s">
        <v>95</v>
      </c>
      <c r="B663" t="s">
        <v>72</v>
      </c>
      <c r="C663" t="s">
        <v>45</v>
      </c>
      <c r="D663" t="s">
        <v>765</v>
      </c>
      <c r="E663" t="s">
        <v>96</v>
      </c>
      <c r="F663" t="s">
        <v>96</v>
      </c>
      <c r="G663" t="s">
        <v>96</v>
      </c>
      <c r="H663">
        <v>2010</v>
      </c>
      <c r="I663" t="s">
        <v>96</v>
      </c>
      <c r="J663" t="s">
        <v>97</v>
      </c>
      <c r="K663" t="s">
        <v>96</v>
      </c>
      <c r="L663" t="s">
        <v>96</v>
      </c>
      <c r="M663">
        <v>2037.5</v>
      </c>
      <c r="O663" s="12" t="str">
        <f t="shared" si="34"/>
        <v>CSA</v>
      </c>
      <c r="P663" s="12" t="str">
        <f t="shared" si="35"/>
        <v>E_WON</v>
      </c>
    </row>
    <row r="664" spans="1:16" x14ac:dyDescent="0.35">
      <c r="A664" t="s">
        <v>95</v>
      </c>
      <c r="B664" t="s">
        <v>72</v>
      </c>
      <c r="C664" t="s">
        <v>45</v>
      </c>
      <c r="D664" t="s">
        <v>766</v>
      </c>
      <c r="E664" t="s">
        <v>96</v>
      </c>
      <c r="F664" t="s">
        <v>96</v>
      </c>
      <c r="G664" t="s">
        <v>96</v>
      </c>
      <c r="H664">
        <v>2010</v>
      </c>
      <c r="I664" t="s">
        <v>96</v>
      </c>
      <c r="J664" t="s">
        <v>97</v>
      </c>
      <c r="K664" t="s">
        <v>96</v>
      </c>
      <c r="L664" t="s">
        <v>96</v>
      </c>
      <c r="M664">
        <v>2037.5</v>
      </c>
      <c r="O664" s="12" t="str">
        <f t="shared" si="34"/>
        <v>CSA</v>
      </c>
      <c r="P664" s="12" t="str">
        <f t="shared" si="35"/>
        <v>E_WON</v>
      </c>
    </row>
    <row r="665" spans="1:16" x14ac:dyDescent="0.35">
      <c r="A665" t="s">
        <v>95</v>
      </c>
      <c r="B665" t="s">
        <v>72</v>
      </c>
      <c r="C665" t="s">
        <v>45</v>
      </c>
      <c r="D665" t="s">
        <v>767</v>
      </c>
      <c r="E665" t="s">
        <v>96</v>
      </c>
      <c r="F665" t="s">
        <v>96</v>
      </c>
      <c r="G665" t="s">
        <v>96</v>
      </c>
      <c r="H665">
        <v>2010</v>
      </c>
      <c r="I665" t="s">
        <v>96</v>
      </c>
      <c r="J665" t="s">
        <v>97</v>
      </c>
      <c r="K665" t="s">
        <v>96</v>
      </c>
      <c r="L665" t="s">
        <v>96</v>
      </c>
      <c r="M665">
        <v>2000</v>
      </c>
      <c r="O665" s="12" t="str">
        <f t="shared" si="34"/>
        <v>CSA</v>
      </c>
      <c r="P665" s="12" t="str">
        <f t="shared" si="35"/>
        <v>E_WON</v>
      </c>
    </row>
    <row r="666" spans="1:16" x14ac:dyDescent="0.35">
      <c r="A666" t="s">
        <v>95</v>
      </c>
      <c r="B666" t="s">
        <v>72</v>
      </c>
      <c r="C666" t="s">
        <v>45</v>
      </c>
      <c r="D666" t="s">
        <v>768</v>
      </c>
      <c r="E666" t="s">
        <v>96</v>
      </c>
      <c r="F666" t="s">
        <v>96</v>
      </c>
      <c r="G666" t="s">
        <v>96</v>
      </c>
      <c r="H666">
        <v>2010</v>
      </c>
      <c r="I666" t="s">
        <v>96</v>
      </c>
      <c r="J666" t="s">
        <v>97</v>
      </c>
      <c r="K666" t="s">
        <v>96</v>
      </c>
      <c r="L666" t="s">
        <v>96</v>
      </c>
      <c r="M666">
        <v>1830</v>
      </c>
      <c r="O666" s="12" t="str">
        <f t="shared" si="34"/>
        <v>CSA</v>
      </c>
      <c r="P666" s="12" t="str">
        <f t="shared" si="35"/>
        <v>E_WON</v>
      </c>
    </row>
    <row r="667" spans="1:16" x14ac:dyDescent="0.35">
      <c r="A667" t="s">
        <v>95</v>
      </c>
      <c r="B667" t="s">
        <v>72</v>
      </c>
      <c r="C667" t="s">
        <v>45</v>
      </c>
      <c r="D667" t="s">
        <v>770</v>
      </c>
      <c r="E667" t="s">
        <v>96</v>
      </c>
      <c r="F667" t="s">
        <v>96</v>
      </c>
      <c r="G667" t="s">
        <v>96</v>
      </c>
      <c r="H667">
        <v>2010</v>
      </c>
      <c r="I667" t="s">
        <v>96</v>
      </c>
      <c r="J667" t="s">
        <v>97</v>
      </c>
      <c r="K667" t="s">
        <v>96</v>
      </c>
      <c r="L667" t="s">
        <v>96</v>
      </c>
      <c r="M667">
        <v>2037.5</v>
      </c>
      <c r="O667" s="12" t="str">
        <f t="shared" si="34"/>
        <v>CSA</v>
      </c>
      <c r="P667" s="12" t="str">
        <f t="shared" si="35"/>
        <v>E_WON</v>
      </c>
    </row>
    <row r="668" spans="1:16" x14ac:dyDescent="0.35">
      <c r="A668" t="s">
        <v>95</v>
      </c>
      <c r="B668" t="s">
        <v>72</v>
      </c>
      <c r="C668" t="s">
        <v>45</v>
      </c>
      <c r="D668" t="s">
        <v>771</v>
      </c>
      <c r="E668" t="s">
        <v>96</v>
      </c>
      <c r="F668" t="s">
        <v>96</v>
      </c>
      <c r="G668" t="s">
        <v>96</v>
      </c>
      <c r="H668">
        <v>2010</v>
      </c>
      <c r="I668" t="s">
        <v>96</v>
      </c>
      <c r="J668" t="s">
        <v>97</v>
      </c>
      <c r="K668" t="s">
        <v>96</v>
      </c>
      <c r="L668" t="s">
        <v>96</v>
      </c>
      <c r="M668">
        <v>2037.5</v>
      </c>
      <c r="O668" s="12" t="str">
        <f t="shared" si="34"/>
        <v>CSA</v>
      </c>
      <c r="P668" s="12" t="str">
        <f t="shared" si="35"/>
        <v>E_WON</v>
      </c>
    </row>
    <row r="669" spans="1:16" x14ac:dyDescent="0.35">
      <c r="A669" t="s">
        <v>95</v>
      </c>
      <c r="B669" t="s">
        <v>72</v>
      </c>
      <c r="C669" t="s">
        <v>45</v>
      </c>
      <c r="D669" t="s">
        <v>772</v>
      </c>
      <c r="E669" t="s">
        <v>96</v>
      </c>
      <c r="F669" t="s">
        <v>96</v>
      </c>
      <c r="G669" t="s">
        <v>96</v>
      </c>
      <c r="H669">
        <v>2010</v>
      </c>
      <c r="I669" t="s">
        <v>96</v>
      </c>
      <c r="J669" t="s">
        <v>97</v>
      </c>
      <c r="K669" t="s">
        <v>96</v>
      </c>
      <c r="L669" t="s">
        <v>96</v>
      </c>
      <c r="M669">
        <v>1830</v>
      </c>
      <c r="O669" s="12" t="str">
        <f t="shared" si="34"/>
        <v>CSA</v>
      </c>
      <c r="P669" s="12" t="str">
        <f t="shared" si="35"/>
        <v>E_WON</v>
      </c>
    </row>
    <row r="670" spans="1:16" x14ac:dyDescent="0.35">
      <c r="A670" t="s">
        <v>95</v>
      </c>
      <c r="B670" t="s">
        <v>72</v>
      </c>
      <c r="C670" t="s">
        <v>45</v>
      </c>
      <c r="D670" t="s">
        <v>773</v>
      </c>
      <c r="E670" t="s">
        <v>96</v>
      </c>
      <c r="F670" t="s">
        <v>96</v>
      </c>
      <c r="G670" t="s">
        <v>96</v>
      </c>
      <c r="H670">
        <v>2010</v>
      </c>
      <c r="I670" t="s">
        <v>96</v>
      </c>
      <c r="J670" t="s">
        <v>97</v>
      </c>
      <c r="K670" t="s">
        <v>96</v>
      </c>
      <c r="L670" t="s">
        <v>96</v>
      </c>
      <c r="M670">
        <v>2037.5</v>
      </c>
      <c r="O670" s="12" t="str">
        <f t="shared" si="34"/>
        <v>CSA</v>
      </c>
      <c r="P670" s="12" t="str">
        <f t="shared" si="35"/>
        <v>E_WON</v>
      </c>
    </row>
    <row r="671" spans="1:16" x14ac:dyDescent="0.35">
      <c r="A671" t="s">
        <v>95</v>
      </c>
      <c r="B671" t="s">
        <v>72</v>
      </c>
      <c r="C671" t="s">
        <v>45</v>
      </c>
      <c r="D671" t="s">
        <v>774</v>
      </c>
      <c r="E671" t="s">
        <v>96</v>
      </c>
      <c r="F671" t="s">
        <v>96</v>
      </c>
      <c r="G671" t="s">
        <v>96</v>
      </c>
      <c r="H671">
        <v>2010</v>
      </c>
      <c r="I671" t="s">
        <v>96</v>
      </c>
      <c r="J671" t="s">
        <v>97</v>
      </c>
      <c r="K671" t="s">
        <v>96</v>
      </c>
      <c r="L671" t="s">
        <v>96</v>
      </c>
      <c r="M671">
        <v>1830</v>
      </c>
      <c r="O671" s="12" t="str">
        <f t="shared" si="34"/>
        <v>CSA</v>
      </c>
      <c r="P671" s="12" t="str">
        <f t="shared" si="35"/>
        <v>E_WON</v>
      </c>
    </row>
    <row r="672" spans="1:16" x14ac:dyDescent="0.35">
      <c r="A672" t="s">
        <v>95</v>
      </c>
      <c r="B672" t="s">
        <v>72</v>
      </c>
      <c r="C672" t="s">
        <v>45</v>
      </c>
      <c r="D672" t="s">
        <v>775</v>
      </c>
      <c r="E672" t="s">
        <v>96</v>
      </c>
      <c r="F672" t="s">
        <v>96</v>
      </c>
      <c r="G672" t="s">
        <v>96</v>
      </c>
      <c r="H672">
        <v>2010</v>
      </c>
      <c r="I672" t="s">
        <v>96</v>
      </c>
      <c r="J672" t="s">
        <v>97</v>
      </c>
      <c r="K672" t="s">
        <v>96</v>
      </c>
      <c r="L672" t="s">
        <v>96</v>
      </c>
      <c r="M672">
        <v>2037.5</v>
      </c>
      <c r="O672" s="12" t="str">
        <f t="shared" si="34"/>
        <v>CSA</v>
      </c>
      <c r="P672" s="12" t="str">
        <f t="shared" si="35"/>
        <v>E_WON</v>
      </c>
    </row>
    <row r="673" spans="1:16" x14ac:dyDescent="0.35">
      <c r="A673" t="s">
        <v>95</v>
      </c>
      <c r="B673" t="s">
        <v>72</v>
      </c>
      <c r="C673" t="s">
        <v>45</v>
      </c>
      <c r="D673" t="s">
        <v>777</v>
      </c>
      <c r="E673" t="s">
        <v>96</v>
      </c>
      <c r="F673" t="s">
        <v>96</v>
      </c>
      <c r="G673" t="s">
        <v>96</v>
      </c>
      <c r="H673">
        <v>2010</v>
      </c>
      <c r="I673" t="s">
        <v>96</v>
      </c>
      <c r="J673" t="s">
        <v>97</v>
      </c>
      <c r="K673" t="s">
        <v>96</v>
      </c>
      <c r="L673" t="s">
        <v>96</v>
      </c>
      <c r="M673">
        <v>2370</v>
      </c>
      <c r="O673" s="12" t="str">
        <f t="shared" si="34"/>
        <v>CSA</v>
      </c>
      <c r="P673" s="12" t="str">
        <f t="shared" si="35"/>
        <v>E_WON</v>
      </c>
    </row>
    <row r="674" spans="1:16" x14ac:dyDescent="0.35">
      <c r="A674" t="s">
        <v>95</v>
      </c>
      <c r="B674" t="s">
        <v>72</v>
      </c>
      <c r="C674" t="s">
        <v>45</v>
      </c>
      <c r="D674" t="s">
        <v>778</v>
      </c>
      <c r="E674" t="s">
        <v>96</v>
      </c>
      <c r="F674" t="s">
        <v>96</v>
      </c>
      <c r="G674" t="s">
        <v>96</v>
      </c>
      <c r="H674">
        <v>2010</v>
      </c>
      <c r="I674" t="s">
        <v>96</v>
      </c>
      <c r="J674" t="s">
        <v>97</v>
      </c>
      <c r="K674" t="s">
        <v>96</v>
      </c>
      <c r="L674" t="s">
        <v>96</v>
      </c>
      <c r="M674">
        <v>2037.5</v>
      </c>
      <c r="O674" s="12" t="str">
        <f t="shared" si="34"/>
        <v>CSA</v>
      </c>
      <c r="P674" s="12" t="str">
        <f t="shared" si="35"/>
        <v>E_WON</v>
      </c>
    </row>
    <row r="675" spans="1:16" x14ac:dyDescent="0.35">
      <c r="A675" t="s">
        <v>95</v>
      </c>
      <c r="B675" t="s">
        <v>72</v>
      </c>
      <c r="C675" t="s">
        <v>45</v>
      </c>
      <c r="D675" t="s">
        <v>779</v>
      </c>
      <c r="E675" t="s">
        <v>96</v>
      </c>
      <c r="F675" t="s">
        <v>96</v>
      </c>
      <c r="G675" t="s">
        <v>96</v>
      </c>
      <c r="H675">
        <v>2010</v>
      </c>
      <c r="I675" t="s">
        <v>96</v>
      </c>
      <c r="J675" t="s">
        <v>97</v>
      </c>
      <c r="K675" t="s">
        <v>96</v>
      </c>
      <c r="L675" t="s">
        <v>96</v>
      </c>
      <c r="M675">
        <v>2210</v>
      </c>
      <c r="O675" s="12" t="str">
        <f t="shared" si="34"/>
        <v>CSA</v>
      </c>
      <c r="P675" s="12" t="str">
        <f t="shared" si="35"/>
        <v>E_WON</v>
      </c>
    </row>
    <row r="676" spans="1:16" x14ac:dyDescent="0.35">
      <c r="A676" t="s">
        <v>95</v>
      </c>
      <c r="B676" t="s">
        <v>72</v>
      </c>
      <c r="C676" t="s">
        <v>45</v>
      </c>
      <c r="D676" t="s">
        <v>780</v>
      </c>
      <c r="E676" t="s">
        <v>96</v>
      </c>
      <c r="F676" t="s">
        <v>96</v>
      </c>
      <c r="G676" t="s">
        <v>96</v>
      </c>
      <c r="H676">
        <v>2010</v>
      </c>
      <c r="I676" t="s">
        <v>96</v>
      </c>
      <c r="J676" t="s">
        <v>97</v>
      </c>
      <c r="K676" t="s">
        <v>96</v>
      </c>
      <c r="L676" t="s">
        <v>96</v>
      </c>
      <c r="M676">
        <v>2037.5</v>
      </c>
      <c r="O676" s="12" t="str">
        <f t="shared" si="34"/>
        <v>CSA</v>
      </c>
      <c r="P676" s="12" t="str">
        <f t="shared" si="35"/>
        <v>E_WON</v>
      </c>
    </row>
    <row r="677" spans="1:16" x14ac:dyDescent="0.35">
      <c r="A677" t="s">
        <v>95</v>
      </c>
      <c r="B677" t="s">
        <v>72</v>
      </c>
      <c r="C677" t="s">
        <v>45</v>
      </c>
      <c r="D677" t="s">
        <v>781</v>
      </c>
      <c r="E677" t="s">
        <v>96</v>
      </c>
      <c r="F677" t="s">
        <v>96</v>
      </c>
      <c r="G677" t="s">
        <v>96</v>
      </c>
      <c r="H677">
        <v>2010</v>
      </c>
      <c r="I677" t="s">
        <v>96</v>
      </c>
      <c r="J677" t="s">
        <v>97</v>
      </c>
      <c r="K677" t="s">
        <v>96</v>
      </c>
      <c r="L677" t="s">
        <v>96</v>
      </c>
      <c r="M677">
        <v>2120</v>
      </c>
      <c r="O677" s="12" t="str">
        <f t="shared" si="34"/>
        <v>CSA</v>
      </c>
      <c r="P677" s="12" t="str">
        <f t="shared" si="35"/>
        <v>E_WON</v>
      </c>
    </row>
    <row r="678" spans="1:16" x14ac:dyDescent="0.35">
      <c r="A678" t="s">
        <v>95</v>
      </c>
      <c r="B678" t="s">
        <v>72</v>
      </c>
      <c r="C678" t="s">
        <v>45</v>
      </c>
      <c r="D678" t="s">
        <v>782</v>
      </c>
      <c r="E678" t="s">
        <v>96</v>
      </c>
      <c r="F678" t="s">
        <v>96</v>
      </c>
      <c r="G678" t="s">
        <v>96</v>
      </c>
      <c r="H678">
        <v>2010</v>
      </c>
      <c r="I678" t="s">
        <v>96</v>
      </c>
      <c r="J678" t="s">
        <v>97</v>
      </c>
      <c r="K678" t="s">
        <v>96</v>
      </c>
      <c r="L678" t="s">
        <v>96</v>
      </c>
      <c r="M678">
        <v>2110</v>
      </c>
      <c r="O678" s="12" t="str">
        <f t="shared" si="34"/>
        <v>CSA</v>
      </c>
      <c r="P678" s="12" t="str">
        <f t="shared" si="35"/>
        <v>E_WON</v>
      </c>
    </row>
    <row r="679" spans="1:16" x14ac:dyDescent="0.35">
      <c r="A679" t="s">
        <v>95</v>
      </c>
      <c r="B679" t="s">
        <v>72</v>
      </c>
      <c r="C679" t="s">
        <v>45</v>
      </c>
      <c r="D679" t="s">
        <v>783</v>
      </c>
      <c r="E679" t="s">
        <v>96</v>
      </c>
      <c r="F679" t="s">
        <v>96</v>
      </c>
      <c r="G679" t="s">
        <v>96</v>
      </c>
      <c r="H679">
        <v>2010</v>
      </c>
      <c r="I679" t="s">
        <v>96</v>
      </c>
      <c r="J679" t="s">
        <v>97</v>
      </c>
      <c r="K679" t="s">
        <v>96</v>
      </c>
      <c r="L679" t="s">
        <v>96</v>
      </c>
      <c r="M679">
        <v>2037.5</v>
      </c>
      <c r="O679" s="12" t="str">
        <f t="shared" si="34"/>
        <v>CSA</v>
      </c>
      <c r="P679" s="12" t="str">
        <f t="shared" si="35"/>
        <v>E_WON</v>
      </c>
    </row>
    <row r="680" spans="1:16" x14ac:dyDescent="0.35">
      <c r="A680" t="s">
        <v>95</v>
      </c>
      <c r="B680" t="s">
        <v>72</v>
      </c>
      <c r="C680" t="s">
        <v>45</v>
      </c>
      <c r="D680" t="s">
        <v>784</v>
      </c>
      <c r="E680" t="s">
        <v>96</v>
      </c>
      <c r="F680" t="s">
        <v>96</v>
      </c>
      <c r="G680" t="s">
        <v>96</v>
      </c>
      <c r="H680">
        <v>2010</v>
      </c>
      <c r="I680" t="s">
        <v>96</v>
      </c>
      <c r="J680" t="s">
        <v>97</v>
      </c>
      <c r="K680" t="s">
        <v>96</v>
      </c>
      <c r="L680" t="s">
        <v>96</v>
      </c>
      <c r="M680">
        <v>2037.5</v>
      </c>
      <c r="O680" s="12" t="str">
        <f t="shared" si="34"/>
        <v>CSA</v>
      </c>
      <c r="P680" s="12" t="str">
        <f t="shared" si="35"/>
        <v>E_WON</v>
      </c>
    </row>
    <row r="681" spans="1:16" x14ac:dyDescent="0.35">
      <c r="A681" t="s">
        <v>95</v>
      </c>
      <c r="B681" t="s">
        <v>72</v>
      </c>
      <c r="C681" t="s">
        <v>45</v>
      </c>
      <c r="D681" t="s">
        <v>785</v>
      </c>
      <c r="E681" t="s">
        <v>96</v>
      </c>
      <c r="F681" t="s">
        <v>96</v>
      </c>
      <c r="G681" t="s">
        <v>96</v>
      </c>
      <c r="H681">
        <v>2010</v>
      </c>
      <c r="I681" t="s">
        <v>96</v>
      </c>
      <c r="J681" t="s">
        <v>97</v>
      </c>
      <c r="K681" t="s">
        <v>96</v>
      </c>
      <c r="L681" t="s">
        <v>96</v>
      </c>
      <c r="M681">
        <v>2037.5</v>
      </c>
      <c r="O681" s="12" t="str">
        <f t="shared" si="34"/>
        <v>CSA</v>
      </c>
      <c r="P681" s="12" t="str">
        <f t="shared" si="35"/>
        <v>E_WON</v>
      </c>
    </row>
    <row r="682" spans="1:16" x14ac:dyDescent="0.35">
      <c r="A682" t="s">
        <v>95</v>
      </c>
      <c r="B682" t="s">
        <v>72</v>
      </c>
      <c r="C682" t="s">
        <v>45</v>
      </c>
      <c r="D682" t="s">
        <v>786</v>
      </c>
      <c r="E682" t="s">
        <v>96</v>
      </c>
      <c r="F682" t="s">
        <v>96</v>
      </c>
      <c r="G682" t="s">
        <v>96</v>
      </c>
      <c r="H682">
        <v>2010</v>
      </c>
      <c r="I682" t="s">
        <v>96</v>
      </c>
      <c r="J682" t="s">
        <v>97</v>
      </c>
      <c r="K682" t="s">
        <v>96</v>
      </c>
      <c r="L682" t="s">
        <v>96</v>
      </c>
      <c r="M682">
        <v>2000</v>
      </c>
      <c r="O682" s="12" t="str">
        <f t="shared" si="34"/>
        <v>CSA</v>
      </c>
      <c r="P682" s="12" t="str">
        <f t="shared" si="35"/>
        <v>E_WON</v>
      </c>
    </row>
    <row r="683" spans="1:16" x14ac:dyDescent="0.35">
      <c r="A683" t="s">
        <v>95</v>
      </c>
      <c r="B683" t="s">
        <v>72</v>
      </c>
      <c r="C683" t="s">
        <v>45</v>
      </c>
      <c r="D683" t="s">
        <v>787</v>
      </c>
      <c r="E683" t="s">
        <v>96</v>
      </c>
      <c r="F683" t="s">
        <v>96</v>
      </c>
      <c r="G683" t="s">
        <v>96</v>
      </c>
      <c r="H683">
        <v>2010</v>
      </c>
      <c r="I683" t="s">
        <v>96</v>
      </c>
      <c r="J683" t="s">
        <v>97</v>
      </c>
      <c r="K683" t="s">
        <v>96</v>
      </c>
      <c r="L683" t="s">
        <v>96</v>
      </c>
      <c r="M683">
        <v>1830</v>
      </c>
      <c r="O683" s="12" t="str">
        <f t="shared" si="34"/>
        <v>CSA</v>
      </c>
      <c r="P683" s="12" t="str">
        <f t="shared" si="35"/>
        <v>E_WON</v>
      </c>
    </row>
    <row r="684" spans="1:16" x14ac:dyDescent="0.35">
      <c r="A684" t="s">
        <v>95</v>
      </c>
      <c r="B684" t="s">
        <v>72</v>
      </c>
      <c r="C684" t="s">
        <v>45</v>
      </c>
      <c r="D684" t="s">
        <v>789</v>
      </c>
      <c r="E684" t="s">
        <v>96</v>
      </c>
      <c r="F684" t="s">
        <v>96</v>
      </c>
      <c r="G684" t="s">
        <v>96</v>
      </c>
      <c r="H684">
        <v>2010</v>
      </c>
      <c r="I684" t="s">
        <v>96</v>
      </c>
      <c r="J684" t="s">
        <v>97</v>
      </c>
      <c r="K684" t="s">
        <v>96</v>
      </c>
      <c r="L684" t="s">
        <v>96</v>
      </c>
      <c r="M684">
        <v>2037.5</v>
      </c>
      <c r="O684" s="12" t="str">
        <f t="shared" si="34"/>
        <v>CSA</v>
      </c>
      <c r="P684" s="12" t="str">
        <f t="shared" si="35"/>
        <v>E_WON</v>
      </c>
    </row>
    <row r="685" spans="1:16" x14ac:dyDescent="0.35">
      <c r="A685" t="s">
        <v>95</v>
      </c>
      <c r="B685" t="s">
        <v>72</v>
      </c>
      <c r="C685" t="s">
        <v>45</v>
      </c>
      <c r="D685" t="s">
        <v>790</v>
      </c>
      <c r="E685" t="s">
        <v>96</v>
      </c>
      <c r="F685" t="s">
        <v>96</v>
      </c>
      <c r="G685" t="s">
        <v>96</v>
      </c>
      <c r="H685">
        <v>2010</v>
      </c>
      <c r="I685" t="s">
        <v>96</v>
      </c>
      <c r="J685" t="s">
        <v>97</v>
      </c>
      <c r="K685" t="s">
        <v>96</v>
      </c>
      <c r="L685" t="s">
        <v>96</v>
      </c>
      <c r="M685">
        <v>2037.5</v>
      </c>
      <c r="O685" s="12" t="str">
        <f t="shared" si="34"/>
        <v>CSA</v>
      </c>
      <c r="P685" s="12" t="str">
        <f t="shared" si="35"/>
        <v>E_WON</v>
      </c>
    </row>
    <row r="686" spans="1:16" x14ac:dyDescent="0.35">
      <c r="A686" t="s">
        <v>95</v>
      </c>
      <c r="B686" t="s">
        <v>72</v>
      </c>
      <c r="C686" t="s">
        <v>45</v>
      </c>
      <c r="D686" t="s">
        <v>791</v>
      </c>
      <c r="E686" t="s">
        <v>96</v>
      </c>
      <c r="F686" t="s">
        <v>96</v>
      </c>
      <c r="G686" t="s">
        <v>96</v>
      </c>
      <c r="H686">
        <v>2010</v>
      </c>
      <c r="I686" t="s">
        <v>96</v>
      </c>
      <c r="J686" t="s">
        <v>97</v>
      </c>
      <c r="K686" t="s">
        <v>96</v>
      </c>
      <c r="L686" t="s">
        <v>96</v>
      </c>
      <c r="M686">
        <v>2037.5</v>
      </c>
      <c r="O686" s="12" t="str">
        <f t="shared" si="34"/>
        <v>CSA</v>
      </c>
      <c r="P686" s="12" t="str">
        <f t="shared" si="35"/>
        <v>E_WON</v>
      </c>
    </row>
    <row r="687" spans="1:16" x14ac:dyDescent="0.35">
      <c r="A687" t="s">
        <v>95</v>
      </c>
      <c r="B687" t="s">
        <v>72</v>
      </c>
      <c r="C687" t="s">
        <v>45</v>
      </c>
      <c r="D687" t="s">
        <v>792</v>
      </c>
      <c r="E687" t="s">
        <v>96</v>
      </c>
      <c r="F687" t="s">
        <v>96</v>
      </c>
      <c r="G687" t="s">
        <v>96</v>
      </c>
      <c r="H687">
        <v>2010</v>
      </c>
      <c r="I687" t="s">
        <v>96</v>
      </c>
      <c r="J687" t="s">
        <v>97</v>
      </c>
      <c r="K687" t="s">
        <v>96</v>
      </c>
      <c r="L687" t="s">
        <v>96</v>
      </c>
      <c r="M687">
        <v>1830</v>
      </c>
      <c r="O687" s="12" t="str">
        <f t="shared" si="34"/>
        <v>CSA</v>
      </c>
      <c r="P687" s="12" t="str">
        <f t="shared" si="35"/>
        <v>E_WON</v>
      </c>
    </row>
    <row r="688" spans="1:16" x14ac:dyDescent="0.35">
      <c r="A688" t="s">
        <v>95</v>
      </c>
      <c r="B688" t="s">
        <v>72</v>
      </c>
      <c r="C688" t="s">
        <v>45</v>
      </c>
      <c r="D688" t="s">
        <v>793</v>
      </c>
      <c r="E688" t="s">
        <v>96</v>
      </c>
      <c r="F688" t="s">
        <v>96</v>
      </c>
      <c r="G688" t="s">
        <v>96</v>
      </c>
      <c r="H688">
        <v>2010</v>
      </c>
      <c r="I688" t="s">
        <v>96</v>
      </c>
      <c r="J688" t="s">
        <v>97</v>
      </c>
      <c r="K688" t="s">
        <v>96</v>
      </c>
      <c r="L688" t="s">
        <v>96</v>
      </c>
      <c r="M688">
        <v>2037.5</v>
      </c>
      <c r="O688" s="12" t="str">
        <f t="shared" si="34"/>
        <v>CSA</v>
      </c>
      <c r="P688" s="12" t="str">
        <f t="shared" si="35"/>
        <v>E_WON</v>
      </c>
    </row>
    <row r="689" spans="1:16" x14ac:dyDescent="0.35">
      <c r="A689" t="s">
        <v>95</v>
      </c>
      <c r="B689" t="s">
        <v>72</v>
      </c>
      <c r="C689" t="s">
        <v>45</v>
      </c>
      <c r="D689" t="s">
        <v>794</v>
      </c>
      <c r="E689" t="s">
        <v>96</v>
      </c>
      <c r="F689" t="s">
        <v>96</v>
      </c>
      <c r="G689" t="s">
        <v>96</v>
      </c>
      <c r="H689">
        <v>2010</v>
      </c>
      <c r="I689" t="s">
        <v>96</v>
      </c>
      <c r="J689" t="s">
        <v>97</v>
      </c>
      <c r="K689" t="s">
        <v>96</v>
      </c>
      <c r="L689" t="s">
        <v>96</v>
      </c>
      <c r="M689">
        <v>1830</v>
      </c>
      <c r="O689" s="12" t="str">
        <f t="shared" si="34"/>
        <v>CSA</v>
      </c>
      <c r="P689" s="12" t="str">
        <f t="shared" si="35"/>
        <v>E_WON</v>
      </c>
    </row>
    <row r="690" spans="1:16" x14ac:dyDescent="0.35">
      <c r="A690" t="s">
        <v>95</v>
      </c>
      <c r="B690" t="s">
        <v>72</v>
      </c>
      <c r="C690" t="s">
        <v>45</v>
      </c>
      <c r="D690" t="s">
        <v>795</v>
      </c>
      <c r="E690" t="s">
        <v>96</v>
      </c>
      <c r="F690" t="s">
        <v>96</v>
      </c>
      <c r="G690" t="s">
        <v>96</v>
      </c>
      <c r="H690">
        <v>2010</v>
      </c>
      <c r="I690" t="s">
        <v>96</v>
      </c>
      <c r="J690" t="s">
        <v>97</v>
      </c>
      <c r="K690" t="s">
        <v>96</v>
      </c>
      <c r="L690" t="s">
        <v>96</v>
      </c>
      <c r="M690">
        <v>2037.5</v>
      </c>
      <c r="O690" s="12" t="str">
        <f t="shared" si="34"/>
        <v>CSA</v>
      </c>
      <c r="P690" s="12" t="str">
        <f t="shared" si="35"/>
        <v>E_WON</v>
      </c>
    </row>
    <row r="691" spans="1:16" x14ac:dyDescent="0.35">
      <c r="A691" t="s">
        <v>95</v>
      </c>
      <c r="B691" t="s">
        <v>72</v>
      </c>
      <c r="C691" t="s">
        <v>45</v>
      </c>
      <c r="D691" t="s">
        <v>797</v>
      </c>
      <c r="E691" t="s">
        <v>96</v>
      </c>
      <c r="F691" t="s">
        <v>96</v>
      </c>
      <c r="G691" t="s">
        <v>96</v>
      </c>
      <c r="H691">
        <v>2010</v>
      </c>
      <c r="I691" t="s">
        <v>96</v>
      </c>
      <c r="J691" t="s">
        <v>97</v>
      </c>
      <c r="K691" t="s">
        <v>96</v>
      </c>
      <c r="L691" t="s">
        <v>96</v>
      </c>
      <c r="M691">
        <v>2370</v>
      </c>
      <c r="O691" s="12" t="str">
        <f t="shared" si="34"/>
        <v>CSA</v>
      </c>
      <c r="P691" s="12" t="str">
        <f t="shared" si="35"/>
        <v>E_WON</v>
      </c>
    </row>
    <row r="692" spans="1:16" x14ac:dyDescent="0.35">
      <c r="A692" t="s">
        <v>95</v>
      </c>
      <c r="B692" t="s">
        <v>72</v>
      </c>
      <c r="C692" t="s">
        <v>45</v>
      </c>
      <c r="D692" t="s">
        <v>798</v>
      </c>
      <c r="E692" t="s">
        <v>96</v>
      </c>
      <c r="F692" t="s">
        <v>96</v>
      </c>
      <c r="G692" t="s">
        <v>96</v>
      </c>
      <c r="H692">
        <v>2010</v>
      </c>
      <c r="I692" t="s">
        <v>96</v>
      </c>
      <c r="J692" t="s">
        <v>97</v>
      </c>
      <c r="K692" t="s">
        <v>96</v>
      </c>
      <c r="L692" t="s">
        <v>96</v>
      </c>
      <c r="M692">
        <v>2037.5</v>
      </c>
      <c r="O692" s="12" t="str">
        <f t="shared" si="34"/>
        <v>CSA</v>
      </c>
      <c r="P692" s="12" t="str">
        <f t="shared" si="35"/>
        <v>E_WON</v>
      </c>
    </row>
    <row r="693" spans="1:16" x14ac:dyDescent="0.35">
      <c r="A693" t="s">
        <v>95</v>
      </c>
      <c r="B693" t="s">
        <v>72</v>
      </c>
      <c r="C693" t="s">
        <v>45</v>
      </c>
      <c r="D693" t="s">
        <v>799</v>
      </c>
      <c r="E693" t="s">
        <v>96</v>
      </c>
      <c r="F693" t="s">
        <v>96</v>
      </c>
      <c r="G693" t="s">
        <v>96</v>
      </c>
      <c r="H693">
        <v>2010</v>
      </c>
      <c r="I693" t="s">
        <v>96</v>
      </c>
      <c r="J693" t="s">
        <v>97</v>
      </c>
      <c r="K693" t="s">
        <v>96</v>
      </c>
      <c r="L693" t="s">
        <v>96</v>
      </c>
      <c r="M693">
        <v>2210</v>
      </c>
      <c r="O693" s="12" t="str">
        <f t="shared" si="34"/>
        <v>CSA</v>
      </c>
      <c r="P693" s="12" t="str">
        <f t="shared" si="35"/>
        <v>E_WON</v>
      </c>
    </row>
    <row r="694" spans="1:16" x14ac:dyDescent="0.35">
      <c r="A694" t="s">
        <v>95</v>
      </c>
      <c r="B694" t="s">
        <v>72</v>
      </c>
      <c r="C694" t="s">
        <v>45</v>
      </c>
      <c r="D694" t="s">
        <v>800</v>
      </c>
      <c r="E694" t="s">
        <v>96</v>
      </c>
      <c r="F694" t="s">
        <v>96</v>
      </c>
      <c r="G694" t="s">
        <v>96</v>
      </c>
      <c r="H694">
        <v>2010</v>
      </c>
      <c r="I694" t="s">
        <v>96</v>
      </c>
      <c r="J694" t="s">
        <v>97</v>
      </c>
      <c r="K694" t="s">
        <v>96</v>
      </c>
      <c r="L694" t="s">
        <v>96</v>
      </c>
      <c r="M694">
        <v>2037.5</v>
      </c>
      <c r="O694" s="12" t="str">
        <f t="shared" si="34"/>
        <v>CSA</v>
      </c>
      <c r="P694" s="12" t="str">
        <f t="shared" si="35"/>
        <v>E_WON</v>
      </c>
    </row>
    <row r="695" spans="1:16" x14ac:dyDescent="0.35">
      <c r="A695" t="s">
        <v>95</v>
      </c>
      <c r="B695" t="s">
        <v>72</v>
      </c>
      <c r="C695" t="s">
        <v>45</v>
      </c>
      <c r="D695" t="s">
        <v>801</v>
      </c>
      <c r="E695" t="s">
        <v>96</v>
      </c>
      <c r="F695" t="s">
        <v>96</v>
      </c>
      <c r="G695" t="s">
        <v>96</v>
      </c>
      <c r="H695">
        <v>2010</v>
      </c>
      <c r="I695" t="s">
        <v>96</v>
      </c>
      <c r="J695" t="s">
        <v>97</v>
      </c>
      <c r="K695" t="s">
        <v>96</v>
      </c>
      <c r="L695" t="s">
        <v>96</v>
      </c>
      <c r="M695">
        <v>2120</v>
      </c>
      <c r="O695" s="12" t="str">
        <f t="shared" si="34"/>
        <v>CSA</v>
      </c>
      <c r="P695" s="12" t="str">
        <f t="shared" si="35"/>
        <v>E_WON</v>
      </c>
    </row>
    <row r="696" spans="1:16" x14ac:dyDescent="0.35">
      <c r="A696" t="s">
        <v>95</v>
      </c>
      <c r="B696" t="s">
        <v>72</v>
      </c>
      <c r="C696" t="s">
        <v>45</v>
      </c>
      <c r="D696" t="s">
        <v>802</v>
      </c>
      <c r="E696" t="s">
        <v>96</v>
      </c>
      <c r="F696" t="s">
        <v>96</v>
      </c>
      <c r="G696" t="s">
        <v>96</v>
      </c>
      <c r="H696">
        <v>2010</v>
      </c>
      <c r="I696" t="s">
        <v>96</v>
      </c>
      <c r="J696" t="s">
        <v>97</v>
      </c>
      <c r="K696" t="s">
        <v>96</v>
      </c>
      <c r="L696" t="s">
        <v>96</v>
      </c>
      <c r="M696">
        <v>2110</v>
      </c>
      <c r="O696" s="12" t="str">
        <f t="shared" si="34"/>
        <v>CSA</v>
      </c>
      <c r="P696" s="12" t="str">
        <f t="shared" si="35"/>
        <v>E_WON</v>
      </c>
    </row>
    <row r="697" spans="1:16" x14ac:dyDescent="0.35">
      <c r="A697" t="s">
        <v>95</v>
      </c>
      <c r="B697" t="s">
        <v>72</v>
      </c>
      <c r="C697" t="s">
        <v>45</v>
      </c>
      <c r="D697" t="s">
        <v>803</v>
      </c>
      <c r="E697" t="s">
        <v>96</v>
      </c>
      <c r="F697" t="s">
        <v>96</v>
      </c>
      <c r="G697" t="s">
        <v>96</v>
      </c>
      <c r="H697">
        <v>2010</v>
      </c>
      <c r="I697" t="s">
        <v>96</v>
      </c>
      <c r="J697" t="s">
        <v>97</v>
      </c>
      <c r="K697" t="s">
        <v>96</v>
      </c>
      <c r="L697" t="s">
        <v>96</v>
      </c>
      <c r="M697">
        <v>2037.5</v>
      </c>
      <c r="O697" s="12" t="str">
        <f t="shared" si="34"/>
        <v>CSA</v>
      </c>
      <c r="P697" s="12" t="str">
        <f t="shared" si="35"/>
        <v>E_WON</v>
      </c>
    </row>
    <row r="698" spans="1:16" x14ac:dyDescent="0.35">
      <c r="A698" t="s">
        <v>95</v>
      </c>
      <c r="B698" t="s">
        <v>72</v>
      </c>
      <c r="C698" t="s">
        <v>45</v>
      </c>
      <c r="D698" t="s">
        <v>804</v>
      </c>
      <c r="E698" t="s">
        <v>96</v>
      </c>
      <c r="F698" t="s">
        <v>96</v>
      </c>
      <c r="G698" t="s">
        <v>96</v>
      </c>
      <c r="H698">
        <v>2010</v>
      </c>
      <c r="I698" t="s">
        <v>96</v>
      </c>
      <c r="J698" t="s">
        <v>97</v>
      </c>
      <c r="K698" t="s">
        <v>96</v>
      </c>
      <c r="L698" t="s">
        <v>96</v>
      </c>
      <c r="M698">
        <v>2037.5</v>
      </c>
      <c r="O698" s="12" t="str">
        <f t="shared" si="34"/>
        <v>CSA</v>
      </c>
      <c r="P698" s="12" t="str">
        <f t="shared" si="35"/>
        <v>E_WON</v>
      </c>
    </row>
    <row r="699" spans="1:16" x14ac:dyDescent="0.35">
      <c r="A699" t="s">
        <v>95</v>
      </c>
      <c r="B699" t="s">
        <v>72</v>
      </c>
      <c r="C699" t="s">
        <v>45</v>
      </c>
      <c r="D699" t="s">
        <v>805</v>
      </c>
      <c r="E699" t="s">
        <v>96</v>
      </c>
      <c r="F699" t="s">
        <v>96</v>
      </c>
      <c r="G699" t="s">
        <v>96</v>
      </c>
      <c r="H699">
        <v>2010</v>
      </c>
      <c r="I699" t="s">
        <v>96</v>
      </c>
      <c r="J699" t="s">
        <v>97</v>
      </c>
      <c r="K699" t="s">
        <v>96</v>
      </c>
      <c r="L699" t="s">
        <v>96</v>
      </c>
      <c r="M699">
        <v>2037.5</v>
      </c>
      <c r="O699" s="12" t="str">
        <f t="shared" si="34"/>
        <v>CSA</v>
      </c>
      <c r="P699" s="12" t="str">
        <f t="shared" si="35"/>
        <v>E_WON</v>
      </c>
    </row>
    <row r="700" spans="1:16" x14ac:dyDescent="0.35">
      <c r="A700" t="s">
        <v>95</v>
      </c>
      <c r="B700" t="s">
        <v>72</v>
      </c>
      <c r="C700" t="s">
        <v>45</v>
      </c>
      <c r="D700" t="s">
        <v>806</v>
      </c>
      <c r="E700" t="s">
        <v>96</v>
      </c>
      <c r="F700" t="s">
        <v>96</v>
      </c>
      <c r="G700" t="s">
        <v>96</v>
      </c>
      <c r="H700">
        <v>2010</v>
      </c>
      <c r="I700" t="s">
        <v>96</v>
      </c>
      <c r="J700" t="s">
        <v>97</v>
      </c>
      <c r="K700" t="s">
        <v>96</v>
      </c>
      <c r="L700" t="s">
        <v>96</v>
      </c>
      <c r="M700">
        <v>2000</v>
      </c>
      <c r="O700" s="12" t="str">
        <f t="shared" si="34"/>
        <v>CSA</v>
      </c>
      <c r="P700" s="12" t="str">
        <f t="shared" si="35"/>
        <v>E_WON</v>
      </c>
    </row>
    <row r="701" spans="1:16" x14ac:dyDescent="0.35">
      <c r="A701" t="s">
        <v>95</v>
      </c>
      <c r="B701" t="s">
        <v>72</v>
      </c>
      <c r="C701" t="s">
        <v>45</v>
      </c>
      <c r="D701" t="s">
        <v>807</v>
      </c>
      <c r="E701" t="s">
        <v>96</v>
      </c>
      <c r="F701" t="s">
        <v>96</v>
      </c>
      <c r="G701" t="s">
        <v>96</v>
      </c>
      <c r="H701">
        <v>2010</v>
      </c>
      <c r="I701" t="s">
        <v>96</v>
      </c>
      <c r="J701" t="s">
        <v>97</v>
      </c>
      <c r="K701" t="s">
        <v>96</v>
      </c>
      <c r="L701" t="s">
        <v>96</v>
      </c>
      <c r="M701">
        <v>1830</v>
      </c>
      <c r="O701" s="12" t="str">
        <f t="shared" si="34"/>
        <v>CSA</v>
      </c>
      <c r="P701" s="12" t="str">
        <f t="shared" si="35"/>
        <v>E_WON</v>
      </c>
    </row>
    <row r="702" spans="1:16" x14ac:dyDescent="0.35">
      <c r="A702" t="s">
        <v>95</v>
      </c>
      <c r="B702" t="s">
        <v>72</v>
      </c>
      <c r="C702" t="s">
        <v>45</v>
      </c>
      <c r="D702" t="s">
        <v>808</v>
      </c>
      <c r="E702" t="s">
        <v>96</v>
      </c>
      <c r="F702" t="s">
        <v>96</v>
      </c>
      <c r="G702" t="s">
        <v>96</v>
      </c>
      <c r="H702">
        <v>2010</v>
      </c>
      <c r="I702" t="s">
        <v>96</v>
      </c>
      <c r="J702" t="s">
        <v>97</v>
      </c>
      <c r="K702" t="s">
        <v>96</v>
      </c>
      <c r="L702" t="s">
        <v>96</v>
      </c>
      <c r="M702">
        <v>2037.5</v>
      </c>
      <c r="O702" s="12" t="str">
        <f t="shared" si="34"/>
        <v>CSA</v>
      </c>
      <c r="P702" s="12" t="str">
        <f t="shared" si="35"/>
        <v>E_WON</v>
      </c>
    </row>
    <row r="703" spans="1:16" x14ac:dyDescent="0.35">
      <c r="A703" t="s">
        <v>95</v>
      </c>
      <c r="B703" t="s">
        <v>72</v>
      </c>
      <c r="C703" t="s">
        <v>45</v>
      </c>
      <c r="D703" t="s">
        <v>809</v>
      </c>
      <c r="E703" t="s">
        <v>96</v>
      </c>
      <c r="F703" t="s">
        <v>96</v>
      </c>
      <c r="G703" t="s">
        <v>96</v>
      </c>
      <c r="H703">
        <v>2010</v>
      </c>
      <c r="I703" t="s">
        <v>96</v>
      </c>
      <c r="J703" t="s">
        <v>97</v>
      </c>
      <c r="K703" t="s">
        <v>96</v>
      </c>
      <c r="L703" t="s">
        <v>96</v>
      </c>
      <c r="M703">
        <v>1830</v>
      </c>
      <c r="O703" s="12" t="str">
        <f t="shared" si="34"/>
        <v>CSA</v>
      </c>
      <c r="P703" s="12" t="str">
        <f t="shared" si="35"/>
        <v>E_WON</v>
      </c>
    </row>
    <row r="704" spans="1:16" x14ac:dyDescent="0.35">
      <c r="A704" t="s">
        <v>95</v>
      </c>
      <c r="B704" t="s">
        <v>72</v>
      </c>
      <c r="C704" t="s">
        <v>45</v>
      </c>
      <c r="D704" t="s">
        <v>810</v>
      </c>
      <c r="E704" t="s">
        <v>96</v>
      </c>
      <c r="F704" t="s">
        <v>96</v>
      </c>
      <c r="G704" t="s">
        <v>96</v>
      </c>
      <c r="H704">
        <v>2010</v>
      </c>
      <c r="I704" t="s">
        <v>96</v>
      </c>
      <c r="J704" t="s">
        <v>97</v>
      </c>
      <c r="K704" t="s">
        <v>96</v>
      </c>
      <c r="L704" t="s">
        <v>96</v>
      </c>
      <c r="M704">
        <v>2037.5</v>
      </c>
      <c r="O704" s="12" t="str">
        <f t="shared" si="34"/>
        <v>CSA</v>
      </c>
      <c r="P704" s="12" t="str">
        <f t="shared" si="35"/>
        <v>E_WON</v>
      </c>
    </row>
    <row r="705" spans="1:16" x14ac:dyDescent="0.35">
      <c r="A705" t="s">
        <v>95</v>
      </c>
      <c r="B705" t="s">
        <v>72</v>
      </c>
      <c r="C705" t="s">
        <v>45</v>
      </c>
      <c r="D705" t="s">
        <v>811</v>
      </c>
      <c r="E705" t="s">
        <v>96</v>
      </c>
      <c r="F705" t="s">
        <v>96</v>
      </c>
      <c r="G705" t="s">
        <v>96</v>
      </c>
      <c r="H705">
        <v>2010</v>
      </c>
      <c r="I705" t="s">
        <v>96</v>
      </c>
      <c r="J705" t="s">
        <v>97</v>
      </c>
      <c r="K705" t="s">
        <v>96</v>
      </c>
      <c r="L705" t="s">
        <v>96</v>
      </c>
      <c r="M705">
        <v>1830</v>
      </c>
      <c r="O705" s="12" t="str">
        <f t="shared" si="34"/>
        <v>CSA</v>
      </c>
      <c r="P705" s="12" t="str">
        <f t="shared" si="35"/>
        <v>E_WON</v>
      </c>
    </row>
    <row r="706" spans="1:16" x14ac:dyDescent="0.35">
      <c r="A706" t="s">
        <v>95</v>
      </c>
      <c r="B706" t="s">
        <v>72</v>
      </c>
      <c r="C706" t="s">
        <v>45</v>
      </c>
      <c r="D706" t="s">
        <v>813</v>
      </c>
      <c r="E706" t="s">
        <v>96</v>
      </c>
      <c r="F706" t="s">
        <v>96</v>
      </c>
      <c r="G706" t="s">
        <v>96</v>
      </c>
      <c r="H706">
        <v>2010</v>
      </c>
      <c r="I706" t="s">
        <v>96</v>
      </c>
      <c r="J706" t="s">
        <v>97</v>
      </c>
      <c r="K706" t="s">
        <v>96</v>
      </c>
      <c r="L706" t="s">
        <v>96</v>
      </c>
      <c r="M706">
        <v>2370</v>
      </c>
      <c r="O706" s="12" t="str">
        <f t="shared" si="34"/>
        <v>CSA</v>
      </c>
      <c r="P706" s="12" t="str">
        <f t="shared" si="35"/>
        <v>E_WON</v>
      </c>
    </row>
    <row r="707" spans="1:16" x14ac:dyDescent="0.35">
      <c r="A707" t="s">
        <v>95</v>
      </c>
      <c r="B707" t="s">
        <v>72</v>
      </c>
      <c r="C707" t="s">
        <v>45</v>
      </c>
      <c r="D707" t="s">
        <v>814</v>
      </c>
      <c r="E707" t="s">
        <v>96</v>
      </c>
      <c r="F707" t="s">
        <v>96</v>
      </c>
      <c r="G707" t="s">
        <v>96</v>
      </c>
      <c r="H707">
        <v>2010</v>
      </c>
      <c r="I707" t="s">
        <v>96</v>
      </c>
      <c r="J707" t="s">
        <v>97</v>
      </c>
      <c r="K707" t="s">
        <v>96</v>
      </c>
      <c r="L707" t="s">
        <v>96</v>
      </c>
      <c r="M707">
        <v>2120</v>
      </c>
      <c r="O707" s="12" t="str">
        <f t="shared" ref="O707:O770" si="36">LEFT(B707,3)</f>
        <v>CSA</v>
      </c>
      <c r="P707" s="12" t="str">
        <f t="shared" ref="P707:P770" si="37">LEFT(D707,5)</f>
        <v>E_WON</v>
      </c>
    </row>
    <row r="708" spans="1:16" x14ac:dyDescent="0.35">
      <c r="A708" t="s">
        <v>95</v>
      </c>
      <c r="B708" t="s">
        <v>72</v>
      </c>
      <c r="C708" t="s">
        <v>45</v>
      </c>
      <c r="D708" t="s">
        <v>815</v>
      </c>
      <c r="E708" t="s">
        <v>96</v>
      </c>
      <c r="F708" t="s">
        <v>96</v>
      </c>
      <c r="G708" t="s">
        <v>96</v>
      </c>
      <c r="H708">
        <v>2010</v>
      </c>
      <c r="I708" t="s">
        <v>96</v>
      </c>
      <c r="J708" t="s">
        <v>97</v>
      </c>
      <c r="K708" t="s">
        <v>96</v>
      </c>
      <c r="L708" t="s">
        <v>96</v>
      </c>
      <c r="M708">
        <v>2110</v>
      </c>
      <c r="O708" s="12" t="str">
        <f t="shared" si="36"/>
        <v>CSA</v>
      </c>
      <c r="P708" s="12" t="str">
        <f t="shared" si="37"/>
        <v>E_WON</v>
      </c>
    </row>
    <row r="709" spans="1:16" x14ac:dyDescent="0.35">
      <c r="A709" t="s">
        <v>95</v>
      </c>
      <c r="B709" t="s">
        <v>72</v>
      </c>
      <c r="C709" t="s">
        <v>45</v>
      </c>
      <c r="D709" t="s">
        <v>816</v>
      </c>
      <c r="E709" t="s">
        <v>96</v>
      </c>
      <c r="F709" t="s">
        <v>96</v>
      </c>
      <c r="G709" t="s">
        <v>96</v>
      </c>
      <c r="H709">
        <v>2010</v>
      </c>
      <c r="I709" t="s">
        <v>96</v>
      </c>
      <c r="J709" t="s">
        <v>97</v>
      </c>
      <c r="K709" t="s">
        <v>96</v>
      </c>
      <c r="L709" t="s">
        <v>96</v>
      </c>
      <c r="M709">
        <v>2037.5</v>
      </c>
      <c r="O709" s="12" t="str">
        <f t="shared" si="36"/>
        <v>CSA</v>
      </c>
      <c r="P709" s="12" t="str">
        <f t="shared" si="37"/>
        <v>E_WON</v>
      </c>
    </row>
    <row r="710" spans="1:16" x14ac:dyDescent="0.35">
      <c r="A710" t="s">
        <v>95</v>
      </c>
      <c r="B710" t="s">
        <v>72</v>
      </c>
      <c r="C710" t="s">
        <v>45</v>
      </c>
      <c r="D710" t="s">
        <v>817</v>
      </c>
      <c r="E710" t="s">
        <v>96</v>
      </c>
      <c r="F710" t="s">
        <v>96</v>
      </c>
      <c r="G710" t="s">
        <v>96</v>
      </c>
      <c r="H710">
        <v>2010</v>
      </c>
      <c r="I710" t="s">
        <v>96</v>
      </c>
      <c r="J710" t="s">
        <v>97</v>
      </c>
      <c r="K710" t="s">
        <v>96</v>
      </c>
      <c r="L710" t="s">
        <v>96</v>
      </c>
      <c r="M710">
        <v>2037.5</v>
      </c>
      <c r="O710" s="12" t="str">
        <f t="shared" si="36"/>
        <v>CSA</v>
      </c>
      <c r="P710" s="12" t="str">
        <f t="shared" si="37"/>
        <v>E_WON</v>
      </c>
    </row>
    <row r="711" spans="1:16" x14ac:dyDescent="0.35">
      <c r="A711" t="s">
        <v>95</v>
      </c>
      <c r="B711" t="s">
        <v>72</v>
      </c>
      <c r="C711" t="s">
        <v>45</v>
      </c>
      <c r="D711" t="s">
        <v>818</v>
      </c>
      <c r="E711" t="s">
        <v>96</v>
      </c>
      <c r="F711" t="s">
        <v>96</v>
      </c>
      <c r="G711" t="s">
        <v>96</v>
      </c>
      <c r="H711">
        <v>2010</v>
      </c>
      <c r="I711" t="s">
        <v>96</v>
      </c>
      <c r="J711" t="s">
        <v>97</v>
      </c>
      <c r="K711" t="s">
        <v>96</v>
      </c>
      <c r="L711" t="s">
        <v>96</v>
      </c>
      <c r="M711">
        <v>2037.5</v>
      </c>
      <c r="O711" s="12" t="str">
        <f t="shared" si="36"/>
        <v>CSA</v>
      </c>
      <c r="P711" s="12" t="str">
        <f t="shared" si="37"/>
        <v>E_WON</v>
      </c>
    </row>
    <row r="712" spans="1:16" x14ac:dyDescent="0.35">
      <c r="A712" t="s">
        <v>95</v>
      </c>
      <c r="B712" t="s">
        <v>72</v>
      </c>
      <c r="C712" t="s">
        <v>45</v>
      </c>
      <c r="D712" t="s">
        <v>819</v>
      </c>
      <c r="E712" t="s">
        <v>96</v>
      </c>
      <c r="F712" t="s">
        <v>96</v>
      </c>
      <c r="G712" t="s">
        <v>96</v>
      </c>
      <c r="H712">
        <v>2010</v>
      </c>
      <c r="I712" t="s">
        <v>96</v>
      </c>
      <c r="J712" t="s">
        <v>97</v>
      </c>
      <c r="K712" t="s">
        <v>96</v>
      </c>
      <c r="L712" t="s">
        <v>96</v>
      </c>
      <c r="M712">
        <v>1830</v>
      </c>
      <c r="O712" s="12" t="str">
        <f t="shared" si="36"/>
        <v>CSA</v>
      </c>
      <c r="P712" s="12" t="str">
        <f t="shared" si="37"/>
        <v>E_WON</v>
      </c>
    </row>
    <row r="713" spans="1:16" x14ac:dyDescent="0.35">
      <c r="A713" t="s">
        <v>95</v>
      </c>
      <c r="B713" t="s">
        <v>72</v>
      </c>
      <c r="C713" t="s">
        <v>45</v>
      </c>
      <c r="D713" t="s">
        <v>820</v>
      </c>
      <c r="E713" t="s">
        <v>96</v>
      </c>
      <c r="F713" t="s">
        <v>96</v>
      </c>
      <c r="G713" t="s">
        <v>96</v>
      </c>
      <c r="H713">
        <v>2010</v>
      </c>
      <c r="I713" t="s">
        <v>96</v>
      </c>
      <c r="J713" t="s">
        <v>97</v>
      </c>
      <c r="K713" t="s">
        <v>96</v>
      </c>
      <c r="L713" t="s">
        <v>96</v>
      </c>
      <c r="M713">
        <v>2037.5</v>
      </c>
      <c r="O713" s="12" t="str">
        <f t="shared" si="36"/>
        <v>CSA</v>
      </c>
      <c r="P713" s="12" t="str">
        <f t="shared" si="37"/>
        <v>E_WON</v>
      </c>
    </row>
    <row r="714" spans="1:16" x14ac:dyDescent="0.35">
      <c r="A714" t="s">
        <v>95</v>
      </c>
      <c r="B714" t="s">
        <v>72</v>
      </c>
      <c r="C714" t="s">
        <v>45</v>
      </c>
      <c r="D714" t="s">
        <v>822</v>
      </c>
      <c r="E714" t="s">
        <v>96</v>
      </c>
      <c r="F714" t="s">
        <v>96</v>
      </c>
      <c r="G714" t="s">
        <v>96</v>
      </c>
      <c r="H714">
        <v>2010</v>
      </c>
      <c r="I714" t="s">
        <v>96</v>
      </c>
      <c r="J714" t="s">
        <v>97</v>
      </c>
      <c r="K714" t="s">
        <v>96</v>
      </c>
      <c r="L714" t="s">
        <v>96</v>
      </c>
      <c r="M714">
        <v>2370</v>
      </c>
      <c r="O714" s="12" t="str">
        <f t="shared" si="36"/>
        <v>CSA</v>
      </c>
      <c r="P714" s="12" t="str">
        <f t="shared" si="37"/>
        <v>E_WON</v>
      </c>
    </row>
    <row r="715" spans="1:16" x14ac:dyDescent="0.35">
      <c r="A715" t="s">
        <v>95</v>
      </c>
      <c r="B715" t="s">
        <v>72</v>
      </c>
      <c r="C715" t="s">
        <v>45</v>
      </c>
      <c r="D715" t="s">
        <v>823</v>
      </c>
      <c r="E715" t="s">
        <v>96</v>
      </c>
      <c r="F715" t="s">
        <v>96</v>
      </c>
      <c r="G715" t="s">
        <v>96</v>
      </c>
      <c r="H715">
        <v>2010</v>
      </c>
      <c r="I715" t="s">
        <v>96</v>
      </c>
      <c r="J715" t="s">
        <v>97</v>
      </c>
      <c r="K715" t="s">
        <v>96</v>
      </c>
      <c r="L715" t="s">
        <v>96</v>
      </c>
      <c r="M715">
        <v>2120</v>
      </c>
      <c r="O715" s="12" t="str">
        <f t="shared" si="36"/>
        <v>CSA</v>
      </c>
      <c r="P715" s="12" t="str">
        <f t="shared" si="37"/>
        <v>E_WON</v>
      </c>
    </row>
    <row r="716" spans="1:16" x14ac:dyDescent="0.35">
      <c r="A716" t="s">
        <v>95</v>
      </c>
      <c r="B716" t="s">
        <v>72</v>
      </c>
      <c r="C716" t="s">
        <v>45</v>
      </c>
      <c r="D716" t="s">
        <v>824</v>
      </c>
      <c r="E716" t="s">
        <v>96</v>
      </c>
      <c r="F716" t="s">
        <v>96</v>
      </c>
      <c r="G716" t="s">
        <v>96</v>
      </c>
      <c r="H716">
        <v>2010</v>
      </c>
      <c r="I716" t="s">
        <v>96</v>
      </c>
      <c r="J716" t="s">
        <v>97</v>
      </c>
      <c r="K716" t="s">
        <v>96</v>
      </c>
      <c r="L716" t="s">
        <v>96</v>
      </c>
      <c r="M716">
        <v>2110</v>
      </c>
      <c r="O716" s="12" t="str">
        <f t="shared" si="36"/>
        <v>CSA</v>
      </c>
      <c r="P716" s="12" t="str">
        <f t="shared" si="37"/>
        <v>E_WON</v>
      </c>
    </row>
    <row r="717" spans="1:16" x14ac:dyDescent="0.35">
      <c r="A717" t="s">
        <v>95</v>
      </c>
      <c r="B717" t="s">
        <v>72</v>
      </c>
      <c r="C717" t="s">
        <v>45</v>
      </c>
      <c r="D717" t="s">
        <v>825</v>
      </c>
      <c r="E717" t="s">
        <v>96</v>
      </c>
      <c r="F717" t="s">
        <v>96</v>
      </c>
      <c r="G717" t="s">
        <v>96</v>
      </c>
      <c r="H717">
        <v>2010</v>
      </c>
      <c r="I717" t="s">
        <v>96</v>
      </c>
      <c r="J717" t="s">
        <v>97</v>
      </c>
      <c r="K717" t="s">
        <v>96</v>
      </c>
      <c r="L717" t="s">
        <v>96</v>
      </c>
      <c r="M717">
        <v>2037.5</v>
      </c>
      <c r="O717" s="12" t="str">
        <f t="shared" si="36"/>
        <v>CSA</v>
      </c>
      <c r="P717" s="12" t="str">
        <f t="shared" si="37"/>
        <v>E_WON</v>
      </c>
    </row>
    <row r="718" spans="1:16" x14ac:dyDescent="0.35">
      <c r="A718" t="s">
        <v>95</v>
      </c>
      <c r="B718" t="s">
        <v>72</v>
      </c>
      <c r="C718" t="s">
        <v>45</v>
      </c>
      <c r="D718" t="s">
        <v>826</v>
      </c>
      <c r="E718" t="s">
        <v>96</v>
      </c>
      <c r="F718" t="s">
        <v>96</v>
      </c>
      <c r="G718" t="s">
        <v>96</v>
      </c>
      <c r="H718">
        <v>2010</v>
      </c>
      <c r="I718" t="s">
        <v>96</v>
      </c>
      <c r="J718" t="s">
        <v>97</v>
      </c>
      <c r="K718" t="s">
        <v>96</v>
      </c>
      <c r="L718" t="s">
        <v>96</v>
      </c>
      <c r="M718">
        <v>2037.5</v>
      </c>
      <c r="O718" s="12" t="str">
        <f t="shared" si="36"/>
        <v>CSA</v>
      </c>
      <c r="P718" s="12" t="str">
        <f t="shared" si="37"/>
        <v>E_WON</v>
      </c>
    </row>
    <row r="719" spans="1:16" x14ac:dyDescent="0.35">
      <c r="A719" t="s">
        <v>95</v>
      </c>
      <c r="B719" t="s">
        <v>72</v>
      </c>
      <c r="C719" t="s">
        <v>45</v>
      </c>
      <c r="D719" t="s">
        <v>827</v>
      </c>
      <c r="E719" t="s">
        <v>96</v>
      </c>
      <c r="F719" t="s">
        <v>96</v>
      </c>
      <c r="G719" t="s">
        <v>96</v>
      </c>
      <c r="H719">
        <v>2010</v>
      </c>
      <c r="I719" t="s">
        <v>96</v>
      </c>
      <c r="J719" t="s">
        <v>97</v>
      </c>
      <c r="K719" t="s">
        <v>96</v>
      </c>
      <c r="L719" t="s">
        <v>96</v>
      </c>
      <c r="M719">
        <v>2037.5</v>
      </c>
      <c r="O719" s="12" t="str">
        <f t="shared" si="36"/>
        <v>CSA</v>
      </c>
      <c r="P719" s="12" t="str">
        <f t="shared" si="37"/>
        <v>E_WON</v>
      </c>
    </row>
    <row r="720" spans="1:16" x14ac:dyDescent="0.35">
      <c r="A720" t="s">
        <v>95</v>
      </c>
      <c r="B720" t="s">
        <v>72</v>
      </c>
      <c r="C720" t="s">
        <v>45</v>
      </c>
      <c r="D720" t="s">
        <v>828</v>
      </c>
      <c r="E720" t="s">
        <v>96</v>
      </c>
      <c r="F720" t="s">
        <v>96</v>
      </c>
      <c r="G720" t="s">
        <v>96</v>
      </c>
      <c r="H720">
        <v>2010</v>
      </c>
      <c r="I720" t="s">
        <v>96</v>
      </c>
      <c r="J720" t="s">
        <v>97</v>
      </c>
      <c r="K720" t="s">
        <v>96</v>
      </c>
      <c r="L720" t="s">
        <v>96</v>
      </c>
      <c r="M720">
        <v>1830</v>
      </c>
      <c r="O720" s="12" t="str">
        <f t="shared" si="36"/>
        <v>CSA</v>
      </c>
      <c r="P720" s="12" t="str">
        <f t="shared" si="37"/>
        <v>E_WON</v>
      </c>
    </row>
    <row r="721" spans="1:16" x14ac:dyDescent="0.35">
      <c r="A721" t="s">
        <v>95</v>
      </c>
      <c r="B721" t="s">
        <v>72</v>
      </c>
      <c r="C721" t="s">
        <v>45</v>
      </c>
      <c r="D721" t="s">
        <v>830</v>
      </c>
      <c r="E721" t="s">
        <v>96</v>
      </c>
      <c r="F721" t="s">
        <v>96</v>
      </c>
      <c r="G721" t="s">
        <v>96</v>
      </c>
      <c r="H721">
        <v>2010</v>
      </c>
      <c r="I721" t="s">
        <v>96</v>
      </c>
      <c r="J721" t="s">
        <v>97</v>
      </c>
      <c r="K721" t="s">
        <v>96</v>
      </c>
      <c r="L721" t="s">
        <v>96</v>
      </c>
      <c r="M721">
        <v>2037.5</v>
      </c>
      <c r="O721" s="12" t="str">
        <f t="shared" si="36"/>
        <v>CSA</v>
      </c>
      <c r="P721" s="12" t="str">
        <f t="shared" si="37"/>
        <v>E_WON</v>
      </c>
    </row>
    <row r="722" spans="1:16" x14ac:dyDescent="0.35">
      <c r="A722" t="s">
        <v>95</v>
      </c>
      <c r="B722" t="s">
        <v>72</v>
      </c>
      <c r="C722" t="s">
        <v>45</v>
      </c>
      <c r="D722" t="s">
        <v>831</v>
      </c>
      <c r="E722" t="s">
        <v>96</v>
      </c>
      <c r="F722" t="s">
        <v>96</v>
      </c>
      <c r="G722" t="s">
        <v>96</v>
      </c>
      <c r="H722">
        <v>2010</v>
      </c>
      <c r="I722" t="s">
        <v>96</v>
      </c>
      <c r="J722" t="s">
        <v>97</v>
      </c>
      <c r="K722" t="s">
        <v>96</v>
      </c>
      <c r="L722" t="s">
        <v>96</v>
      </c>
      <c r="M722">
        <v>2037.5</v>
      </c>
      <c r="O722" s="12" t="str">
        <f t="shared" si="36"/>
        <v>CSA</v>
      </c>
      <c r="P722" s="12" t="str">
        <f t="shared" si="37"/>
        <v>E_WON</v>
      </c>
    </row>
    <row r="723" spans="1:16" x14ac:dyDescent="0.35">
      <c r="A723" t="s">
        <v>95</v>
      </c>
      <c r="B723" t="s">
        <v>72</v>
      </c>
      <c r="C723" t="s">
        <v>45</v>
      </c>
      <c r="D723" t="s">
        <v>832</v>
      </c>
      <c r="E723" t="s">
        <v>96</v>
      </c>
      <c r="F723" t="s">
        <v>96</v>
      </c>
      <c r="G723" t="s">
        <v>96</v>
      </c>
      <c r="H723">
        <v>2010</v>
      </c>
      <c r="I723" t="s">
        <v>96</v>
      </c>
      <c r="J723" t="s">
        <v>97</v>
      </c>
      <c r="K723" t="s">
        <v>96</v>
      </c>
      <c r="L723" t="s">
        <v>96</v>
      </c>
      <c r="M723">
        <v>1830</v>
      </c>
      <c r="O723" s="12" t="str">
        <f t="shared" si="36"/>
        <v>CSA</v>
      </c>
      <c r="P723" s="12" t="str">
        <f t="shared" si="37"/>
        <v>E_WON</v>
      </c>
    </row>
    <row r="724" spans="1:16" x14ac:dyDescent="0.35">
      <c r="A724" t="s">
        <v>95</v>
      </c>
      <c r="B724" t="s">
        <v>72</v>
      </c>
      <c r="C724" t="s">
        <v>45</v>
      </c>
      <c r="D724" t="s">
        <v>833</v>
      </c>
      <c r="E724" t="s">
        <v>96</v>
      </c>
      <c r="F724" t="s">
        <v>96</v>
      </c>
      <c r="G724" t="s">
        <v>96</v>
      </c>
      <c r="H724">
        <v>2010</v>
      </c>
      <c r="I724" t="s">
        <v>96</v>
      </c>
      <c r="J724" t="s">
        <v>97</v>
      </c>
      <c r="K724" t="s">
        <v>96</v>
      </c>
      <c r="L724" t="s">
        <v>96</v>
      </c>
      <c r="M724">
        <v>1830</v>
      </c>
      <c r="O724" s="12" t="str">
        <f t="shared" si="36"/>
        <v>CSA</v>
      </c>
      <c r="P724" s="12" t="str">
        <f t="shared" si="37"/>
        <v>E_WON</v>
      </c>
    </row>
    <row r="725" spans="1:16" x14ac:dyDescent="0.35">
      <c r="A725" t="s">
        <v>95</v>
      </c>
      <c r="B725" t="s">
        <v>72</v>
      </c>
      <c r="C725" t="s">
        <v>45</v>
      </c>
      <c r="D725" t="s">
        <v>834</v>
      </c>
      <c r="E725" t="s">
        <v>96</v>
      </c>
      <c r="F725" t="s">
        <v>96</v>
      </c>
      <c r="G725" t="s">
        <v>96</v>
      </c>
      <c r="H725">
        <v>2010</v>
      </c>
      <c r="I725" t="s">
        <v>96</v>
      </c>
      <c r="J725" t="s">
        <v>97</v>
      </c>
      <c r="K725" t="s">
        <v>96</v>
      </c>
      <c r="L725" t="s">
        <v>96</v>
      </c>
      <c r="M725">
        <v>2745</v>
      </c>
      <c r="O725" s="12" t="str">
        <f t="shared" si="36"/>
        <v>CSA</v>
      </c>
      <c r="P725" s="12" t="str">
        <f t="shared" si="37"/>
        <v>E_WON</v>
      </c>
    </row>
    <row r="726" spans="1:16" x14ac:dyDescent="0.35">
      <c r="A726" t="s">
        <v>95</v>
      </c>
      <c r="B726" t="s">
        <v>72</v>
      </c>
      <c r="C726" t="s">
        <v>45</v>
      </c>
      <c r="D726" t="s">
        <v>835</v>
      </c>
      <c r="E726" t="s">
        <v>96</v>
      </c>
      <c r="F726" t="s">
        <v>96</v>
      </c>
      <c r="G726" t="s">
        <v>96</v>
      </c>
      <c r="H726">
        <v>2010</v>
      </c>
      <c r="I726" t="s">
        <v>96</v>
      </c>
      <c r="J726" t="s">
        <v>97</v>
      </c>
      <c r="K726" t="s">
        <v>96</v>
      </c>
      <c r="L726" t="s">
        <v>96</v>
      </c>
      <c r="M726">
        <v>3056.25</v>
      </c>
      <c r="O726" s="12" t="str">
        <f t="shared" si="36"/>
        <v>CSA</v>
      </c>
      <c r="P726" s="12" t="str">
        <f t="shared" si="37"/>
        <v>E_WON</v>
      </c>
    </row>
    <row r="727" spans="1:16" x14ac:dyDescent="0.35">
      <c r="A727" t="s">
        <v>95</v>
      </c>
      <c r="B727" t="s">
        <v>72</v>
      </c>
      <c r="C727" t="s">
        <v>45</v>
      </c>
      <c r="D727" t="s">
        <v>836</v>
      </c>
      <c r="E727" t="s">
        <v>96</v>
      </c>
      <c r="F727" t="s">
        <v>96</v>
      </c>
      <c r="G727" t="s">
        <v>96</v>
      </c>
      <c r="H727">
        <v>2010</v>
      </c>
      <c r="I727" t="s">
        <v>96</v>
      </c>
      <c r="J727" t="s">
        <v>97</v>
      </c>
      <c r="K727" t="s">
        <v>96</v>
      </c>
      <c r="L727" t="s">
        <v>96</v>
      </c>
      <c r="M727">
        <v>3056.25</v>
      </c>
      <c r="O727" s="12" t="str">
        <f t="shared" si="36"/>
        <v>CSA</v>
      </c>
      <c r="P727" s="12" t="str">
        <f t="shared" si="37"/>
        <v>E_WON</v>
      </c>
    </row>
    <row r="728" spans="1:16" x14ac:dyDescent="0.35">
      <c r="A728" t="s">
        <v>95</v>
      </c>
      <c r="B728" t="s">
        <v>72</v>
      </c>
      <c r="C728" t="s">
        <v>45</v>
      </c>
      <c r="D728" t="s">
        <v>837</v>
      </c>
      <c r="E728" t="s">
        <v>96</v>
      </c>
      <c r="F728" t="s">
        <v>96</v>
      </c>
      <c r="G728" t="s">
        <v>96</v>
      </c>
      <c r="H728">
        <v>2010</v>
      </c>
      <c r="I728" t="s">
        <v>96</v>
      </c>
      <c r="J728" t="s">
        <v>97</v>
      </c>
      <c r="K728" t="s">
        <v>96</v>
      </c>
      <c r="L728" t="s">
        <v>96</v>
      </c>
      <c r="M728">
        <v>3056.25</v>
      </c>
      <c r="O728" s="12" t="str">
        <f t="shared" si="36"/>
        <v>CSA</v>
      </c>
      <c r="P728" s="12" t="str">
        <f t="shared" si="37"/>
        <v>E_WON</v>
      </c>
    </row>
    <row r="729" spans="1:16" x14ac:dyDescent="0.35">
      <c r="A729" t="s">
        <v>95</v>
      </c>
      <c r="B729" t="s">
        <v>72</v>
      </c>
      <c r="C729" t="s">
        <v>45</v>
      </c>
      <c r="D729" t="s">
        <v>839</v>
      </c>
      <c r="E729" t="s">
        <v>96</v>
      </c>
      <c r="F729" t="s">
        <v>96</v>
      </c>
      <c r="G729" t="s">
        <v>96</v>
      </c>
      <c r="H729">
        <v>2010</v>
      </c>
      <c r="I729" t="s">
        <v>96</v>
      </c>
      <c r="J729" t="s">
        <v>97</v>
      </c>
      <c r="K729" t="s">
        <v>96</v>
      </c>
      <c r="L729" t="s">
        <v>96</v>
      </c>
      <c r="M729">
        <v>3555</v>
      </c>
      <c r="O729" s="12" t="str">
        <f t="shared" si="36"/>
        <v>CSA</v>
      </c>
      <c r="P729" s="12" t="str">
        <f t="shared" si="37"/>
        <v>E_WON</v>
      </c>
    </row>
    <row r="730" spans="1:16" x14ac:dyDescent="0.35">
      <c r="A730" t="s">
        <v>95</v>
      </c>
      <c r="B730" t="s">
        <v>72</v>
      </c>
      <c r="C730" t="s">
        <v>45</v>
      </c>
      <c r="D730" t="s">
        <v>840</v>
      </c>
      <c r="E730" t="s">
        <v>96</v>
      </c>
      <c r="F730" t="s">
        <v>96</v>
      </c>
      <c r="G730" t="s">
        <v>96</v>
      </c>
      <c r="H730">
        <v>2010</v>
      </c>
      <c r="I730" t="s">
        <v>96</v>
      </c>
      <c r="J730" t="s">
        <v>97</v>
      </c>
      <c r="K730" t="s">
        <v>96</v>
      </c>
      <c r="L730" t="s">
        <v>96</v>
      </c>
      <c r="M730">
        <v>3056.25</v>
      </c>
      <c r="O730" s="12" t="str">
        <f t="shared" si="36"/>
        <v>CSA</v>
      </c>
      <c r="P730" s="12" t="str">
        <f t="shared" si="37"/>
        <v>E_WON</v>
      </c>
    </row>
    <row r="731" spans="1:16" x14ac:dyDescent="0.35">
      <c r="A731" t="s">
        <v>95</v>
      </c>
      <c r="B731" t="s">
        <v>72</v>
      </c>
      <c r="C731" t="s">
        <v>45</v>
      </c>
      <c r="D731" t="s">
        <v>841</v>
      </c>
      <c r="E731" t="s">
        <v>96</v>
      </c>
      <c r="F731" t="s">
        <v>96</v>
      </c>
      <c r="G731" t="s">
        <v>96</v>
      </c>
      <c r="H731">
        <v>2010</v>
      </c>
      <c r="I731" t="s">
        <v>96</v>
      </c>
      <c r="J731" t="s">
        <v>97</v>
      </c>
      <c r="K731" t="s">
        <v>96</v>
      </c>
      <c r="L731" t="s">
        <v>96</v>
      </c>
      <c r="M731">
        <v>3056.25</v>
      </c>
      <c r="O731" s="12" t="str">
        <f t="shared" si="36"/>
        <v>CSA</v>
      </c>
      <c r="P731" s="12" t="str">
        <f t="shared" si="37"/>
        <v>E_WON</v>
      </c>
    </row>
    <row r="732" spans="1:16" x14ac:dyDescent="0.35">
      <c r="A732" t="s">
        <v>95</v>
      </c>
      <c r="B732" t="s">
        <v>72</v>
      </c>
      <c r="C732" t="s">
        <v>45</v>
      </c>
      <c r="D732" t="s">
        <v>842</v>
      </c>
      <c r="E732" t="s">
        <v>96</v>
      </c>
      <c r="F732" t="s">
        <v>96</v>
      </c>
      <c r="G732" t="s">
        <v>96</v>
      </c>
      <c r="H732">
        <v>2010</v>
      </c>
      <c r="I732" t="s">
        <v>96</v>
      </c>
      <c r="J732" t="s">
        <v>97</v>
      </c>
      <c r="K732" t="s">
        <v>96</v>
      </c>
      <c r="L732" t="s">
        <v>96</v>
      </c>
      <c r="M732">
        <v>3180</v>
      </c>
      <c r="O732" s="12" t="str">
        <f t="shared" si="36"/>
        <v>CSA</v>
      </c>
      <c r="P732" s="12" t="str">
        <f t="shared" si="37"/>
        <v>E_WON</v>
      </c>
    </row>
    <row r="733" spans="1:16" x14ac:dyDescent="0.35">
      <c r="A733" t="s">
        <v>95</v>
      </c>
      <c r="B733" t="s">
        <v>72</v>
      </c>
      <c r="C733" t="s">
        <v>45</v>
      </c>
      <c r="D733" t="s">
        <v>843</v>
      </c>
      <c r="E733" t="s">
        <v>96</v>
      </c>
      <c r="F733" t="s">
        <v>96</v>
      </c>
      <c r="G733" t="s">
        <v>96</v>
      </c>
      <c r="H733">
        <v>2010</v>
      </c>
      <c r="I733" t="s">
        <v>96</v>
      </c>
      <c r="J733" t="s">
        <v>97</v>
      </c>
      <c r="K733" t="s">
        <v>96</v>
      </c>
      <c r="L733" t="s">
        <v>96</v>
      </c>
      <c r="M733">
        <v>3056.25</v>
      </c>
      <c r="O733" s="12" t="str">
        <f t="shared" si="36"/>
        <v>CSA</v>
      </c>
      <c r="P733" s="12" t="str">
        <f t="shared" si="37"/>
        <v>E_WON</v>
      </c>
    </row>
    <row r="734" spans="1:16" x14ac:dyDescent="0.35">
      <c r="A734" t="s">
        <v>95</v>
      </c>
      <c r="B734" t="s">
        <v>72</v>
      </c>
      <c r="C734" t="s">
        <v>45</v>
      </c>
      <c r="D734" t="s">
        <v>844</v>
      </c>
      <c r="E734" t="s">
        <v>96</v>
      </c>
      <c r="F734" t="s">
        <v>96</v>
      </c>
      <c r="G734" t="s">
        <v>96</v>
      </c>
      <c r="H734">
        <v>2010</v>
      </c>
      <c r="I734" t="s">
        <v>96</v>
      </c>
      <c r="J734" t="s">
        <v>97</v>
      </c>
      <c r="K734" t="s">
        <v>96</v>
      </c>
      <c r="L734" t="s">
        <v>96</v>
      </c>
      <c r="M734">
        <v>3165</v>
      </c>
      <c r="O734" s="12" t="str">
        <f t="shared" si="36"/>
        <v>CSA</v>
      </c>
      <c r="P734" s="12" t="str">
        <f t="shared" si="37"/>
        <v>E_WON</v>
      </c>
    </row>
    <row r="735" spans="1:16" x14ac:dyDescent="0.35">
      <c r="A735" t="s">
        <v>95</v>
      </c>
      <c r="B735" t="s">
        <v>72</v>
      </c>
      <c r="C735" t="s">
        <v>45</v>
      </c>
      <c r="D735" t="s">
        <v>845</v>
      </c>
      <c r="E735" t="s">
        <v>96</v>
      </c>
      <c r="F735" t="s">
        <v>96</v>
      </c>
      <c r="G735" t="s">
        <v>96</v>
      </c>
      <c r="H735">
        <v>2010</v>
      </c>
      <c r="I735" t="s">
        <v>96</v>
      </c>
      <c r="J735" t="s">
        <v>97</v>
      </c>
      <c r="K735" t="s">
        <v>96</v>
      </c>
      <c r="L735" t="s">
        <v>96</v>
      </c>
      <c r="M735">
        <v>3056.25</v>
      </c>
      <c r="O735" s="12" t="str">
        <f t="shared" si="36"/>
        <v>CSA</v>
      </c>
      <c r="P735" s="12" t="str">
        <f t="shared" si="37"/>
        <v>E_WON</v>
      </c>
    </row>
    <row r="736" spans="1:16" x14ac:dyDescent="0.35">
      <c r="A736" t="s">
        <v>95</v>
      </c>
      <c r="B736" t="s">
        <v>72</v>
      </c>
      <c r="C736" t="s">
        <v>45</v>
      </c>
      <c r="D736" t="s">
        <v>846</v>
      </c>
      <c r="E736" t="s">
        <v>96</v>
      </c>
      <c r="F736" t="s">
        <v>96</v>
      </c>
      <c r="G736" t="s">
        <v>96</v>
      </c>
      <c r="H736">
        <v>2010</v>
      </c>
      <c r="I736" t="s">
        <v>96</v>
      </c>
      <c r="J736" t="s">
        <v>97</v>
      </c>
      <c r="K736" t="s">
        <v>96</v>
      </c>
      <c r="L736" t="s">
        <v>96</v>
      </c>
      <c r="M736">
        <v>3000</v>
      </c>
      <c r="O736" s="12" t="str">
        <f t="shared" si="36"/>
        <v>CSA</v>
      </c>
      <c r="P736" s="12" t="str">
        <f t="shared" si="37"/>
        <v>E_WON</v>
      </c>
    </row>
    <row r="737" spans="1:16" x14ac:dyDescent="0.35">
      <c r="A737" t="s">
        <v>95</v>
      </c>
      <c r="B737" t="s">
        <v>72</v>
      </c>
      <c r="C737" t="s">
        <v>45</v>
      </c>
      <c r="D737" t="s">
        <v>847</v>
      </c>
      <c r="E737" t="s">
        <v>96</v>
      </c>
      <c r="F737" t="s">
        <v>96</v>
      </c>
      <c r="G737" t="s">
        <v>96</v>
      </c>
      <c r="H737">
        <v>2010</v>
      </c>
      <c r="I737" t="s">
        <v>96</v>
      </c>
      <c r="J737" t="s">
        <v>97</v>
      </c>
      <c r="K737" t="s">
        <v>96</v>
      </c>
      <c r="L737" t="s">
        <v>96</v>
      </c>
      <c r="M737">
        <v>2745</v>
      </c>
      <c r="O737" s="12" t="str">
        <f t="shared" si="36"/>
        <v>CSA</v>
      </c>
      <c r="P737" s="12" t="str">
        <f t="shared" si="37"/>
        <v>E_WON</v>
      </c>
    </row>
    <row r="738" spans="1:16" x14ac:dyDescent="0.35">
      <c r="A738" t="s">
        <v>95</v>
      </c>
      <c r="B738" t="s">
        <v>72</v>
      </c>
      <c r="C738" t="s">
        <v>45</v>
      </c>
      <c r="D738" t="s">
        <v>848</v>
      </c>
      <c r="E738" t="s">
        <v>96</v>
      </c>
      <c r="F738" t="s">
        <v>96</v>
      </c>
      <c r="G738" t="s">
        <v>96</v>
      </c>
      <c r="H738">
        <v>2010</v>
      </c>
      <c r="I738" t="s">
        <v>96</v>
      </c>
      <c r="J738" t="s">
        <v>97</v>
      </c>
      <c r="K738" t="s">
        <v>96</v>
      </c>
      <c r="L738" t="s">
        <v>96</v>
      </c>
      <c r="M738">
        <v>3056.25</v>
      </c>
      <c r="O738" s="12" t="str">
        <f t="shared" si="36"/>
        <v>CSA</v>
      </c>
      <c r="P738" s="12" t="str">
        <f t="shared" si="37"/>
        <v>E_WON</v>
      </c>
    </row>
    <row r="739" spans="1:16" x14ac:dyDescent="0.35">
      <c r="A739" t="s">
        <v>95</v>
      </c>
      <c r="B739" t="s">
        <v>72</v>
      </c>
      <c r="C739" t="s">
        <v>45</v>
      </c>
      <c r="D739" t="s">
        <v>849</v>
      </c>
      <c r="E739" t="s">
        <v>96</v>
      </c>
      <c r="F739" t="s">
        <v>96</v>
      </c>
      <c r="G739" t="s">
        <v>96</v>
      </c>
      <c r="H739">
        <v>2010</v>
      </c>
      <c r="I739" t="s">
        <v>96</v>
      </c>
      <c r="J739" t="s">
        <v>97</v>
      </c>
      <c r="K739" t="s">
        <v>96</v>
      </c>
      <c r="L739" t="s">
        <v>96</v>
      </c>
      <c r="M739">
        <v>3056.25</v>
      </c>
      <c r="O739" s="12" t="str">
        <f t="shared" si="36"/>
        <v>CSA</v>
      </c>
      <c r="P739" s="12" t="str">
        <f t="shared" si="37"/>
        <v>E_WON</v>
      </c>
    </row>
    <row r="740" spans="1:16" x14ac:dyDescent="0.35">
      <c r="A740" t="s">
        <v>95</v>
      </c>
      <c r="B740" t="s">
        <v>72</v>
      </c>
      <c r="C740" t="s">
        <v>45</v>
      </c>
      <c r="D740" t="s">
        <v>850</v>
      </c>
      <c r="E740" t="s">
        <v>96</v>
      </c>
      <c r="F740" t="s">
        <v>96</v>
      </c>
      <c r="G740" t="s">
        <v>96</v>
      </c>
      <c r="H740">
        <v>2010</v>
      </c>
      <c r="I740" t="s">
        <v>96</v>
      </c>
      <c r="J740" t="s">
        <v>97</v>
      </c>
      <c r="K740" t="s">
        <v>96</v>
      </c>
      <c r="L740" t="s">
        <v>96</v>
      </c>
      <c r="M740">
        <v>3056.25</v>
      </c>
      <c r="O740" s="12" t="str">
        <f t="shared" si="36"/>
        <v>CSA</v>
      </c>
      <c r="P740" s="12" t="str">
        <f t="shared" si="37"/>
        <v>E_WON</v>
      </c>
    </row>
    <row r="741" spans="1:16" x14ac:dyDescent="0.35">
      <c r="A741" t="s">
        <v>95</v>
      </c>
      <c r="B741" t="s">
        <v>72</v>
      </c>
      <c r="C741" t="s">
        <v>45</v>
      </c>
      <c r="D741" t="s">
        <v>851</v>
      </c>
      <c r="E741" t="s">
        <v>96</v>
      </c>
      <c r="F741" t="s">
        <v>96</v>
      </c>
      <c r="G741" t="s">
        <v>96</v>
      </c>
      <c r="H741">
        <v>2010</v>
      </c>
      <c r="I741" t="s">
        <v>96</v>
      </c>
      <c r="J741" t="s">
        <v>97</v>
      </c>
      <c r="K741" t="s">
        <v>96</v>
      </c>
      <c r="L741" t="s">
        <v>96</v>
      </c>
      <c r="M741">
        <v>2745</v>
      </c>
      <c r="O741" s="12" t="str">
        <f t="shared" si="36"/>
        <v>CSA</v>
      </c>
      <c r="P741" s="12" t="str">
        <f t="shared" si="37"/>
        <v>E_WON</v>
      </c>
    </row>
    <row r="742" spans="1:16" x14ac:dyDescent="0.35">
      <c r="A742" t="s">
        <v>95</v>
      </c>
      <c r="B742" t="s">
        <v>72</v>
      </c>
      <c r="C742" t="s">
        <v>45</v>
      </c>
      <c r="D742" t="s">
        <v>852</v>
      </c>
      <c r="E742" t="s">
        <v>96</v>
      </c>
      <c r="F742" t="s">
        <v>96</v>
      </c>
      <c r="G742" t="s">
        <v>96</v>
      </c>
      <c r="H742">
        <v>2010</v>
      </c>
      <c r="I742" t="s">
        <v>96</v>
      </c>
      <c r="J742" t="s">
        <v>97</v>
      </c>
      <c r="K742" t="s">
        <v>96</v>
      </c>
      <c r="L742" t="s">
        <v>96</v>
      </c>
      <c r="M742">
        <v>3056.25</v>
      </c>
      <c r="O742" s="12" t="str">
        <f t="shared" si="36"/>
        <v>CSA</v>
      </c>
      <c r="P742" s="12" t="str">
        <f t="shared" si="37"/>
        <v>E_WON</v>
      </c>
    </row>
    <row r="743" spans="1:16" x14ac:dyDescent="0.35">
      <c r="A743" t="s">
        <v>95</v>
      </c>
      <c r="B743" t="s">
        <v>72</v>
      </c>
      <c r="C743" t="s">
        <v>45</v>
      </c>
      <c r="D743" t="s">
        <v>853</v>
      </c>
      <c r="E743" t="s">
        <v>96</v>
      </c>
      <c r="F743" t="s">
        <v>96</v>
      </c>
      <c r="G743" t="s">
        <v>96</v>
      </c>
      <c r="H743">
        <v>2010</v>
      </c>
      <c r="I743" t="s">
        <v>96</v>
      </c>
      <c r="J743" t="s">
        <v>97</v>
      </c>
      <c r="K743" t="s">
        <v>96</v>
      </c>
      <c r="L743" t="s">
        <v>96</v>
      </c>
      <c r="M743">
        <v>3056.25</v>
      </c>
      <c r="O743" s="12" t="str">
        <f t="shared" si="36"/>
        <v>CSA</v>
      </c>
      <c r="P743" s="12" t="str">
        <f t="shared" si="37"/>
        <v>E_WON</v>
      </c>
    </row>
    <row r="744" spans="1:16" x14ac:dyDescent="0.35">
      <c r="A744" t="s">
        <v>95</v>
      </c>
      <c r="B744" t="s">
        <v>72</v>
      </c>
      <c r="C744" t="s">
        <v>45</v>
      </c>
      <c r="D744" t="s">
        <v>855</v>
      </c>
      <c r="E744" t="s">
        <v>96</v>
      </c>
      <c r="F744" t="s">
        <v>96</v>
      </c>
      <c r="G744" t="s">
        <v>96</v>
      </c>
      <c r="H744">
        <v>2010</v>
      </c>
      <c r="I744" t="s">
        <v>96</v>
      </c>
      <c r="J744" t="s">
        <v>97</v>
      </c>
      <c r="K744" t="s">
        <v>96</v>
      </c>
      <c r="L744" t="s">
        <v>96</v>
      </c>
      <c r="M744">
        <v>3555</v>
      </c>
      <c r="O744" s="12" t="str">
        <f t="shared" si="36"/>
        <v>CSA</v>
      </c>
      <c r="P744" s="12" t="str">
        <f t="shared" si="37"/>
        <v>E_WON</v>
      </c>
    </row>
    <row r="745" spans="1:16" x14ac:dyDescent="0.35">
      <c r="A745" t="s">
        <v>95</v>
      </c>
      <c r="B745" t="s">
        <v>72</v>
      </c>
      <c r="C745" t="s">
        <v>45</v>
      </c>
      <c r="D745" t="s">
        <v>856</v>
      </c>
      <c r="E745" t="s">
        <v>96</v>
      </c>
      <c r="F745" t="s">
        <v>96</v>
      </c>
      <c r="G745" t="s">
        <v>96</v>
      </c>
      <c r="H745">
        <v>2010</v>
      </c>
      <c r="I745" t="s">
        <v>96</v>
      </c>
      <c r="J745" t="s">
        <v>97</v>
      </c>
      <c r="K745" t="s">
        <v>96</v>
      </c>
      <c r="L745" t="s">
        <v>96</v>
      </c>
      <c r="M745">
        <v>3056.25</v>
      </c>
      <c r="O745" s="12" t="str">
        <f t="shared" si="36"/>
        <v>CSA</v>
      </c>
      <c r="P745" s="12" t="str">
        <f t="shared" si="37"/>
        <v>E_WON</v>
      </c>
    </row>
    <row r="746" spans="1:16" x14ac:dyDescent="0.35">
      <c r="A746" t="s">
        <v>95</v>
      </c>
      <c r="B746" t="s">
        <v>72</v>
      </c>
      <c r="C746" t="s">
        <v>45</v>
      </c>
      <c r="D746" t="s">
        <v>857</v>
      </c>
      <c r="E746" t="s">
        <v>96</v>
      </c>
      <c r="F746" t="s">
        <v>96</v>
      </c>
      <c r="G746" t="s">
        <v>96</v>
      </c>
      <c r="H746">
        <v>2010</v>
      </c>
      <c r="I746" t="s">
        <v>96</v>
      </c>
      <c r="J746" t="s">
        <v>97</v>
      </c>
      <c r="K746" t="s">
        <v>96</v>
      </c>
      <c r="L746" t="s">
        <v>96</v>
      </c>
      <c r="M746">
        <v>3056.25</v>
      </c>
      <c r="O746" s="12" t="str">
        <f t="shared" si="36"/>
        <v>CSA</v>
      </c>
      <c r="P746" s="12" t="str">
        <f t="shared" si="37"/>
        <v>E_WON</v>
      </c>
    </row>
    <row r="747" spans="1:16" x14ac:dyDescent="0.35">
      <c r="A747" t="s">
        <v>95</v>
      </c>
      <c r="B747" t="s">
        <v>72</v>
      </c>
      <c r="C747" t="s">
        <v>45</v>
      </c>
      <c r="D747" t="s">
        <v>858</v>
      </c>
      <c r="E747" t="s">
        <v>96</v>
      </c>
      <c r="F747" t="s">
        <v>96</v>
      </c>
      <c r="G747" t="s">
        <v>96</v>
      </c>
      <c r="H747">
        <v>2010</v>
      </c>
      <c r="I747" t="s">
        <v>96</v>
      </c>
      <c r="J747" t="s">
        <v>97</v>
      </c>
      <c r="K747" t="s">
        <v>96</v>
      </c>
      <c r="L747" t="s">
        <v>96</v>
      </c>
      <c r="M747">
        <v>3180</v>
      </c>
      <c r="O747" s="12" t="str">
        <f t="shared" si="36"/>
        <v>CSA</v>
      </c>
      <c r="P747" s="12" t="str">
        <f t="shared" si="37"/>
        <v>E_WON</v>
      </c>
    </row>
    <row r="748" spans="1:16" x14ac:dyDescent="0.35">
      <c r="A748" t="s">
        <v>95</v>
      </c>
      <c r="B748" t="s">
        <v>72</v>
      </c>
      <c r="C748" t="s">
        <v>45</v>
      </c>
      <c r="D748" t="s">
        <v>859</v>
      </c>
      <c r="E748" t="s">
        <v>96</v>
      </c>
      <c r="F748" t="s">
        <v>96</v>
      </c>
      <c r="G748" t="s">
        <v>96</v>
      </c>
      <c r="H748">
        <v>2010</v>
      </c>
      <c r="I748" t="s">
        <v>96</v>
      </c>
      <c r="J748" t="s">
        <v>97</v>
      </c>
      <c r="K748" t="s">
        <v>96</v>
      </c>
      <c r="L748" t="s">
        <v>96</v>
      </c>
      <c r="M748">
        <v>3056.25</v>
      </c>
      <c r="O748" s="12" t="str">
        <f t="shared" si="36"/>
        <v>CSA</v>
      </c>
      <c r="P748" s="12" t="str">
        <f t="shared" si="37"/>
        <v>E_WON</v>
      </c>
    </row>
    <row r="749" spans="1:16" x14ac:dyDescent="0.35">
      <c r="A749" t="s">
        <v>95</v>
      </c>
      <c r="B749" t="s">
        <v>72</v>
      </c>
      <c r="C749" t="s">
        <v>45</v>
      </c>
      <c r="D749" t="s">
        <v>860</v>
      </c>
      <c r="E749" t="s">
        <v>96</v>
      </c>
      <c r="F749" t="s">
        <v>96</v>
      </c>
      <c r="G749" t="s">
        <v>96</v>
      </c>
      <c r="H749">
        <v>2010</v>
      </c>
      <c r="I749" t="s">
        <v>96</v>
      </c>
      <c r="J749" t="s">
        <v>97</v>
      </c>
      <c r="K749" t="s">
        <v>96</v>
      </c>
      <c r="L749" t="s">
        <v>96</v>
      </c>
      <c r="M749">
        <v>3165</v>
      </c>
      <c r="O749" s="12" t="str">
        <f t="shared" si="36"/>
        <v>CSA</v>
      </c>
      <c r="P749" s="12" t="str">
        <f t="shared" si="37"/>
        <v>E_WON</v>
      </c>
    </row>
    <row r="750" spans="1:16" x14ac:dyDescent="0.35">
      <c r="A750" t="s">
        <v>95</v>
      </c>
      <c r="B750" t="s">
        <v>72</v>
      </c>
      <c r="C750" t="s">
        <v>45</v>
      </c>
      <c r="D750" t="s">
        <v>861</v>
      </c>
      <c r="E750" t="s">
        <v>96</v>
      </c>
      <c r="F750" t="s">
        <v>96</v>
      </c>
      <c r="G750" t="s">
        <v>96</v>
      </c>
      <c r="H750">
        <v>2010</v>
      </c>
      <c r="I750" t="s">
        <v>96</v>
      </c>
      <c r="J750" t="s">
        <v>97</v>
      </c>
      <c r="K750" t="s">
        <v>96</v>
      </c>
      <c r="L750" t="s">
        <v>96</v>
      </c>
      <c r="M750">
        <v>3056.25</v>
      </c>
      <c r="O750" s="12" t="str">
        <f t="shared" si="36"/>
        <v>CSA</v>
      </c>
      <c r="P750" s="12" t="str">
        <f t="shared" si="37"/>
        <v>E_WON</v>
      </c>
    </row>
    <row r="751" spans="1:16" x14ac:dyDescent="0.35">
      <c r="A751" t="s">
        <v>95</v>
      </c>
      <c r="B751" t="s">
        <v>72</v>
      </c>
      <c r="C751" t="s">
        <v>45</v>
      </c>
      <c r="D751" t="s">
        <v>862</v>
      </c>
      <c r="E751" t="s">
        <v>96</v>
      </c>
      <c r="F751" t="s">
        <v>96</v>
      </c>
      <c r="G751" t="s">
        <v>96</v>
      </c>
      <c r="H751">
        <v>2010</v>
      </c>
      <c r="I751" t="s">
        <v>96</v>
      </c>
      <c r="J751" t="s">
        <v>97</v>
      </c>
      <c r="K751" t="s">
        <v>96</v>
      </c>
      <c r="L751" t="s">
        <v>96</v>
      </c>
      <c r="M751">
        <v>3000</v>
      </c>
      <c r="O751" s="12" t="str">
        <f t="shared" si="36"/>
        <v>CSA</v>
      </c>
      <c r="P751" s="12" t="str">
        <f t="shared" si="37"/>
        <v>E_WON</v>
      </c>
    </row>
    <row r="752" spans="1:16" x14ac:dyDescent="0.35">
      <c r="A752" t="s">
        <v>95</v>
      </c>
      <c r="B752" t="s">
        <v>72</v>
      </c>
      <c r="C752" t="s">
        <v>45</v>
      </c>
      <c r="D752" t="s">
        <v>863</v>
      </c>
      <c r="E752" t="s">
        <v>96</v>
      </c>
      <c r="F752" t="s">
        <v>96</v>
      </c>
      <c r="G752" t="s">
        <v>96</v>
      </c>
      <c r="H752">
        <v>2010</v>
      </c>
      <c r="I752" t="s">
        <v>96</v>
      </c>
      <c r="J752" t="s">
        <v>97</v>
      </c>
      <c r="K752" t="s">
        <v>96</v>
      </c>
      <c r="L752" t="s">
        <v>96</v>
      </c>
      <c r="M752">
        <v>2745</v>
      </c>
      <c r="O752" s="12" t="str">
        <f t="shared" si="36"/>
        <v>CSA</v>
      </c>
      <c r="P752" s="12" t="str">
        <f t="shared" si="37"/>
        <v>E_WON</v>
      </c>
    </row>
    <row r="753" spans="1:16" x14ac:dyDescent="0.35">
      <c r="A753" t="s">
        <v>95</v>
      </c>
      <c r="B753" t="s">
        <v>72</v>
      </c>
      <c r="C753" t="s">
        <v>45</v>
      </c>
      <c r="D753" t="s">
        <v>864</v>
      </c>
      <c r="E753" t="s">
        <v>96</v>
      </c>
      <c r="F753" t="s">
        <v>96</v>
      </c>
      <c r="G753" t="s">
        <v>96</v>
      </c>
      <c r="H753">
        <v>2010</v>
      </c>
      <c r="I753" t="s">
        <v>96</v>
      </c>
      <c r="J753" t="s">
        <v>97</v>
      </c>
      <c r="K753" t="s">
        <v>96</v>
      </c>
      <c r="L753" t="s">
        <v>96</v>
      </c>
      <c r="M753">
        <v>3056.25</v>
      </c>
      <c r="O753" s="12" t="str">
        <f t="shared" si="36"/>
        <v>CSA</v>
      </c>
      <c r="P753" s="12" t="str">
        <f t="shared" si="37"/>
        <v>E_WON</v>
      </c>
    </row>
    <row r="754" spans="1:16" x14ac:dyDescent="0.35">
      <c r="A754" t="s">
        <v>95</v>
      </c>
      <c r="B754" t="s">
        <v>72</v>
      </c>
      <c r="C754" t="s">
        <v>45</v>
      </c>
      <c r="D754" t="s">
        <v>865</v>
      </c>
      <c r="E754" t="s">
        <v>96</v>
      </c>
      <c r="F754" t="s">
        <v>96</v>
      </c>
      <c r="G754" t="s">
        <v>96</v>
      </c>
      <c r="H754">
        <v>2010</v>
      </c>
      <c r="I754" t="s">
        <v>96</v>
      </c>
      <c r="J754" t="s">
        <v>97</v>
      </c>
      <c r="K754" t="s">
        <v>96</v>
      </c>
      <c r="L754" t="s">
        <v>96</v>
      </c>
      <c r="M754">
        <v>3056.25</v>
      </c>
      <c r="O754" s="12" t="str">
        <f t="shared" si="36"/>
        <v>CSA</v>
      </c>
      <c r="P754" s="12" t="str">
        <f t="shared" si="37"/>
        <v>E_WON</v>
      </c>
    </row>
    <row r="755" spans="1:16" x14ac:dyDescent="0.35">
      <c r="A755" t="s">
        <v>95</v>
      </c>
      <c r="B755" t="s">
        <v>72</v>
      </c>
      <c r="C755" t="s">
        <v>45</v>
      </c>
      <c r="D755" t="s">
        <v>866</v>
      </c>
      <c r="E755" t="s">
        <v>96</v>
      </c>
      <c r="F755" t="s">
        <v>96</v>
      </c>
      <c r="G755" t="s">
        <v>96</v>
      </c>
      <c r="H755">
        <v>2010</v>
      </c>
      <c r="I755" t="s">
        <v>96</v>
      </c>
      <c r="J755" t="s">
        <v>97</v>
      </c>
      <c r="K755" t="s">
        <v>96</v>
      </c>
      <c r="L755" t="s">
        <v>96</v>
      </c>
      <c r="M755">
        <v>2745</v>
      </c>
      <c r="O755" s="12" t="str">
        <f t="shared" si="36"/>
        <v>CSA</v>
      </c>
      <c r="P755" s="12" t="str">
        <f t="shared" si="37"/>
        <v>E_WON</v>
      </c>
    </row>
    <row r="756" spans="1:16" x14ac:dyDescent="0.35">
      <c r="A756" t="s">
        <v>95</v>
      </c>
      <c r="B756" t="s">
        <v>72</v>
      </c>
      <c r="C756" t="s">
        <v>45</v>
      </c>
      <c r="D756" t="s">
        <v>867</v>
      </c>
      <c r="E756" t="s">
        <v>96</v>
      </c>
      <c r="F756" t="s">
        <v>96</v>
      </c>
      <c r="G756" t="s">
        <v>96</v>
      </c>
      <c r="H756">
        <v>2010</v>
      </c>
      <c r="I756" t="s">
        <v>96</v>
      </c>
      <c r="J756" t="s">
        <v>97</v>
      </c>
      <c r="K756" t="s">
        <v>96</v>
      </c>
      <c r="L756" t="s">
        <v>96</v>
      </c>
      <c r="M756">
        <v>3056.25</v>
      </c>
      <c r="O756" s="12" t="str">
        <f t="shared" si="36"/>
        <v>CSA</v>
      </c>
      <c r="P756" s="12" t="str">
        <f t="shared" si="37"/>
        <v>E_WON</v>
      </c>
    </row>
    <row r="757" spans="1:16" x14ac:dyDescent="0.35">
      <c r="A757" t="s">
        <v>95</v>
      </c>
      <c r="B757" t="s">
        <v>72</v>
      </c>
      <c r="C757" t="s">
        <v>45</v>
      </c>
      <c r="D757" t="s">
        <v>868</v>
      </c>
      <c r="E757" t="s">
        <v>96</v>
      </c>
      <c r="F757" t="s">
        <v>96</v>
      </c>
      <c r="G757" t="s">
        <v>96</v>
      </c>
      <c r="H757">
        <v>2010</v>
      </c>
      <c r="I757" t="s">
        <v>96</v>
      </c>
      <c r="J757" t="s">
        <v>97</v>
      </c>
      <c r="K757" t="s">
        <v>96</v>
      </c>
      <c r="L757" t="s">
        <v>96</v>
      </c>
      <c r="M757">
        <v>2745</v>
      </c>
      <c r="O757" s="12" t="str">
        <f t="shared" si="36"/>
        <v>CSA</v>
      </c>
      <c r="P757" s="12" t="str">
        <f t="shared" si="37"/>
        <v>E_WON</v>
      </c>
    </row>
    <row r="758" spans="1:16" x14ac:dyDescent="0.35">
      <c r="A758" t="s">
        <v>95</v>
      </c>
      <c r="B758" t="s">
        <v>72</v>
      </c>
      <c r="C758" t="s">
        <v>45</v>
      </c>
      <c r="D758" t="s">
        <v>869</v>
      </c>
      <c r="E758" t="s">
        <v>96</v>
      </c>
      <c r="F758" t="s">
        <v>96</v>
      </c>
      <c r="G758" t="s">
        <v>96</v>
      </c>
      <c r="H758">
        <v>2010</v>
      </c>
      <c r="I758" t="s">
        <v>96</v>
      </c>
      <c r="J758" t="s">
        <v>97</v>
      </c>
      <c r="K758" t="s">
        <v>96</v>
      </c>
      <c r="L758" t="s">
        <v>96</v>
      </c>
      <c r="M758">
        <v>3056.25</v>
      </c>
      <c r="O758" s="12" t="str">
        <f t="shared" si="36"/>
        <v>CSA</v>
      </c>
      <c r="P758" s="12" t="str">
        <f t="shared" si="37"/>
        <v>E_WON</v>
      </c>
    </row>
    <row r="759" spans="1:16" x14ac:dyDescent="0.35">
      <c r="A759" t="s">
        <v>95</v>
      </c>
      <c r="B759" t="s">
        <v>72</v>
      </c>
      <c r="C759" t="s">
        <v>45</v>
      </c>
      <c r="D759" t="s">
        <v>870</v>
      </c>
      <c r="E759" t="s">
        <v>96</v>
      </c>
      <c r="F759" t="s">
        <v>96</v>
      </c>
      <c r="G759" t="s">
        <v>96</v>
      </c>
      <c r="H759">
        <v>2010</v>
      </c>
      <c r="I759" t="s">
        <v>96</v>
      </c>
      <c r="J759" t="s">
        <v>97</v>
      </c>
      <c r="K759" t="s">
        <v>96</v>
      </c>
      <c r="L759" t="s">
        <v>96</v>
      </c>
      <c r="M759">
        <v>3056.25</v>
      </c>
      <c r="O759" s="12" t="str">
        <f t="shared" si="36"/>
        <v>CSA</v>
      </c>
      <c r="P759" s="12" t="str">
        <f t="shared" si="37"/>
        <v>E_WON</v>
      </c>
    </row>
    <row r="760" spans="1:16" x14ac:dyDescent="0.35">
      <c r="A760" t="s">
        <v>95</v>
      </c>
      <c r="B760" t="s">
        <v>72</v>
      </c>
      <c r="C760" t="s">
        <v>45</v>
      </c>
      <c r="D760" t="s">
        <v>872</v>
      </c>
      <c r="E760" t="s">
        <v>96</v>
      </c>
      <c r="F760" t="s">
        <v>96</v>
      </c>
      <c r="G760" t="s">
        <v>96</v>
      </c>
      <c r="H760">
        <v>2010</v>
      </c>
      <c r="I760" t="s">
        <v>96</v>
      </c>
      <c r="J760" t="s">
        <v>97</v>
      </c>
      <c r="K760" t="s">
        <v>96</v>
      </c>
      <c r="L760" t="s">
        <v>96</v>
      </c>
      <c r="M760">
        <v>3555</v>
      </c>
      <c r="O760" s="12" t="str">
        <f t="shared" si="36"/>
        <v>CSA</v>
      </c>
      <c r="P760" s="12" t="str">
        <f t="shared" si="37"/>
        <v>E_WON</v>
      </c>
    </row>
    <row r="761" spans="1:16" x14ac:dyDescent="0.35">
      <c r="A761" t="s">
        <v>95</v>
      </c>
      <c r="B761" t="s">
        <v>72</v>
      </c>
      <c r="C761" t="s">
        <v>45</v>
      </c>
      <c r="D761" t="s">
        <v>873</v>
      </c>
      <c r="E761" t="s">
        <v>96</v>
      </c>
      <c r="F761" t="s">
        <v>96</v>
      </c>
      <c r="G761" t="s">
        <v>96</v>
      </c>
      <c r="H761">
        <v>2010</v>
      </c>
      <c r="I761" t="s">
        <v>96</v>
      </c>
      <c r="J761" t="s">
        <v>97</v>
      </c>
      <c r="K761" t="s">
        <v>96</v>
      </c>
      <c r="L761" t="s">
        <v>96</v>
      </c>
      <c r="M761">
        <v>3056.25</v>
      </c>
      <c r="O761" s="12" t="str">
        <f t="shared" si="36"/>
        <v>CSA</v>
      </c>
      <c r="P761" s="12" t="str">
        <f t="shared" si="37"/>
        <v>E_WON</v>
      </c>
    </row>
    <row r="762" spans="1:16" x14ac:dyDescent="0.35">
      <c r="A762" t="s">
        <v>95</v>
      </c>
      <c r="B762" t="s">
        <v>72</v>
      </c>
      <c r="C762" t="s">
        <v>45</v>
      </c>
      <c r="D762" t="s">
        <v>874</v>
      </c>
      <c r="E762" t="s">
        <v>96</v>
      </c>
      <c r="F762" t="s">
        <v>96</v>
      </c>
      <c r="G762" t="s">
        <v>96</v>
      </c>
      <c r="H762">
        <v>2010</v>
      </c>
      <c r="I762" t="s">
        <v>96</v>
      </c>
      <c r="J762" t="s">
        <v>97</v>
      </c>
      <c r="K762" t="s">
        <v>96</v>
      </c>
      <c r="L762" t="s">
        <v>96</v>
      </c>
      <c r="M762">
        <v>3056.25</v>
      </c>
      <c r="O762" s="12" t="str">
        <f t="shared" si="36"/>
        <v>CSA</v>
      </c>
      <c r="P762" s="12" t="str">
        <f t="shared" si="37"/>
        <v>E_WON</v>
      </c>
    </row>
    <row r="763" spans="1:16" x14ac:dyDescent="0.35">
      <c r="A763" t="s">
        <v>95</v>
      </c>
      <c r="B763" t="s">
        <v>72</v>
      </c>
      <c r="C763" t="s">
        <v>45</v>
      </c>
      <c r="D763" t="s">
        <v>875</v>
      </c>
      <c r="E763" t="s">
        <v>96</v>
      </c>
      <c r="F763" t="s">
        <v>96</v>
      </c>
      <c r="G763" t="s">
        <v>96</v>
      </c>
      <c r="H763">
        <v>2010</v>
      </c>
      <c r="I763" t="s">
        <v>96</v>
      </c>
      <c r="J763" t="s">
        <v>97</v>
      </c>
      <c r="K763" t="s">
        <v>96</v>
      </c>
      <c r="L763" t="s">
        <v>96</v>
      </c>
      <c r="M763">
        <v>3056.25</v>
      </c>
      <c r="O763" s="12" t="str">
        <f t="shared" si="36"/>
        <v>CSA</v>
      </c>
      <c r="P763" s="12" t="str">
        <f t="shared" si="37"/>
        <v>E_WON</v>
      </c>
    </row>
    <row r="764" spans="1:16" x14ac:dyDescent="0.35">
      <c r="A764" t="s">
        <v>95</v>
      </c>
      <c r="B764" t="s">
        <v>72</v>
      </c>
      <c r="C764" t="s">
        <v>45</v>
      </c>
      <c r="D764" t="s">
        <v>876</v>
      </c>
      <c r="E764" t="s">
        <v>96</v>
      </c>
      <c r="F764" t="s">
        <v>96</v>
      </c>
      <c r="G764" t="s">
        <v>96</v>
      </c>
      <c r="H764">
        <v>2010</v>
      </c>
      <c r="I764" t="s">
        <v>96</v>
      </c>
      <c r="J764" t="s">
        <v>97</v>
      </c>
      <c r="K764" t="s">
        <v>96</v>
      </c>
      <c r="L764" t="s">
        <v>96</v>
      </c>
      <c r="M764">
        <v>3165</v>
      </c>
      <c r="O764" s="12" t="str">
        <f t="shared" si="36"/>
        <v>CSA</v>
      </c>
      <c r="P764" s="12" t="str">
        <f t="shared" si="37"/>
        <v>E_WON</v>
      </c>
    </row>
    <row r="765" spans="1:16" x14ac:dyDescent="0.35">
      <c r="A765" t="s">
        <v>95</v>
      </c>
      <c r="B765" t="s">
        <v>72</v>
      </c>
      <c r="C765" t="s">
        <v>45</v>
      </c>
      <c r="D765" t="s">
        <v>877</v>
      </c>
      <c r="E765" t="s">
        <v>96</v>
      </c>
      <c r="F765" t="s">
        <v>96</v>
      </c>
      <c r="G765" t="s">
        <v>96</v>
      </c>
      <c r="H765">
        <v>2010</v>
      </c>
      <c r="I765" t="s">
        <v>96</v>
      </c>
      <c r="J765" t="s">
        <v>97</v>
      </c>
      <c r="K765" t="s">
        <v>96</v>
      </c>
      <c r="L765" t="s">
        <v>96</v>
      </c>
      <c r="M765">
        <v>3056.25</v>
      </c>
      <c r="O765" s="12" t="str">
        <f t="shared" si="36"/>
        <v>CSA</v>
      </c>
      <c r="P765" s="12" t="str">
        <f t="shared" si="37"/>
        <v>E_WON</v>
      </c>
    </row>
    <row r="766" spans="1:16" x14ac:dyDescent="0.35">
      <c r="A766" t="s">
        <v>95</v>
      </c>
      <c r="B766" t="s">
        <v>72</v>
      </c>
      <c r="C766" t="s">
        <v>45</v>
      </c>
      <c r="D766" t="s">
        <v>878</v>
      </c>
      <c r="E766" t="s">
        <v>96</v>
      </c>
      <c r="F766" t="s">
        <v>96</v>
      </c>
      <c r="G766" t="s">
        <v>96</v>
      </c>
      <c r="H766">
        <v>2010</v>
      </c>
      <c r="I766" t="s">
        <v>96</v>
      </c>
      <c r="J766" t="s">
        <v>97</v>
      </c>
      <c r="K766" t="s">
        <v>96</v>
      </c>
      <c r="L766" t="s">
        <v>96</v>
      </c>
      <c r="M766">
        <v>2745</v>
      </c>
      <c r="O766" s="12" t="str">
        <f t="shared" si="36"/>
        <v>CSA</v>
      </c>
      <c r="P766" s="12" t="str">
        <f t="shared" si="37"/>
        <v>E_WON</v>
      </c>
    </row>
    <row r="767" spans="1:16" x14ac:dyDescent="0.35">
      <c r="A767" t="s">
        <v>95</v>
      </c>
      <c r="B767" t="s">
        <v>72</v>
      </c>
      <c r="C767" t="s">
        <v>45</v>
      </c>
      <c r="D767" t="s">
        <v>879</v>
      </c>
      <c r="E767" t="s">
        <v>96</v>
      </c>
      <c r="F767" t="s">
        <v>96</v>
      </c>
      <c r="G767" t="s">
        <v>96</v>
      </c>
      <c r="H767">
        <v>2010</v>
      </c>
      <c r="I767" t="s">
        <v>96</v>
      </c>
      <c r="J767" t="s">
        <v>97</v>
      </c>
      <c r="K767" t="s">
        <v>96</v>
      </c>
      <c r="L767" t="s">
        <v>96</v>
      </c>
      <c r="M767">
        <v>3056.25</v>
      </c>
      <c r="O767" s="12" t="str">
        <f t="shared" si="36"/>
        <v>CSA</v>
      </c>
      <c r="P767" s="12" t="str">
        <f t="shared" si="37"/>
        <v>E_WON</v>
      </c>
    </row>
    <row r="768" spans="1:16" x14ac:dyDescent="0.35">
      <c r="A768" t="s">
        <v>95</v>
      </c>
      <c r="B768" t="s">
        <v>72</v>
      </c>
      <c r="C768" t="s">
        <v>45</v>
      </c>
      <c r="D768" t="s">
        <v>880</v>
      </c>
      <c r="E768" t="s">
        <v>96</v>
      </c>
      <c r="F768" t="s">
        <v>96</v>
      </c>
      <c r="G768" t="s">
        <v>96</v>
      </c>
      <c r="H768">
        <v>2010</v>
      </c>
      <c r="I768" t="s">
        <v>96</v>
      </c>
      <c r="J768" t="s">
        <v>97</v>
      </c>
      <c r="K768" t="s">
        <v>96</v>
      </c>
      <c r="L768" t="s">
        <v>96</v>
      </c>
      <c r="M768">
        <v>2745</v>
      </c>
      <c r="O768" s="12" t="str">
        <f t="shared" si="36"/>
        <v>CSA</v>
      </c>
      <c r="P768" s="12" t="str">
        <f t="shared" si="37"/>
        <v>E_WON</v>
      </c>
    </row>
    <row r="769" spans="1:16" x14ac:dyDescent="0.35">
      <c r="A769" t="s">
        <v>95</v>
      </c>
      <c r="B769" t="s">
        <v>72</v>
      </c>
      <c r="C769" t="s">
        <v>45</v>
      </c>
      <c r="D769" t="s">
        <v>881</v>
      </c>
      <c r="E769" t="s">
        <v>96</v>
      </c>
      <c r="F769" t="s">
        <v>96</v>
      </c>
      <c r="G769" t="s">
        <v>96</v>
      </c>
      <c r="H769">
        <v>2010</v>
      </c>
      <c r="I769" t="s">
        <v>96</v>
      </c>
      <c r="J769" t="s">
        <v>97</v>
      </c>
      <c r="K769" t="s">
        <v>96</v>
      </c>
      <c r="L769" t="s">
        <v>96</v>
      </c>
      <c r="M769">
        <v>3056.25</v>
      </c>
      <c r="O769" s="12" t="str">
        <f t="shared" si="36"/>
        <v>CSA</v>
      </c>
      <c r="P769" s="12" t="str">
        <f t="shared" si="37"/>
        <v>E_WON</v>
      </c>
    </row>
    <row r="770" spans="1:16" x14ac:dyDescent="0.35">
      <c r="A770" t="s">
        <v>95</v>
      </c>
      <c r="B770" t="s">
        <v>72</v>
      </c>
      <c r="C770" t="s">
        <v>45</v>
      </c>
      <c r="D770" t="s">
        <v>882</v>
      </c>
      <c r="E770" t="s">
        <v>96</v>
      </c>
      <c r="F770" t="s">
        <v>96</v>
      </c>
      <c r="G770" t="s">
        <v>96</v>
      </c>
      <c r="H770">
        <v>2010</v>
      </c>
      <c r="I770" t="s">
        <v>96</v>
      </c>
      <c r="J770" t="s">
        <v>97</v>
      </c>
      <c r="K770" t="s">
        <v>96</v>
      </c>
      <c r="L770" t="s">
        <v>96</v>
      </c>
      <c r="M770">
        <v>2745</v>
      </c>
      <c r="O770" s="12" t="str">
        <f t="shared" si="36"/>
        <v>CSA</v>
      </c>
      <c r="P770" s="12" t="str">
        <f t="shared" si="37"/>
        <v>E_WON</v>
      </c>
    </row>
    <row r="771" spans="1:16" x14ac:dyDescent="0.35">
      <c r="A771" t="s">
        <v>95</v>
      </c>
      <c r="B771" t="s">
        <v>72</v>
      </c>
      <c r="C771" t="s">
        <v>45</v>
      </c>
      <c r="D771" t="s">
        <v>883</v>
      </c>
      <c r="E771" t="s">
        <v>96</v>
      </c>
      <c r="F771" t="s">
        <v>96</v>
      </c>
      <c r="G771" t="s">
        <v>96</v>
      </c>
      <c r="H771">
        <v>2010</v>
      </c>
      <c r="I771" t="s">
        <v>96</v>
      </c>
      <c r="J771" t="s">
        <v>97</v>
      </c>
      <c r="K771" t="s">
        <v>96</v>
      </c>
      <c r="L771" t="s">
        <v>96</v>
      </c>
      <c r="M771">
        <v>3056.25</v>
      </c>
      <c r="O771" s="12" t="str">
        <f t="shared" ref="O771:O834" si="38">LEFT(B771,3)</f>
        <v>CSA</v>
      </c>
      <c r="P771" s="12" t="str">
        <f t="shared" ref="P771:P834" si="39">LEFT(D771,5)</f>
        <v>E_WON</v>
      </c>
    </row>
    <row r="772" spans="1:16" x14ac:dyDescent="0.35">
      <c r="A772" t="s">
        <v>95</v>
      </c>
      <c r="B772" t="s">
        <v>72</v>
      </c>
      <c r="C772" t="s">
        <v>45</v>
      </c>
      <c r="D772" t="s">
        <v>885</v>
      </c>
      <c r="E772" t="s">
        <v>96</v>
      </c>
      <c r="F772" t="s">
        <v>96</v>
      </c>
      <c r="G772" t="s">
        <v>96</v>
      </c>
      <c r="H772">
        <v>2010</v>
      </c>
      <c r="I772" t="s">
        <v>96</v>
      </c>
      <c r="J772" t="s">
        <v>97</v>
      </c>
      <c r="K772" t="s">
        <v>96</v>
      </c>
      <c r="L772" t="s">
        <v>96</v>
      </c>
      <c r="M772">
        <v>3555</v>
      </c>
      <c r="O772" s="12" t="str">
        <f t="shared" si="38"/>
        <v>CSA</v>
      </c>
      <c r="P772" s="12" t="str">
        <f t="shared" si="39"/>
        <v>E_WON</v>
      </c>
    </row>
    <row r="773" spans="1:16" x14ac:dyDescent="0.35">
      <c r="A773" t="s">
        <v>95</v>
      </c>
      <c r="B773" t="s">
        <v>72</v>
      </c>
      <c r="C773" t="s">
        <v>45</v>
      </c>
      <c r="D773" t="s">
        <v>886</v>
      </c>
      <c r="E773" t="s">
        <v>96</v>
      </c>
      <c r="F773" t="s">
        <v>96</v>
      </c>
      <c r="G773" t="s">
        <v>96</v>
      </c>
      <c r="H773">
        <v>2010</v>
      </c>
      <c r="I773" t="s">
        <v>96</v>
      </c>
      <c r="J773" t="s">
        <v>97</v>
      </c>
      <c r="K773" t="s">
        <v>96</v>
      </c>
      <c r="L773" t="s">
        <v>96</v>
      </c>
      <c r="M773">
        <v>3056.25</v>
      </c>
      <c r="O773" s="12" t="str">
        <f t="shared" si="38"/>
        <v>CSA</v>
      </c>
      <c r="P773" s="12" t="str">
        <f t="shared" si="39"/>
        <v>E_WON</v>
      </c>
    </row>
    <row r="774" spans="1:16" x14ac:dyDescent="0.35">
      <c r="A774" t="s">
        <v>95</v>
      </c>
      <c r="B774" t="s">
        <v>72</v>
      </c>
      <c r="C774" t="s">
        <v>45</v>
      </c>
      <c r="D774" t="s">
        <v>887</v>
      </c>
      <c r="E774" t="s">
        <v>96</v>
      </c>
      <c r="F774" t="s">
        <v>96</v>
      </c>
      <c r="G774" t="s">
        <v>96</v>
      </c>
      <c r="H774">
        <v>2010</v>
      </c>
      <c r="I774" t="s">
        <v>96</v>
      </c>
      <c r="J774" t="s">
        <v>97</v>
      </c>
      <c r="K774" t="s">
        <v>96</v>
      </c>
      <c r="L774" t="s">
        <v>96</v>
      </c>
      <c r="M774">
        <v>2745</v>
      </c>
      <c r="O774" s="12" t="str">
        <f t="shared" si="38"/>
        <v>CSA</v>
      </c>
      <c r="P774" s="12" t="str">
        <f t="shared" si="39"/>
        <v>E_WON</v>
      </c>
    </row>
    <row r="775" spans="1:16" x14ac:dyDescent="0.35">
      <c r="A775" t="s">
        <v>95</v>
      </c>
      <c r="B775" t="s">
        <v>72</v>
      </c>
      <c r="C775" t="s">
        <v>45</v>
      </c>
      <c r="D775" t="s">
        <v>888</v>
      </c>
      <c r="E775" t="s">
        <v>96</v>
      </c>
      <c r="F775" t="s">
        <v>96</v>
      </c>
      <c r="G775" t="s">
        <v>96</v>
      </c>
      <c r="H775">
        <v>2010</v>
      </c>
      <c r="I775" t="s">
        <v>96</v>
      </c>
      <c r="J775" t="s">
        <v>97</v>
      </c>
      <c r="K775" t="s">
        <v>96</v>
      </c>
      <c r="L775" t="s">
        <v>96</v>
      </c>
      <c r="M775">
        <v>2745</v>
      </c>
      <c r="O775" s="12" t="str">
        <f t="shared" si="38"/>
        <v>CSA</v>
      </c>
      <c r="P775" s="12" t="str">
        <f t="shared" si="39"/>
        <v>E_WON</v>
      </c>
    </row>
    <row r="776" spans="1:16" x14ac:dyDescent="0.35">
      <c r="A776" t="s">
        <v>95</v>
      </c>
      <c r="B776" t="s">
        <v>72</v>
      </c>
      <c r="C776" t="s">
        <v>45</v>
      </c>
      <c r="D776" t="s">
        <v>889</v>
      </c>
      <c r="E776" t="s">
        <v>96</v>
      </c>
      <c r="F776" t="s">
        <v>96</v>
      </c>
      <c r="G776" t="s">
        <v>96</v>
      </c>
      <c r="H776">
        <v>2010</v>
      </c>
      <c r="I776" t="s">
        <v>96</v>
      </c>
      <c r="J776" t="s">
        <v>97</v>
      </c>
      <c r="K776" t="s">
        <v>96</v>
      </c>
      <c r="L776" t="s">
        <v>96</v>
      </c>
      <c r="M776">
        <v>3056.25</v>
      </c>
      <c r="O776" s="12" t="str">
        <f t="shared" si="38"/>
        <v>CSA</v>
      </c>
      <c r="P776" s="12" t="str">
        <f t="shared" si="39"/>
        <v>E_WON</v>
      </c>
    </row>
    <row r="777" spans="1:16" x14ac:dyDescent="0.35">
      <c r="A777" t="s">
        <v>95</v>
      </c>
      <c r="B777" t="s">
        <v>72</v>
      </c>
      <c r="C777" t="s">
        <v>45</v>
      </c>
      <c r="D777" t="s">
        <v>890</v>
      </c>
      <c r="E777" t="s">
        <v>96</v>
      </c>
      <c r="F777" t="s">
        <v>96</v>
      </c>
      <c r="G777" t="s">
        <v>96</v>
      </c>
      <c r="H777">
        <v>2010</v>
      </c>
      <c r="I777" t="s">
        <v>96</v>
      </c>
      <c r="J777" t="s">
        <v>97</v>
      </c>
      <c r="K777" t="s">
        <v>96</v>
      </c>
      <c r="L777" t="s">
        <v>96</v>
      </c>
      <c r="M777">
        <v>2745</v>
      </c>
      <c r="O777" s="12" t="str">
        <f t="shared" si="38"/>
        <v>CSA</v>
      </c>
      <c r="P777" s="12" t="str">
        <f t="shared" si="39"/>
        <v>E_WON</v>
      </c>
    </row>
    <row r="778" spans="1:16" x14ac:dyDescent="0.35">
      <c r="A778" t="s">
        <v>95</v>
      </c>
      <c r="B778" t="s">
        <v>72</v>
      </c>
      <c r="C778" t="s">
        <v>45</v>
      </c>
      <c r="D778" t="s">
        <v>891</v>
      </c>
      <c r="E778" t="s">
        <v>96</v>
      </c>
      <c r="F778" t="s">
        <v>96</v>
      </c>
      <c r="G778" t="s">
        <v>96</v>
      </c>
      <c r="H778">
        <v>2010</v>
      </c>
      <c r="I778" t="s">
        <v>96</v>
      </c>
      <c r="J778" t="s">
        <v>97</v>
      </c>
      <c r="K778" t="s">
        <v>96</v>
      </c>
      <c r="L778" t="s">
        <v>96</v>
      </c>
      <c r="M778">
        <v>3555</v>
      </c>
      <c r="O778" s="12" t="str">
        <f t="shared" si="38"/>
        <v>CSA</v>
      </c>
      <c r="P778" s="12" t="str">
        <f t="shared" si="39"/>
        <v>E_WON</v>
      </c>
    </row>
    <row r="779" spans="1:16" x14ac:dyDescent="0.35">
      <c r="A779" t="s">
        <v>95</v>
      </c>
      <c r="B779" t="s">
        <v>72</v>
      </c>
      <c r="C779" t="s">
        <v>45</v>
      </c>
      <c r="D779" t="s">
        <v>892</v>
      </c>
      <c r="E779" t="s">
        <v>96</v>
      </c>
      <c r="F779" t="s">
        <v>96</v>
      </c>
      <c r="G779" t="s">
        <v>96</v>
      </c>
      <c r="H779">
        <v>2010</v>
      </c>
      <c r="I779" t="s">
        <v>96</v>
      </c>
      <c r="J779" t="s">
        <v>97</v>
      </c>
      <c r="K779" t="s">
        <v>96</v>
      </c>
      <c r="L779" t="s">
        <v>96</v>
      </c>
      <c r="M779">
        <v>3056.25</v>
      </c>
      <c r="O779" s="12" t="str">
        <f t="shared" si="38"/>
        <v>CSA</v>
      </c>
      <c r="P779" s="12" t="str">
        <f t="shared" si="39"/>
        <v>E_WON</v>
      </c>
    </row>
    <row r="780" spans="1:16" x14ac:dyDescent="0.35">
      <c r="A780" t="s">
        <v>95</v>
      </c>
      <c r="B780" t="s">
        <v>72</v>
      </c>
      <c r="C780" t="s">
        <v>45</v>
      </c>
      <c r="D780" t="s">
        <v>893</v>
      </c>
      <c r="E780" t="s">
        <v>96</v>
      </c>
      <c r="F780" t="s">
        <v>96</v>
      </c>
      <c r="G780" t="s">
        <v>96</v>
      </c>
      <c r="H780">
        <v>2010</v>
      </c>
      <c r="I780" t="s">
        <v>96</v>
      </c>
      <c r="J780" t="s">
        <v>97</v>
      </c>
      <c r="K780" t="s">
        <v>96</v>
      </c>
      <c r="L780" t="s">
        <v>96</v>
      </c>
      <c r="M780">
        <v>3056.25</v>
      </c>
      <c r="O780" s="12" t="str">
        <f t="shared" si="38"/>
        <v>CSA</v>
      </c>
      <c r="P780" s="12" t="str">
        <f t="shared" si="39"/>
        <v>E_WON</v>
      </c>
    </row>
    <row r="781" spans="1:16" x14ac:dyDescent="0.35">
      <c r="A781" t="s">
        <v>95</v>
      </c>
      <c r="B781" t="s">
        <v>72</v>
      </c>
      <c r="C781" t="s">
        <v>45</v>
      </c>
      <c r="D781" t="s">
        <v>894</v>
      </c>
      <c r="E781" t="s">
        <v>96</v>
      </c>
      <c r="F781" t="s">
        <v>96</v>
      </c>
      <c r="G781" t="s">
        <v>96</v>
      </c>
      <c r="H781">
        <v>2010</v>
      </c>
      <c r="I781" t="s">
        <v>96</v>
      </c>
      <c r="J781" t="s">
        <v>97</v>
      </c>
      <c r="K781" t="s">
        <v>96</v>
      </c>
      <c r="L781" t="s">
        <v>96</v>
      </c>
      <c r="M781">
        <v>2745</v>
      </c>
      <c r="O781" s="12" t="str">
        <f t="shared" si="38"/>
        <v>CSA</v>
      </c>
      <c r="P781" s="12" t="str">
        <f t="shared" si="39"/>
        <v>E_WON</v>
      </c>
    </row>
    <row r="782" spans="1:16" x14ac:dyDescent="0.35">
      <c r="A782" t="s">
        <v>95</v>
      </c>
      <c r="B782" t="s">
        <v>72</v>
      </c>
      <c r="C782" t="s">
        <v>45</v>
      </c>
      <c r="D782" t="s">
        <v>895</v>
      </c>
      <c r="E782" t="s">
        <v>96</v>
      </c>
      <c r="F782" t="s">
        <v>96</v>
      </c>
      <c r="G782" t="s">
        <v>96</v>
      </c>
      <c r="H782">
        <v>2010</v>
      </c>
      <c r="I782" t="s">
        <v>96</v>
      </c>
      <c r="J782" t="s">
        <v>97</v>
      </c>
      <c r="K782" t="s">
        <v>96</v>
      </c>
      <c r="L782" t="s">
        <v>96</v>
      </c>
      <c r="M782">
        <v>3555</v>
      </c>
      <c r="O782" s="12" t="str">
        <f t="shared" si="38"/>
        <v>CSA</v>
      </c>
      <c r="P782" s="12" t="str">
        <f t="shared" si="39"/>
        <v>E_WON</v>
      </c>
    </row>
    <row r="783" spans="1:16" x14ac:dyDescent="0.35">
      <c r="A783" t="s">
        <v>95</v>
      </c>
      <c r="B783" t="s">
        <v>72</v>
      </c>
      <c r="C783" t="s">
        <v>45</v>
      </c>
      <c r="D783" t="s">
        <v>896</v>
      </c>
      <c r="E783" t="s">
        <v>96</v>
      </c>
      <c r="F783" t="s">
        <v>96</v>
      </c>
      <c r="G783" t="s">
        <v>96</v>
      </c>
      <c r="H783">
        <v>2010</v>
      </c>
      <c r="I783" t="s">
        <v>96</v>
      </c>
      <c r="J783" t="s">
        <v>97</v>
      </c>
      <c r="K783" t="s">
        <v>96</v>
      </c>
      <c r="L783" t="s">
        <v>96</v>
      </c>
      <c r="M783">
        <v>3056.25</v>
      </c>
      <c r="O783" s="12" t="str">
        <f t="shared" si="38"/>
        <v>CSA</v>
      </c>
      <c r="P783" s="12" t="str">
        <f t="shared" si="39"/>
        <v>E_WON</v>
      </c>
    </row>
    <row r="784" spans="1:16" x14ac:dyDescent="0.35">
      <c r="A784" t="s">
        <v>95</v>
      </c>
      <c r="B784" t="s">
        <v>72</v>
      </c>
      <c r="C784" t="s">
        <v>45</v>
      </c>
      <c r="D784" t="s">
        <v>897</v>
      </c>
      <c r="E784" t="s">
        <v>96</v>
      </c>
      <c r="F784" t="s">
        <v>96</v>
      </c>
      <c r="G784" t="s">
        <v>96</v>
      </c>
      <c r="H784">
        <v>2010</v>
      </c>
      <c r="I784" t="s">
        <v>96</v>
      </c>
      <c r="J784" t="s">
        <v>97</v>
      </c>
      <c r="K784" t="s">
        <v>96</v>
      </c>
      <c r="L784" t="s">
        <v>96</v>
      </c>
      <c r="M784">
        <v>3056.25</v>
      </c>
      <c r="O784" s="12" t="str">
        <f t="shared" si="38"/>
        <v>CSA</v>
      </c>
      <c r="P784" s="12" t="str">
        <f t="shared" si="39"/>
        <v>E_WON</v>
      </c>
    </row>
    <row r="785" spans="1:16" x14ac:dyDescent="0.35">
      <c r="A785" t="s">
        <v>95</v>
      </c>
      <c r="B785" t="s">
        <v>72</v>
      </c>
      <c r="C785" t="s">
        <v>45</v>
      </c>
      <c r="D785" t="s">
        <v>898</v>
      </c>
      <c r="E785" t="s">
        <v>96</v>
      </c>
      <c r="F785" t="s">
        <v>96</v>
      </c>
      <c r="G785" t="s">
        <v>96</v>
      </c>
      <c r="H785">
        <v>2010</v>
      </c>
      <c r="I785" t="s">
        <v>96</v>
      </c>
      <c r="J785" t="s">
        <v>97</v>
      </c>
      <c r="K785" t="s">
        <v>96</v>
      </c>
      <c r="L785" t="s">
        <v>96</v>
      </c>
      <c r="M785">
        <v>2745</v>
      </c>
      <c r="O785" s="12" t="str">
        <f t="shared" si="38"/>
        <v>CSA</v>
      </c>
      <c r="P785" s="12" t="str">
        <f t="shared" si="39"/>
        <v>E_WON</v>
      </c>
    </row>
    <row r="786" spans="1:16" x14ac:dyDescent="0.35">
      <c r="A786" t="s">
        <v>95</v>
      </c>
      <c r="B786" t="s">
        <v>72</v>
      </c>
      <c r="C786" t="s">
        <v>45</v>
      </c>
      <c r="D786" t="s">
        <v>900</v>
      </c>
      <c r="E786" t="s">
        <v>96</v>
      </c>
      <c r="F786" t="s">
        <v>96</v>
      </c>
      <c r="G786" t="s">
        <v>96</v>
      </c>
      <c r="H786">
        <v>2010</v>
      </c>
      <c r="I786" t="s">
        <v>96</v>
      </c>
      <c r="J786" t="s">
        <v>97</v>
      </c>
      <c r="K786" t="s">
        <v>96</v>
      </c>
      <c r="L786" t="s">
        <v>96</v>
      </c>
      <c r="M786">
        <v>3056.25</v>
      </c>
      <c r="O786" s="12" t="str">
        <f t="shared" si="38"/>
        <v>CSA</v>
      </c>
      <c r="P786" s="12" t="str">
        <f t="shared" si="39"/>
        <v>E_WON</v>
      </c>
    </row>
    <row r="787" spans="1:16" x14ac:dyDescent="0.35">
      <c r="A787" t="s">
        <v>95</v>
      </c>
      <c r="B787" t="s">
        <v>72</v>
      </c>
      <c r="C787" t="s">
        <v>45</v>
      </c>
      <c r="D787" t="s">
        <v>901</v>
      </c>
      <c r="E787" t="s">
        <v>96</v>
      </c>
      <c r="F787" t="s">
        <v>96</v>
      </c>
      <c r="G787" t="s">
        <v>96</v>
      </c>
      <c r="H787">
        <v>2010</v>
      </c>
      <c r="I787" t="s">
        <v>96</v>
      </c>
      <c r="J787" t="s">
        <v>97</v>
      </c>
      <c r="K787" t="s">
        <v>96</v>
      </c>
      <c r="L787" t="s">
        <v>96</v>
      </c>
      <c r="M787">
        <v>3056.25</v>
      </c>
      <c r="O787" s="12" t="str">
        <f t="shared" si="38"/>
        <v>CSA</v>
      </c>
      <c r="P787" s="12" t="str">
        <f t="shared" si="39"/>
        <v>E_WON</v>
      </c>
    </row>
    <row r="788" spans="1:16" x14ac:dyDescent="0.35">
      <c r="A788" t="s">
        <v>95</v>
      </c>
      <c r="B788" t="s">
        <v>72</v>
      </c>
      <c r="C788" t="s">
        <v>45</v>
      </c>
      <c r="D788" t="s">
        <v>902</v>
      </c>
      <c r="E788" t="s">
        <v>96</v>
      </c>
      <c r="F788" t="s">
        <v>96</v>
      </c>
      <c r="G788" t="s">
        <v>96</v>
      </c>
      <c r="H788">
        <v>2010</v>
      </c>
      <c r="I788" t="s">
        <v>96</v>
      </c>
      <c r="J788" t="s">
        <v>97</v>
      </c>
      <c r="K788" t="s">
        <v>96</v>
      </c>
      <c r="L788" t="s">
        <v>96</v>
      </c>
      <c r="M788">
        <v>2745</v>
      </c>
      <c r="O788" s="12" t="str">
        <f t="shared" si="38"/>
        <v>CSA</v>
      </c>
      <c r="P788" s="12" t="str">
        <f t="shared" si="39"/>
        <v>E_WON</v>
      </c>
    </row>
    <row r="789" spans="1:16" x14ac:dyDescent="0.35">
      <c r="A789" t="s">
        <v>95</v>
      </c>
      <c r="B789" t="s">
        <v>72</v>
      </c>
      <c r="C789" t="s">
        <v>45</v>
      </c>
      <c r="D789" t="s">
        <v>904</v>
      </c>
      <c r="E789" t="s">
        <v>96</v>
      </c>
      <c r="F789" t="s">
        <v>96</v>
      </c>
      <c r="G789" t="s">
        <v>96</v>
      </c>
      <c r="H789">
        <v>2010</v>
      </c>
      <c r="I789" t="s">
        <v>96</v>
      </c>
      <c r="J789" t="s">
        <v>97</v>
      </c>
      <c r="K789" t="s">
        <v>96</v>
      </c>
      <c r="L789" t="s">
        <v>96</v>
      </c>
      <c r="M789">
        <v>3056.25</v>
      </c>
      <c r="O789" s="12" t="str">
        <f t="shared" si="38"/>
        <v>CSA</v>
      </c>
      <c r="P789" s="12" t="str">
        <f t="shared" si="39"/>
        <v>E_WON</v>
      </c>
    </row>
    <row r="790" spans="1:16" x14ac:dyDescent="0.35">
      <c r="A790" t="s">
        <v>95</v>
      </c>
      <c r="B790" t="s">
        <v>72</v>
      </c>
      <c r="C790" t="s">
        <v>45</v>
      </c>
      <c r="D790" t="s">
        <v>905</v>
      </c>
      <c r="E790" t="s">
        <v>96</v>
      </c>
      <c r="F790" t="s">
        <v>96</v>
      </c>
      <c r="G790" t="s">
        <v>96</v>
      </c>
      <c r="H790">
        <v>2010</v>
      </c>
      <c r="I790" t="s">
        <v>96</v>
      </c>
      <c r="J790" t="s">
        <v>97</v>
      </c>
      <c r="K790" t="s">
        <v>96</v>
      </c>
      <c r="L790" t="s">
        <v>96</v>
      </c>
      <c r="M790">
        <v>2745</v>
      </c>
      <c r="O790" s="12" t="str">
        <f t="shared" si="38"/>
        <v>CSA</v>
      </c>
      <c r="P790" s="12" t="str">
        <f t="shared" si="39"/>
        <v>E_WON</v>
      </c>
    </row>
    <row r="791" spans="1:16" x14ac:dyDescent="0.35">
      <c r="A791" t="s">
        <v>95</v>
      </c>
      <c r="B791" t="s">
        <v>73</v>
      </c>
      <c r="C791" t="s">
        <v>45</v>
      </c>
      <c r="D791" t="s">
        <v>906</v>
      </c>
      <c r="E791" t="s">
        <v>96</v>
      </c>
      <c r="F791" t="s">
        <v>96</v>
      </c>
      <c r="G791" t="s">
        <v>96</v>
      </c>
      <c r="H791">
        <v>2010</v>
      </c>
      <c r="I791" t="s">
        <v>96</v>
      </c>
      <c r="J791" t="s">
        <v>97</v>
      </c>
      <c r="K791" t="s">
        <v>96</v>
      </c>
      <c r="L791" t="s">
        <v>96</v>
      </c>
      <c r="M791">
        <v>2817.5</v>
      </c>
      <c r="O791" s="12" t="str">
        <f t="shared" si="38"/>
        <v>EUR</v>
      </c>
      <c r="P791" s="12" t="str">
        <f t="shared" si="39"/>
        <v>E_WON</v>
      </c>
    </row>
    <row r="792" spans="1:16" x14ac:dyDescent="0.35">
      <c r="A792" t="s">
        <v>95</v>
      </c>
      <c r="B792" t="s">
        <v>73</v>
      </c>
      <c r="C792" t="s">
        <v>45</v>
      </c>
      <c r="D792" t="s">
        <v>907</v>
      </c>
      <c r="E792" t="s">
        <v>96</v>
      </c>
      <c r="F792" t="s">
        <v>96</v>
      </c>
      <c r="G792" t="s">
        <v>96</v>
      </c>
      <c r="H792">
        <v>2010</v>
      </c>
      <c r="I792" t="s">
        <v>96</v>
      </c>
      <c r="J792" t="s">
        <v>97</v>
      </c>
      <c r="K792" t="s">
        <v>96</v>
      </c>
      <c r="L792" t="s">
        <v>96</v>
      </c>
      <c r="M792">
        <v>2992.5</v>
      </c>
      <c r="O792" s="12" t="str">
        <f t="shared" si="38"/>
        <v>EUR</v>
      </c>
      <c r="P792" s="12" t="str">
        <f t="shared" si="39"/>
        <v>E_WON</v>
      </c>
    </row>
    <row r="793" spans="1:16" x14ac:dyDescent="0.35">
      <c r="A793" t="s">
        <v>95</v>
      </c>
      <c r="B793" t="s">
        <v>73</v>
      </c>
      <c r="C793" t="s">
        <v>45</v>
      </c>
      <c r="D793" t="s">
        <v>908</v>
      </c>
      <c r="E793" t="s">
        <v>96</v>
      </c>
      <c r="F793" t="s">
        <v>96</v>
      </c>
      <c r="G793" t="s">
        <v>96</v>
      </c>
      <c r="H793">
        <v>2010</v>
      </c>
      <c r="I793" t="s">
        <v>96</v>
      </c>
      <c r="J793" t="s">
        <v>97</v>
      </c>
      <c r="K793" t="s">
        <v>96</v>
      </c>
      <c r="L793" t="s">
        <v>96</v>
      </c>
      <c r="M793">
        <v>2992.5</v>
      </c>
      <c r="O793" s="12" t="str">
        <f t="shared" si="38"/>
        <v>EUR</v>
      </c>
      <c r="P793" s="12" t="str">
        <f t="shared" si="39"/>
        <v>E_WON</v>
      </c>
    </row>
    <row r="794" spans="1:16" x14ac:dyDescent="0.35">
      <c r="A794" t="s">
        <v>95</v>
      </c>
      <c r="B794" t="s">
        <v>73</v>
      </c>
      <c r="C794" t="s">
        <v>45</v>
      </c>
      <c r="D794" t="s">
        <v>909</v>
      </c>
      <c r="E794" t="s">
        <v>96</v>
      </c>
      <c r="F794" t="s">
        <v>96</v>
      </c>
      <c r="G794" t="s">
        <v>96</v>
      </c>
      <c r="H794">
        <v>2010</v>
      </c>
      <c r="I794" t="s">
        <v>96</v>
      </c>
      <c r="J794" t="s">
        <v>97</v>
      </c>
      <c r="K794" t="s">
        <v>96</v>
      </c>
      <c r="L794" t="s">
        <v>96</v>
      </c>
      <c r="M794">
        <v>3447.5</v>
      </c>
      <c r="O794" s="12" t="str">
        <f t="shared" si="38"/>
        <v>EUR</v>
      </c>
      <c r="P794" s="12" t="str">
        <f t="shared" si="39"/>
        <v>E_WON</v>
      </c>
    </row>
    <row r="795" spans="1:16" x14ac:dyDescent="0.35">
      <c r="A795" t="s">
        <v>95</v>
      </c>
      <c r="B795" t="s">
        <v>73</v>
      </c>
      <c r="C795" t="s">
        <v>45</v>
      </c>
      <c r="D795" t="s">
        <v>910</v>
      </c>
      <c r="E795" t="s">
        <v>96</v>
      </c>
      <c r="F795" t="s">
        <v>96</v>
      </c>
      <c r="G795" t="s">
        <v>96</v>
      </c>
      <c r="H795">
        <v>2010</v>
      </c>
      <c r="I795" t="s">
        <v>96</v>
      </c>
      <c r="J795" t="s">
        <v>97</v>
      </c>
      <c r="K795" t="s">
        <v>96</v>
      </c>
      <c r="L795" t="s">
        <v>96</v>
      </c>
      <c r="M795">
        <v>3447.5</v>
      </c>
      <c r="O795" s="12" t="str">
        <f t="shared" si="38"/>
        <v>EUR</v>
      </c>
      <c r="P795" s="12" t="str">
        <f t="shared" si="39"/>
        <v>E_WON</v>
      </c>
    </row>
    <row r="796" spans="1:16" x14ac:dyDescent="0.35">
      <c r="A796" t="s">
        <v>95</v>
      </c>
      <c r="B796" t="s">
        <v>73</v>
      </c>
      <c r="C796" t="s">
        <v>45</v>
      </c>
      <c r="D796" t="s">
        <v>911</v>
      </c>
      <c r="E796" t="s">
        <v>96</v>
      </c>
      <c r="F796" t="s">
        <v>96</v>
      </c>
      <c r="G796" t="s">
        <v>96</v>
      </c>
      <c r="H796">
        <v>2010</v>
      </c>
      <c r="I796" t="s">
        <v>96</v>
      </c>
      <c r="J796" t="s">
        <v>97</v>
      </c>
      <c r="K796" t="s">
        <v>96</v>
      </c>
      <c r="L796" t="s">
        <v>96</v>
      </c>
      <c r="M796">
        <v>3115</v>
      </c>
      <c r="O796" s="12" t="str">
        <f t="shared" si="38"/>
        <v>EUR</v>
      </c>
      <c r="P796" s="12" t="str">
        <f t="shared" si="39"/>
        <v>E_WON</v>
      </c>
    </row>
    <row r="797" spans="1:16" x14ac:dyDescent="0.35">
      <c r="A797" t="s">
        <v>95</v>
      </c>
      <c r="B797" t="s">
        <v>73</v>
      </c>
      <c r="C797" t="s">
        <v>45</v>
      </c>
      <c r="D797" t="s">
        <v>912</v>
      </c>
      <c r="E797" t="s">
        <v>96</v>
      </c>
      <c r="F797" t="s">
        <v>96</v>
      </c>
      <c r="G797" t="s">
        <v>96</v>
      </c>
      <c r="H797">
        <v>2010</v>
      </c>
      <c r="I797" t="s">
        <v>96</v>
      </c>
      <c r="J797" t="s">
        <v>97</v>
      </c>
      <c r="K797" t="s">
        <v>96</v>
      </c>
      <c r="L797" t="s">
        <v>96</v>
      </c>
      <c r="M797">
        <v>2992.5</v>
      </c>
      <c r="O797" s="12" t="str">
        <f t="shared" si="38"/>
        <v>EUR</v>
      </c>
      <c r="P797" s="12" t="str">
        <f t="shared" si="39"/>
        <v>E_WON</v>
      </c>
    </row>
    <row r="798" spans="1:16" x14ac:dyDescent="0.35">
      <c r="A798" t="s">
        <v>95</v>
      </c>
      <c r="B798" t="s">
        <v>73</v>
      </c>
      <c r="C798" t="s">
        <v>45</v>
      </c>
      <c r="D798" t="s">
        <v>913</v>
      </c>
      <c r="E798" t="s">
        <v>96</v>
      </c>
      <c r="F798" t="s">
        <v>96</v>
      </c>
      <c r="G798" t="s">
        <v>96</v>
      </c>
      <c r="H798">
        <v>2010</v>
      </c>
      <c r="I798" t="s">
        <v>96</v>
      </c>
      <c r="J798" t="s">
        <v>97</v>
      </c>
      <c r="K798" t="s">
        <v>96</v>
      </c>
      <c r="L798" t="s">
        <v>96</v>
      </c>
      <c r="M798">
        <v>3132.5</v>
      </c>
      <c r="O798" s="12" t="str">
        <f t="shared" si="38"/>
        <v>EUR</v>
      </c>
      <c r="P798" s="12" t="str">
        <f t="shared" si="39"/>
        <v>E_WON</v>
      </c>
    </row>
    <row r="799" spans="1:16" x14ac:dyDescent="0.35">
      <c r="A799" t="s">
        <v>95</v>
      </c>
      <c r="B799" t="s">
        <v>73</v>
      </c>
      <c r="C799" t="s">
        <v>45</v>
      </c>
      <c r="D799" t="s">
        <v>914</v>
      </c>
      <c r="E799" t="s">
        <v>96</v>
      </c>
      <c r="F799" t="s">
        <v>96</v>
      </c>
      <c r="G799" t="s">
        <v>96</v>
      </c>
      <c r="H799">
        <v>2010</v>
      </c>
      <c r="I799" t="s">
        <v>96</v>
      </c>
      <c r="J799" t="s">
        <v>97</v>
      </c>
      <c r="K799" t="s">
        <v>96</v>
      </c>
      <c r="L799" t="s">
        <v>96</v>
      </c>
      <c r="M799">
        <v>3115</v>
      </c>
      <c r="O799" s="12" t="str">
        <f t="shared" si="38"/>
        <v>EUR</v>
      </c>
      <c r="P799" s="12" t="str">
        <f t="shared" si="39"/>
        <v>E_WON</v>
      </c>
    </row>
    <row r="800" spans="1:16" x14ac:dyDescent="0.35">
      <c r="A800" t="s">
        <v>95</v>
      </c>
      <c r="B800" t="s">
        <v>73</v>
      </c>
      <c r="C800" t="s">
        <v>45</v>
      </c>
      <c r="D800" t="s">
        <v>915</v>
      </c>
      <c r="E800" t="s">
        <v>96</v>
      </c>
      <c r="F800" t="s">
        <v>96</v>
      </c>
      <c r="G800" t="s">
        <v>96</v>
      </c>
      <c r="H800">
        <v>2010</v>
      </c>
      <c r="I800" t="s">
        <v>96</v>
      </c>
      <c r="J800" t="s">
        <v>97</v>
      </c>
      <c r="K800" t="s">
        <v>96</v>
      </c>
      <c r="L800" t="s">
        <v>96</v>
      </c>
      <c r="M800">
        <v>2992.5</v>
      </c>
      <c r="O800" s="12" t="str">
        <f t="shared" si="38"/>
        <v>EUR</v>
      </c>
      <c r="P800" s="12" t="str">
        <f t="shared" si="39"/>
        <v>E_WON</v>
      </c>
    </row>
    <row r="801" spans="1:16" x14ac:dyDescent="0.35">
      <c r="A801" t="s">
        <v>95</v>
      </c>
      <c r="B801" t="s">
        <v>73</v>
      </c>
      <c r="C801" t="s">
        <v>45</v>
      </c>
      <c r="D801" t="s">
        <v>916</v>
      </c>
      <c r="E801" t="s">
        <v>96</v>
      </c>
      <c r="F801" t="s">
        <v>96</v>
      </c>
      <c r="G801" t="s">
        <v>96</v>
      </c>
      <c r="H801">
        <v>2010</v>
      </c>
      <c r="I801" t="s">
        <v>96</v>
      </c>
      <c r="J801" t="s">
        <v>97</v>
      </c>
      <c r="K801" t="s">
        <v>96</v>
      </c>
      <c r="L801" t="s">
        <v>96</v>
      </c>
      <c r="M801">
        <v>1710</v>
      </c>
      <c r="O801" s="12" t="str">
        <f t="shared" si="38"/>
        <v>EUR</v>
      </c>
      <c r="P801" s="12" t="str">
        <f t="shared" si="39"/>
        <v>E_WON</v>
      </c>
    </row>
    <row r="802" spans="1:16" x14ac:dyDescent="0.35">
      <c r="A802" t="s">
        <v>95</v>
      </c>
      <c r="B802" t="s">
        <v>73</v>
      </c>
      <c r="C802" t="s">
        <v>45</v>
      </c>
      <c r="D802" t="s">
        <v>917</v>
      </c>
      <c r="E802" t="s">
        <v>96</v>
      </c>
      <c r="F802" t="s">
        <v>96</v>
      </c>
      <c r="G802" t="s">
        <v>96</v>
      </c>
      <c r="H802">
        <v>2010</v>
      </c>
      <c r="I802" t="s">
        <v>96</v>
      </c>
      <c r="J802" t="s">
        <v>97</v>
      </c>
      <c r="K802" t="s">
        <v>96</v>
      </c>
      <c r="L802" t="s">
        <v>96</v>
      </c>
      <c r="M802">
        <v>1520</v>
      </c>
      <c r="O802" s="12" t="str">
        <f t="shared" si="38"/>
        <v>EUR</v>
      </c>
      <c r="P802" s="12" t="str">
        <f t="shared" si="39"/>
        <v>E_WON</v>
      </c>
    </row>
    <row r="803" spans="1:16" x14ac:dyDescent="0.35">
      <c r="A803" t="s">
        <v>95</v>
      </c>
      <c r="B803" t="s">
        <v>73</v>
      </c>
      <c r="C803" t="s">
        <v>45</v>
      </c>
      <c r="D803" t="s">
        <v>918</v>
      </c>
      <c r="E803" t="s">
        <v>96</v>
      </c>
      <c r="F803" t="s">
        <v>96</v>
      </c>
      <c r="G803" t="s">
        <v>96</v>
      </c>
      <c r="H803">
        <v>2010</v>
      </c>
      <c r="I803" t="s">
        <v>96</v>
      </c>
      <c r="J803" t="s">
        <v>97</v>
      </c>
      <c r="K803" t="s">
        <v>96</v>
      </c>
      <c r="L803" t="s">
        <v>96</v>
      </c>
      <c r="M803">
        <v>1610</v>
      </c>
      <c r="O803" s="12" t="str">
        <f t="shared" si="38"/>
        <v>EUR</v>
      </c>
      <c r="P803" s="12" t="str">
        <f t="shared" si="39"/>
        <v>E_WON</v>
      </c>
    </row>
    <row r="804" spans="1:16" x14ac:dyDescent="0.35">
      <c r="A804" t="s">
        <v>95</v>
      </c>
      <c r="B804" t="s">
        <v>73</v>
      </c>
      <c r="C804" t="s">
        <v>45</v>
      </c>
      <c r="D804" t="s">
        <v>919</v>
      </c>
      <c r="E804" t="s">
        <v>96</v>
      </c>
      <c r="F804" t="s">
        <v>96</v>
      </c>
      <c r="G804" t="s">
        <v>96</v>
      </c>
      <c r="H804">
        <v>2010</v>
      </c>
      <c r="I804" t="s">
        <v>96</v>
      </c>
      <c r="J804" t="s">
        <v>97</v>
      </c>
      <c r="K804" t="s">
        <v>96</v>
      </c>
      <c r="L804" t="s">
        <v>96</v>
      </c>
      <c r="M804">
        <v>1710</v>
      </c>
      <c r="O804" s="12" t="str">
        <f t="shared" si="38"/>
        <v>EUR</v>
      </c>
      <c r="P804" s="12" t="str">
        <f t="shared" si="39"/>
        <v>E_WON</v>
      </c>
    </row>
    <row r="805" spans="1:16" x14ac:dyDescent="0.35">
      <c r="A805" t="s">
        <v>95</v>
      </c>
      <c r="B805" t="s">
        <v>73</v>
      </c>
      <c r="C805" t="s">
        <v>45</v>
      </c>
      <c r="D805" t="s">
        <v>920</v>
      </c>
      <c r="E805" t="s">
        <v>96</v>
      </c>
      <c r="F805" t="s">
        <v>96</v>
      </c>
      <c r="G805" t="s">
        <v>96</v>
      </c>
      <c r="H805">
        <v>2010</v>
      </c>
      <c r="I805" t="s">
        <v>96</v>
      </c>
      <c r="J805" t="s">
        <v>97</v>
      </c>
      <c r="K805" t="s">
        <v>96</v>
      </c>
      <c r="L805" t="s">
        <v>96</v>
      </c>
      <c r="M805">
        <v>1710</v>
      </c>
      <c r="O805" s="12" t="str">
        <f t="shared" si="38"/>
        <v>EUR</v>
      </c>
      <c r="P805" s="12" t="str">
        <f t="shared" si="39"/>
        <v>E_WON</v>
      </c>
    </row>
    <row r="806" spans="1:16" x14ac:dyDescent="0.35">
      <c r="A806" t="s">
        <v>95</v>
      </c>
      <c r="B806" t="s">
        <v>73</v>
      </c>
      <c r="C806" t="s">
        <v>45</v>
      </c>
      <c r="D806" t="s">
        <v>921</v>
      </c>
      <c r="E806" t="s">
        <v>96</v>
      </c>
      <c r="F806" t="s">
        <v>96</v>
      </c>
      <c r="G806" t="s">
        <v>96</v>
      </c>
      <c r="H806">
        <v>2010</v>
      </c>
      <c r="I806" t="s">
        <v>96</v>
      </c>
      <c r="J806" t="s">
        <v>97</v>
      </c>
      <c r="K806" t="s">
        <v>96</v>
      </c>
      <c r="L806" t="s">
        <v>96</v>
      </c>
      <c r="M806">
        <v>2500</v>
      </c>
      <c r="O806" s="12" t="str">
        <f t="shared" si="38"/>
        <v>EUR</v>
      </c>
      <c r="P806" s="12" t="str">
        <f t="shared" si="39"/>
        <v>E_WON</v>
      </c>
    </row>
    <row r="807" spans="1:16" x14ac:dyDescent="0.35">
      <c r="A807" t="s">
        <v>95</v>
      </c>
      <c r="B807" t="s">
        <v>73</v>
      </c>
      <c r="C807" t="s">
        <v>45</v>
      </c>
      <c r="D807" t="s">
        <v>922</v>
      </c>
      <c r="E807" t="s">
        <v>96</v>
      </c>
      <c r="F807" t="s">
        <v>96</v>
      </c>
      <c r="G807" t="s">
        <v>96</v>
      </c>
      <c r="H807">
        <v>2010</v>
      </c>
      <c r="I807" t="s">
        <v>96</v>
      </c>
      <c r="J807" t="s">
        <v>97</v>
      </c>
      <c r="K807" t="s">
        <v>96</v>
      </c>
      <c r="L807" t="s">
        <v>96</v>
      </c>
      <c r="M807">
        <v>1600</v>
      </c>
      <c r="O807" s="12" t="str">
        <f t="shared" si="38"/>
        <v>EUR</v>
      </c>
      <c r="P807" s="12" t="str">
        <f t="shared" si="39"/>
        <v>E_WON</v>
      </c>
    </row>
    <row r="808" spans="1:16" x14ac:dyDescent="0.35">
      <c r="A808" t="s">
        <v>95</v>
      </c>
      <c r="B808" t="s">
        <v>73</v>
      </c>
      <c r="C808" t="s">
        <v>45</v>
      </c>
      <c r="D808" t="s">
        <v>923</v>
      </c>
      <c r="E808" t="s">
        <v>96</v>
      </c>
      <c r="F808" t="s">
        <v>96</v>
      </c>
      <c r="G808" t="s">
        <v>96</v>
      </c>
      <c r="H808">
        <v>2010</v>
      </c>
      <c r="I808" t="s">
        <v>96</v>
      </c>
      <c r="J808" t="s">
        <v>97</v>
      </c>
      <c r="K808" t="s">
        <v>96</v>
      </c>
      <c r="L808" t="s">
        <v>96</v>
      </c>
      <c r="M808">
        <v>1710</v>
      </c>
      <c r="O808" s="12" t="str">
        <f t="shared" si="38"/>
        <v>EUR</v>
      </c>
      <c r="P808" s="12" t="str">
        <f t="shared" si="39"/>
        <v>E_WON</v>
      </c>
    </row>
    <row r="809" spans="1:16" x14ac:dyDescent="0.35">
      <c r="A809" t="s">
        <v>95</v>
      </c>
      <c r="B809" t="s">
        <v>73</v>
      </c>
      <c r="C809" t="s">
        <v>45</v>
      </c>
      <c r="D809" t="s">
        <v>924</v>
      </c>
      <c r="E809" t="s">
        <v>96</v>
      </c>
      <c r="F809" t="s">
        <v>96</v>
      </c>
      <c r="G809" t="s">
        <v>96</v>
      </c>
      <c r="H809">
        <v>2010</v>
      </c>
      <c r="I809" t="s">
        <v>96</v>
      </c>
      <c r="J809" t="s">
        <v>97</v>
      </c>
      <c r="K809" t="s">
        <v>96</v>
      </c>
      <c r="L809" t="s">
        <v>96</v>
      </c>
      <c r="M809">
        <v>1710</v>
      </c>
      <c r="O809" s="12" t="str">
        <f t="shared" si="38"/>
        <v>EUR</v>
      </c>
      <c r="P809" s="12" t="str">
        <f t="shared" si="39"/>
        <v>E_WON</v>
      </c>
    </row>
    <row r="810" spans="1:16" x14ac:dyDescent="0.35">
      <c r="A810" t="s">
        <v>95</v>
      </c>
      <c r="B810" t="s">
        <v>73</v>
      </c>
      <c r="C810" t="s">
        <v>45</v>
      </c>
      <c r="D810" t="s">
        <v>925</v>
      </c>
      <c r="E810" t="s">
        <v>96</v>
      </c>
      <c r="F810" t="s">
        <v>96</v>
      </c>
      <c r="G810" t="s">
        <v>96</v>
      </c>
      <c r="H810">
        <v>2010</v>
      </c>
      <c r="I810" t="s">
        <v>96</v>
      </c>
      <c r="J810" t="s">
        <v>97</v>
      </c>
      <c r="K810" t="s">
        <v>96</v>
      </c>
      <c r="L810" t="s">
        <v>96</v>
      </c>
      <c r="M810">
        <v>1890</v>
      </c>
      <c r="O810" s="12" t="str">
        <f t="shared" si="38"/>
        <v>EUR</v>
      </c>
      <c r="P810" s="12" t="str">
        <f t="shared" si="39"/>
        <v>E_WON</v>
      </c>
    </row>
    <row r="811" spans="1:16" x14ac:dyDescent="0.35">
      <c r="A811" t="s">
        <v>95</v>
      </c>
      <c r="B811" t="s">
        <v>73</v>
      </c>
      <c r="C811" t="s">
        <v>45</v>
      </c>
      <c r="D811" t="s">
        <v>926</v>
      </c>
      <c r="E811" t="s">
        <v>96</v>
      </c>
      <c r="F811" t="s">
        <v>96</v>
      </c>
      <c r="G811" t="s">
        <v>96</v>
      </c>
      <c r="H811">
        <v>2010</v>
      </c>
      <c r="I811" t="s">
        <v>96</v>
      </c>
      <c r="J811" t="s">
        <v>97</v>
      </c>
      <c r="K811" t="s">
        <v>96</v>
      </c>
      <c r="L811" t="s">
        <v>96</v>
      </c>
      <c r="M811">
        <v>1710</v>
      </c>
      <c r="O811" s="12" t="str">
        <f t="shared" si="38"/>
        <v>EUR</v>
      </c>
      <c r="P811" s="12" t="str">
        <f t="shared" si="39"/>
        <v>E_WON</v>
      </c>
    </row>
    <row r="812" spans="1:16" x14ac:dyDescent="0.35">
      <c r="A812" t="s">
        <v>95</v>
      </c>
      <c r="B812" t="s">
        <v>73</v>
      </c>
      <c r="C812" t="s">
        <v>45</v>
      </c>
      <c r="D812" t="s">
        <v>927</v>
      </c>
      <c r="E812" t="s">
        <v>96</v>
      </c>
      <c r="F812" t="s">
        <v>96</v>
      </c>
      <c r="G812" t="s">
        <v>96</v>
      </c>
      <c r="H812">
        <v>2010</v>
      </c>
      <c r="I812" t="s">
        <v>96</v>
      </c>
      <c r="J812" t="s">
        <v>97</v>
      </c>
      <c r="K812" t="s">
        <v>96</v>
      </c>
      <c r="L812" t="s">
        <v>96</v>
      </c>
      <c r="M812">
        <v>1710</v>
      </c>
      <c r="O812" s="12" t="str">
        <f t="shared" si="38"/>
        <v>EUR</v>
      </c>
      <c r="P812" s="12" t="str">
        <f t="shared" si="39"/>
        <v>E_WON</v>
      </c>
    </row>
    <row r="813" spans="1:16" x14ac:dyDescent="0.35">
      <c r="A813" t="s">
        <v>95</v>
      </c>
      <c r="B813" t="s">
        <v>73</v>
      </c>
      <c r="C813" t="s">
        <v>45</v>
      </c>
      <c r="D813" t="s">
        <v>928</v>
      </c>
      <c r="E813" t="s">
        <v>96</v>
      </c>
      <c r="F813" t="s">
        <v>96</v>
      </c>
      <c r="G813" t="s">
        <v>96</v>
      </c>
      <c r="H813">
        <v>2010</v>
      </c>
      <c r="I813" t="s">
        <v>96</v>
      </c>
      <c r="J813" t="s">
        <v>97</v>
      </c>
      <c r="K813" t="s">
        <v>96</v>
      </c>
      <c r="L813" t="s">
        <v>96</v>
      </c>
      <c r="M813">
        <v>1710</v>
      </c>
      <c r="O813" s="12" t="str">
        <f t="shared" si="38"/>
        <v>EUR</v>
      </c>
      <c r="P813" s="12" t="str">
        <f t="shared" si="39"/>
        <v>E_WON</v>
      </c>
    </row>
    <row r="814" spans="1:16" x14ac:dyDescent="0.35">
      <c r="A814" t="s">
        <v>95</v>
      </c>
      <c r="B814" t="s">
        <v>73</v>
      </c>
      <c r="C814" t="s">
        <v>45</v>
      </c>
      <c r="D814" t="s">
        <v>929</v>
      </c>
      <c r="E814" t="s">
        <v>96</v>
      </c>
      <c r="F814" t="s">
        <v>96</v>
      </c>
      <c r="G814" t="s">
        <v>96</v>
      </c>
      <c r="H814">
        <v>2010</v>
      </c>
      <c r="I814" t="s">
        <v>96</v>
      </c>
      <c r="J814" t="s">
        <v>97</v>
      </c>
      <c r="K814" t="s">
        <v>96</v>
      </c>
      <c r="L814" t="s">
        <v>96</v>
      </c>
      <c r="M814">
        <v>1790</v>
      </c>
      <c r="O814" s="12" t="str">
        <f t="shared" si="38"/>
        <v>EUR</v>
      </c>
      <c r="P814" s="12" t="str">
        <f t="shared" si="39"/>
        <v>E_WON</v>
      </c>
    </row>
    <row r="815" spans="1:16" x14ac:dyDescent="0.35">
      <c r="A815" t="s">
        <v>95</v>
      </c>
      <c r="B815" t="s">
        <v>73</v>
      </c>
      <c r="C815" t="s">
        <v>45</v>
      </c>
      <c r="D815" t="s">
        <v>930</v>
      </c>
      <c r="E815" t="s">
        <v>96</v>
      </c>
      <c r="F815" t="s">
        <v>96</v>
      </c>
      <c r="G815" t="s">
        <v>96</v>
      </c>
      <c r="H815">
        <v>2010</v>
      </c>
      <c r="I815" t="s">
        <v>96</v>
      </c>
      <c r="J815" t="s">
        <v>97</v>
      </c>
      <c r="K815" t="s">
        <v>96</v>
      </c>
      <c r="L815" t="s">
        <v>96</v>
      </c>
      <c r="M815">
        <v>1520</v>
      </c>
      <c r="O815" s="12" t="str">
        <f t="shared" si="38"/>
        <v>EUR</v>
      </c>
      <c r="P815" s="12" t="str">
        <f t="shared" si="39"/>
        <v>E_WON</v>
      </c>
    </row>
    <row r="816" spans="1:16" x14ac:dyDescent="0.35">
      <c r="A816" t="s">
        <v>95</v>
      </c>
      <c r="B816" t="s">
        <v>73</v>
      </c>
      <c r="C816" t="s">
        <v>45</v>
      </c>
      <c r="D816" t="s">
        <v>931</v>
      </c>
      <c r="E816" t="s">
        <v>96</v>
      </c>
      <c r="F816" t="s">
        <v>96</v>
      </c>
      <c r="G816" t="s">
        <v>96</v>
      </c>
      <c r="H816">
        <v>2010</v>
      </c>
      <c r="I816" t="s">
        <v>96</v>
      </c>
      <c r="J816" t="s">
        <v>97</v>
      </c>
      <c r="K816" t="s">
        <v>96</v>
      </c>
      <c r="L816" t="s">
        <v>96</v>
      </c>
      <c r="M816">
        <v>1610</v>
      </c>
      <c r="O816" s="12" t="str">
        <f t="shared" si="38"/>
        <v>EUR</v>
      </c>
      <c r="P816" s="12" t="str">
        <f t="shared" si="39"/>
        <v>E_WON</v>
      </c>
    </row>
    <row r="817" spans="1:16" x14ac:dyDescent="0.35">
      <c r="A817" t="s">
        <v>95</v>
      </c>
      <c r="B817" t="s">
        <v>73</v>
      </c>
      <c r="C817" t="s">
        <v>45</v>
      </c>
      <c r="D817" t="s">
        <v>932</v>
      </c>
      <c r="E817" t="s">
        <v>96</v>
      </c>
      <c r="F817" t="s">
        <v>96</v>
      </c>
      <c r="G817" t="s">
        <v>96</v>
      </c>
      <c r="H817">
        <v>2010</v>
      </c>
      <c r="I817" t="s">
        <v>96</v>
      </c>
      <c r="J817" t="s">
        <v>97</v>
      </c>
      <c r="K817" t="s">
        <v>96</v>
      </c>
      <c r="L817" t="s">
        <v>96</v>
      </c>
      <c r="M817">
        <v>1710</v>
      </c>
      <c r="O817" s="12" t="str">
        <f t="shared" si="38"/>
        <v>EUR</v>
      </c>
      <c r="P817" s="12" t="str">
        <f t="shared" si="39"/>
        <v>E_WON</v>
      </c>
    </row>
    <row r="818" spans="1:16" x14ac:dyDescent="0.35">
      <c r="A818" t="s">
        <v>95</v>
      </c>
      <c r="B818" t="s">
        <v>73</v>
      </c>
      <c r="C818" t="s">
        <v>45</v>
      </c>
      <c r="D818" t="s">
        <v>933</v>
      </c>
      <c r="E818" t="s">
        <v>96</v>
      </c>
      <c r="F818" t="s">
        <v>96</v>
      </c>
      <c r="G818" t="s">
        <v>96</v>
      </c>
      <c r="H818">
        <v>2010</v>
      </c>
      <c r="I818" t="s">
        <v>96</v>
      </c>
      <c r="J818" t="s">
        <v>97</v>
      </c>
      <c r="K818" t="s">
        <v>96</v>
      </c>
      <c r="L818" t="s">
        <v>96</v>
      </c>
      <c r="M818">
        <v>1710</v>
      </c>
      <c r="O818" s="12" t="str">
        <f t="shared" si="38"/>
        <v>EUR</v>
      </c>
      <c r="P818" s="12" t="str">
        <f t="shared" si="39"/>
        <v>E_WON</v>
      </c>
    </row>
    <row r="819" spans="1:16" x14ac:dyDescent="0.35">
      <c r="A819" t="s">
        <v>95</v>
      </c>
      <c r="B819" t="s">
        <v>73</v>
      </c>
      <c r="C819" t="s">
        <v>45</v>
      </c>
      <c r="D819" t="s">
        <v>934</v>
      </c>
      <c r="E819" t="s">
        <v>96</v>
      </c>
      <c r="F819" t="s">
        <v>96</v>
      </c>
      <c r="G819" t="s">
        <v>96</v>
      </c>
      <c r="H819">
        <v>2010</v>
      </c>
      <c r="I819" t="s">
        <v>96</v>
      </c>
      <c r="J819" t="s">
        <v>97</v>
      </c>
      <c r="K819" t="s">
        <v>96</v>
      </c>
      <c r="L819" t="s">
        <v>96</v>
      </c>
      <c r="M819">
        <v>2500</v>
      </c>
      <c r="O819" s="12" t="str">
        <f t="shared" si="38"/>
        <v>EUR</v>
      </c>
      <c r="P819" s="12" t="str">
        <f t="shared" si="39"/>
        <v>E_WON</v>
      </c>
    </row>
    <row r="820" spans="1:16" x14ac:dyDescent="0.35">
      <c r="A820" t="s">
        <v>95</v>
      </c>
      <c r="B820" t="s">
        <v>73</v>
      </c>
      <c r="C820" t="s">
        <v>45</v>
      </c>
      <c r="D820" t="s">
        <v>935</v>
      </c>
      <c r="E820" t="s">
        <v>96</v>
      </c>
      <c r="F820" t="s">
        <v>96</v>
      </c>
      <c r="G820" t="s">
        <v>96</v>
      </c>
      <c r="H820">
        <v>2010</v>
      </c>
      <c r="I820" t="s">
        <v>96</v>
      </c>
      <c r="J820" t="s">
        <v>97</v>
      </c>
      <c r="K820" t="s">
        <v>96</v>
      </c>
      <c r="L820" t="s">
        <v>96</v>
      </c>
      <c r="M820">
        <v>1600</v>
      </c>
      <c r="O820" s="12" t="str">
        <f t="shared" si="38"/>
        <v>EUR</v>
      </c>
      <c r="P820" s="12" t="str">
        <f t="shared" si="39"/>
        <v>E_WON</v>
      </c>
    </row>
    <row r="821" spans="1:16" x14ac:dyDescent="0.35">
      <c r="A821" t="s">
        <v>95</v>
      </c>
      <c r="B821" t="s">
        <v>73</v>
      </c>
      <c r="C821" t="s">
        <v>45</v>
      </c>
      <c r="D821" t="s">
        <v>936</v>
      </c>
      <c r="E821" t="s">
        <v>96</v>
      </c>
      <c r="F821" t="s">
        <v>96</v>
      </c>
      <c r="G821" t="s">
        <v>96</v>
      </c>
      <c r="H821">
        <v>2010</v>
      </c>
      <c r="I821" t="s">
        <v>96</v>
      </c>
      <c r="J821" t="s">
        <v>97</v>
      </c>
      <c r="K821" t="s">
        <v>96</v>
      </c>
      <c r="L821" t="s">
        <v>96</v>
      </c>
      <c r="M821">
        <v>1710</v>
      </c>
      <c r="O821" s="12" t="str">
        <f t="shared" si="38"/>
        <v>EUR</v>
      </c>
      <c r="P821" s="12" t="str">
        <f t="shared" si="39"/>
        <v>E_WON</v>
      </c>
    </row>
    <row r="822" spans="1:16" x14ac:dyDescent="0.35">
      <c r="A822" t="s">
        <v>95</v>
      </c>
      <c r="B822" t="s">
        <v>73</v>
      </c>
      <c r="C822" t="s">
        <v>45</v>
      </c>
      <c r="D822" t="s">
        <v>937</v>
      </c>
      <c r="E822" t="s">
        <v>96</v>
      </c>
      <c r="F822" t="s">
        <v>96</v>
      </c>
      <c r="G822" t="s">
        <v>96</v>
      </c>
      <c r="H822">
        <v>2010</v>
      </c>
      <c r="I822" t="s">
        <v>96</v>
      </c>
      <c r="J822" t="s">
        <v>97</v>
      </c>
      <c r="K822" t="s">
        <v>96</v>
      </c>
      <c r="L822" t="s">
        <v>96</v>
      </c>
      <c r="M822">
        <v>1860</v>
      </c>
      <c r="O822" s="12" t="str">
        <f t="shared" si="38"/>
        <v>EUR</v>
      </c>
      <c r="P822" s="12" t="str">
        <f t="shared" si="39"/>
        <v>E_WON</v>
      </c>
    </row>
    <row r="823" spans="1:16" x14ac:dyDescent="0.35">
      <c r="A823" t="s">
        <v>95</v>
      </c>
      <c r="B823" t="s">
        <v>73</v>
      </c>
      <c r="C823" t="s">
        <v>45</v>
      </c>
      <c r="D823" t="s">
        <v>938</v>
      </c>
      <c r="E823" t="s">
        <v>96</v>
      </c>
      <c r="F823" t="s">
        <v>96</v>
      </c>
      <c r="G823" t="s">
        <v>96</v>
      </c>
      <c r="H823">
        <v>2010</v>
      </c>
      <c r="I823" t="s">
        <v>96</v>
      </c>
      <c r="J823" t="s">
        <v>97</v>
      </c>
      <c r="K823" t="s">
        <v>96</v>
      </c>
      <c r="L823" t="s">
        <v>96</v>
      </c>
      <c r="M823">
        <v>1710</v>
      </c>
      <c r="O823" s="12" t="str">
        <f t="shared" si="38"/>
        <v>EUR</v>
      </c>
      <c r="P823" s="12" t="str">
        <f t="shared" si="39"/>
        <v>E_WON</v>
      </c>
    </row>
    <row r="824" spans="1:16" x14ac:dyDescent="0.35">
      <c r="A824" t="s">
        <v>95</v>
      </c>
      <c r="B824" t="s">
        <v>73</v>
      </c>
      <c r="C824" t="s">
        <v>45</v>
      </c>
      <c r="D824" t="s">
        <v>939</v>
      </c>
      <c r="E824" t="s">
        <v>96</v>
      </c>
      <c r="F824" t="s">
        <v>96</v>
      </c>
      <c r="G824" t="s">
        <v>96</v>
      </c>
      <c r="H824">
        <v>2010</v>
      </c>
      <c r="I824" t="s">
        <v>96</v>
      </c>
      <c r="J824" t="s">
        <v>97</v>
      </c>
      <c r="K824" t="s">
        <v>96</v>
      </c>
      <c r="L824" t="s">
        <v>96</v>
      </c>
      <c r="M824">
        <v>1710</v>
      </c>
      <c r="O824" s="12" t="str">
        <f t="shared" si="38"/>
        <v>EUR</v>
      </c>
      <c r="P824" s="12" t="str">
        <f t="shared" si="39"/>
        <v>E_WON</v>
      </c>
    </row>
    <row r="825" spans="1:16" x14ac:dyDescent="0.35">
      <c r="A825" t="s">
        <v>95</v>
      </c>
      <c r="B825" t="s">
        <v>73</v>
      </c>
      <c r="C825" t="s">
        <v>45</v>
      </c>
      <c r="D825" t="s">
        <v>940</v>
      </c>
      <c r="E825" t="s">
        <v>96</v>
      </c>
      <c r="F825" t="s">
        <v>96</v>
      </c>
      <c r="G825" t="s">
        <v>96</v>
      </c>
      <c r="H825">
        <v>2010</v>
      </c>
      <c r="I825" t="s">
        <v>96</v>
      </c>
      <c r="J825" t="s">
        <v>97</v>
      </c>
      <c r="K825" t="s">
        <v>96</v>
      </c>
      <c r="L825" t="s">
        <v>96</v>
      </c>
      <c r="M825">
        <v>1710</v>
      </c>
      <c r="O825" s="12" t="str">
        <f t="shared" si="38"/>
        <v>EUR</v>
      </c>
      <c r="P825" s="12" t="str">
        <f t="shared" si="39"/>
        <v>E_WON</v>
      </c>
    </row>
    <row r="826" spans="1:16" x14ac:dyDescent="0.35">
      <c r="A826" t="s">
        <v>95</v>
      </c>
      <c r="B826" t="s">
        <v>73</v>
      </c>
      <c r="C826" t="s">
        <v>45</v>
      </c>
      <c r="D826" t="s">
        <v>941</v>
      </c>
      <c r="E826" t="s">
        <v>96</v>
      </c>
      <c r="F826" t="s">
        <v>96</v>
      </c>
      <c r="G826" t="s">
        <v>96</v>
      </c>
      <c r="H826">
        <v>2010</v>
      </c>
      <c r="I826" t="s">
        <v>96</v>
      </c>
      <c r="J826" t="s">
        <v>97</v>
      </c>
      <c r="K826" t="s">
        <v>96</v>
      </c>
      <c r="L826" t="s">
        <v>96</v>
      </c>
      <c r="M826">
        <v>1330</v>
      </c>
      <c r="O826" s="12" t="str">
        <f t="shared" si="38"/>
        <v>EUR</v>
      </c>
      <c r="P826" s="12" t="str">
        <f t="shared" si="39"/>
        <v>E_WON</v>
      </c>
    </row>
    <row r="827" spans="1:16" x14ac:dyDescent="0.35">
      <c r="A827" t="s">
        <v>95</v>
      </c>
      <c r="B827" t="s">
        <v>73</v>
      </c>
      <c r="C827" t="s">
        <v>45</v>
      </c>
      <c r="D827" t="s">
        <v>942</v>
      </c>
      <c r="E827" t="s">
        <v>96</v>
      </c>
      <c r="F827" t="s">
        <v>96</v>
      </c>
      <c r="G827" t="s">
        <v>96</v>
      </c>
      <c r="H827">
        <v>2010</v>
      </c>
      <c r="I827" t="s">
        <v>96</v>
      </c>
      <c r="J827" t="s">
        <v>97</v>
      </c>
      <c r="K827" t="s">
        <v>96</v>
      </c>
      <c r="L827" t="s">
        <v>96</v>
      </c>
      <c r="M827">
        <v>1890</v>
      </c>
      <c r="O827" s="12" t="str">
        <f t="shared" si="38"/>
        <v>EUR</v>
      </c>
      <c r="P827" s="12" t="str">
        <f t="shared" si="39"/>
        <v>E_WON</v>
      </c>
    </row>
    <row r="828" spans="1:16" x14ac:dyDescent="0.35">
      <c r="A828" t="s">
        <v>95</v>
      </c>
      <c r="B828" t="s">
        <v>73</v>
      </c>
      <c r="C828" t="s">
        <v>45</v>
      </c>
      <c r="D828" t="s">
        <v>943</v>
      </c>
      <c r="E828" t="s">
        <v>96</v>
      </c>
      <c r="F828" t="s">
        <v>96</v>
      </c>
      <c r="G828" t="s">
        <v>96</v>
      </c>
      <c r="H828">
        <v>2010</v>
      </c>
      <c r="I828" t="s">
        <v>96</v>
      </c>
      <c r="J828" t="s">
        <v>97</v>
      </c>
      <c r="K828" t="s">
        <v>96</v>
      </c>
      <c r="L828" t="s">
        <v>96</v>
      </c>
      <c r="M828">
        <v>1710</v>
      </c>
      <c r="O828" s="12" t="str">
        <f t="shared" si="38"/>
        <v>EUR</v>
      </c>
      <c r="P828" s="12" t="str">
        <f t="shared" si="39"/>
        <v>E_WON</v>
      </c>
    </row>
    <row r="829" spans="1:16" x14ac:dyDescent="0.35">
      <c r="A829" t="s">
        <v>95</v>
      </c>
      <c r="B829" t="s">
        <v>73</v>
      </c>
      <c r="C829" t="s">
        <v>45</v>
      </c>
      <c r="D829" t="s">
        <v>944</v>
      </c>
      <c r="E829" t="s">
        <v>96</v>
      </c>
      <c r="F829" t="s">
        <v>96</v>
      </c>
      <c r="G829" t="s">
        <v>96</v>
      </c>
      <c r="H829">
        <v>2010</v>
      </c>
      <c r="I829" t="s">
        <v>96</v>
      </c>
      <c r="J829" t="s">
        <v>97</v>
      </c>
      <c r="K829" t="s">
        <v>96</v>
      </c>
      <c r="L829" t="s">
        <v>96</v>
      </c>
      <c r="M829">
        <v>1710</v>
      </c>
      <c r="O829" s="12" t="str">
        <f t="shared" si="38"/>
        <v>EUR</v>
      </c>
      <c r="P829" s="12" t="str">
        <f t="shared" si="39"/>
        <v>E_WON</v>
      </c>
    </row>
    <row r="830" spans="1:16" x14ac:dyDescent="0.35">
      <c r="A830" t="s">
        <v>95</v>
      </c>
      <c r="B830" t="s">
        <v>73</v>
      </c>
      <c r="C830" t="s">
        <v>45</v>
      </c>
      <c r="D830" t="s">
        <v>945</v>
      </c>
      <c r="E830" t="s">
        <v>96</v>
      </c>
      <c r="F830" t="s">
        <v>96</v>
      </c>
      <c r="G830" t="s">
        <v>96</v>
      </c>
      <c r="H830">
        <v>2010</v>
      </c>
      <c r="I830" t="s">
        <v>96</v>
      </c>
      <c r="J830" t="s">
        <v>97</v>
      </c>
      <c r="K830" t="s">
        <v>96</v>
      </c>
      <c r="L830" t="s">
        <v>96</v>
      </c>
      <c r="M830">
        <v>1710</v>
      </c>
      <c r="O830" s="12" t="str">
        <f t="shared" si="38"/>
        <v>EUR</v>
      </c>
      <c r="P830" s="12" t="str">
        <f t="shared" si="39"/>
        <v>E_WON</v>
      </c>
    </row>
    <row r="831" spans="1:16" x14ac:dyDescent="0.35">
      <c r="A831" t="s">
        <v>95</v>
      </c>
      <c r="B831" t="s">
        <v>73</v>
      </c>
      <c r="C831" t="s">
        <v>45</v>
      </c>
      <c r="D831" t="s">
        <v>946</v>
      </c>
      <c r="E831" t="s">
        <v>96</v>
      </c>
      <c r="F831" t="s">
        <v>96</v>
      </c>
      <c r="G831" t="s">
        <v>96</v>
      </c>
      <c r="H831">
        <v>2010</v>
      </c>
      <c r="I831" t="s">
        <v>96</v>
      </c>
      <c r="J831" t="s">
        <v>97</v>
      </c>
      <c r="K831" t="s">
        <v>96</v>
      </c>
      <c r="L831" t="s">
        <v>96</v>
      </c>
      <c r="M831">
        <v>1710</v>
      </c>
      <c r="O831" s="12" t="str">
        <f t="shared" si="38"/>
        <v>EUR</v>
      </c>
      <c r="P831" s="12" t="str">
        <f t="shared" si="39"/>
        <v>E_WON</v>
      </c>
    </row>
    <row r="832" spans="1:16" x14ac:dyDescent="0.35">
      <c r="A832" t="s">
        <v>95</v>
      </c>
      <c r="B832" t="s">
        <v>73</v>
      </c>
      <c r="C832" t="s">
        <v>45</v>
      </c>
      <c r="D832" t="s">
        <v>947</v>
      </c>
      <c r="E832" t="s">
        <v>96</v>
      </c>
      <c r="F832" t="s">
        <v>96</v>
      </c>
      <c r="G832" t="s">
        <v>96</v>
      </c>
      <c r="H832">
        <v>2010</v>
      </c>
      <c r="I832" t="s">
        <v>96</v>
      </c>
      <c r="J832" t="s">
        <v>97</v>
      </c>
      <c r="K832" t="s">
        <v>96</v>
      </c>
      <c r="L832" t="s">
        <v>96</v>
      </c>
      <c r="M832">
        <v>1790</v>
      </c>
      <c r="O832" s="12" t="str">
        <f t="shared" si="38"/>
        <v>EUR</v>
      </c>
      <c r="P832" s="12" t="str">
        <f t="shared" si="39"/>
        <v>E_WON</v>
      </c>
    </row>
    <row r="833" spans="1:16" x14ac:dyDescent="0.35">
      <c r="A833" t="s">
        <v>95</v>
      </c>
      <c r="B833" t="s">
        <v>73</v>
      </c>
      <c r="C833" t="s">
        <v>45</v>
      </c>
      <c r="D833" t="s">
        <v>948</v>
      </c>
      <c r="E833" t="s">
        <v>96</v>
      </c>
      <c r="F833" t="s">
        <v>96</v>
      </c>
      <c r="G833" t="s">
        <v>96</v>
      </c>
      <c r="H833">
        <v>2010</v>
      </c>
      <c r="I833" t="s">
        <v>96</v>
      </c>
      <c r="J833" t="s">
        <v>97</v>
      </c>
      <c r="K833" t="s">
        <v>96</v>
      </c>
      <c r="L833" t="s">
        <v>96</v>
      </c>
      <c r="M833">
        <v>1520</v>
      </c>
      <c r="O833" s="12" t="str">
        <f t="shared" si="38"/>
        <v>EUR</v>
      </c>
      <c r="P833" s="12" t="str">
        <f t="shared" si="39"/>
        <v>E_WON</v>
      </c>
    </row>
    <row r="834" spans="1:16" x14ac:dyDescent="0.35">
      <c r="A834" t="s">
        <v>95</v>
      </c>
      <c r="B834" t="s">
        <v>73</v>
      </c>
      <c r="C834" t="s">
        <v>45</v>
      </c>
      <c r="D834" t="s">
        <v>949</v>
      </c>
      <c r="E834" t="s">
        <v>96</v>
      </c>
      <c r="F834" t="s">
        <v>96</v>
      </c>
      <c r="G834" t="s">
        <v>96</v>
      </c>
      <c r="H834">
        <v>2010</v>
      </c>
      <c r="I834" t="s">
        <v>96</v>
      </c>
      <c r="J834" t="s">
        <v>97</v>
      </c>
      <c r="K834" t="s">
        <v>96</v>
      </c>
      <c r="L834" t="s">
        <v>96</v>
      </c>
      <c r="M834">
        <v>1970</v>
      </c>
      <c r="O834" s="12" t="str">
        <f t="shared" si="38"/>
        <v>EUR</v>
      </c>
      <c r="P834" s="12" t="str">
        <f t="shared" si="39"/>
        <v>E_WON</v>
      </c>
    </row>
    <row r="835" spans="1:16" x14ac:dyDescent="0.35">
      <c r="A835" t="s">
        <v>95</v>
      </c>
      <c r="B835" t="s">
        <v>73</v>
      </c>
      <c r="C835" t="s">
        <v>45</v>
      </c>
      <c r="D835" t="s">
        <v>950</v>
      </c>
      <c r="E835" t="s">
        <v>96</v>
      </c>
      <c r="F835" t="s">
        <v>96</v>
      </c>
      <c r="G835" t="s">
        <v>96</v>
      </c>
      <c r="H835">
        <v>2010</v>
      </c>
      <c r="I835" t="s">
        <v>96</v>
      </c>
      <c r="J835" t="s">
        <v>97</v>
      </c>
      <c r="K835" t="s">
        <v>96</v>
      </c>
      <c r="L835" t="s">
        <v>96</v>
      </c>
      <c r="M835">
        <v>1710</v>
      </c>
      <c r="O835" s="12" t="str">
        <f t="shared" ref="O835:O898" si="40">LEFT(B835,3)</f>
        <v>EUR</v>
      </c>
      <c r="P835" s="12" t="str">
        <f t="shared" ref="P835:P898" si="41">LEFT(D835,5)</f>
        <v>E_WON</v>
      </c>
    </row>
    <row r="836" spans="1:16" x14ac:dyDescent="0.35">
      <c r="A836" t="s">
        <v>95</v>
      </c>
      <c r="B836" t="s">
        <v>73</v>
      </c>
      <c r="C836" t="s">
        <v>45</v>
      </c>
      <c r="D836" t="s">
        <v>951</v>
      </c>
      <c r="E836" t="s">
        <v>96</v>
      </c>
      <c r="F836" t="s">
        <v>96</v>
      </c>
      <c r="G836" t="s">
        <v>96</v>
      </c>
      <c r="H836">
        <v>2010</v>
      </c>
      <c r="I836" t="s">
        <v>96</v>
      </c>
      <c r="J836" t="s">
        <v>97</v>
      </c>
      <c r="K836" t="s">
        <v>96</v>
      </c>
      <c r="L836" t="s">
        <v>96</v>
      </c>
      <c r="M836">
        <v>1610</v>
      </c>
      <c r="O836" s="12" t="str">
        <f t="shared" si="40"/>
        <v>EUR</v>
      </c>
      <c r="P836" s="12" t="str">
        <f t="shared" si="41"/>
        <v>E_WON</v>
      </c>
    </row>
    <row r="837" spans="1:16" x14ac:dyDescent="0.35">
      <c r="A837" t="s">
        <v>95</v>
      </c>
      <c r="B837" t="s">
        <v>73</v>
      </c>
      <c r="C837" t="s">
        <v>45</v>
      </c>
      <c r="D837" t="s">
        <v>952</v>
      </c>
      <c r="E837" t="s">
        <v>96</v>
      </c>
      <c r="F837" t="s">
        <v>96</v>
      </c>
      <c r="G837" t="s">
        <v>96</v>
      </c>
      <c r="H837">
        <v>2010</v>
      </c>
      <c r="I837" t="s">
        <v>96</v>
      </c>
      <c r="J837" t="s">
        <v>97</v>
      </c>
      <c r="K837" t="s">
        <v>96</v>
      </c>
      <c r="L837" t="s">
        <v>96</v>
      </c>
      <c r="M837">
        <v>1710</v>
      </c>
      <c r="O837" s="12" t="str">
        <f t="shared" si="40"/>
        <v>EUR</v>
      </c>
      <c r="P837" s="12" t="str">
        <f t="shared" si="41"/>
        <v>E_WON</v>
      </c>
    </row>
    <row r="838" spans="1:16" x14ac:dyDescent="0.35">
      <c r="A838" t="s">
        <v>95</v>
      </c>
      <c r="B838" t="s">
        <v>73</v>
      </c>
      <c r="C838" t="s">
        <v>45</v>
      </c>
      <c r="D838" t="s">
        <v>953</v>
      </c>
      <c r="E838" t="s">
        <v>96</v>
      </c>
      <c r="F838" t="s">
        <v>96</v>
      </c>
      <c r="G838" t="s">
        <v>96</v>
      </c>
      <c r="H838">
        <v>2010</v>
      </c>
      <c r="I838" t="s">
        <v>96</v>
      </c>
      <c r="J838" t="s">
        <v>97</v>
      </c>
      <c r="K838" t="s">
        <v>96</v>
      </c>
      <c r="L838" t="s">
        <v>96</v>
      </c>
      <c r="M838">
        <v>1710</v>
      </c>
      <c r="O838" s="12" t="str">
        <f t="shared" si="40"/>
        <v>EUR</v>
      </c>
      <c r="P838" s="12" t="str">
        <f t="shared" si="41"/>
        <v>E_WON</v>
      </c>
    </row>
    <row r="839" spans="1:16" x14ac:dyDescent="0.35">
      <c r="A839" t="s">
        <v>95</v>
      </c>
      <c r="B839" t="s">
        <v>73</v>
      </c>
      <c r="C839" t="s">
        <v>45</v>
      </c>
      <c r="D839" t="s">
        <v>954</v>
      </c>
      <c r="E839" t="s">
        <v>96</v>
      </c>
      <c r="F839" t="s">
        <v>96</v>
      </c>
      <c r="G839" t="s">
        <v>96</v>
      </c>
      <c r="H839">
        <v>2010</v>
      </c>
      <c r="I839" t="s">
        <v>96</v>
      </c>
      <c r="J839" t="s">
        <v>97</v>
      </c>
      <c r="K839" t="s">
        <v>96</v>
      </c>
      <c r="L839" t="s">
        <v>96</v>
      </c>
      <c r="M839">
        <v>1600</v>
      </c>
      <c r="O839" s="12" t="str">
        <f t="shared" si="40"/>
        <v>EUR</v>
      </c>
      <c r="P839" s="12" t="str">
        <f t="shared" si="41"/>
        <v>E_WON</v>
      </c>
    </row>
    <row r="840" spans="1:16" x14ac:dyDescent="0.35">
      <c r="A840" t="s">
        <v>95</v>
      </c>
      <c r="B840" t="s">
        <v>73</v>
      </c>
      <c r="C840" t="s">
        <v>45</v>
      </c>
      <c r="D840" t="s">
        <v>955</v>
      </c>
      <c r="E840" t="s">
        <v>96</v>
      </c>
      <c r="F840" t="s">
        <v>96</v>
      </c>
      <c r="G840" t="s">
        <v>96</v>
      </c>
      <c r="H840">
        <v>2010</v>
      </c>
      <c r="I840" t="s">
        <v>96</v>
      </c>
      <c r="J840" t="s">
        <v>97</v>
      </c>
      <c r="K840" t="s">
        <v>96</v>
      </c>
      <c r="L840" t="s">
        <v>96</v>
      </c>
      <c r="M840">
        <v>1710</v>
      </c>
      <c r="O840" s="12" t="str">
        <f t="shared" si="40"/>
        <v>EUR</v>
      </c>
      <c r="P840" s="12" t="str">
        <f t="shared" si="41"/>
        <v>E_WON</v>
      </c>
    </row>
    <row r="841" spans="1:16" x14ac:dyDescent="0.35">
      <c r="A841" t="s">
        <v>95</v>
      </c>
      <c r="B841" t="s">
        <v>73</v>
      </c>
      <c r="C841" t="s">
        <v>45</v>
      </c>
      <c r="D841" t="s">
        <v>956</v>
      </c>
      <c r="E841" t="s">
        <v>96</v>
      </c>
      <c r="F841" t="s">
        <v>96</v>
      </c>
      <c r="G841" t="s">
        <v>96</v>
      </c>
      <c r="H841">
        <v>2010</v>
      </c>
      <c r="I841" t="s">
        <v>96</v>
      </c>
      <c r="J841" t="s">
        <v>97</v>
      </c>
      <c r="K841" t="s">
        <v>96</v>
      </c>
      <c r="L841" t="s">
        <v>96</v>
      </c>
      <c r="M841">
        <v>1710</v>
      </c>
      <c r="O841" s="12" t="str">
        <f t="shared" si="40"/>
        <v>EUR</v>
      </c>
      <c r="P841" s="12" t="str">
        <f t="shared" si="41"/>
        <v>E_WON</v>
      </c>
    </row>
    <row r="842" spans="1:16" x14ac:dyDescent="0.35">
      <c r="A842" t="s">
        <v>95</v>
      </c>
      <c r="B842" t="s">
        <v>73</v>
      </c>
      <c r="C842" t="s">
        <v>45</v>
      </c>
      <c r="D842" t="s">
        <v>957</v>
      </c>
      <c r="E842" t="s">
        <v>96</v>
      </c>
      <c r="F842" t="s">
        <v>96</v>
      </c>
      <c r="G842" t="s">
        <v>96</v>
      </c>
      <c r="H842">
        <v>2010</v>
      </c>
      <c r="I842" t="s">
        <v>96</v>
      </c>
      <c r="J842" t="s">
        <v>97</v>
      </c>
      <c r="K842" t="s">
        <v>96</v>
      </c>
      <c r="L842" t="s">
        <v>96</v>
      </c>
      <c r="M842">
        <v>1860</v>
      </c>
      <c r="O842" s="12" t="str">
        <f t="shared" si="40"/>
        <v>EUR</v>
      </c>
      <c r="P842" s="12" t="str">
        <f t="shared" si="41"/>
        <v>E_WON</v>
      </c>
    </row>
    <row r="843" spans="1:16" x14ac:dyDescent="0.35">
      <c r="A843" t="s">
        <v>95</v>
      </c>
      <c r="B843" t="s">
        <v>73</v>
      </c>
      <c r="C843" t="s">
        <v>45</v>
      </c>
      <c r="D843" t="s">
        <v>958</v>
      </c>
      <c r="E843" t="s">
        <v>96</v>
      </c>
      <c r="F843" t="s">
        <v>96</v>
      </c>
      <c r="G843" t="s">
        <v>96</v>
      </c>
      <c r="H843">
        <v>2010</v>
      </c>
      <c r="I843" t="s">
        <v>96</v>
      </c>
      <c r="J843" t="s">
        <v>97</v>
      </c>
      <c r="K843" t="s">
        <v>96</v>
      </c>
      <c r="L843" t="s">
        <v>96</v>
      </c>
      <c r="M843">
        <v>1710</v>
      </c>
      <c r="O843" s="12" t="str">
        <f t="shared" si="40"/>
        <v>EUR</v>
      </c>
      <c r="P843" s="12" t="str">
        <f t="shared" si="41"/>
        <v>E_WON</v>
      </c>
    </row>
    <row r="844" spans="1:16" x14ac:dyDescent="0.35">
      <c r="A844" t="s">
        <v>95</v>
      </c>
      <c r="B844" t="s">
        <v>73</v>
      </c>
      <c r="C844" t="s">
        <v>45</v>
      </c>
      <c r="D844" t="s">
        <v>959</v>
      </c>
      <c r="E844" t="s">
        <v>96</v>
      </c>
      <c r="F844" t="s">
        <v>96</v>
      </c>
      <c r="G844" t="s">
        <v>96</v>
      </c>
      <c r="H844">
        <v>2010</v>
      </c>
      <c r="I844" t="s">
        <v>96</v>
      </c>
      <c r="J844" t="s">
        <v>97</v>
      </c>
      <c r="K844" t="s">
        <v>96</v>
      </c>
      <c r="L844" t="s">
        <v>96</v>
      </c>
      <c r="M844">
        <v>1710</v>
      </c>
      <c r="O844" s="12" t="str">
        <f t="shared" si="40"/>
        <v>EUR</v>
      </c>
      <c r="P844" s="12" t="str">
        <f t="shared" si="41"/>
        <v>E_WON</v>
      </c>
    </row>
    <row r="845" spans="1:16" x14ac:dyDescent="0.35">
      <c r="A845" t="s">
        <v>95</v>
      </c>
      <c r="B845" t="s">
        <v>73</v>
      </c>
      <c r="C845" t="s">
        <v>45</v>
      </c>
      <c r="D845" t="s">
        <v>960</v>
      </c>
      <c r="E845" t="s">
        <v>96</v>
      </c>
      <c r="F845" t="s">
        <v>96</v>
      </c>
      <c r="G845" t="s">
        <v>96</v>
      </c>
      <c r="H845">
        <v>2010</v>
      </c>
      <c r="I845" t="s">
        <v>96</v>
      </c>
      <c r="J845" t="s">
        <v>97</v>
      </c>
      <c r="K845" t="s">
        <v>96</v>
      </c>
      <c r="L845" t="s">
        <v>96</v>
      </c>
      <c r="M845">
        <v>1330</v>
      </c>
      <c r="O845" s="12" t="str">
        <f t="shared" si="40"/>
        <v>EUR</v>
      </c>
      <c r="P845" s="12" t="str">
        <f t="shared" si="41"/>
        <v>E_WON</v>
      </c>
    </row>
    <row r="846" spans="1:16" x14ac:dyDescent="0.35">
      <c r="A846" t="s">
        <v>95</v>
      </c>
      <c r="B846" t="s">
        <v>73</v>
      </c>
      <c r="C846" t="s">
        <v>45</v>
      </c>
      <c r="D846" t="s">
        <v>961</v>
      </c>
      <c r="E846" t="s">
        <v>96</v>
      </c>
      <c r="F846" t="s">
        <v>96</v>
      </c>
      <c r="G846" t="s">
        <v>96</v>
      </c>
      <c r="H846">
        <v>2010</v>
      </c>
      <c r="I846" t="s">
        <v>96</v>
      </c>
      <c r="J846" t="s">
        <v>97</v>
      </c>
      <c r="K846" t="s">
        <v>96</v>
      </c>
      <c r="L846" t="s">
        <v>96</v>
      </c>
      <c r="M846">
        <v>1890</v>
      </c>
      <c r="O846" s="12" t="str">
        <f t="shared" si="40"/>
        <v>EUR</v>
      </c>
      <c r="P846" s="12" t="str">
        <f t="shared" si="41"/>
        <v>E_WON</v>
      </c>
    </row>
    <row r="847" spans="1:16" x14ac:dyDescent="0.35">
      <c r="A847" t="s">
        <v>95</v>
      </c>
      <c r="B847" t="s">
        <v>73</v>
      </c>
      <c r="C847" t="s">
        <v>45</v>
      </c>
      <c r="D847" t="s">
        <v>962</v>
      </c>
      <c r="E847" t="s">
        <v>96</v>
      </c>
      <c r="F847" t="s">
        <v>96</v>
      </c>
      <c r="G847" t="s">
        <v>96</v>
      </c>
      <c r="H847">
        <v>2010</v>
      </c>
      <c r="I847" t="s">
        <v>96</v>
      </c>
      <c r="J847" t="s">
        <v>97</v>
      </c>
      <c r="K847" t="s">
        <v>96</v>
      </c>
      <c r="L847" t="s">
        <v>96</v>
      </c>
      <c r="M847">
        <v>1710</v>
      </c>
      <c r="O847" s="12" t="str">
        <f t="shared" si="40"/>
        <v>EUR</v>
      </c>
      <c r="P847" s="12" t="str">
        <f t="shared" si="41"/>
        <v>E_WON</v>
      </c>
    </row>
    <row r="848" spans="1:16" x14ac:dyDescent="0.35">
      <c r="A848" t="s">
        <v>95</v>
      </c>
      <c r="B848" t="s">
        <v>73</v>
      </c>
      <c r="C848" t="s">
        <v>45</v>
      </c>
      <c r="D848" t="s">
        <v>963</v>
      </c>
      <c r="E848" t="s">
        <v>96</v>
      </c>
      <c r="F848" t="s">
        <v>96</v>
      </c>
      <c r="G848" t="s">
        <v>96</v>
      </c>
      <c r="H848">
        <v>2010</v>
      </c>
      <c r="I848" t="s">
        <v>96</v>
      </c>
      <c r="J848" t="s">
        <v>97</v>
      </c>
      <c r="K848" t="s">
        <v>96</v>
      </c>
      <c r="L848" t="s">
        <v>96</v>
      </c>
      <c r="M848">
        <v>1710</v>
      </c>
      <c r="O848" s="12" t="str">
        <f t="shared" si="40"/>
        <v>EUR</v>
      </c>
      <c r="P848" s="12" t="str">
        <f t="shared" si="41"/>
        <v>E_WON</v>
      </c>
    </row>
    <row r="849" spans="1:16" x14ac:dyDescent="0.35">
      <c r="A849" t="s">
        <v>95</v>
      </c>
      <c r="B849" t="s">
        <v>73</v>
      </c>
      <c r="C849" t="s">
        <v>45</v>
      </c>
      <c r="D849" t="s">
        <v>964</v>
      </c>
      <c r="E849" t="s">
        <v>96</v>
      </c>
      <c r="F849" t="s">
        <v>96</v>
      </c>
      <c r="G849" t="s">
        <v>96</v>
      </c>
      <c r="H849">
        <v>2010</v>
      </c>
      <c r="I849" t="s">
        <v>96</v>
      </c>
      <c r="J849" t="s">
        <v>97</v>
      </c>
      <c r="K849" t="s">
        <v>96</v>
      </c>
      <c r="L849" t="s">
        <v>96</v>
      </c>
      <c r="M849">
        <v>1710</v>
      </c>
      <c r="O849" s="12" t="str">
        <f t="shared" si="40"/>
        <v>EUR</v>
      </c>
      <c r="P849" s="12" t="str">
        <f t="shared" si="41"/>
        <v>E_WON</v>
      </c>
    </row>
    <row r="850" spans="1:16" x14ac:dyDescent="0.35">
      <c r="A850" t="s">
        <v>95</v>
      </c>
      <c r="B850" t="s">
        <v>73</v>
      </c>
      <c r="C850" t="s">
        <v>45</v>
      </c>
      <c r="D850" t="s">
        <v>965</v>
      </c>
      <c r="E850" t="s">
        <v>96</v>
      </c>
      <c r="F850" t="s">
        <v>96</v>
      </c>
      <c r="G850" t="s">
        <v>96</v>
      </c>
      <c r="H850">
        <v>2010</v>
      </c>
      <c r="I850" t="s">
        <v>96</v>
      </c>
      <c r="J850" t="s">
        <v>97</v>
      </c>
      <c r="K850" t="s">
        <v>96</v>
      </c>
      <c r="L850" t="s">
        <v>96</v>
      </c>
      <c r="M850">
        <v>1790</v>
      </c>
      <c r="O850" s="12" t="str">
        <f t="shared" si="40"/>
        <v>EUR</v>
      </c>
      <c r="P850" s="12" t="str">
        <f t="shared" si="41"/>
        <v>E_WON</v>
      </c>
    </row>
    <row r="851" spans="1:16" x14ac:dyDescent="0.35">
      <c r="A851" t="s">
        <v>95</v>
      </c>
      <c r="B851" t="s">
        <v>73</v>
      </c>
      <c r="C851" t="s">
        <v>45</v>
      </c>
      <c r="D851" t="s">
        <v>966</v>
      </c>
      <c r="E851" t="s">
        <v>96</v>
      </c>
      <c r="F851" t="s">
        <v>96</v>
      </c>
      <c r="G851" t="s">
        <v>96</v>
      </c>
      <c r="H851">
        <v>2010</v>
      </c>
      <c r="I851" t="s">
        <v>96</v>
      </c>
      <c r="J851" t="s">
        <v>97</v>
      </c>
      <c r="K851" t="s">
        <v>96</v>
      </c>
      <c r="L851" t="s">
        <v>96</v>
      </c>
      <c r="M851">
        <v>1520</v>
      </c>
      <c r="O851" s="12" t="str">
        <f t="shared" si="40"/>
        <v>EUR</v>
      </c>
      <c r="P851" s="12" t="str">
        <f t="shared" si="41"/>
        <v>E_WON</v>
      </c>
    </row>
    <row r="852" spans="1:16" x14ac:dyDescent="0.35">
      <c r="A852" t="s">
        <v>95</v>
      </c>
      <c r="B852" t="s">
        <v>73</v>
      </c>
      <c r="C852" t="s">
        <v>45</v>
      </c>
      <c r="D852" t="s">
        <v>967</v>
      </c>
      <c r="E852" t="s">
        <v>96</v>
      </c>
      <c r="F852" t="s">
        <v>96</v>
      </c>
      <c r="G852" t="s">
        <v>96</v>
      </c>
      <c r="H852">
        <v>2010</v>
      </c>
      <c r="I852" t="s">
        <v>96</v>
      </c>
      <c r="J852" t="s">
        <v>97</v>
      </c>
      <c r="K852" t="s">
        <v>96</v>
      </c>
      <c r="L852" t="s">
        <v>96</v>
      </c>
      <c r="M852">
        <v>1970</v>
      </c>
      <c r="O852" s="12" t="str">
        <f t="shared" si="40"/>
        <v>EUR</v>
      </c>
      <c r="P852" s="12" t="str">
        <f t="shared" si="41"/>
        <v>E_WON</v>
      </c>
    </row>
    <row r="853" spans="1:16" x14ac:dyDescent="0.35">
      <c r="A853" t="s">
        <v>95</v>
      </c>
      <c r="B853" t="s">
        <v>73</v>
      </c>
      <c r="C853" t="s">
        <v>45</v>
      </c>
      <c r="D853" t="s">
        <v>968</v>
      </c>
      <c r="E853" t="s">
        <v>96</v>
      </c>
      <c r="F853" t="s">
        <v>96</v>
      </c>
      <c r="G853" t="s">
        <v>96</v>
      </c>
      <c r="H853">
        <v>2010</v>
      </c>
      <c r="I853" t="s">
        <v>96</v>
      </c>
      <c r="J853" t="s">
        <v>97</v>
      </c>
      <c r="K853" t="s">
        <v>96</v>
      </c>
      <c r="L853" t="s">
        <v>96</v>
      </c>
      <c r="M853">
        <v>1710</v>
      </c>
      <c r="O853" s="12" t="str">
        <f t="shared" si="40"/>
        <v>EUR</v>
      </c>
      <c r="P853" s="12" t="str">
        <f t="shared" si="41"/>
        <v>E_WON</v>
      </c>
    </row>
    <row r="854" spans="1:16" x14ac:dyDescent="0.35">
      <c r="A854" t="s">
        <v>95</v>
      </c>
      <c r="B854" t="s">
        <v>73</v>
      </c>
      <c r="C854" t="s">
        <v>45</v>
      </c>
      <c r="D854" t="s">
        <v>969</v>
      </c>
      <c r="E854" t="s">
        <v>96</v>
      </c>
      <c r="F854" t="s">
        <v>96</v>
      </c>
      <c r="G854" t="s">
        <v>96</v>
      </c>
      <c r="H854">
        <v>2010</v>
      </c>
      <c r="I854" t="s">
        <v>96</v>
      </c>
      <c r="J854" t="s">
        <v>97</v>
      </c>
      <c r="K854" t="s">
        <v>96</v>
      </c>
      <c r="L854" t="s">
        <v>96</v>
      </c>
      <c r="M854">
        <v>1610</v>
      </c>
      <c r="O854" s="12" t="str">
        <f t="shared" si="40"/>
        <v>EUR</v>
      </c>
      <c r="P854" s="12" t="str">
        <f t="shared" si="41"/>
        <v>E_WON</v>
      </c>
    </row>
    <row r="855" spans="1:16" x14ac:dyDescent="0.35">
      <c r="A855" t="s">
        <v>95</v>
      </c>
      <c r="B855" t="s">
        <v>73</v>
      </c>
      <c r="C855" t="s">
        <v>45</v>
      </c>
      <c r="D855" t="s">
        <v>970</v>
      </c>
      <c r="E855" t="s">
        <v>96</v>
      </c>
      <c r="F855" t="s">
        <v>96</v>
      </c>
      <c r="G855" t="s">
        <v>96</v>
      </c>
      <c r="H855">
        <v>2010</v>
      </c>
      <c r="I855" t="s">
        <v>96</v>
      </c>
      <c r="J855" t="s">
        <v>97</v>
      </c>
      <c r="K855" t="s">
        <v>96</v>
      </c>
      <c r="L855" t="s">
        <v>96</v>
      </c>
      <c r="M855">
        <v>1710</v>
      </c>
      <c r="O855" s="12" t="str">
        <f t="shared" si="40"/>
        <v>EUR</v>
      </c>
      <c r="P855" s="12" t="str">
        <f t="shared" si="41"/>
        <v>E_WON</v>
      </c>
    </row>
    <row r="856" spans="1:16" x14ac:dyDescent="0.35">
      <c r="A856" t="s">
        <v>95</v>
      </c>
      <c r="B856" t="s">
        <v>73</v>
      </c>
      <c r="C856" t="s">
        <v>45</v>
      </c>
      <c r="D856" t="s">
        <v>971</v>
      </c>
      <c r="E856" t="s">
        <v>96</v>
      </c>
      <c r="F856" t="s">
        <v>96</v>
      </c>
      <c r="G856" t="s">
        <v>96</v>
      </c>
      <c r="H856">
        <v>2010</v>
      </c>
      <c r="I856" t="s">
        <v>96</v>
      </c>
      <c r="J856" t="s">
        <v>97</v>
      </c>
      <c r="K856" t="s">
        <v>96</v>
      </c>
      <c r="L856" t="s">
        <v>96</v>
      </c>
      <c r="M856">
        <v>1600</v>
      </c>
      <c r="O856" s="12" t="str">
        <f t="shared" si="40"/>
        <v>EUR</v>
      </c>
      <c r="P856" s="12" t="str">
        <f t="shared" si="41"/>
        <v>E_WON</v>
      </c>
    </row>
    <row r="857" spans="1:16" x14ac:dyDescent="0.35">
      <c r="A857" t="s">
        <v>95</v>
      </c>
      <c r="B857" t="s">
        <v>73</v>
      </c>
      <c r="C857" t="s">
        <v>45</v>
      </c>
      <c r="D857" t="s">
        <v>972</v>
      </c>
      <c r="E857" t="s">
        <v>96</v>
      </c>
      <c r="F857" t="s">
        <v>96</v>
      </c>
      <c r="G857" t="s">
        <v>96</v>
      </c>
      <c r="H857">
        <v>2010</v>
      </c>
      <c r="I857" t="s">
        <v>96</v>
      </c>
      <c r="J857" t="s">
        <v>97</v>
      </c>
      <c r="K857" t="s">
        <v>96</v>
      </c>
      <c r="L857" t="s">
        <v>96</v>
      </c>
      <c r="M857">
        <v>1710</v>
      </c>
      <c r="O857" s="12" t="str">
        <f t="shared" si="40"/>
        <v>EUR</v>
      </c>
      <c r="P857" s="12" t="str">
        <f t="shared" si="41"/>
        <v>E_WON</v>
      </c>
    </row>
    <row r="858" spans="1:16" x14ac:dyDescent="0.35">
      <c r="A858" t="s">
        <v>95</v>
      </c>
      <c r="B858" t="s">
        <v>73</v>
      </c>
      <c r="C858" t="s">
        <v>45</v>
      </c>
      <c r="D858" t="s">
        <v>973</v>
      </c>
      <c r="E858" t="s">
        <v>96</v>
      </c>
      <c r="F858" t="s">
        <v>96</v>
      </c>
      <c r="G858" t="s">
        <v>96</v>
      </c>
      <c r="H858">
        <v>2010</v>
      </c>
      <c r="I858" t="s">
        <v>96</v>
      </c>
      <c r="J858" t="s">
        <v>97</v>
      </c>
      <c r="K858" t="s">
        <v>96</v>
      </c>
      <c r="L858" t="s">
        <v>96</v>
      </c>
      <c r="M858">
        <v>1670</v>
      </c>
      <c r="O858" s="12" t="str">
        <f t="shared" si="40"/>
        <v>EUR</v>
      </c>
      <c r="P858" s="12" t="str">
        <f t="shared" si="41"/>
        <v>E_WON</v>
      </c>
    </row>
    <row r="859" spans="1:16" x14ac:dyDescent="0.35">
      <c r="A859" t="s">
        <v>95</v>
      </c>
      <c r="B859" t="s">
        <v>73</v>
      </c>
      <c r="C859" t="s">
        <v>45</v>
      </c>
      <c r="D859" t="s">
        <v>974</v>
      </c>
      <c r="E859" t="s">
        <v>96</v>
      </c>
      <c r="F859" t="s">
        <v>96</v>
      </c>
      <c r="G859" t="s">
        <v>96</v>
      </c>
      <c r="H859">
        <v>2010</v>
      </c>
      <c r="I859" t="s">
        <v>96</v>
      </c>
      <c r="J859" t="s">
        <v>97</v>
      </c>
      <c r="K859" t="s">
        <v>96</v>
      </c>
      <c r="L859" t="s">
        <v>96</v>
      </c>
      <c r="M859">
        <v>1710</v>
      </c>
      <c r="O859" s="12" t="str">
        <f t="shared" si="40"/>
        <v>EUR</v>
      </c>
      <c r="P859" s="12" t="str">
        <f t="shared" si="41"/>
        <v>E_WON</v>
      </c>
    </row>
    <row r="860" spans="1:16" x14ac:dyDescent="0.35">
      <c r="A860" t="s">
        <v>95</v>
      </c>
      <c r="B860" t="s">
        <v>73</v>
      </c>
      <c r="C860" t="s">
        <v>45</v>
      </c>
      <c r="D860" t="s">
        <v>975</v>
      </c>
      <c r="E860" t="s">
        <v>96</v>
      </c>
      <c r="F860" t="s">
        <v>96</v>
      </c>
      <c r="G860" t="s">
        <v>96</v>
      </c>
      <c r="H860">
        <v>2010</v>
      </c>
      <c r="I860" t="s">
        <v>96</v>
      </c>
      <c r="J860" t="s">
        <v>97</v>
      </c>
      <c r="K860" t="s">
        <v>96</v>
      </c>
      <c r="L860" t="s">
        <v>96</v>
      </c>
      <c r="M860">
        <v>1860</v>
      </c>
      <c r="O860" s="12" t="str">
        <f t="shared" si="40"/>
        <v>EUR</v>
      </c>
      <c r="P860" s="12" t="str">
        <f t="shared" si="41"/>
        <v>E_WON</v>
      </c>
    </row>
    <row r="861" spans="1:16" x14ac:dyDescent="0.35">
      <c r="A861" t="s">
        <v>95</v>
      </c>
      <c r="B861" t="s">
        <v>73</v>
      </c>
      <c r="C861" t="s">
        <v>45</v>
      </c>
      <c r="D861" t="s">
        <v>976</v>
      </c>
      <c r="E861" t="s">
        <v>96</v>
      </c>
      <c r="F861" t="s">
        <v>96</v>
      </c>
      <c r="G861" t="s">
        <v>96</v>
      </c>
      <c r="H861">
        <v>2010</v>
      </c>
      <c r="I861" t="s">
        <v>96</v>
      </c>
      <c r="J861" t="s">
        <v>97</v>
      </c>
      <c r="K861" t="s">
        <v>96</v>
      </c>
      <c r="L861" t="s">
        <v>96</v>
      </c>
      <c r="M861">
        <v>1710</v>
      </c>
      <c r="O861" s="12" t="str">
        <f t="shared" si="40"/>
        <v>EUR</v>
      </c>
      <c r="P861" s="12" t="str">
        <f t="shared" si="41"/>
        <v>E_WON</v>
      </c>
    </row>
    <row r="862" spans="1:16" x14ac:dyDescent="0.35">
      <c r="A862" t="s">
        <v>95</v>
      </c>
      <c r="B862" t="s">
        <v>73</v>
      </c>
      <c r="C862" t="s">
        <v>45</v>
      </c>
      <c r="D862" t="s">
        <v>977</v>
      </c>
      <c r="E862" t="s">
        <v>96</v>
      </c>
      <c r="F862" t="s">
        <v>96</v>
      </c>
      <c r="G862" t="s">
        <v>96</v>
      </c>
      <c r="H862">
        <v>2010</v>
      </c>
      <c r="I862" t="s">
        <v>96</v>
      </c>
      <c r="J862" t="s">
        <v>97</v>
      </c>
      <c r="K862" t="s">
        <v>96</v>
      </c>
      <c r="L862" t="s">
        <v>96</v>
      </c>
      <c r="M862">
        <v>1330</v>
      </c>
      <c r="O862" s="12" t="str">
        <f t="shared" si="40"/>
        <v>EUR</v>
      </c>
      <c r="P862" s="12" t="str">
        <f t="shared" si="41"/>
        <v>E_WON</v>
      </c>
    </row>
    <row r="863" spans="1:16" x14ac:dyDescent="0.35">
      <c r="A863" t="s">
        <v>95</v>
      </c>
      <c r="B863" t="s">
        <v>73</v>
      </c>
      <c r="C863" t="s">
        <v>45</v>
      </c>
      <c r="D863" t="s">
        <v>978</v>
      </c>
      <c r="E863" t="s">
        <v>96</v>
      </c>
      <c r="F863" t="s">
        <v>96</v>
      </c>
      <c r="G863" t="s">
        <v>96</v>
      </c>
      <c r="H863">
        <v>2010</v>
      </c>
      <c r="I863" t="s">
        <v>96</v>
      </c>
      <c r="J863" t="s">
        <v>97</v>
      </c>
      <c r="K863" t="s">
        <v>96</v>
      </c>
      <c r="L863" t="s">
        <v>96</v>
      </c>
      <c r="M863">
        <v>1890</v>
      </c>
      <c r="O863" s="12" t="str">
        <f t="shared" si="40"/>
        <v>EUR</v>
      </c>
      <c r="P863" s="12" t="str">
        <f t="shared" si="41"/>
        <v>E_WON</v>
      </c>
    </row>
    <row r="864" spans="1:16" x14ac:dyDescent="0.35">
      <c r="A864" t="s">
        <v>95</v>
      </c>
      <c r="B864" t="s">
        <v>73</v>
      </c>
      <c r="C864" t="s">
        <v>45</v>
      </c>
      <c r="D864" t="s">
        <v>979</v>
      </c>
      <c r="E864" t="s">
        <v>96</v>
      </c>
      <c r="F864" t="s">
        <v>96</v>
      </c>
      <c r="G864" t="s">
        <v>96</v>
      </c>
      <c r="H864">
        <v>2010</v>
      </c>
      <c r="I864" t="s">
        <v>96</v>
      </c>
      <c r="J864" t="s">
        <v>97</v>
      </c>
      <c r="K864" t="s">
        <v>96</v>
      </c>
      <c r="L864" t="s">
        <v>96</v>
      </c>
      <c r="M864">
        <v>1710</v>
      </c>
      <c r="O864" s="12" t="str">
        <f t="shared" si="40"/>
        <v>EUR</v>
      </c>
      <c r="P864" s="12" t="str">
        <f t="shared" si="41"/>
        <v>E_WON</v>
      </c>
    </row>
    <row r="865" spans="1:16" x14ac:dyDescent="0.35">
      <c r="A865" t="s">
        <v>95</v>
      </c>
      <c r="B865" t="s">
        <v>73</v>
      </c>
      <c r="C865" t="s">
        <v>45</v>
      </c>
      <c r="D865" t="s">
        <v>980</v>
      </c>
      <c r="E865" t="s">
        <v>96</v>
      </c>
      <c r="F865" t="s">
        <v>96</v>
      </c>
      <c r="G865" t="s">
        <v>96</v>
      </c>
      <c r="H865">
        <v>2010</v>
      </c>
      <c r="I865" t="s">
        <v>96</v>
      </c>
      <c r="J865" t="s">
        <v>97</v>
      </c>
      <c r="K865" t="s">
        <v>96</v>
      </c>
      <c r="L865" t="s">
        <v>96</v>
      </c>
      <c r="M865">
        <v>1790</v>
      </c>
      <c r="O865" s="12" t="str">
        <f t="shared" si="40"/>
        <v>EUR</v>
      </c>
      <c r="P865" s="12" t="str">
        <f t="shared" si="41"/>
        <v>E_WON</v>
      </c>
    </row>
    <row r="866" spans="1:16" x14ac:dyDescent="0.35">
      <c r="A866" t="s">
        <v>95</v>
      </c>
      <c r="B866" t="s">
        <v>73</v>
      </c>
      <c r="C866" t="s">
        <v>45</v>
      </c>
      <c r="D866" t="s">
        <v>981</v>
      </c>
      <c r="E866" t="s">
        <v>96</v>
      </c>
      <c r="F866" t="s">
        <v>96</v>
      </c>
      <c r="G866" t="s">
        <v>96</v>
      </c>
      <c r="H866">
        <v>2010</v>
      </c>
      <c r="I866" t="s">
        <v>96</v>
      </c>
      <c r="J866" t="s">
        <v>97</v>
      </c>
      <c r="K866" t="s">
        <v>96</v>
      </c>
      <c r="L866" t="s">
        <v>96</v>
      </c>
      <c r="M866">
        <v>1790</v>
      </c>
      <c r="O866" s="12" t="str">
        <f t="shared" si="40"/>
        <v>EUR</v>
      </c>
      <c r="P866" s="12" t="str">
        <f t="shared" si="41"/>
        <v>E_WON</v>
      </c>
    </row>
    <row r="867" spans="1:16" x14ac:dyDescent="0.35">
      <c r="A867" t="s">
        <v>95</v>
      </c>
      <c r="B867" t="s">
        <v>73</v>
      </c>
      <c r="C867" t="s">
        <v>45</v>
      </c>
      <c r="D867" t="s">
        <v>982</v>
      </c>
      <c r="E867" t="s">
        <v>96</v>
      </c>
      <c r="F867" t="s">
        <v>96</v>
      </c>
      <c r="G867" t="s">
        <v>96</v>
      </c>
      <c r="H867">
        <v>2010</v>
      </c>
      <c r="I867" t="s">
        <v>96</v>
      </c>
      <c r="J867" t="s">
        <v>97</v>
      </c>
      <c r="K867" t="s">
        <v>96</v>
      </c>
      <c r="L867" t="s">
        <v>96</v>
      </c>
      <c r="M867">
        <v>1520</v>
      </c>
      <c r="O867" s="12" t="str">
        <f t="shared" si="40"/>
        <v>EUR</v>
      </c>
      <c r="P867" s="12" t="str">
        <f t="shared" si="41"/>
        <v>E_WON</v>
      </c>
    </row>
    <row r="868" spans="1:16" x14ac:dyDescent="0.35">
      <c r="A868" t="s">
        <v>95</v>
      </c>
      <c r="B868" t="s">
        <v>73</v>
      </c>
      <c r="C868" t="s">
        <v>45</v>
      </c>
      <c r="D868" t="s">
        <v>983</v>
      </c>
      <c r="E868" t="s">
        <v>96</v>
      </c>
      <c r="F868" t="s">
        <v>96</v>
      </c>
      <c r="G868" t="s">
        <v>96</v>
      </c>
      <c r="H868">
        <v>2010</v>
      </c>
      <c r="I868" t="s">
        <v>96</v>
      </c>
      <c r="J868" t="s">
        <v>97</v>
      </c>
      <c r="K868" t="s">
        <v>96</v>
      </c>
      <c r="L868" t="s">
        <v>96</v>
      </c>
      <c r="M868">
        <v>1970</v>
      </c>
      <c r="O868" s="12" t="str">
        <f t="shared" si="40"/>
        <v>EUR</v>
      </c>
      <c r="P868" s="12" t="str">
        <f t="shared" si="41"/>
        <v>E_WON</v>
      </c>
    </row>
    <row r="869" spans="1:16" x14ac:dyDescent="0.35">
      <c r="A869" t="s">
        <v>95</v>
      </c>
      <c r="B869" t="s">
        <v>73</v>
      </c>
      <c r="C869" t="s">
        <v>45</v>
      </c>
      <c r="D869" t="s">
        <v>984</v>
      </c>
      <c r="E869" t="s">
        <v>96</v>
      </c>
      <c r="F869" t="s">
        <v>96</v>
      </c>
      <c r="G869" t="s">
        <v>96</v>
      </c>
      <c r="H869">
        <v>2010</v>
      </c>
      <c r="I869" t="s">
        <v>96</v>
      </c>
      <c r="J869" t="s">
        <v>97</v>
      </c>
      <c r="K869" t="s">
        <v>96</v>
      </c>
      <c r="L869" t="s">
        <v>96</v>
      </c>
      <c r="M869">
        <v>1710</v>
      </c>
      <c r="O869" s="12" t="str">
        <f t="shared" si="40"/>
        <v>EUR</v>
      </c>
      <c r="P869" s="12" t="str">
        <f t="shared" si="41"/>
        <v>E_WON</v>
      </c>
    </row>
    <row r="870" spans="1:16" x14ac:dyDescent="0.35">
      <c r="A870" t="s">
        <v>95</v>
      </c>
      <c r="B870" t="s">
        <v>73</v>
      </c>
      <c r="C870" t="s">
        <v>45</v>
      </c>
      <c r="D870" t="s">
        <v>985</v>
      </c>
      <c r="E870" t="s">
        <v>96</v>
      </c>
      <c r="F870" t="s">
        <v>96</v>
      </c>
      <c r="G870" t="s">
        <v>96</v>
      </c>
      <c r="H870">
        <v>2010</v>
      </c>
      <c r="I870" t="s">
        <v>96</v>
      </c>
      <c r="J870" t="s">
        <v>97</v>
      </c>
      <c r="K870" t="s">
        <v>96</v>
      </c>
      <c r="L870" t="s">
        <v>96</v>
      </c>
      <c r="M870">
        <v>1610</v>
      </c>
      <c r="O870" s="12" t="str">
        <f t="shared" si="40"/>
        <v>EUR</v>
      </c>
      <c r="P870" s="12" t="str">
        <f t="shared" si="41"/>
        <v>E_WON</v>
      </c>
    </row>
    <row r="871" spans="1:16" x14ac:dyDescent="0.35">
      <c r="A871" t="s">
        <v>95</v>
      </c>
      <c r="B871" t="s">
        <v>73</v>
      </c>
      <c r="C871" t="s">
        <v>45</v>
      </c>
      <c r="D871" t="s">
        <v>986</v>
      </c>
      <c r="E871" t="s">
        <v>96</v>
      </c>
      <c r="F871" t="s">
        <v>96</v>
      </c>
      <c r="G871" t="s">
        <v>96</v>
      </c>
      <c r="H871">
        <v>2010</v>
      </c>
      <c r="I871" t="s">
        <v>96</v>
      </c>
      <c r="J871" t="s">
        <v>97</v>
      </c>
      <c r="K871" t="s">
        <v>96</v>
      </c>
      <c r="L871" t="s">
        <v>96</v>
      </c>
      <c r="M871">
        <v>1780</v>
      </c>
      <c r="O871" s="12" t="str">
        <f t="shared" si="40"/>
        <v>EUR</v>
      </c>
      <c r="P871" s="12" t="str">
        <f t="shared" si="41"/>
        <v>E_WON</v>
      </c>
    </row>
    <row r="872" spans="1:16" x14ac:dyDescent="0.35">
      <c r="A872" t="s">
        <v>95</v>
      </c>
      <c r="B872" t="s">
        <v>73</v>
      </c>
      <c r="C872" t="s">
        <v>45</v>
      </c>
      <c r="D872" t="s">
        <v>987</v>
      </c>
      <c r="E872" t="s">
        <v>96</v>
      </c>
      <c r="F872" t="s">
        <v>96</v>
      </c>
      <c r="G872" t="s">
        <v>96</v>
      </c>
      <c r="H872">
        <v>2010</v>
      </c>
      <c r="I872" t="s">
        <v>96</v>
      </c>
      <c r="J872" t="s">
        <v>97</v>
      </c>
      <c r="K872" t="s">
        <v>96</v>
      </c>
      <c r="L872" t="s">
        <v>96</v>
      </c>
      <c r="M872">
        <v>1710</v>
      </c>
      <c r="O872" s="12" t="str">
        <f t="shared" si="40"/>
        <v>EUR</v>
      </c>
      <c r="P872" s="12" t="str">
        <f t="shared" si="41"/>
        <v>E_WON</v>
      </c>
    </row>
    <row r="873" spans="1:16" x14ac:dyDescent="0.35">
      <c r="A873" t="s">
        <v>95</v>
      </c>
      <c r="B873" t="s">
        <v>73</v>
      </c>
      <c r="C873" t="s">
        <v>45</v>
      </c>
      <c r="D873" t="s">
        <v>988</v>
      </c>
      <c r="E873" t="s">
        <v>96</v>
      </c>
      <c r="F873" t="s">
        <v>96</v>
      </c>
      <c r="G873" t="s">
        <v>96</v>
      </c>
      <c r="H873">
        <v>2010</v>
      </c>
      <c r="I873" t="s">
        <v>96</v>
      </c>
      <c r="J873" t="s">
        <v>97</v>
      </c>
      <c r="K873" t="s">
        <v>96</v>
      </c>
      <c r="L873" t="s">
        <v>96</v>
      </c>
      <c r="M873">
        <v>1670</v>
      </c>
      <c r="O873" s="12" t="str">
        <f t="shared" si="40"/>
        <v>EUR</v>
      </c>
      <c r="P873" s="12" t="str">
        <f t="shared" si="41"/>
        <v>E_WON</v>
      </c>
    </row>
    <row r="874" spans="1:16" x14ac:dyDescent="0.35">
      <c r="A874" t="s">
        <v>95</v>
      </c>
      <c r="B874" t="s">
        <v>73</v>
      </c>
      <c r="C874" t="s">
        <v>45</v>
      </c>
      <c r="D874" t="s">
        <v>989</v>
      </c>
      <c r="E874" t="s">
        <v>96</v>
      </c>
      <c r="F874" t="s">
        <v>96</v>
      </c>
      <c r="G874" t="s">
        <v>96</v>
      </c>
      <c r="H874">
        <v>2010</v>
      </c>
      <c r="I874" t="s">
        <v>96</v>
      </c>
      <c r="J874" t="s">
        <v>97</v>
      </c>
      <c r="K874" t="s">
        <v>96</v>
      </c>
      <c r="L874" t="s">
        <v>96</v>
      </c>
      <c r="M874">
        <v>1710</v>
      </c>
      <c r="O874" s="12" t="str">
        <f t="shared" si="40"/>
        <v>EUR</v>
      </c>
      <c r="P874" s="12" t="str">
        <f t="shared" si="41"/>
        <v>E_WON</v>
      </c>
    </row>
    <row r="875" spans="1:16" x14ac:dyDescent="0.35">
      <c r="A875" t="s">
        <v>95</v>
      </c>
      <c r="B875" t="s">
        <v>73</v>
      </c>
      <c r="C875" t="s">
        <v>45</v>
      </c>
      <c r="D875" t="s">
        <v>990</v>
      </c>
      <c r="E875" t="s">
        <v>96</v>
      </c>
      <c r="F875" t="s">
        <v>96</v>
      </c>
      <c r="G875" t="s">
        <v>96</v>
      </c>
      <c r="H875">
        <v>2010</v>
      </c>
      <c r="I875" t="s">
        <v>96</v>
      </c>
      <c r="J875" t="s">
        <v>97</v>
      </c>
      <c r="K875" t="s">
        <v>96</v>
      </c>
      <c r="L875" t="s">
        <v>96</v>
      </c>
      <c r="M875">
        <v>1860</v>
      </c>
      <c r="O875" s="12" t="str">
        <f t="shared" si="40"/>
        <v>EUR</v>
      </c>
      <c r="P875" s="12" t="str">
        <f t="shared" si="41"/>
        <v>E_WON</v>
      </c>
    </row>
    <row r="876" spans="1:16" x14ac:dyDescent="0.35">
      <c r="A876" t="s">
        <v>95</v>
      </c>
      <c r="B876" t="s">
        <v>73</v>
      </c>
      <c r="C876" t="s">
        <v>45</v>
      </c>
      <c r="D876" t="s">
        <v>991</v>
      </c>
      <c r="E876" t="s">
        <v>96</v>
      </c>
      <c r="F876" t="s">
        <v>96</v>
      </c>
      <c r="G876" t="s">
        <v>96</v>
      </c>
      <c r="H876">
        <v>2010</v>
      </c>
      <c r="I876" t="s">
        <v>96</v>
      </c>
      <c r="J876" t="s">
        <v>97</v>
      </c>
      <c r="K876" t="s">
        <v>96</v>
      </c>
      <c r="L876" t="s">
        <v>96</v>
      </c>
      <c r="M876">
        <v>1330</v>
      </c>
      <c r="O876" s="12" t="str">
        <f t="shared" si="40"/>
        <v>EUR</v>
      </c>
      <c r="P876" s="12" t="str">
        <f t="shared" si="41"/>
        <v>E_WON</v>
      </c>
    </row>
    <row r="877" spans="1:16" x14ac:dyDescent="0.35">
      <c r="A877" t="s">
        <v>95</v>
      </c>
      <c r="B877" t="s">
        <v>73</v>
      </c>
      <c r="C877" t="s">
        <v>45</v>
      </c>
      <c r="D877" t="s">
        <v>992</v>
      </c>
      <c r="E877" t="s">
        <v>96</v>
      </c>
      <c r="F877" t="s">
        <v>96</v>
      </c>
      <c r="G877" t="s">
        <v>96</v>
      </c>
      <c r="H877">
        <v>2010</v>
      </c>
      <c r="I877" t="s">
        <v>96</v>
      </c>
      <c r="J877" t="s">
        <v>97</v>
      </c>
      <c r="K877" t="s">
        <v>96</v>
      </c>
      <c r="L877" t="s">
        <v>96</v>
      </c>
      <c r="M877">
        <v>1790</v>
      </c>
      <c r="O877" s="12" t="str">
        <f t="shared" si="40"/>
        <v>EUR</v>
      </c>
      <c r="P877" s="12" t="str">
        <f t="shared" si="41"/>
        <v>E_WON</v>
      </c>
    </row>
    <row r="878" spans="1:16" x14ac:dyDescent="0.35">
      <c r="A878" t="s">
        <v>95</v>
      </c>
      <c r="B878" t="s">
        <v>73</v>
      </c>
      <c r="C878" t="s">
        <v>45</v>
      </c>
      <c r="D878" t="s">
        <v>993</v>
      </c>
      <c r="E878" t="s">
        <v>96</v>
      </c>
      <c r="F878" t="s">
        <v>96</v>
      </c>
      <c r="G878" t="s">
        <v>96</v>
      </c>
      <c r="H878">
        <v>2010</v>
      </c>
      <c r="I878" t="s">
        <v>96</v>
      </c>
      <c r="J878" t="s">
        <v>97</v>
      </c>
      <c r="K878" t="s">
        <v>96</v>
      </c>
      <c r="L878" t="s">
        <v>96</v>
      </c>
      <c r="M878">
        <v>1790</v>
      </c>
      <c r="O878" s="12" t="str">
        <f t="shared" si="40"/>
        <v>EUR</v>
      </c>
      <c r="P878" s="12" t="str">
        <f t="shared" si="41"/>
        <v>E_WON</v>
      </c>
    </row>
    <row r="879" spans="1:16" x14ac:dyDescent="0.35">
      <c r="A879" t="s">
        <v>95</v>
      </c>
      <c r="B879" t="s">
        <v>73</v>
      </c>
      <c r="C879" t="s">
        <v>45</v>
      </c>
      <c r="D879" t="s">
        <v>994</v>
      </c>
      <c r="E879" t="s">
        <v>96</v>
      </c>
      <c r="F879" t="s">
        <v>96</v>
      </c>
      <c r="G879" t="s">
        <v>96</v>
      </c>
      <c r="H879">
        <v>2010</v>
      </c>
      <c r="I879" t="s">
        <v>96</v>
      </c>
      <c r="J879" t="s">
        <v>97</v>
      </c>
      <c r="K879" t="s">
        <v>96</v>
      </c>
      <c r="L879" t="s">
        <v>96</v>
      </c>
      <c r="M879">
        <v>1520</v>
      </c>
      <c r="O879" s="12" t="str">
        <f t="shared" si="40"/>
        <v>EUR</v>
      </c>
      <c r="P879" s="12" t="str">
        <f t="shared" si="41"/>
        <v>E_WON</v>
      </c>
    </row>
    <row r="880" spans="1:16" x14ac:dyDescent="0.35">
      <c r="A880" t="s">
        <v>95</v>
      </c>
      <c r="B880" t="s">
        <v>73</v>
      </c>
      <c r="C880" t="s">
        <v>45</v>
      </c>
      <c r="D880" t="s">
        <v>995</v>
      </c>
      <c r="E880" t="s">
        <v>96</v>
      </c>
      <c r="F880" t="s">
        <v>96</v>
      </c>
      <c r="G880" t="s">
        <v>96</v>
      </c>
      <c r="H880">
        <v>2010</v>
      </c>
      <c r="I880" t="s">
        <v>96</v>
      </c>
      <c r="J880" t="s">
        <v>97</v>
      </c>
      <c r="K880" t="s">
        <v>96</v>
      </c>
      <c r="L880" t="s">
        <v>96</v>
      </c>
      <c r="M880">
        <v>1610</v>
      </c>
      <c r="O880" s="12" t="str">
        <f t="shared" si="40"/>
        <v>EUR</v>
      </c>
      <c r="P880" s="12" t="str">
        <f t="shared" si="41"/>
        <v>E_WON</v>
      </c>
    </row>
    <row r="881" spans="1:16" x14ac:dyDescent="0.35">
      <c r="A881" t="s">
        <v>95</v>
      </c>
      <c r="B881" t="s">
        <v>73</v>
      </c>
      <c r="C881" t="s">
        <v>45</v>
      </c>
      <c r="D881" t="s">
        <v>996</v>
      </c>
      <c r="E881" t="s">
        <v>96</v>
      </c>
      <c r="F881" t="s">
        <v>96</v>
      </c>
      <c r="G881" t="s">
        <v>96</v>
      </c>
      <c r="H881">
        <v>2010</v>
      </c>
      <c r="I881" t="s">
        <v>96</v>
      </c>
      <c r="J881" t="s">
        <v>97</v>
      </c>
      <c r="K881" t="s">
        <v>96</v>
      </c>
      <c r="L881" t="s">
        <v>96</v>
      </c>
      <c r="M881">
        <v>1780</v>
      </c>
      <c r="O881" s="12" t="str">
        <f t="shared" si="40"/>
        <v>EUR</v>
      </c>
      <c r="P881" s="12" t="str">
        <f t="shared" si="41"/>
        <v>E_WON</v>
      </c>
    </row>
    <row r="882" spans="1:16" x14ac:dyDescent="0.35">
      <c r="A882" t="s">
        <v>95</v>
      </c>
      <c r="B882" t="s">
        <v>73</v>
      </c>
      <c r="C882" t="s">
        <v>45</v>
      </c>
      <c r="D882" t="s">
        <v>997</v>
      </c>
      <c r="E882" t="s">
        <v>96</v>
      </c>
      <c r="F882" t="s">
        <v>96</v>
      </c>
      <c r="G882" t="s">
        <v>96</v>
      </c>
      <c r="H882">
        <v>2010</v>
      </c>
      <c r="I882" t="s">
        <v>96</v>
      </c>
      <c r="J882" t="s">
        <v>97</v>
      </c>
      <c r="K882" t="s">
        <v>96</v>
      </c>
      <c r="L882" t="s">
        <v>96</v>
      </c>
      <c r="M882">
        <v>1710</v>
      </c>
      <c r="O882" s="12" t="str">
        <f t="shared" si="40"/>
        <v>EUR</v>
      </c>
      <c r="P882" s="12" t="str">
        <f t="shared" si="41"/>
        <v>E_WON</v>
      </c>
    </row>
    <row r="883" spans="1:16" x14ac:dyDescent="0.35">
      <c r="A883" t="s">
        <v>95</v>
      </c>
      <c r="B883" t="s">
        <v>73</v>
      </c>
      <c r="C883" t="s">
        <v>45</v>
      </c>
      <c r="D883" t="s">
        <v>998</v>
      </c>
      <c r="E883" t="s">
        <v>96</v>
      </c>
      <c r="F883" t="s">
        <v>96</v>
      </c>
      <c r="G883" t="s">
        <v>96</v>
      </c>
      <c r="H883">
        <v>2010</v>
      </c>
      <c r="I883" t="s">
        <v>96</v>
      </c>
      <c r="J883" t="s">
        <v>97</v>
      </c>
      <c r="K883" t="s">
        <v>96</v>
      </c>
      <c r="L883" t="s">
        <v>96</v>
      </c>
      <c r="M883">
        <v>1710</v>
      </c>
      <c r="O883" s="12" t="str">
        <f t="shared" si="40"/>
        <v>EUR</v>
      </c>
      <c r="P883" s="12" t="str">
        <f t="shared" si="41"/>
        <v>E_WON</v>
      </c>
    </row>
    <row r="884" spans="1:16" x14ac:dyDescent="0.35">
      <c r="A884" t="s">
        <v>95</v>
      </c>
      <c r="B884" t="s">
        <v>73</v>
      </c>
      <c r="C884" t="s">
        <v>45</v>
      </c>
      <c r="D884" t="s">
        <v>999</v>
      </c>
      <c r="E884" t="s">
        <v>96</v>
      </c>
      <c r="F884" t="s">
        <v>96</v>
      </c>
      <c r="G884" t="s">
        <v>96</v>
      </c>
      <c r="H884">
        <v>2010</v>
      </c>
      <c r="I884" t="s">
        <v>96</v>
      </c>
      <c r="J884" t="s">
        <v>97</v>
      </c>
      <c r="K884" t="s">
        <v>96</v>
      </c>
      <c r="L884" t="s">
        <v>96</v>
      </c>
      <c r="M884">
        <v>1670</v>
      </c>
      <c r="O884" s="12" t="str">
        <f t="shared" si="40"/>
        <v>EUR</v>
      </c>
      <c r="P884" s="12" t="str">
        <f t="shared" si="41"/>
        <v>E_WON</v>
      </c>
    </row>
    <row r="885" spans="1:16" x14ac:dyDescent="0.35">
      <c r="A885" t="s">
        <v>95</v>
      </c>
      <c r="B885" t="s">
        <v>73</v>
      </c>
      <c r="C885" t="s">
        <v>45</v>
      </c>
      <c r="D885" t="s">
        <v>1000</v>
      </c>
      <c r="E885" t="s">
        <v>96</v>
      </c>
      <c r="F885" t="s">
        <v>96</v>
      </c>
      <c r="G885" t="s">
        <v>96</v>
      </c>
      <c r="H885">
        <v>2010</v>
      </c>
      <c r="I885" t="s">
        <v>96</v>
      </c>
      <c r="J885" t="s">
        <v>97</v>
      </c>
      <c r="K885" t="s">
        <v>96</v>
      </c>
      <c r="L885" t="s">
        <v>96</v>
      </c>
      <c r="M885">
        <v>1710</v>
      </c>
      <c r="O885" s="12" t="str">
        <f t="shared" si="40"/>
        <v>EUR</v>
      </c>
      <c r="P885" s="12" t="str">
        <f t="shared" si="41"/>
        <v>E_WON</v>
      </c>
    </row>
    <row r="886" spans="1:16" x14ac:dyDescent="0.35">
      <c r="A886" t="s">
        <v>95</v>
      </c>
      <c r="B886" t="s">
        <v>73</v>
      </c>
      <c r="C886" t="s">
        <v>45</v>
      </c>
      <c r="D886" t="s">
        <v>1001</v>
      </c>
      <c r="E886" t="s">
        <v>96</v>
      </c>
      <c r="F886" t="s">
        <v>96</v>
      </c>
      <c r="G886" t="s">
        <v>96</v>
      </c>
      <c r="H886">
        <v>2010</v>
      </c>
      <c r="I886" t="s">
        <v>96</v>
      </c>
      <c r="J886" t="s">
        <v>97</v>
      </c>
      <c r="K886" t="s">
        <v>96</v>
      </c>
      <c r="L886" t="s">
        <v>96</v>
      </c>
      <c r="M886">
        <v>1330</v>
      </c>
      <c r="O886" s="12" t="str">
        <f t="shared" si="40"/>
        <v>EUR</v>
      </c>
      <c r="P886" s="12" t="str">
        <f t="shared" si="41"/>
        <v>E_WON</v>
      </c>
    </row>
    <row r="887" spans="1:16" x14ac:dyDescent="0.35">
      <c r="A887" t="s">
        <v>95</v>
      </c>
      <c r="B887" t="s">
        <v>73</v>
      </c>
      <c r="C887" t="s">
        <v>45</v>
      </c>
      <c r="D887" t="s">
        <v>1002</v>
      </c>
      <c r="E887" t="s">
        <v>96</v>
      </c>
      <c r="F887" t="s">
        <v>96</v>
      </c>
      <c r="G887" t="s">
        <v>96</v>
      </c>
      <c r="H887">
        <v>2010</v>
      </c>
      <c r="I887" t="s">
        <v>96</v>
      </c>
      <c r="J887" t="s">
        <v>97</v>
      </c>
      <c r="K887" t="s">
        <v>96</v>
      </c>
      <c r="L887" t="s">
        <v>96</v>
      </c>
      <c r="M887">
        <v>1780</v>
      </c>
      <c r="O887" s="12" t="str">
        <f t="shared" si="40"/>
        <v>EUR</v>
      </c>
      <c r="P887" s="12" t="str">
        <f t="shared" si="41"/>
        <v>E_WON</v>
      </c>
    </row>
    <row r="888" spans="1:16" x14ac:dyDescent="0.35">
      <c r="A888" t="s">
        <v>95</v>
      </c>
      <c r="B888" t="s">
        <v>73</v>
      </c>
      <c r="C888" t="s">
        <v>45</v>
      </c>
      <c r="D888" t="s">
        <v>1003</v>
      </c>
      <c r="E888" t="s">
        <v>96</v>
      </c>
      <c r="F888" t="s">
        <v>96</v>
      </c>
      <c r="G888" t="s">
        <v>96</v>
      </c>
      <c r="H888">
        <v>2010</v>
      </c>
      <c r="I888" t="s">
        <v>96</v>
      </c>
      <c r="J888" t="s">
        <v>97</v>
      </c>
      <c r="K888" t="s">
        <v>96</v>
      </c>
      <c r="L888" t="s">
        <v>96</v>
      </c>
      <c r="M888">
        <v>1710</v>
      </c>
      <c r="O888" s="12" t="str">
        <f t="shared" si="40"/>
        <v>EUR</v>
      </c>
      <c r="P888" s="12" t="str">
        <f t="shared" si="41"/>
        <v>E_WON</v>
      </c>
    </row>
    <row r="889" spans="1:16" x14ac:dyDescent="0.35">
      <c r="A889" t="s">
        <v>95</v>
      </c>
      <c r="B889" t="s">
        <v>73</v>
      </c>
      <c r="C889" t="s">
        <v>45</v>
      </c>
      <c r="D889" t="s">
        <v>1004</v>
      </c>
      <c r="E889" t="s">
        <v>96</v>
      </c>
      <c r="F889" t="s">
        <v>96</v>
      </c>
      <c r="G889" t="s">
        <v>96</v>
      </c>
      <c r="H889">
        <v>2010</v>
      </c>
      <c r="I889" t="s">
        <v>96</v>
      </c>
      <c r="J889" t="s">
        <v>97</v>
      </c>
      <c r="K889" t="s">
        <v>96</v>
      </c>
      <c r="L889" t="s">
        <v>96</v>
      </c>
      <c r="M889">
        <v>1710</v>
      </c>
      <c r="O889" s="12" t="str">
        <f t="shared" si="40"/>
        <v>EUR</v>
      </c>
      <c r="P889" s="12" t="str">
        <f t="shared" si="41"/>
        <v>E_WON</v>
      </c>
    </row>
    <row r="890" spans="1:16" x14ac:dyDescent="0.35">
      <c r="A890" t="s">
        <v>95</v>
      </c>
      <c r="B890" t="s">
        <v>73</v>
      </c>
      <c r="C890" t="s">
        <v>45</v>
      </c>
      <c r="D890" t="s">
        <v>1005</v>
      </c>
      <c r="E890" t="s">
        <v>96</v>
      </c>
      <c r="F890" t="s">
        <v>96</v>
      </c>
      <c r="G890" t="s">
        <v>96</v>
      </c>
      <c r="H890">
        <v>2010</v>
      </c>
      <c r="I890" t="s">
        <v>96</v>
      </c>
      <c r="J890" t="s">
        <v>97</v>
      </c>
      <c r="K890" t="s">
        <v>96</v>
      </c>
      <c r="L890" t="s">
        <v>96</v>
      </c>
      <c r="M890">
        <v>1710</v>
      </c>
      <c r="O890" s="12" t="str">
        <f t="shared" si="40"/>
        <v>EUR</v>
      </c>
      <c r="P890" s="12" t="str">
        <f t="shared" si="41"/>
        <v>E_WON</v>
      </c>
    </row>
    <row r="891" spans="1:16" x14ac:dyDescent="0.35">
      <c r="A891" t="s">
        <v>95</v>
      </c>
      <c r="B891" t="s">
        <v>73</v>
      </c>
      <c r="C891" t="s">
        <v>45</v>
      </c>
      <c r="D891" t="s">
        <v>1006</v>
      </c>
      <c r="E891" t="s">
        <v>96</v>
      </c>
      <c r="F891" t="s">
        <v>96</v>
      </c>
      <c r="G891" t="s">
        <v>96</v>
      </c>
      <c r="H891">
        <v>2010</v>
      </c>
      <c r="I891" t="s">
        <v>96</v>
      </c>
      <c r="J891" t="s">
        <v>97</v>
      </c>
      <c r="K891" t="s">
        <v>96</v>
      </c>
      <c r="L891" t="s">
        <v>96</v>
      </c>
      <c r="M891">
        <v>1710</v>
      </c>
      <c r="O891" s="12" t="str">
        <f t="shared" si="40"/>
        <v>EUR</v>
      </c>
      <c r="P891" s="12" t="str">
        <f t="shared" si="41"/>
        <v>E_WON</v>
      </c>
    </row>
    <row r="892" spans="1:16" x14ac:dyDescent="0.35">
      <c r="A892" t="s">
        <v>95</v>
      </c>
      <c r="B892" t="s">
        <v>73</v>
      </c>
      <c r="C892" t="s">
        <v>45</v>
      </c>
      <c r="D892" t="s">
        <v>1007</v>
      </c>
      <c r="E892" t="s">
        <v>96</v>
      </c>
      <c r="F892" t="s">
        <v>96</v>
      </c>
      <c r="G892" t="s">
        <v>96</v>
      </c>
      <c r="H892">
        <v>2010</v>
      </c>
      <c r="I892" t="s">
        <v>96</v>
      </c>
      <c r="J892" t="s">
        <v>97</v>
      </c>
      <c r="K892" t="s">
        <v>96</v>
      </c>
      <c r="L892" t="s">
        <v>96</v>
      </c>
      <c r="M892">
        <v>2280</v>
      </c>
      <c r="O892" s="12" t="str">
        <f t="shared" si="40"/>
        <v>EUR</v>
      </c>
      <c r="P892" s="12" t="str">
        <f t="shared" si="41"/>
        <v>E_WON</v>
      </c>
    </row>
    <row r="893" spans="1:16" x14ac:dyDescent="0.35">
      <c r="A893" t="s">
        <v>95</v>
      </c>
      <c r="B893" t="s">
        <v>73</v>
      </c>
      <c r="C893" t="s">
        <v>45</v>
      </c>
      <c r="D893" t="s">
        <v>1008</v>
      </c>
      <c r="E893" t="s">
        <v>96</v>
      </c>
      <c r="F893" t="s">
        <v>96</v>
      </c>
      <c r="G893" t="s">
        <v>96</v>
      </c>
      <c r="H893">
        <v>2010</v>
      </c>
      <c r="I893" t="s">
        <v>96</v>
      </c>
      <c r="J893" t="s">
        <v>97</v>
      </c>
      <c r="K893" t="s">
        <v>96</v>
      </c>
      <c r="L893" t="s">
        <v>96</v>
      </c>
      <c r="M893">
        <v>2415</v>
      </c>
      <c r="O893" s="12" t="str">
        <f t="shared" si="40"/>
        <v>EUR</v>
      </c>
      <c r="P893" s="12" t="str">
        <f t="shared" si="41"/>
        <v>E_WON</v>
      </c>
    </row>
    <row r="894" spans="1:16" x14ac:dyDescent="0.35">
      <c r="A894" t="s">
        <v>95</v>
      </c>
      <c r="B894" t="s">
        <v>73</v>
      </c>
      <c r="C894" t="s">
        <v>45</v>
      </c>
      <c r="D894" t="s">
        <v>1009</v>
      </c>
      <c r="E894" t="s">
        <v>96</v>
      </c>
      <c r="F894" t="s">
        <v>96</v>
      </c>
      <c r="G894" t="s">
        <v>96</v>
      </c>
      <c r="H894">
        <v>2010</v>
      </c>
      <c r="I894" t="s">
        <v>96</v>
      </c>
      <c r="J894" t="s">
        <v>97</v>
      </c>
      <c r="K894" t="s">
        <v>96</v>
      </c>
      <c r="L894" t="s">
        <v>96</v>
      </c>
      <c r="M894">
        <v>2565</v>
      </c>
      <c r="O894" s="12" t="str">
        <f t="shared" si="40"/>
        <v>EUR</v>
      </c>
      <c r="P894" s="12" t="str">
        <f t="shared" si="41"/>
        <v>E_WON</v>
      </c>
    </row>
    <row r="895" spans="1:16" x14ac:dyDescent="0.35">
      <c r="A895" t="s">
        <v>95</v>
      </c>
      <c r="B895" t="s">
        <v>73</v>
      </c>
      <c r="C895" t="s">
        <v>45</v>
      </c>
      <c r="D895" t="s">
        <v>1010</v>
      </c>
      <c r="E895" t="s">
        <v>96</v>
      </c>
      <c r="F895" t="s">
        <v>96</v>
      </c>
      <c r="G895" t="s">
        <v>96</v>
      </c>
      <c r="H895">
        <v>2010</v>
      </c>
      <c r="I895" t="s">
        <v>96</v>
      </c>
      <c r="J895" t="s">
        <v>97</v>
      </c>
      <c r="K895" t="s">
        <v>96</v>
      </c>
      <c r="L895" t="s">
        <v>96</v>
      </c>
      <c r="M895">
        <v>2565</v>
      </c>
      <c r="O895" s="12" t="str">
        <f t="shared" si="40"/>
        <v>EUR</v>
      </c>
      <c r="P895" s="12" t="str">
        <f t="shared" si="41"/>
        <v>E_WON</v>
      </c>
    </row>
    <row r="896" spans="1:16" x14ac:dyDescent="0.35">
      <c r="A896" t="s">
        <v>95</v>
      </c>
      <c r="B896" t="s">
        <v>73</v>
      </c>
      <c r="C896" t="s">
        <v>45</v>
      </c>
      <c r="D896" t="s">
        <v>1011</v>
      </c>
      <c r="E896" t="s">
        <v>96</v>
      </c>
      <c r="F896" t="s">
        <v>96</v>
      </c>
      <c r="G896" t="s">
        <v>96</v>
      </c>
      <c r="H896">
        <v>2010</v>
      </c>
      <c r="I896" t="s">
        <v>96</v>
      </c>
      <c r="J896" t="s">
        <v>97</v>
      </c>
      <c r="K896" t="s">
        <v>96</v>
      </c>
      <c r="L896" t="s">
        <v>96</v>
      </c>
      <c r="M896">
        <v>3750</v>
      </c>
      <c r="O896" s="12" t="str">
        <f t="shared" si="40"/>
        <v>EUR</v>
      </c>
      <c r="P896" s="12" t="str">
        <f t="shared" si="41"/>
        <v>E_WON</v>
      </c>
    </row>
    <row r="897" spans="1:16" x14ac:dyDescent="0.35">
      <c r="A897" t="s">
        <v>95</v>
      </c>
      <c r="B897" t="s">
        <v>73</v>
      </c>
      <c r="C897" t="s">
        <v>45</v>
      </c>
      <c r="D897" t="s">
        <v>1012</v>
      </c>
      <c r="E897" t="s">
        <v>96</v>
      </c>
      <c r="F897" t="s">
        <v>96</v>
      </c>
      <c r="G897" t="s">
        <v>96</v>
      </c>
      <c r="H897">
        <v>2010</v>
      </c>
      <c r="I897" t="s">
        <v>96</v>
      </c>
      <c r="J897" t="s">
        <v>97</v>
      </c>
      <c r="K897" t="s">
        <v>96</v>
      </c>
      <c r="L897" t="s">
        <v>96</v>
      </c>
      <c r="M897">
        <v>2835</v>
      </c>
      <c r="O897" s="12" t="str">
        <f t="shared" si="40"/>
        <v>EUR</v>
      </c>
      <c r="P897" s="12" t="str">
        <f t="shared" si="41"/>
        <v>E_WON</v>
      </c>
    </row>
    <row r="898" spans="1:16" x14ac:dyDescent="0.35">
      <c r="A898" t="s">
        <v>95</v>
      </c>
      <c r="B898" t="s">
        <v>73</v>
      </c>
      <c r="C898" t="s">
        <v>45</v>
      </c>
      <c r="D898" t="s">
        <v>1013</v>
      </c>
      <c r="E898" t="s">
        <v>96</v>
      </c>
      <c r="F898" t="s">
        <v>96</v>
      </c>
      <c r="G898" t="s">
        <v>96</v>
      </c>
      <c r="H898">
        <v>2010</v>
      </c>
      <c r="I898" t="s">
        <v>96</v>
      </c>
      <c r="J898" t="s">
        <v>97</v>
      </c>
      <c r="K898" t="s">
        <v>96</v>
      </c>
      <c r="L898" t="s">
        <v>96</v>
      </c>
      <c r="M898">
        <v>2280</v>
      </c>
      <c r="O898" s="12" t="str">
        <f t="shared" si="40"/>
        <v>EUR</v>
      </c>
      <c r="P898" s="12" t="str">
        <f t="shared" si="41"/>
        <v>E_WON</v>
      </c>
    </row>
    <row r="899" spans="1:16" x14ac:dyDescent="0.35">
      <c r="A899" t="s">
        <v>95</v>
      </c>
      <c r="B899" t="s">
        <v>73</v>
      </c>
      <c r="C899" t="s">
        <v>45</v>
      </c>
      <c r="D899" t="s">
        <v>1014</v>
      </c>
      <c r="E899" t="s">
        <v>96</v>
      </c>
      <c r="F899" t="s">
        <v>96</v>
      </c>
      <c r="G899" t="s">
        <v>96</v>
      </c>
      <c r="H899">
        <v>2010</v>
      </c>
      <c r="I899" t="s">
        <v>96</v>
      </c>
      <c r="J899" t="s">
        <v>97</v>
      </c>
      <c r="K899" t="s">
        <v>96</v>
      </c>
      <c r="L899" t="s">
        <v>96</v>
      </c>
      <c r="M899">
        <v>2415</v>
      </c>
      <c r="O899" s="12" t="str">
        <f t="shared" ref="O899:O962" si="42">LEFT(B899,3)</f>
        <v>EUR</v>
      </c>
      <c r="P899" s="12" t="str">
        <f t="shared" ref="P899:P962" si="43">LEFT(D899,5)</f>
        <v>E_WON</v>
      </c>
    </row>
    <row r="900" spans="1:16" x14ac:dyDescent="0.35">
      <c r="A900" t="s">
        <v>95</v>
      </c>
      <c r="B900" t="s">
        <v>73</v>
      </c>
      <c r="C900" t="s">
        <v>45</v>
      </c>
      <c r="D900" t="s">
        <v>1015</v>
      </c>
      <c r="E900" t="s">
        <v>96</v>
      </c>
      <c r="F900" t="s">
        <v>96</v>
      </c>
      <c r="G900" t="s">
        <v>96</v>
      </c>
      <c r="H900">
        <v>2010</v>
      </c>
      <c r="I900" t="s">
        <v>96</v>
      </c>
      <c r="J900" t="s">
        <v>97</v>
      </c>
      <c r="K900" t="s">
        <v>96</v>
      </c>
      <c r="L900" t="s">
        <v>96</v>
      </c>
      <c r="M900">
        <v>2565</v>
      </c>
      <c r="O900" s="12" t="str">
        <f t="shared" si="42"/>
        <v>EUR</v>
      </c>
      <c r="P900" s="12" t="str">
        <f t="shared" si="43"/>
        <v>E_WON</v>
      </c>
    </row>
    <row r="901" spans="1:16" x14ac:dyDescent="0.35">
      <c r="A901" t="s">
        <v>95</v>
      </c>
      <c r="B901" t="s">
        <v>73</v>
      </c>
      <c r="C901" t="s">
        <v>45</v>
      </c>
      <c r="D901" t="s">
        <v>1016</v>
      </c>
      <c r="E901" t="s">
        <v>96</v>
      </c>
      <c r="F901" t="s">
        <v>96</v>
      </c>
      <c r="G901" t="s">
        <v>96</v>
      </c>
      <c r="H901">
        <v>2010</v>
      </c>
      <c r="I901" t="s">
        <v>96</v>
      </c>
      <c r="J901" t="s">
        <v>97</v>
      </c>
      <c r="K901" t="s">
        <v>96</v>
      </c>
      <c r="L901" t="s">
        <v>96</v>
      </c>
      <c r="M901">
        <v>2400</v>
      </c>
      <c r="O901" s="12" t="str">
        <f t="shared" si="42"/>
        <v>EUR</v>
      </c>
      <c r="P901" s="12" t="str">
        <f t="shared" si="43"/>
        <v>E_WON</v>
      </c>
    </row>
    <row r="902" spans="1:16" x14ac:dyDescent="0.35">
      <c r="A902" t="s">
        <v>95</v>
      </c>
      <c r="B902" t="s">
        <v>73</v>
      </c>
      <c r="C902" t="s">
        <v>45</v>
      </c>
      <c r="D902" t="s">
        <v>1017</v>
      </c>
      <c r="E902" t="s">
        <v>96</v>
      </c>
      <c r="F902" t="s">
        <v>96</v>
      </c>
      <c r="G902" t="s">
        <v>96</v>
      </c>
      <c r="H902">
        <v>2010</v>
      </c>
      <c r="I902" t="s">
        <v>96</v>
      </c>
      <c r="J902" t="s">
        <v>97</v>
      </c>
      <c r="K902" t="s">
        <v>96</v>
      </c>
      <c r="L902" t="s">
        <v>96</v>
      </c>
      <c r="M902">
        <v>2565</v>
      </c>
      <c r="O902" s="12" t="str">
        <f t="shared" si="42"/>
        <v>EUR</v>
      </c>
      <c r="P902" s="12" t="str">
        <f t="shared" si="43"/>
        <v>E_WON</v>
      </c>
    </row>
    <row r="903" spans="1:16" x14ac:dyDescent="0.35">
      <c r="A903" t="s">
        <v>95</v>
      </c>
      <c r="B903" t="s">
        <v>73</v>
      </c>
      <c r="C903" t="s">
        <v>45</v>
      </c>
      <c r="D903" t="s">
        <v>1018</v>
      </c>
      <c r="E903" t="s">
        <v>96</v>
      </c>
      <c r="F903" t="s">
        <v>96</v>
      </c>
      <c r="G903" t="s">
        <v>96</v>
      </c>
      <c r="H903">
        <v>2010</v>
      </c>
      <c r="I903" t="s">
        <v>96</v>
      </c>
      <c r="J903" t="s">
        <v>97</v>
      </c>
      <c r="K903" t="s">
        <v>96</v>
      </c>
      <c r="L903" t="s">
        <v>96</v>
      </c>
      <c r="M903">
        <v>2835</v>
      </c>
      <c r="O903" s="12" t="str">
        <f t="shared" si="42"/>
        <v>EUR</v>
      </c>
      <c r="P903" s="12" t="str">
        <f t="shared" si="43"/>
        <v>E_WON</v>
      </c>
    </row>
    <row r="904" spans="1:16" x14ac:dyDescent="0.35">
      <c r="A904" t="s">
        <v>95</v>
      </c>
      <c r="B904" t="s">
        <v>73</v>
      </c>
      <c r="C904" t="s">
        <v>45</v>
      </c>
      <c r="D904" t="s">
        <v>1019</v>
      </c>
      <c r="E904" t="s">
        <v>96</v>
      </c>
      <c r="F904" t="s">
        <v>96</v>
      </c>
      <c r="G904" t="s">
        <v>96</v>
      </c>
      <c r="H904">
        <v>2010</v>
      </c>
      <c r="I904" t="s">
        <v>96</v>
      </c>
      <c r="J904" t="s">
        <v>97</v>
      </c>
      <c r="K904" t="s">
        <v>96</v>
      </c>
      <c r="L904" t="s">
        <v>96</v>
      </c>
      <c r="M904">
        <v>2280</v>
      </c>
      <c r="O904" s="12" t="str">
        <f t="shared" si="42"/>
        <v>EUR</v>
      </c>
      <c r="P904" s="12" t="str">
        <f t="shared" si="43"/>
        <v>E_WON</v>
      </c>
    </row>
    <row r="905" spans="1:16" x14ac:dyDescent="0.35">
      <c r="A905" t="s">
        <v>95</v>
      </c>
      <c r="B905" t="s">
        <v>73</v>
      </c>
      <c r="C905" t="s">
        <v>45</v>
      </c>
      <c r="D905" t="s">
        <v>1020</v>
      </c>
      <c r="E905" t="s">
        <v>96</v>
      </c>
      <c r="F905" t="s">
        <v>96</v>
      </c>
      <c r="G905" t="s">
        <v>96</v>
      </c>
      <c r="H905">
        <v>2010</v>
      </c>
      <c r="I905" t="s">
        <v>96</v>
      </c>
      <c r="J905" t="s">
        <v>97</v>
      </c>
      <c r="K905" t="s">
        <v>96</v>
      </c>
      <c r="L905" t="s">
        <v>96</v>
      </c>
      <c r="M905">
        <v>2565</v>
      </c>
      <c r="O905" s="12" t="str">
        <f t="shared" si="42"/>
        <v>EUR</v>
      </c>
      <c r="P905" s="12" t="str">
        <f t="shared" si="43"/>
        <v>E_WON</v>
      </c>
    </row>
    <row r="906" spans="1:16" x14ac:dyDescent="0.35">
      <c r="A906" t="s">
        <v>95</v>
      </c>
      <c r="B906" t="s">
        <v>73</v>
      </c>
      <c r="C906" t="s">
        <v>45</v>
      </c>
      <c r="D906" t="s">
        <v>1021</v>
      </c>
      <c r="E906" t="s">
        <v>96</v>
      </c>
      <c r="F906" t="s">
        <v>96</v>
      </c>
      <c r="G906" t="s">
        <v>96</v>
      </c>
      <c r="H906">
        <v>2010</v>
      </c>
      <c r="I906" t="s">
        <v>96</v>
      </c>
      <c r="J906" t="s">
        <v>97</v>
      </c>
      <c r="K906" t="s">
        <v>96</v>
      </c>
      <c r="L906" t="s">
        <v>96</v>
      </c>
      <c r="M906">
        <v>2415</v>
      </c>
      <c r="O906" s="12" t="str">
        <f t="shared" si="42"/>
        <v>EUR</v>
      </c>
      <c r="P906" s="12" t="str">
        <f t="shared" si="43"/>
        <v>E_WON</v>
      </c>
    </row>
    <row r="907" spans="1:16" x14ac:dyDescent="0.35">
      <c r="A907" t="s">
        <v>95</v>
      </c>
      <c r="B907" t="s">
        <v>73</v>
      </c>
      <c r="C907" t="s">
        <v>45</v>
      </c>
      <c r="D907" t="s">
        <v>1022</v>
      </c>
      <c r="E907" t="s">
        <v>96</v>
      </c>
      <c r="F907" t="s">
        <v>96</v>
      </c>
      <c r="G907" t="s">
        <v>96</v>
      </c>
      <c r="H907">
        <v>2010</v>
      </c>
      <c r="I907" t="s">
        <v>96</v>
      </c>
      <c r="J907" t="s">
        <v>97</v>
      </c>
      <c r="K907" t="s">
        <v>96</v>
      </c>
      <c r="L907" t="s">
        <v>96</v>
      </c>
      <c r="M907">
        <v>2565</v>
      </c>
      <c r="O907" s="12" t="str">
        <f t="shared" si="42"/>
        <v>EUR</v>
      </c>
      <c r="P907" s="12" t="str">
        <f t="shared" si="43"/>
        <v>E_WON</v>
      </c>
    </row>
    <row r="908" spans="1:16" x14ac:dyDescent="0.35">
      <c r="A908" t="s">
        <v>95</v>
      </c>
      <c r="B908" t="s">
        <v>73</v>
      </c>
      <c r="C908" t="s">
        <v>45</v>
      </c>
      <c r="D908" t="s">
        <v>1023</v>
      </c>
      <c r="E908" t="s">
        <v>96</v>
      </c>
      <c r="F908" t="s">
        <v>96</v>
      </c>
      <c r="G908" t="s">
        <v>96</v>
      </c>
      <c r="H908">
        <v>2010</v>
      </c>
      <c r="I908" t="s">
        <v>96</v>
      </c>
      <c r="J908" t="s">
        <v>97</v>
      </c>
      <c r="K908" t="s">
        <v>96</v>
      </c>
      <c r="L908" t="s">
        <v>96</v>
      </c>
      <c r="M908">
        <v>2565</v>
      </c>
      <c r="O908" s="12" t="str">
        <f t="shared" si="42"/>
        <v>EUR</v>
      </c>
      <c r="P908" s="12" t="str">
        <f t="shared" si="43"/>
        <v>E_WON</v>
      </c>
    </row>
    <row r="909" spans="1:16" x14ac:dyDescent="0.35">
      <c r="A909" t="s">
        <v>95</v>
      </c>
      <c r="B909" t="s">
        <v>73</v>
      </c>
      <c r="C909" t="s">
        <v>45</v>
      </c>
      <c r="D909" t="s">
        <v>1024</v>
      </c>
      <c r="E909" t="s">
        <v>96</v>
      </c>
      <c r="F909" t="s">
        <v>96</v>
      </c>
      <c r="G909" t="s">
        <v>96</v>
      </c>
      <c r="H909">
        <v>2010</v>
      </c>
      <c r="I909" t="s">
        <v>96</v>
      </c>
      <c r="J909" t="s">
        <v>97</v>
      </c>
      <c r="K909" t="s">
        <v>96</v>
      </c>
      <c r="L909" t="s">
        <v>96</v>
      </c>
      <c r="M909">
        <v>2565</v>
      </c>
      <c r="O909" s="12" t="str">
        <f t="shared" si="42"/>
        <v>EUR</v>
      </c>
      <c r="P909" s="12" t="str">
        <f t="shared" si="43"/>
        <v>E_WON</v>
      </c>
    </row>
    <row r="910" spans="1:16" x14ac:dyDescent="0.35">
      <c r="A910" t="s">
        <v>95</v>
      </c>
      <c r="B910" t="s">
        <v>73</v>
      </c>
      <c r="C910" t="s">
        <v>45</v>
      </c>
      <c r="D910" t="s">
        <v>1025</v>
      </c>
      <c r="E910" t="s">
        <v>96</v>
      </c>
      <c r="F910" t="s">
        <v>96</v>
      </c>
      <c r="G910" t="s">
        <v>96</v>
      </c>
      <c r="H910">
        <v>2010</v>
      </c>
      <c r="I910" t="s">
        <v>96</v>
      </c>
      <c r="J910" t="s">
        <v>97</v>
      </c>
      <c r="K910" t="s">
        <v>96</v>
      </c>
      <c r="L910" t="s">
        <v>96</v>
      </c>
      <c r="M910">
        <v>1995</v>
      </c>
      <c r="O910" s="12" t="str">
        <f t="shared" si="42"/>
        <v>EUR</v>
      </c>
      <c r="P910" s="12" t="str">
        <f t="shared" si="43"/>
        <v>E_WON</v>
      </c>
    </row>
    <row r="911" spans="1:16" x14ac:dyDescent="0.35">
      <c r="A911" t="s">
        <v>95</v>
      </c>
      <c r="B911" t="s">
        <v>73</v>
      </c>
      <c r="C911" t="s">
        <v>45</v>
      </c>
      <c r="D911" t="s">
        <v>1026</v>
      </c>
      <c r="E911" t="s">
        <v>96</v>
      </c>
      <c r="F911" t="s">
        <v>96</v>
      </c>
      <c r="G911" t="s">
        <v>96</v>
      </c>
      <c r="H911">
        <v>2010</v>
      </c>
      <c r="I911" t="s">
        <v>96</v>
      </c>
      <c r="J911" t="s">
        <v>97</v>
      </c>
      <c r="K911" t="s">
        <v>96</v>
      </c>
      <c r="L911" t="s">
        <v>96</v>
      </c>
      <c r="M911">
        <v>2835</v>
      </c>
      <c r="O911" s="12" t="str">
        <f t="shared" si="42"/>
        <v>EUR</v>
      </c>
      <c r="P911" s="12" t="str">
        <f t="shared" si="43"/>
        <v>E_WON</v>
      </c>
    </row>
    <row r="912" spans="1:16" x14ac:dyDescent="0.35">
      <c r="A912" t="s">
        <v>95</v>
      </c>
      <c r="B912" t="s">
        <v>73</v>
      </c>
      <c r="C912" t="s">
        <v>45</v>
      </c>
      <c r="D912" t="s">
        <v>1027</v>
      </c>
      <c r="E912" t="s">
        <v>96</v>
      </c>
      <c r="F912" t="s">
        <v>96</v>
      </c>
      <c r="G912" t="s">
        <v>96</v>
      </c>
      <c r="H912">
        <v>2010</v>
      </c>
      <c r="I912" t="s">
        <v>96</v>
      </c>
      <c r="J912" t="s">
        <v>97</v>
      </c>
      <c r="K912" t="s">
        <v>96</v>
      </c>
      <c r="L912" t="s">
        <v>96</v>
      </c>
      <c r="M912">
        <v>2955</v>
      </c>
      <c r="O912" s="12" t="str">
        <f t="shared" si="42"/>
        <v>EUR</v>
      </c>
      <c r="P912" s="12" t="str">
        <f t="shared" si="43"/>
        <v>E_WON</v>
      </c>
    </row>
    <row r="913" spans="1:16" x14ac:dyDescent="0.35">
      <c r="A913" t="s">
        <v>95</v>
      </c>
      <c r="B913" t="s">
        <v>73</v>
      </c>
      <c r="C913" t="s">
        <v>45</v>
      </c>
      <c r="D913" t="s">
        <v>1028</v>
      </c>
      <c r="E913" t="s">
        <v>96</v>
      </c>
      <c r="F913" t="s">
        <v>96</v>
      </c>
      <c r="G913" t="s">
        <v>96</v>
      </c>
      <c r="H913">
        <v>2010</v>
      </c>
      <c r="I913" t="s">
        <v>96</v>
      </c>
      <c r="J913" t="s">
        <v>97</v>
      </c>
      <c r="K913" t="s">
        <v>96</v>
      </c>
      <c r="L913" t="s">
        <v>96</v>
      </c>
      <c r="M913">
        <v>2565</v>
      </c>
      <c r="O913" s="12" t="str">
        <f t="shared" si="42"/>
        <v>EUR</v>
      </c>
      <c r="P913" s="12" t="str">
        <f t="shared" si="43"/>
        <v>E_WON</v>
      </c>
    </row>
    <row r="914" spans="1:16" x14ac:dyDescent="0.35">
      <c r="A914" t="s">
        <v>95</v>
      </c>
      <c r="B914" t="s">
        <v>73</v>
      </c>
      <c r="C914" t="s">
        <v>45</v>
      </c>
      <c r="D914" t="s">
        <v>1029</v>
      </c>
      <c r="E914" t="s">
        <v>96</v>
      </c>
      <c r="F914" t="s">
        <v>96</v>
      </c>
      <c r="G914" t="s">
        <v>96</v>
      </c>
      <c r="H914">
        <v>2010</v>
      </c>
      <c r="I914" t="s">
        <v>96</v>
      </c>
      <c r="J914" t="s">
        <v>97</v>
      </c>
      <c r="K914" t="s">
        <v>96</v>
      </c>
      <c r="L914" t="s">
        <v>96</v>
      </c>
      <c r="M914">
        <v>2415</v>
      </c>
      <c r="O914" s="12" t="str">
        <f t="shared" si="42"/>
        <v>EUR</v>
      </c>
      <c r="P914" s="12" t="str">
        <f t="shared" si="43"/>
        <v>E_WON</v>
      </c>
    </row>
    <row r="915" spans="1:16" x14ac:dyDescent="0.35">
      <c r="A915" t="s">
        <v>95</v>
      </c>
      <c r="B915" t="s">
        <v>73</v>
      </c>
      <c r="C915" t="s">
        <v>45</v>
      </c>
      <c r="D915" t="s">
        <v>1030</v>
      </c>
      <c r="E915" t="s">
        <v>96</v>
      </c>
      <c r="F915" t="s">
        <v>96</v>
      </c>
      <c r="G915" t="s">
        <v>96</v>
      </c>
      <c r="H915">
        <v>2010</v>
      </c>
      <c r="I915" t="s">
        <v>96</v>
      </c>
      <c r="J915" t="s">
        <v>97</v>
      </c>
      <c r="K915" t="s">
        <v>96</v>
      </c>
      <c r="L915" t="s">
        <v>96</v>
      </c>
      <c r="M915">
        <v>2400</v>
      </c>
      <c r="O915" s="12" t="str">
        <f t="shared" si="42"/>
        <v>EUR</v>
      </c>
      <c r="P915" s="12" t="str">
        <f t="shared" si="43"/>
        <v>E_WON</v>
      </c>
    </row>
    <row r="916" spans="1:16" x14ac:dyDescent="0.35">
      <c r="A916" t="s">
        <v>95</v>
      </c>
      <c r="B916" t="s">
        <v>73</v>
      </c>
      <c r="C916" t="s">
        <v>45</v>
      </c>
      <c r="D916" t="s">
        <v>1031</v>
      </c>
      <c r="E916" t="s">
        <v>96</v>
      </c>
      <c r="F916" t="s">
        <v>96</v>
      </c>
      <c r="G916" t="s">
        <v>96</v>
      </c>
      <c r="H916">
        <v>2010</v>
      </c>
      <c r="I916" t="s">
        <v>96</v>
      </c>
      <c r="J916" t="s">
        <v>97</v>
      </c>
      <c r="K916" t="s">
        <v>96</v>
      </c>
      <c r="L916" t="s">
        <v>96</v>
      </c>
      <c r="M916">
        <v>2565</v>
      </c>
      <c r="O916" s="12" t="str">
        <f t="shared" si="42"/>
        <v>EUR</v>
      </c>
      <c r="P916" s="12" t="str">
        <f t="shared" si="43"/>
        <v>E_WON</v>
      </c>
    </row>
    <row r="917" spans="1:16" x14ac:dyDescent="0.35">
      <c r="A917" t="s">
        <v>95</v>
      </c>
      <c r="B917" t="s">
        <v>73</v>
      </c>
      <c r="C917" t="s">
        <v>45</v>
      </c>
      <c r="D917" t="s">
        <v>1032</v>
      </c>
      <c r="E917" t="s">
        <v>96</v>
      </c>
      <c r="F917" t="s">
        <v>96</v>
      </c>
      <c r="G917" t="s">
        <v>96</v>
      </c>
      <c r="H917">
        <v>2010</v>
      </c>
      <c r="I917" t="s">
        <v>96</v>
      </c>
      <c r="J917" t="s">
        <v>97</v>
      </c>
      <c r="K917" t="s">
        <v>96</v>
      </c>
      <c r="L917" t="s">
        <v>96</v>
      </c>
      <c r="M917">
        <v>2790</v>
      </c>
      <c r="O917" s="12" t="str">
        <f t="shared" si="42"/>
        <v>EUR</v>
      </c>
      <c r="P917" s="12" t="str">
        <f t="shared" si="43"/>
        <v>E_WON</v>
      </c>
    </row>
    <row r="918" spans="1:16" x14ac:dyDescent="0.35">
      <c r="A918" t="s">
        <v>95</v>
      </c>
      <c r="B918" t="s">
        <v>73</v>
      </c>
      <c r="C918" t="s">
        <v>45</v>
      </c>
      <c r="D918" t="s">
        <v>1033</v>
      </c>
      <c r="E918" t="s">
        <v>96</v>
      </c>
      <c r="F918" t="s">
        <v>96</v>
      </c>
      <c r="G918" t="s">
        <v>96</v>
      </c>
      <c r="H918">
        <v>2010</v>
      </c>
      <c r="I918" t="s">
        <v>96</v>
      </c>
      <c r="J918" t="s">
        <v>97</v>
      </c>
      <c r="K918" t="s">
        <v>96</v>
      </c>
      <c r="L918" t="s">
        <v>96</v>
      </c>
      <c r="M918">
        <v>2565</v>
      </c>
      <c r="O918" s="12" t="str">
        <f t="shared" si="42"/>
        <v>EUR</v>
      </c>
      <c r="P918" s="12" t="str">
        <f t="shared" si="43"/>
        <v>E_WON</v>
      </c>
    </row>
    <row r="919" spans="1:16" x14ac:dyDescent="0.35">
      <c r="A919" t="s">
        <v>95</v>
      </c>
      <c r="B919" t="s">
        <v>73</v>
      </c>
      <c r="C919" t="s">
        <v>45</v>
      </c>
      <c r="D919" t="s">
        <v>1034</v>
      </c>
      <c r="E919" t="s">
        <v>96</v>
      </c>
      <c r="F919" t="s">
        <v>96</v>
      </c>
      <c r="G919" t="s">
        <v>96</v>
      </c>
      <c r="H919">
        <v>2010</v>
      </c>
      <c r="I919" t="s">
        <v>96</v>
      </c>
      <c r="J919" t="s">
        <v>97</v>
      </c>
      <c r="K919" t="s">
        <v>96</v>
      </c>
      <c r="L919" t="s">
        <v>96</v>
      </c>
      <c r="M919">
        <v>1995</v>
      </c>
      <c r="O919" s="12" t="str">
        <f t="shared" si="42"/>
        <v>EUR</v>
      </c>
      <c r="P919" s="12" t="str">
        <f t="shared" si="43"/>
        <v>E_WON</v>
      </c>
    </row>
    <row r="920" spans="1:16" x14ac:dyDescent="0.35">
      <c r="A920" t="s">
        <v>95</v>
      </c>
      <c r="B920" t="s">
        <v>73</v>
      </c>
      <c r="C920" t="s">
        <v>45</v>
      </c>
      <c r="D920" t="s">
        <v>1035</v>
      </c>
      <c r="E920" t="s">
        <v>96</v>
      </c>
      <c r="F920" t="s">
        <v>96</v>
      </c>
      <c r="G920" t="s">
        <v>96</v>
      </c>
      <c r="H920">
        <v>2010</v>
      </c>
      <c r="I920" t="s">
        <v>96</v>
      </c>
      <c r="J920" t="s">
        <v>97</v>
      </c>
      <c r="K920" t="s">
        <v>96</v>
      </c>
      <c r="L920" t="s">
        <v>96</v>
      </c>
      <c r="M920">
        <v>2835</v>
      </c>
      <c r="O920" s="12" t="str">
        <f t="shared" si="42"/>
        <v>EUR</v>
      </c>
      <c r="P920" s="12" t="str">
        <f t="shared" si="43"/>
        <v>E_WON</v>
      </c>
    </row>
    <row r="921" spans="1:16" x14ac:dyDescent="0.35">
      <c r="A921" t="s">
        <v>95</v>
      </c>
      <c r="B921" t="s">
        <v>73</v>
      </c>
      <c r="C921" t="s">
        <v>45</v>
      </c>
      <c r="D921" t="s">
        <v>1036</v>
      </c>
      <c r="E921" t="s">
        <v>96</v>
      </c>
      <c r="F921" t="s">
        <v>96</v>
      </c>
      <c r="G921" t="s">
        <v>96</v>
      </c>
      <c r="H921">
        <v>2010</v>
      </c>
      <c r="I921" t="s">
        <v>96</v>
      </c>
      <c r="J921" t="s">
        <v>97</v>
      </c>
      <c r="K921" t="s">
        <v>96</v>
      </c>
      <c r="L921" t="s">
        <v>96</v>
      </c>
      <c r="M921">
        <v>2955</v>
      </c>
      <c r="O921" s="12" t="str">
        <f t="shared" si="42"/>
        <v>EUR</v>
      </c>
      <c r="P921" s="12" t="str">
        <f t="shared" si="43"/>
        <v>E_WON</v>
      </c>
    </row>
    <row r="922" spans="1:16" x14ac:dyDescent="0.35">
      <c r="A922" t="s">
        <v>95</v>
      </c>
      <c r="B922" t="s">
        <v>73</v>
      </c>
      <c r="C922" t="s">
        <v>45</v>
      </c>
      <c r="D922" t="s">
        <v>1037</v>
      </c>
      <c r="E922" t="s">
        <v>96</v>
      </c>
      <c r="F922" t="s">
        <v>96</v>
      </c>
      <c r="G922" t="s">
        <v>96</v>
      </c>
      <c r="H922">
        <v>2010</v>
      </c>
      <c r="I922" t="s">
        <v>96</v>
      </c>
      <c r="J922" t="s">
        <v>97</v>
      </c>
      <c r="K922" t="s">
        <v>96</v>
      </c>
      <c r="L922" t="s">
        <v>96</v>
      </c>
      <c r="M922">
        <v>2415</v>
      </c>
      <c r="O922" s="12" t="str">
        <f t="shared" si="42"/>
        <v>EUR</v>
      </c>
      <c r="P922" s="12" t="str">
        <f t="shared" si="43"/>
        <v>E_WON</v>
      </c>
    </row>
    <row r="923" spans="1:16" x14ac:dyDescent="0.35">
      <c r="A923" t="s">
        <v>95</v>
      </c>
      <c r="B923" t="s">
        <v>73</v>
      </c>
      <c r="C923" t="s">
        <v>45</v>
      </c>
      <c r="D923" t="s">
        <v>1038</v>
      </c>
      <c r="E923" t="s">
        <v>96</v>
      </c>
      <c r="F923" t="s">
        <v>96</v>
      </c>
      <c r="G923" t="s">
        <v>96</v>
      </c>
      <c r="H923">
        <v>2010</v>
      </c>
      <c r="I923" t="s">
        <v>96</v>
      </c>
      <c r="J923" t="s">
        <v>97</v>
      </c>
      <c r="K923" t="s">
        <v>96</v>
      </c>
      <c r="L923" t="s">
        <v>96</v>
      </c>
      <c r="M923">
        <v>2565</v>
      </c>
      <c r="O923" s="12" t="str">
        <f t="shared" si="42"/>
        <v>EUR</v>
      </c>
      <c r="P923" s="12" t="str">
        <f t="shared" si="43"/>
        <v>E_WON</v>
      </c>
    </row>
    <row r="924" spans="1:16" x14ac:dyDescent="0.35">
      <c r="A924" t="s">
        <v>95</v>
      </c>
      <c r="B924" t="s">
        <v>73</v>
      </c>
      <c r="C924" t="s">
        <v>45</v>
      </c>
      <c r="D924" t="s">
        <v>1039</v>
      </c>
      <c r="E924" t="s">
        <v>96</v>
      </c>
      <c r="F924" t="s">
        <v>96</v>
      </c>
      <c r="G924" t="s">
        <v>96</v>
      </c>
      <c r="H924">
        <v>2010</v>
      </c>
      <c r="I924" t="s">
        <v>96</v>
      </c>
      <c r="J924" t="s">
        <v>97</v>
      </c>
      <c r="K924" t="s">
        <v>96</v>
      </c>
      <c r="L924" t="s">
        <v>96</v>
      </c>
      <c r="M924">
        <v>2565</v>
      </c>
      <c r="O924" s="12" t="str">
        <f t="shared" si="42"/>
        <v>EUR</v>
      </c>
      <c r="P924" s="12" t="str">
        <f t="shared" si="43"/>
        <v>E_WON</v>
      </c>
    </row>
    <row r="925" spans="1:16" x14ac:dyDescent="0.35">
      <c r="A925" t="s">
        <v>95</v>
      </c>
      <c r="B925" t="s">
        <v>73</v>
      </c>
      <c r="C925" t="s">
        <v>45</v>
      </c>
      <c r="D925" t="s">
        <v>1040</v>
      </c>
      <c r="E925" t="s">
        <v>96</v>
      </c>
      <c r="F925" t="s">
        <v>96</v>
      </c>
      <c r="G925" t="s">
        <v>96</v>
      </c>
      <c r="H925">
        <v>2010</v>
      </c>
      <c r="I925" t="s">
        <v>96</v>
      </c>
      <c r="J925" t="s">
        <v>97</v>
      </c>
      <c r="K925" t="s">
        <v>96</v>
      </c>
      <c r="L925" t="s">
        <v>96</v>
      </c>
      <c r="M925">
        <v>1995</v>
      </c>
      <c r="O925" s="12" t="str">
        <f t="shared" si="42"/>
        <v>EUR</v>
      </c>
      <c r="P925" s="12" t="str">
        <f t="shared" si="43"/>
        <v>E_WON</v>
      </c>
    </row>
    <row r="926" spans="1:16" x14ac:dyDescent="0.35">
      <c r="A926" t="s">
        <v>95</v>
      </c>
      <c r="B926" t="s">
        <v>73</v>
      </c>
      <c r="C926" t="s">
        <v>45</v>
      </c>
      <c r="D926" t="s">
        <v>1041</v>
      </c>
      <c r="E926" t="s">
        <v>96</v>
      </c>
      <c r="F926" t="s">
        <v>96</v>
      </c>
      <c r="G926" t="s">
        <v>96</v>
      </c>
      <c r="H926">
        <v>2010</v>
      </c>
      <c r="I926" t="s">
        <v>96</v>
      </c>
      <c r="J926" t="s">
        <v>97</v>
      </c>
      <c r="K926" t="s">
        <v>96</v>
      </c>
      <c r="L926" t="s">
        <v>96</v>
      </c>
      <c r="M926">
        <v>2685</v>
      </c>
      <c r="O926" s="12" t="str">
        <f t="shared" si="42"/>
        <v>EUR</v>
      </c>
      <c r="P926" s="12" t="str">
        <f t="shared" si="43"/>
        <v>E_WON</v>
      </c>
    </row>
    <row r="927" spans="1:16" x14ac:dyDescent="0.35">
      <c r="A927" t="s">
        <v>95</v>
      </c>
      <c r="B927" t="s">
        <v>73</v>
      </c>
      <c r="C927" t="s">
        <v>45</v>
      </c>
      <c r="D927" t="s">
        <v>1042</v>
      </c>
      <c r="E927" t="s">
        <v>96</v>
      </c>
      <c r="F927" t="s">
        <v>96</v>
      </c>
      <c r="G927" t="s">
        <v>96</v>
      </c>
      <c r="H927">
        <v>2010</v>
      </c>
      <c r="I927" t="s">
        <v>96</v>
      </c>
      <c r="J927" t="s">
        <v>97</v>
      </c>
      <c r="K927" t="s">
        <v>96</v>
      </c>
      <c r="L927" t="s">
        <v>96</v>
      </c>
      <c r="M927">
        <v>2685</v>
      </c>
      <c r="O927" s="12" t="str">
        <f t="shared" si="42"/>
        <v>EUR</v>
      </c>
      <c r="P927" s="12" t="str">
        <f t="shared" si="43"/>
        <v>E_WON</v>
      </c>
    </row>
    <row r="928" spans="1:16" x14ac:dyDescent="0.35">
      <c r="A928" t="s">
        <v>95</v>
      </c>
      <c r="B928" t="s">
        <v>73</v>
      </c>
      <c r="C928" t="s">
        <v>45</v>
      </c>
      <c r="D928" t="s">
        <v>1043</v>
      </c>
      <c r="E928" t="s">
        <v>96</v>
      </c>
      <c r="F928" t="s">
        <v>96</v>
      </c>
      <c r="G928" t="s">
        <v>96</v>
      </c>
      <c r="H928">
        <v>2010</v>
      </c>
      <c r="I928" t="s">
        <v>96</v>
      </c>
      <c r="J928" t="s">
        <v>97</v>
      </c>
      <c r="K928" t="s">
        <v>96</v>
      </c>
      <c r="L928" t="s">
        <v>96</v>
      </c>
      <c r="M928">
        <v>2670</v>
      </c>
      <c r="O928" s="12" t="str">
        <f t="shared" si="42"/>
        <v>EUR</v>
      </c>
      <c r="P928" s="12" t="str">
        <f t="shared" si="43"/>
        <v>E_WON</v>
      </c>
    </row>
    <row r="929" spans="1:16" x14ac:dyDescent="0.35">
      <c r="A929" t="s">
        <v>95</v>
      </c>
      <c r="B929" t="s">
        <v>73</v>
      </c>
      <c r="C929" t="s">
        <v>45</v>
      </c>
      <c r="D929" t="s">
        <v>1044</v>
      </c>
      <c r="E929" t="s">
        <v>96</v>
      </c>
      <c r="F929" t="s">
        <v>96</v>
      </c>
      <c r="G929" t="s">
        <v>96</v>
      </c>
      <c r="H929">
        <v>2010</v>
      </c>
      <c r="I929" t="s">
        <v>96</v>
      </c>
      <c r="J929" t="s">
        <v>97</v>
      </c>
      <c r="K929" t="s">
        <v>96</v>
      </c>
      <c r="L929" t="s">
        <v>96</v>
      </c>
      <c r="M929">
        <v>2565</v>
      </c>
      <c r="O929" s="12" t="str">
        <f t="shared" si="42"/>
        <v>EUR</v>
      </c>
      <c r="P929" s="12" t="str">
        <f t="shared" si="43"/>
        <v>E_WON</v>
      </c>
    </row>
    <row r="930" spans="1:16" x14ac:dyDescent="0.35">
      <c r="A930" t="s">
        <v>95</v>
      </c>
      <c r="B930" t="s">
        <v>73</v>
      </c>
      <c r="C930" t="s">
        <v>45</v>
      </c>
      <c r="D930" t="s">
        <v>1045</v>
      </c>
      <c r="E930" t="s">
        <v>96</v>
      </c>
      <c r="F930" t="s">
        <v>96</v>
      </c>
      <c r="G930" t="s">
        <v>96</v>
      </c>
      <c r="H930">
        <v>2010</v>
      </c>
      <c r="I930" t="s">
        <v>96</v>
      </c>
      <c r="J930" t="s">
        <v>97</v>
      </c>
      <c r="K930" t="s">
        <v>96</v>
      </c>
      <c r="L930" t="s">
        <v>96</v>
      </c>
      <c r="M930">
        <v>2565</v>
      </c>
      <c r="O930" s="12" t="str">
        <f t="shared" si="42"/>
        <v>EUR</v>
      </c>
      <c r="P930" s="12" t="str">
        <f t="shared" si="43"/>
        <v>E_WON</v>
      </c>
    </row>
    <row r="931" spans="1:16" x14ac:dyDescent="0.35">
      <c r="A931" t="s">
        <v>95</v>
      </c>
      <c r="B931" t="s">
        <v>73</v>
      </c>
      <c r="C931" t="s">
        <v>45</v>
      </c>
      <c r="D931" t="s">
        <v>1046</v>
      </c>
      <c r="E931" t="s">
        <v>96</v>
      </c>
      <c r="F931" t="s">
        <v>96</v>
      </c>
      <c r="G931" t="s">
        <v>96</v>
      </c>
      <c r="H931">
        <v>2010</v>
      </c>
      <c r="I931" t="s">
        <v>96</v>
      </c>
      <c r="J931" t="s">
        <v>97</v>
      </c>
      <c r="K931" t="s">
        <v>96</v>
      </c>
      <c r="L931" t="s">
        <v>96</v>
      </c>
      <c r="M931">
        <v>2565</v>
      </c>
      <c r="O931" s="12" t="str">
        <f t="shared" si="42"/>
        <v>EUR</v>
      </c>
      <c r="P931" s="12" t="str">
        <f t="shared" si="43"/>
        <v>E_WON</v>
      </c>
    </row>
    <row r="932" spans="1:16" x14ac:dyDescent="0.35">
      <c r="A932" t="s">
        <v>95</v>
      </c>
      <c r="B932" t="s">
        <v>73</v>
      </c>
      <c r="C932" t="s">
        <v>45</v>
      </c>
      <c r="D932" t="s">
        <v>1047</v>
      </c>
      <c r="E932" t="s">
        <v>96</v>
      </c>
      <c r="F932" t="s">
        <v>96</v>
      </c>
      <c r="G932" t="s">
        <v>96</v>
      </c>
      <c r="H932">
        <v>2010</v>
      </c>
      <c r="I932" t="s">
        <v>96</v>
      </c>
      <c r="J932" t="s">
        <v>97</v>
      </c>
      <c r="K932" t="s">
        <v>96</v>
      </c>
      <c r="L932" t="s">
        <v>96</v>
      </c>
      <c r="M932">
        <v>1995</v>
      </c>
      <c r="O932" s="12" t="str">
        <f t="shared" si="42"/>
        <v>EUR</v>
      </c>
      <c r="P932" s="12" t="str">
        <f t="shared" si="43"/>
        <v>E_WON</v>
      </c>
    </row>
    <row r="933" spans="1:16" x14ac:dyDescent="0.35">
      <c r="A933" t="s">
        <v>95</v>
      </c>
      <c r="B933" t="s">
        <v>73</v>
      </c>
      <c r="C933" t="s">
        <v>45</v>
      </c>
      <c r="D933" t="s">
        <v>1048</v>
      </c>
      <c r="E933" t="s">
        <v>96</v>
      </c>
      <c r="F933" t="s">
        <v>96</v>
      </c>
      <c r="G933" t="s">
        <v>96</v>
      </c>
      <c r="H933">
        <v>2010</v>
      </c>
      <c r="I933" t="s">
        <v>96</v>
      </c>
      <c r="J933" t="s">
        <v>97</v>
      </c>
      <c r="K933" t="s">
        <v>96</v>
      </c>
      <c r="L933" t="s">
        <v>96</v>
      </c>
      <c r="M933">
        <v>2670</v>
      </c>
      <c r="O933" s="12" t="str">
        <f t="shared" si="42"/>
        <v>EUR</v>
      </c>
      <c r="P933" s="12" t="str">
        <f t="shared" si="43"/>
        <v>E_WON</v>
      </c>
    </row>
    <row r="934" spans="1:16" x14ac:dyDescent="0.35">
      <c r="A934" t="s">
        <v>95</v>
      </c>
      <c r="B934" t="s">
        <v>73</v>
      </c>
      <c r="C934" t="s">
        <v>45</v>
      </c>
      <c r="D934" t="s">
        <v>1049</v>
      </c>
      <c r="E934" t="s">
        <v>96</v>
      </c>
      <c r="F934" t="s">
        <v>96</v>
      </c>
      <c r="G934" t="s">
        <v>96</v>
      </c>
      <c r="H934">
        <v>2010</v>
      </c>
      <c r="I934" t="s">
        <v>96</v>
      </c>
      <c r="J934" t="s">
        <v>97</v>
      </c>
      <c r="K934" t="s">
        <v>96</v>
      </c>
      <c r="L934" t="s">
        <v>96</v>
      </c>
      <c r="M934">
        <v>2565</v>
      </c>
      <c r="O934" s="12" t="str">
        <f t="shared" si="42"/>
        <v>EUR</v>
      </c>
      <c r="P934" s="12" t="str">
        <f t="shared" si="43"/>
        <v>E_WON</v>
      </c>
    </row>
    <row r="935" spans="1:16" x14ac:dyDescent="0.35">
      <c r="A935" t="s">
        <v>95</v>
      </c>
      <c r="B935" t="s">
        <v>73</v>
      </c>
      <c r="C935" t="s">
        <v>45</v>
      </c>
      <c r="D935" t="s">
        <v>1050</v>
      </c>
      <c r="E935" t="s">
        <v>96</v>
      </c>
      <c r="F935" t="s">
        <v>96</v>
      </c>
      <c r="G935" t="s">
        <v>96</v>
      </c>
      <c r="H935">
        <v>2010</v>
      </c>
      <c r="I935" t="s">
        <v>96</v>
      </c>
      <c r="J935" t="s">
        <v>97</v>
      </c>
      <c r="K935" t="s">
        <v>96</v>
      </c>
      <c r="L935" t="s">
        <v>96</v>
      </c>
      <c r="M935">
        <v>2565</v>
      </c>
      <c r="O935" s="12" t="str">
        <f t="shared" si="42"/>
        <v>EUR</v>
      </c>
      <c r="P935" s="12" t="str">
        <f t="shared" si="43"/>
        <v>E_WON</v>
      </c>
    </row>
    <row r="936" spans="1:16" x14ac:dyDescent="0.35">
      <c r="A936" t="s">
        <v>95</v>
      </c>
      <c r="B936" t="s">
        <v>73</v>
      </c>
      <c r="C936" t="s">
        <v>45</v>
      </c>
      <c r="D936" t="s">
        <v>1051</v>
      </c>
      <c r="E936" t="s">
        <v>96</v>
      </c>
      <c r="F936" t="s">
        <v>96</v>
      </c>
      <c r="G936" t="s">
        <v>96</v>
      </c>
      <c r="H936">
        <v>2010</v>
      </c>
      <c r="I936" t="s">
        <v>96</v>
      </c>
      <c r="J936" t="s">
        <v>97</v>
      </c>
      <c r="K936" t="s">
        <v>96</v>
      </c>
      <c r="L936" t="s">
        <v>96</v>
      </c>
      <c r="M936">
        <v>2565</v>
      </c>
      <c r="O936" s="12" t="str">
        <f t="shared" si="42"/>
        <v>EUR</v>
      </c>
      <c r="P936" s="12" t="str">
        <f t="shared" si="43"/>
        <v>E_WON</v>
      </c>
    </row>
    <row r="937" spans="1:16" x14ac:dyDescent="0.35">
      <c r="A937" t="s">
        <v>95</v>
      </c>
      <c r="B937" t="s">
        <v>73</v>
      </c>
      <c r="C937" t="s">
        <v>45</v>
      </c>
      <c r="D937" t="s">
        <v>1052</v>
      </c>
      <c r="E937" t="s">
        <v>96</v>
      </c>
      <c r="F937" t="s">
        <v>96</v>
      </c>
      <c r="G937" t="s">
        <v>96</v>
      </c>
      <c r="H937">
        <v>2010</v>
      </c>
      <c r="I937" t="s">
        <v>96</v>
      </c>
      <c r="J937" t="s">
        <v>97</v>
      </c>
      <c r="K937" t="s">
        <v>96</v>
      </c>
      <c r="L937" t="s">
        <v>96</v>
      </c>
      <c r="M937">
        <v>2670</v>
      </c>
      <c r="O937" s="12" t="str">
        <f t="shared" si="42"/>
        <v>EUR</v>
      </c>
      <c r="P937" s="12" t="str">
        <f t="shared" si="43"/>
        <v>E_WON</v>
      </c>
    </row>
    <row r="938" spans="1:16" x14ac:dyDescent="0.35">
      <c r="A938" t="s">
        <v>95</v>
      </c>
      <c r="B938" t="s">
        <v>73</v>
      </c>
      <c r="C938" t="s">
        <v>45</v>
      </c>
      <c r="D938" t="s">
        <v>1053</v>
      </c>
      <c r="E938" t="s">
        <v>96</v>
      </c>
      <c r="F938" t="s">
        <v>96</v>
      </c>
      <c r="G938" t="s">
        <v>96</v>
      </c>
      <c r="H938">
        <v>2010</v>
      </c>
      <c r="I938" t="s">
        <v>96</v>
      </c>
      <c r="J938" t="s">
        <v>97</v>
      </c>
      <c r="K938" t="s">
        <v>96</v>
      </c>
      <c r="L938" t="s">
        <v>96</v>
      </c>
      <c r="M938">
        <v>2565</v>
      </c>
      <c r="O938" s="12" t="str">
        <f t="shared" si="42"/>
        <v>EUR</v>
      </c>
      <c r="P938" s="12" t="str">
        <f t="shared" si="43"/>
        <v>E_WON</v>
      </c>
    </row>
    <row r="939" spans="1:16" x14ac:dyDescent="0.35">
      <c r="A939" t="s">
        <v>95</v>
      </c>
      <c r="B939" t="s">
        <v>73</v>
      </c>
      <c r="C939" t="s">
        <v>45</v>
      </c>
      <c r="D939" t="s">
        <v>1054</v>
      </c>
      <c r="E939" t="s">
        <v>96</v>
      </c>
      <c r="F939" t="s">
        <v>96</v>
      </c>
      <c r="G939" t="s">
        <v>96</v>
      </c>
      <c r="H939">
        <v>2010</v>
      </c>
      <c r="I939" t="s">
        <v>96</v>
      </c>
      <c r="J939" t="s">
        <v>97</v>
      </c>
      <c r="K939" t="s">
        <v>96</v>
      </c>
      <c r="L939" t="s">
        <v>96</v>
      </c>
      <c r="M939">
        <v>2565</v>
      </c>
      <c r="O939" s="12" t="str">
        <f t="shared" si="42"/>
        <v>EUR</v>
      </c>
      <c r="P939" s="12" t="str">
        <f t="shared" si="43"/>
        <v>E_WON</v>
      </c>
    </row>
    <row r="940" spans="1:16" x14ac:dyDescent="0.35">
      <c r="A940" t="s">
        <v>95</v>
      </c>
      <c r="B940" t="s">
        <v>74</v>
      </c>
      <c r="C940" t="s">
        <v>45</v>
      </c>
      <c r="D940" t="s">
        <v>1055</v>
      </c>
      <c r="E940" t="s">
        <v>96</v>
      </c>
      <c r="F940" t="s">
        <v>96</v>
      </c>
      <c r="G940" t="s">
        <v>96</v>
      </c>
      <c r="H940">
        <v>2010</v>
      </c>
      <c r="I940" t="s">
        <v>96</v>
      </c>
      <c r="J940" t="s">
        <v>97</v>
      </c>
      <c r="K940" t="s">
        <v>96</v>
      </c>
      <c r="L940" t="s">
        <v>96</v>
      </c>
      <c r="M940">
        <v>1715</v>
      </c>
      <c r="O940" s="12" t="str">
        <f t="shared" si="42"/>
        <v>IND</v>
      </c>
      <c r="P940" s="12" t="str">
        <f t="shared" si="43"/>
        <v>E_WON</v>
      </c>
    </row>
    <row r="941" spans="1:16" x14ac:dyDescent="0.35">
      <c r="A941" t="s">
        <v>95</v>
      </c>
      <c r="B941" t="s">
        <v>74</v>
      </c>
      <c r="C941" t="s">
        <v>45</v>
      </c>
      <c r="D941" t="s">
        <v>1056</v>
      </c>
      <c r="E941" t="s">
        <v>96</v>
      </c>
      <c r="F941" t="s">
        <v>96</v>
      </c>
      <c r="G941" t="s">
        <v>96</v>
      </c>
      <c r="H941">
        <v>2010</v>
      </c>
      <c r="I941" t="s">
        <v>96</v>
      </c>
      <c r="J941" t="s">
        <v>97</v>
      </c>
      <c r="K941" t="s">
        <v>96</v>
      </c>
      <c r="L941" t="s">
        <v>96</v>
      </c>
      <c r="M941">
        <v>1715</v>
      </c>
      <c r="O941" s="12" t="str">
        <f t="shared" si="42"/>
        <v>IND</v>
      </c>
      <c r="P941" s="12" t="str">
        <f t="shared" si="43"/>
        <v>E_WON</v>
      </c>
    </row>
    <row r="942" spans="1:16" x14ac:dyDescent="0.35">
      <c r="A942" t="s">
        <v>95</v>
      </c>
      <c r="B942" t="s">
        <v>74</v>
      </c>
      <c r="C942" t="s">
        <v>45</v>
      </c>
      <c r="D942" t="s">
        <v>1057</v>
      </c>
      <c r="E942" t="s">
        <v>96</v>
      </c>
      <c r="F942" t="s">
        <v>96</v>
      </c>
      <c r="G942" t="s">
        <v>96</v>
      </c>
      <c r="H942">
        <v>2010</v>
      </c>
      <c r="I942" t="s">
        <v>96</v>
      </c>
      <c r="J942" t="s">
        <v>97</v>
      </c>
      <c r="K942" t="s">
        <v>96</v>
      </c>
      <c r="L942" t="s">
        <v>96</v>
      </c>
      <c r="M942">
        <v>980</v>
      </c>
      <c r="O942" s="12" t="str">
        <f t="shared" si="42"/>
        <v>IND</v>
      </c>
      <c r="P942" s="12" t="str">
        <f t="shared" si="43"/>
        <v>E_WON</v>
      </c>
    </row>
    <row r="943" spans="1:16" x14ac:dyDescent="0.35">
      <c r="A943" t="s">
        <v>95</v>
      </c>
      <c r="B943" t="s">
        <v>74</v>
      </c>
      <c r="C943" t="s">
        <v>45</v>
      </c>
      <c r="D943" t="s">
        <v>1058</v>
      </c>
      <c r="E943" t="s">
        <v>96</v>
      </c>
      <c r="F943" t="s">
        <v>96</v>
      </c>
      <c r="G943" t="s">
        <v>96</v>
      </c>
      <c r="H943">
        <v>2010</v>
      </c>
      <c r="I943" t="s">
        <v>96</v>
      </c>
      <c r="J943" t="s">
        <v>97</v>
      </c>
      <c r="K943" t="s">
        <v>96</v>
      </c>
      <c r="L943" t="s">
        <v>96</v>
      </c>
      <c r="M943">
        <v>980</v>
      </c>
      <c r="O943" s="12" t="str">
        <f t="shared" si="42"/>
        <v>IND</v>
      </c>
      <c r="P943" s="12" t="str">
        <f t="shared" si="43"/>
        <v>E_WON</v>
      </c>
    </row>
    <row r="944" spans="1:16" x14ac:dyDescent="0.35">
      <c r="A944" t="s">
        <v>95</v>
      </c>
      <c r="B944" t="s">
        <v>74</v>
      </c>
      <c r="C944" t="s">
        <v>45</v>
      </c>
      <c r="D944" t="s">
        <v>1059</v>
      </c>
      <c r="E944" t="s">
        <v>96</v>
      </c>
      <c r="F944" t="s">
        <v>96</v>
      </c>
      <c r="G944" t="s">
        <v>96</v>
      </c>
      <c r="H944">
        <v>2010</v>
      </c>
      <c r="I944" t="s">
        <v>96</v>
      </c>
      <c r="J944" t="s">
        <v>97</v>
      </c>
      <c r="K944" t="s">
        <v>96</v>
      </c>
      <c r="L944" t="s">
        <v>96</v>
      </c>
      <c r="M944">
        <v>980</v>
      </c>
      <c r="O944" s="12" t="str">
        <f t="shared" si="42"/>
        <v>IND</v>
      </c>
      <c r="P944" s="12" t="str">
        <f t="shared" si="43"/>
        <v>E_WON</v>
      </c>
    </row>
    <row r="945" spans="1:16" x14ac:dyDescent="0.35">
      <c r="A945" t="s">
        <v>95</v>
      </c>
      <c r="B945" t="s">
        <v>74</v>
      </c>
      <c r="C945" t="s">
        <v>45</v>
      </c>
      <c r="D945" t="s">
        <v>1060</v>
      </c>
      <c r="E945" t="s">
        <v>96</v>
      </c>
      <c r="F945" t="s">
        <v>96</v>
      </c>
      <c r="G945" t="s">
        <v>96</v>
      </c>
      <c r="H945">
        <v>2010</v>
      </c>
      <c r="I945" t="s">
        <v>96</v>
      </c>
      <c r="J945" t="s">
        <v>97</v>
      </c>
      <c r="K945" t="s">
        <v>96</v>
      </c>
      <c r="L945" t="s">
        <v>96</v>
      </c>
      <c r="M945">
        <v>980</v>
      </c>
      <c r="O945" s="12" t="str">
        <f t="shared" si="42"/>
        <v>IND</v>
      </c>
      <c r="P945" s="12" t="str">
        <f t="shared" si="43"/>
        <v>E_WON</v>
      </c>
    </row>
    <row r="946" spans="1:16" x14ac:dyDescent="0.35">
      <c r="A946" t="s">
        <v>95</v>
      </c>
      <c r="B946" t="s">
        <v>74</v>
      </c>
      <c r="C946" t="s">
        <v>45</v>
      </c>
      <c r="D946" t="s">
        <v>1061</v>
      </c>
      <c r="E946" t="s">
        <v>96</v>
      </c>
      <c r="F946" t="s">
        <v>96</v>
      </c>
      <c r="G946" t="s">
        <v>96</v>
      </c>
      <c r="H946">
        <v>2010</v>
      </c>
      <c r="I946" t="s">
        <v>96</v>
      </c>
      <c r="J946" t="s">
        <v>97</v>
      </c>
      <c r="K946" t="s">
        <v>96</v>
      </c>
      <c r="L946" t="s">
        <v>96</v>
      </c>
      <c r="M946">
        <v>980</v>
      </c>
      <c r="O946" s="12" t="str">
        <f t="shared" si="42"/>
        <v>IND</v>
      </c>
      <c r="P946" s="12" t="str">
        <f t="shared" si="43"/>
        <v>E_WON</v>
      </c>
    </row>
    <row r="947" spans="1:16" x14ac:dyDescent="0.35">
      <c r="A947" t="s">
        <v>95</v>
      </c>
      <c r="B947" t="s">
        <v>74</v>
      </c>
      <c r="C947" t="s">
        <v>45</v>
      </c>
      <c r="D947" t="s">
        <v>1062</v>
      </c>
      <c r="E947" t="s">
        <v>96</v>
      </c>
      <c r="F947" t="s">
        <v>96</v>
      </c>
      <c r="G947" t="s">
        <v>96</v>
      </c>
      <c r="H947">
        <v>2010</v>
      </c>
      <c r="I947" t="s">
        <v>96</v>
      </c>
      <c r="J947" t="s">
        <v>97</v>
      </c>
      <c r="K947" t="s">
        <v>96</v>
      </c>
      <c r="L947" t="s">
        <v>96</v>
      </c>
      <c r="M947">
        <v>980</v>
      </c>
      <c r="O947" s="12" t="str">
        <f t="shared" si="42"/>
        <v>IND</v>
      </c>
      <c r="P947" s="12" t="str">
        <f t="shared" si="43"/>
        <v>E_WON</v>
      </c>
    </row>
    <row r="948" spans="1:16" x14ac:dyDescent="0.35">
      <c r="A948" t="s">
        <v>95</v>
      </c>
      <c r="B948" t="s">
        <v>74</v>
      </c>
      <c r="C948" t="s">
        <v>45</v>
      </c>
      <c r="D948" t="s">
        <v>1063</v>
      </c>
      <c r="E948" t="s">
        <v>96</v>
      </c>
      <c r="F948" t="s">
        <v>96</v>
      </c>
      <c r="G948" t="s">
        <v>96</v>
      </c>
      <c r="H948">
        <v>2010</v>
      </c>
      <c r="I948" t="s">
        <v>96</v>
      </c>
      <c r="J948" t="s">
        <v>97</v>
      </c>
      <c r="K948" t="s">
        <v>96</v>
      </c>
      <c r="L948" t="s">
        <v>96</v>
      </c>
      <c r="M948">
        <v>1470</v>
      </c>
      <c r="O948" s="12" t="str">
        <f t="shared" si="42"/>
        <v>IND</v>
      </c>
      <c r="P948" s="12" t="str">
        <f t="shared" si="43"/>
        <v>E_WON</v>
      </c>
    </row>
    <row r="949" spans="1:16" x14ac:dyDescent="0.35">
      <c r="A949" t="s">
        <v>95</v>
      </c>
      <c r="B949" t="s">
        <v>74</v>
      </c>
      <c r="C949" t="s">
        <v>45</v>
      </c>
      <c r="D949" t="s">
        <v>1064</v>
      </c>
      <c r="E949" t="s">
        <v>96</v>
      </c>
      <c r="F949" t="s">
        <v>96</v>
      </c>
      <c r="G949" t="s">
        <v>96</v>
      </c>
      <c r="H949">
        <v>2010</v>
      </c>
      <c r="I949" t="s">
        <v>96</v>
      </c>
      <c r="J949" t="s">
        <v>97</v>
      </c>
      <c r="K949" t="s">
        <v>96</v>
      </c>
      <c r="L949" t="s">
        <v>96</v>
      </c>
      <c r="M949">
        <v>1470</v>
      </c>
      <c r="O949" s="12" t="str">
        <f t="shared" si="42"/>
        <v>IND</v>
      </c>
      <c r="P949" s="12" t="str">
        <f t="shared" si="43"/>
        <v>E_WON</v>
      </c>
    </row>
    <row r="950" spans="1:16" x14ac:dyDescent="0.35">
      <c r="A950" t="s">
        <v>95</v>
      </c>
      <c r="B950" t="s">
        <v>74</v>
      </c>
      <c r="C950" t="s">
        <v>45</v>
      </c>
      <c r="D950" t="s">
        <v>1065</v>
      </c>
      <c r="E950" t="s">
        <v>96</v>
      </c>
      <c r="F950" t="s">
        <v>96</v>
      </c>
      <c r="G950" t="s">
        <v>96</v>
      </c>
      <c r="H950">
        <v>2010</v>
      </c>
      <c r="I950" t="s">
        <v>96</v>
      </c>
      <c r="J950" t="s">
        <v>97</v>
      </c>
      <c r="K950" t="s">
        <v>96</v>
      </c>
      <c r="L950" t="s">
        <v>96</v>
      </c>
      <c r="M950">
        <v>1470</v>
      </c>
      <c r="O950" s="12" t="str">
        <f t="shared" si="42"/>
        <v>IND</v>
      </c>
      <c r="P950" s="12" t="str">
        <f t="shared" si="43"/>
        <v>E_WON</v>
      </c>
    </row>
    <row r="951" spans="1:16" x14ac:dyDescent="0.35">
      <c r="A951" t="s">
        <v>95</v>
      </c>
      <c r="B951" t="s">
        <v>74</v>
      </c>
      <c r="C951" t="s">
        <v>45</v>
      </c>
      <c r="D951" t="s">
        <v>1066</v>
      </c>
      <c r="E951" t="s">
        <v>96</v>
      </c>
      <c r="F951" t="s">
        <v>96</v>
      </c>
      <c r="G951" t="s">
        <v>96</v>
      </c>
      <c r="H951">
        <v>2010</v>
      </c>
      <c r="I951" t="s">
        <v>96</v>
      </c>
      <c r="J951" t="s">
        <v>97</v>
      </c>
      <c r="K951" t="s">
        <v>96</v>
      </c>
      <c r="L951" t="s">
        <v>96</v>
      </c>
      <c r="M951">
        <v>1470</v>
      </c>
      <c r="O951" s="12" t="str">
        <f t="shared" si="42"/>
        <v>IND</v>
      </c>
      <c r="P951" s="12" t="str">
        <f t="shared" si="43"/>
        <v>E_WON</v>
      </c>
    </row>
    <row r="952" spans="1:16" x14ac:dyDescent="0.35">
      <c r="A952" t="s">
        <v>95</v>
      </c>
      <c r="B952" t="s">
        <v>74</v>
      </c>
      <c r="C952" t="s">
        <v>45</v>
      </c>
      <c r="D952" t="s">
        <v>1067</v>
      </c>
      <c r="E952" t="s">
        <v>96</v>
      </c>
      <c r="F952" t="s">
        <v>96</v>
      </c>
      <c r="G952" t="s">
        <v>96</v>
      </c>
      <c r="H952">
        <v>2010</v>
      </c>
      <c r="I952" t="s">
        <v>96</v>
      </c>
      <c r="J952" t="s">
        <v>97</v>
      </c>
      <c r="K952" t="s">
        <v>96</v>
      </c>
      <c r="L952" t="s">
        <v>96</v>
      </c>
      <c r="M952">
        <v>1470</v>
      </c>
      <c r="O952" s="12" t="str">
        <f t="shared" si="42"/>
        <v>IND</v>
      </c>
      <c r="P952" s="12" t="str">
        <f t="shared" si="43"/>
        <v>E_WON</v>
      </c>
    </row>
    <row r="953" spans="1:16" x14ac:dyDescent="0.35">
      <c r="A953" t="s">
        <v>95</v>
      </c>
      <c r="B953" t="s">
        <v>75</v>
      </c>
      <c r="C953" t="s">
        <v>45</v>
      </c>
      <c r="D953" t="s">
        <v>1068</v>
      </c>
      <c r="E953" t="s">
        <v>96</v>
      </c>
      <c r="F953" t="s">
        <v>96</v>
      </c>
      <c r="G953" t="s">
        <v>96</v>
      </c>
      <c r="H953">
        <v>2010</v>
      </c>
      <c r="I953" t="s">
        <v>96</v>
      </c>
      <c r="J953" t="s">
        <v>97</v>
      </c>
      <c r="K953" t="s">
        <v>96</v>
      </c>
      <c r="L953" t="s">
        <v>96</v>
      </c>
      <c r="M953">
        <v>4462.5</v>
      </c>
      <c r="O953" s="12" t="str">
        <f t="shared" si="42"/>
        <v>JPN</v>
      </c>
      <c r="P953" s="12" t="str">
        <f t="shared" si="43"/>
        <v>E_WON</v>
      </c>
    </row>
    <row r="954" spans="1:16" x14ac:dyDescent="0.35">
      <c r="A954" t="s">
        <v>95</v>
      </c>
      <c r="B954" t="s">
        <v>75</v>
      </c>
      <c r="C954" t="s">
        <v>45</v>
      </c>
      <c r="D954" t="s">
        <v>1069</v>
      </c>
      <c r="E954" t="s">
        <v>96</v>
      </c>
      <c r="F954" t="s">
        <v>96</v>
      </c>
      <c r="G954" t="s">
        <v>96</v>
      </c>
      <c r="H954">
        <v>2010</v>
      </c>
      <c r="I954" t="s">
        <v>96</v>
      </c>
      <c r="J954" t="s">
        <v>97</v>
      </c>
      <c r="K954" t="s">
        <v>96</v>
      </c>
      <c r="L954" t="s">
        <v>96</v>
      </c>
      <c r="M954">
        <v>4462.5</v>
      </c>
      <c r="O954" s="12" t="str">
        <f t="shared" si="42"/>
        <v>JPN</v>
      </c>
      <c r="P954" s="12" t="str">
        <f t="shared" si="43"/>
        <v>E_WON</v>
      </c>
    </row>
    <row r="955" spans="1:16" x14ac:dyDescent="0.35">
      <c r="A955" t="s">
        <v>95</v>
      </c>
      <c r="B955" t="s">
        <v>75</v>
      </c>
      <c r="C955" t="s">
        <v>45</v>
      </c>
      <c r="D955" t="s">
        <v>1070</v>
      </c>
      <c r="E955" t="s">
        <v>96</v>
      </c>
      <c r="F955" t="s">
        <v>96</v>
      </c>
      <c r="G955" t="s">
        <v>96</v>
      </c>
      <c r="H955">
        <v>2010</v>
      </c>
      <c r="I955" t="s">
        <v>96</v>
      </c>
      <c r="J955" t="s">
        <v>97</v>
      </c>
      <c r="K955" t="s">
        <v>96</v>
      </c>
      <c r="L955" t="s">
        <v>96</v>
      </c>
      <c r="M955">
        <v>2550</v>
      </c>
      <c r="O955" s="12" t="str">
        <f t="shared" si="42"/>
        <v>JPN</v>
      </c>
      <c r="P955" s="12" t="str">
        <f t="shared" si="43"/>
        <v>E_WON</v>
      </c>
    </row>
    <row r="956" spans="1:16" x14ac:dyDescent="0.35">
      <c r="A956" t="s">
        <v>95</v>
      </c>
      <c r="B956" t="s">
        <v>75</v>
      </c>
      <c r="C956" t="s">
        <v>45</v>
      </c>
      <c r="D956" t="s">
        <v>1071</v>
      </c>
      <c r="E956" t="s">
        <v>96</v>
      </c>
      <c r="F956" t="s">
        <v>96</v>
      </c>
      <c r="G956" t="s">
        <v>96</v>
      </c>
      <c r="H956">
        <v>2010</v>
      </c>
      <c r="I956" t="s">
        <v>96</v>
      </c>
      <c r="J956" t="s">
        <v>97</v>
      </c>
      <c r="K956" t="s">
        <v>96</v>
      </c>
      <c r="L956" t="s">
        <v>96</v>
      </c>
      <c r="M956">
        <v>2550</v>
      </c>
      <c r="O956" s="12" t="str">
        <f t="shared" si="42"/>
        <v>JPN</v>
      </c>
      <c r="P956" s="12" t="str">
        <f t="shared" si="43"/>
        <v>E_WON</v>
      </c>
    </row>
    <row r="957" spans="1:16" x14ac:dyDescent="0.35">
      <c r="A957" t="s">
        <v>95</v>
      </c>
      <c r="B957" t="s">
        <v>75</v>
      </c>
      <c r="C957" t="s">
        <v>45</v>
      </c>
      <c r="D957" t="s">
        <v>1072</v>
      </c>
      <c r="E957" t="s">
        <v>96</v>
      </c>
      <c r="F957" t="s">
        <v>96</v>
      </c>
      <c r="G957" t="s">
        <v>96</v>
      </c>
      <c r="H957">
        <v>2010</v>
      </c>
      <c r="I957" t="s">
        <v>96</v>
      </c>
      <c r="J957" t="s">
        <v>97</v>
      </c>
      <c r="K957" t="s">
        <v>96</v>
      </c>
      <c r="L957" t="s">
        <v>96</v>
      </c>
      <c r="M957">
        <v>2550</v>
      </c>
      <c r="O957" s="12" t="str">
        <f t="shared" si="42"/>
        <v>JPN</v>
      </c>
      <c r="P957" s="12" t="str">
        <f t="shared" si="43"/>
        <v>E_WON</v>
      </c>
    </row>
    <row r="958" spans="1:16" x14ac:dyDescent="0.35">
      <c r="A958" t="s">
        <v>95</v>
      </c>
      <c r="B958" t="s">
        <v>75</v>
      </c>
      <c r="C958" t="s">
        <v>45</v>
      </c>
      <c r="D958" t="s">
        <v>1073</v>
      </c>
      <c r="E958" t="s">
        <v>96</v>
      </c>
      <c r="F958" t="s">
        <v>96</v>
      </c>
      <c r="G958" t="s">
        <v>96</v>
      </c>
      <c r="H958">
        <v>2010</v>
      </c>
      <c r="I958" t="s">
        <v>96</v>
      </c>
      <c r="J958" t="s">
        <v>97</v>
      </c>
      <c r="K958" t="s">
        <v>96</v>
      </c>
      <c r="L958" t="s">
        <v>96</v>
      </c>
      <c r="M958">
        <v>2550</v>
      </c>
      <c r="O958" s="12" t="str">
        <f t="shared" si="42"/>
        <v>JPN</v>
      </c>
      <c r="P958" s="12" t="str">
        <f t="shared" si="43"/>
        <v>E_WON</v>
      </c>
    </row>
    <row r="959" spans="1:16" x14ac:dyDescent="0.35">
      <c r="A959" t="s">
        <v>95</v>
      </c>
      <c r="B959" t="s">
        <v>75</v>
      </c>
      <c r="C959" t="s">
        <v>45</v>
      </c>
      <c r="D959" t="s">
        <v>1074</v>
      </c>
      <c r="E959" t="s">
        <v>96</v>
      </c>
      <c r="F959" t="s">
        <v>96</v>
      </c>
      <c r="G959" t="s">
        <v>96</v>
      </c>
      <c r="H959">
        <v>2010</v>
      </c>
      <c r="I959" t="s">
        <v>96</v>
      </c>
      <c r="J959" t="s">
        <v>97</v>
      </c>
      <c r="K959" t="s">
        <v>96</v>
      </c>
      <c r="L959" t="s">
        <v>96</v>
      </c>
      <c r="M959">
        <v>3825</v>
      </c>
      <c r="O959" s="12" t="str">
        <f t="shared" si="42"/>
        <v>JPN</v>
      </c>
      <c r="P959" s="12" t="str">
        <f t="shared" si="43"/>
        <v>E_WON</v>
      </c>
    </row>
    <row r="960" spans="1:16" x14ac:dyDescent="0.35">
      <c r="A960" t="s">
        <v>95</v>
      </c>
      <c r="B960" t="s">
        <v>75</v>
      </c>
      <c r="C960" t="s">
        <v>45</v>
      </c>
      <c r="D960" t="s">
        <v>1075</v>
      </c>
      <c r="E960" t="s">
        <v>96</v>
      </c>
      <c r="F960" t="s">
        <v>96</v>
      </c>
      <c r="G960" t="s">
        <v>96</v>
      </c>
      <c r="H960">
        <v>2010</v>
      </c>
      <c r="I960" t="s">
        <v>96</v>
      </c>
      <c r="J960" t="s">
        <v>97</v>
      </c>
      <c r="K960" t="s">
        <v>96</v>
      </c>
      <c r="L960" t="s">
        <v>96</v>
      </c>
      <c r="M960">
        <v>3825</v>
      </c>
      <c r="O960" s="12" t="str">
        <f t="shared" si="42"/>
        <v>JPN</v>
      </c>
      <c r="P960" s="12" t="str">
        <f t="shared" si="43"/>
        <v>E_WON</v>
      </c>
    </row>
    <row r="961" spans="1:16" x14ac:dyDescent="0.35">
      <c r="A961" t="s">
        <v>95</v>
      </c>
      <c r="B961" t="s">
        <v>76</v>
      </c>
      <c r="C961" t="s">
        <v>45</v>
      </c>
      <c r="D961" t="s">
        <v>1076</v>
      </c>
      <c r="E961" t="s">
        <v>96</v>
      </c>
      <c r="F961" t="s">
        <v>96</v>
      </c>
      <c r="G961" t="s">
        <v>96</v>
      </c>
      <c r="H961">
        <v>2010</v>
      </c>
      <c r="I961" t="s">
        <v>96</v>
      </c>
      <c r="J961" t="s">
        <v>97</v>
      </c>
      <c r="K961" t="s">
        <v>96</v>
      </c>
      <c r="L961" t="s">
        <v>96</v>
      </c>
      <c r="M961">
        <v>4375</v>
      </c>
      <c r="O961" s="12" t="str">
        <f t="shared" si="42"/>
        <v>MID</v>
      </c>
      <c r="P961" s="12" t="str">
        <f t="shared" si="43"/>
        <v>E_WON</v>
      </c>
    </row>
    <row r="962" spans="1:16" x14ac:dyDescent="0.35">
      <c r="A962" t="s">
        <v>95</v>
      </c>
      <c r="B962" t="s">
        <v>76</v>
      </c>
      <c r="C962" t="s">
        <v>45</v>
      </c>
      <c r="D962" t="s">
        <v>1077</v>
      </c>
      <c r="E962" t="s">
        <v>96</v>
      </c>
      <c r="F962" t="s">
        <v>96</v>
      </c>
      <c r="G962" t="s">
        <v>96</v>
      </c>
      <c r="H962">
        <v>2010</v>
      </c>
      <c r="I962" t="s">
        <v>96</v>
      </c>
      <c r="J962" t="s">
        <v>97</v>
      </c>
      <c r="K962" t="s">
        <v>96</v>
      </c>
      <c r="L962" t="s">
        <v>96</v>
      </c>
      <c r="M962">
        <v>4375</v>
      </c>
      <c r="O962" s="12" t="str">
        <f t="shared" si="42"/>
        <v>MID</v>
      </c>
      <c r="P962" s="12" t="str">
        <f t="shared" si="43"/>
        <v>E_WON</v>
      </c>
    </row>
    <row r="963" spans="1:16" x14ac:dyDescent="0.35">
      <c r="A963" t="s">
        <v>95</v>
      </c>
      <c r="B963" t="s">
        <v>76</v>
      </c>
      <c r="C963" t="s">
        <v>45</v>
      </c>
      <c r="D963" t="s">
        <v>1078</v>
      </c>
      <c r="E963" t="s">
        <v>96</v>
      </c>
      <c r="F963" t="s">
        <v>96</v>
      </c>
      <c r="G963" t="s">
        <v>96</v>
      </c>
      <c r="H963">
        <v>2010</v>
      </c>
      <c r="I963" t="s">
        <v>96</v>
      </c>
      <c r="J963" t="s">
        <v>97</v>
      </c>
      <c r="K963" t="s">
        <v>96</v>
      </c>
      <c r="L963" t="s">
        <v>96</v>
      </c>
      <c r="M963">
        <v>4375</v>
      </c>
      <c r="O963" s="12" t="str">
        <f t="shared" ref="O963:O1026" si="44">LEFT(B963,3)</f>
        <v>MID</v>
      </c>
      <c r="P963" s="12" t="str">
        <f t="shared" ref="P963:P1026" si="45">LEFT(D963,5)</f>
        <v>E_WON</v>
      </c>
    </row>
    <row r="964" spans="1:16" x14ac:dyDescent="0.35">
      <c r="A964" t="s">
        <v>95</v>
      </c>
      <c r="B964" t="s">
        <v>76</v>
      </c>
      <c r="C964" t="s">
        <v>45</v>
      </c>
      <c r="D964" t="s">
        <v>1079</v>
      </c>
      <c r="E964" t="s">
        <v>96</v>
      </c>
      <c r="F964" t="s">
        <v>96</v>
      </c>
      <c r="G964" t="s">
        <v>96</v>
      </c>
      <c r="H964">
        <v>2010</v>
      </c>
      <c r="I964" t="s">
        <v>96</v>
      </c>
      <c r="J964" t="s">
        <v>97</v>
      </c>
      <c r="K964" t="s">
        <v>96</v>
      </c>
      <c r="L964" t="s">
        <v>96</v>
      </c>
      <c r="M964">
        <v>4375</v>
      </c>
      <c r="O964" s="12" t="str">
        <f t="shared" si="44"/>
        <v>MID</v>
      </c>
      <c r="P964" s="12" t="str">
        <f t="shared" si="45"/>
        <v>E_WON</v>
      </c>
    </row>
    <row r="965" spans="1:16" x14ac:dyDescent="0.35">
      <c r="A965" t="s">
        <v>95</v>
      </c>
      <c r="B965" t="s">
        <v>76</v>
      </c>
      <c r="C965" t="s">
        <v>45</v>
      </c>
      <c r="D965" t="s">
        <v>1080</v>
      </c>
      <c r="E965" t="s">
        <v>96</v>
      </c>
      <c r="F965" t="s">
        <v>96</v>
      </c>
      <c r="G965" t="s">
        <v>96</v>
      </c>
      <c r="H965">
        <v>2010</v>
      </c>
      <c r="I965" t="s">
        <v>96</v>
      </c>
      <c r="J965" t="s">
        <v>97</v>
      </c>
      <c r="K965" t="s">
        <v>96</v>
      </c>
      <c r="L965" t="s">
        <v>96</v>
      </c>
      <c r="M965">
        <v>4375</v>
      </c>
      <c r="O965" s="12" t="str">
        <f t="shared" si="44"/>
        <v>MID</v>
      </c>
      <c r="P965" s="12" t="str">
        <f t="shared" si="45"/>
        <v>E_WON</v>
      </c>
    </row>
    <row r="966" spans="1:16" x14ac:dyDescent="0.35">
      <c r="A966" t="s">
        <v>95</v>
      </c>
      <c r="B966" t="s">
        <v>76</v>
      </c>
      <c r="C966" t="s">
        <v>45</v>
      </c>
      <c r="D966" t="s">
        <v>1081</v>
      </c>
      <c r="E966" t="s">
        <v>96</v>
      </c>
      <c r="F966" t="s">
        <v>96</v>
      </c>
      <c r="G966" t="s">
        <v>96</v>
      </c>
      <c r="H966">
        <v>2010</v>
      </c>
      <c r="I966" t="s">
        <v>96</v>
      </c>
      <c r="J966" t="s">
        <v>97</v>
      </c>
      <c r="K966" t="s">
        <v>96</v>
      </c>
      <c r="L966" t="s">
        <v>96</v>
      </c>
      <c r="M966">
        <v>4375</v>
      </c>
      <c r="O966" s="12" t="str">
        <f t="shared" si="44"/>
        <v>MID</v>
      </c>
      <c r="P966" s="12" t="str">
        <f t="shared" si="45"/>
        <v>E_WON</v>
      </c>
    </row>
    <row r="967" spans="1:16" x14ac:dyDescent="0.35">
      <c r="A967" t="s">
        <v>95</v>
      </c>
      <c r="B967" t="s">
        <v>76</v>
      </c>
      <c r="C967" t="s">
        <v>45</v>
      </c>
      <c r="D967" t="s">
        <v>1082</v>
      </c>
      <c r="E967" t="s">
        <v>96</v>
      </c>
      <c r="F967" t="s">
        <v>96</v>
      </c>
      <c r="G967" t="s">
        <v>96</v>
      </c>
      <c r="H967">
        <v>2010</v>
      </c>
      <c r="I967" t="s">
        <v>96</v>
      </c>
      <c r="J967" t="s">
        <v>97</v>
      </c>
      <c r="K967" t="s">
        <v>96</v>
      </c>
      <c r="L967" t="s">
        <v>96</v>
      </c>
      <c r="M967">
        <v>4375</v>
      </c>
      <c r="O967" s="12" t="str">
        <f t="shared" si="44"/>
        <v>MID</v>
      </c>
      <c r="P967" s="12" t="str">
        <f t="shared" si="45"/>
        <v>E_WON</v>
      </c>
    </row>
    <row r="968" spans="1:16" x14ac:dyDescent="0.35">
      <c r="A968" t="s">
        <v>95</v>
      </c>
      <c r="B968" t="s">
        <v>76</v>
      </c>
      <c r="C968" t="s">
        <v>45</v>
      </c>
      <c r="D968" t="s">
        <v>1083</v>
      </c>
      <c r="E968" t="s">
        <v>96</v>
      </c>
      <c r="F968" t="s">
        <v>96</v>
      </c>
      <c r="G968" t="s">
        <v>96</v>
      </c>
      <c r="H968">
        <v>2010</v>
      </c>
      <c r="I968" t="s">
        <v>96</v>
      </c>
      <c r="J968" t="s">
        <v>97</v>
      </c>
      <c r="K968" t="s">
        <v>96</v>
      </c>
      <c r="L968" t="s">
        <v>96</v>
      </c>
      <c r="M968">
        <v>4375</v>
      </c>
      <c r="O968" s="12" t="str">
        <f t="shared" si="44"/>
        <v>MID</v>
      </c>
      <c r="P968" s="12" t="str">
        <f t="shared" si="45"/>
        <v>E_WON</v>
      </c>
    </row>
    <row r="969" spans="1:16" x14ac:dyDescent="0.35">
      <c r="A969" t="s">
        <v>95</v>
      </c>
      <c r="B969" t="s">
        <v>76</v>
      </c>
      <c r="C969" t="s">
        <v>45</v>
      </c>
      <c r="D969" t="s">
        <v>1084</v>
      </c>
      <c r="E969" t="s">
        <v>96</v>
      </c>
      <c r="F969" t="s">
        <v>96</v>
      </c>
      <c r="G969" t="s">
        <v>96</v>
      </c>
      <c r="H969">
        <v>2010</v>
      </c>
      <c r="I969" t="s">
        <v>96</v>
      </c>
      <c r="J969" t="s">
        <v>97</v>
      </c>
      <c r="K969" t="s">
        <v>96</v>
      </c>
      <c r="L969" t="s">
        <v>96</v>
      </c>
      <c r="M969">
        <v>4375</v>
      </c>
      <c r="O969" s="12" t="str">
        <f t="shared" si="44"/>
        <v>MID</v>
      </c>
      <c r="P969" s="12" t="str">
        <f t="shared" si="45"/>
        <v>E_WON</v>
      </c>
    </row>
    <row r="970" spans="1:16" x14ac:dyDescent="0.35">
      <c r="A970" t="s">
        <v>95</v>
      </c>
      <c r="B970" t="s">
        <v>76</v>
      </c>
      <c r="C970" t="s">
        <v>45</v>
      </c>
      <c r="D970" t="s">
        <v>1085</v>
      </c>
      <c r="E970" t="s">
        <v>96</v>
      </c>
      <c r="F970" t="s">
        <v>96</v>
      </c>
      <c r="G970" t="s">
        <v>96</v>
      </c>
      <c r="H970">
        <v>2010</v>
      </c>
      <c r="I970" t="s">
        <v>96</v>
      </c>
      <c r="J970" t="s">
        <v>97</v>
      </c>
      <c r="K970" t="s">
        <v>96</v>
      </c>
      <c r="L970" t="s">
        <v>96</v>
      </c>
      <c r="M970">
        <v>4375</v>
      </c>
      <c r="O970" s="12" t="str">
        <f t="shared" si="44"/>
        <v>MID</v>
      </c>
      <c r="P970" s="12" t="str">
        <f t="shared" si="45"/>
        <v>E_WON</v>
      </c>
    </row>
    <row r="971" spans="1:16" x14ac:dyDescent="0.35">
      <c r="A971" t="s">
        <v>95</v>
      </c>
      <c r="B971" t="s">
        <v>76</v>
      </c>
      <c r="C971" t="s">
        <v>45</v>
      </c>
      <c r="D971" t="s">
        <v>1086</v>
      </c>
      <c r="E971" t="s">
        <v>96</v>
      </c>
      <c r="F971" t="s">
        <v>96</v>
      </c>
      <c r="G971" t="s">
        <v>96</v>
      </c>
      <c r="H971">
        <v>2010</v>
      </c>
      <c r="I971" t="s">
        <v>96</v>
      </c>
      <c r="J971" t="s">
        <v>97</v>
      </c>
      <c r="K971" t="s">
        <v>96</v>
      </c>
      <c r="L971" t="s">
        <v>96</v>
      </c>
      <c r="M971">
        <v>4375</v>
      </c>
      <c r="O971" s="12" t="str">
        <f t="shared" si="44"/>
        <v>MID</v>
      </c>
      <c r="P971" s="12" t="str">
        <f t="shared" si="45"/>
        <v>E_WON</v>
      </c>
    </row>
    <row r="972" spans="1:16" x14ac:dyDescent="0.35">
      <c r="A972" t="s">
        <v>95</v>
      </c>
      <c r="B972" t="s">
        <v>76</v>
      </c>
      <c r="C972" t="s">
        <v>45</v>
      </c>
      <c r="D972" t="s">
        <v>1087</v>
      </c>
      <c r="E972" t="s">
        <v>96</v>
      </c>
      <c r="F972" t="s">
        <v>96</v>
      </c>
      <c r="G972" t="s">
        <v>96</v>
      </c>
      <c r="H972">
        <v>2010</v>
      </c>
      <c r="I972" t="s">
        <v>96</v>
      </c>
      <c r="J972" t="s">
        <v>97</v>
      </c>
      <c r="K972" t="s">
        <v>96</v>
      </c>
      <c r="L972" t="s">
        <v>96</v>
      </c>
      <c r="M972">
        <v>4375</v>
      </c>
      <c r="O972" s="12" t="str">
        <f t="shared" si="44"/>
        <v>MID</v>
      </c>
      <c r="P972" s="12" t="str">
        <f t="shared" si="45"/>
        <v>E_WON</v>
      </c>
    </row>
    <row r="973" spans="1:16" x14ac:dyDescent="0.35">
      <c r="A973" t="s">
        <v>95</v>
      </c>
      <c r="B973" t="s">
        <v>76</v>
      </c>
      <c r="C973" t="s">
        <v>45</v>
      </c>
      <c r="D973" t="s">
        <v>1088</v>
      </c>
      <c r="E973" t="s">
        <v>96</v>
      </c>
      <c r="F973" t="s">
        <v>96</v>
      </c>
      <c r="G973" t="s">
        <v>96</v>
      </c>
      <c r="H973">
        <v>2010</v>
      </c>
      <c r="I973" t="s">
        <v>96</v>
      </c>
      <c r="J973" t="s">
        <v>97</v>
      </c>
      <c r="K973" t="s">
        <v>96</v>
      </c>
      <c r="L973" t="s">
        <v>96</v>
      </c>
      <c r="M973">
        <v>4375</v>
      </c>
      <c r="O973" s="12" t="str">
        <f t="shared" si="44"/>
        <v>MID</v>
      </c>
      <c r="P973" s="12" t="str">
        <f t="shared" si="45"/>
        <v>E_WON</v>
      </c>
    </row>
    <row r="974" spans="1:16" x14ac:dyDescent="0.35">
      <c r="A974" t="s">
        <v>95</v>
      </c>
      <c r="B974" t="s">
        <v>76</v>
      </c>
      <c r="C974" t="s">
        <v>45</v>
      </c>
      <c r="D974" t="s">
        <v>1089</v>
      </c>
      <c r="E974" t="s">
        <v>96</v>
      </c>
      <c r="F974" t="s">
        <v>96</v>
      </c>
      <c r="G974" t="s">
        <v>96</v>
      </c>
      <c r="H974">
        <v>2010</v>
      </c>
      <c r="I974" t="s">
        <v>96</v>
      </c>
      <c r="J974" t="s">
        <v>97</v>
      </c>
      <c r="K974" t="s">
        <v>96</v>
      </c>
      <c r="L974" t="s">
        <v>96</v>
      </c>
      <c r="M974">
        <v>4375</v>
      </c>
      <c r="O974" s="12" t="str">
        <f t="shared" si="44"/>
        <v>MID</v>
      </c>
      <c r="P974" s="12" t="str">
        <f t="shared" si="45"/>
        <v>E_WON</v>
      </c>
    </row>
    <row r="975" spans="1:16" x14ac:dyDescent="0.35">
      <c r="A975" t="s">
        <v>95</v>
      </c>
      <c r="B975" t="s">
        <v>76</v>
      </c>
      <c r="C975" t="s">
        <v>45</v>
      </c>
      <c r="D975" t="s">
        <v>1090</v>
      </c>
      <c r="E975" t="s">
        <v>96</v>
      </c>
      <c r="F975" t="s">
        <v>96</v>
      </c>
      <c r="G975" t="s">
        <v>96</v>
      </c>
      <c r="H975">
        <v>2010</v>
      </c>
      <c r="I975" t="s">
        <v>96</v>
      </c>
      <c r="J975" t="s">
        <v>97</v>
      </c>
      <c r="K975" t="s">
        <v>96</v>
      </c>
      <c r="L975" t="s">
        <v>96</v>
      </c>
      <c r="M975">
        <v>4375</v>
      </c>
      <c r="O975" s="12" t="str">
        <f t="shared" si="44"/>
        <v>MID</v>
      </c>
      <c r="P975" s="12" t="str">
        <f t="shared" si="45"/>
        <v>E_WON</v>
      </c>
    </row>
    <row r="976" spans="1:16" x14ac:dyDescent="0.35">
      <c r="A976" t="s">
        <v>95</v>
      </c>
      <c r="B976" t="s">
        <v>76</v>
      </c>
      <c r="C976" t="s">
        <v>45</v>
      </c>
      <c r="D976" t="s">
        <v>1091</v>
      </c>
      <c r="E976" t="s">
        <v>96</v>
      </c>
      <c r="F976" t="s">
        <v>96</v>
      </c>
      <c r="G976" t="s">
        <v>96</v>
      </c>
      <c r="H976">
        <v>2010</v>
      </c>
      <c r="I976" t="s">
        <v>96</v>
      </c>
      <c r="J976" t="s">
        <v>97</v>
      </c>
      <c r="K976" t="s">
        <v>96</v>
      </c>
      <c r="L976" t="s">
        <v>96</v>
      </c>
      <c r="M976">
        <v>4375</v>
      </c>
      <c r="O976" s="12" t="str">
        <f t="shared" si="44"/>
        <v>MID</v>
      </c>
      <c r="P976" s="12" t="str">
        <f t="shared" si="45"/>
        <v>E_WON</v>
      </c>
    </row>
    <row r="977" spans="1:16" x14ac:dyDescent="0.35">
      <c r="A977" t="s">
        <v>95</v>
      </c>
      <c r="B977" t="s">
        <v>76</v>
      </c>
      <c r="C977" t="s">
        <v>45</v>
      </c>
      <c r="D977" t="s">
        <v>1092</v>
      </c>
      <c r="E977" t="s">
        <v>96</v>
      </c>
      <c r="F977" t="s">
        <v>96</v>
      </c>
      <c r="G977" t="s">
        <v>96</v>
      </c>
      <c r="H977">
        <v>2010</v>
      </c>
      <c r="I977" t="s">
        <v>96</v>
      </c>
      <c r="J977" t="s">
        <v>97</v>
      </c>
      <c r="K977" t="s">
        <v>96</v>
      </c>
      <c r="L977" t="s">
        <v>96</v>
      </c>
      <c r="M977">
        <v>4375</v>
      </c>
      <c r="O977" s="12" t="str">
        <f t="shared" si="44"/>
        <v>MID</v>
      </c>
      <c r="P977" s="12" t="str">
        <f t="shared" si="45"/>
        <v>E_WON</v>
      </c>
    </row>
    <row r="978" spans="1:16" x14ac:dyDescent="0.35">
      <c r="A978" t="s">
        <v>95</v>
      </c>
      <c r="B978" t="s">
        <v>76</v>
      </c>
      <c r="C978" t="s">
        <v>45</v>
      </c>
      <c r="D978" t="s">
        <v>1093</v>
      </c>
      <c r="E978" t="s">
        <v>96</v>
      </c>
      <c r="F978" t="s">
        <v>96</v>
      </c>
      <c r="G978" t="s">
        <v>96</v>
      </c>
      <c r="H978">
        <v>2010</v>
      </c>
      <c r="I978" t="s">
        <v>96</v>
      </c>
      <c r="J978" t="s">
        <v>97</v>
      </c>
      <c r="K978" t="s">
        <v>96</v>
      </c>
      <c r="L978" t="s">
        <v>96</v>
      </c>
      <c r="M978">
        <v>4375</v>
      </c>
      <c r="O978" s="12" t="str">
        <f t="shared" si="44"/>
        <v>MID</v>
      </c>
      <c r="P978" s="12" t="str">
        <f t="shared" si="45"/>
        <v>E_WON</v>
      </c>
    </row>
    <row r="979" spans="1:16" x14ac:dyDescent="0.35">
      <c r="A979" t="s">
        <v>95</v>
      </c>
      <c r="B979" t="s">
        <v>76</v>
      </c>
      <c r="C979" t="s">
        <v>45</v>
      </c>
      <c r="D979" t="s">
        <v>1094</v>
      </c>
      <c r="E979" t="s">
        <v>96</v>
      </c>
      <c r="F979" t="s">
        <v>96</v>
      </c>
      <c r="G979" t="s">
        <v>96</v>
      </c>
      <c r="H979">
        <v>2010</v>
      </c>
      <c r="I979" t="s">
        <v>96</v>
      </c>
      <c r="J979" t="s">
        <v>97</v>
      </c>
      <c r="K979" t="s">
        <v>96</v>
      </c>
      <c r="L979" t="s">
        <v>96</v>
      </c>
      <c r="M979">
        <v>4375</v>
      </c>
      <c r="O979" s="12" t="str">
        <f t="shared" si="44"/>
        <v>MID</v>
      </c>
      <c r="P979" s="12" t="str">
        <f t="shared" si="45"/>
        <v>E_WON</v>
      </c>
    </row>
    <row r="980" spans="1:16" x14ac:dyDescent="0.35">
      <c r="A980" t="s">
        <v>95</v>
      </c>
      <c r="B980" t="s">
        <v>76</v>
      </c>
      <c r="C980" t="s">
        <v>45</v>
      </c>
      <c r="D980" t="s">
        <v>1095</v>
      </c>
      <c r="E980" t="s">
        <v>96</v>
      </c>
      <c r="F980" t="s">
        <v>96</v>
      </c>
      <c r="G980" t="s">
        <v>96</v>
      </c>
      <c r="H980">
        <v>2010</v>
      </c>
      <c r="I980" t="s">
        <v>96</v>
      </c>
      <c r="J980" t="s">
        <v>97</v>
      </c>
      <c r="K980" t="s">
        <v>96</v>
      </c>
      <c r="L980" t="s">
        <v>96</v>
      </c>
      <c r="M980">
        <v>4375</v>
      </c>
      <c r="O980" s="12" t="str">
        <f t="shared" si="44"/>
        <v>MID</v>
      </c>
      <c r="P980" s="12" t="str">
        <f t="shared" si="45"/>
        <v>E_WON</v>
      </c>
    </row>
    <row r="981" spans="1:16" x14ac:dyDescent="0.35">
      <c r="A981" t="s">
        <v>95</v>
      </c>
      <c r="B981" t="s">
        <v>76</v>
      </c>
      <c r="C981" t="s">
        <v>45</v>
      </c>
      <c r="D981" t="s">
        <v>1096</v>
      </c>
      <c r="E981" t="s">
        <v>96</v>
      </c>
      <c r="F981" t="s">
        <v>96</v>
      </c>
      <c r="G981" t="s">
        <v>96</v>
      </c>
      <c r="H981">
        <v>2010</v>
      </c>
      <c r="I981" t="s">
        <v>96</v>
      </c>
      <c r="J981" t="s">
        <v>97</v>
      </c>
      <c r="K981" t="s">
        <v>96</v>
      </c>
      <c r="L981" t="s">
        <v>96</v>
      </c>
      <c r="M981">
        <v>4375</v>
      </c>
      <c r="O981" s="12" t="str">
        <f t="shared" si="44"/>
        <v>MID</v>
      </c>
      <c r="P981" s="12" t="str">
        <f t="shared" si="45"/>
        <v>E_WON</v>
      </c>
    </row>
    <row r="982" spans="1:16" x14ac:dyDescent="0.35">
      <c r="A982" t="s">
        <v>95</v>
      </c>
      <c r="B982" t="s">
        <v>76</v>
      </c>
      <c r="C982" t="s">
        <v>45</v>
      </c>
      <c r="D982" t="s">
        <v>1097</v>
      </c>
      <c r="E982" t="s">
        <v>96</v>
      </c>
      <c r="F982" t="s">
        <v>96</v>
      </c>
      <c r="G982" t="s">
        <v>96</v>
      </c>
      <c r="H982">
        <v>2010</v>
      </c>
      <c r="I982" t="s">
        <v>96</v>
      </c>
      <c r="J982" t="s">
        <v>97</v>
      </c>
      <c r="K982" t="s">
        <v>96</v>
      </c>
      <c r="L982" t="s">
        <v>96</v>
      </c>
      <c r="M982">
        <v>4375</v>
      </c>
      <c r="O982" s="12" t="str">
        <f t="shared" si="44"/>
        <v>MID</v>
      </c>
      <c r="P982" s="12" t="str">
        <f t="shared" si="45"/>
        <v>E_WON</v>
      </c>
    </row>
    <row r="983" spans="1:16" x14ac:dyDescent="0.35">
      <c r="A983" t="s">
        <v>95</v>
      </c>
      <c r="B983" t="s">
        <v>76</v>
      </c>
      <c r="C983" t="s">
        <v>45</v>
      </c>
      <c r="D983" t="s">
        <v>1098</v>
      </c>
      <c r="E983" t="s">
        <v>96</v>
      </c>
      <c r="F983" t="s">
        <v>96</v>
      </c>
      <c r="G983" t="s">
        <v>96</v>
      </c>
      <c r="H983">
        <v>2010</v>
      </c>
      <c r="I983" t="s">
        <v>96</v>
      </c>
      <c r="J983" t="s">
        <v>97</v>
      </c>
      <c r="K983" t="s">
        <v>96</v>
      </c>
      <c r="L983" t="s">
        <v>96</v>
      </c>
      <c r="M983">
        <v>2500</v>
      </c>
      <c r="O983" s="12" t="str">
        <f t="shared" si="44"/>
        <v>MID</v>
      </c>
      <c r="P983" s="12" t="str">
        <f t="shared" si="45"/>
        <v>E_WON</v>
      </c>
    </row>
    <row r="984" spans="1:16" x14ac:dyDescent="0.35">
      <c r="A984" t="s">
        <v>95</v>
      </c>
      <c r="B984" t="s">
        <v>76</v>
      </c>
      <c r="C984" t="s">
        <v>45</v>
      </c>
      <c r="D984" t="s">
        <v>1099</v>
      </c>
      <c r="E984" t="s">
        <v>96</v>
      </c>
      <c r="F984" t="s">
        <v>96</v>
      </c>
      <c r="G984" t="s">
        <v>96</v>
      </c>
      <c r="H984">
        <v>2010</v>
      </c>
      <c r="I984" t="s">
        <v>96</v>
      </c>
      <c r="J984" t="s">
        <v>97</v>
      </c>
      <c r="K984" t="s">
        <v>96</v>
      </c>
      <c r="L984" t="s">
        <v>96</v>
      </c>
      <c r="M984">
        <v>2500</v>
      </c>
      <c r="O984" s="12" t="str">
        <f t="shared" si="44"/>
        <v>MID</v>
      </c>
      <c r="P984" s="12" t="str">
        <f t="shared" si="45"/>
        <v>E_WON</v>
      </c>
    </row>
    <row r="985" spans="1:16" x14ac:dyDescent="0.35">
      <c r="A985" t="s">
        <v>95</v>
      </c>
      <c r="B985" t="s">
        <v>76</v>
      </c>
      <c r="C985" t="s">
        <v>45</v>
      </c>
      <c r="D985" t="s">
        <v>1100</v>
      </c>
      <c r="E985" t="s">
        <v>96</v>
      </c>
      <c r="F985" t="s">
        <v>96</v>
      </c>
      <c r="G985" t="s">
        <v>96</v>
      </c>
      <c r="H985">
        <v>2010</v>
      </c>
      <c r="I985" t="s">
        <v>96</v>
      </c>
      <c r="J985" t="s">
        <v>97</v>
      </c>
      <c r="K985" t="s">
        <v>96</v>
      </c>
      <c r="L985" t="s">
        <v>96</v>
      </c>
      <c r="M985">
        <v>1810</v>
      </c>
      <c r="O985" s="12" t="str">
        <f t="shared" si="44"/>
        <v>MID</v>
      </c>
      <c r="P985" s="12" t="str">
        <f t="shared" si="45"/>
        <v>E_WON</v>
      </c>
    </row>
    <row r="986" spans="1:16" x14ac:dyDescent="0.35">
      <c r="A986" t="s">
        <v>95</v>
      </c>
      <c r="B986" t="s">
        <v>76</v>
      </c>
      <c r="C986" t="s">
        <v>45</v>
      </c>
      <c r="D986" t="s">
        <v>1101</v>
      </c>
      <c r="E986" t="s">
        <v>96</v>
      </c>
      <c r="F986" t="s">
        <v>96</v>
      </c>
      <c r="G986" t="s">
        <v>96</v>
      </c>
      <c r="H986">
        <v>2010</v>
      </c>
      <c r="I986" t="s">
        <v>96</v>
      </c>
      <c r="J986" t="s">
        <v>97</v>
      </c>
      <c r="K986" t="s">
        <v>96</v>
      </c>
      <c r="L986" t="s">
        <v>96</v>
      </c>
      <c r="M986">
        <v>2500</v>
      </c>
      <c r="O986" s="12" t="str">
        <f t="shared" si="44"/>
        <v>MID</v>
      </c>
      <c r="P986" s="12" t="str">
        <f t="shared" si="45"/>
        <v>E_WON</v>
      </c>
    </row>
    <row r="987" spans="1:16" x14ac:dyDescent="0.35">
      <c r="A987" t="s">
        <v>95</v>
      </c>
      <c r="B987" t="s">
        <v>76</v>
      </c>
      <c r="C987" t="s">
        <v>45</v>
      </c>
      <c r="D987" t="s">
        <v>1102</v>
      </c>
      <c r="E987" t="s">
        <v>96</v>
      </c>
      <c r="F987" t="s">
        <v>96</v>
      </c>
      <c r="G987" t="s">
        <v>96</v>
      </c>
      <c r="H987">
        <v>2010</v>
      </c>
      <c r="I987" t="s">
        <v>96</v>
      </c>
      <c r="J987" t="s">
        <v>97</v>
      </c>
      <c r="K987" t="s">
        <v>96</v>
      </c>
      <c r="L987" t="s">
        <v>96</v>
      </c>
      <c r="M987">
        <v>2500</v>
      </c>
      <c r="O987" s="12" t="str">
        <f t="shared" si="44"/>
        <v>MID</v>
      </c>
      <c r="P987" s="12" t="str">
        <f t="shared" si="45"/>
        <v>E_WON</v>
      </c>
    </row>
    <row r="988" spans="1:16" x14ac:dyDescent="0.35">
      <c r="A988" t="s">
        <v>95</v>
      </c>
      <c r="B988" t="s">
        <v>76</v>
      </c>
      <c r="C988" t="s">
        <v>45</v>
      </c>
      <c r="D988" t="s">
        <v>1103</v>
      </c>
      <c r="E988" t="s">
        <v>96</v>
      </c>
      <c r="F988" t="s">
        <v>96</v>
      </c>
      <c r="G988" t="s">
        <v>96</v>
      </c>
      <c r="H988">
        <v>2010</v>
      </c>
      <c r="I988" t="s">
        <v>96</v>
      </c>
      <c r="J988" t="s">
        <v>97</v>
      </c>
      <c r="K988" t="s">
        <v>96</v>
      </c>
      <c r="L988" t="s">
        <v>96</v>
      </c>
      <c r="M988">
        <v>2500</v>
      </c>
      <c r="O988" s="12" t="str">
        <f t="shared" si="44"/>
        <v>MID</v>
      </c>
      <c r="P988" s="12" t="str">
        <f t="shared" si="45"/>
        <v>E_WON</v>
      </c>
    </row>
    <row r="989" spans="1:16" x14ac:dyDescent="0.35">
      <c r="A989" t="s">
        <v>95</v>
      </c>
      <c r="B989" t="s">
        <v>76</v>
      </c>
      <c r="C989" t="s">
        <v>45</v>
      </c>
      <c r="D989" t="s">
        <v>1104</v>
      </c>
      <c r="E989" t="s">
        <v>96</v>
      </c>
      <c r="F989" t="s">
        <v>96</v>
      </c>
      <c r="G989" t="s">
        <v>96</v>
      </c>
      <c r="H989">
        <v>2010</v>
      </c>
      <c r="I989" t="s">
        <v>96</v>
      </c>
      <c r="J989" t="s">
        <v>97</v>
      </c>
      <c r="K989" t="s">
        <v>96</v>
      </c>
      <c r="L989" t="s">
        <v>96</v>
      </c>
      <c r="M989">
        <v>2500</v>
      </c>
      <c r="O989" s="12" t="str">
        <f t="shared" si="44"/>
        <v>MID</v>
      </c>
      <c r="P989" s="12" t="str">
        <f t="shared" si="45"/>
        <v>E_WON</v>
      </c>
    </row>
    <row r="990" spans="1:16" x14ac:dyDescent="0.35">
      <c r="A990" t="s">
        <v>95</v>
      </c>
      <c r="B990" t="s">
        <v>76</v>
      </c>
      <c r="C990" t="s">
        <v>45</v>
      </c>
      <c r="D990" t="s">
        <v>1105</v>
      </c>
      <c r="E990" t="s">
        <v>96</v>
      </c>
      <c r="F990" t="s">
        <v>96</v>
      </c>
      <c r="G990" t="s">
        <v>96</v>
      </c>
      <c r="H990">
        <v>2010</v>
      </c>
      <c r="I990" t="s">
        <v>96</v>
      </c>
      <c r="J990" t="s">
        <v>97</v>
      </c>
      <c r="K990" t="s">
        <v>96</v>
      </c>
      <c r="L990" t="s">
        <v>96</v>
      </c>
      <c r="M990">
        <v>2500</v>
      </c>
      <c r="O990" s="12" t="str">
        <f t="shared" si="44"/>
        <v>MID</v>
      </c>
      <c r="P990" s="12" t="str">
        <f t="shared" si="45"/>
        <v>E_WON</v>
      </c>
    </row>
    <row r="991" spans="1:16" x14ac:dyDescent="0.35">
      <c r="A991" t="s">
        <v>95</v>
      </c>
      <c r="B991" t="s">
        <v>76</v>
      </c>
      <c r="C991" t="s">
        <v>45</v>
      </c>
      <c r="D991" t="s">
        <v>1106</v>
      </c>
      <c r="E991" t="s">
        <v>96</v>
      </c>
      <c r="F991" t="s">
        <v>96</v>
      </c>
      <c r="G991" t="s">
        <v>96</v>
      </c>
      <c r="H991">
        <v>2010</v>
      </c>
      <c r="I991" t="s">
        <v>96</v>
      </c>
      <c r="J991" t="s">
        <v>97</v>
      </c>
      <c r="K991" t="s">
        <v>96</v>
      </c>
      <c r="L991" t="s">
        <v>96</v>
      </c>
      <c r="M991">
        <v>2500</v>
      </c>
      <c r="O991" s="12" t="str">
        <f t="shared" si="44"/>
        <v>MID</v>
      </c>
      <c r="P991" s="12" t="str">
        <f t="shared" si="45"/>
        <v>E_WON</v>
      </c>
    </row>
    <row r="992" spans="1:16" x14ac:dyDescent="0.35">
      <c r="A992" t="s">
        <v>95</v>
      </c>
      <c r="B992" t="s">
        <v>76</v>
      </c>
      <c r="C992" t="s">
        <v>45</v>
      </c>
      <c r="D992" t="s">
        <v>1107</v>
      </c>
      <c r="E992" t="s">
        <v>96</v>
      </c>
      <c r="F992" t="s">
        <v>96</v>
      </c>
      <c r="G992" t="s">
        <v>96</v>
      </c>
      <c r="H992">
        <v>2010</v>
      </c>
      <c r="I992" t="s">
        <v>96</v>
      </c>
      <c r="J992" t="s">
        <v>97</v>
      </c>
      <c r="K992" t="s">
        <v>96</v>
      </c>
      <c r="L992" t="s">
        <v>96</v>
      </c>
      <c r="M992">
        <v>2500</v>
      </c>
      <c r="O992" s="12" t="str">
        <f t="shared" si="44"/>
        <v>MID</v>
      </c>
      <c r="P992" s="12" t="str">
        <f t="shared" si="45"/>
        <v>E_WON</v>
      </c>
    </row>
    <row r="993" spans="1:16" x14ac:dyDescent="0.35">
      <c r="A993" t="s">
        <v>95</v>
      </c>
      <c r="B993" t="s">
        <v>76</v>
      </c>
      <c r="C993" t="s">
        <v>45</v>
      </c>
      <c r="D993" t="s">
        <v>1108</v>
      </c>
      <c r="E993" t="s">
        <v>96</v>
      </c>
      <c r="F993" t="s">
        <v>96</v>
      </c>
      <c r="G993" t="s">
        <v>96</v>
      </c>
      <c r="H993">
        <v>2010</v>
      </c>
      <c r="I993" t="s">
        <v>96</v>
      </c>
      <c r="J993" t="s">
        <v>97</v>
      </c>
      <c r="K993" t="s">
        <v>96</v>
      </c>
      <c r="L993" t="s">
        <v>96</v>
      </c>
      <c r="M993">
        <v>2500</v>
      </c>
      <c r="O993" s="12" t="str">
        <f t="shared" si="44"/>
        <v>MID</v>
      </c>
      <c r="P993" s="12" t="str">
        <f t="shared" si="45"/>
        <v>E_WON</v>
      </c>
    </row>
    <row r="994" spans="1:16" x14ac:dyDescent="0.35">
      <c r="A994" t="s">
        <v>95</v>
      </c>
      <c r="B994" t="s">
        <v>76</v>
      </c>
      <c r="C994" t="s">
        <v>45</v>
      </c>
      <c r="D994" t="s">
        <v>1109</v>
      </c>
      <c r="E994" t="s">
        <v>96</v>
      </c>
      <c r="F994" t="s">
        <v>96</v>
      </c>
      <c r="G994" t="s">
        <v>96</v>
      </c>
      <c r="H994">
        <v>2010</v>
      </c>
      <c r="I994" t="s">
        <v>96</v>
      </c>
      <c r="J994" t="s">
        <v>97</v>
      </c>
      <c r="K994" t="s">
        <v>96</v>
      </c>
      <c r="L994" t="s">
        <v>96</v>
      </c>
      <c r="M994">
        <v>2500</v>
      </c>
      <c r="O994" s="12" t="str">
        <f t="shared" si="44"/>
        <v>MID</v>
      </c>
      <c r="P994" s="12" t="str">
        <f t="shared" si="45"/>
        <v>E_WON</v>
      </c>
    </row>
    <row r="995" spans="1:16" x14ac:dyDescent="0.35">
      <c r="A995" t="s">
        <v>95</v>
      </c>
      <c r="B995" t="s">
        <v>76</v>
      </c>
      <c r="C995" t="s">
        <v>45</v>
      </c>
      <c r="D995" t="s">
        <v>1110</v>
      </c>
      <c r="E995" t="s">
        <v>96</v>
      </c>
      <c r="F995" t="s">
        <v>96</v>
      </c>
      <c r="G995" t="s">
        <v>96</v>
      </c>
      <c r="H995">
        <v>2010</v>
      </c>
      <c r="I995" t="s">
        <v>96</v>
      </c>
      <c r="J995" t="s">
        <v>97</v>
      </c>
      <c r="K995" t="s">
        <v>96</v>
      </c>
      <c r="L995" t="s">
        <v>96</v>
      </c>
      <c r="M995">
        <v>2500</v>
      </c>
      <c r="O995" s="12" t="str">
        <f t="shared" si="44"/>
        <v>MID</v>
      </c>
      <c r="P995" s="12" t="str">
        <f t="shared" si="45"/>
        <v>E_WON</v>
      </c>
    </row>
    <row r="996" spans="1:16" x14ac:dyDescent="0.35">
      <c r="A996" t="s">
        <v>95</v>
      </c>
      <c r="B996" t="s">
        <v>76</v>
      </c>
      <c r="C996" t="s">
        <v>45</v>
      </c>
      <c r="D996" t="s">
        <v>1111</v>
      </c>
      <c r="E996" t="s">
        <v>96</v>
      </c>
      <c r="F996" t="s">
        <v>96</v>
      </c>
      <c r="G996" t="s">
        <v>96</v>
      </c>
      <c r="H996">
        <v>2010</v>
      </c>
      <c r="I996" t="s">
        <v>96</v>
      </c>
      <c r="J996" t="s">
        <v>97</v>
      </c>
      <c r="K996" t="s">
        <v>96</v>
      </c>
      <c r="L996" t="s">
        <v>96</v>
      </c>
      <c r="M996">
        <v>1810</v>
      </c>
      <c r="O996" s="12" t="str">
        <f t="shared" si="44"/>
        <v>MID</v>
      </c>
      <c r="P996" s="12" t="str">
        <f t="shared" si="45"/>
        <v>E_WON</v>
      </c>
    </row>
    <row r="997" spans="1:16" x14ac:dyDescent="0.35">
      <c r="A997" t="s">
        <v>95</v>
      </c>
      <c r="B997" t="s">
        <v>76</v>
      </c>
      <c r="C997" t="s">
        <v>45</v>
      </c>
      <c r="D997" t="s">
        <v>1112</v>
      </c>
      <c r="E997" t="s">
        <v>96</v>
      </c>
      <c r="F997" t="s">
        <v>96</v>
      </c>
      <c r="G997" t="s">
        <v>96</v>
      </c>
      <c r="H997">
        <v>2010</v>
      </c>
      <c r="I997" t="s">
        <v>96</v>
      </c>
      <c r="J997" t="s">
        <v>97</v>
      </c>
      <c r="K997" t="s">
        <v>96</v>
      </c>
      <c r="L997" t="s">
        <v>96</v>
      </c>
      <c r="M997">
        <v>2500</v>
      </c>
      <c r="O997" s="12" t="str">
        <f t="shared" si="44"/>
        <v>MID</v>
      </c>
      <c r="P997" s="12" t="str">
        <f t="shared" si="45"/>
        <v>E_WON</v>
      </c>
    </row>
    <row r="998" spans="1:16" x14ac:dyDescent="0.35">
      <c r="A998" t="s">
        <v>95</v>
      </c>
      <c r="B998" t="s">
        <v>76</v>
      </c>
      <c r="C998" t="s">
        <v>45</v>
      </c>
      <c r="D998" t="s">
        <v>1113</v>
      </c>
      <c r="E998" t="s">
        <v>96</v>
      </c>
      <c r="F998" t="s">
        <v>96</v>
      </c>
      <c r="G998" t="s">
        <v>96</v>
      </c>
      <c r="H998">
        <v>2010</v>
      </c>
      <c r="I998" t="s">
        <v>96</v>
      </c>
      <c r="J998" t="s">
        <v>97</v>
      </c>
      <c r="K998" t="s">
        <v>96</v>
      </c>
      <c r="L998" t="s">
        <v>96</v>
      </c>
      <c r="M998">
        <v>2500</v>
      </c>
      <c r="O998" s="12" t="str">
        <f t="shared" si="44"/>
        <v>MID</v>
      </c>
      <c r="P998" s="12" t="str">
        <f t="shared" si="45"/>
        <v>E_WON</v>
      </c>
    </row>
    <row r="999" spans="1:16" x14ac:dyDescent="0.35">
      <c r="A999" t="s">
        <v>95</v>
      </c>
      <c r="B999" t="s">
        <v>76</v>
      </c>
      <c r="C999" t="s">
        <v>45</v>
      </c>
      <c r="D999" t="s">
        <v>1114</v>
      </c>
      <c r="E999" t="s">
        <v>96</v>
      </c>
      <c r="F999" t="s">
        <v>96</v>
      </c>
      <c r="G999" t="s">
        <v>96</v>
      </c>
      <c r="H999">
        <v>2010</v>
      </c>
      <c r="I999" t="s">
        <v>96</v>
      </c>
      <c r="J999" t="s">
        <v>97</v>
      </c>
      <c r="K999" t="s">
        <v>96</v>
      </c>
      <c r="L999" t="s">
        <v>96</v>
      </c>
      <c r="M999">
        <v>2500</v>
      </c>
      <c r="O999" s="12" t="str">
        <f t="shared" si="44"/>
        <v>MID</v>
      </c>
      <c r="P999" s="12" t="str">
        <f t="shared" si="45"/>
        <v>E_WON</v>
      </c>
    </row>
    <row r="1000" spans="1:16" x14ac:dyDescent="0.35">
      <c r="A1000" t="s">
        <v>95</v>
      </c>
      <c r="B1000" t="s">
        <v>76</v>
      </c>
      <c r="C1000" t="s">
        <v>45</v>
      </c>
      <c r="D1000" t="s">
        <v>1115</v>
      </c>
      <c r="E1000" t="s">
        <v>96</v>
      </c>
      <c r="F1000" t="s">
        <v>96</v>
      </c>
      <c r="G1000" t="s">
        <v>96</v>
      </c>
      <c r="H1000">
        <v>2010</v>
      </c>
      <c r="I1000" t="s">
        <v>96</v>
      </c>
      <c r="J1000" t="s">
        <v>97</v>
      </c>
      <c r="K1000" t="s">
        <v>96</v>
      </c>
      <c r="L1000" t="s">
        <v>96</v>
      </c>
      <c r="M1000">
        <v>2500</v>
      </c>
      <c r="O1000" s="12" t="str">
        <f t="shared" si="44"/>
        <v>MID</v>
      </c>
      <c r="P1000" s="12" t="str">
        <f t="shared" si="45"/>
        <v>E_WON</v>
      </c>
    </row>
    <row r="1001" spans="1:16" x14ac:dyDescent="0.35">
      <c r="A1001" t="s">
        <v>95</v>
      </c>
      <c r="B1001" t="s">
        <v>76</v>
      </c>
      <c r="C1001" t="s">
        <v>45</v>
      </c>
      <c r="D1001" t="s">
        <v>1116</v>
      </c>
      <c r="E1001" t="s">
        <v>96</v>
      </c>
      <c r="F1001" t="s">
        <v>96</v>
      </c>
      <c r="G1001" t="s">
        <v>96</v>
      </c>
      <c r="H1001">
        <v>2010</v>
      </c>
      <c r="I1001" t="s">
        <v>96</v>
      </c>
      <c r="J1001" t="s">
        <v>97</v>
      </c>
      <c r="K1001" t="s">
        <v>96</v>
      </c>
      <c r="L1001" t="s">
        <v>96</v>
      </c>
      <c r="M1001">
        <v>2500</v>
      </c>
      <c r="O1001" s="12" t="str">
        <f t="shared" si="44"/>
        <v>MID</v>
      </c>
      <c r="P1001" s="12" t="str">
        <f t="shared" si="45"/>
        <v>E_WON</v>
      </c>
    </row>
    <row r="1002" spans="1:16" x14ac:dyDescent="0.35">
      <c r="A1002" t="s">
        <v>95</v>
      </c>
      <c r="B1002" t="s">
        <v>76</v>
      </c>
      <c r="C1002" t="s">
        <v>45</v>
      </c>
      <c r="D1002" t="s">
        <v>1117</v>
      </c>
      <c r="E1002" t="s">
        <v>96</v>
      </c>
      <c r="F1002" t="s">
        <v>96</v>
      </c>
      <c r="G1002" t="s">
        <v>96</v>
      </c>
      <c r="H1002">
        <v>2010</v>
      </c>
      <c r="I1002" t="s">
        <v>96</v>
      </c>
      <c r="J1002" t="s">
        <v>97</v>
      </c>
      <c r="K1002" t="s">
        <v>96</v>
      </c>
      <c r="L1002" t="s">
        <v>96</v>
      </c>
      <c r="M1002">
        <v>2500</v>
      </c>
      <c r="O1002" s="12" t="str">
        <f t="shared" si="44"/>
        <v>MID</v>
      </c>
      <c r="P1002" s="12" t="str">
        <f t="shared" si="45"/>
        <v>E_WON</v>
      </c>
    </row>
    <row r="1003" spans="1:16" x14ac:dyDescent="0.35">
      <c r="A1003" t="s">
        <v>95</v>
      </c>
      <c r="B1003" t="s">
        <v>76</v>
      </c>
      <c r="C1003" t="s">
        <v>45</v>
      </c>
      <c r="D1003" t="s">
        <v>1118</v>
      </c>
      <c r="E1003" t="s">
        <v>96</v>
      </c>
      <c r="F1003" t="s">
        <v>96</v>
      </c>
      <c r="G1003" t="s">
        <v>96</v>
      </c>
      <c r="H1003">
        <v>2010</v>
      </c>
      <c r="I1003" t="s">
        <v>96</v>
      </c>
      <c r="J1003" t="s">
        <v>97</v>
      </c>
      <c r="K1003" t="s">
        <v>96</v>
      </c>
      <c r="L1003" t="s">
        <v>96</v>
      </c>
      <c r="M1003">
        <v>2500</v>
      </c>
      <c r="O1003" s="12" t="str">
        <f t="shared" si="44"/>
        <v>MID</v>
      </c>
      <c r="P1003" s="12" t="str">
        <f t="shared" si="45"/>
        <v>E_WON</v>
      </c>
    </row>
    <row r="1004" spans="1:16" x14ac:dyDescent="0.35">
      <c r="A1004" t="s">
        <v>95</v>
      </c>
      <c r="B1004" t="s">
        <v>76</v>
      </c>
      <c r="C1004" t="s">
        <v>45</v>
      </c>
      <c r="D1004" t="s">
        <v>1119</v>
      </c>
      <c r="E1004" t="s">
        <v>96</v>
      </c>
      <c r="F1004" t="s">
        <v>96</v>
      </c>
      <c r="G1004" t="s">
        <v>96</v>
      </c>
      <c r="H1004">
        <v>2010</v>
      </c>
      <c r="I1004" t="s">
        <v>96</v>
      </c>
      <c r="J1004" t="s">
        <v>97</v>
      </c>
      <c r="K1004" t="s">
        <v>96</v>
      </c>
      <c r="L1004" t="s">
        <v>96</v>
      </c>
      <c r="M1004">
        <v>2500</v>
      </c>
      <c r="O1004" s="12" t="str">
        <f t="shared" si="44"/>
        <v>MID</v>
      </c>
      <c r="P1004" s="12" t="str">
        <f t="shared" si="45"/>
        <v>E_WON</v>
      </c>
    </row>
    <row r="1005" spans="1:16" x14ac:dyDescent="0.35">
      <c r="A1005" t="s">
        <v>95</v>
      </c>
      <c r="B1005" t="s">
        <v>76</v>
      </c>
      <c r="C1005" t="s">
        <v>45</v>
      </c>
      <c r="D1005" t="s">
        <v>1120</v>
      </c>
      <c r="E1005" t="s">
        <v>96</v>
      </c>
      <c r="F1005" t="s">
        <v>96</v>
      </c>
      <c r="G1005" t="s">
        <v>96</v>
      </c>
      <c r="H1005">
        <v>2010</v>
      </c>
      <c r="I1005" t="s">
        <v>96</v>
      </c>
      <c r="J1005" t="s">
        <v>97</v>
      </c>
      <c r="K1005" t="s">
        <v>96</v>
      </c>
      <c r="L1005" t="s">
        <v>96</v>
      </c>
      <c r="M1005">
        <v>2500</v>
      </c>
      <c r="O1005" s="12" t="str">
        <f t="shared" si="44"/>
        <v>MID</v>
      </c>
      <c r="P1005" s="12" t="str">
        <f t="shared" si="45"/>
        <v>E_WON</v>
      </c>
    </row>
    <row r="1006" spans="1:16" x14ac:dyDescent="0.35">
      <c r="A1006" t="s">
        <v>95</v>
      </c>
      <c r="B1006" t="s">
        <v>76</v>
      </c>
      <c r="C1006" t="s">
        <v>45</v>
      </c>
      <c r="D1006" t="s">
        <v>1121</v>
      </c>
      <c r="E1006" t="s">
        <v>96</v>
      </c>
      <c r="F1006" t="s">
        <v>96</v>
      </c>
      <c r="G1006" t="s">
        <v>96</v>
      </c>
      <c r="H1006">
        <v>2010</v>
      </c>
      <c r="I1006" t="s">
        <v>96</v>
      </c>
      <c r="J1006" t="s">
        <v>97</v>
      </c>
      <c r="K1006" t="s">
        <v>96</v>
      </c>
      <c r="L1006" t="s">
        <v>96</v>
      </c>
      <c r="M1006">
        <v>2500</v>
      </c>
      <c r="O1006" s="12" t="str">
        <f t="shared" si="44"/>
        <v>MID</v>
      </c>
      <c r="P1006" s="12" t="str">
        <f t="shared" si="45"/>
        <v>E_WON</v>
      </c>
    </row>
    <row r="1007" spans="1:16" x14ac:dyDescent="0.35">
      <c r="A1007" t="s">
        <v>95</v>
      </c>
      <c r="B1007" t="s">
        <v>76</v>
      </c>
      <c r="C1007" t="s">
        <v>45</v>
      </c>
      <c r="D1007" t="s">
        <v>1122</v>
      </c>
      <c r="E1007" t="s">
        <v>96</v>
      </c>
      <c r="F1007" t="s">
        <v>96</v>
      </c>
      <c r="G1007" t="s">
        <v>96</v>
      </c>
      <c r="H1007">
        <v>2010</v>
      </c>
      <c r="I1007" t="s">
        <v>96</v>
      </c>
      <c r="J1007" t="s">
        <v>97</v>
      </c>
      <c r="K1007" t="s">
        <v>96</v>
      </c>
      <c r="L1007" t="s">
        <v>96</v>
      </c>
      <c r="M1007">
        <v>2500</v>
      </c>
      <c r="O1007" s="12" t="str">
        <f t="shared" si="44"/>
        <v>MID</v>
      </c>
      <c r="P1007" s="12" t="str">
        <f t="shared" si="45"/>
        <v>E_WON</v>
      </c>
    </row>
    <row r="1008" spans="1:16" x14ac:dyDescent="0.35">
      <c r="A1008" t="s">
        <v>95</v>
      </c>
      <c r="B1008" t="s">
        <v>76</v>
      </c>
      <c r="C1008" t="s">
        <v>45</v>
      </c>
      <c r="D1008" t="s">
        <v>1123</v>
      </c>
      <c r="E1008" t="s">
        <v>96</v>
      </c>
      <c r="F1008" t="s">
        <v>96</v>
      </c>
      <c r="G1008" t="s">
        <v>96</v>
      </c>
      <c r="H1008">
        <v>2010</v>
      </c>
      <c r="I1008" t="s">
        <v>96</v>
      </c>
      <c r="J1008" t="s">
        <v>97</v>
      </c>
      <c r="K1008" t="s">
        <v>96</v>
      </c>
      <c r="L1008" t="s">
        <v>96</v>
      </c>
      <c r="M1008">
        <v>2500</v>
      </c>
      <c r="O1008" s="12" t="str">
        <f t="shared" si="44"/>
        <v>MID</v>
      </c>
      <c r="P1008" s="12" t="str">
        <f t="shared" si="45"/>
        <v>E_WON</v>
      </c>
    </row>
    <row r="1009" spans="1:16" x14ac:dyDescent="0.35">
      <c r="A1009" t="s">
        <v>95</v>
      </c>
      <c r="B1009" t="s">
        <v>76</v>
      </c>
      <c r="C1009" t="s">
        <v>45</v>
      </c>
      <c r="D1009" t="s">
        <v>1124</v>
      </c>
      <c r="E1009" t="s">
        <v>96</v>
      </c>
      <c r="F1009" t="s">
        <v>96</v>
      </c>
      <c r="G1009" t="s">
        <v>96</v>
      </c>
      <c r="H1009">
        <v>2010</v>
      </c>
      <c r="I1009" t="s">
        <v>96</v>
      </c>
      <c r="J1009" t="s">
        <v>97</v>
      </c>
      <c r="K1009" t="s">
        <v>96</v>
      </c>
      <c r="L1009" t="s">
        <v>96</v>
      </c>
      <c r="M1009">
        <v>2500</v>
      </c>
      <c r="O1009" s="12" t="str">
        <f t="shared" si="44"/>
        <v>MID</v>
      </c>
      <c r="P1009" s="12" t="str">
        <f t="shared" si="45"/>
        <v>E_WON</v>
      </c>
    </row>
    <row r="1010" spans="1:16" x14ac:dyDescent="0.35">
      <c r="A1010" t="s">
        <v>95</v>
      </c>
      <c r="B1010" t="s">
        <v>76</v>
      </c>
      <c r="C1010" t="s">
        <v>45</v>
      </c>
      <c r="D1010" t="s">
        <v>1125</v>
      </c>
      <c r="E1010" t="s">
        <v>96</v>
      </c>
      <c r="F1010" t="s">
        <v>96</v>
      </c>
      <c r="G1010" t="s">
        <v>96</v>
      </c>
      <c r="H1010">
        <v>2010</v>
      </c>
      <c r="I1010" t="s">
        <v>96</v>
      </c>
      <c r="J1010" t="s">
        <v>97</v>
      </c>
      <c r="K1010" t="s">
        <v>96</v>
      </c>
      <c r="L1010" t="s">
        <v>96</v>
      </c>
      <c r="M1010">
        <v>2500</v>
      </c>
      <c r="O1010" s="12" t="str">
        <f t="shared" si="44"/>
        <v>MID</v>
      </c>
      <c r="P1010" s="12" t="str">
        <f t="shared" si="45"/>
        <v>E_WON</v>
      </c>
    </row>
    <row r="1011" spans="1:16" x14ac:dyDescent="0.35">
      <c r="A1011" t="s">
        <v>95</v>
      </c>
      <c r="B1011" t="s">
        <v>76</v>
      </c>
      <c r="C1011" t="s">
        <v>45</v>
      </c>
      <c r="D1011" t="s">
        <v>1126</v>
      </c>
      <c r="E1011" t="s">
        <v>96</v>
      </c>
      <c r="F1011" t="s">
        <v>96</v>
      </c>
      <c r="G1011" t="s">
        <v>96</v>
      </c>
      <c r="H1011">
        <v>2010</v>
      </c>
      <c r="I1011" t="s">
        <v>96</v>
      </c>
      <c r="J1011" t="s">
        <v>97</v>
      </c>
      <c r="K1011" t="s">
        <v>96</v>
      </c>
      <c r="L1011" t="s">
        <v>96</v>
      </c>
      <c r="M1011">
        <v>2500</v>
      </c>
      <c r="O1011" s="12" t="str">
        <f t="shared" si="44"/>
        <v>MID</v>
      </c>
      <c r="P1011" s="12" t="str">
        <f t="shared" si="45"/>
        <v>E_WON</v>
      </c>
    </row>
    <row r="1012" spans="1:16" x14ac:dyDescent="0.35">
      <c r="A1012" t="s">
        <v>95</v>
      </c>
      <c r="B1012" t="s">
        <v>76</v>
      </c>
      <c r="C1012" t="s">
        <v>45</v>
      </c>
      <c r="D1012" t="s">
        <v>1127</v>
      </c>
      <c r="E1012" t="s">
        <v>96</v>
      </c>
      <c r="F1012" t="s">
        <v>96</v>
      </c>
      <c r="G1012" t="s">
        <v>96</v>
      </c>
      <c r="H1012">
        <v>2010</v>
      </c>
      <c r="I1012" t="s">
        <v>96</v>
      </c>
      <c r="J1012" t="s">
        <v>97</v>
      </c>
      <c r="K1012" t="s">
        <v>96</v>
      </c>
      <c r="L1012" t="s">
        <v>96</v>
      </c>
      <c r="M1012">
        <v>2500</v>
      </c>
      <c r="O1012" s="12" t="str">
        <f t="shared" si="44"/>
        <v>MID</v>
      </c>
      <c r="P1012" s="12" t="str">
        <f t="shared" si="45"/>
        <v>E_WON</v>
      </c>
    </row>
    <row r="1013" spans="1:16" x14ac:dyDescent="0.35">
      <c r="A1013" t="s">
        <v>95</v>
      </c>
      <c r="B1013" t="s">
        <v>76</v>
      </c>
      <c r="C1013" t="s">
        <v>45</v>
      </c>
      <c r="D1013" t="s">
        <v>1128</v>
      </c>
      <c r="E1013" t="s">
        <v>96</v>
      </c>
      <c r="F1013" t="s">
        <v>96</v>
      </c>
      <c r="G1013" t="s">
        <v>96</v>
      </c>
      <c r="H1013">
        <v>2010</v>
      </c>
      <c r="I1013" t="s">
        <v>96</v>
      </c>
      <c r="J1013" t="s">
        <v>97</v>
      </c>
      <c r="K1013" t="s">
        <v>96</v>
      </c>
      <c r="L1013" t="s">
        <v>96</v>
      </c>
      <c r="M1013">
        <v>2500</v>
      </c>
      <c r="O1013" s="12" t="str">
        <f t="shared" si="44"/>
        <v>MID</v>
      </c>
      <c r="P1013" s="12" t="str">
        <f t="shared" si="45"/>
        <v>E_WON</v>
      </c>
    </row>
    <row r="1014" spans="1:16" x14ac:dyDescent="0.35">
      <c r="A1014" t="s">
        <v>95</v>
      </c>
      <c r="B1014" t="s">
        <v>76</v>
      </c>
      <c r="C1014" t="s">
        <v>45</v>
      </c>
      <c r="D1014" t="s">
        <v>1129</v>
      </c>
      <c r="E1014" t="s">
        <v>96</v>
      </c>
      <c r="F1014" t="s">
        <v>96</v>
      </c>
      <c r="G1014" t="s">
        <v>96</v>
      </c>
      <c r="H1014">
        <v>2010</v>
      </c>
      <c r="I1014" t="s">
        <v>96</v>
      </c>
      <c r="J1014" t="s">
        <v>97</v>
      </c>
      <c r="K1014" t="s">
        <v>96</v>
      </c>
      <c r="L1014" t="s">
        <v>96</v>
      </c>
      <c r="M1014">
        <v>2500</v>
      </c>
      <c r="O1014" s="12" t="str">
        <f t="shared" si="44"/>
        <v>MID</v>
      </c>
      <c r="P1014" s="12" t="str">
        <f t="shared" si="45"/>
        <v>E_WON</v>
      </c>
    </row>
    <row r="1015" spans="1:16" x14ac:dyDescent="0.35">
      <c r="A1015" t="s">
        <v>95</v>
      </c>
      <c r="B1015" t="s">
        <v>76</v>
      </c>
      <c r="C1015" t="s">
        <v>45</v>
      </c>
      <c r="D1015" t="s">
        <v>1130</v>
      </c>
      <c r="E1015" t="s">
        <v>96</v>
      </c>
      <c r="F1015" t="s">
        <v>96</v>
      </c>
      <c r="G1015" t="s">
        <v>96</v>
      </c>
      <c r="H1015">
        <v>2010</v>
      </c>
      <c r="I1015" t="s">
        <v>96</v>
      </c>
      <c r="J1015" t="s">
        <v>97</v>
      </c>
      <c r="K1015" t="s">
        <v>96</v>
      </c>
      <c r="L1015" t="s">
        <v>96</v>
      </c>
      <c r="M1015">
        <v>2500</v>
      </c>
      <c r="O1015" s="12" t="str">
        <f t="shared" si="44"/>
        <v>MID</v>
      </c>
      <c r="P1015" s="12" t="str">
        <f t="shared" si="45"/>
        <v>E_WON</v>
      </c>
    </row>
    <row r="1016" spans="1:16" x14ac:dyDescent="0.35">
      <c r="A1016" t="s">
        <v>95</v>
      </c>
      <c r="B1016" t="s">
        <v>76</v>
      </c>
      <c r="C1016" t="s">
        <v>45</v>
      </c>
      <c r="D1016" t="s">
        <v>1131</v>
      </c>
      <c r="E1016" t="s">
        <v>96</v>
      </c>
      <c r="F1016" t="s">
        <v>96</v>
      </c>
      <c r="G1016" t="s">
        <v>96</v>
      </c>
      <c r="H1016">
        <v>2010</v>
      </c>
      <c r="I1016" t="s">
        <v>96</v>
      </c>
      <c r="J1016" t="s">
        <v>97</v>
      </c>
      <c r="K1016" t="s">
        <v>96</v>
      </c>
      <c r="L1016" t="s">
        <v>96</v>
      </c>
      <c r="M1016">
        <v>2500</v>
      </c>
      <c r="O1016" s="12" t="str">
        <f t="shared" si="44"/>
        <v>MID</v>
      </c>
      <c r="P1016" s="12" t="str">
        <f t="shared" si="45"/>
        <v>E_WON</v>
      </c>
    </row>
    <row r="1017" spans="1:16" x14ac:dyDescent="0.35">
      <c r="A1017" t="s">
        <v>95</v>
      </c>
      <c r="B1017" t="s">
        <v>76</v>
      </c>
      <c r="C1017" t="s">
        <v>45</v>
      </c>
      <c r="D1017" t="s">
        <v>1132</v>
      </c>
      <c r="E1017" t="s">
        <v>96</v>
      </c>
      <c r="F1017" t="s">
        <v>96</v>
      </c>
      <c r="G1017" t="s">
        <v>96</v>
      </c>
      <c r="H1017">
        <v>2010</v>
      </c>
      <c r="I1017" t="s">
        <v>96</v>
      </c>
      <c r="J1017" t="s">
        <v>97</v>
      </c>
      <c r="K1017" t="s">
        <v>96</v>
      </c>
      <c r="L1017" t="s">
        <v>96</v>
      </c>
      <c r="M1017">
        <v>2500</v>
      </c>
      <c r="O1017" s="12" t="str">
        <f t="shared" si="44"/>
        <v>MID</v>
      </c>
      <c r="P1017" s="12" t="str">
        <f t="shared" si="45"/>
        <v>E_WON</v>
      </c>
    </row>
    <row r="1018" spans="1:16" x14ac:dyDescent="0.35">
      <c r="A1018" t="s">
        <v>95</v>
      </c>
      <c r="B1018" t="s">
        <v>76</v>
      </c>
      <c r="C1018" t="s">
        <v>45</v>
      </c>
      <c r="D1018" t="s">
        <v>1133</v>
      </c>
      <c r="E1018" t="s">
        <v>96</v>
      </c>
      <c r="F1018" t="s">
        <v>96</v>
      </c>
      <c r="G1018" t="s">
        <v>96</v>
      </c>
      <c r="H1018">
        <v>2010</v>
      </c>
      <c r="I1018" t="s">
        <v>96</v>
      </c>
      <c r="J1018" t="s">
        <v>97</v>
      </c>
      <c r="K1018" t="s">
        <v>96</v>
      </c>
      <c r="L1018" t="s">
        <v>96</v>
      </c>
      <c r="M1018">
        <v>2500</v>
      </c>
      <c r="O1018" s="12" t="str">
        <f t="shared" si="44"/>
        <v>MID</v>
      </c>
      <c r="P1018" s="12" t="str">
        <f t="shared" si="45"/>
        <v>E_WON</v>
      </c>
    </row>
    <row r="1019" spans="1:16" x14ac:dyDescent="0.35">
      <c r="A1019" t="s">
        <v>95</v>
      </c>
      <c r="B1019" t="s">
        <v>76</v>
      </c>
      <c r="C1019" t="s">
        <v>45</v>
      </c>
      <c r="D1019" t="s">
        <v>1134</v>
      </c>
      <c r="E1019" t="s">
        <v>96</v>
      </c>
      <c r="F1019" t="s">
        <v>96</v>
      </c>
      <c r="G1019" t="s">
        <v>96</v>
      </c>
      <c r="H1019">
        <v>2010</v>
      </c>
      <c r="I1019" t="s">
        <v>96</v>
      </c>
      <c r="J1019" t="s">
        <v>97</v>
      </c>
      <c r="K1019" t="s">
        <v>96</v>
      </c>
      <c r="L1019" t="s">
        <v>96</v>
      </c>
      <c r="M1019">
        <v>2500</v>
      </c>
      <c r="O1019" s="12" t="str">
        <f t="shared" si="44"/>
        <v>MID</v>
      </c>
      <c r="P1019" s="12" t="str">
        <f t="shared" si="45"/>
        <v>E_WON</v>
      </c>
    </row>
    <row r="1020" spans="1:16" x14ac:dyDescent="0.35">
      <c r="A1020" t="s">
        <v>95</v>
      </c>
      <c r="B1020" t="s">
        <v>76</v>
      </c>
      <c r="C1020" t="s">
        <v>45</v>
      </c>
      <c r="D1020" t="s">
        <v>1135</v>
      </c>
      <c r="E1020" t="s">
        <v>96</v>
      </c>
      <c r="F1020" t="s">
        <v>96</v>
      </c>
      <c r="G1020" t="s">
        <v>96</v>
      </c>
      <c r="H1020">
        <v>2010</v>
      </c>
      <c r="I1020" t="s">
        <v>96</v>
      </c>
      <c r="J1020" t="s">
        <v>97</v>
      </c>
      <c r="K1020" t="s">
        <v>96</v>
      </c>
      <c r="L1020" t="s">
        <v>96</v>
      </c>
      <c r="M1020">
        <v>2500</v>
      </c>
      <c r="O1020" s="12" t="str">
        <f t="shared" si="44"/>
        <v>MID</v>
      </c>
      <c r="P1020" s="12" t="str">
        <f t="shared" si="45"/>
        <v>E_WON</v>
      </c>
    </row>
    <row r="1021" spans="1:16" x14ac:dyDescent="0.35">
      <c r="A1021" t="s">
        <v>95</v>
      </c>
      <c r="B1021" t="s">
        <v>76</v>
      </c>
      <c r="C1021" t="s">
        <v>45</v>
      </c>
      <c r="D1021" t="s">
        <v>1136</v>
      </c>
      <c r="E1021" t="s">
        <v>96</v>
      </c>
      <c r="F1021" t="s">
        <v>96</v>
      </c>
      <c r="G1021" t="s">
        <v>96</v>
      </c>
      <c r="H1021">
        <v>2010</v>
      </c>
      <c r="I1021" t="s">
        <v>96</v>
      </c>
      <c r="J1021" t="s">
        <v>97</v>
      </c>
      <c r="K1021" t="s">
        <v>96</v>
      </c>
      <c r="L1021" t="s">
        <v>96</v>
      </c>
      <c r="M1021">
        <v>2500</v>
      </c>
      <c r="O1021" s="12" t="str">
        <f t="shared" si="44"/>
        <v>MID</v>
      </c>
      <c r="P1021" s="12" t="str">
        <f t="shared" si="45"/>
        <v>E_WON</v>
      </c>
    </row>
    <row r="1022" spans="1:16" x14ac:dyDescent="0.35">
      <c r="A1022" t="s">
        <v>95</v>
      </c>
      <c r="B1022" t="s">
        <v>76</v>
      </c>
      <c r="C1022" t="s">
        <v>45</v>
      </c>
      <c r="D1022" t="s">
        <v>1137</v>
      </c>
      <c r="E1022" t="s">
        <v>96</v>
      </c>
      <c r="F1022" t="s">
        <v>96</v>
      </c>
      <c r="G1022" t="s">
        <v>96</v>
      </c>
      <c r="H1022">
        <v>2010</v>
      </c>
      <c r="I1022" t="s">
        <v>96</v>
      </c>
      <c r="J1022" t="s">
        <v>97</v>
      </c>
      <c r="K1022" t="s">
        <v>96</v>
      </c>
      <c r="L1022" t="s">
        <v>96</v>
      </c>
      <c r="M1022">
        <v>2500</v>
      </c>
      <c r="O1022" s="12" t="str">
        <f t="shared" si="44"/>
        <v>MID</v>
      </c>
      <c r="P1022" s="12" t="str">
        <f t="shared" si="45"/>
        <v>E_WON</v>
      </c>
    </row>
    <row r="1023" spans="1:16" x14ac:dyDescent="0.35">
      <c r="A1023" t="s">
        <v>95</v>
      </c>
      <c r="B1023" t="s">
        <v>76</v>
      </c>
      <c r="C1023" t="s">
        <v>45</v>
      </c>
      <c r="D1023" t="s">
        <v>1138</v>
      </c>
      <c r="E1023" t="s">
        <v>96</v>
      </c>
      <c r="F1023" t="s">
        <v>96</v>
      </c>
      <c r="G1023" t="s">
        <v>96</v>
      </c>
      <c r="H1023">
        <v>2010</v>
      </c>
      <c r="I1023" t="s">
        <v>96</v>
      </c>
      <c r="J1023" t="s">
        <v>97</v>
      </c>
      <c r="K1023" t="s">
        <v>96</v>
      </c>
      <c r="L1023" t="s">
        <v>96</v>
      </c>
      <c r="M1023">
        <v>2500</v>
      </c>
      <c r="O1023" s="12" t="str">
        <f t="shared" si="44"/>
        <v>MID</v>
      </c>
      <c r="P1023" s="12" t="str">
        <f t="shared" si="45"/>
        <v>E_WON</v>
      </c>
    </row>
    <row r="1024" spans="1:16" x14ac:dyDescent="0.35">
      <c r="A1024" t="s">
        <v>95</v>
      </c>
      <c r="B1024" t="s">
        <v>76</v>
      </c>
      <c r="C1024" t="s">
        <v>45</v>
      </c>
      <c r="D1024" t="s">
        <v>1139</v>
      </c>
      <c r="E1024" t="s">
        <v>96</v>
      </c>
      <c r="F1024" t="s">
        <v>96</v>
      </c>
      <c r="G1024" t="s">
        <v>96</v>
      </c>
      <c r="H1024">
        <v>2010</v>
      </c>
      <c r="I1024" t="s">
        <v>96</v>
      </c>
      <c r="J1024" t="s">
        <v>97</v>
      </c>
      <c r="K1024" t="s">
        <v>96</v>
      </c>
      <c r="L1024" t="s">
        <v>96</v>
      </c>
      <c r="M1024">
        <v>2500</v>
      </c>
      <c r="O1024" s="12" t="str">
        <f t="shared" si="44"/>
        <v>MID</v>
      </c>
      <c r="P1024" s="12" t="str">
        <f t="shared" si="45"/>
        <v>E_WON</v>
      </c>
    </row>
    <row r="1025" spans="1:16" x14ac:dyDescent="0.35">
      <c r="A1025" t="s">
        <v>95</v>
      </c>
      <c r="B1025" t="s">
        <v>76</v>
      </c>
      <c r="C1025" t="s">
        <v>45</v>
      </c>
      <c r="D1025" t="s">
        <v>1140</v>
      </c>
      <c r="E1025" t="s">
        <v>96</v>
      </c>
      <c r="F1025" t="s">
        <v>96</v>
      </c>
      <c r="G1025" t="s">
        <v>96</v>
      </c>
      <c r="H1025">
        <v>2010</v>
      </c>
      <c r="I1025" t="s">
        <v>96</v>
      </c>
      <c r="J1025" t="s">
        <v>97</v>
      </c>
      <c r="K1025" t="s">
        <v>96</v>
      </c>
      <c r="L1025" t="s">
        <v>96</v>
      </c>
      <c r="M1025">
        <v>2500</v>
      </c>
      <c r="O1025" s="12" t="str">
        <f t="shared" si="44"/>
        <v>MID</v>
      </c>
      <c r="P1025" s="12" t="str">
        <f t="shared" si="45"/>
        <v>E_WON</v>
      </c>
    </row>
    <row r="1026" spans="1:16" x14ac:dyDescent="0.35">
      <c r="A1026" t="s">
        <v>95</v>
      </c>
      <c r="B1026" t="s">
        <v>76</v>
      </c>
      <c r="C1026" t="s">
        <v>45</v>
      </c>
      <c r="D1026" t="s">
        <v>1141</v>
      </c>
      <c r="E1026" t="s">
        <v>96</v>
      </c>
      <c r="F1026" t="s">
        <v>96</v>
      </c>
      <c r="G1026" t="s">
        <v>96</v>
      </c>
      <c r="H1026">
        <v>2010</v>
      </c>
      <c r="I1026" t="s">
        <v>96</v>
      </c>
      <c r="J1026" t="s">
        <v>97</v>
      </c>
      <c r="K1026" t="s">
        <v>96</v>
      </c>
      <c r="L1026" t="s">
        <v>96</v>
      </c>
      <c r="M1026">
        <v>2500</v>
      </c>
      <c r="O1026" s="12" t="str">
        <f t="shared" si="44"/>
        <v>MID</v>
      </c>
      <c r="P1026" s="12" t="str">
        <f t="shared" si="45"/>
        <v>E_WON</v>
      </c>
    </row>
    <row r="1027" spans="1:16" x14ac:dyDescent="0.35">
      <c r="A1027" t="s">
        <v>95</v>
      </c>
      <c r="B1027" t="s">
        <v>76</v>
      </c>
      <c r="C1027" t="s">
        <v>45</v>
      </c>
      <c r="D1027" t="s">
        <v>1142</v>
      </c>
      <c r="E1027" t="s">
        <v>96</v>
      </c>
      <c r="F1027" t="s">
        <v>96</v>
      </c>
      <c r="G1027" t="s">
        <v>96</v>
      </c>
      <c r="H1027">
        <v>2010</v>
      </c>
      <c r="I1027" t="s">
        <v>96</v>
      </c>
      <c r="J1027" t="s">
        <v>97</v>
      </c>
      <c r="K1027" t="s">
        <v>96</v>
      </c>
      <c r="L1027" t="s">
        <v>96</v>
      </c>
      <c r="M1027">
        <v>3750</v>
      </c>
      <c r="O1027" s="12" t="str">
        <f t="shared" ref="O1027:O1090" si="46">LEFT(B1027,3)</f>
        <v>MID</v>
      </c>
      <c r="P1027" s="12" t="str">
        <f t="shared" ref="P1027:P1090" si="47">LEFT(D1027,5)</f>
        <v>E_WON</v>
      </c>
    </row>
    <row r="1028" spans="1:16" x14ac:dyDescent="0.35">
      <c r="A1028" t="s">
        <v>95</v>
      </c>
      <c r="B1028" t="s">
        <v>76</v>
      </c>
      <c r="C1028" t="s">
        <v>45</v>
      </c>
      <c r="D1028" t="s">
        <v>1143</v>
      </c>
      <c r="E1028" t="s">
        <v>96</v>
      </c>
      <c r="F1028" t="s">
        <v>96</v>
      </c>
      <c r="G1028" t="s">
        <v>96</v>
      </c>
      <c r="H1028">
        <v>2010</v>
      </c>
      <c r="I1028" t="s">
        <v>96</v>
      </c>
      <c r="J1028" t="s">
        <v>97</v>
      </c>
      <c r="K1028" t="s">
        <v>96</v>
      </c>
      <c r="L1028" t="s">
        <v>96</v>
      </c>
      <c r="M1028">
        <v>3750</v>
      </c>
      <c r="O1028" s="12" t="str">
        <f t="shared" si="46"/>
        <v>MID</v>
      </c>
      <c r="P1028" s="12" t="str">
        <f t="shared" si="47"/>
        <v>E_WON</v>
      </c>
    </row>
    <row r="1029" spans="1:16" x14ac:dyDescent="0.35">
      <c r="A1029" t="s">
        <v>95</v>
      </c>
      <c r="B1029" t="s">
        <v>76</v>
      </c>
      <c r="C1029" t="s">
        <v>45</v>
      </c>
      <c r="D1029" t="s">
        <v>1144</v>
      </c>
      <c r="E1029" t="s">
        <v>96</v>
      </c>
      <c r="F1029" t="s">
        <v>96</v>
      </c>
      <c r="G1029" t="s">
        <v>96</v>
      </c>
      <c r="H1029">
        <v>2010</v>
      </c>
      <c r="I1029" t="s">
        <v>96</v>
      </c>
      <c r="J1029" t="s">
        <v>97</v>
      </c>
      <c r="K1029" t="s">
        <v>96</v>
      </c>
      <c r="L1029" t="s">
        <v>96</v>
      </c>
      <c r="M1029">
        <v>3750</v>
      </c>
      <c r="O1029" s="12" t="str">
        <f t="shared" si="46"/>
        <v>MID</v>
      </c>
      <c r="P1029" s="12" t="str">
        <f t="shared" si="47"/>
        <v>E_WON</v>
      </c>
    </row>
    <row r="1030" spans="1:16" x14ac:dyDescent="0.35">
      <c r="A1030" t="s">
        <v>95</v>
      </c>
      <c r="B1030" t="s">
        <v>76</v>
      </c>
      <c r="C1030" t="s">
        <v>45</v>
      </c>
      <c r="D1030" t="s">
        <v>1145</v>
      </c>
      <c r="E1030" t="s">
        <v>96</v>
      </c>
      <c r="F1030" t="s">
        <v>96</v>
      </c>
      <c r="G1030" t="s">
        <v>96</v>
      </c>
      <c r="H1030">
        <v>2010</v>
      </c>
      <c r="I1030" t="s">
        <v>96</v>
      </c>
      <c r="J1030" t="s">
        <v>97</v>
      </c>
      <c r="K1030" t="s">
        <v>96</v>
      </c>
      <c r="L1030" t="s">
        <v>96</v>
      </c>
      <c r="M1030">
        <v>3750</v>
      </c>
      <c r="O1030" s="12" t="str">
        <f t="shared" si="46"/>
        <v>MID</v>
      </c>
      <c r="P1030" s="12" t="str">
        <f t="shared" si="47"/>
        <v>E_WON</v>
      </c>
    </row>
    <row r="1031" spans="1:16" x14ac:dyDescent="0.35">
      <c r="A1031" t="s">
        <v>95</v>
      </c>
      <c r="B1031" t="s">
        <v>76</v>
      </c>
      <c r="C1031" t="s">
        <v>45</v>
      </c>
      <c r="D1031" t="s">
        <v>1146</v>
      </c>
      <c r="E1031" t="s">
        <v>96</v>
      </c>
      <c r="F1031" t="s">
        <v>96</v>
      </c>
      <c r="G1031" t="s">
        <v>96</v>
      </c>
      <c r="H1031">
        <v>2010</v>
      </c>
      <c r="I1031" t="s">
        <v>96</v>
      </c>
      <c r="J1031" t="s">
        <v>97</v>
      </c>
      <c r="K1031" t="s">
        <v>96</v>
      </c>
      <c r="L1031" t="s">
        <v>96</v>
      </c>
      <c r="M1031">
        <v>3750</v>
      </c>
      <c r="O1031" s="12" t="str">
        <f t="shared" si="46"/>
        <v>MID</v>
      </c>
      <c r="P1031" s="12" t="str">
        <f t="shared" si="47"/>
        <v>E_WON</v>
      </c>
    </row>
    <row r="1032" spans="1:16" x14ac:dyDescent="0.35">
      <c r="A1032" t="s">
        <v>95</v>
      </c>
      <c r="B1032" t="s">
        <v>76</v>
      </c>
      <c r="C1032" t="s">
        <v>45</v>
      </c>
      <c r="D1032" t="s">
        <v>1147</v>
      </c>
      <c r="E1032" t="s">
        <v>96</v>
      </c>
      <c r="F1032" t="s">
        <v>96</v>
      </c>
      <c r="G1032" t="s">
        <v>96</v>
      </c>
      <c r="H1032">
        <v>2010</v>
      </c>
      <c r="I1032" t="s">
        <v>96</v>
      </c>
      <c r="J1032" t="s">
        <v>97</v>
      </c>
      <c r="K1032" t="s">
        <v>96</v>
      </c>
      <c r="L1032" t="s">
        <v>96</v>
      </c>
      <c r="M1032">
        <v>3750</v>
      </c>
      <c r="O1032" s="12" t="str">
        <f t="shared" si="46"/>
        <v>MID</v>
      </c>
      <c r="P1032" s="12" t="str">
        <f t="shared" si="47"/>
        <v>E_WON</v>
      </c>
    </row>
    <row r="1033" spans="1:16" x14ac:dyDescent="0.35">
      <c r="A1033" t="s">
        <v>95</v>
      </c>
      <c r="B1033" t="s">
        <v>76</v>
      </c>
      <c r="C1033" t="s">
        <v>45</v>
      </c>
      <c r="D1033" t="s">
        <v>1148</v>
      </c>
      <c r="E1033" t="s">
        <v>96</v>
      </c>
      <c r="F1033" t="s">
        <v>96</v>
      </c>
      <c r="G1033" t="s">
        <v>96</v>
      </c>
      <c r="H1033">
        <v>2010</v>
      </c>
      <c r="I1033" t="s">
        <v>96</v>
      </c>
      <c r="J1033" t="s">
        <v>97</v>
      </c>
      <c r="K1033" t="s">
        <v>96</v>
      </c>
      <c r="L1033" t="s">
        <v>96</v>
      </c>
      <c r="M1033">
        <v>3750</v>
      </c>
      <c r="O1033" s="12" t="str">
        <f t="shared" si="46"/>
        <v>MID</v>
      </c>
      <c r="P1033" s="12" t="str">
        <f t="shared" si="47"/>
        <v>E_WON</v>
      </c>
    </row>
    <row r="1034" spans="1:16" x14ac:dyDescent="0.35">
      <c r="A1034" t="s">
        <v>95</v>
      </c>
      <c r="B1034" t="s">
        <v>76</v>
      </c>
      <c r="C1034" t="s">
        <v>45</v>
      </c>
      <c r="D1034" t="s">
        <v>1149</v>
      </c>
      <c r="E1034" t="s">
        <v>96</v>
      </c>
      <c r="F1034" t="s">
        <v>96</v>
      </c>
      <c r="G1034" t="s">
        <v>96</v>
      </c>
      <c r="H1034">
        <v>2010</v>
      </c>
      <c r="I1034" t="s">
        <v>96</v>
      </c>
      <c r="J1034" t="s">
        <v>97</v>
      </c>
      <c r="K1034" t="s">
        <v>96</v>
      </c>
      <c r="L1034" t="s">
        <v>96</v>
      </c>
      <c r="M1034">
        <v>3750</v>
      </c>
      <c r="O1034" s="12" t="str">
        <f t="shared" si="46"/>
        <v>MID</v>
      </c>
      <c r="P1034" s="12" t="str">
        <f t="shared" si="47"/>
        <v>E_WON</v>
      </c>
    </row>
    <row r="1035" spans="1:16" x14ac:dyDescent="0.35">
      <c r="A1035" t="s">
        <v>95</v>
      </c>
      <c r="B1035" t="s">
        <v>76</v>
      </c>
      <c r="C1035" t="s">
        <v>45</v>
      </c>
      <c r="D1035" t="s">
        <v>1150</v>
      </c>
      <c r="E1035" t="s">
        <v>96</v>
      </c>
      <c r="F1035" t="s">
        <v>96</v>
      </c>
      <c r="G1035" t="s">
        <v>96</v>
      </c>
      <c r="H1035">
        <v>2010</v>
      </c>
      <c r="I1035" t="s">
        <v>96</v>
      </c>
      <c r="J1035" t="s">
        <v>97</v>
      </c>
      <c r="K1035" t="s">
        <v>96</v>
      </c>
      <c r="L1035" t="s">
        <v>96</v>
      </c>
      <c r="M1035">
        <v>3750</v>
      </c>
      <c r="O1035" s="12" t="str">
        <f t="shared" si="46"/>
        <v>MID</v>
      </c>
      <c r="P1035" s="12" t="str">
        <f t="shared" si="47"/>
        <v>E_WON</v>
      </c>
    </row>
    <row r="1036" spans="1:16" x14ac:dyDescent="0.35">
      <c r="A1036" t="s">
        <v>95</v>
      </c>
      <c r="B1036" t="s">
        <v>76</v>
      </c>
      <c r="C1036" t="s">
        <v>45</v>
      </c>
      <c r="D1036" t="s">
        <v>1151</v>
      </c>
      <c r="E1036" t="s">
        <v>96</v>
      </c>
      <c r="F1036" t="s">
        <v>96</v>
      </c>
      <c r="G1036" t="s">
        <v>96</v>
      </c>
      <c r="H1036">
        <v>2010</v>
      </c>
      <c r="I1036" t="s">
        <v>96</v>
      </c>
      <c r="J1036" t="s">
        <v>97</v>
      </c>
      <c r="K1036" t="s">
        <v>96</v>
      </c>
      <c r="L1036" t="s">
        <v>96</v>
      </c>
      <c r="M1036">
        <v>2715</v>
      </c>
      <c r="O1036" s="12" t="str">
        <f t="shared" si="46"/>
        <v>MID</v>
      </c>
      <c r="P1036" s="12" t="str">
        <f t="shared" si="47"/>
        <v>E_WON</v>
      </c>
    </row>
    <row r="1037" spans="1:16" x14ac:dyDescent="0.35">
      <c r="A1037" t="s">
        <v>95</v>
      </c>
      <c r="B1037" t="s">
        <v>76</v>
      </c>
      <c r="C1037" t="s">
        <v>45</v>
      </c>
      <c r="D1037" t="s">
        <v>1152</v>
      </c>
      <c r="E1037" t="s">
        <v>96</v>
      </c>
      <c r="F1037" t="s">
        <v>96</v>
      </c>
      <c r="G1037" t="s">
        <v>96</v>
      </c>
      <c r="H1037">
        <v>2010</v>
      </c>
      <c r="I1037" t="s">
        <v>96</v>
      </c>
      <c r="J1037" t="s">
        <v>97</v>
      </c>
      <c r="K1037" t="s">
        <v>96</v>
      </c>
      <c r="L1037" t="s">
        <v>96</v>
      </c>
      <c r="M1037">
        <v>3750</v>
      </c>
      <c r="O1037" s="12" t="str">
        <f t="shared" si="46"/>
        <v>MID</v>
      </c>
      <c r="P1037" s="12" t="str">
        <f t="shared" si="47"/>
        <v>E_WON</v>
      </c>
    </row>
    <row r="1038" spans="1:16" x14ac:dyDescent="0.35">
      <c r="A1038" t="s">
        <v>95</v>
      </c>
      <c r="B1038" t="s">
        <v>76</v>
      </c>
      <c r="C1038" t="s">
        <v>45</v>
      </c>
      <c r="D1038" t="s">
        <v>1153</v>
      </c>
      <c r="E1038" t="s">
        <v>96</v>
      </c>
      <c r="F1038" t="s">
        <v>96</v>
      </c>
      <c r="G1038" t="s">
        <v>96</v>
      </c>
      <c r="H1038">
        <v>2010</v>
      </c>
      <c r="I1038" t="s">
        <v>96</v>
      </c>
      <c r="J1038" t="s">
        <v>97</v>
      </c>
      <c r="K1038" t="s">
        <v>96</v>
      </c>
      <c r="L1038" t="s">
        <v>96</v>
      </c>
      <c r="M1038">
        <v>3750</v>
      </c>
      <c r="O1038" s="12" t="str">
        <f t="shared" si="46"/>
        <v>MID</v>
      </c>
      <c r="P1038" s="12" t="str">
        <f t="shared" si="47"/>
        <v>E_WON</v>
      </c>
    </row>
    <row r="1039" spans="1:16" x14ac:dyDescent="0.35">
      <c r="A1039" t="s">
        <v>95</v>
      </c>
      <c r="B1039" t="s">
        <v>76</v>
      </c>
      <c r="C1039" t="s">
        <v>45</v>
      </c>
      <c r="D1039" t="s">
        <v>1154</v>
      </c>
      <c r="E1039" t="s">
        <v>96</v>
      </c>
      <c r="F1039" t="s">
        <v>96</v>
      </c>
      <c r="G1039" t="s">
        <v>96</v>
      </c>
      <c r="H1039">
        <v>2010</v>
      </c>
      <c r="I1039" t="s">
        <v>96</v>
      </c>
      <c r="J1039" t="s">
        <v>97</v>
      </c>
      <c r="K1039" t="s">
        <v>96</v>
      </c>
      <c r="L1039" t="s">
        <v>96</v>
      </c>
      <c r="M1039">
        <v>3750</v>
      </c>
      <c r="O1039" s="12" t="str">
        <f t="shared" si="46"/>
        <v>MID</v>
      </c>
      <c r="P1039" s="12" t="str">
        <f t="shared" si="47"/>
        <v>E_WON</v>
      </c>
    </row>
    <row r="1040" spans="1:16" x14ac:dyDescent="0.35">
      <c r="A1040" t="s">
        <v>95</v>
      </c>
      <c r="B1040" t="s">
        <v>76</v>
      </c>
      <c r="C1040" t="s">
        <v>45</v>
      </c>
      <c r="D1040" t="s">
        <v>1155</v>
      </c>
      <c r="E1040" t="s">
        <v>96</v>
      </c>
      <c r="F1040" t="s">
        <v>96</v>
      </c>
      <c r="G1040" t="s">
        <v>96</v>
      </c>
      <c r="H1040">
        <v>2010</v>
      </c>
      <c r="I1040" t="s">
        <v>96</v>
      </c>
      <c r="J1040" t="s">
        <v>97</v>
      </c>
      <c r="K1040" t="s">
        <v>96</v>
      </c>
      <c r="L1040" t="s">
        <v>96</v>
      </c>
      <c r="M1040">
        <v>3750</v>
      </c>
      <c r="O1040" s="12" t="str">
        <f t="shared" si="46"/>
        <v>MID</v>
      </c>
      <c r="P1040" s="12" t="str">
        <f t="shared" si="47"/>
        <v>E_WON</v>
      </c>
    </row>
    <row r="1041" spans="1:16" x14ac:dyDescent="0.35">
      <c r="A1041" t="s">
        <v>95</v>
      </c>
      <c r="B1041" t="s">
        <v>76</v>
      </c>
      <c r="C1041" t="s">
        <v>45</v>
      </c>
      <c r="D1041" t="s">
        <v>1156</v>
      </c>
      <c r="E1041" t="s">
        <v>96</v>
      </c>
      <c r="F1041" t="s">
        <v>96</v>
      </c>
      <c r="G1041" t="s">
        <v>96</v>
      </c>
      <c r="H1041">
        <v>2010</v>
      </c>
      <c r="I1041" t="s">
        <v>96</v>
      </c>
      <c r="J1041" t="s">
        <v>97</v>
      </c>
      <c r="K1041" t="s">
        <v>96</v>
      </c>
      <c r="L1041" t="s">
        <v>96</v>
      </c>
      <c r="M1041">
        <v>3750</v>
      </c>
      <c r="O1041" s="12" t="str">
        <f t="shared" si="46"/>
        <v>MID</v>
      </c>
      <c r="P1041" s="12" t="str">
        <f t="shared" si="47"/>
        <v>E_WON</v>
      </c>
    </row>
    <row r="1042" spans="1:16" x14ac:dyDescent="0.35">
      <c r="A1042" t="s">
        <v>95</v>
      </c>
      <c r="B1042" t="s">
        <v>76</v>
      </c>
      <c r="C1042" t="s">
        <v>45</v>
      </c>
      <c r="D1042" t="s">
        <v>1157</v>
      </c>
      <c r="E1042" t="s">
        <v>96</v>
      </c>
      <c r="F1042" t="s">
        <v>96</v>
      </c>
      <c r="G1042" t="s">
        <v>96</v>
      </c>
      <c r="H1042">
        <v>2010</v>
      </c>
      <c r="I1042" t="s">
        <v>96</v>
      </c>
      <c r="J1042" t="s">
        <v>97</v>
      </c>
      <c r="K1042" t="s">
        <v>96</v>
      </c>
      <c r="L1042" t="s">
        <v>96</v>
      </c>
      <c r="M1042">
        <v>3750</v>
      </c>
      <c r="O1042" s="12" t="str">
        <f t="shared" si="46"/>
        <v>MID</v>
      </c>
      <c r="P1042" s="12" t="str">
        <f t="shared" si="47"/>
        <v>E_WON</v>
      </c>
    </row>
    <row r="1043" spans="1:16" x14ac:dyDescent="0.35">
      <c r="A1043" t="s">
        <v>95</v>
      </c>
      <c r="B1043" t="s">
        <v>76</v>
      </c>
      <c r="C1043" t="s">
        <v>45</v>
      </c>
      <c r="D1043" t="s">
        <v>1158</v>
      </c>
      <c r="E1043" t="s">
        <v>96</v>
      </c>
      <c r="F1043" t="s">
        <v>96</v>
      </c>
      <c r="G1043" t="s">
        <v>96</v>
      </c>
      <c r="H1043">
        <v>2010</v>
      </c>
      <c r="I1043" t="s">
        <v>96</v>
      </c>
      <c r="J1043" t="s">
        <v>97</v>
      </c>
      <c r="K1043" t="s">
        <v>96</v>
      </c>
      <c r="L1043" t="s">
        <v>96</v>
      </c>
      <c r="M1043">
        <v>3750</v>
      </c>
      <c r="O1043" s="12" t="str">
        <f t="shared" si="46"/>
        <v>MID</v>
      </c>
      <c r="P1043" s="12" t="str">
        <f t="shared" si="47"/>
        <v>E_WON</v>
      </c>
    </row>
    <row r="1044" spans="1:16" x14ac:dyDescent="0.35">
      <c r="A1044" t="s">
        <v>95</v>
      </c>
      <c r="B1044" t="s">
        <v>76</v>
      </c>
      <c r="C1044" t="s">
        <v>45</v>
      </c>
      <c r="D1044" t="s">
        <v>1159</v>
      </c>
      <c r="E1044" t="s">
        <v>96</v>
      </c>
      <c r="F1044" t="s">
        <v>96</v>
      </c>
      <c r="G1044" t="s">
        <v>96</v>
      </c>
      <c r="H1044">
        <v>2010</v>
      </c>
      <c r="I1044" t="s">
        <v>96</v>
      </c>
      <c r="J1044" t="s">
        <v>97</v>
      </c>
      <c r="K1044" t="s">
        <v>96</v>
      </c>
      <c r="L1044" t="s">
        <v>96</v>
      </c>
      <c r="M1044">
        <v>3750</v>
      </c>
      <c r="O1044" s="12" t="str">
        <f t="shared" si="46"/>
        <v>MID</v>
      </c>
      <c r="P1044" s="12" t="str">
        <f t="shared" si="47"/>
        <v>E_WON</v>
      </c>
    </row>
    <row r="1045" spans="1:16" x14ac:dyDescent="0.35">
      <c r="A1045" t="s">
        <v>95</v>
      </c>
      <c r="B1045" t="s">
        <v>76</v>
      </c>
      <c r="C1045" t="s">
        <v>45</v>
      </c>
      <c r="D1045" t="s">
        <v>1160</v>
      </c>
      <c r="E1045" t="s">
        <v>96</v>
      </c>
      <c r="F1045" t="s">
        <v>96</v>
      </c>
      <c r="G1045" t="s">
        <v>96</v>
      </c>
      <c r="H1045">
        <v>2010</v>
      </c>
      <c r="I1045" t="s">
        <v>96</v>
      </c>
      <c r="J1045" t="s">
        <v>97</v>
      </c>
      <c r="K1045" t="s">
        <v>96</v>
      </c>
      <c r="L1045" t="s">
        <v>96</v>
      </c>
      <c r="M1045">
        <v>3750</v>
      </c>
      <c r="O1045" s="12" t="str">
        <f t="shared" si="46"/>
        <v>MID</v>
      </c>
      <c r="P1045" s="12" t="str">
        <f t="shared" si="47"/>
        <v>E_WON</v>
      </c>
    </row>
    <row r="1046" spans="1:16" x14ac:dyDescent="0.35">
      <c r="A1046" t="s">
        <v>95</v>
      </c>
      <c r="B1046" t="s">
        <v>76</v>
      </c>
      <c r="C1046" t="s">
        <v>45</v>
      </c>
      <c r="D1046" t="s">
        <v>1161</v>
      </c>
      <c r="E1046" t="s">
        <v>96</v>
      </c>
      <c r="F1046" t="s">
        <v>96</v>
      </c>
      <c r="G1046" t="s">
        <v>96</v>
      </c>
      <c r="H1046">
        <v>2010</v>
      </c>
      <c r="I1046" t="s">
        <v>96</v>
      </c>
      <c r="J1046" t="s">
        <v>97</v>
      </c>
      <c r="K1046" t="s">
        <v>96</v>
      </c>
      <c r="L1046" t="s">
        <v>96</v>
      </c>
      <c r="M1046">
        <v>3750</v>
      </c>
      <c r="O1046" s="12" t="str">
        <f t="shared" si="46"/>
        <v>MID</v>
      </c>
      <c r="P1046" s="12" t="str">
        <f t="shared" si="47"/>
        <v>E_WON</v>
      </c>
    </row>
    <row r="1047" spans="1:16" x14ac:dyDescent="0.35">
      <c r="A1047" t="s">
        <v>95</v>
      </c>
      <c r="B1047" t="s">
        <v>76</v>
      </c>
      <c r="C1047" t="s">
        <v>45</v>
      </c>
      <c r="D1047" t="s">
        <v>1162</v>
      </c>
      <c r="E1047" t="s">
        <v>96</v>
      </c>
      <c r="F1047" t="s">
        <v>96</v>
      </c>
      <c r="G1047" t="s">
        <v>96</v>
      </c>
      <c r="H1047">
        <v>2010</v>
      </c>
      <c r="I1047" t="s">
        <v>96</v>
      </c>
      <c r="J1047" t="s">
        <v>97</v>
      </c>
      <c r="K1047" t="s">
        <v>96</v>
      </c>
      <c r="L1047" t="s">
        <v>96</v>
      </c>
      <c r="M1047">
        <v>3750</v>
      </c>
      <c r="O1047" s="12" t="str">
        <f t="shared" si="46"/>
        <v>MID</v>
      </c>
      <c r="P1047" s="12" t="str">
        <f t="shared" si="47"/>
        <v>E_WON</v>
      </c>
    </row>
    <row r="1048" spans="1:16" x14ac:dyDescent="0.35">
      <c r="A1048" t="s">
        <v>95</v>
      </c>
      <c r="B1048" t="s">
        <v>76</v>
      </c>
      <c r="C1048" t="s">
        <v>45</v>
      </c>
      <c r="D1048" t="s">
        <v>1163</v>
      </c>
      <c r="E1048" t="s">
        <v>96</v>
      </c>
      <c r="F1048" t="s">
        <v>96</v>
      </c>
      <c r="G1048" t="s">
        <v>96</v>
      </c>
      <c r="H1048">
        <v>2010</v>
      </c>
      <c r="I1048" t="s">
        <v>96</v>
      </c>
      <c r="J1048" t="s">
        <v>97</v>
      </c>
      <c r="K1048" t="s">
        <v>96</v>
      </c>
      <c r="L1048" t="s">
        <v>96</v>
      </c>
      <c r="M1048">
        <v>3750</v>
      </c>
      <c r="O1048" s="12" t="str">
        <f t="shared" si="46"/>
        <v>MID</v>
      </c>
      <c r="P1048" s="12" t="str">
        <f t="shared" si="47"/>
        <v>E_WON</v>
      </c>
    </row>
    <row r="1049" spans="1:16" x14ac:dyDescent="0.35">
      <c r="A1049" t="s">
        <v>95</v>
      </c>
      <c r="B1049" t="s">
        <v>76</v>
      </c>
      <c r="C1049" t="s">
        <v>45</v>
      </c>
      <c r="D1049" t="s">
        <v>1164</v>
      </c>
      <c r="E1049" t="s">
        <v>96</v>
      </c>
      <c r="F1049" t="s">
        <v>96</v>
      </c>
      <c r="G1049" t="s">
        <v>96</v>
      </c>
      <c r="H1049">
        <v>2010</v>
      </c>
      <c r="I1049" t="s">
        <v>96</v>
      </c>
      <c r="J1049" t="s">
        <v>97</v>
      </c>
      <c r="K1049" t="s">
        <v>96</v>
      </c>
      <c r="L1049" t="s">
        <v>96</v>
      </c>
      <c r="M1049">
        <v>3750</v>
      </c>
      <c r="O1049" s="12" t="str">
        <f t="shared" si="46"/>
        <v>MID</v>
      </c>
      <c r="P1049" s="12" t="str">
        <f t="shared" si="47"/>
        <v>E_WON</v>
      </c>
    </row>
    <row r="1050" spans="1:16" x14ac:dyDescent="0.35">
      <c r="A1050" t="s">
        <v>95</v>
      </c>
      <c r="B1050" t="s">
        <v>76</v>
      </c>
      <c r="C1050" t="s">
        <v>45</v>
      </c>
      <c r="D1050" t="s">
        <v>1165</v>
      </c>
      <c r="E1050" t="s">
        <v>96</v>
      </c>
      <c r="F1050" t="s">
        <v>96</v>
      </c>
      <c r="G1050" t="s">
        <v>96</v>
      </c>
      <c r="H1050">
        <v>2010</v>
      </c>
      <c r="I1050" t="s">
        <v>96</v>
      </c>
      <c r="J1050" t="s">
        <v>97</v>
      </c>
      <c r="K1050" t="s">
        <v>96</v>
      </c>
      <c r="L1050" t="s">
        <v>96</v>
      </c>
      <c r="M1050">
        <v>3750</v>
      </c>
      <c r="O1050" s="12" t="str">
        <f t="shared" si="46"/>
        <v>MID</v>
      </c>
      <c r="P1050" s="12" t="str">
        <f t="shared" si="47"/>
        <v>E_WON</v>
      </c>
    </row>
    <row r="1051" spans="1:16" x14ac:dyDescent="0.35">
      <c r="A1051" t="s">
        <v>95</v>
      </c>
      <c r="B1051" t="s">
        <v>76</v>
      </c>
      <c r="C1051" t="s">
        <v>45</v>
      </c>
      <c r="D1051" t="s">
        <v>1166</v>
      </c>
      <c r="E1051" t="s">
        <v>96</v>
      </c>
      <c r="F1051" t="s">
        <v>96</v>
      </c>
      <c r="G1051" t="s">
        <v>96</v>
      </c>
      <c r="H1051">
        <v>2010</v>
      </c>
      <c r="I1051" t="s">
        <v>96</v>
      </c>
      <c r="J1051" t="s">
        <v>97</v>
      </c>
      <c r="K1051" t="s">
        <v>96</v>
      </c>
      <c r="L1051" t="s">
        <v>96</v>
      </c>
      <c r="M1051">
        <v>3750</v>
      </c>
      <c r="O1051" s="12" t="str">
        <f t="shared" si="46"/>
        <v>MID</v>
      </c>
      <c r="P1051" s="12" t="str">
        <f t="shared" si="47"/>
        <v>E_WON</v>
      </c>
    </row>
    <row r="1052" spans="1:16" x14ac:dyDescent="0.35">
      <c r="A1052" t="s">
        <v>95</v>
      </c>
      <c r="B1052" t="s">
        <v>76</v>
      </c>
      <c r="C1052" t="s">
        <v>45</v>
      </c>
      <c r="D1052" t="s">
        <v>1167</v>
      </c>
      <c r="E1052" t="s">
        <v>96</v>
      </c>
      <c r="F1052" t="s">
        <v>96</v>
      </c>
      <c r="G1052" t="s">
        <v>96</v>
      </c>
      <c r="H1052">
        <v>2010</v>
      </c>
      <c r="I1052" t="s">
        <v>96</v>
      </c>
      <c r="J1052" t="s">
        <v>97</v>
      </c>
      <c r="K1052" t="s">
        <v>96</v>
      </c>
      <c r="L1052" t="s">
        <v>96</v>
      </c>
      <c r="M1052">
        <v>3750</v>
      </c>
      <c r="O1052" s="12" t="str">
        <f t="shared" si="46"/>
        <v>MID</v>
      </c>
      <c r="P1052" s="12" t="str">
        <f t="shared" si="47"/>
        <v>E_WON</v>
      </c>
    </row>
    <row r="1053" spans="1:16" x14ac:dyDescent="0.35">
      <c r="A1053" t="s">
        <v>95</v>
      </c>
      <c r="B1053" t="s">
        <v>76</v>
      </c>
      <c r="C1053" t="s">
        <v>45</v>
      </c>
      <c r="D1053" t="s">
        <v>1168</v>
      </c>
      <c r="E1053" t="s">
        <v>96</v>
      </c>
      <c r="F1053" t="s">
        <v>96</v>
      </c>
      <c r="G1053" t="s">
        <v>96</v>
      </c>
      <c r="H1053">
        <v>2010</v>
      </c>
      <c r="I1053" t="s">
        <v>96</v>
      </c>
      <c r="J1053" t="s">
        <v>97</v>
      </c>
      <c r="K1053" t="s">
        <v>96</v>
      </c>
      <c r="L1053" t="s">
        <v>96</v>
      </c>
      <c r="M1053">
        <v>3750</v>
      </c>
      <c r="O1053" s="12" t="str">
        <f t="shared" si="46"/>
        <v>MID</v>
      </c>
      <c r="P1053" s="12" t="str">
        <f t="shared" si="47"/>
        <v>E_WON</v>
      </c>
    </row>
    <row r="1054" spans="1:16" x14ac:dyDescent="0.35">
      <c r="A1054" t="s">
        <v>95</v>
      </c>
      <c r="B1054" t="s">
        <v>76</v>
      </c>
      <c r="C1054" t="s">
        <v>45</v>
      </c>
      <c r="D1054" t="s">
        <v>1169</v>
      </c>
      <c r="E1054" t="s">
        <v>96</v>
      </c>
      <c r="F1054" t="s">
        <v>96</v>
      </c>
      <c r="G1054" t="s">
        <v>96</v>
      </c>
      <c r="H1054">
        <v>2010</v>
      </c>
      <c r="I1054" t="s">
        <v>96</v>
      </c>
      <c r="J1054" t="s">
        <v>97</v>
      </c>
      <c r="K1054" t="s">
        <v>96</v>
      </c>
      <c r="L1054" t="s">
        <v>96</v>
      </c>
      <c r="M1054">
        <v>3750</v>
      </c>
      <c r="O1054" s="12" t="str">
        <f t="shared" si="46"/>
        <v>MID</v>
      </c>
      <c r="P1054" s="12" t="str">
        <f t="shared" si="47"/>
        <v>E_WON</v>
      </c>
    </row>
    <row r="1055" spans="1:16" x14ac:dyDescent="0.35">
      <c r="A1055" t="s">
        <v>95</v>
      </c>
      <c r="B1055" t="s">
        <v>76</v>
      </c>
      <c r="C1055" t="s">
        <v>45</v>
      </c>
      <c r="D1055" t="s">
        <v>1170</v>
      </c>
      <c r="E1055" t="s">
        <v>96</v>
      </c>
      <c r="F1055" t="s">
        <v>96</v>
      </c>
      <c r="G1055" t="s">
        <v>96</v>
      </c>
      <c r="H1055">
        <v>2010</v>
      </c>
      <c r="I1055" t="s">
        <v>96</v>
      </c>
      <c r="J1055" t="s">
        <v>97</v>
      </c>
      <c r="K1055" t="s">
        <v>96</v>
      </c>
      <c r="L1055" t="s">
        <v>96</v>
      </c>
      <c r="M1055">
        <v>3750</v>
      </c>
      <c r="O1055" s="12" t="str">
        <f t="shared" si="46"/>
        <v>MID</v>
      </c>
      <c r="P1055" s="12" t="str">
        <f t="shared" si="47"/>
        <v>E_WON</v>
      </c>
    </row>
    <row r="1056" spans="1:16" x14ac:dyDescent="0.35">
      <c r="A1056" t="s">
        <v>95</v>
      </c>
      <c r="B1056" t="s">
        <v>76</v>
      </c>
      <c r="C1056" t="s">
        <v>45</v>
      </c>
      <c r="D1056" t="s">
        <v>1171</v>
      </c>
      <c r="E1056" t="s">
        <v>96</v>
      </c>
      <c r="F1056" t="s">
        <v>96</v>
      </c>
      <c r="G1056" t="s">
        <v>96</v>
      </c>
      <c r="H1056">
        <v>2010</v>
      </c>
      <c r="I1056" t="s">
        <v>96</v>
      </c>
      <c r="J1056" t="s">
        <v>97</v>
      </c>
      <c r="K1056" t="s">
        <v>96</v>
      </c>
      <c r="L1056" t="s">
        <v>96</v>
      </c>
      <c r="M1056">
        <v>3750</v>
      </c>
      <c r="O1056" s="12" t="str">
        <f t="shared" si="46"/>
        <v>MID</v>
      </c>
      <c r="P1056" s="12" t="str">
        <f t="shared" si="47"/>
        <v>E_WON</v>
      </c>
    </row>
    <row r="1057" spans="1:16" x14ac:dyDescent="0.35">
      <c r="A1057" t="s">
        <v>95</v>
      </c>
      <c r="B1057" t="s">
        <v>76</v>
      </c>
      <c r="C1057" t="s">
        <v>45</v>
      </c>
      <c r="D1057" t="s">
        <v>1172</v>
      </c>
      <c r="E1057" t="s">
        <v>96</v>
      </c>
      <c r="F1057" t="s">
        <v>96</v>
      </c>
      <c r="G1057" t="s">
        <v>96</v>
      </c>
      <c r="H1057">
        <v>2010</v>
      </c>
      <c r="I1057" t="s">
        <v>96</v>
      </c>
      <c r="J1057" t="s">
        <v>97</v>
      </c>
      <c r="K1057" t="s">
        <v>96</v>
      </c>
      <c r="L1057" t="s">
        <v>96</v>
      </c>
      <c r="M1057">
        <v>3750</v>
      </c>
      <c r="O1057" s="12" t="str">
        <f t="shared" si="46"/>
        <v>MID</v>
      </c>
      <c r="P1057" s="12" t="str">
        <f t="shared" si="47"/>
        <v>E_WON</v>
      </c>
    </row>
    <row r="1058" spans="1:16" x14ac:dyDescent="0.35">
      <c r="A1058" t="s">
        <v>95</v>
      </c>
      <c r="B1058" t="s">
        <v>76</v>
      </c>
      <c r="C1058" t="s">
        <v>45</v>
      </c>
      <c r="D1058" t="s">
        <v>1173</v>
      </c>
      <c r="E1058" t="s">
        <v>96</v>
      </c>
      <c r="F1058" t="s">
        <v>96</v>
      </c>
      <c r="G1058" t="s">
        <v>96</v>
      </c>
      <c r="H1058">
        <v>2010</v>
      </c>
      <c r="I1058" t="s">
        <v>96</v>
      </c>
      <c r="J1058" t="s">
        <v>97</v>
      </c>
      <c r="K1058" t="s">
        <v>96</v>
      </c>
      <c r="L1058" t="s">
        <v>96</v>
      </c>
      <c r="M1058">
        <v>3750</v>
      </c>
      <c r="O1058" s="12" t="str">
        <f t="shared" si="46"/>
        <v>MID</v>
      </c>
      <c r="P1058" s="12" t="str">
        <f t="shared" si="47"/>
        <v>E_WON</v>
      </c>
    </row>
    <row r="1059" spans="1:16" x14ac:dyDescent="0.35">
      <c r="A1059" t="s">
        <v>95</v>
      </c>
      <c r="B1059" t="s">
        <v>76</v>
      </c>
      <c r="C1059" t="s">
        <v>45</v>
      </c>
      <c r="D1059" t="s">
        <v>1174</v>
      </c>
      <c r="E1059" t="s">
        <v>96</v>
      </c>
      <c r="F1059" t="s">
        <v>96</v>
      </c>
      <c r="G1059" t="s">
        <v>96</v>
      </c>
      <c r="H1059">
        <v>2010</v>
      </c>
      <c r="I1059" t="s">
        <v>96</v>
      </c>
      <c r="J1059" t="s">
        <v>97</v>
      </c>
      <c r="K1059" t="s">
        <v>96</v>
      </c>
      <c r="L1059" t="s">
        <v>96</v>
      </c>
      <c r="M1059">
        <v>3750</v>
      </c>
      <c r="O1059" s="12" t="str">
        <f t="shared" si="46"/>
        <v>MID</v>
      </c>
      <c r="P1059" s="12" t="str">
        <f t="shared" si="47"/>
        <v>E_WON</v>
      </c>
    </row>
    <row r="1060" spans="1:16" x14ac:dyDescent="0.35">
      <c r="A1060" t="s">
        <v>95</v>
      </c>
      <c r="B1060" t="s">
        <v>76</v>
      </c>
      <c r="C1060" t="s">
        <v>45</v>
      </c>
      <c r="D1060" t="s">
        <v>1175</v>
      </c>
      <c r="E1060" t="s">
        <v>96</v>
      </c>
      <c r="F1060" t="s">
        <v>96</v>
      </c>
      <c r="G1060" t="s">
        <v>96</v>
      </c>
      <c r="H1060">
        <v>2010</v>
      </c>
      <c r="I1060" t="s">
        <v>96</v>
      </c>
      <c r="J1060" t="s">
        <v>97</v>
      </c>
      <c r="K1060" t="s">
        <v>96</v>
      </c>
      <c r="L1060" t="s">
        <v>96</v>
      </c>
      <c r="M1060">
        <v>3750</v>
      </c>
      <c r="O1060" s="12" t="str">
        <f t="shared" si="46"/>
        <v>MID</v>
      </c>
      <c r="P1060" s="12" t="str">
        <f t="shared" si="47"/>
        <v>E_WON</v>
      </c>
    </row>
    <row r="1061" spans="1:16" x14ac:dyDescent="0.35">
      <c r="A1061" t="s">
        <v>95</v>
      </c>
      <c r="B1061" t="s">
        <v>76</v>
      </c>
      <c r="C1061" t="s">
        <v>45</v>
      </c>
      <c r="D1061" t="s">
        <v>1176</v>
      </c>
      <c r="E1061" t="s">
        <v>96</v>
      </c>
      <c r="F1061" t="s">
        <v>96</v>
      </c>
      <c r="G1061" t="s">
        <v>96</v>
      </c>
      <c r="H1061">
        <v>2010</v>
      </c>
      <c r="I1061" t="s">
        <v>96</v>
      </c>
      <c r="J1061" t="s">
        <v>97</v>
      </c>
      <c r="K1061" t="s">
        <v>96</v>
      </c>
      <c r="L1061" t="s">
        <v>96</v>
      </c>
      <c r="M1061">
        <v>3750</v>
      </c>
      <c r="O1061" s="12" t="str">
        <f t="shared" si="46"/>
        <v>MID</v>
      </c>
      <c r="P1061" s="12" t="str">
        <f t="shared" si="47"/>
        <v>E_WON</v>
      </c>
    </row>
    <row r="1062" spans="1:16" x14ac:dyDescent="0.35">
      <c r="A1062" t="s">
        <v>95</v>
      </c>
      <c r="B1062" t="s">
        <v>76</v>
      </c>
      <c r="C1062" t="s">
        <v>45</v>
      </c>
      <c r="D1062" t="s">
        <v>1177</v>
      </c>
      <c r="E1062" t="s">
        <v>96</v>
      </c>
      <c r="F1062" t="s">
        <v>96</v>
      </c>
      <c r="G1062" t="s">
        <v>96</v>
      </c>
      <c r="H1062">
        <v>2010</v>
      </c>
      <c r="I1062" t="s">
        <v>96</v>
      </c>
      <c r="J1062" t="s">
        <v>97</v>
      </c>
      <c r="K1062" t="s">
        <v>96</v>
      </c>
      <c r="L1062" t="s">
        <v>96</v>
      </c>
      <c r="M1062">
        <v>3750</v>
      </c>
      <c r="O1062" s="12" t="str">
        <f t="shared" si="46"/>
        <v>MID</v>
      </c>
      <c r="P1062" s="12" t="str">
        <f t="shared" si="47"/>
        <v>E_WON</v>
      </c>
    </row>
    <row r="1063" spans="1:16" x14ac:dyDescent="0.35">
      <c r="A1063" t="s">
        <v>95</v>
      </c>
      <c r="B1063" t="s">
        <v>76</v>
      </c>
      <c r="C1063" t="s">
        <v>45</v>
      </c>
      <c r="D1063" t="s">
        <v>1178</v>
      </c>
      <c r="E1063" t="s">
        <v>96</v>
      </c>
      <c r="F1063" t="s">
        <v>96</v>
      </c>
      <c r="G1063" t="s">
        <v>96</v>
      </c>
      <c r="H1063">
        <v>2010</v>
      </c>
      <c r="I1063" t="s">
        <v>96</v>
      </c>
      <c r="J1063" t="s">
        <v>97</v>
      </c>
      <c r="K1063" t="s">
        <v>96</v>
      </c>
      <c r="L1063" t="s">
        <v>96</v>
      </c>
      <c r="M1063">
        <v>3750</v>
      </c>
      <c r="O1063" s="12" t="str">
        <f t="shared" si="46"/>
        <v>MID</v>
      </c>
      <c r="P1063" s="12" t="str">
        <f t="shared" si="47"/>
        <v>E_WON</v>
      </c>
    </row>
    <row r="1064" spans="1:16" x14ac:dyDescent="0.35">
      <c r="A1064" t="s">
        <v>95</v>
      </c>
      <c r="B1064" t="s">
        <v>76</v>
      </c>
      <c r="C1064" t="s">
        <v>45</v>
      </c>
      <c r="D1064" t="s">
        <v>1179</v>
      </c>
      <c r="E1064" t="s">
        <v>96</v>
      </c>
      <c r="F1064" t="s">
        <v>96</v>
      </c>
      <c r="G1064" t="s">
        <v>96</v>
      </c>
      <c r="H1064">
        <v>2010</v>
      </c>
      <c r="I1064" t="s">
        <v>96</v>
      </c>
      <c r="J1064" t="s">
        <v>97</v>
      </c>
      <c r="K1064" t="s">
        <v>96</v>
      </c>
      <c r="L1064" t="s">
        <v>96</v>
      </c>
      <c r="M1064">
        <v>3750</v>
      </c>
      <c r="O1064" s="12" t="str">
        <f t="shared" si="46"/>
        <v>MID</v>
      </c>
      <c r="P1064" s="12" t="str">
        <f t="shared" si="47"/>
        <v>E_WON</v>
      </c>
    </row>
    <row r="1065" spans="1:16" x14ac:dyDescent="0.35">
      <c r="A1065" t="s">
        <v>95</v>
      </c>
      <c r="B1065" t="s">
        <v>76</v>
      </c>
      <c r="C1065" t="s">
        <v>45</v>
      </c>
      <c r="D1065" t="s">
        <v>1180</v>
      </c>
      <c r="E1065" t="s">
        <v>96</v>
      </c>
      <c r="F1065" t="s">
        <v>96</v>
      </c>
      <c r="G1065" t="s">
        <v>96</v>
      </c>
      <c r="H1065">
        <v>2010</v>
      </c>
      <c r="I1065" t="s">
        <v>96</v>
      </c>
      <c r="J1065" t="s">
        <v>97</v>
      </c>
      <c r="K1065" t="s">
        <v>96</v>
      </c>
      <c r="L1065" t="s">
        <v>96</v>
      </c>
      <c r="M1065">
        <v>3750</v>
      </c>
      <c r="O1065" s="12" t="str">
        <f t="shared" si="46"/>
        <v>MID</v>
      </c>
      <c r="P1065" s="12" t="str">
        <f t="shared" si="47"/>
        <v>E_WON</v>
      </c>
    </row>
    <row r="1066" spans="1:16" x14ac:dyDescent="0.35">
      <c r="A1066" t="s">
        <v>95</v>
      </c>
      <c r="B1066" t="s">
        <v>77</v>
      </c>
      <c r="C1066" t="s">
        <v>45</v>
      </c>
      <c r="D1066" t="s">
        <v>1181</v>
      </c>
      <c r="E1066" t="s">
        <v>96</v>
      </c>
      <c r="F1066" t="s">
        <v>96</v>
      </c>
      <c r="G1066" t="s">
        <v>96</v>
      </c>
      <c r="H1066">
        <v>2010</v>
      </c>
      <c r="I1066" t="s">
        <v>96</v>
      </c>
      <c r="J1066" t="s">
        <v>97</v>
      </c>
      <c r="K1066" t="s">
        <v>96</v>
      </c>
      <c r="L1066" t="s">
        <v>96</v>
      </c>
      <c r="M1066">
        <v>3202.5</v>
      </c>
      <c r="O1066" s="12" t="str">
        <f t="shared" si="46"/>
        <v>MXC</v>
      </c>
      <c r="P1066" s="12" t="str">
        <f t="shared" si="47"/>
        <v>E_WON</v>
      </c>
    </row>
    <row r="1067" spans="1:16" x14ac:dyDescent="0.35">
      <c r="A1067" t="s">
        <v>95</v>
      </c>
      <c r="B1067" t="s">
        <v>77</v>
      </c>
      <c r="C1067" t="s">
        <v>45</v>
      </c>
      <c r="D1067" t="s">
        <v>690</v>
      </c>
      <c r="E1067" t="s">
        <v>96</v>
      </c>
      <c r="F1067" t="s">
        <v>96</v>
      </c>
      <c r="G1067" t="s">
        <v>96</v>
      </c>
      <c r="H1067">
        <v>2010</v>
      </c>
      <c r="I1067" t="s">
        <v>96</v>
      </c>
      <c r="J1067" t="s">
        <v>97</v>
      </c>
      <c r="K1067" t="s">
        <v>96</v>
      </c>
      <c r="L1067" t="s">
        <v>96</v>
      </c>
      <c r="M1067">
        <v>3565.625</v>
      </c>
      <c r="O1067" s="12" t="str">
        <f t="shared" si="46"/>
        <v>MXC</v>
      </c>
      <c r="P1067" s="12" t="str">
        <f t="shared" si="47"/>
        <v>E_WON</v>
      </c>
    </row>
    <row r="1068" spans="1:16" x14ac:dyDescent="0.35">
      <c r="A1068" t="s">
        <v>95</v>
      </c>
      <c r="B1068" t="s">
        <v>77</v>
      </c>
      <c r="C1068" t="s">
        <v>45</v>
      </c>
      <c r="D1068" t="s">
        <v>1182</v>
      </c>
      <c r="E1068" t="s">
        <v>96</v>
      </c>
      <c r="F1068" t="s">
        <v>96</v>
      </c>
      <c r="G1068" t="s">
        <v>96</v>
      </c>
      <c r="H1068">
        <v>2010</v>
      </c>
      <c r="I1068" t="s">
        <v>96</v>
      </c>
      <c r="J1068" t="s">
        <v>97</v>
      </c>
      <c r="K1068" t="s">
        <v>96</v>
      </c>
      <c r="L1068" t="s">
        <v>96</v>
      </c>
      <c r="M1068">
        <v>2975</v>
      </c>
      <c r="O1068" s="12" t="str">
        <f t="shared" si="46"/>
        <v>MXC</v>
      </c>
      <c r="P1068" s="12" t="str">
        <f t="shared" si="47"/>
        <v>E_WON</v>
      </c>
    </row>
    <row r="1069" spans="1:16" x14ac:dyDescent="0.35">
      <c r="A1069" t="s">
        <v>95</v>
      </c>
      <c r="B1069" t="s">
        <v>77</v>
      </c>
      <c r="C1069" t="s">
        <v>45</v>
      </c>
      <c r="D1069" t="s">
        <v>703</v>
      </c>
      <c r="E1069" t="s">
        <v>96</v>
      </c>
      <c r="F1069" t="s">
        <v>96</v>
      </c>
      <c r="G1069" t="s">
        <v>96</v>
      </c>
      <c r="H1069">
        <v>2010</v>
      </c>
      <c r="I1069" t="s">
        <v>96</v>
      </c>
      <c r="J1069" t="s">
        <v>97</v>
      </c>
      <c r="K1069" t="s">
        <v>96</v>
      </c>
      <c r="L1069" t="s">
        <v>96</v>
      </c>
      <c r="M1069">
        <v>3565.625</v>
      </c>
      <c r="O1069" s="12" t="str">
        <f t="shared" si="46"/>
        <v>MXC</v>
      </c>
      <c r="P1069" s="12" t="str">
        <f t="shared" si="47"/>
        <v>E_WON</v>
      </c>
    </row>
    <row r="1070" spans="1:16" x14ac:dyDescent="0.35">
      <c r="A1070" t="s">
        <v>95</v>
      </c>
      <c r="B1070" t="s">
        <v>77</v>
      </c>
      <c r="C1070" t="s">
        <v>45</v>
      </c>
      <c r="D1070" t="s">
        <v>1183</v>
      </c>
      <c r="E1070" t="s">
        <v>96</v>
      </c>
      <c r="F1070" t="s">
        <v>96</v>
      </c>
      <c r="G1070" t="s">
        <v>96</v>
      </c>
      <c r="H1070">
        <v>2010</v>
      </c>
      <c r="I1070" t="s">
        <v>96</v>
      </c>
      <c r="J1070" t="s">
        <v>97</v>
      </c>
      <c r="K1070" t="s">
        <v>96</v>
      </c>
      <c r="L1070" t="s">
        <v>96</v>
      </c>
      <c r="M1070">
        <v>2975</v>
      </c>
      <c r="O1070" s="12" t="str">
        <f t="shared" si="46"/>
        <v>MXC</v>
      </c>
      <c r="P1070" s="12" t="str">
        <f t="shared" si="47"/>
        <v>E_WON</v>
      </c>
    </row>
    <row r="1071" spans="1:16" x14ac:dyDescent="0.35">
      <c r="A1071" t="s">
        <v>95</v>
      </c>
      <c r="B1071" t="s">
        <v>77</v>
      </c>
      <c r="C1071" t="s">
        <v>45</v>
      </c>
      <c r="D1071" t="s">
        <v>1184</v>
      </c>
      <c r="E1071" t="s">
        <v>96</v>
      </c>
      <c r="F1071" t="s">
        <v>96</v>
      </c>
      <c r="G1071" t="s">
        <v>96</v>
      </c>
      <c r="H1071">
        <v>2010</v>
      </c>
      <c r="I1071" t="s">
        <v>96</v>
      </c>
      <c r="J1071" t="s">
        <v>97</v>
      </c>
      <c r="K1071" t="s">
        <v>96</v>
      </c>
      <c r="L1071" t="s">
        <v>96</v>
      </c>
      <c r="M1071">
        <v>3202.5</v>
      </c>
      <c r="O1071" s="12" t="str">
        <f t="shared" si="46"/>
        <v>MXC</v>
      </c>
      <c r="P1071" s="12" t="str">
        <f t="shared" si="47"/>
        <v>E_WON</v>
      </c>
    </row>
    <row r="1072" spans="1:16" x14ac:dyDescent="0.35">
      <c r="A1072" t="s">
        <v>95</v>
      </c>
      <c r="B1072" t="s">
        <v>77</v>
      </c>
      <c r="C1072" t="s">
        <v>45</v>
      </c>
      <c r="D1072" t="s">
        <v>713</v>
      </c>
      <c r="E1072" t="s">
        <v>96</v>
      </c>
      <c r="F1072" t="s">
        <v>96</v>
      </c>
      <c r="G1072" t="s">
        <v>96</v>
      </c>
      <c r="H1072">
        <v>2010</v>
      </c>
      <c r="I1072" t="s">
        <v>96</v>
      </c>
      <c r="J1072" t="s">
        <v>97</v>
      </c>
      <c r="K1072" t="s">
        <v>96</v>
      </c>
      <c r="L1072" t="s">
        <v>96</v>
      </c>
      <c r="M1072">
        <v>3565.625</v>
      </c>
      <c r="O1072" s="12" t="str">
        <f t="shared" si="46"/>
        <v>MXC</v>
      </c>
      <c r="P1072" s="12" t="str">
        <f t="shared" si="47"/>
        <v>E_WON</v>
      </c>
    </row>
    <row r="1073" spans="1:16" x14ac:dyDescent="0.35">
      <c r="A1073" t="s">
        <v>95</v>
      </c>
      <c r="B1073" t="s">
        <v>77</v>
      </c>
      <c r="C1073" t="s">
        <v>45</v>
      </c>
      <c r="D1073" t="s">
        <v>1185</v>
      </c>
      <c r="E1073" t="s">
        <v>96</v>
      </c>
      <c r="F1073" t="s">
        <v>96</v>
      </c>
      <c r="G1073" t="s">
        <v>96</v>
      </c>
      <c r="H1073">
        <v>2010</v>
      </c>
      <c r="I1073" t="s">
        <v>96</v>
      </c>
      <c r="J1073" t="s">
        <v>97</v>
      </c>
      <c r="K1073" t="s">
        <v>96</v>
      </c>
      <c r="L1073" t="s">
        <v>96</v>
      </c>
      <c r="M1073">
        <v>2975</v>
      </c>
      <c r="O1073" s="12" t="str">
        <f t="shared" si="46"/>
        <v>MXC</v>
      </c>
      <c r="P1073" s="12" t="str">
        <f t="shared" si="47"/>
        <v>E_WON</v>
      </c>
    </row>
    <row r="1074" spans="1:16" x14ac:dyDescent="0.35">
      <c r="A1074" t="s">
        <v>95</v>
      </c>
      <c r="B1074" t="s">
        <v>77</v>
      </c>
      <c r="C1074" t="s">
        <v>45</v>
      </c>
      <c r="D1074" t="s">
        <v>1186</v>
      </c>
      <c r="E1074" t="s">
        <v>96</v>
      </c>
      <c r="F1074" t="s">
        <v>96</v>
      </c>
      <c r="G1074" t="s">
        <v>96</v>
      </c>
      <c r="H1074">
        <v>2010</v>
      </c>
      <c r="I1074" t="s">
        <v>96</v>
      </c>
      <c r="J1074" t="s">
        <v>97</v>
      </c>
      <c r="K1074" t="s">
        <v>96</v>
      </c>
      <c r="L1074" t="s">
        <v>96</v>
      </c>
      <c r="M1074">
        <v>3202.5</v>
      </c>
      <c r="O1074" s="12" t="str">
        <f t="shared" si="46"/>
        <v>MXC</v>
      </c>
      <c r="P1074" s="12" t="str">
        <f t="shared" si="47"/>
        <v>E_WON</v>
      </c>
    </row>
    <row r="1075" spans="1:16" x14ac:dyDescent="0.35">
      <c r="A1075" t="s">
        <v>95</v>
      </c>
      <c r="B1075" t="s">
        <v>77</v>
      </c>
      <c r="C1075" t="s">
        <v>45</v>
      </c>
      <c r="D1075" t="s">
        <v>723</v>
      </c>
      <c r="E1075" t="s">
        <v>96</v>
      </c>
      <c r="F1075" t="s">
        <v>96</v>
      </c>
      <c r="G1075" t="s">
        <v>96</v>
      </c>
      <c r="H1075">
        <v>2010</v>
      </c>
      <c r="I1075" t="s">
        <v>96</v>
      </c>
      <c r="J1075" t="s">
        <v>97</v>
      </c>
      <c r="K1075" t="s">
        <v>96</v>
      </c>
      <c r="L1075" t="s">
        <v>96</v>
      </c>
      <c r="M1075">
        <v>3565.625</v>
      </c>
      <c r="O1075" s="12" t="str">
        <f t="shared" si="46"/>
        <v>MXC</v>
      </c>
      <c r="P1075" s="12" t="str">
        <f t="shared" si="47"/>
        <v>E_WON</v>
      </c>
    </row>
    <row r="1076" spans="1:16" x14ac:dyDescent="0.35">
      <c r="A1076" t="s">
        <v>95</v>
      </c>
      <c r="B1076" t="s">
        <v>77</v>
      </c>
      <c r="C1076" t="s">
        <v>45</v>
      </c>
      <c r="D1076" t="s">
        <v>1187</v>
      </c>
      <c r="E1076" t="s">
        <v>96</v>
      </c>
      <c r="F1076" t="s">
        <v>96</v>
      </c>
      <c r="G1076" t="s">
        <v>96</v>
      </c>
      <c r="H1076">
        <v>2010</v>
      </c>
      <c r="I1076" t="s">
        <v>96</v>
      </c>
      <c r="J1076" t="s">
        <v>97</v>
      </c>
      <c r="K1076" t="s">
        <v>96</v>
      </c>
      <c r="L1076" t="s">
        <v>96</v>
      </c>
      <c r="M1076">
        <v>2975</v>
      </c>
      <c r="O1076" s="12" t="str">
        <f t="shared" si="46"/>
        <v>MXC</v>
      </c>
      <c r="P1076" s="12" t="str">
        <f t="shared" si="47"/>
        <v>E_WON</v>
      </c>
    </row>
    <row r="1077" spans="1:16" x14ac:dyDescent="0.35">
      <c r="A1077" t="s">
        <v>95</v>
      </c>
      <c r="B1077" t="s">
        <v>77</v>
      </c>
      <c r="C1077" t="s">
        <v>45</v>
      </c>
      <c r="D1077" t="s">
        <v>1188</v>
      </c>
      <c r="E1077" t="s">
        <v>96</v>
      </c>
      <c r="F1077" t="s">
        <v>96</v>
      </c>
      <c r="G1077" t="s">
        <v>96</v>
      </c>
      <c r="H1077">
        <v>2010</v>
      </c>
      <c r="I1077" t="s">
        <v>96</v>
      </c>
      <c r="J1077" t="s">
        <v>97</v>
      </c>
      <c r="K1077" t="s">
        <v>96</v>
      </c>
      <c r="L1077" t="s">
        <v>96</v>
      </c>
      <c r="M1077">
        <v>3202.5</v>
      </c>
      <c r="O1077" s="12" t="str">
        <f t="shared" si="46"/>
        <v>MXC</v>
      </c>
      <c r="P1077" s="12" t="str">
        <f t="shared" si="47"/>
        <v>E_WON</v>
      </c>
    </row>
    <row r="1078" spans="1:16" x14ac:dyDescent="0.35">
      <c r="A1078" t="s">
        <v>95</v>
      </c>
      <c r="B1078" t="s">
        <v>77</v>
      </c>
      <c r="C1078" t="s">
        <v>45</v>
      </c>
      <c r="D1078" t="s">
        <v>1189</v>
      </c>
      <c r="E1078" t="s">
        <v>96</v>
      </c>
      <c r="F1078" t="s">
        <v>96</v>
      </c>
      <c r="G1078" t="s">
        <v>96</v>
      </c>
      <c r="H1078">
        <v>2010</v>
      </c>
      <c r="I1078" t="s">
        <v>96</v>
      </c>
      <c r="J1078" t="s">
        <v>97</v>
      </c>
      <c r="K1078" t="s">
        <v>96</v>
      </c>
      <c r="L1078" t="s">
        <v>96</v>
      </c>
      <c r="M1078">
        <v>3202.5</v>
      </c>
      <c r="O1078" s="12" t="str">
        <f t="shared" si="46"/>
        <v>MXC</v>
      </c>
      <c r="P1078" s="12" t="str">
        <f t="shared" si="47"/>
        <v>E_WON</v>
      </c>
    </row>
    <row r="1079" spans="1:16" x14ac:dyDescent="0.35">
      <c r="A1079" t="s">
        <v>95</v>
      </c>
      <c r="B1079" t="s">
        <v>77</v>
      </c>
      <c r="C1079" t="s">
        <v>45</v>
      </c>
      <c r="D1079" t="s">
        <v>1190</v>
      </c>
      <c r="E1079" t="s">
        <v>96</v>
      </c>
      <c r="F1079" t="s">
        <v>96</v>
      </c>
      <c r="G1079" t="s">
        <v>96</v>
      </c>
      <c r="H1079">
        <v>2010</v>
      </c>
      <c r="I1079" t="s">
        <v>96</v>
      </c>
      <c r="J1079" t="s">
        <v>97</v>
      </c>
      <c r="K1079" t="s">
        <v>96</v>
      </c>
      <c r="L1079" t="s">
        <v>96</v>
      </c>
      <c r="M1079">
        <v>3202.5</v>
      </c>
      <c r="O1079" s="12" t="str">
        <f t="shared" si="46"/>
        <v>MXC</v>
      </c>
      <c r="P1079" s="12" t="str">
        <f t="shared" si="47"/>
        <v>E_WON</v>
      </c>
    </row>
    <row r="1080" spans="1:16" x14ac:dyDescent="0.35">
      <c r="A1080" t="s">
        <v>95</v>
      </c>
      <c r="B1080" t="s">
        <v>77</v>
      </c>
      <c r="C1080" t="s">
        <v>45</v>
      </c>
      <c r="D1080" t="s">
        <v>1191</v>
      </c>
      <c r="E1080" t="s">
        <v>96</v>
      </c>
      <c r="F1080" t="s">
        <v>96</v>
      </c>
      <c r="G1080" t="s">
        <v>96</v>
      </c>
      <c r="H1080">
        <v>2010</v>
      </c>
      <c r="I1080" t="s">
        <v>96</v>
      </c>
      <c r="J1080" t="s">
        <v>97</v>
      </c>
      <c r="K1080" t="s">
        <v>96</v>
      </c>
      <c r="L1080" t="s">
        <v>96</v>
      </c>
      <c r="M1080">
        <v>3202.5</v>
      </c>
      <c r="O1080" s="12" t="str">
        <f t="shared" si="46"/>
        <v>MXC</v>
      </c>
      <c r="P1080" s="12" t="str">
        <f t="shared" si="47"/>
        <v>E_WON</v>
      </c>
    </row>
    <row r="1081" spans="1:16" x14ac:dyDescent="0.35">
      <c r="A1081" t="s">
        <v>95</v>
      </c>
      <c r="B1081" t="s">
        <v>77</v>
      </c>
      <c r="C1081" t="s">
        <v>45</v>
      </c>
      <c r="D1081" t="s">
        <v>1192</v>
      </c>
      <c r="E1081" t="s">
        <v>96</v>
      </c>
      <c r="F1081" t="s">
        <v>96</v>
      </c>
      <c r="G1081" t="s">
        <v>96</v>
      </c>
      <c r="H1081">
        <v>2010</v>
      </c>
      <c r="I1081" t="s">
        <v>96</v>
      </c>
      <c r="J1081" t="s">
        <v>97</v>
      </c>
      <c r="K1081" t="s">
        <v>96</v>
      </c>
      <c r="L1081" t="s">
        <v>96</v>
      </c>
      <c r="M1081">
        <v>3202.5</v>
      </c>
      <c r="O1081" s="12" t="str">
        <f t="shared" si="46"/>
        <v>MXC</v>
      </c>
      <c r="P1081" s="12" t="str">
        <f t="shared" si="47"/>
        <v>E_WON</v>
      </c>
    </row>
    <row r="1082" spans="1:16" x14ac:dyDescent="0.35">
      <c r="A1082" t="s">
        <v>95</v>
      </c>
      <c r="B1082" t="s">
        <v>77</v>
      </c>
      <c r="C1082" t="s">
        <v>45</v>
      </c>
      <c r="D1082" t="s">
        <v>1193</v>
      </c>
      <c r="E1082" t="s">
        <v>96</v>
      </c>
      <c r="F1082" t="s">
        <v>96</v>
      </c>
      <c r="G1082" t="s">
        <v>96</v>
      </c>
      <c r="H1082">
        <v>2010</v>
      </c>
      <c r="I1082" t="s">
        <v>96</v>
      </c>
      <c r="J1082" t="s">
        <v>97</v>
      </c>
      <c r="K1082" t="s">
        <v>96</v>
      </c>
      <c r="L1082" t="s">
        <v>96</v>
      </c>
      <c r="M1082">
        <v>1830</v>
      </c>
      <c r="O1082" s="12" t="str">
        <f t="shared" si="46"/>
        <v>MXC</v>
      </c>
      <c r="P1082" s="12" t="str">
        <f t="shared" si="47"/>
        <v>E_WON</v>
      </c>
    </row>
    <row r="1083" spans="1:16" x14ac:dyDescent="0.35">
      <c r="A1083" t="s">
        <v>95</v>
      </c>
      <c r="B1083" t="s">
        <v>77</v>
      </c>
      <c r="C1083" t="s">
        <v>45</v>
      </c>
      <c r="D1083" t="s">
        <v>738</v>
      </c>
      <c r="E1083" t="s">
        <v>96</v>
      </c>
      <c r="F1083" t="s">
        <v>96</v>
      </c>
      <c r="G1083" t="s">
        <v>96</v>
      </c>
      <c r="H1083">
        <v>2010</v>
      </c>
      <c r="I1083" t="s">
        <v>96</v>
      </c>
      <c r="J1083" t="s">
        <v>97</v>
      </c>
      <c r="K1083" t="s">
        <v>96</v>
      </c>
      <c r="L1083" t="s">
        <v>96</v>
      </c>
      <c r="M1083">
        <v>2037.5</v>
      </c>
      <c r="O1083" s="12" t="str">
        <f t="shared" si="46"/>
        <v>MXC</v>
      </c>
      <c r="P1083" s="12" t="str">
        <f t="shared" si="47"/>
        <v>E_WON</v>
      </c>
    </row>
    <row r="1084" spans="1:16" x14ac:dyDescent="0.35">
      <c r="A1084" t="s">
        <v>95</v>
      </c>
      <c r="B1084" t="s">
        <v>77</v>
      </c>
      <c r="C1084" t="s">
        <v>45</v>
      </c>
      <c r="D1084" t="s">
        <v>1194</v>
      </c>
      <c r="E1084" t="s">
        <v>96</v>
      </c>
      <c r="F1084" t="s">
        <v>96</v>
      </c>
      <c r="G1084" t="s">
        <v>96</v>
      </c>
      <c r="H1084">
        <v>2010</v>
      </c>
      <c r="I1084" t="s">
        <v>96</v>
      </c>
      <c r="J1084" t="s">
        <v>97</v>
      </c>
      <c r="K1084" t="s">
        <v>96</v>
      </c>
      <c r="L1084" t="s">
        <v>96</v>
      </c>
      <c r="M1084">
        <v>1700</v>
      </c>
      <c r="O1084" s="12" t="str">
        <f t="shared" si="46"/>
        <v>MXC</v>
      </c>
      <c r="P1084" s="12" t="str">
        <f t="shared" si="47"/>
        <v>E_WON</v>
      </c>
    </row>
    <row r="1085" spans="1:16" x14ac:dyDescent="0.35">
      <c r="A1085" t="s">
        <v>95</v>
      </c>
      <c r="B1085" t="s">
        <v>77</v>
      </c>
      <c r="C1085" t="s">
        <v>45</v>
      </c>
      <c r="D1085" t="s">
        <v>1195</v>
      </c>
      <c r="E1085" t="s">
        <v>96</v>
      </c>
      <c r="F1085" t="s">
        <v>96</v>
      </c>
      <c r="G1085" t="s">
        <v>96</v>
      </c>
      <c r="H1085">
        <v>2010</v>
      </c>
      <c r="I1085" t="s">
        <v>96</v>
      </c>
      <c r="J1085" t="s">
        <v>97</v>
      </c>
      <c r="K1085" t="s">
        <v>96</v>
      </c>
      <c r="L1085" t="s">
        <v>96</v>
      </c>
      <c r="M1085">
        <v>1830</v>
      </c>
      <c r="O1085" s="12" t="str">
        <f t="shared" si="46"/>
        <v>MXC</v>
      </c>
      <c r="P1085" s="12" t="str">
        <f t="shared" si="47"/>
        <v>E_WON</v>
      </c>
    </row>
    <row r="1086" spans="1:16" x14ac:dyDescent="0.35">
      <c r="A1086" t="s">
        <v>95</v>
      </c>
      <c r="B1086" t="s">
        <v>77</v>
      </c>
      <c r="C1086" t="s">
        <v>45</v>
      </c>
      <c r="D1086" t="s">
        <v>756</v>
      </c>
      <c r="E1086" t="s">
        <v>96</v>
      </c>
      <c r="F1086" t="s">
        <v>96</v>
      </c>
      <c r="G1086" t="s">
        <v>96</v>
      </c>
      <c r="H1086">
        <v>2010</v>
      </c>
      <c r="I1086" t="s">
        <v>96</v>
      </c>
      <c r="J1086" t="s">
        <v>97</v>
      </c>
      <c r="K1086" t="s">
        <v>96</v>
      </c>
      <c r="L1086" t="s">
        <v>96</v>
      </c>
      <c r="M1086">
        <v>2037.5</v>
      </c>
      <c r="O1086" s="12" t="str">
        <f t="shared" si="46"/>
        <v>MXC</v>
      </c>
      <c r="P1086" s="12" t="str">
        <f t="shared" si="47"/>
        <v>E_WON</v>
      </c>
    </row>
    <row r="1087" spans="1:16" x14ac:dyDescent="0.35">
      <c r="A1087" t="s">
        <v>95</v>
      </c>
      <c r="B1087" t="s">
        <v>77</v>
      </c>
      <c r="C1087" t="s">
        <v>45</v>
      </c>
      <c r="D1087" t="s">
        <v>1196</v>
      </c>
      <c r="E1087" t="s">
        <v>96</v>
      </c>
      <c r="F1087" t="s">
        <v>96</v>
      </c>
      <c r="G1087" t="s">
        <v>96</v>
      </c>
      <c r="H1087">
        <v>2010</v>
      </c>
      <c r="I1087" t="s">
        <v>96</v>
      </c>
      <c r="J1087" t="s">
        <v>97</v>
      </c>
      <c r="K1087" t="s">
        <v>96</v>
      </c>
      <c r="L1087" t="s">
        <v>96</v>
      </c>
      <c r="M1087">
        <v>1700</v>
      </c>
      <c r="O1087" s="12" t="str">
        <f t="shared" si="46"/>
        <v>MXC</v>
      </c>
      <c r="P1087" s="12" t="str">
        <f t="shared" si="47"/>
        <v>E_WON</v>
      </c>
    </row>
    <row r="1088" spans="1:16" x14ac:dyDescent="0.35">
      <c r="A1088" t="s">
        <v>95</v>
      </c>
      <c r="B1088" t="s">
        <v>77</v>
      </c>
      <c r="C1088" t="s">
        <v>45</v>
      </c>
      <c r="D1088" t="s">
        <v>769</v>
      </c>
      <c r="E1088" t="s">
        <v>96</v>
      </c>
      <c r="F1088" t="s">
        <v>96</v>
      </c>
      <c r="G1088" t="s">
        <v>96</v>
      </c>
      <c r="H1088">
        <v>2010</v>
      </c>
      <c r="I1088" t="s">
        <v>96</v>
      </c>
      <c r="J1088" t="s">
        <v>97</v>
      </c>
      <c r="K1088" t="s">
        <v>96</v>
      </c>
      <c r="L1088" t="s">
        <v>96</v>
      </c>
      <c r="M1088">
        <v>2037.5</v>
      </c>
      <c r="O1088" s="12" t="str">
        <f t="shared" si="46"/>
        <v>MXC</v>
      </c>
      <c r="P1088" s="12" t="str">
        <f t="shared" si="47"/>
        <v>E_WON</v>
      </c>
    </row>
    <row r="1089" spans="1:16" x14ac:dyDescent="0.35">
      <c r="A1089" t="s">
        <v>95</v>
      </c>
      <c r="B1089" t="s">
        <v>77</v>
      </c>
      <c r="C1089" t="s">
        <v>45</v>
      </c>
      <c r="D1089" t="s">
        <v>1197</v>
      </c>
      <c r="E1089" t="s">
        <v>96</v>
      </c>
      <c r="F1089" t="s">
        <v>96</v>
      </c>
      <c r="G1089" t="s">
        <v>96</v>
      </c>
      <c r="H1089">
        <v>2010</v>
      </c>
      <c r="I1089" t="s">
        <v>96</v>
      </c>
      <c r="J1089" t="s">
        <v>97</v>
      </c>
      <c r="K1089" t="s">
        <v>96</v>
      </c>
      <c r="L1089" t="s">
        <v>96</v>
      </c>
      <c r="M1089">
        <v>1830</v>
      </c>
      <c r="O1089" s="12" t="str">
        <f t="shared" si="46"/>
        <v>MXC</v>
      </c>
      <c r="P1089" s="12" t="str">
        <f t="shared" si="47"/>
        <v>E_WON</v>
      </c>
    </row>
    <row r="1090" spans="1:16" x14ac:dyDescent="0.35">
      <c r="A1090" t="s">
        <v>95</v>
      </c>
      <c r="B1090" t="s">
        <v>77</v>
      </c>
      <c r="C1090" t="s">
        <v>45</v>
      </c>
      <c r="D1090" t="s">
        <v>776</v>
      </c>
      <c r="E1090" t="s">
        <v>96</v>
      </c>
      <c r="F1090" t="s">
        <v>96</v>
      </c>
      <c r="G1090" t="s">
        <v>96</v>
      </c>
      <c r="H1090">
        <v>2010</v>
      </c>
      <c r="I1090" t="s">
        <v>96</v>
      </c>
      <c r="J1090" t="s">
        <v>97</v>
      </c>
      <c r="K1090" t="s">
        <v>96</v>
      </c>
      <c r="L1090" t="s">
        <v>96</v>
      </c>
      <c r="M1090">
        <v>2037.5</v>
      </c>
      <c r="O1090" s="12" t="str">
        <f t="shared" si="46"/>
        <v>MXC</v>
      </c>
      <c r="P1090" s="12" t="str">
        <f t="shared" si="47"/>
        <v>E_WON</v>
      </c>
    </row>
    <row r="1091" spans="1:16" x14ac:dyDescent="0.35">
      <c r="A1091" t="s">
        <v>95</v>
      </c>
      <c r="B1091" t="s">
        <v>77</v>
      </c>
      <c r="C1091" t="s">
        <v>45</v>
      </c>
      <c r="D1091" t="s">
        <v>1198</v>
      </c>
      <c r="E1091" t="s">
        <v>96</v>
      </c>
      <c r="F1091" t="s">
        <v>96</v>
      </c>
      <c r="G1091" t="s">
        <v>96</v>
      </c>
      <c r="H1091">
        <v>2010</v>
      </c>
      <c r="I1091" t="s">
        <v>96</v>
      </c>
      <c r="J1091" t="s">
        <v>97</v>
      </c>
      <c r="K1091" t="s">
        <v>96</v>
      </c>
      <c r="L1091" t="s">
        <v>96</v>
      </c>
      <c r="M1091">
        <v>1700</v>
      </c>
      <c r="O1091" s="12" t="str">
        <f t="shared" ref="O1091:O1154" si="48">LEFT(B1091,3)</f>
        <v>MXC</v>
      </c>
      <c r="P1091" s="12" t="str">
        <f t="shared" ref="P1091:P1154" si="49">LEFT(D1091,5)</f>
        <v>E_WON</v>
      </c>
    </row>
    <row r="1092" spans="1:16" x14ac:dyDescent="0.35">
      <c r="A1092" t="s">
        <v>95</v>
      </c>
      <c r="B1092" t="s">
        <v>77</v>
      </c>
      <c r="C1092" t="s">
        <v>45</v>
      </c>
      <c r="D1092" t="s">
        <v>788</v>
      </c>
      <c r="E1092" t="s">
        <v>96</v>
      </c>
      <c r="F1092" t="s">
        <v>96</v>
      </c>
      <c r="G1092" t="s">
        <v>96</v>
      </c>
      <c r="H1092">
        <v>2010</v>
      </c>
      <c r="I1092" t="s">
        <v>96</v>
      </c>
      <c r="J1092" t="s">
        <v>97</v>
      </c>
      <c r="K1092" t="s">
        <v>96</v>
      </c>
      <c r="L1092" t="s">
        <v>96</v>
      </c>
      <c r="M1092">
        <v>2037.5</v>
      </c>
      <c r="O1092" s="12" t="str">
        <f t="shared" si="48"/>
        <v>MXC</v>
      </c>
      <c r="P1092" s="12" t="str">
        <f t="shared" si="49"/>
        <v>E_WON</v>
      </c>
    </row>
    <row r="1093" spans="1:16" x14ac:dyDescent="0.35">
      <c r="A1093" t="s">
        <v>95</v>
      </c>
      <c r="B1093" t="s">
        <v>77</v>
      </c>
      <c r="C1093" t="s">
        <v>45</v>
      </c>
      <c r="D1093" t="s">
        <v>1199</v>
      </c>
      <c r="E1093" t="s">
        <v>96</v>
      </c>
      <c r="F1093" t="s">
        <v>96</v>
      </c>
      <c r="G1093" t="s">
        <v>96</v>
      </c>
      <c r="H1093">
        <v>2010</v>
      </c>
      <c r="I1093" t="s">
        <v>96</v>
      </c>
      <c r="J1093" t="s">
        <v>97</v>
      </c>
      <c r="K1093" t="s">
        <v>96</v>
      </c>
      <c r="L1093" t="s">
        <v>96</v>
      </c>
      <c r="M1093">
        <v>1830</v>
      </c>
      <c r="O1093" s="12" t="str">
        <f t="shared" si="48"/>
        <v>MXC</v>
      </c>
      <c r="P1093" s="12" t="str">
        <f t="shared" si="49"/>
        <v>E_WON</v>
      </c>
    </row>
    <row r="1094" spans="1:16" x14ac:dyDescent="0.35">
      <c r="A1094" t="s">
        <v>95</v>
      </c>
      <c r="B1094" t="s">
        <v>77</v>
      </c>
      <c r="C1094" t="s">
        <v>45</v>
      </c>
      <c r="D1094" t="s">
        <v>796</v>
      </c>
      <c r="E1094" t="s">
        <v>96</v>
      </c>
      <c r="F1094" t="s">
        <v>96</v>
      </c>
      <c r="G1094" t="s">
        <v>96</v>
      </c>
      <c r="H1094">
        <v>2010</v>
      </c>
      <c r="I1094" t="s">
        <v>96</v>
      </c>
      <c r="J1094" t="s">
        <v>97</v>
      </c>
      <c r="K1094" t="s">
        <v>96</v>
      </c>
      <c r="L1094" t="s">
        <v>96</v>
      </c>
      <c r="M1094">
        <v>2037.5</v>
      </c>
      <c r="O1094" s="12" t="str">
        <f t="shared" si="48"/>
        <v>MXC</v>
      </c>
      <c r="P1094" s="12" t="str">
        <f t="shared" si="49"/>
        <v>E_WON</v>
      </c>
    </row>
    <row r="1095" spans="1:16" x14ac:dyDescent="0.35">
      <c r="A1095" t="s">
        <v>95</v>
      </c>
      <c r="B1095" t="s">
        <v>77</v>
      </c>
      <c r="C1095" t="s">
        <v>45</v>
      </c>
      <c r="D1095" t="s">
        <v>1200</v>
      </c>
      <c r="E1095" t="s">
        <v>96</v>
      </c>
      <c r="F1095" t="s">
        <v>96</v>
      </c>
      <c r="G1095" t="s">
        <v>96</v>
      </c>
      <c r="H1095">
        <v>2010</v>
      </c>
      <c r="I1095" t="s">
        <v>96</v>
      </c>
      <c r="J1095" t="s">
        <v>97</v>
      </c>
      <c r="K1095" t="s">
        <v>96</v>
      </c>
      <c r="L1095" t="s">
        <v>96</v>
      </c>
      <c r="M1095">
        <v>1700</v>
      </c>
      <c r="O1095" s="12" t="str">
        <f t="shared" si="48"/>
        <v>MXC</v>
      </c>
      <c r="P1095" s="12" t="str">
        <f t="shared" si="49"/>
        <v>E_WON</v>
      </c>
    </row>
    <row r="1096" spans="1:16" x14ac:dyDescent="0.35">
      <c r="A1096" t="s">
        <v>95</v>
      </c>
      <c r="B1096" t="s">
        <v>77</v>
      </c>
      <c r="C1096" t="s">
        <v>45</v>
      </c>
      <c r="D1096" t="s">
        <v>1201</v>
      </c>
      <c r="E1096" t="s">
        <v>96</v>
      </c>
      <c r="F1096" t="s">
        <v>96</v>
      </c>
      <c r="G1096" t="s">
        <v>96</v>
      </c>
      <c r="H1096">
        <v>2010</v>
      </c>
      <c r="I1096" t="s">
        <v>96</v>
      </c>
      <c r="J1096" t="s">
        <v>97</v>
      </c>
      <c r="K1096" t="s">
        <v>96</v>
      </c>
      <c r="L1096" t="s">
        <v>96</v>
      </c>
      <c r="M1096">
        <v>1830</v>
      </c>
      <c r="O1096" s="12" t="str">
        <f t="shared" si="48"/>
        <v>MXC</v>
      </c>
      <c r="P1096" s="12" t="str">
        <f t="shared" si="49"/>
        <v>E_WON</v>
      </c>
    </row>
    <row r="1097" spans="1:16" x14ac:dyDescent="0.35">
      <c r="A1097" t="s">
        <v>95</v>
      </c>
      <c r="B1097" t="s">
        <v>77</v>
      </c>
      <c r="C1097" t="s">
        <v>45</v>
      </c>
      <c r="D1097" t="s">
        <v>812</v>
      </c>
      <c r="E1097" t="s">
        <v>96</v>
      </c>
      <c r="F1097" t="s">
        <v>96</v>
      </c>
      <c r="G1097" t="s">
        <v>96</v>
      </c>
      <c r="H1097">
        <v>2010</v>
      </c>
      <c r="I1097" t="s">
        <v>96</v>
      </c>
      <c r="J1097" t="s">
        <v>97</v>
      </c>
      <c r="K1097" t="s">
        <v>96</v>
      </c>
      <c r="L1097" t="s">
        <v>96</v>
      </c>
      <c r="M1097">
        <v>2037.5</v>
      </c>
      <c r="O1097" s="12" t="str">
        <f t="shared" si="48"/>
        <v>MXC</v>
      </c>
      <c r="P1097" s="12" t="str">
        <f t="shared" si="49"/>
        <v>E_WON</v>
      </c>
    </row>
    <row r="1098" spans="1:16" x14ac:dyDescent="0.35">
      <c r="A1098" t="s">
        <v>95</v>
      </c>
      <c r="B1098" t="s">
        <v>77</v>
      </c>
      <c r="C1098" t="s">
        <v>45</v>
      </c>
      <c r="D1098" t="s">
        <v>1202</v>
      </c>
      <c r="E1098" t="s">
        <v>96</v>
      </c>
      <c r="F1098" t="s">
        <v>96</v>
      </c>
      <c r="G1098" t="s">
        <v>96</v>
      </c>
      <c r="H1098">
        <v>2010</v>
      </c>
      <c r="I1098" t="s">
        <v>96</v>
      </c>
      <c r="J1098" t="s">
        <v>97</v>
      </c>
      <c r="K1098" t="s">
        <v>96</v>
      </c>
      <c r="L1098" t="s">
        <v>96</v>
      </c>
      <c r="M1098">
        <v>1700</v>
      </c>
      <c r="O1098" s="12" t="str">
        <f t="shared" si="48"/>
        <v>MXC</v>
      </c>
      <c r="P1098" s="12" t="str">
        <f t="shared" si="49"/>
        <v>E_WON</v>
      </c>
    </row>
    <row r="1099" spans="1:16" x14ac:dyDescent="0.35">
      <c r="A1099" t="s">
        <v>95</v>
      </c>
      <c r="B1099" t="s">
        <v>77</v>
      </c>
      <c r="C1099" t="s">
        <v>45</v>
      </c>
      <c r="D1099" t="s">
        <v>1203</v>
      </c>
      <c r="E1099" t="s">
        <v>96</v>
      </c>
      <c r="F1099" t="s">
        <v>96</v>
      </c>
      <c r="G1099" t="s">
        <v>96</v>
      </c>
      <c r="H1099">
        <v>2010</v>
      </c>
      <c r="I1099" t="s">
        <v>96</v>
      </c>
      <c r="J1099" t="s">
        <v>97</v>
      </c>
      <c r="K1099" t="s">
        <v>96</v>
      </c>
      <c r="L1099" t="s">
        <v>96</v>
      </c>
      <c r="M1099">
        <v>1830</v>
      </c>
      <c r="O1099" s="12" t="str">
        <f t="shared" si="48"/>
        <v>MXC</v>
      </c>
      <c r="P1099" s="12" t="str">
        <f t="shared" si="49"/>
        <v>E_WON</v>
      </c>
    </row>
    <row r="1100" spans="1:16" x14ac:dyDescent="0.35">
      <c r="A1100" t="s">
        <v>95</v>
      </c>
      <c r="B1100" t="s">
        <v>77</v>
      </c>
      <c r="C1100" t="s">
        <v>45</v>
      </c>
      <c r="D1100" t="s">
        <v>821</v>
      </c>
      <c r="E1100" t="s">
        <v>96</v>
      </c>
      <c r="F1100" t="s">
        <v>96</v>
      </c>
      <c r="G1100" t="s">
        <v>96</v>
      </c>
      <c r="H1100">
        <v>2010</v>
      </c>
      <c r="I1100" t="s">
        <v>96</v>
      </c>
      <c r="J1100" t="s">
        <v>97</v>
      </c>
      <c r="K1100" t="s">
        <v>96</v>
      </c>
      <c r="L1100" t="s">
        <v>96</v>
      </c>
      <c r="M1100">
        <v>2037.5</v>
      </c>
      <c r="O1100" s="12" t="str">
        <f t="shared" si="48"/>
        <v>MXC</v>
      </c>
      <c r="P1100" s="12" t="str">
        <f t="shared" si="49"/>
        <v>E_WON</v>
      </c>
    </row>
    <row r="1101" spans="1:16" x14ac:dyDescent="0.35">
      <c r="A1101" t="s">
        <v>95</v>
      </c>
      <c r="B1101" t="s">
        <v>77</v>
      </c>
      <c r="C1101" t="s">
        <v>45</v>
      </c>
      <c r="D1101" t="s">
        <v>1204</v>
      </c>
      <c r="E1101" t="s">
        <v>96</v>
      </c>
      <c r="F1101" t="s">
        <v>96</v>
      </c>
      <c r="G1101" t="s">
        <v>96</v>
      </c>
      <c r="H1101">
        <v>2010</v>
      </c>
      <c r="I1101" t="s">
        <v>96</v>
      </c>
      <c r="J1101" t="s">
        <v>97</v>
      </c>
      <c r="K1101" t="s">
        <v>96</v>
      </c>
      <c r="L1101" t="s">
        <v>96</v>
      </c>
      <c r="M1101">
        <v>1700</v>
      </c>
      <c r="O1101" s="12" t="str">
        <f t="shared" si="48"/>
        <v>MXC</v>
      </c>
      <c r="P1101" s="12" t="str">
        <f t="shared" si="49"/>
        <v>E_WON</v>
      </c>
    </row>
    <row r="1102" spans="1:16" x14ac:dyDescent="0.35">
      <c r="A1102" t="s">
        <v>95</v>
      </c>
      <c r="B1102" t="s">
        <v>77</v>
      </c>
      <c r="C1102" t="s">
        <v>45</v>
      </c>
      <c r="D1102" t="s">
        <v>829</v>
      </c>
      <c r="E1102" t="s">
        <v>96</v>
      </c>
      <c r="F1102" t="s">
        <v>96</v>
      </c>
      <c r="G1102" t="s">
        <v>96</v>
      </c>
      <c r="H1102">
        <v>2010</v>
      </c>
      <c r="I1102" t="s">
        <v>96</v>
      </c>
      <c r="J1102" t="s">
        <v>97</v>
      </c>
      <c r="K1102" t="s">
        <v>96</v>
      </c>
      <c r="L1102" t="s">
        <v>96</v>
      </c>
      <c r="M1102">
        <v>2037.5</v>
      </c>
      <c r="O1102" s="12" t="str">
        <f t="shared" si="48"/>
        <v>MXC</v>
      </c>
      <c r="P1102" s="12" t="str">
        <f t="shared" si="49"/>
        <v>E_WON</v>
      </c>
    </row>
    <row r="1103" spans="1:16" x14ac:dyDescent="0.35">
      <c r="A1103" t="s">
        <v>95</v>
      </c>
      <c r="B1103" t="s">
        <v>77</v>
      </c>
      <c r="C1103" t="s">
        <v>45</v>
      </c>
      <c r="D1103" t="s">
        <v>1205</v>
      </c>
      <c r="E1103" t="s">
        <v>96</v>
      </c>
      <c r="F1103" t="s">
        <v>96</v>
      </c>
      <c r="G1103" t="s">
        <v>96</v>
      </c>
      <c r="H1103">
        <v>2010</v>
      </c>
      <c r="I1103" t="s">
        <v>96</v>
      </c>
      <c r="J1103" t="s">
        <v>97</v>
      </c>
      <c r="K1103" t="s">
        <v>96</v>
      </c>
      <c r="L1103" t="s">
        <v>96</v>
      </c>
      <c r="M1103">
        <v>1700</v>
      </c>
      <c r="O1103" s="12" t="str">
        <f t="shared" si="48"/>
        <v>MXC</v>
      </c>
      <c r="P1103" s="12" t="str">
        <f t="shared" si="49"/>
        <v>E_WON</v>
      </c>
    </row>
    <row r="1104" spans="1:16" x14ac:dyDescent="0.35">
      <c r="A1104" t="s">
        <v>95</v>
      </c>
      <c r="B1104" t="s">
        <v>77</v>
      </c>
      <c r="C1104" t="s">
        <v>45</v>
      </c>
      <c r="D1104" t="s">
        <v>1206</v>
      </c>
      <c r="E1104" t="s">
        <v>96</v>
      </c>
      <c r="F1104" t="s">
        <v>96</v>
      </c>
      <c r="G1104" t="s">
        <v>96</v>
      </c>
      <c r="H1104">
        <v>2010</v>
      </c>
      <c r="I1104" t="s">
        <v>96</v>
      </c>
      <c r="J1104" t="s">
        <v>97</v>
      </c>
      <c r="K1104" t="s">
        <v>96</v>
      </c>
      <c r="L1104" t="s">
        <v>96</v>
      </c>
      <c r="M1104">
        <v>1830</v>
      </c>
      <c r="O1104" s="12" t="str">
        <f t="shared" si="48"/>
        <v>MXC</v>
      </c>
      <c r="P1104" s="12" t="str">
        <f t="shared" si="49"/>
        <v>E_WON</v>
      </c>
    </row>
    <row r="1105" spans="1:16" x14ac:dyDescent="0.35">
      <c r="A1105" t="s">
        <v>95</v>
      </c>
      <c r="B1105" t="s">
        <v>77</v>
      </c>
      <c r="C1105" t="s">
        <v>45</v>
      </c>
      <c r="D1105" t="s">
        <v>1207</v>
      </c>
      <c r="E1105" t="s">
        <v>96</v>
      </c>
      <c r="F1105" t="s">
        <v>96</v>
      </c>
      <c r="G1105" t="s">
        <v>96</v>
      </c>
      <c r="H1105">
        <v>2010</v>
      </c>
      <c r="I1105" t="s">
        <v>96</v>
      </c>
      <c r="J1105" t="s">
        <v>97</v>
      </c>
      <c r="K1105" t="s">
        <v>96</v>
      </c>
      <c r="L1105" t="s">
        <v>96</v>
      </c>
      <c r="M1105">
        <v>1700</v>
      </c>
      <c r="O1105" s="12" t="str">
        <f t="shared" si="48"/>
        <v>MXC</v>
      </c>
      <c r="P1105" s="12" t="str">
        <f t="shared" si="49"/>
        <v>E_WON</v>
      </c>
    </row>
    <row r="1106" spans="1:16" x14ac:dyDescent="0.35">
      <c r="A1106" t="s">
        <v>95</v>
      </c>
      <c r="B1106" t="s">
        <v>77</v>
      </c>
      <c r="C1106" t="s">
        <v>45</v>
      </c>
      <c r="D1106" t="s">
        <v>1208</v>
      </c>
      <c r="E1106" t="s">
        <v>96</v>
      </c>
      <c r="F1106" t="s">
        <v>96</v>
      </c>
      <c r="G1106" t="s">
        <v>96</v>
      </c>
      <c r="H1106">
        <v>2010</v>
      </c>
      <c r="I1106" t="s">
        <v>96</v>
      </c>
      <c r="J1106" t="s">
        <v>97</v>
      </c>
      <c r="K1106" t="s">
        <v>96</v>
      </c>
      <c r="L1106" t="s">
        <v>96</v>
      </c>
      <c r="M1106">
        <v>1830</v>
      </c>
      <c r="O1106" s="12" t="str">
        <f t="shared" si="48"/>
        <v>MXC</v>
      </c>
      <c r="P1106" s="12" t="str">
        <f t="shared" si="49"/>
        <v>E_WON</v>
      </c>
    </row>
    <row r="1107" spans="1:16" x14ac:dyDescent="0.35">
      <c r="A1107" t="s">
        <v>95</v>
      </c>
      <c r="B1107" t="s">
        <v>77</v>
      </c>
      <c r="C1107" t="s">
        <v>45</v>
      </c>
      <c r="D1107" t="s">
        <v>1209</v>
      </c>
      <c r="E1107" t="s">
        <v>96</v>
      </c>
      <c r="F1107" t="s">
        <v>96</v>
      </c>
      <c r="G1107" t="s">
        <v>96</v>
      </c>
      <c r="H1107">
        <v>2010</v>
      </c>
      <c r="I1107" t="s">
        <v>96</v>
      </c>
      <c r="J1107" t="s">
        <v>97</v>
      </c>
      <c r="K1107" t="s">
        <v>96</v>
      </c>
      <c r="L1107" t="s">
        <v>96</v>
      </c>
      <c r="M1107">
        <v>1700</v>
      </c>
      <c r="O1107" s="12" t="str">
        <f t="shared" si="48"/>
        <v>MXC</v>
      </c>
      <c r="P1107" s="12" t="str">
        <f t="shared" si="49"/>
        <v>E_WON</v>
      </c>
    </row>
    <row r="1108" spans="1:16" x14ac:dyDescent="0.35">
      <c r="A1108" t="s">
        <v>95</v>
      </c>
      <c r="B1108" t="s">
        <v>77</v>
      </c>
      <c r="C1108" t="s">
        <v>45</v>
      </c>
      <c r="D1108" t="s">
        <v>1210</v>
      </c>
      <c r="E1108" t="s">
        <v>96</v>
      </c>
      <c r="F1108" t="s">
        <v>96</v>
      </c>
      <c r="G1108" t="s">
        <v>96</v>
      </c>
      <c r="H1108">
        <v>2010</v>
      </c>
      <c r="I1108" t="s">
        <v>96</v>
      </c>
      <c r="J1108" t="s">
        <v>97</v>
      </c>
      <c r="K1108" t="s">
        <v>96</v>
      </c>
      <c r="L1108" t="s">
        <v>96</v>
      </c>
      <c r="M1108">
        <v>2745</v>
      </c>
      <c r="O1108" s="12" t="str">
        <f t="shared" si="48"/>
        <v>MXC</v>
      </c>
      <c r="P1108" s="12" t="str">
        <f t="shared" si="49"/>
        <v>E_WON</v>
      </c>
    </row>
    <row r="1109" spans="1:16" x14ac:dyDescent="0.35">
      <c r="A1109" t="s">
        <v>95</v>
      </c>
      <c r="B1109" t="s">
        <v>77</v>
      </c>
      <c r="C1109" t="s">
        <v>45</v>
      </c>
      <c r="D1109" t="s">
        <v>838</v>
      </c>
      <c r="E1109" t="s">
        <v>96</v>
      </c>
      <c r="F1109" t="s">
        <v>96</v>
      </c>
      <c r="G1109" t="s">
        <v>96</v>
      </c>
      <c r="H1109">
        <v>2010</v>
      </c>
      <c r="I1109" t="s">
        <v>96</v>
      </c>
      <c r="J1109" t="s">
        <v>97</v>
      </c>
      <c r="K1109" t="s">
        <v>96</v>
      </c>
      <c r="L1109" t="s">
        <v>96</v>
      </c>
      <c r="M1109">
        <v>3056.25</v>
      </c>
      <c r="O1109" s="12" t="str">
        <f t="shared" si="48"/>
        <v>MXC</v>
      </c>
      <c r="P1109" s="12" t="str">
        <f t="shared" si="49"/>
        <v>E_WON</v>
      </c>
    </row>
    <row r="1110" spans="1:16" x14ac:dyDescent="0.35">
      <c r="A1110" t="s">
        <v>95</v>
      </c>
      <c r="B1110" t="s">
        <v>77</v>
      </c>
      <c r="C1110" t="s">
        <v>45</v>
      </c>
      <c r="D1110" t="s">
        <v>1211</v>
      </c>
      <c r="E1110" t="s">
        <v>96</v>
      </c>
      <c r="F1110" t="s">
        <v>96</v>
      </c>
      <c r="G1110" t="s">
        <v>96</v>
      </c>
      <c r="H1110">
        <v>2010</v>
      </c>
      <c r="I1110" t="s">
        <v>96</v>
      </c>
      <c r="J1110" t="s">
        <v>97</v>
      </c>
      <c r="K1110" t="s">
        <v>96</v>
      </c>
      <c r="L1110" t="s">
        <v>96</v>
      </c>
      <c r="M1110">
        <v>2550</v>
      </c>
      <c r="O1110" s="12" t="str">
        <f t="shared" si="48"/>
        <v>MXC</v>
      </c>
      <c r="P1110" s="12" t="str">
        <f t="shared" si="49"/>
        <v>E_WON</v>
      </c>
    </row>
    <row r="1111" spans="1:16" x14ac:dyDescent="0.35">
      <c r="A1111" t="s">
        <v>95</v>
      </c>
      <c r="B1111" t="s">
        <v>77</v>
      </c>
      <c r="C1111" t="s">
        <v>45</v>
      </c>
      <c r="D1111" t="s">
        <v>1212</v>
      </c>
      <c r="E1111" t="s">
        <v>96</v>
      </c>
      <c r="F1111" t="s">
        <v>96</v>
      </c>
      <c r="G1111" t="s">
        <v>96</v>
      </c>
      <c r="H1111">
        <v>2010</v>
      </c>
      <c r="I1111" t="s">
        <v>96</v>
      </c>
      <c r="J1111" t="s">
        <v>97</v>
      </c>
      <c r="K1111" t="s">
        <v>96</v>
      </c>
      <c r="L1111" t="s">
        <v>96</v>
      </c>
      <c r="M1111">
        <v>2745</v>
      </c>
      <c r="O1111" s="12" t="str">
        <f t="shared" si="48"/>
        <v>MXC</v>
      </c>
      <c r="P1111" s="12" t="str">
        <f t="shared" si="49"/>
        <v>E_WON</v>
      </c>
    </row>
    <row r="1112" spans="1:16" x14ac:dyDescent="0.35">
      <c r="A1112" t="s">
        <v>95</v>
      </c>
      <c r="B1112" t="s">
        <v>77</v>
      </c>
      <c r="C1112" t="s">
        <v>45</v>
      </c>
      <c r="D1112" t="s">
        <v>854</v>
      </c>
      <c r="E1112" t="s">
        <v>96</v>
      </c>
      <c r="F1112" t="s">
        <v>96</v>
      </c>
      <c r="G1112" t="s">
        <v>96</v>
      </c>
      <c r="H1112">
        <v>2010</v>
      </c>
      <c r="I1112" t="s">
        <v>96</v>
      </c>
      <c r="J1112" t="s">
        <v>97</v>
      </c>
      <c r="K1112" t="s">
        <v>96</v>
      </c>
      <c r="L1112" t="s">
        <v>96</v>
      </c>
      <c r="M1112">
        <v>3056.25</v>
      </c>
      <c r="O1112" s="12" t="str">
        <f t="shared" si="48"/>
        <v>MXC</v>
      </c>
      <c r="P1112" s="12" t="str">
        <f t="shared" si="49"/>
        <v>E_WON</v>
      </c>
    </row>
    <row r="1113" spans="1:16" x14ac:dyDescent="0.35">
      <c r="A1113" t="s">
        <v>95</v>
      </c>
      <c r="B1113" t="s">
        <v>77</v>
      </c>
      <c r="C1113" t="s">
        <v>45</v>
      </c>
      <c r="D1113" t="s">
        <v>1213</v>
      </c>
      <c r="E1113" t="s">
        <v>96</v>
      </c>
      <c r="F1113" t="s">
        <v>96</v>
      </c>
      <c r="G1113" t="s">
        <v>96</v>
      </c>
      <c r="H1113">
        <v>2010</v>
      </c>
      <c r="I1113" t="s">
        <v>96</v>
      </c>
      <c r="J1113" t="s">
        <v>97</v>
      </c>
      <c r="K1113" t="s">
        <v>96</v>
      </c>
      <c r="L1113" t="s">
        <v>96</v>
      </c>
      <c r="M1113">
        <v>2550</v>
      </c>
      <c r="O1113" s="12" t="str">
        <f t="shared" si="48"/>
        <v>MXC</v>
      </c>
      <c r="P1113" s="12" t="str">
        <f t="shared" si="49"/>
        <v>E_WON</v>
      </c>
    </row>
    <row r="1114" spans="1:16" x14ac:dyDescent="0.35">
      <c r="A1114" t="s">
        <v>95</v>
      </c>
      <c r="B1114" t="s">
        <v>77</v>
      </c>
      <c r="C1114" t="s">
        <v>45</v>
      </c>
      <c r="D1114" t="s">
        <v>1214</v>
      </c>
      <c r="E1114" t="s">
        <v>96</v>
      </c>
      <c r="F1114" t="s">
        <v>96</v>
      </c>
      <c r="G1114" t="s">
        <v>96</v>
      </c>
      <c r="H1114">
        <v>2010</v>
      </c>
      <c r="I1114" t="s">
        <v>96</v>
      </c>
      <c r="J1114" t="s">
        <v>97</v>
      </c>
      <c r="K1114" t="s">
        <v>96</v>
      </c>
      <c r="L1114" t="s">
        <v>96</v>
      </c>
      <c r="M1114">
        <v>2745</v>
      </c>
      <c r="O1114" s="12" t="str">
        <f t="shared" si="48"/>
        <v>MXC</v>
      </c>
      <c r="P1114" s="12" t="str">
        <f t="shared" si="49"/>
        <v>E_WON</v>
      </c>
    </row>
    <row r="1115" spans="1:16" x14ac:dyDescent="0.35">
      <c r="A1115" t="s">
        <v>95</v>
      </c>
      <c r="B1115" t="s">
        <v>77</v>
      </c>
      <c r="C1115" t="s">
        <v>45</v>
      </c>
      <c r="D1115" t="s">
        <v>871</v>
      </c>
      <c r="E1115" t="s">
        <v>96</v>
      </c>
      <c r="F1115" t="s">
        <v>96</v>
      </c>
      <c r="G1115" t="s">
        <v>96</v>
      </c>
      <c r="H1115">
        <v>2010</v>
      </c>
      <c r="I1115" t="s">
        <v>96</v>
      </c>
      <c r="J1115" t="s">
        <v>97</v>
      </c>
      <c r="K1115" t="s">
        <v>96</v>
      </c>
      <c r="L1115" t="s">
        <v>96</v>
      </c>
      <c r="M1115">
        <v>3056.25</v>
      </c>
      <c r="O1115" s="12" t="str">
        <f t="shared" si="48"/>
        <v>MXC</v>
      </c>
      <c r="P1115" s="12" t="str">
        <f t="shared" si="49"/>
        <v>E_WON</v>
      </c>
    </row>
    <row r="1116" spans="1:16" x14ac:dyDescent="0.35">
      <c r="A1116" t="s">
        <v>95</v>
      </c>
      <c r="B1116" t="s">
        <v>77</v>
      </c>
      <c r="C1116" t="s">
        <v>45</v>
      </c>
      <c r="D1116" t="s">
        <v>1215</v>
      </c>
      <c r="E1116" t="s">
        <v>96</v>
      </c>
      <c r="F1116" t="s">
        <v>96</v>
      </c>
      <c r="G1116" t="s">
        <v>96</v>
      </c>
      <c r="H1116">
        <v>2010</v>
      </c>
      <c r="I1116" t="s">
        <v>96</v>
      </c>
      <c r="J1116" t="s">
        <v>97</v>
      </c>
      <c r="K1116" t="s">
        <v>96</v>
      </c>
      <c r="L1116" t="s">
        <v>96</v>
      </c>
      <c r="M1116">
        <v>2550</v>
      </c>
      <c r="O1116" s="12" t="str">
        <f t="shared" si="48"/>
        <v>MXC</v>
      </c>
      <c r="P1116" s="12" t="str">
        <f t="shared" si="49"/>
        <v>E_WON</v>
      </c>
    </row>
    <row r="1117" spans="1:16" x14ac:dyDescent="0.35">
      <c r="A1117" t="s">
        <v>95</v>
      </c>
      <c r="B1117" t="s">
        <v>77</v>
      </c>
      <c r="C1117" t="s">
        <v>45</v>
      </c>
      <c r="D1117" t="s">
        <v>1216</v>
      </c>
      <c r="E1117" t="s">
        <v>96</v>
      </c>
      <c r="F1117" t="s">
        <v>96</v>
      </c>
      <c r="G1117" t="s">
        <v>96</v>
      </c>
      <c r="H1117">
        <v>2010</v>
      </c>
      <c r="I1117" t="s">
        <v>96</v>
      </c>
      <c r="J1117" t="s">
        <v>97</v>
      </c>
      <c r="K1117" t="s">
        <v>96</v>
      </c>
      <c r="L1117" t="s">
        <v>96</v>
      </c>
      <c r="M1117">
        <v>2745</v>
      </c>
      <c r="O1117" s="12" t="str">
        <f t="shared" si="48"/>
        <v>MXC</v>
      </c>
      <c r="P1117" s="12" t="str">
        <f t="shared" si="49"/>
        <v>E_WON</v>
      </c>
    </row>
    <row r="1118" spans="1:16" x14ac:dyDescent="0.35">
      <c r="A1118" t="s">
        <v>95</v>
      </c>
      <c r="B1118" t="s">
        <v>77</v>
      </c>
      <c r="C1118" t="s">
        <v>45</v>
      </c>
      <c r="D1118" t="s">
        <v>884</v>
      </c>
      <c r="E1118" t="s">
        <v>96</v>
      </c>
      <c r="F1118" t="s">
        <v>96</v>
      </c>
      <c r="G1118" t="s">
        <v>96</v>
      </c>
      <c r="H1118">
        <v>2010</v>
      </c>
      <c r="I1118" t="s">
        <v>96</v>
      </c>
      <c r="J1118" t="s">
        <v>97</v>
      </c>
      <c r="K1118" t="s">
        <v>96</v>
      </c>
      <c r="L1118" t="s">
        <v>96</v>
      </c>
      <c r="M1118">
        <v>3056.25</v>
      </c>
      <c r="O1118" s="12" t="str">
        <f t="shared" si="48"/>
        <v>MXC</v>
      </c>
      <c r="P1118" s="12" t="str">
        <f t="shared" si="49"/>
        <v>E_WON</v>
      </c>
    </row>
    <row r="1119" spans="1:16" x14ac:dyDescent="0.35">
      <c r="A1119" t="s">
        <v>95</v>
      </c>
      <c r="B1119" t="s">
        <v>77</v>
      </c>
      <c r="C1119" t="s">
        <v>45</v>
      </c>
      <c r="D1119" t="s">
        <v>1217</v>
      </c>
      <c r="E1119" t="s">
        <v>96</v>
      </c>
      <c r="F1119" t="s">
        <v>96</v>
      </c>
      <c r="G1119" t="s">
        <v>96</v>
      </c>
      <c r="H1119">
        <v>2010</v>
      </c>
      <c r="I1119" t="s">
        <v>96</v>
      </c>
      <c r="J1119" t="s">
        <v>97</v>
      </c>
      <c r="K1119" t="s">
        <v>96</v>
      </c>
      <c r="L1119" t="s">
        <v>96</v>
      </c>
      <c r="M1119">
        <v>2550</v>
      </c>
      <c r="O1119" s="12" t="str">
        <f t="shared" si="48"/>
        <v>MXC</v>
      </c>
      <c r="P1119" s="12" t="str">
        <f t="shared" si="49"/>
        <v>E_WON</v>
      </c>
    </row>
    <row r="1120" spans="1:16" x14ac:dyDescent="0.35">
      <c r="A1120" t="s">
        <v>95</v>
      </c>
      <c r="B1120" t="s">
        <v>77</v>
      </c>
      <c r="C1120" t="s">
        <v>45</v>
      </c>
      <c r="D1120" t="s">
        <v>1218</v>
      </c>
      <c r="E1120" t="s">
        <v>96</v>
      </c>
      <c r="F1120" t="s">
        <v>96</v>
      </c>
      <c r="G1120" t="s">
        <v>96</v>
      </c>
      <c r="H1120">
        <v>2010</v>
      </c>
      <c r="I1120" t="s">
        <v>96</v>
      </c>
      <c r="J1120" t="s">
        <v>97</v>
      </c>
      <c r="K1120" t="s">
        <v>96</v>
      </c>
      <c r="L1120" t="s">
        <v>96</v>
      </c>
      <c r="M1120">
        <v>2745</v>
      </c>
      <c r="O1120" s="12" t="str">
        <f t="shared" si="48"/>
        <v>MXC</v>
      </c>
      <c r="P1120" s="12" t="str">
        <f t="shared" si="49"/>
        <v>E_WON</v>
      </c>
    </row>
    <row r="1121" spans="1:16" x14ac:dyDescent="0.35">
      <c r="A1121" t="s">
        <v>95</v>
      </c>
      <c r="B1121" t="s">
        <v>77</v>
      </c>
      <c r="C1121" t="s">
        <v>45</v>
      </c>
      <c r="D1121" t="s">
        <v>1219</v>
      </c>
      <c r="E1121" t="s">
        <v>96</v>
      </c>
      <c r="F1121" t="s">
        <v>96</v>
      </c>
      <c r="G1121" t="s">
        <v>96</v>
      </c>
      <c r="H1121">
        <v>2010</v>
      </c>
      <c r="I1121" t="s">
        <v>96</v>
      </c>
      <c r="J1121" t="s">
        <v>97</v>
      </c>
      <c r="K1121" t="s">
        <v>96</v>
      </c>
      <c r="L1121" t="s">
        <v>96</v>
      </c>
      <c r="M1121">
        <v>2550</v>
      </c>
      <c r="O1121" s="12" t="str">
        <f t="shared" si="48"/>
        <v>MXC</v>
      </c>
      <c r="P1121" s="12" t="str">
        <f t="shared" si="49"/>
        <v>E_WON</v>
      </c>
    </row>
    <row r="1122" spans="1:16" x14ac:dyDescent="0.35">
      <c r="A1122" t="s">
        <v>95</v>
      </c>
      <c r="B1122" t="s">
        <v>77</v>
      </c>
      <c r="C1122" t="s">
        <v>45</v>
      </c>
      <c r="D1122" t="s">
        <v>1220</v>
      </c>
      <c r="E1122" t="s">
        <v>96</v>
      </c>
      <c r="F1122" t="s">
        <v>96</v>
      </c>
      <c r="G1122" t="s">
        <v>96</v>
      </c>
      <c r="H1122">
        <v>2010</v>
      </c>
      <c r="I1122" t="s">
        <v>96</v>
      </c>
      <c r="J1122" t="s">
        <v>97</v>
      </c>
      <c r="K1122" t="s">
        <v>96</v>
      </c>
      <c r="L1122" t="s">
        <v>96</v>
      </c>
      <c r="M1122">
        <v>2745</v>
      </c>
      <c r="O1122" s="12" t="str">
        <f t="shared" si="48"/>
        <v>MXC</v>
      </c>
      <c r="P1122" s="12" t="str">
        <f t="shared" si="49"/>
        <v>E_WON</v>
      </c>
    </row>
    <row r="1123" spans="1:16" x14ac:dyDescent="0.35">
      <c r="A1123" t="s">
        <v>95</v>
      </c>
      <c r="B1123" t="s">
        <v>77</v>
      </c>
      <c r="C1123" t="s">
        <v>45</v>
      </c>
      <c r="D1123" t="s">
        <v>1221</v>
      </c>
      <c r="E1123" t="s">
        <v>96</v>
      </c>
      <c r="F1123" t="s">
        <v>96</v>
      </c>
      <c r="G1123" t="s">
        <v>96</v>
      </c>
      <c r="H1123">
        <v>2010</v>
      </c>
      <c r="I1123" t="s">
        <v>96</v>
      </c>
      <c r="J1123" t="s">
        <v>97</v>
      </c>
      <c r="K1123" t="s">
        <v>96</v>
      </c>
      <c r="L1123" t="s">
        <v>96</v>
      </c>
      <c r="M1123">
        <v>2550</v>
      </c>
      <c r="O1123" s="12" t="str">
        <f t="shared" si="48"/>
        <v>MXC</v>
      </c>
      <c r="P1123" s="12" t="str">
        <f t="shared" si="49"/>
        <v>E_WON</v>
      </c>
    </row>
    <row r="1124" spans="1:16" x14ac:dyDescent="0.35">
      <c r="A1124" t="s">
        <v>95</v>
      </c>
      <c r="B1124" t="s">
        <v>77</v>
      </c>
      <c r="C1124" t="s">
        <v>45</v>
      </c>
      <c r="D1124" t="s">
        <v>1222</v>
      </c>
      <c r="E1124" t="s">
        <v>96</v>
      </c>
      <c r="F1124" t="s">
        <v>96</v>
      </c>
      <c r="G1124" t="s">
        <v>96</v>
      </c>
      <c r="H1124">
        <v>2010</v>
      </c>
      <c r="I1124" t="s">
        <v>96</v>
      </c>
      <c r="J1124" t="s">
        <v>97</v>
      </c>
      <c r="K1124" t="s">
        <v>96</v>
      </c>
      <c r="L1124" t="s">
        <v>96</v>
      </c>
      <c r="M1124">
        <v>2745</v>
      </c>
      <c r="O1124" s="12" t="str">
        <f t="shared" si="48"/>
        <v>MXC</v>
      </c>
      <c r="P1124" s="12" t="str">
        <f t="shared" si="49"/>
        <v>E_WON</v>
      </c>
    </row>
    <row r="1125" spans="1:16" x14ac:dyDescent="0.35">
      <c r="A1125" t="s">
        <v>95</v>
      </c>
      <c r="B1125" t="s">
        <v>77</v>
      </c>
      <c r="C1125" t="s">
        <v>45</v>
      </c>
      <c r="D1125" t="s">
        <v>899</v>
      </c>
      <c r="E1125" t="s">
        <v>96</v>
      </c>
      <c r="F1125" t="s">
        <v>96</v>
      </c>
      <c r="G1125" t="s">
        <v>96</v>
      </c>
      <c r="H1125">
        <v>2010</v>
      </c>
      <c r="I1125" t="s">
        <v>96</v>
      </c>
      <c r="J1125" t="s">
        <v>97</v>
      </c>
      <c r="K1125" t="s">
        <v>96</v>
      </c>
      <c r="L1125" t="s">
        <v>96</v>
      </c>
      <c r="M1125">
        <v>3056.25</v>
      </c>
      <c r="O1125" s="12" t="str">
        <f t="shared" si="48"/>
        <v>MXC</v>
      </c>
      <c r="P1125" s="12" t="str">
        <f t="shared" si="49"/>
        <v>E_WON</v>
      </c>
    </row>
    <row r="1126" spans="1:16" x14ac:dyDescent="0.35">
      <c r="A1126" t="s">
        <v>95</v>
      </c>
      <c r="B1126" t="s">
        <v>77</v>
      </c>
      <c r="C1126" t="s">
        <v>45</v>
      </c>
      <c r="D1126" t="s">
        <v>1223</v>
      </c>
      <c r="E1126" t="s">
        <v>96</v>
      </c>
      <c r="F1126" t="s">
        <v>96</v>
      </c>
      <c r="G1126" t="s">
        <v>96</v>
      </c>
      <c r="H1126">
        <v>2010</v>
      </c>
      <c r="I1126" t="s">
        <v>96</v>
      </c>
      <c r="J1126" t="s">
        <v>97</v>
      </c>
      <c r="K1126" t="s">
        <v>96</v>
      </c>
      <c r="L1126" t="s">
        <v>96</v>
      </c>
      <c r="M1126">
        <v>2550</v>
      </c>
      <c r="O1126" s="12" t="str">
        <f t="shared" si="48"/>
        <v>MXC</v>
      </c>
      <c r="P1126" s="12" t="str">
        <f t="shared" si="49"/>
        <v>E_WON</v>
      </c>
    </row>
    <row r="1127" spans="1:16" x14ac:dyDescent="0.35">
      <c r="A1127" t="s">
        <v>95</v>
      </c>
      <c r="B1127" t="s">
        <v>77</v>
      </c>
      <c r="C1127" t="s">
        <v>45</v>
      </c>
      <c r="D1127" t="s">
        <v>1224</v>
      </c>
      <c r="E1127" t="s">
        <v>96</v>
      </c>
      <c r="F1127" t="s">
        <v>96</v>
      </c>
      <c r="G1127" t="s">
        <v>96</v>
      </c>
      <c r="H1127">
        <v>2010</v>
      </c>
      <c r="I1127" t="s">
        <v>96</v>
      </c>
      <c r="J1127" t="s">
        <v>97</v>
      </c>
      <c r="K1127" t="s">
        <v>96</v>
      </c>
      <c r="L1127" t="s">
        <v>96</v>
      </c>
      <c r="M1127">
        <v>2745</v>
      </c>
      <c r="O1127" s="12" t="str">
        <f t="shared" si="48"/>
        <v>MXC</v>
      </c>
      <c r="P1127" s="12" t="str">
        <f t="shared" si="49"/>
        <v>E_WON</v>
      </c>
    </row>
    <row r="1128" spans="1:16" x14ac:dyDescent="0.35">
      <c r="A1128" t="s">
        <v>95</v>
      </c>
      <c r="B1128" t="s">
        <v>77</v>
      </c>
      <c r="C1128" t="s">
        <v>45</v>
      </c>
      <c r="D1128" t="s">
        <v>903</v>
      </c>
      <c r="E1128" t="s">
        <v>96</v>
      </c>
      <c r="F1128" t="s">
        <v>96</v>
      </c>
      <c r="G1128" t="s">
        <v>96</v>
      </c>
      <c r="H1128">
        <v>2010</v>
      </c>
      <c r="I1128" t="s">
        <v>96</v>
      </c>
      <c r="J1128" t="s">
        <v>97</v>
      </c>
      <c r="K1128" t="s">
        <v>96</v>
      </c>
      <c r="L1128" t="s">
        <v>96</v>
      </c>
      <c r="M1128">
        <v>3056.25</v>
      </c>
      <c r="O1128" s="12" t="str">
        <f t="shared" si="48"/>
        <v>MXC</v>
      </c>
      <c r="P1128" s="12" t="str">
        <f t="shared" si="49"/>
        <v>E_WON</v>
      </c>
    </row>
    <row r="1129" spans="1:16" x14ac:dyDescent="0.35">
      <c r="A1129" t="s">
        <v>95</v>
      </c>
      <c r="B1129" t="s">
        <v>77</v>
      </c>
      <c r="C1129" t="s">
        <v>45</v>
      </c>
      <c r="D1129" t="s">
        <v>1225</v>
      </c>
      <c r="E1129" t="s">
        <v>96</v>
      </c>
      <c r="F1129" t="s">
        <v>96</v>
      </c>
      <c r="G1129" t="s">
        <v>96</v>
      </c>
      <c r="H1129">
        <v>2010</v>
      </c>
      <c r="I1129" t="s">
        <v>96</v>
      </c>
      <c r="J1129" t="s">
        <v>97</v>
      </c>
      <c r="K1129" t="s">
        <v>96</v>
      </c>
      <c r="L1129" t="s">
        <v>96</v>
      </c>
      <c r="M1129">
        <v>2550</v>
      </c>
      <c r="O1129" s="12" t="str">
        <f t="shared" si="48"/>
        <v>MXC</v>
      </c>
      <c r="P1129" s="12" t="str">
        <f t="shared" si="49"/>
        <v>E_WON</v>
      </c>
    </row>
    <row r="1130" spans="1:16" x14ac:dyDescent="0.35">
      <c r="A1130" t="s">
        <v>95</v>
      </c>
      <c r="B1130" t="s">
        <v>77</v>
      </c>
      <c r="C1130" t="s">
        <v>45</v>
      </c>
      <c r="D1130" t="s">
        <v>1226</v>
      </c>
      <c r="E1130" t="s">
        <v>96</v>
      </c>
      <c r="F1130" t="s">
        <v>96</v>
      </c>
      <c r="G1130" t="s">
        <v>96</v>
      </c>
      <c r="H1130">
        <v>2010</v>
      </c>
      <c r="I1130" t="s">
        <v>96</v>
      </c>
      <c r="J1130" t="s">
        <v>97</v>
      </c>
      <c r="K1130" t="s">
        <v>96</v>
      </c>
      <c r="L1130" t="s">
        <v>96</v>
      </c>
      <c r="M1130">
        <v>2745</v>
      </c>
      <c r="O1130" s="12" t="str">
        <f t="shared" si="48"/>
        <v>MXC</v>
      </c>
      <c r="P1130" s="12" t="str">
        <f t="shared" si="49"/>
        <v>E_WON</v>
      </c>
    </row>
    <row r="1131" spans="1:16" x14ac:dyDescent="0.35">
      <c r="A1131" t="s">
        <v>95</v>
      </c>
      <c r="B1131" t="s">
        <v>77</v>
      </c>
      <c r="C1131" t="s">
        <v>45</v>
      </c>
      <c r="D1131" t="s">
        <v>1227</v>
      </c>
      <c r="E1131" t="s">
        <v>96</v>
      </c>
      <c r="F1131" t="s">
        <v>96</v>
      </c>
      <c r="G1131" t="s">
        <v>96</v>
      </c>
      <c r="H1131">
        <v>2010</v>
      </c>
      <c r="I1131" t="s">
        <v>96</v>
      </c>
      <c r="J1131" t="s">
        <v>97</v>
      </c>
      <c r="K1131" t="s">
        <v>96</v>
      </c>
      <c r="L1131" t="s">
        <v>96</v>
      </c>
      <c r="M1131">
        <v>2550</v>
      </c>
      <c r="O1131" s="12" t="str">
        <f t="shared" si="48"/>
        <v>MXC</v>
      </c>
      <c r="P1131" s="12" t="str">
        <f t="shared" si="49"/>
        <v>E_WON</v>
      </c>
    </row>
    <row r="1132" spans="1:16" x14ac:dyDescent="0.35">
      <c r="A1132" t="s">
        <v>95</v>
      </c>
      <c r="B1132" t="s">
        <v>78</v>
      </c>
      <c r="C1132" t="s">
        <v>45</v>
      </c>
      <c r="D1132" t="s">
        <v>1228</v>
      </c>
      <c r="E1132" t="s">
        <v>96</v>
      </c>
      <c r="F1132" t="s">
        <v>96</v>
      </c>
      <c r="G1132" t="s">
        <v>96</v>
      </c>
      <c r="H1132">
        <v>2010</v>
      </c>
      <c r="I1132" t="s">
        <v>96</v>
      </c>
      <c r="J1132" t="s">
        <v>97</v>
      </c>
      <c r="K1132" t="s">
        <v>96</v>
      </c>
      <c r="L1132" t="s">
        <v>96</v>
      </c>
      <c r="M1132">
        <v>3115</v>
      </c>
      <c r="O1132" s="12" t="str">
        <f t="shared" si="48"/>
        <v>OAS</v>
      </c>
      <c r="P1132" s="12" t="str">
        <f t="shared" si="49"/>
        <v>E_WON</v>
      </c>
    </row>
    <row r="1133" spans="1:16" x14ac:dyDescent="0.35">
      <c r="A1133" t="s">
        <v>95</v>
      </c>
      <c r="B1133" t="s">
        <v>78</v>
      </c>
      <c r="C1133" t="s">
        <v>45</v>
      </c>
      <c r="D1133" t="s">
        <v>1229</v>
      </c>
      <c r="E1133" t="s">
        <v>96</v>
      </c>
      <c r="F1133" t="s">
        <v>96</v>
      </c>
      <c r="G1133" t="s">
        <v>96</v>
      </c>
      <c r="H1133">
        <v>2010</v>
      </c>
      <c r="I1133" t="s">
        <v>96</v>
      </c>
      <c r="J1133" t="s">
        <v>97</v>
      </c>
      <c r="K1133" t="s">
        <v>96</v>
      </c>
      <c r="L1133" t="s">
        <v>96</v>
      </c>
      <c r="M1133">
        <v>3255</v>
      </c>
      <c r="O1133" s="12" t="str">
        <f t="shared" si="48"/>
        <v>OAS</v>
      </c>
      <c r="P1133" s="12" t="str">
        <f t="shared" si="49"/>
        <v>E_WON</v>
      </c>
    </row>
    <row r="1134" spans="1:16" x14ac:dyDescent="0.35">
      <c r="A1134" t="s">
        <v>95</v>
      </c>
      <c r="B1134" t="s">
        <v>78</v>
      </c>
      <c r="C1134" t="s">
        <v>45</v>
      </c>
      <c r="D1134" t="s">
        <v>1230</v>
      </c>
      <c r="E1134" t="s">
        <v>96</v>
      </c>
      <c r="F1134" t="s">
        <v>96</v>
      </c>
      <c r="G1134" t="s">
        <v>96</v>
      </c>
      <c r="H1134">
        <v>2010</v>
      </c>
      <c r="I1134" t="s">
        <v>96</v>
      </c>
      <c r="J1134" t="s">
        <v>97</v>
      </c>
      <c r="K1134" t="s">
        <v>96</v>
      </c>
      <c r="L1134" t="s">
        <v>96</v>
      </c>
      <c r="M1134">
        <v>3115</v>
      </c>
      <c r="O1134" s="12" t="str">
        <f t="shared" si="48"/>
        <v>OAS</v>
      </c>
      <c r="P1134" s="12" t="str">
        <f t="shared" si="49"/>
        <v>E_WON</v>
      </c>
    </row>
    <row r="1135" spans="1:16" x14ac:dyDescent="0.35">
      <c r="A1135" t="s">
        <v>95</v>
      </c>
      <c r="B1135" t="s">
        <v>78</v>
      </c>
      <c r="C1135" t="s">
        <v>45</v>
      </c>
      <c r="D1135" t="s">
        <v>1231</v>
      </c>
      <c r="E1135" t="s">
        <v>96</v>
      </c>
      <c r="F1135" t="s">
        <v>96</v>
      </c>
      <c r="G1135" t="s">
        <v>96</v>
      </c>
      <c r="H1135">
        <v>2010</v>
      </c>
      <c r="I1135" t="s">
        <v>96</v>
      </c>
      <c r="J1135" t="s">
        <v>97</v>
      </c>
      <c r="K1135" t="s">
        <v>96</v>
      </c>
      <c r="L1135" t="s">
        <v>96</v>
      </c>
      <c r="M1135">
        <v>3115</v>
      </c>
      <c r="O1135" s="12" t="str">
        <f t="shared" si="48"/>
        <v>OAS</v>
      </c>
      <c r="P1135" s="12" t="str">
        <f t="shared" si="49"/>
        <v>E_WON</v>
      </c>
    </row>
    <row r="1136" spans="1:16" x14ac:dyDescent="0.35">
      <c r="A1136" t="s">
        <v>95</v>
      </c>
      <c r="B1136" t="s">
        <v>78</v>
      </c>
      <c r="C1136" t="s">
        <v>45</v>
      </c>
      <c r="D1136" t="s">
        <v>1232</v>
      </c>
      <c r="E1136" t="s">
        <v>96</v>
      </c>
      <c r="F1136" t="s">
        <v>96</v>
      </c>
      <c r="G1136" t="s">
        <v>96</v>
      </c>
      <c r="H1136">
        <v>2010</v>
      </c>
      <c r="I1136" t="s">
        <v>96</v>
      </c>
      <c r="J1136" t="s">
        <v>97</v>
      </c>
      <c r="K1136" t="s">
        <v>96</v>
      </c>
      <c r="L1136" t="s">
        <v>96</v>
      </c>
      <c r="M1136">
        <v>3115</v>
      </c>
      <c r="O1136" s="12" t="str">
        <f t="shared" si="48"/>
        <v>OAS</v>
      </c>
      <c r="P1136" s="12" t="str">
        <f t="shared" si="49"/>
        <v>E_WON</v>
      </c>
    </row>
    <row r="1137" spans="1:16" x14ac:dyDescent="0.35">
      <c r="A1137" t="s">
        <v>95</v>
      </c>
      <c r="B1137" t="s">
        <v>78</v>
      </c>
      <c r="C1137" t="s">
        <v>45</v>
      </c>
      <c r="D1137" t="s">
        <v>1233</v>
      </c>
      <c r="E1137" t="s">
        <v>96</v>
      </c>
      <c r="F1137" t="s">
        <v>96</v>
      </c>
      <c r="G1137" t="s">
        <v>96</v>
      </c>
      <c r="H1137">
        <v>2010</v>
      </c>
      <c r="I1137" t="s">
        <v>96</v>
      </c>
      <c r="J1137" t="s">
        <v>97</v>
      </c>
      <c r="K1137" t="s">
        <v>96</v>
      </c>
      <c r="L1137" t="s">
        <v>96</v>
      </c>
      <c r="M1137">
        <v>3150</v>
      </c>
      <c r="O1137" s="12" t="str">
        <f t="shared" si="48"/>
        <v>OAS</v>
      </c>
      <c r="P1137" s="12" t="str">
        <f t="shared" si="49"/>
        <v>E_WON</v>
      </c>
    </row>
    <row r="1138" spans="1:16" x14ac:dyDescent="0.35">
      <c r="A1138" t="s">
        <v>95</v>
      </c>
      <c r="B1138" t="s">
        <v>78</v>
      </c>
      <c r="C1138" t="s">
        <v>45</v>
      </c>
      <c r="D1138" t="s">
        <v>1234</v>
      </c>
      <c r="E1138" t="s">
        <v>96</v>
      </c>
      <c r="F1138" t="s">
        <v>96</v>
      </c>
      <c r="G1138" t="s">
        <v>96</v>
      </c>
      <c r="H1138">
        <v>2010</v>
      </c>
      <c r="I1138" t="s">
        <v>96</v>
      </c>
      <c r="J1138" t="s">
        <v>97</v>
      </c>
      <c r="K1138" t="s">
        <v>96</v>
      </c>
      <c r="L1138" t="s">
        <v>96</v>
      </c>
      <c r="M1138">
        <v>3115</v>
      </c>
      <c r="O1138" s="12" t="str">
        <f t="shared" si="48"/>
        <v>OAS</v>
      </c>
      <c r="P1138" s="12" t="str">
        <f t="shared" si="49"/>
        <v>E_WON</v>
      </c>
    </row>
    <row r="1139" spans="1:16" x14ac:dyDescent="0.35">
      <c r="A1139" t="s">
        <v>95</v>
      </c>
      <c r="B1139" t="s">
        <v>78</v>
      </c>
      <c r="C1139" t="s">
        <v>45</v>
      </c>
      <c r="D1139" t="s">
        <v>1235</v>
      </c>
      <c r="E1139" t="s">
        <v>96</v>
      </c>
      <c r="F1139" t="s">
        <v>96</v>
      </c>
      <c r="G1139" t="s">
        <v>96</v>
      </c>
      <c r="H1139">
        <v>2010</v>
      </c>
      <c r="I1139" t="s">
        <v>96</v>
      </c>
      <c r="J1139" t="s">
        <v>97</v>
      </c>
      <c r="K1139" t="s">
        <v>96</v>
      </c>
      <c r="L1139" t="s">
        <v>96</v>
      </c>
      <c r="M1139">
        <v>3115</v>
      </c>
      <c r="O1139" s="12" t="str">
        <f t="shared" si="48"/>
        <v>OAS</v>
      </c>
      <c r="P1139" s="12" t="str">
        <f t="shared" si="49"/>
        <v>E_WON</v>
      </c>
    </row>
    <row r="1140" spans="1:16" x14ac:dyDescent="0.35">
      <c r="A1140" t="s">
        <v>95</v>
      </c>
      <c r="B1140" t="s">
        <v>78</v>
      </c>
      <c r="C1140" t="s">
        <v>45</v>
      </c>
      <c r="D1140" t="s">
        <v>1236</v>
      </c>
      <c r="E1140" t="s">
        <v>96</v>
      </c>
      <c r="F1140" t="s">
        <v>96</v>
      </c>
      <c r="G1140" t="s">
        <v>96</v>
      </c>
      <c r="H1140">
        <v>2010</v>
      </c>
      <c r="I1140" t="s">
        <v>96</v>
      </c>
      <c r="J1140" t="s">
        <v>97</v>
      </c>
      <c r="K1140" t="s">
        <v>96</v>
      </c>
      <c r="L1140" t="s">
        <v>96</v>
      </c>
      <c r="M1140">
        <v>2975</v>
      </c>
      <c r="O1140" s="12" t="str">
        <f t="shared" si="48"/>
        <v>OAS</v>
      </c>
      <c r="P1140" s="12" t="str">
        <f t="shared" si="49"/>
        <v>E_WON</v>
      </c>
    </row>
    <row r="1141" spans="1:16" x14ac:dyDescent="0.35">
      <c r="A1141" t="s">
        <v>95</v>
      </c>
      <c r="B1141" t="s">
        <v>78</v>
      </c>
      <c r="C1141" t="s">
        <v>45</v>
      </c>
      <c r="D1141" t="s">
        <v>1237</v>
      </c>
      <c r="E1141" t="s">
        <v>96</v>
      </c>
      <c r="F1141" t="s">
        <v>96</v>
      </c>
      <c r="G1141" t="s">
        <v>96</v>
      </c>
      <c r="H1141">
        <v>2010</v>
      </c>
      <c r="I1141" t="s">
        <v>96</v>
      </c>
      <c r="J1141" t="s">
        <v>97</v>
      </c>
      <c r="K1141" t="s">
        <v>96</v>
      </c>
      <c r="L1141" t="s">
        <v>96</v>
      </c>
      <c r="M1141">
        <v>3115</v>
      </c>
      <c r="O1141" s="12" t="str">
        <f t="shared" si="48"/>
        <v>OAS</v>
      </c>
      <c r="P1141" s="12" t="str">
        <f t="shared" si="49"/>
        <v>E_WON</v>
      </c>
    </row>
    <row r="1142" spans="1:16" x14ac:dyDescent="0.35">
      <c r="A1142" t="s">
        <v>95</v>
      </c>
      <c r="B1142" t="s">
        <v>78</v>
      </c>
      <c r="C1142" t="s">
        <v>45</v>
      </c>
      <c r="D1142" t="s">
        <v>1238</v>
      </c>
      <c r="E1142" t="s">
        <v>96</v>
      </c>
      <c r="F1142" t="s">
        <v>96</v>
      </c>
      <c r="G1142" t="s">
        <v>96</v>
      </c>
      <c r="H1142">
        <v>2010</v>
      </c>
      <c r="I1142" t="s">
        <v>96</v>
      </c>
      <c r="J1142" t="s">
        <v>97</v>
      </c>
      <c r="K1142" t="s">
        <v>96</v>
      </c>
      <c r="L1142" t="s">
        <v>96</v>
      </c>
      <c r="M1142">
        <v>3115</v>
      </c>
      <c r="O1142" s="12" t="str">
        <f t="shared" si="48"/>
        <v>OAS</v>
      </c>
      <c r="P1142" s="12" t="str">
        <f t="shared" si="49"/>
        <v>E_WON</v>
      </c>
    </row>
    <row r="1143" spans="1:16" x14ac:dyDescent="0.35">
      <c r="A1143" t="s">
        <v>95</v>
      </c>
      <c r="B1143" t="s">
        <v>78</v>
      </c>
      <c r="C1143" t="s">
        <v>45</v>
      </c>
      <c r="D1143" t="s">
        <v>1239</v>
      </c>
      <c r="E1143" t="s">
        <v>96</v>
      </c>
      <c r="F1143" t="s">
        <v>96</v>
      </c>
      <c r="G1143" t="s">
        <v>96</v>
      </c>
      <c r="H1143">
        <v>2010</v>
      </c>
      <c r="I1143" t="s">
        <v>96</v>
      </c>
      <c r="J1143" t="s">
        <v>97</v>
      </c>
      <c r="K1143" t="s">
        <v>96</v>
      </c>
      <c r="L1143" t="s">
        <v>96</v>
      </c>
      <c r="M1143">
        <v>3115</v>
      </c>
      <c r="O1143" s="12" t="str">
        <f t="shared" si="48"/>
        <v>OAS</v>
      </c>
      <c r="P1143" s="12" t="str">
        <f t="shared" si="49"/>
        <v>E_WON</v>
      </c>
    </row>
    <row r="1144" spans="1:16" x14ac:dyDescent="0.35">
      <c r="A1144" t="s">
        <v>95</v>
      </c>
      <c r="B1144" t="s">
        <v>78</v>
      </c>
      <c r="C1144" t="s">
        <v>45</v>
      </c>
      <c r="D1144" t="s">
        <v>1240</v>
      </c>
      <c r="E1144" t="s">
        <v>96</v>
      </c>
      <c r="F1144" t="s">
        <v>96</v>
      </c>
      <c r="G1144" t="s">
        <v>96</v>
      </c>
      <c r="H1144">
        <v>2010</v>
      </c>
      <c r="I1144" t="s">
        <v>96</v>
      </c>
      <c r="J1144" t="s">
        <v>97</v>
      </c>
      <c r="K1144" t="s">
        <v>96</v>
      </c>
      <c r="L1144" t="s">
        <v>96</v>
      </c>
      <c r="M1144">
        <v>3255</v>
      </c>
      <c r="O1144" s="12" t="str">
        <f t="shared" si="48"/>
        <v>OAS</v>
      </c>
      <c r="P1144" s="12" t="str">
        <f t="shared" si="49"/>
        <v>E_WON</v>
      </c>
    </row>
    <row r="1145" spans="1:16" x14ac:dyDescent="0.35">
      <c r="A1145" t="s">
        <v>95</v>
      </c>
      <c r="B1145" t="s">
        <v>78</v>
      </c>
      <c r="C1145" t="s">
        <v>45</v>
      </c>
      <c r="D1145" t="s">
        <v>1241</v>
      </c>
      <c r="E1145" t="s">
        <v>96</v>
      </c>
      <c r="F1145" t="s">
        <v>96</v>
      </c>
      <c r="G1145" t="s">
        <v>96</v>
      </c>
      <c r="H1145">
        <v>2010</v>
      </c>
      <c r="I1145" t="s">
        <v>96</v>
      </c>
      <c r="J1145" t="s">
        <v>97</v>
      </c>
      <c r="K1145" t="s">
        <v>96</v>
      </c>
      <c r="L1145" t="s">
        <v>96</v>
      </c>
      <c r="M1145">
        <v>3115</v>
      </c>
      <c r="O1145" s="12" t="str">
        <f t="shared" si="48"/>
        <v>OAS</v>
      </c>
      <c r="P1145" s="12" t="str">
        <f t="shared" si="49"/>
        <v>E_WON</v>
      </c>
    </row>
    <row r="1146" spans="1:16" x14ac:dyDescent="0.35">
      <c r="A1146" t="s">
        <v>95</v>
      </c>
      <c r="B1146" t="s">
        <v>78</v>
      </c>
      <c r="C1146" t="s">
        <v>45</v>
      </c>
      <c r="D1146" t="s">
        <v>1242</v>
      </c>
      <c r="E1146" t="s">
        <v>96</v>
      </c>
      <c r="F1146" t="s">
        <v>96</v>
      </c>
      <c r="G1146" t="s">
        <v>96</v>
      </c>
      <c r="H1146">
        <v>2010</v>
      </c>
      <c r="I1146" t="s">
        <v>96</v>
      </c>
      <c r="J1146" t="s">
        <v>97</v>
      </c>
      <c r="K1146" t="s">
        <v>96</v>
      </c>
      <c r="L1146" t="s">
        <v>96</v>
      </c>
      <c r="M1146">
        <v>3115</v>
      </c>
      <c r="O1146" s="12" t="str">
        <f t="shared" si="48"/>
        <v>OAS</v>
      </c>
      <c r="P1146" s="12" t="str">
        <f t="shared" si="49"/>
        <v>E_WON</v>
      </c>
    </row>
    <row r="1147" spans="1:16" x14ac:dyDescent="0.35">
      <c r="A1147" t="s">
        <v>95</v>
      </c>
      <c r="B1147" t="s">
        <v>78</v>
      </c>
      <c r="C1147" t="s">
        <v>45</v>
      </c>
      <c r="D1147" t="s">
        <v>1243</v>
      </c>
      <c r="E1147" t="s">
        <v>96</v>
      </c>
      <c r="F1147" t="s">
        <v>96</v>
      </c>
      <c r="G1147" t="s">
        <v>96</v>
      </c>
      <c r="H1147">
        <v>2010</v>
      </c>
      <c r="I1147" t="s">
        <v>96</v>
      </c>
      <c r="J1147" t="s">
        <v>97</v>
      </c>
      <c r="K1147" t="s">
        <v>96</v>
      </c>
      <c r="L1147" t="s">
        <v>96</v>
      </c>
      <c r="M1147">
        <v>3115</v>
      </c>
      <c r="O1147" s="12" t="str">
        <f t="shared" si="48"/>
        <v>OAS</v>
      </c>
      <c r="P1147" s="12" t="str">
        <f t="shared" si="49"/>
        <v>E_WON</v>
      </c>
    </row>
    <row r="1148" spans="1:16" x14ac:dyDescent="0.35">
      <c r="A1148" t="s">
        <v>95</v>
      </c>
      <c r="B1148" t="s">
        <v>78</v>
      </c>
      <c r="C1148" t="s">
        <v>45</v>
      </c>
      <c r="D1148" t="s">
        <v>1244</v>
      </c>
      <c r="E1148" t="s">
        <v>96</v>
      </c>
      <c r="F1148" t="s">
        <v>96</v>
      </c>
      <c r="G1148" t="s">
        <v>96</v>
      </c>
      <c r="H1148">
        <v>2010</v>
      </c>
      <c r="I1148" t="s">
        <v>96</v>
      </c>
      <c r="J1148" t="s">
        <v>97</v>
      </c>
      <c r="K1148" t="s">
        <v>96</v>
      </c>
      <c r="L1148" t="s">
        <v>96</v>
      </c>
      <c r="M1148">
        <v>3115</v>
      </c>
      <c r="O1148" s="12" t="str">
        <f t="shared" si="48"/>
        <v>OAS</v>
      </c>
      <c r="P1148" s="12" t="str">
        <f t="shared" si="49"/>
        <v>E_WON</v>
      </c>
    </row>
    <row r="1149" spans="1:16" x14ac:dyDescent="0.35">
      <c r="A1149" t="s">
        <v>95</v>
      </c>
      <c r="B1149" t="s">
        <v>78</v>
      </c>
      <c r="C1149" t="s">
        <v>45</v>
      </c>
      <c r="D1149" t="s">
        <v>1245</v>
      </c>
      <c r="E1149" t="s">
        <v>96</v>
      </c>
      <c r="F1149" t="s">
        <v>96</v>
      </c>
      <c r="G1149" t="s">
        <v>96</v>
      </c>
      <c r="H1149">
        <v>2010</v>
      </c>
      <c r="I1149" t="s">
        <v>96</v>
      </c>
      <c r="J1149" t="s">
        <v>97</v>
      </c>
      <c r="K1149" t="s">
        <v>96</v>
      </c>
      <c r="L1149" t="s">
        <v>96</v>
      </c>
      <c r="M1149">
        <v>3115</v>
      </c>
      <c r="O1149" s="12" t="str">
        <f t="shared" si="48"/>
        <v>OAS</v>
      </c>
      <c r="P1149" s="12" t="str">
        <f t="shared" si="49"/>
        <v>E_WON</v>
      </c>
    </row>
    <row r="1150" spans="1:16" x14ac:dyDescent="0.35">
      <c r="A1150" t="s">
        <v>95</v>
      </c>
      <c r="B1150" t="s">
        <v>78</v>
      </c>
      <c r="C1150" t="s">
        <v>45</v>
      </c>
      <c r="D1150" t="s">
        <v>1246</v>
      </c>
      <c r="E1150" t="s">
        <v>96</v>
      </c>
      <c r="F1150" t="s">
        <v>96</v>
      </c>
      <c r="G1150" t="s">
        <v>96</v>
      </c>
      <c r="H1150">
        <v>2010</v>
      </c>
      <c r="I1150" t="s">
        <v>96</v>
      </c>
      <c r="J1150" t="s">
        <v>97</v>
      </c>
      <c r="K1150" t="s">
        <v>96</v>
      </c>
      <c r="L1150" t="s">
        <v>96</v>
      </c>
      <c r="M1150">
        <v>3115</v>
      </c>
      <c r="O1150" s="12" t="str">
        <f t="shared" si="48"/>
        <v>OAS</v>
      </c>
      <c r="P1150" s="12" t="str">
        <f t="shared" si="49"/>
        <v>E_WON</v>
      </c>
    </row>
    <row r="1151" spans="1:16" x14ac:dyDescent="0.35">
      <c r="A1151" t="s">
        <v>95</v>
      </c>
      <c r="B1151" t="s">
        <v>78</v>
      </c>
      <c r="C1151" t="s">
        <v>45</v>
      </c>
      <c r="D1151" t="s">
        <v>1247</v>
      </c>
      <c r="E1151" t="s">
        <v>96</v>
      </c>
      <c r="F1151" t="s">
        <v>96</v>
      </c>
      <c r="G1151" t="s">
        <v>96</v>
      </c>
      <c r="H1151">
        <v>2010</v>
      </c>
      <c r="I1151" t="s">
        <v>96</v>
      </c>
      <c r="J1151" t="s">
        <v>97</v>
      </c>
      <c r="K1151" t="s">
        <v>96</v>
      </c>
      <c r="L1151" t="s">
        <v>96</v>
      </c>
      <c r="M1151">
        <v>3115</v>
      </c>
      <c r="O1151" s="12" t="str">
        <f t="shared" si="48"/>
        <v>OAS</v>
      </c>
      <c r="P1151" s="12" t="str">
        <f t="shared" si="49"/>
        <v>E_WON</v>
      </c>
    </row>
    <row r="1152" spans="1:16" x14ac:dyDescent="0.35">
      <c r="A1152" t="s">
        <v>95</v>
      </c>
      <c r="B1152" t="s">
        <v>78</v>
      </c>
      <c r="C1152" t="s">
        <v>45</v>
      </c>
      <c r="D1152" t="s">
        <v>1248</v>
      </c>
      <c r="E1152" t="s">
        <v>96</v>
      </c>
      <c r="F1152" t="s">
        <v>96</v>
      </c>
      <c r="G1152" t="s">
        <v>96</v>
      </c>
      <c r="H1152">
        <v>2010</v>
      </c>
      <c r="I1152" t="s">
        <v>96</v>
      </c>
      <c r="J1152" t="s">
        <v>97</v>
      </c>
      <c r="K1152" t="s">
        <v>96</v>
      </c>
      <c r="L1152" t="s">
        <v>96</v>
      </c>
      <c r="M1152">
        <v>2975</v>
      </c>
      <c r="O1152" s="12" t="str">
        <f t="shared" si="48"/>
        <v>OAS</v>
      </c>
      <c r="P1152" s="12" t="str">
        <f t="shared" si="49"/>
        <v>E_WON</v>
      </c>
    </row>
    <row r="1153" spans="1:16" x14ac:dyDescent="0.35">
      <c r="A1153" t="s">
        <v>95</v>
      </c>
      <c r="B1153" t="s">
        <v>78</v>
      </c>
      <c r="C1153" t="s">
        <v>45</v>
      </c>
      <c r="D1153" t="s">
        <v>1249</v>
      </c>
      <c r="E1153" t="s">
        <v>96</v>
      </c>
      <c r="F1153" t="s">
        <v>96</v>
      </c>
      <c r="G1153" t="s">
        <v>96</v>
      </c>
      <c r="H1153">
        <v>2010</v>
      </c>
      <c r="I1153" t="s">
        <v>96</v>
      </c>
      <c r="J1153" t="s">
        <v>97</v>
      </c>
      <c r="K1153" t="s">
        <v>96</v>
      </c>
      <c r="L1153" t="s">
        <v>96</v>
      </c>
      <c r="M1153">
        <v>3115</v>
      </c>
      <c r="O1153" s="12" t="str">
        <f t="shared" si="48"/>
        <v>OAS</v>
      </c>
      <c r="P1153" s="12" t="str">
        <f t="shared" si="49"/>
        <v>E_WON</v>
      </c>
    </row>
    <row r="1154" spans="1:16" x14ac:dyDescent="0.35">
      <c r="A1154" t="s">
        <v>95</v>
      </c>
      <c r="B1154" t="s">
        <v>78</v>
      </c>
      <c r="C1154" t="s">
        <v>45</v>
      </c>
      <c r="D1154" t="s">
        <v>1250</v>
      </c>
      <c r="E1154" t="s">
        <v>96</v>
      </c>
      <c r="F1154" t="s">
        <v>96</v>
      </c>
      <c r="G1154" t="s">
        <v>96</v>
      </c>
      <c r="H1154">
        <v>2010</v>
      </c>
      <c r="I1154" t="s">
        <v>96</v>
      </c>
      <c r="J1154" t="s">
        <v>97</v>
      </c>
      <c r="K1154" t="s">
        <v>96</v>
      </c>
      <c r="L1154" t="s">
        <v>96</v>
      </c>
      <c r="M1154">
        <v>3115</v>
      </c>
      <c r="O1154" s="12" t="str">
        <f t="shared" si="48"/>
        <v>OAS</v>
      </c>
      <c r="P1154" s="12" t="str">
        <f t="shared" si="49"/>
        <v>E_WON</v>
      </c>
    </row>
    <row r="1155" spans="1:16" x14ac:dyDescent="0.35">
      <c r="A1155" t="s">
        <v>95</v>
      </c>
      <c r="B1155" t="s">
        <v>78</v>
      </c>
      <c r="C1155" t="s">
        <v>45</v>
      </c>
      <c r="D1155" t="s">
        <v>1251</v>
      </c>
      <c r="E1155" t="s">
        <v>96</v>
      </c>
      <c r="F1155" t="s">
        <v>96</v>
      </c>
      <c r="G1155" t="s">
        <v>96</v>
      </c>
      <c r="H1155">
        <v>2010</v>
      </c>
      <c r="I1155" t="s">
        <v>96</v>
      </c>
      <c r="J1155" t="s">
        <v>97</v>
      </c>
      <c r="K1155" t="s">
        <v>96</v>
      </c>
      <c r="L1155" t="s">
        <v>96</v>
      </c>
      <c r="M1155">
        <v>3115</v>
      </c>
      <c r="O1155" s="12" t="str">
        <f t="shared" ref="O1155:O1218" si="50">LEFT(B1155,3)</f>
        <v>OAS</v>
      </c>
      <c r="P1155" s="12" t="str">
        <f t="shared" ref="P1155:P1218" si="51">LEFT(D1155,5)</f>
        <v>E_WON</v>
      </c>
    </row>
    <row r="1156" spans="1:16" x14ac:dyDescent="0.35">
      <c r="A1156" t="s">
        <v>95</v>
      </c>
      <c r="B1156" t="s">
        <v>78</v>
      </c>
      <c r="C1156" t="s">
        <v>45</v>
      </c>
      <c r="D1156" t="s">
        <v>1252</v>
      </c>
      <c r="E1156" t="s">
        <v>96</v>
      </c>
      <c r="F1156" t="s">
        <v>96</v>
      </c>
      <c r="G1156" t="s">
        <v>96</v>
      </c>
      <c r="H1156">
        <v>2010</v>
      </c>
      <c r="I1156" t="s">
        <v>96</v>
      </c>
      <c r="J1156" t="s">
        <v>97</v>
      </c>
      <c r="K1156" t="s">
        <v>96</v>
      </c>
      <c r="L1156" t="s">
        <v>96</v>
      </c>
      <c r="M1156">
        <v>3115</v>
      </c>
      <c r="O1156" s="12" t="str">
        <f t="shared" si="50"/>
        <v>OAS</v>
      </c>
      <c r="P1156" s="12" t="str">
        <f t="shared" si="51"/>
        <v>E_WON</v>
      </c>
    </row>
    <row r="1157" spans="1:16" x14ac:dyDescent="0.35">
      <c r="A1157" t="s">
        <v>95</v>
      </c>
      <c r="B1157" t="s">
        <v>78</v>
      </c>
      <c r="C1157" t="s">
        <v>45</v>
      </c>
      <c r="D1157" t="s">
        <v>1253</v>
      </c>
      <c r="E1157" t="s">
        <v>96</v>
      </c>
      <c r="F1157" t="s">
        <v>96</v>
      </c>
      <c r="G1157" t="s">
        <v>96</v>
      </c>
      <c r="H1157">
        <v>2010</v>
      </c>
      <c r="I1157" t="s">
        <v>96</v>
      </c>
      <c r="J1157" t="s">
        <v>97</v>
      </c>
      <c r="K1157" t="s">
        <v>96</v>
      </c>
      <c r="L1157" t="s">
        <v>96</v>
      </c>
      <c r="M1157">
        <v>3255</v>
      </c>
      <c r="O1157" s="12" t="str">
        <f t="shared" si="50"/>
        <v>OAS</v>
      </c>
      <c r="P1157" s="12" t="str">
        <f t="shared" si="51"/>
        <v>E_WON</v>
      </c>
    </row>
    <row r="1158" spans="1:16" x14ac:dyDescent="0.35">
      <c r="A1158" t="s">
        <v>95</v>
      </c>
      <c r="B1158" t="s">
        <v>78</v>
      </c>
      <c r="C1158" t="s">
        <v>45</v>
      </c>
      <c r="D1158" t="s">
        <v>1254</v>
      </c>
      <c r="E1158" t="s">
        <v>96</v>
      </c>
      <c r="F1158" t="s">
        <v>96</v>
      </c>
      <c r="G1158" t="s">
        <v>96</v>
      </c>
      <c r="H1158">
        <v>2010</v>
      </c>
      <c r="I1158" t="s">
        <v>96</v>
      </c>
      <c r="J1158" t="s">
        <v>97</v>
      </c>
      <c r="K1158" t="s">
        <v>96</v>
      </c>
      <c r="L1158" t="s">
        <v>96</v>
      </c>
      <c r="M1158">
        <v>3115</v>
      </c>
      <c r="O1158" s="12" t="str">
        <f t="shared" si="50"/>
        <v>OAS</v>
      </c>
      <c r="P1158" s="12" t="str">
        <f t="shared" si="51"/>
        <v>E_WON</v>
      </c>
    </row>
    <row r="1159" spans="1:16" x14ac:dyDescent="0.35">
      <c r="A1159" t="s">
        <v>95</v>
      </c>
      <c r="B1159" t="s">
        <v>78</v>
      </c>
      <c r="C1159" t="s">
        <v>45</v>
      </c>
      <c r="D1159" t="s">
        <v>1255</v>
      </c>
      <c r="E1159" t="s">
        <v>96</v>
      </c>
      <c r="F1159" t="s">
        <v>96</v>
      </c>
      <c r="G1159" t="s">
        <v>96</v>
      </c>
      <c r="H1159">
        <v>2010</v>
      </c>
      <c r="I1159" t="s">
        <v>96</v>
      </c>
      <c r="J1159" t="s">
        <v>97</v>
      </c>
      <c r="K1159" t="s">
        <v>96</v>
      </c>
      <c r="L1159" t="s">
        <v>96</v>
      </c>
      <c r="M1159">
        <v>3115</v>
      </c>
      <c r="O1159" s="12" t="str">
        <f t="shared" si="50"/>
        <v>OAS</v>
      </c>
      <c r="P1159" s="12" t="str">
        <f t="shared" si="51"/>
        <v>E_WON</v>
      </c>
    </row>
    <row r="1160" spans="1:16" x14ac:dyDescent="0.35">
      <c r="A1160" t="s">
        <v>95</v>
      </c>
      <c r="B1160" t="s">
        <v>78</v>
      </c>
      <c r="C1160" t="s">
        <v>45</v>
      </c>
      <c r="D1160" t="s">
        <v>1256</v>
      </c>
      <c r="E1160" t="s">
        <v>96</v>
      </c>
      <c r="F1160" t="s">
        <v>96</v>
      </c>
      <c r="G1160" t="s">
        <v>96</v>
      </c>
      <c r="H1160">
        <v>2010</v>
      </c>
      <c r="I1160" t="s">
        <v>96</v>
      </c>
      <c r="J1160" t="s">
        <v>97</v>
      </c>
      <c r="K1160" t="s">
        <v>96</v>
      </c>
      <c r="L1160" t="s">
        <v>96</v>
      </c>
      <c r="M1160">
        <v>3115</v>
      </c>
      <c r="O1160" s="12" t="str">
        <f t="shared" si="50"/>
        <v>OAS</v>
      </c>
      <c r="P1160" s="12" t="str">
        <f t="shared" si="51"/>
        <v>E_WON</v>
      </c>
    </row>
    <row r="1161" spans="1:16" x14ac:dyDescent="0.35">
      <c r="A1161" t="s">
        <v>95</v>
      </c>
      <c r="B1161" t="s">
        <v>78</v>
      </c>
      <c r="C1161" t="s">
        <v>45</v>
      </c>
      <c r="D1161" t="s">
        <v>1257</v>
      </c>
      <c r="E1161" t="s">
        <v>96</v>
      </c>
      <c r="F1161" t="s">
        <v>96</v>
      </c>
      <c r="G1161" t="s">
        <v>96</v>
      </c>
      <c r="H1161">
        <v>2010</v>
      </c>
      <c r="I1161" t="s">
        <v>96</v>
      </c>
      <c r="J1161" t="s">
        <v>97</v>
      </c>
      <c r="K1161" t="s">
        <v>96</v>
      </c>
      <c r="L1161" t="s">
        <v>96</v>
      </c>
      <c r="M1161">
        <v>3115</v>
      </c>
      <c r="O1161" s="12" t="str">
        <f t="shared" si="50"/>
        <v>OAS</v>
      </c>
      <c r="P1161" s="12" t="str">
        <f t="shared" si="51"/>
        <v>E_WON</v>
      </c>
    </row>
    <row r="1162" spans="1:16" x14ac:dyDescent="0.35">
      <c r="A1162" t="s">
        <v>95</v>
      </c>
      <c r="B1162" t="s">
        <v>78</v>
      </c>
      <c r="C1162" t="s">
        <v>45</v>
      </c>
      <c r="D1162" t="s">
        <v>1258</v>
      </c>
      <c r="E1162" t="s">
        <v>96</v>
      </c>
      <c r="F1162" t="s">
        <v>96</v>
      </c>
      <c r="G1162" t="s">
        <v>96</v>
      </c>
      <c r="H1162">
        <v>2010</v>
      </c>
      <c r="I1162" t="s">
        <v>96</v>
      </c>
      <c r="J1162" t="s">
        <v>97</v>
      </c>
      <c r="K1162" t="s">
        <v>96</v>
      </c>
      <c r="L1162" t="s">
        <v>96</v>
      </c>
      <c r="M1162">
        <v>3115</v>
      </c>
      <c r="O1162" s="12" t="str">
        <f t="shared" si="50"/>
        <v>OAS</v>
      </c>
      <c r="P1162" s="12" t="str">
        <f t="shared" si="51"/>
        <v>E_WON</v>
      </c>
    </row>
    <row r="1163" spans="1:16" x14ac:dyDescent="0.35">
      <c r="A1163" t="s">
        <v>95</v>
      </c>
      <c r="B1163" t="s">
        <v>78</v>
      </c>
      <c r="C1163" t="s">
        <v>45</v>
      </c>
      <c r="D1163" t="s">
        <v>1259</v>
      </c>
      <c r="E1163" t="s">
        <v>96</v>
      </c>
      <c r="F1163" t="s">
        <v>96</v>
      </c>
      <c r="G1163" t="s">
        <v>96</v>
      </c>
      <c r="H1163">
        <v>2010</v>
      </c>
      <c r="I1163" t="s">
        <v>96</v>
      </c>
      <c r="J1163" t="s">
        <v>97</v>
      </c>
      <c r="K1163" t="s">
        <v>96</v>
      </c>
      <c r="L1163" t="s">
        <v>96</v>
      </c>
      <c r="M1163">
        <v>3255</v>
      </c>
      <c r="O1163" s="12" t="str">
        <f t="shared" si="50"/>
        <v>OAS</v>
      </c>
      <c r="P1163" s="12" t="str">
        <f t="shared" si="51"/>
        <v>E_WON</v>
      </c>
    </row>
    <row r="1164" spans="1:16" x14ac:dyDescent="0.35">
      <c r="A1164" t="s">
        <v>95</v>
      </c>
      <c r="B1164" t="s">
        <v>78</v>
      </c>
      <c r="C1164" t="s">
        <v>45</v>
      </c>
      <c r="D1164" t="s">
        <v>1260</v>
      </c>
      <c r="E1164" t="s">
        <v>96</v>
      </c>
      <c r="F1164" t="s">
        <v>96</v>
      </c>
      <c r="G1164" t="s">
        <v>96</v>
      </c>
      <c r="H1164">
        <v>2010</v>
      </c>
      <c r="I1164" t="s">
        <v>96</v>
      </c>
      <c r="J1164" t="s">
        <v>97</v>
      </c>
      <c r="K1164" t="s">
        <v>96</v>
      </c>
      <c r="L1164" t="s">
        <v>96</v>
      </c>
      <c r="M1164">
        <v>3115</v>
      </c>
      <c r="O1164" s="12" t="str">
        <f t="shared" si="50"/>
        <v>OAS</v>
      </c>
      <c r="P1164" s="12" t="str">
        <f t="shared" si="51"/>
        <v>E_WON</v>
      </c>
    </row>
    <row r="1165" spans="1:16" x14ac:dyDescent="0.35">
      <c r="A1165" t="s">
        <v>95</v>
      </c>
      <c r="B1165" t="s">
        <v>78</v>
      </c>
      <c r="C1165" t="s">
        <v>45</v>
      </c>
      <c r="D1165" t="s">
        <v>1261</v>
      </c>
      <c r="E1165" t="s">
        <v>96</v>
      </c>
      <c r="F1165" t="s">
        <v>96</v>
      </c>
      <c r="G1165" t="s">
        <v>96</v>
      </c>
      <c r="H1165">
        <v>2010</v>
      </c>
      <c r="I1165" t="s">
        <v>96</v>
      </c>
      <c r="J1165" t="s">
        <v>97</v>
      </c>
      <c r="K1165" t="s">
        <v>96</v>
      </c>
      <c r="L1165" t="s">
        <v>96</v>
      </c>
      <c r="M1165">
        <v>3115</v>
      </c>
      <c r="O1165" s="12" t="str">
        <f t="shared" si="50"/>
        <v>OAS</v>
      </c>
      <c r="P1165" s="12" t="str">
        <f t="shared" si="51"/>
        <v>E_WON</v>
      </c>
    </row>
    <row r="1166" spans="1:16" x14ac:dyDescent="0.35">
      <c r="A1166" t="s">
        <v>95</v>
      </c>
      <c r="B1166" t="s">
        <v>78</v>
      </c>
      <c r="C1166" t="s">
        <v>45</v>
      </c>
      <c r="D1166" t="s">
        <v>1262</v>
      </c>
      <c r="E1166" t="s">
        <v>96</v>
      </c>
      <c r="F1166" t="s">
        <v>96</v>
      </c>
      <c r="G1166" t="s">
        <v>96</v>
      </c>
      <c r="H1166">
        <v>2010</v>
      </c>
      <c r="I1166" t="s">
        <v>96</v>
      </c>
      <c r="J1166" t="s">
        <v>97</v>
      </c>
      <c r="K1166" t="s">
        <v>96</v>
      </c>
      <c r="L1166" t="s">
        <v>96</v>
      </c>
      <c r="M1166">
        <v>3115</v>
      </c>
      <c r="O1166" s="12" t="str">
        <f t="shared" si="50"/>
        <v>OAS</v>
      </c>
      <c r="P1166" s="12" t="str">
        <f t="shared" si="51"/>
        <v>E_WON</v>
      </c>
    </row>
    <row r="1167" spans="1:16" x14ac:dyDescent="0.35">
      <c r="A1167" t="s">
        <v>95</v>
      </c>
      <c r="B1167" t="s">
        <v>78</v>
      </c>
      <c r="C1167" t="s">
        <v>45</v>
      </c>
      <c r="D1167" t="s">
        <v>1263</v>
      </c>
      <c r="E1167" t="s">
        <v>96</v>
      </c>
      <c r="F1167" t="s">
        <v>96</v>
      </c>
      <c r="G1167" t="s">
        <v>96</v>
      </c>
      <c r="H1167">
        <v>2010</v>
      </c>
      <c r="I1167" t="s">
        <v>96</v>
      </c>
      <c r="J1167" t="s">
        <v>97</v>
      </c>
      <c r="K1167" t="s">
        <v>96</v>
      </c>
      <c r="L1167" t="s">
        <v>96</v>
      </c>
      <c r="M1167">
        <v>3115</v>
      </c>
      <c r="O1167" s="12" t="str">
        <f t="shared" si="50"/>
        <v>OAS</v>
      </c>
      <c r="P1167" s="12" t="str">
        <f t="shared" si="51"/>
        <v>E_WON</v>
      </c>
    </row>
    <row r="1168" spans="1:16" x14ac:dyDescent="0.35">
      <c r="A1168" t="s">
        <v>95</v>
      </c>
      <c r="B1168" t="s">
        <v>78</v>
      </c>
      <c r="C1168" t="s">
        <v>45</v>
      </c>
      <c r="D1168" t="s">
        <v>1264</v>
      </c>
      <c r="E1168" t="s">
        <v>96</v>
      </c>
      <c r="F1168" t="s">
        <v>96</v>
      </c>
      <c r="G1168" t="s">
        <v>96</v>
      </c>
      <c r="H1168">
        <v>2010</v>
      </c>
      <c r="I1168" t="s">
        <v>96</v>
      </c>
      <c r="J1168" t="s">
        <v>97</v>
      </c>
      <c r="K1168" t="s">
        <v>96</v>
      </c>
      <c r="L1168" t="s">
        <v>96</v>
      </c>
      <c r="M1168">
        <v>3115</v>
      </c>
      <c r="O1168" s="12" t="str">
        <f t="shared" si="50"/>
        <v>OAS</v>
      </c>
      <c r="P1168" s="12" t="str">
        <f t="shared" si="51"/>
        <v>E_WON</v>
      </c>
    </row>
    <row r="1169" spans="1:16" x14ac:dyDescent="0.35">
      <c r="A1169" t="s">
        <v>95</v>
      </c>
      <c r="B1169" t="s">
        <v>78</v>
      </c>
      <c r="C1169" t="s">
        <v>45</v>
      </c>
      <c r="D1169" t="s">
        <v>1265</v>
      </c>
      <c r="E1169" t="s">
        <v>96</v>
      </c>
      <c r="F1169" t="s">
        <v>96</v>
      </c>
      <c r="G1169" t="s">
        <v>96</v>
      </c>
      <c r="H1169">
        <v>2010</v>
      </c>
      <c r="I1169" t="s">
        <v>96</v>
      </c>
      <c r="J1169" t="s">
        <v>97</v>
      </c>
      <c r="K1169" t="s">
        <v>96</v>
      </c>
      <c r="L1169" t="s">
        <v>96</v>
      </c>
      <c r="M1169">
        <v>3115</v>
      </c>
      <c r="O1169" s="12" t="str">
        <f t="shared" si="50"/>
        <v>OAS</v>
      </c>
      <c r="P1169" s="12" t="str">
        <f t="shared" si="51"/>
        <v>E_WON</v>
      </c>
    </row>
    <row r="1170" spans="1:16" x14ac:dyDescent="0.35">
      <c r="A1170" t="s">
        <v>95</v>
      </c>
      <c r="B1170" t="s">
        <v>78</v>
      </c>
      <c r="C1170" t="s">
        <v>45</v>
      </c>
      <c r="D1170" t="s">
        <v>1266</v>
      </c>
      <c r="E1170" t="s">
        <v>96</v>
      </c>
      <c r="F1170" t="s">
        <v>96</v>
      </c>
      <c r="G1170" t="s">
        <v>96</v>
      </c>
      <c r="H1170">
        <v>2010</v>
      </c>
      <c r="I1170" t="s">
        <v>96</v>
      </c>
      <c r="J1170" t="s">
        <v>97</v>
      </c>
      <c r="K1170" t="s">
        <v>96</v>
      </c>
      <c r="L1170" t="s">
        <v>96</v>
      </c>
      <c r="M1170">
        <v>3115</v>
      </c>
      <c r="O1170" s="12" t="str">
        <f t="shared" si="50"/>
        <v>OAS</v>
      </c>
      <c r="P1170" s="12" t="str">
        <f t="shared" si="51"/>
        <v>E_WON</v>
      </c>
    </row>
    <row r="1171" spans="1:16" x14ac:dyDescent="0.35">
      <c r="A1171" t="s">
        <v>95</v>
      </c>
      <c r="B1171" t="s">
        <v>78</v>
      </c>
      <c r="C1171" t="s">
        <v>45</v>
      </c>
      <c r="D1171" t="s">
        <v>1267</v>
      </c>
      <c r="E1171" t="s">
        <v>96</v>
      </c>
      <c r="F1171" t="s">
        <v>96</v>
      </c>
      <c r="G1171" t="s">
        <v>96</v>
      </c>
      <c r="H1171">
        <v>2010</v>
      </c>
      <c r="I1171" t="s">
        <v>96</v>
      </c>
      <c r="J1171" t="s">
        <v>97</v>
      </c>
      <c r="K1171" t="s">
        <v>96</v>
      </c>
      <c r="L1171" t="s">
        <v>96</v>
      </c>
      <c r="M1171">
        <v>3115</v>
      </c>
      <c r="O1171" s="12" t="str">
        <f t="shared" si="50"/>
        <v>OAS</v>
      </c>
      <c r="P1171" s="12" t="str">
        <f t="shared" si="51"/>
        <v>E_WON</v>
      </c>
    </row>
    <row r="1172" spans="1:16" x14ac:dyDescent="0.35">
      <c r="A1172" t="s">
        <v>95</v>
      </c>
      <c r="B1172" t="s">
        <v>78</v>
      </c>
      <c r="C1172" t="s">
        <v>45</v>
      </c>
      <c r="D1172" t="s">
        <v>1268</v>
      </c>
      <c r="E1172" t="s">
        <v>96</v>
      </c>
      <c r="F1172" t="s">
        <v>96</v>
      </c>
      <c r="G1172" t="s">
        <v>96</v>
      </c>
      <c r="H1172">
        <v>2010</v>
      </c>
      <c r="I1172" t="s">
        <v>96</v>
      </c>
      <c r="J1172" t="s">
        <v>97</v>
      </c>
      <c r="K1172" t="s">
        <v>96</v>
      </c>
      <c r="L1172" t="s">
        <v>96</v>
      </c>
      <c r="M1172">
        <v>3115</v>
      </c>
      <c r="O1172" s="12" t="str">
        <f t="shared" si="50"/>
        <v>OAS</v>
      </c>
      <c r="P1172" s="12" t="str">
        <f t="shared" si="51"/>
        <v>E_WON</v>
      </c>
    </row>
    <row r="1173" spans="1:16" x14ac:dyDescent="0.35">
      <c r="A1173" t="s">
        <v>95</v>
      </c>
      <c r="B1173" t="s">
        <v>78</v>
      </c>
      <c r="C1173" t="s">
        <v>45</v>
      </c>
      <c r="D1173" t="s">
        <v>1269</v>
      </c>
      <c r="E1173" t="s">
        <v>96</v>
      </c>
      <c r="F1173" t="s">
        <v>96</v>
      </c>
      <c r="G1173" t="s">
        <v>96</v>
      </c>
      <c r="H1173">
        <v>2010</v>
      </c>
      <c r="I1173" t="s">
        <v>96</v>
      </c>
      <c r="J1173" t="s">
        <v>97</v>
      </c>
      <c r="K1173" t="s">
        <v>96</v>
      </c>
      <c r="L1173" t="s">
        <v>96</v>
      </c>
      <c r="M1173">
        <v>3115</v>
      </c>
      <c r="O1173" s="12" t="str">
        <f t="shared" si="50"/>
        <v>OAS</v>
      </c>
      <c r="P1173" s="12" t="str">
        <f t="shared" si="51"/>
        <v>E_WON</v>
      </c>
    </row>
    <row r="1174" spans="1:16" x14ac:dyDescent="0.35">
      <c r="A1174" t="s">
        <v>95</v>
      </c>
      <c r="B1174" t="s">
        <v>78</v>
      </c>
      <c r="C1174" t="s">
        <v>45</v>
      </c>
      <c r="D1174" t="s">
        <v>1270</v>
      </c>
      <c r="E1174" t="s">
        <v>96</v>
      </c>
      <c r="F1174" t="s">
        <v>96</v>
      </c>
      <c r="G1174" t="s">
        <v>96</v>
      </c>
      <c r="H1174">
        <v>2010</v>
      </c>
      <c r="I1174" t="s">
        <v>96</v>
      </c>
      <c r="J1174" t="s">
        <v>97</v>
      </c>
      <c r="K1174" t="s">
        <v>96</v>
      </c>
      <c r="L1174" t="s">
        <v>96</v>
      </c>
      <c r="M1174">
        <v>3115</v>
      </c>
      <c r="O1174" s="12" t="str">
        <f t="shared" si="50"/>
        <v>OAS</v>
      </c>
      <c r="P1174" s="12" t="str">
        <f t="shared" si="51"/>
        <v>E_WON</v>
      </c>
    </row>
    <row r="1175" spans="1:16" x14ac:dyDescent="0.35">
      <c r="A1175" t="s">
        <v>95</v>
      </c>
      <c r="B1175" t="s">
        <v>78</v>
      </c>
      <c r="C1175" t="s">
        <v>45</v>
      </c>
      <c r="D1175" t="s">
        <v>1271</v>
      </c>
      <c r="E1175" t="s">
        <v>96</v>
      </c>
      <c r="F1175" t="s">
        <v>96</v>
      </c>
      <c r="G1175" t="s">
        <v>96</v>
      </c>
      <c r="H1175">
        <v>2010</v>
      </c>
      <c r="I1175" t="s">
        <v>96</v>
      </c>
      <c r="J1175" t="s">
        <v>97</v>
      </c>
      <c r="K1175" t="s">
        <v>96</v>
      </c>
      <c r="L1175" t="s">
        <v>96</v>
      </c>
      <c r="M1175">
        <v>1780</v>
      </c>
      <c r="O1175" s="12" t="str">
        <f t="shared" si="50"/>
        <v>OAS</v>
      </c>
      <c r="P1175" s="12" t="str">
        <f t="shared" si="51"/>
        <v>E_WON</v>
      </c>
    </row>
    <row r="1176" spans="1:16" x14ac:dyDescent="0.35">
      <c r="A1176" t="s">
        <v>95</v>
      </c>
      <c r="B1176" t="s">
        <v>78</v>
      </c>
      <c r="C1176" t="s">
        <v>45</v>
      </c>
      <c r="D1176" t="s">
        <v>1272</v>
      </c>
      <c r="E1176" t="s">
        <v>96</v>
      </c>
      <c r="F1176" t="s">
        <v>96</v>
      </c>
      <c r="G1176" t="s">
        <v>96</v>
      </c>
      <c r="H1176">
        <v>2010</v>
      </c>
      <c r="I1176" t="s">
        <v>96</v>
      </c>
      <c r="J1176" t="s">
        <v>97</v>
      </c>
      <c r="K1176" t="s">
        <v>96</v>
      </c>
      <c r="L1176" t="s">
        <v>96</v>
      </c>
      <c r="M1176">
        <v>1780</v>
      </c>
      <c r="O1176" s="12" t="str">
        <f t="shared" si="50"/>
        <v>OAS</v>
      </c>
      <c r="P1176" s="12" t="str">
        <f t="shared" si="51"/>
        <v>E_WON</v>
      </c>
    </row>
    <row r="1177" spans="1:16" x14ac:dyDescent="0.35">
      <c r="A1177" t="s">
        <v>95</v>
      </c>
      <c r="B1177" t="s">
        <v>78</v>
      </c>
      <c r="C1177" t="s">
        <v>45</v>
      </c>
      <c r="D1177" t="s">
        <v>1273</v>
      </c>
      <c r="E1177" t="s">
        <v>96</v>
      </c>
      <c r="F1177" t="s">
        <v>96</v>
      </c>
      <c r="G1177" t="s">
        <v>96</v>
      </c>
      <c r="H1177">
        <v>2010</v>
      </c>
      <c r="I1177" t="s">
        <v>96</v>
      </c>
      <c r="J1177" t="s">
        <v>97</v>
      </c>
      <c r="K1177" t="s">
        <v>96</v>
      </c>
      <c r="L1177" t="s">
        <v>96</v>
      </c>
      <c r="M1177">
        <v>1780</v>
      </c>
      <c r="O1177" s="12" t="str">
        <f t="shared" si="50"/>
        <v>OAS</v>
      </c>
      <c r="P1177" s="12" t="str">
        <f t="shared" si="51"/>
        <v>E_WON</v>
      </c>
    </row>
    <row r="1178" spans="1:16" x14ac:dyDescent="0.35">
      <c r="A1178" t="s">
        <v>95</v>
      </c>
      <c r="B1178" t="s">
        <v>78</v>
      </c>
      <c r="C1178" t="s">
        <v>45</v>
      </c>
      <c r="D1178" t="s">
        <v>1274</v>
      </c>
      <c r="E1178" t="s">
        <v>96</v>
      </c>
      <c r="F1178" t="s">
        <v>96</v>
      </c>
      <c r="G1178" t="s">
        <v>96</v>
      </c>
      <c r="H1178">
        <v>2010</v>
      </c>
      <c r="I1178" t="s">
        <v>96</v>
      </c>
      <c r="J1178" t="s">
        <v>97</v>
      </c>
      <c r="K1178" t="s">
        <v>96</v>
      </c>
      <c r="L1178" t="s">
        <v>96</v>
      </c>
      <c r="M1178">
        <v>1780</v>
      </c>
      <c r="O1178" s="12" t="str">
        <f t="shared" si="50"/>
        <v>OAS</v>
      </c>
      <c r="P1178" s="12" t="str">
        <f t="shared" si="51"/>
        <v>E_WON</v>
      </c>
    </row>
    <row r="1179" spans="1:16" x14ac:dyDescent="0.35">
      <c r="A1179" t="s">
        <v>95</v>
      </c>
      <c r="B1179" t="s">
        <v>78</v>
      </c>
      <c r="C1179" t="s">
        <v>45</v>
      </c>
      <c r="D1179" t="s">
        <v>1275</v>
      </c>
      <c r="E1179" t="s">
        <v>96</v>
      </c>
      <c r="F1179" t="s">
        <v>96</v>
      </c>
      <c r="G1179" t="s">
        <v>96</v>
      </c>
      <c r="H1179">
        <v>2010</v>
      </c>
      <c r="I1179" t="s">
        <v>96</v>
      </c>
      <c r="J1179" t="s">
        <v>97</v>
      </c>
      <c r="K1179" t="s">
        <v>96</v>
      </c>
      <c r="L1179" t="s">
        <v>96</v>
      </c>
      <c r="M1179">
        <v>1860</v>
      </c>
      <c r="O1179" s="12" t="str">
        <f t="shared" si="50"/>
        <v>OAS</v>
      </c>
      <c r="P1179" s="12" t="str">
        <f t="shared" si="51"/>
        <v>E_WON</v>
      </c>
    </row>
    <row r="1180" spans="1:16" x14ac:dyDescent="0.35">
      <c r="A1180" t="s">
        <v>95</v>
      </c>
      <c r="B1180" t="s">
        <v>78</v>
      </c>
      <c r="C1180" t="s">
        <v>45</v>
      </c>
      <c r="D1180" t="s">
        <v>1276</v>
      </c>
      <c r="E1180" t="s">
        <v>96</v>
      </c>
      <c r="F1180" t="s">
        <v>96</v>
      </c>
      <c r="G1180" t="s">
        <v>96</v>
      </c>
      <c r="H1180">
        <v>2010</v>
      </c>
      <c r="I1180" t="s">
        <v>96</v>
      </c>
      <c r="J1180" t="s">
        <v>97</v>
      </c>
      <c r="K1180" t="s">
        <v>96</v>
      </c>
      <c r="L1180" t="s">
        <v>96</v>
      </c>
      <c r="M1180">
        <v>1780</v>
      </c>
      <c r="O1180" s="12" t="str">
        <f t="shared" si="50"/>
        <v>OAS</v>
      </c>
      <c r="P1180" s="12" t="str">
        <f t="shared" si="51"/>
        <v>E_WON</v>
      </c>
    </row>
    <row r="1181" spans="1:16" x14ac:dyDescent="0.35">
      <c r="A1181" t="s">
        <v>95</v>
      </c>
      <c r="B1181" t="s">
        <v>78</v>
      </c>
      <c r="C1181" t="s">
        <v>45</v>
      </c>
      <c r="D1181" t="s">
        <v>1277</v>
      </c>
      <c r="E1181" t="s">
        <v>96</v>
      </c>
      <c r="F1181" t="s">
        <v>96</v>
      </c>
      <c r="G1181" t="s">
        <v>96</v>
      </c>
      <c r="H1181">
        <v>2010</v>
      </c>
      <c r="I1181" t="s">
        <v>96</v>
      </c>
      <c r="J1181" t="s">
        <v>97</v>
      </c>
      <c r="K1181" t="s">
        <v>96</v>
      </c>
      <c r="L1181" t="s">
        <v>96</v>
      </c>
      <c r="M1181">
        <v>1780</v>
      </c>
      <c r="O1181" s="12" t="str">
        <f t="shared" si="50"/>
        <v>OAS</v>
      </c>
      <c r="P1181" s="12" t="str">
        <f t="shared" si="51"/>
        <v>E_WON</v>
      </c>
    </row>
    <row r="1182" spans="1:16" x14ac:dyDescent="0.35">
      <c r="A1182" t="s">
        <v>95</v>
      </c>
      <c r="B1182" t="s">
        <v>78</v>
      </c>
      <c r="C1182" t="s">
        <v>45</v>
      </c>
      <c r="D1182" t="s">
        <v>1278</v>
      </c>
      <c r="E1182" t="s">
        <v>96</v>
      </c>
      <c r="F1182" t="s">
        <v>96</v>
      </c>
      <c r="G1182" t="s">
        <v>96</v>
      </c>
      <c r="H1182">
        <v>2010</v>
      </c>
      <c r="I1182" t="s">
        <v>96</v>
      </c>
      <c r="J1182" t="s">
        <v>97</v>
      </c>
      <c r="K1182" t="s">
        <v>96</v>
      </c>
      <c r="L1182" t="s">
        <v>96</v>
      </c>
      <c r="M1182">
        <v>1780</v>
      </c>
      <c r="O1182" s="12" t="str">
        <f t="shared" si="50"/>
        <v>OAS</v>
      </c>
      <c r="P1182" s="12" t="str">
        <f t="shared" si="51"/>
        <v>E_WON</v>
      </c>
    </row>
    <row r="1183" spans="1:16" x14ac:dyDescent="0.35">
      <c r="A1183" t="s">
        <v>95</v>
      </c>
      <c r="B1183" t="s">
        <v>78</v>
      </c>
      <c r="C1183" t="s">
        <v>45</v>
      </c>
      <c r="D1183" t="s">
        <v>1279</v>
      </c>
      <c r="E1183" t="s">
        <v>96</v>
      </c>
      <c r="F1183" t="s">
        <v>96</v>
      </c>
      <c r="G1183" t="s">
        <v>96</v>
      </c>
      <c r="H1183">
        <v>2010</v>
      </c>
      <c r="I1183" t="s">
        <v>96</v>
      </c>
      <c r="J1183" t="s">
        <v>97</v>
      </c>
      <c r="K1183" t="s">
        <v>96</v>
      </c>
      <c r="L1183" t="s">
        <v>96</v>
      </c>
      <c r="M1183">
        <v>1780</v>
      </c>
      <c r="O1183" s="12" t="str">
        <f t="shared" si="50"/>
        <v>OAS</v>
      </c>
      <c r="P1183" s="12" t="str">
        <f t="shared" si="51"/>
        <v>E_WON</v>
      </c>
    </row>
    <row r="1184" spans="1:16" x14ac:dyDescent="0.35">
      <c r="A1184" t="s">
        <v>95</v>
      </c>
      <c r="B1184" t="s">
        <v>78</v>
      </c>
      <c r="C1184" t="s">
        <v>45</v>
      </c>
      <c r="D1184" t="s">
        <v>1280</v>
      </c>
      <c r="E1184" t="s">
        <v>96</v>
      </c>
      <c r="F1184" t="s">
        <v>96</v>
      </c>
      <c r="G1184" t="s">
        <v>96</v>
      </c>
      <c r="H1184">
        <v>2010</v>
      </c>
      <c r="I1184" t="s">
        <v>96</v>
      </c>
      <c r="J1184" t="s">
        <v>97</v>
      </c>
      <c r="K1184" t="s">
        <v>96</v>
      </c>
      <c r="L1184" t="s">
        <v>96</v>
      </c>
      <c r="M1184">
        <v>1780</v>
      </c>
      <c r="O1184" s="12" t="str">
        <f t="shared" si="50"/>
        <v>OAS</v>
      </c>
      <c r="P1184" s="12" t="str">
        <f t="shared" si="51"/>
        <v>E_WON</v>
      </c>
    </row>
    <row r="1185" spans="1:16" x14ac:dyDescent="0.35">
      <c r="A1185" t="s">
        <v>95</v>
      </c>
      <c r="B1185" t="s">
        <v>78</v>
      </c>
      <c r="C1185" t="s">
        <v>45</v>
      </c>
      <c r="D1185" t="s">
        <v>1281</v>
      </c>
      <c r="E1185" t="s">
        <v>96</v>
      </c>
      <c r="F1185" t="s">
        <v>96</v>
      </c>
      <c r="G1185" t="s">
        <v>96</v>
      </c>
      <c r="H1185">
        <v>2010</v>
      </c>
      <c r="I1185" t="s">
        <v>96</v>
      </c>
      <c r="J1185" t="s">
        <v>97</v>
      </c>
      <c r="K1185" t="s">
        <v>96</v>
      </c>
      <c r="L1185" t="s">
        <v>96</v>
      </c>
      <c r="M1185">
        <v>1800</v>
      </c>
      <c r="O1185" s="12" t="str">
        <f t="shared" si="50"/>
        <v>OAS</v>
      </c>
      <c r="P1185" s="12" t="str">
        <f t="shared" si="51"/>
        <v>E_WON</v>
      </c>
    </row>
    <row r="1186" spans="1:16" x14ac:dyDescent="0.35">
      <c r="A1186" t="s">
        <v>95</v>
      </c>
      <c r="B1186" t="s">
        <v>78</v>
      </c>
      <c r="C1186" t="s">
        <v>45</v>
      </c>
      <c r="D1186" t="s">
        <v>1282</v>
      </c>
      <c r="E1186" t="s">
        <v>96</v>
      </c>
      <c r="F1186" t="s">
        <v>96</v>
      </c>
      <c r="G1186" t="s">
        <v>96</v>
      </c>
      <c r="H1186">
        <v>2010</v>
      </c>
      <c r="I1186" t="s">
        <v>96</v>
      </c>
      <c r="J1186" t="s">
        <v>97</v>
      </c>
      <c r="K1186" t="s">
        <v>96</v>
      </c>
      <c r="L1186" t="s">
        <v>96</v>
      </c>
      <c r="M1186">
        <v>1780</v>
      </c>
      <c r="O1186" s="12" t="str">
        <f t="shared" si="50"/>
        <v>OAS</v>
      </c>
      <c r="P1186" s="12" t="str">
        <f t="shared" si="51"/>
        <v>E_WON</v>
      </c>
    </row>
    <row r="1187" spans="1:16" x14ac:dyDescent="0.35">
      <c r="A1187" t="s">
        <v>95</v>
      </c>
      <c r="B1187" t="s">
        <v>78</v>
      </c>
      <c r="C1187" t="s">
        <v>45</v>
      </c>
      <c r="D1187" t="s">
        <v>1283</v>
      </c>
      <c r="E1187" t="s">
        <v>96</v>
      </c>
      <c r="F1187" t="s">
        <v>96</v>
      </c>
      <c r="G1187" t="s">
        <v>96</v>
      </c>
      <c r="H1187">
        <v>2010</v>
      </c>
      <c r="I1187" t="s">
        <v>96</v>
      </c>
      <c r="J1187" t="s">
        <v>97</v>
      </c>
      <c r="K1187" t="s">
        <v>96</v>
      </c>
      <c r="L1187" t="s">
        <v>96</v>
      </c>
      <c r="M1187">
        <v>1780</v>
      </c>
      <c r="O1187" s="12" t="str">
        <f t="shared" si="50"/>
        <v>OAS</v>
      </c>
      <c r="P1187" s="12" t="str">
        <f t="shared" si="51"/>
        <v>E_WON</v>
      </c>
    </row>
    <row r="1188" spans="1:16" x14ac:dyDescent="0.35">
      <c r="A1188" t="s">
        <v>95</v>
      </c>
      <c r="B1188" t="s">
        <v>78</v>
      </c>
      <c r="C1188" t="s">
        <v>45</v>
      </c>
      <c r="D1188" t="s">
        <v>1284</v>
      </c>
      <c r="E1188" t="s">
        <v>96</v>
      </c>
      <c r="F1188" t="s">
        <v>96</v>
      </c>
      <c r="G1188" t="s">
        <v>96</v>
      </c>
      <c r="H1188">
        <v>2010</v>
      </c>
      <c r="I1188" t="s">
        <v>96</v>
      </c>
      <c r="J1188" t="s">
        <v>97</v>
      </c>
      <c r="K1188" t="s">
        <v>96</v>
      </c>
      <c r="L1188" t="s">
        <v>96</v>
      </c>
      <c r="M1188">
        <v>1700</v>
      </c>
      <c r="O1188" s="12" t="str">
        <f t="shared" si="50"/>
        <v>OAS</v>
      </c>
      <c r="P1188" s="12" t="str">
        <f t="shared" si="51"/>
        <v>E_WON</v>
      </c>
    </row>
    <row r="1189" spans="1:16" x14ac:dyDescent="0.35">
      <c r="A1189" t="s">
        <v>95</v>
      </c>
      <c r="B1189" t="s">
        <v>78</v>
      </c>
      <c r="C1189" t="s">
        <v>45</v>
      </c>
      <c r="D1189" t="s">
        <v>1285</v>
      </c>
      <c r="E1189" t="s">
        <v>96</v>
      </c>
      <c r="F1189" t="s">
        <v>96</v>
      </c>
      <c r="G1189" t="s">
        <v>96</v>
      </c>
      <c r="H1189">
        <v>2010</v>
      </c>
      <c r="I1189" t="s">
        <v>96</v>
      </c>
      <c r="J1189" t="s">
        <v>97</v>
      </c>
      <c r="K1189" t="s">
        <v>96</v>
      </c>
      <c r="L1189" t="s">
        <v>96</v>
      </c>
      <c r="M1189">
        <v>1780</v>
      </c>
      <c r="O1189" s="12" t="str">
        <f t="shared" si="50"/>
        <v>OAS</v>
      </c>
      <c r="P1189" s="12" t="str">
        <f t="shared" si="51"/>
        <v>E_WON</v>
      </c>
    </row>
    <row r="1190" spans="1:16" x14ac:dyDescent="0.35">
      <c r="A1190" t="s">
        <v>95</v>
      </c>
      <c r="B1190" t="s">
        <v>78</v>
      </c>
      <c r="C1190" t="s">
        <v>45</v>
      </c>
      <c r="D1190" t="s">
        <v>1286</v>
      </c>
      <c r="E1190" t="s">
        <v>96</v>
      </c>
      <c r="F1190" t="s">
        <v>96</v>
      </c>
      <c r="G1190" t="s">
        <v>96</v>
      </c>
      <c r="H1190">
        <v>2010</v>
      </c>
      <c r="I1190" t="s">
        <v>96</v>
      </c>
      <c r="J1190" t="s">
        <v>97</v>
      </c>
      <c r="K1190" t="s">
        <v>96</v>
      </c>
      <c r="L1190" t="s">
        <v>96</v>
      </c>
      <c r="M1190">
        <v>1780</v>
      </c>
      <c r="O1190" s="12" t="str">
        <f t="shared" si="50"/>
        <v>OAS</v>
      </c>
      <c r="P1190" s="12" t="str">
        <f t="shared" si="51"/>
        <v>E_WON</v>
      </c>
    </row>
    <row r="1191" spans="1:16" x14ac:dyDescent="0.35">
      <c r="A1191" t="s">
        <v>95</v>
      </c>
      <c r="B1191" t="s">
        <v>78</v>
      </c>
      <c r="C1191" t="s">
        <v>45</v>
      </c>
      <c r="D1191" t="s">
        <v>1287</v>
      </c>
      <c r="E1191" t="s">
        <v>96</v>
      </c>
      <c r="F1191" t="s">
        <v>96</v>
      </c>
      <c r="G1191" t="s">
        <v>96</v>
      </c>
      <c r="H1191">
        <v>2010</v>
      </c>
      <c r="I1191" t="s">
        <v>96</v>
      </c>
      <c r="J1191" t="s">
        <v>97</v>
      </c>
      <c r="K1191" t="s">
        <v>96</v>
      </c>
      <c r="L1191" t="s">
        <v>96</v>
      </c>
      <c r="M1191">
        <v>1780</v>
      </c>
      <c r="O1191" s="12" t="str">
        <f t="shared" si="50"/>
        <v>OAS</v>
      </c>
      <c r="P1191" s="12" t="str">
        <f t="shared" si="51"/>
        <v>E_WON</v>
      </c>
    </row>
    <row r="1192" spans="1:16" x14ac:dyDescent="0.35">
      <c r="A1192" t="s">
        <v>95</v>
      </c>
      <c r="B1192" t="s">
        <v>78</v>
      </c>
      <c r="C1192" t="s">
        <v>45</v>
      </c>
      <c r="D1192" t="s">
        <v>1288</v>
      </c>
      <c r="E1192" t="s">
        <v>96</v>
      </c>
      <c r="F1192" t="s">
        <v>96</v>
      </c>
      <c r="G1192" t="s">
        <v>96</v>
      </c>
      <c r="H1192">
        <v>2010</v>
      </c>
      <c r="I1192" t="s">
        <v>96</v>
      </c>
      <c r="J1192" t="s">
        <v>97</v>
      </c>
      <c r="K1192" t="s">
        <v>96</v>
      </c>
      <c r="L1192" t="s">
        <v>96</v>
      </c>
      <c r="M1192">
        <v>1700</v>
      </c>
      <c r="O1192" s="12" t="str">
        <f t="shared" si="50"/>
        <v>OAS</v>
      </c>
      <c r="P1192" s="12" t="str">
        <f t="shared" si="51"/>
        <v>E_WON</v>
      </c>
    </row>
    <row r="1193" spans="1:16" x14ac:dyDescent="0.35">
      <c r="A1193" t="s">
        <v>95</v>
      </c>
      <c r="B1193" t="s">
        <v>78</v>
      </c>
      <c r="C1193" t="s">
        <v>45</v>
      </c>
      <c r="D1193" t="s">
        <v>1289</v>
      </c>
      <c r="E1193" t="s">
        <v>96</v>
      </c>
      <c r="F1193" t="s">
        <v>96</v>
      </c>
      <c r="G1193" t="s">
        <v>96</v>
      </c>
      <c r="H1193">
        <v>2010</v>
      </c>
      <c r="I1193" t="s">
        <v>96</v>
      </c>
      <c r="J1193" t="s">
        <v>97</v>
      </c>
      <c r="K1193" t="s">
        <v>96</v>
      </c>
      <c r="L1193" t="s">
        <v>96</v>
      </c>
      <c r="M1193">
        <v>1780</v>
      </c>
      <c r="O1193" s="12" t="str">
        <f t="shared" si="50"/>
        <v>OAS</v>
      </c>
      <c r="P1193" s="12" t="str">
        <f t="shared" si="51"/>
        <v>E_WON</v>
      </c>
    </row>
    <row r="1194" spans="1:16" x14ac:dyDescent="0.35">
      <c r="A1194" t="s">
        <v>95</v>
      </c>
      <c r="B1194" t="s">
        <v>78</v>
      </c>
      <c r="C1194" t="s">
        <v>45</v>
      </c>
      <c r="D1194" t="s">
        <v>1290</v>
      </c>
      <c r="E1194" t="s">
        <v>96</v>
      </c>
      <c r="F1194" t="s">
        <v>96</v>
      </c>
      <c r="G1194" t="s">
        <v>96</v>
      </c>
      <c r="H1194">
        <v>2010</v>
      </c>
      <c r="I1194" t="s">
        <v>96</v>
      </c>
      <c r="J1194" t="s">
        <v>97</v>
      </c>
      <c r="K1194" t="s">
        <v>96</v>
      </c>
      <c r="L1194" t="s">
        <v>96</v>
      </c>
      <c r="M1194">
        <v>1840</v>
      </c>
      <c r="O1194" s="12" t="str">
        <f t="shared" si="50"/>
        <v>OAS</v>
      </c>
      <c r="P1194" s="12" t="str">
        <f t="shared" si="51"/>
        <v>E_WON</v>
      </c>
    </row>
    <row r="1195" spans="1:16" x14ac:dyDescent="0.35">
      <c r="A1195" t="s">
        <v>95</v>
      </c>
      <c r="B1195" t="s">
        <v>78</v>
      </c>
      <c r="C1195" t="s">
        <v>45</v>
      </c>
      <c r="D1195" t="s">
        <v>1291</v>
      </c>
      <c r="E1195" t="s">
        <v>96</v>
      </c>
      <c r="F1195" t="s">
        <v>96</v>
      </c>
      <c r="G1195" t="s">
        <v>96</v>
      </c>
      <c r="H1195">
        <v>2010</v>
      </c>
      <c r="I1195" t="s">
        <v>96</v>
      </c>
      <c r="J1195" t="s">
        <v>97</v>
      </c>
      <c r="K1195" t="s">
        <v>96</v>
      </c>
      <c r="L1195" t="s">
        <v>96</v>
      </c>
      <c r="M1195">
        <v>1780</v>
      </c>
      <c r="O1195" s="12" t="str">
        <f t="shared" si="50"/>
        <v>OAS</v>
      </c>
      <c r="P1195" s="12" t="str">
        <f t="shared" si="51"/>
        <v>E_WON</v>
      </c>
    </row>
    <row r="1196" spans="1:16" x14ac:dyDescent="0.35">
      <c r="A1196" t="s">
        <v>95</v>
      </c>
      <c r="B1196" t="s">
        <v>78</v>
      </c>
      <c r="C1196" t="s">
        <v>45</v>
      </c>
      <c r="D1196" t="s">
        <v>1292</v>
      </c>
      <c r="E1196" t="s">
        <v>96</v>
      </c>
      <c r="F1196" t="s">
        <v>96</v>
      </c>
      <c r="G1196" t="s">
        <v>96</v>
      </c>
      <c r="H1196">
        <v>2010</v>
      </c>
      <c r="I1196" t="s">
        <v>96</v>
      </c>
      <c r="J1196" t="s">
        <v>97</v>
      </c>
      <c r="K1196" t="s">
        <v>96</v>
      </c>
      <c r="L1196" t="s">
        <v>96</v>
      </c>
      <c r="M1196">
        <v>1780</v>
      </c>
      <c r="O1196" s="12" t="str">
        <f t="shared" si="50"/>
        <v>OAS</v>
      </c>
      <c r="P1196" s="12" t="str">
        <f t="shared" si="51"/>
        <v>E_WON</v>
      </c>
    </row>
    <row r="1197" spans="1:16" x14ac:dyDescent="0.35">
      <c r="A1197" t="s">
        <v>95</v>
      </c>
      <c r="B1197" t="s">
        <v>78</v>
      </c>
      <c r="C1197" t="s">
        <v>45</v>
      </c>
      <c r="D1197" t="s">
        <v>1293</v>
      </c>
      <c r="E1197" t="s">
        <v>96</v>
      </c>
      <c r="F1197" t="s">
        <v>96</v>
      </c>
      <c r="G1197" t="s">
        <v>96</v>
      </c>
      <c r="H1197">
        <v>2010</v>
      </c>
      <c r="I1197" t="s">
        <v>96</v>
      </c>
      <c r="J1197" t="s">
        <v>97</v>
      </c>
      <c r="K1197" t="s">
        <v>96</v>
      </c>
      <c r="L1197" t="s">
        <v>96</v>
      </c>
      <c r="M1197">
        <v>1780</v>
      </c>
      <c r="O1197" s="12" t="str">
        <f t="shared" si="50"/>
        <v>OAS</v>
      </c>
      <c r="P1197" s="12" t="str">
        <f t="shared" si="51"/>
        <v>E_WON</v>
      </c>
    </row>
    <row r="1198" spans="1:16" x14ac:dyDescent="0.35">
      <c r="A1198" t="s">
        <v>95</v>
      </c>
      <c r="B1198" t="s">
        <v>78</v>
      </c>
      <c r="C1198" t="s">
        <v>45</v>
      </c>
      <c r="D1198" t="s">
        <v>1294</v>
      </c>
      <c r="E1198" t="s">
        <v>96</v>
      </c>
      <c r="F1198" t="s">
        <v>96</v>
      </c>
      <c r="G1198" t="s">
        <v>96</v>
      </c>
      <c r="H1198">
        <v>2010</v>
      </c>
      <c r="I1198" t="s">
        <v>96</v>
      </c>
      <c r="J1198" t="s">
        <v>97</v>
      </c>
      <c r="K1198" t="s">
        <v>96</v>
      </c>
      <c r="L1198" t="s">
        <v>96</v>
      </c>
      <c r="M1198">
        <v>1860</v>
      </c>
      <c r="O1198" s="12" t="str">
        <f t="shared" si="50"/>
        <v>OAS</v>
      </c>
      <c r="P1198" s="12" t="str">
        <f t="shared" si="51"/>
        <v>E_WON</v>
      </c>
    </row>
    <row r="1199" spans="1:16" x14ac:dyDescent="0.35">
      <c r="A1199" t="s">
        <v>95</v>
      </c>
      <c r="B1199" t="s">
        <v>78</v>
      </c>
      <c r="C1199" t="s">
        <v>45</v>
      </c>
      <c r="D1199" t="s">
        <v>1295</v>
      </c>
      <c r="E1199" t="s">
        <v>96</v>
      </c>
      <c r="F1199" t="s">
        <v>96</v>
      </c>
      <c r="G1199" t="s">
        <v>96</v>
      </c>
      <c r="H1199">
        <v>2010</v>
      </c>
      <c r="I1199" t="s">
        <v>96</v>
      </c>
      <c r="J1199" t="s">
        <v>97</v>
      </c>
      <c r="K1199" t="s">
        <v>96</v>
      </c>
      <c r="L1199" t="s">
        <v>96</v>
      </c>
      <c r="M1199">
        <v>1780</v>
      </c>
      <c r="O1199" s="12" t="str">
        <f t="shared" si="50"/>
        <v>OAS</v>
      </c>
      <c r="P1199" s="12" t="str">
        <f t="shared" si="51"/>
        <v>E_WON</v>
      </c>
    </row>
    <row r="1200" spans="1:16" x14ac:dyDescent="0.35">
      <c r="A1200" t="s">
        <v>95</v>
      </c>
      <c r="B1200" t="s">
        <v>78</v>
      </c>
      <c r="C1200" t="s">
        <v>45</v>
      </c>
      <c r="D1200" t="s">
        <v>1296</v>
      </c>
      <c r="E1200" t="s">
        <v>96</v>
      </c>
      <c r="F1200" t="s">
        <v>96</v>
      </c>
      <c r="G1200" t="s">
        <v>96</v>
      </c>
      <c r="H1200">
        <v>2010</v>
      </c>
      <c r="I1200" t="s">
        <v>96</v>
      </c>
      <c r="J1200" t="s">
        <v>97</v>
      </c>
      <c r="K1200" t="s">
        <v>96</v>
      </c>
      <c r="L1200" t="s">
        <v>96</v>
      </c>
      <c r="M1200">
        <v>1780</v>
      </c>
      <c r="O1200" s="12" t="str">
        <f t="shared" si="50"/>
        <v>OAS</v>
      </c>
      <c r="P1200" s="12" t="str">
        <f t="shared" si="51"/>
        <v>E_WON</v>
      </c>
    </row>
    <row r="1201" spans="1:16" x14ac:dyDescent="0.35">
      <c r="A1201" t="s">
        <v>95</v>
      </c>
      <c r="B1201" t="s">
        <v>78</v>
      </c>
      <c r="C1201" t="s">
        <v>45</v>
      </c>
      <c r="D1201" t="s">
        <v>1297</v>
      </c>
      <c r="E1201" t="s">
        <v>96</v>
      </c>
      <c r="F1201" t="s">
        <v>96</v>
      </c>
      <c r="G1201" t="s">
        <v>96</v>
      </c>
      <c r="H1201">
        <v>2010</v>
      </c>
      <c r="I1201" t="s">
        <v>96</v>
      </c>
      <c r="J1201" t="s">
        <v>97</v>
      </c>
      <c r="K1201" t="s">
        <v>96</v>
      </c>
      <c r="L1201" t="s">
        <v>96</v>
      </c>
      <c r="M1201">
        <v>1780</v>
      </c>
      <c r="O1201" s="12" t="str">
        <f t="shared" si="50"/>
        <v>OAS</v>
      </c>
      <c r="P1201" s="12" t="str">
        <f t="shared" si="51"/>
        <v>E_WON</v>
      </c>
    </row>
    <row r="1202" spans="1:16" x14ac:dyDescent="0.35">
      <c r="A1202" t="s">
        <v>95</v>
      </c>
      <c r="B1202" t="s">
        <v>78</v>
      </c>
      <c r="C1202" t="s">
        <v>45</v>
      </c>
      <c r="D1202" t="s">
        <v>1298</v>
      </c>
      <c r="E1202" t="s">
        <v>96</v>
      </c>
      <c r="F1202" t="s">
        <v>96</v>
      </c>
      <c r="G1202" t="s">
        <v>96</v>
      </c>
      <c r="H1202">
        <v>2010</v>
      </c>
      <c r="I1202" t="s">
        <v>96</v>
      </c>
      <c r="J1202" t="s">
        <v>97</v>
      </c>
      <c r="K1202" t="s">
        <v>96</v>
      </c>
      <c r="L1202" t="s">
        <v>96</v>
      </c>
      <c r="M1202">
        <v>1780</v>
      </c>
      <c r="O1202" s="12" t="str">
        <f t="shared" si="50"/>
        <v>OAS</v>
      </c>
      <c r="P1202" s="12" t="str">
        <f t="shared" si="51"/>
        <v>E_WON</v>
      </c>
    </row>
    <row r="1203" spans="1:16" x14ac:dyDescent="0.35">
      <c r="A1203" t="s">
        <v>95</v>
      </c>
      <c r="B1203" t="s">
        <v>78</v>
      </c>
      <c r="C1203" t="s">
        <v>45</v>
      </c>
      <c r="D1203" t="s">
        <v>1299</v>
      </c>
      <c r="E1203" t="s">
        <v>96</v>
      </c>
      <c r="F1203" t="s">
        <v>96</v>
      </c>
      <c r="G1203" t="s">
        <v>96</v>
      </c>
      <c r="H1203">
        <v>2010</v>
      </c>
      <c r="I1203" t="s">
        <v>96</v>
      </c>
      <c r="J1203" t="s">
        <v>97</v>
      </c>
      <c r="K1203" t="s">
        <v>96</v>
      </c>
      <c r="L1203" t="s">
        <v>96</v>
      </c>
      <c r="M1203">
        <v>1780</v>
      </c>
      <c r="O1203" s="12" t="str">
        <f t="shared" si="50"/>
        <v>OAS</v>
      </c>
      <c r="P1203" s="12" t="str">
        <f t="shared" si="51"/>
        <v>E_WON</v>
      </c>
    </row>
    <row r="1204" spans="1:16" x14ac:dyDescent="0.35">
      <c r="A1204" t="s">
        <v>95</v>
      </c>
      <c r="B1204" t="s">
        <v>78</v>
      </c>
      <c r="C1204" t="s">
        <v>45</v>
      </c>
      <c r="D1204" t="s">
        <v>1300</v>
      </c>
      <c r="E1204" t="s">
        <v>96</v>
      </c>
      <c r="F1204" t="s">
        <v>96</v>
      </c>
      <c r="G1204" t="s">
        <v>96</v>
      </c>
      <c r="H1204">
        <v>2010</v>
      </c>
      <c r="I1204" t="s">
        <v>96</v>
      </c>
      <c r="J1204" t="s">
        <v>97</v>
      </c>
      <c r="K1204" t="s">
        <v>96</v>
      </c>
      <c r="L1204" t="s">
        <v>96</v>
      </c>
      <c r="M1204">
        <v>1780</v>
      </c>
      <c r="O1204" s="12" t="str">
        <f t="shared" si="50"/>
        <v>OAS</v>
      </c>
      <c r="P1204" s="12" t="str">
        <f t="shared" si="51"/>
        <v>E_WON</v>
      </c>
    </row>
    <row r="1205" spans="1:16" x14ac:dyDescent="0.35">
      <c r="A1205" t="s">
        <v>95</v>
      </c>
      <c r="B1205" t="s">
        <v>78</v>
      </c>
      <c r="C1205" t="s">
        <v>45</v>
      </c>
      <c r="D1205" t="s">
        <v>1301</v>
      </c>
      <c r="E1205" t="s">
        <v>96</v>
      </c>
      <c r="F1205" t="s">
        <v>96</v>
      </c>
      <c r="G1205" t="s">
        <v>96</v>
      </c>
      <c r="H1205">
        <v>2010</v>
      </c>
      <c r="I1205" t="s">
        <v>96</v>
      </c>
      <c r="J1205" t="s">
        <v>97</v>
      </c>
      <c r="K1205" t="s">
        <v>96</v>
      </c>
      <c r="L1205" t="s">
        <v>96</v>
      </c>
      <c r="M1205">
        <v>1700</v>
      </c>
      <c r="O1205" s="12" t="str">
        <f t="shared" si="50"/>
        <v>OAS</v>
      </c>
      <c r="P1205" s="12" t="str">
        <f t="shared" si="51"/>
        <v>E_WON</v>
      </c>
    </row>
    <row r="1206" spans="1:16" x14ac:dyDescent="0.35">
      <c r="A1206" t="s">
        <v>95</v>
      </c>
      <c r="B1206" t="s">
        <v>78</v>
      </c>
      <c r="C1206" t="s">
        <v>45</v>
      </c>
      <c r="D1206" t="s">
        <v>1302</v>
      </c>
      <c r="E1206" t="s">
        <v>96</v>
      </c>
      <c r="F1206" t="s">
        <v>96</v>
      </c>
      <c r="G1206" t="s">
        <v>96</v>
      </c>
      <c r="H1206">
        <v>2010</v>
      </c>
      <c r="I1206" t="s">
        <v>96</v>
      </c>
      <c r="J1206" t="s">
        <v>97</v>
      </c>
      <c r="K1206" t="s">
        <v>96</v>
      </c>
      <c r="L1206" t="s">
        <v>96</v>
      </c>
      <c r="M1206">
        <v>1780</v>
      </c>
      <c r="O1206" s="12" t="str">
        <f t="shared" si="50"/>
        <v>OAS</v>
      </c>
      <c r="P1206" s="12" t="str">
        <f t="shared" si="51"/>
        <v>E_WON</v>
      </c>
    </row>
    <row r="1207" spans="1:16" x14ac:dyDescent="0.35">
      <c r="A1207" t="s">
        <v>95</v>
      </c>
      <c r="B1207" t="s">
        <v>78</v>
      </c>
      <c r="C1207" t="s">
        <v>45</v>
      </c>
      <c r="D1207" t="s">
        <v>1303</v>
      </c>
      <c r="E1207" t="s">
        <v>96</v>
      </c>
      <c r="F1207" t="s">
        <v>96</v>
      </c>
      <c r="G1207" t="s">
        <v>96</v>
      </c>
      <c r="H1207">
        <v>2010</v>
      </c>
      <c r="I1207" t="s">
        <v>96</v>
      </c>
      <c r="J1207" t="s">
        <v>97</v>
      </c>
      <c r="K1207" t="s">
        <v>96</v>
      </c>
      <c r="L1207" t="s">
        <v>96</v>
      </c>
      <c r="M1207">
        <v>1780</v>
      </c>
      <c r="O1207" s="12" t="str">
        <f t="shared" si="50"/>
        <v>OAS</v>
      </c>
      <c r="P1207" s="12" t="str">
        <f t="shared" si="51"/>
        <v>E_WON</v>
      </c>
    </row>
    <row r="1208" spans="1:16" x14ac:dyDescent="0.35">
      <c r="A1208" t="s">
        <v>95</v>
      </c>
      <c r="B1208" t="s">
        <v>78</v>
      </c>
      <c r="C1208" t="s">
        <v>45</v>
      </c>
      <c r="D1208" t="s">
        <v>1304</v>
      </c>
      <c r="E1208" t="s">
        <v>96</v>
      </c>
      <c r="F1208" t="s">
        <v>96</v>
      </c>
      <c r="G1208" t="s">
        <v>96</v>
      </c>
      <c r="H1208">
        <v>2010</v>
      </c>
      <c r="I1208" t="s">
        <v>96</v>
      </c>
      <c r="J1208" t="s">
        <v>97</v>
      </c>
      <c r="K1208" t="s">
        <v>96</v>
      </c>
      <c r="L1208" t="s">
        <v>96</v>
      </c>
      <c r="M1208">
        <v>1780</v>
      </c>
      <c r="O1208" s="12" t="str">
        <f t="shared" si="50"/>
        <v>OAS</v>
      </c>
      <c r="P1208" s="12" t="str">
        <f t="shared" si="51"/>
        <v>E_WON</v>
      </c>
    </row>
    <row r="1209" spans="1:16" x14ac:dyDescent="0.35">
      <c r="A1209" t="s">
        <v>95</v>
      </c>
      <c r="B1209" t="s">
        <v>78</v>
      </c>
      <c r="C1209" t="s">
        <v>45</v>
      </c>
      <c r="D1209" t="s">
        <v>1305</v>
      </c>
      <c r="E1209" t="s">
        <v>96</v>
      </c>
      <c r="F1209" t="s">
        <v>96</v>
      </c>
      <c r="G1209" t="s">
        <v>96</v>
      </c>
      <c r="H1209">
        <v>2010</v>
      </c>
      <c r="I1209" t="s">
        <v>96</v>
      </c>
      <c r="J1209" t="s">
        <v>97</v>
      </c>
      <c r="K1209" t="s">
        <v>96</v>
      </c>
      <c r="L1209" t="s">
        <v>96</v>
      </c>
      <c r="M1209">
        <v>1700</v>
      </c>
      <c r="O1209" s="12" t="str">
        <f t="shared" si="50"/>
        <v>OAS</v>
      </c>
      <c r="P1209" s="12" t="str">
        <f t="shared" si="51"/>
        <v>E_WON</v>
      </c>
    </row>
    <row r="1210" spans="1:16" x14ac:dyDescent="0.35">
      <c r="A1210" t="s">
        <v>95</v>
      </c>
      <c r="B1210" t="s">
        <v>78</v>
      </c>
      <c r="C1210" t="s">
        <v>45</v>
      </c>
      <c r="D1210" t="s">
        <v>1306</v>
      </c>
      <c r="E1210" t="s">
        <v>96</v>
      </c>
      <c r="F1210" t="s">
        <v>96</v>
      </c>
      <c r="G1210" t="s">
        <v>96</v>
      </c>
      <c r="H1210">
        <v>2010</v>
      </c>
      <c r="I1210" t="s">
        <v>96</v>
      </c>
      <c r="J1210" t="s">
        <v>97</v>
      </c>
      <c r="K1210" t="s">
        <v>96</v>
      </c>
      <c r="L1210" t="s">
        <v>96</v>
      </c>
      <c r="M1210">
        <v>1780</v>
      </c>
      <c r="O1210" s="12" t="str">
        <f t="shared" si="50"/>
        <v>OAS</v>
      </c>
      <c r="P1210" s="12" t="str">
        <f t="shared" si="51"/>
        <v>E_WON</v>
      </c>
    </row>
    <row r="1211" spans="1:16" x14ac:dyDescent="0.35">
      <c r="A1211" t="s">
        <v>95</v>
      </c>
      <c r="B1211" t="s">
        <v>78</v>
      </c>
      <c r="C1211" t="s">
        <v>45</v>
      </c>
      <c r="D1211" t="s">
        <v>1307</v>
      </c>
      <c r="E1211" t="s">
        <v>96</v>
      </c>
      <c r="F1211" t="s">
        <v>96</v>
      </c>
      <c r="G1211" t="s">
        <v>96</v>
      </c>
      <c r="H1211">
        <v>2010</v>
      </c>
      <c r="I1211" t="s">
        <v>96</v>
      </c>
      <c r="J1211" t="s">
        <v>97</v>
      </c>
      <c r="K1211" t="s">
        <v>96</v>
      </c>
      <c r="L1211" t="s">
        <v>96</v>
      </c>
      <c r="M1211">
        <v>1840</v>
      </c>
      <c r="O1211" s="12" t="str">
        <f t="shared" si="50"/>
        <v>OAS</v>
      </c>
      <c r="P1211" s="12" t="str">
        <f t="shared" si="51"/>
        <v>E_WON</v>
      </c>
    </row>
    <row r="1212" spans="1:16" x14ac:dyDescent="0.35">
      <c r="A1212" t="s">
        <v>95</v>
      </c>
      <c r="B1212" t="s">
        <v>78</v>
      </c>
      <c r="C1212" t="s">
        <v>45</v>
      </c>
      <c r="D1212" t="s">
        <v>1308</v>
      </c>
      <c r="E1212" t="s">
        <v>96</v>
      </c>
      <c r="F1212" t="s">
        <v>96</v>
      </c>
      <c r="G1212" t="s">
        <v>96</v>
      </c>
      <c r="H1212">
        <v>2010</v>
      </c>
      <c r="I1212" t="s">
        <v>96</v>
      </c>
      <c r="J1212" t="s">
        <v>97</v>
      </c>
      <c r="K1212" t="s">
        <v>96</v>
      </c>
      <c r="L1212" t="s">
        <v>96</v>
      </c>
      <c r="M1212">
        <v>1780</v>
      </c>
      <c r="O1212" s="12" t="str">
        <f t="shared" si="50"/>
        <v>OAS</v>
      </c>
      <c r="P1212" s="12" t="str">
        <f t="shared" si="51"/>
        <v>E_WON</v>
      </c>
    </row>
    <row r="1213" spans="1:16" x14ac:dyDescent="0.35">
      <c r="A1213" t="s">
        <v>95</v>
      </c>
      <c r="B1213" t="s">
        <v>78</v>
      </c>
      <c r="C1213" t="s">
        <v>45</v>
      </c>
      <c r="D1213" t="s">
        <v>1309</v>
      </c>
      <c r="E1213" t="s">
        <v>96</v>
      </c>
      <c r="F1213" t="s">
        <v>96</v>
      </c>
      <c r="G1213" t="s">
        <v>96</v>
      </c>
      <c r="H1213">
        <v>2010</v>
      </c>
      <c r="I1213" t="s">
        <v>96</v>
      </c>
      <c r="J1213" t="s">
        <v>97</v>
      </c>
      <c r="K1213" t="s">
        <v>96</v>
      </c>
      <c r="L1213" t="s">
        <v>96</v>
      </c>
      <c r="M1213">
        <v>1780</v>
      </c>
      <c r="O1213" s="12" t="str">
        <f t="shared" si="50"/>
        <v>OAS</v>
      </c>
      <c r="P1213" s="12" t="str">
        <f t="shared" si="51"/>
        <v>E_WON</v>
      </c>
    </row>
    <row r="1214" spans="1:16" x14ac:dyDescent="0.35">
      <c r="A1214" t="s">
        <v>95</v>
      </c>
      <c r="B1214" t="s">
        <v>78</v>
      </c>
      <c r="C1214" t="s">
        <v>45</v>
      </c>
      <c r="D1214" t="s">
        <v>1310</v>
      </c>
      <c r="E1214" t="s">
        <v>96</v>
      </c>
      <c r="F1214" t="s">
        <v>96</v>
      </c>
      <c r="G1214" t="s">
        <v>96</v>
      </c>
      <c r="H1214">
        <v>2010</v>
      </c>
      <c r="I1214" t="s">
        <v>96</v>
      </c>
      <c r="J1214" t="s">
        <v>97</v>
      </c>
      <c r="K1214" t="s">
        <v>96</v>
      </c>
      <c r="L1214" t="s">
        <v>96</v>
      </c>
      <c r="M1214">
        <v>1860</v>
      </c>
      <c r="O1214" s="12" t="str">
        <f t="shared" si="50"/>
        <v>OAS</v>
      </c>
      <c r="P1214" s="12" t="str">
        <f t="shared" si="51"/>
        <v>E_WON</v>
      </c>
    </row>
    <row r="1215" spans="1:16" x14ac:dyDescent="0.35">
      <c r="A1215" t="s">
        <v>95</v>
      </c>
      <c r="B1215" t="s">
        <v>78</v>
      </c>
      <c r="C1215" t="s">
        <v>45</v>
      </c>
      <c r="D1215" t="s">
        <v>1311</v>
      </c>
      <c r="E1215" t="s">
        <v>96</v>
      </c>
      <c r="F1215" t="s">
        <v>96</v>
      </c>
      <c r="G1215" t="s">
        <v>96</v>
      </c>
      <c r="H1215">
        <v>2010</v>
      </c>
      <c r="I1215" t="s">
        <v>96</v>
      </c>
      <c r="J1215" t="s">
        <v>97</v>
      </c>
      <c r="K1215" t="s">
        <v>96</v>
      </c>
      <c r="L1215" t="s">
        <v>96</v>
      </c>
      <c r="M1215">
        <v>1780</v>
      </c>
      <c r="O1215" s="12" t="str">
        <f t="shared" si="50"/>
        <v>OAS</v>
      </c>
      <c r="P1215" s="12" t="str">
        <f t="shared" si="51"/>
        <v>E_WON</v>
      </c>
    </row>
    <row r="1216" spans="1:16" x14ac:dyDescent="0.35">
      <c r="A1216" t="s">
        <v>95</v>
      </c>
      <c r="B1216" t="s">
        <v>78</v>
      </c>
      <c r="C1216" t="s">
        <v>45</v>
      </c>
      <c r="D1216" t="s">
        <v>1312</v>
      </c>
      <c r="E1216" t="s">
        <v>96</v>
      </c>
      <c r="F1216" t="s">
        <v>96</v>
      </c>
      <c r="G1216" t="s">
        <v>96</v>
      </c>
      <c r="H1216">
        <v>2010</v>
      </c>
      <c r="I1216" t="s">
        <v>96</v>
      </c>
      <c r="J1216" t="s">
        <v>97</v>
      </c>
      <c r="K1216" t="s">
        <v>96</v>
      </c>
      <c r="L1216" t="s">
        <v>96</v>
      </c>
      <c r="M1216">
        <v>1780</v>
      </c>
      <c r="O1216" s="12" t="str">
        <f t="shared" si="50"/>
        <v>OAS</v>
      </c>
      <c r="P1216" s="12" t="str">
        <f t="shared" si="51"/>
        <v>E_WON</v>
      </c>
    </row>
    <row r="1217" spans="1:16" x14ac:dyDescent="0.35">
      <c r="A1217" t="s">
        <v>95</v>
      </c>
      <c r="B1217" t="s">
        <v>78</v>
      </c>
      <c r="C1217" t="s">
        <v>45</v>
      </c>
      <c r="D1217" t="s">
        <v>1313</v>
      </c>
      <c r="E1217" t="s">
        <v>96</v>
      </c>
      <c r="F1217" t="s">
        <v>96</v>
      </c>
      <c r="G1217" t="s">
        <v>96</v>
      </c>
      <c r="H1217">
        <v>2010</v>
      </c>
      <c r="I1217" t="s">
        <v>96</v>
      </c>
      <c r="J1217" t="s">
        <v>97</v>
      </c>
      <c r="K1217" t="s">
        <v>96</v>
      </c>
      <c r="L1217" t="s">
        <v>96</v>
      </c>
      <c r="M1217">
        <v>1780</v>
      </c>
      <c r="O1217" s="12" t="str">
        <f t="shared" si="50"/>
        <v>OAS</v>
      </c>
      <c r="P1217" s="12" t="str">
        <f t="shared" si="51"/>
        <v>E_WON</v>
      </c>
    </row>
    <row r="1218" spans="1:16" x14ac:dyDescent="0.35">
      <c r="A1218" t="s">
        <v>95</v>
      </c>
      <c r="B1218" t="s">
        <v>78</v>
      </c>
      <c r="C1218" t="s">
        <v>45</v>
      </c>
      <c r="D1218" t="s">
        <v>1314</v>
      </c>
      <c r="E1218" t="s">
        <v>96</v>
      </c>
      <c r="F1218" t="s">
        <v>96</v>
      </c>
      <c r="G1218" t="s">
        <v>96</v>
      </c>
      <c r="H1218">
        <v>2010</v>
      </c>
      <c r="I1218" t="s">
        <v>96</v>
      </c>
      <c r="J1218" t="s">
        <v>97</v>
      </c>
      <c r="K1218" t="s">
        <v>96</v>
      </c>
      <c r="L1218" t="s">
        <v>96</v>
      </c>
      <c r="M1218">
        <v>1780</v>
      </c>
      <c r="O1218" s="12" t="str">
        <f t="shared" si="50"/>
        <v>OAS</v>
      </c>
      <c r="P1218" s="12" t="str">
        <f t="shared" si="51"/>
        <v>E_WON</v>
      </c>
    </row>
    <row r="1219" spans="1:16" x14ac:dyDescent="0.35">
      <c r="A1219" t="s">
        <v>95</v>
      </c>
      <c r="B1219" t="s">
        <v>78</v>
      </c>
      <c r="C1219" t="s">
        <v>45</v>
      </c>
      <c r="D1219" t="s">
        <v>1315</v>
      </c>
      <c r="E1219" t="s">
        <v>96</v>
      </c>
      <c r="F1219" t="s">
        <v>96</v>
      </c>
      <c r="G1219" t="s">
        <v>96</v>
      </c>
      <c r="H1219">
        <v>2010</v>
      </c>
      <c r="I1219" t="s">
        <v>96</v>
      </c>
      <c r="J1219" t="s">
        <v>97</v>
      </c>
      <c r="K1219" t="s">
        <v>96</v>
      </c>
      <c r="L1219" t="s">
        <v>96</v>
      </c>
      <c r="M1219">
        <v>1780</v>
      </c>
      <c r="O1219" s="12" t="str">
        <f t="shared" ref="O1219:O1282" si="52">LEFT(B1219,3)</f>
        <v>OAS</v>
      </c>
      <c r="P1219" s="12" t="str">
        <f t="shared" ref="P1219:P1282" si="53">LEFT(D1219,5)</f>
        <v>E_WON</v>
      </c>
    </row>
    <row r="1220" spans="1:16" x14ac:dyDescent="0.35">
      <c r="A1220" t="s">
        <v>95</v>
      </c>
      <c r="B1220" t="s">
        <v>78</v>
      </c>
      <c r="C1220" t="s">
        <v>45</v>
      </c>
      <c r="D1220" t="s">
        <v>1316</v>
      </c>
      <c r="E1220" t="s">
        <v>96</v>
      </c>
      <c r="F1220" t="s">
        <v>96</v>
      </c>
      <c r="G1220" t="s">
        <v>96</v>
      </c>
      <c r="H1220">
        <v>2010</v>
      </c>
      <c r="I1220" t="s">
        <v>96</v>
      </c>
      <c r="J1220" t="s">
        <v>97</v>
      </c>
      <c r="K1220" t="s">
        <v>96</v>
      </c>
      <c r="L1220" t="s">
        <v>96</v>
      </c>
      <c r="M1220">
        <v>1780</v>
      </c>
      <c r="O1220" s="12" t="str">
        <f t="shared" si="52"/>
        <v>OAS</v>
      </c>
      <c r="P1220" s="12" t="str">
        <f t="shared" si="53"/>
        <v>E_WON</v>
      </c>
    </row>
    <row r="1221" spans="1:16" x14ac:dyDescent="0.35">
      <c r="A1221" t="s">
        <v>95</v>
      </c>
      <c r="B1221" t="s">
        <v>78</v>
      </c>
      <c r="C1221" t="s">
        <v>45</v>
      </c>
      <c r="D1221" t="s">
        <v>1317</v>
      </c>
      <c r="E1221" t="s">
        <v>96</v>
      </c>
      <c r="F1221" t="s">
        <v>96</v>
      </c>
      <c r="G1221" t="s">
        <v>96</v>
      </c>
      <c r="H1221">
        <v>2010</v>
      </c>
      <c r="I1221" t="s">
        <v>96</v>
      </c>
      <c r="J1221" t="s">
        <v>97</v>
      </c>
      <c r="K1221" t="s">
        <v>96</v>
      </c>
      <c r="L1221" t="s">
        <v>96</v>
      </c>
      <c r="M1221">
        <v>1780</v>
      </c>
      <c r="O1221" s="12" t="str">
        <f t="shared" si="52"/>
        <v>OAS</v>
      </c>
      <c r="P1221" s="12" t="str">
        <f t="shared" si="53"/>
        <v>E_WON</v>
      </c>
    </row>
    <row r="1222" spans="1:16" x14ac:dyDescent="0.35">
      <c r="A1222" t="s">
        <v>95</v>
      </c>
      <c r="B1222" t="s">
        <v>78</v>
      </c>
      <c r="C1222" t="s">
        <v>45</v>
      </c>
      <c r="D1222" t="s">
        <v>1318</v>
      </c>
      <c r="E1222" t="s">
        <v>96</v>
      </c>
      <c r="F1222" t="s">
        <v>96</v>
      </c>
      <c r="G1222" t="s">
        <v>96</v>
      </c>
      <c r="H1222">
        <v>2010</v>
      </c>
      <c r="I1222" t="s">
        <v>96</v>
      </c>
      <c r="J1222" t="s">
        <v>97</v>
      </c>
      <c r="K1222" t="s">
        <v>96</v>
      </c>
      <c r="L1222" t="s">
        <v>96</v>
      </c>
      <c r="M1222">
        <v>1700</v>
      </c>
      <c r="O1222" s="12" t="str">
        <f t="shared" si="52"/>
        <v>OAS</v>
      </c>
      <c r="P1222" s="12" t="str">
        <f t="shared" si="53"/>
        <v>E_WON</v>
      </c>
    </row>
    <row r="1223" spans="1:16" x14ac:dyDescent="0.35">
      <c r="A1223" t="s">
        <v>95</v>
      </c>
      <c r="B1223" t="s">
        <v>78</v>
      </c>
      <c r="C1223" t="s">
        <v>45</v>
      </c>
      <c r="D1223" t="s">
        <v>1319</v>
      </c>
      <c r="E1223" t="s">
        <v>96</v>
      </c>
      <c r="F1223" t="s">
        <v>96</v>
      </c>
      <c r="G1223" t="s">
        <v>96</v>
      </c>
      <c r="H1223">
        <v>2010</v>
      </c>
      <c r="I1223" t="s">
        <v>96</v>
      </c>
      <c r="J1223" t="s">
        <v>97</v>
      </c>
      <c r="K1223" t="s">
        <v>96</v>
      </c>
      <c r="L1223" t="s">
        <v>96</v>
      </c>
      <c r="M1223">
        <v>1780</v>
      </c>
      <c r="O1223" s="12" t="str">
        <f t="shared" si="52"/>
        <v>OAS</v>
      </c>
      <c r="P1223" s="12" t="str">
        <f t="shared" si="53"/>
        <v>E_WON</v>
      </c>
    </row>
    <row r="1224" spans="1:16" x14ac:dyDescent="0.35">
      <c r="A1224" t="s">
        <v>95</v>
      </c>
      <c r="B1224" t="s">
        <v>78</v>
      </c>
      <c r="C1224" t="s">
        <v>45</v>
      </c>
      <c r="D1224" t="s">
        <v>1320</v>
      </c>
      <c r="E1224" t="s">
        <v>96</v>
      </c>
      <c r="F1224" t="s">
        <v>96</v>
      </c>
      <c r="G1224" t="s">
        <v>96</v>
      </c>
      <c r="H1224">
        <v>2010</v>
      </c>
      <c r="I1224" t="s">
        <v>96</v>
      </c>
      <c r="J1224" t="s">
        <v>97</v>
      </c>
      <c r="K1224" t="s">
        <v>96</v>
      </c>
      <c r="L1224" t="s">
        <v>96</v>
      </c>
      <c r="M1224">
        <v>1780</v>
      </c>
      <c r="O1224" s="12" t="str">
        <f t="shared" si="52"/>
        <v>OAS</v>
      </c>
      <c r="P1224" s="12" t="str">
        <f t="shared" si="53"/>
        <v>E_WON</v>
      </c>
    </row>
    <row r="1225" spans="1:16" x14ac:dyDescent="0.35">
      <c r="A1225" t="s">
        <v>95</v>
      </c>
      <c r="B1225" t="s">
        <v>78</v>
      </c>
      <c r="C1225" t="s">
        <v>45</v>
      </c>
      <c r="D1225" t="s">
        <v>1321</v>
      </c>
      <c r="E1225" t="s">
        <v>96</v>
      </c>
      <c r="F1225" t="s">
        <v>96</v>
      </c>
      <c r="G1225" t="s">
        <v>96</v>
      </c>
      <c r="H1225">
        <v>2010</v>
      </c>
      <c r="I1225" t="s">
        <v>96</v>
      </c>
      <c r="J1225" t="s">
        <v>97</v>
      </c>
      <c r="K1225" t="s">
        <v>96</v>
      </c>
      <c r="L1225" t="s">
        <v>96</v>
      </c>
      <c r="M1225">
        <v>1700</v>
      </c>
      <c r="O1225" s="12" t="str">
        <f t="shared" si="52"/>
        <v>OAS</v>
      </c>
      <c r="P1225" s="12" t="str">
        <f t="shared" si="53"/>
        <v>E_WON</v>
      </c>
    </row>
    <row r="1226" spans="1:16" x14ac:dyDescent="0.35">
      <c r="A1226" t="s">
        <v>95</v>
      </c>
      <c r="B1226" t="s">
        <v>78</v>
      </c>
      <c r="C1226" t="s">
        <v>45</v>
      </c>
      <c r="D1226" t="s">
        <v>1322</v>
      </c>
      <c r="E1226" t="s">
        <v>96</v>
      </c>
      <c r="F1226" t="s">
        <v>96</v>
      </c>
      <c r="G1226" t="s">
        <v>96</v>
      </c>
      <c r="H1226">
        <v>2010</v>
      </c>
      <c r="I1226" t="s">
        <v>96</v>
      </c>
      <c r="J1226" t="s">
        <v>97</v>
      </c>
      <c r="K1226" t="s">
        <v>96</v>
      </c>
      <c r="L1226" t="s">
        <v>96</v>
      </c>
      <c r="M1226">
        <v>1780</v>
      </c>
      <c r="O1226" s="12" t="str">
        <f t="shared" si="52"/>
        <v>OAS</v>
      </c>
      <c r="P1226" s="12" t="str">
        <f t="shared" si="53"/>
        <v>E_WON</v>
      </c>
    </row>
    <row r="1227" spans="1:16" x14ac:dyDescent="0.35">
      <c r="A1227" t="s">
        <v>95</v>
      </c>
      <c r="B1227" t="s">
        <v>78</v>
      </c>
      <c r="C1227" t="s">
        <v>45</v>
      </c>
      <c r="D1227" t="s">
        <v>1323</v>
      </c>
      <c r="E1227" t="s">
        <v>96</v>
      </c>
      <c r="F1227" t="s">
        <v>96</v>
      </c>
      <c r="G1227" t="s">
        <v>96</v>
      </c>
      <c r="H1227">
        <v>2010</v>
      </c>
      <c r="I1227" t="s">
        <v>96</v>
      </c>
      <c r="J1227" t="s">
        <v>97</v>
      </c>
      <c r="K1227" t="s">
        <v>96</v>
      </c>
      <c r="L1227" t="s">
        <v>96</v>
      </c>
      <c r="M1227">
        <v>1840</v>
      </c>
      <c r="O1227" s="12" t="str">
        <f t="shared" si="52"/>
        <v>OAS</v>
      </c>
      <c r="P1227" s="12" t="str">
        <f t="shared" si="53"/>
        <v>E_WON</v>
      </c>
    </row>
    <row r="1228" spans="1:16" x14ac:dyDescent="0.35">
      <c r="A1228" t="s">
        <v>95</v>
      </c>
      <c r="B1228" t="s">
        <v>78</v>
      </c>
      <c r="C1228" t="s">
        <v>45</v>
      </c>
      <c r="D1228" t="s">
        <v>1324</v>
      </c>
      <c r="E1228" t="s">
        <v>96</v>
      </c>
      <c r="F1228" t="s">
        <v>96</v>
      </c>
      <c r="G1228" t="s">
        <v>96</v>
      </c>
      <c r="H1228">
        <v>2010</v>
      </c>
      <c r="I1228" t="s">
        <v>96</v>
      </c>
      <c r="J1228" t="s">
        <v>97</v>
      </c>
      <c r="K1228" t="s">
        <v>96</v>
      </c>
      <c r="L1228" t="s">
        <v>96</v>
      </c>
      <c r="M1228">
        <v>1780</v>
      </c>
      <c r="O1228" s="12" t="str">
        <f t="shared" si="52"/>
        <v>OAS</v>
      </c>
      <c r="P1228" s="12" t="str">
        <f t="shared" si="53"/>
        <v>E_WON</v>
      </c>
    </row>
    <row r="1229" spans="1:16" x14ac:dyDescent="0.35">
      <c r="A1229" t="s">
        <v>95</v>
      </c>
      <c r="B1229" t="s">
        <v>78</v>
      </c>
      <c r="C1229" t="s">
        <v>45</v>
      </c>
      <c r="D1229" t="s">
        <v>1325</v>
      </c>
      <c r="E1229" t="s">
        <v>96</v>
      </c>
      <c r="F1229" t="s">
        <v>96</v>
      </c>
      <c r="G1229" t="s">
        <v>96</v>
      </c>
      <c r="H1229">
        <v>2010</v>
      </c>
      <c r="I1229" t="s">
        <v>96</v>
      </c>
      <c r="J1229" t="s">
        <v>97</v>
      </c>
      <c r="K1229" t="s">
        <v>96</v>
      </c>
      <c r="L1229" t="s">
        <v>96</v>
      </c>
      <c r="M1229">
        <v>1780</v>
      </c>
      <c r="O1229" s="12" t="str">
        <f t="shared" si="52"/>
        <v>OAS</v>
      </c>
      <c r="P1229" s="12" t="str">
        <f t="shared" si="53"/>
        <v>E_WON</v>
      </c>
    </row>
    <row r="1230" spans="1:16" x14ac:dyDescent="0.35">
      <c r="A1230" t="s">
        <v>95</v>
      </c>
      <c r="B1230" t="s">
        <v>78</v>
      </c>
      <c r="C1230" t="s">
        <v>45</v>
      </c>
      <c r="D1230" t="s">
        <v>1326</v>
      </c>
      <c r="E1230" t="s">
        <v>96</v>
      </c>
      <c r="F1230" t="s">
        <v>96</v>
      </c>
      <c r="G1230" t="s">
        <v>96</v>
      </c>
      <c r="H1230">
        <v>2010</v>
      </c>
      <c r="I1230" t="s">
        <v>96</v>
      </c>
      <c r="J1230" t="s">
        <v>97</v>
      </c>
      <c r="K1230" t="s">
        <v>96</v>
      </c>
      <c r="L1230" t="s">
        <v>96</v>
      </c>
      <c r="M1230">
        <v>1860</v>
      </c>
      <c r="O1230" s="12" t="str">
        <f t="shared" si="52"/>
        <v>OAS</v>
      </c>
      <c r="P1230" s="12" t="str">
        <f t="shared" si="53"/>
        <v>E_WON</v>
      </c>
    </row>
    <row r="1231" spans="1:16" x14ac:dyDescent="0.35">
      <c r="A1231" t="s">
        <v>95</v>
      </c>
      <c r="B1231" t="s">
        <v>78</v>
      </c>
      <c r="C1231" t="s">
        <v>45</v>
      </c>
      <c r="D1231" t="s">
        <v>1327</v>
      </c>
      <c r="E1231" t="s">
        <v>96</v>
      </c>
      <c r="F1231" t="s">
        <v>96</v>
      </c>
      <c r="G1231" t="s">
        <v>96</v>
      </c>
      <c r="H1231">
        <v>2010</v>
      </c>
      <c r="I1231" t="s">
        <v>96</v>
      </c>
      <c r="J1231" t="s">
        <v>97</v>
      </c>
      <c r="K1231" t="s">
        <v>96</v>
      </c>
      <c r="L1231" t="s">
        <v>96</v>
      </c>
      <c r="M1231">
        <v>1780</v>
      </c>
      <c r="O1231" s="12" t="str">
        <f t="shared" si="52"/>
        <v>OAS</v>
      </c>
      <c r="P1231" s="12" t="str">
        <f t="shared" si="53"/>
        <v>E_WON</v>
      </c>
    </row>
    <row r="1232" spans="1:16" x14ac:dyDescent="0.35">
      <c r="A1232" t="s">
        <v>95</v>
      </c>
      <c r="B1232" t="s">
        <v>78</v>
      </c>
      <c r="C1232" t="s">
        <v>45</v>
      </c>
      <c r="D1232" t="s">
        <v>1328</v>
      </c>
      <c r="E1232" t="s">
        <v>96</v>
      </c>
      <c r="F1232" t="s">
        <v>96</v>
      </c>
      <c r="G1232" t="s">
        <v>96</v>
      </c>
      <c r="H1232">
        <v>2010</v>
      </c>
      <c r="I1232" t="s">
        <v>96</v>
      </c>
      <c r="J1232" t="s">
        <v>97</v>
      </c>
      <c r="K1232" t="s">
        <v>96</v>
      </c>
      <c r="L1232" t="s">
        <v>96</v>
      </c>
      <c r="M1232">
        <v>1780</v>
      </c>
      <c r="O1232" s="12" t="str">
        <f t="shared" si="52"/>
        <v>OAS</v>
      </c>
      <c r="P1232" s="12" t="str">
        <f t="shared" si="53"/>
        <v>E_WON</v>
      </c>
    </row>
    <row r="1233" spans="1:16" x14ac:dyDescent="0.35">
      <c r="A1233" t="s">
        <v>95</v>
      </c>
      <c r="B1233" t="s">
        <v>78</v>
      </c>
      <c r="C1233" t="s">
        <v>45</v>
      </c>
      <c r="D1233" t="s">
        <v>1329</v>
      </c>
      <c r="E1233" t="s">
        <v>96</v>
      </c>
      <c r="F1233" t="s">
        <v>96</v>
      </c>
      <c r="G1233" t="s">
        <v>96</v>
      </c>
      <c r="H1233">
        <v>2010</v>
      </c>
      <c r="I1233" t="s">
        <v>96</v>
      </c>
      <c r="J1233" t="s">
        <v>97</v>
      </c>
      <c r="K1233" t="s">
        <v>96</v>
      </c>
      <c r="L1233" t="s">
        <v>96</v>
      </c>
      <c r="M1233">
        <v>1780</v>
      </c>
      <c r="O1233" s="12" t="str">
        <f t="shared" si="52"/>
        <v>OAS</v>
      </c>
      <c r="P1233" s="12" t="str">
        <f t="shared" si="53"/>
        <v>E_WON</v>
      </c>
    </row>
    <row r="1234" spans="1:16" x14ac:dyDescent="0.35">
      <c r="A1234" t="s">
        <v>95</v>
      </c>
      <c r="B1234" t="s">
        <v>78</v>
      </c>
      <c r="C1234" t="s">
        <v>45</v>
      </c>
      <c r="D1234" t="s">
        <v>1330</v>
      </c>
      <c r="E1234" t="s">
        <v>96</v>
      </c>
      <c r="F1234" t="s">
        <v>96</v>
      </c>
      <c r="G1234" t="s">
        <v>96</v>
      </c>
      <c r="H1234">
        <v>2010</v>
      </c>
      <c r="I1234" t="s">
        <v>96</v>
      </c>
      <c r="J1234" t="s">
        <v>97</v>
      </c>
      <c r="K1234" t="s">
        <v>96</v>
      </c>
      <c r="L1234" t="s">
        <v>96</v>
      </c>
      <c r="M1234">
        <v>1780</v>
      </c>
      <c r="O1234" s="12" t="str">
        <f t="shared" si="52"/>
        <v>OAS</v>
      </c>
      <c r="P1234" s="12" t="str">
        <f t="shared" si="53"/>
        <v>E_WON</v>
      </c>
    </row>
    <row r="1235" spans="1:16" x14ac:dyDescent="0.35">
      <c r="A1235" t="s">
        <v>95</v>
      </c>
      <c r="B1235" t="s">
        <v>78</v>
      </c>
      <c r="C1235" t="s">
        <v>45</v>
      </c>
      <c r="D1235" t="s">
        <v>1331</v>
      </c>
      <c r="E1235" t="s">
        <v>96</v>
      </c>
      <c r="F1235" t="s">
        <v>96</v>
      </c>
      <c r="G1235" t="s">
        <v>96</v>
      </c>
      <c r="H1235">
        <v>2010</v>
      </c>
      <c r="I1235" t="s">
        <v>96</v>
      </c>
      <c r="J1235" t="s">
        <v>97</v>
      </c>
      <c r="K1235" t="s">
        <v>96</v>
      </c>
      <c r="L1235" t="s">
        <v>96</v>
      </c>
      <c r="M1235">
        <v>1780</v>
      </c>
      <c r="O1235" s="12" t="str">
        <f t="shared" si="52"/>
        <v>OAS</v>
      </c>
      <c r="P1235" s="12" t="str">
        <f t="shared" si="53"/>
        <v>E_WON</v>
      </c>
    </row>
    <row r="1236" spans="1:16" x14ac:dyDescent="0.35">
      <c r="A1236" t="s">
        <v>95</v>
      </c>
      <c r="B1236" t="s">
        <v>78</v>
      </c>
      <c r="C1236" t="s">
        <v>45</v>
      </c>
      <c r="D1236" t="s">
        <v>1332</v>
      </c>
      <c r="E1236" t="s">
        <v>96</v>
      </c>
      <c r="F1236" t="s">
        <v>96</v>
      </c>
      <c r="G1236" t="s">
        <v>96</v>
      </c>
      <c r="H1236">
        <v>2010</v>
      </c>
      <c r="I1236" t="s">
        <v>96</v>
      </c>
      <c r="J1236" t="s">
        <v>97</v>
      </c>
      <c r="K1236" t="s">
        <v>96</v>
      </c>
      <c r="L1236" t="s">
        <v>96</v>
      </c>
      <c r="M1236">
        <v>1780</v>
      </c>
      <c r="O1236" s="12" t="str">
        <f t="shared" si="52"/>
        <v>OAS</v>
      </c>
      <c r="P1236" s="12" t="str">
        <f t="shared" si="53"/>
        <v>E_WON</v>
      </c>
    </row>
    <row r="1237" spans="1:16" x14ac:dyDescent="0.35">
      <c r="A1237" t="s">
        <v>95</v>
      </c>
      <c r="B1237" t="s">
        <v>78</v>
      </c>
      <c r="C1237" t="s">
        <v>45</v>
      </c>
      <c r="D1237" t="s">
        <v>1333</v>
      </c>
      <c r="E1237" t="s">
        <v>96</v>
      </c>
      <c r="F1237" t="s">
        <v>96</v>
      </c>
      <c r="G1237" t="s">
        <v>96</v>
      </c>
      <c r="H1237">
        <v>2010</v>
      </c>
      <c r="I1237" t="s">
        <v>96</v>
      </c>
      <c r="J1237" t="s">
        <v>97</v>
      </c>
      <c r="K1237" t="s">
        <v>96</v>
      </c>
      <c r="L1237" t="s">
        <v>96</v>
      </c>
      <c r="M1237">
        <v>1700</v>
      </c>
      <c r="O1237" s="12" t="str">
        <f t="shared" si="52"/>
        <v>OAS</v>
      </c>
      <c r="P1237" s="12" t="str">
        <f t="shared" si="53"/>
        <v>E_WON</v>
      </c>
    </row>
    <row r="1238" spans="1:16" x14ac:dyDescent="0.35">
      <c r="A1238" t="s">
        <v>95</v>
      </c>
      <c r="B1238" t="s">
        <v>78</v>
      </c>
      <c r="C1238" t="s">
        <v>45</v>
      </c>
      <c r="D1238" t="s">
        <v>1334</v>
      </c>
      <c r="E1238" t="s">
        <v>96</v>
      </c>
      <c r="F1238" t="s">
        <v>96</v>
      </c>
      <c r="G1238" t="s">
        <v>96</v>
      </c>
      <c r="H1238">
        <v>2010</v>
      </c>
      <c r="I1238" t="s">
        <v>96</v>
      </c>
      <c r="J1238" t="s">
        <v>97</v>
      </c>
      <c r="K1238" t="s">
        <v>96</v>
      </c>
      <c r="L1238" t="s">
        <v>96</v>
      </c>
      <c r="M1238">
        <v>1780</v>
      </c>
      <c r="O1238" s="12" t="str">
        <f t="shared" si="52"/>
        <v>OAS</v>
      </c>
      <c r="P1238" s="12" t="str">
        <f t="shared" si="53"/>
        <v>E_WON</v>
      </c>
    </row>
    <row r="1239" spans="1:16" x14ac:dyDescent="0.35">
      <c r="A1239" t="s">
        <v>95</v>
      </c>
      <c r="B1239" t="s">
        <v>78</v>
      </c>
      <c r="C1239" t="s">
        <v>45</v>
      </c>
      <c r="D1239" t="s">
        <v>1335</v>
      </c>
      <c r="E1239" t="s">
        <v>96</v>
      </c>
      <c r="F1239" t="s">
        <v>96</v>
      </c>
      <c r="G1239" t="s">
        <v>96</v>
      </c>
      <c r="H1239">
        <v>2010</v>
      </c>
      <c r="I1239" t="s">
        <v>96</v>
      </c>
      <c r="J1239" t="s">
        <v>97</v>
      </c>
      <c r="K1239" t="s">
        <v>96</v>
      </c>
      <c r="L1239" t="s">
        <v>96</v>
      </c>
      <c r="M1239">
        <v>1780</v>
      </c>
      <c r="O1239" s="12" t="str">
        <f t="shared" si="52"/>
        <v>OAS</v>
      </c>
      <c r="P1239" s="12" t="str">
        <f t="shared" si="53"/>
        <v>E_WON</v>
      </c>
    </row>
    <row r="1240" spans="1:16" x14ac:dyDescent="0.35">
      <c r="A1240" t="s">
        <v>95</v>
      </c>
      <c r="B1240" t="s">
        <v>78</v>
      </c>
      <c r="C1240" t="s">
        <v>45</v>
      </c>
      <c r="D1240" t="s">
        <v>1336</v>
      </c>
      <c r="E1240" t="s">
        <v>96</v>
      </c>
      <c r="F1240" t="s">
        <v>96</v>
      </c>
      <c r="G1240" t="s">
        <v>96</v>
      </c>
      <c r="H1240">
        <v>2010</v>
      </c>
      <c r="I1240" t="s">
        <v>96</v>
      </c>
      <c r="J1240" t="s">
        <v>97</v>
      </c>
      <c r="K1240" t="s">
        <v>96</v>
      </c>
      <c r="L1240" t="s">
        <v>96</v>
      </c>
      <c r="M1240">
        <v>1700</v>
      </c>
      <c r="O1240" s="12" t="str">
        <f t="shared" si="52"/>
        <v>OAS</v>
      </c>
      <c r="P1240" s="12" t="str">
        <f t="shared" si="53"/>
        <v>E_WON</v>
      </c>
    </row>
    <row r="1241" spans="1:16" x14ac:dyDescent="0.35">
      <c r="A1241" t="s">
        <v>95</v>
      </c>
      <c r="B1241" t="s">
        <v>78</v>
      </c>
      <c r="C1241" t="s">
        <v>45</v>
      </c>
      <c r="D1241" t="s">
        <v>1337</v>
      </c>
      <c r="E1241" t="s">
        <v>96</v>
      </c>
      <c r="F1241" t="s">
        <v>96</v>
      </c>
      <c r="G1241" t="s">
        <v>96</v>
      </c>
      <c r="H1241">
        <v>2010</v>
      </c>
      <c r="I1241" t="s">
        <v>96</v>
      </c>
      <c r="J1241" t="s">
        <v>97</v>
      </c>
      <c r="K1241" t="s">
        <v>96</v>
      </c>
      <c r="L1241" t="s">
        <v>96</v>
      </c>
      <c r="M1241">
        <v>1840</v>
      </c>
      <c r="O1241" s="12" t="str">
        <f t="shared" si="52"/>
        <v>OAS</v>
      </c>
      <c r="P1241" s="12" t="str">
        <f t="shared" si="53"/>
        <v>E_WON</v>
      </c>
    </row>
    <row r="1242" spans="1:16" x14ac:dyDescent="0.35">
      <c r="A1242" t="s">
        <v>95</v>
      </c>
      <c r="B1242" t="s">
        <v>78</v>
      </c>
      <c r="C1242" t="s">
        <v>45</v>
      </c>
      <c r="D1242" t="s">
        <v>1338</v>
      </c>
      <c r="E1242" t="s">
        <v>96</v>
      </c>
      <c r="F1242" t="s">
        <v>96</v>
      </c>
      <c r="G1242" t="s">
        <v>96</v>
      </c>
      <c r="H1242">
        <v>2010</v>
      </c>
      <c r="I1242" t="s">
        <v>96</v>
      </c>
      <c r="J1242" t="s">
        <v>97</v>
      </c>
      <c r="K1242" t="s">
        <v>96</v>
      </c>
      <c r="L1242" t="s">
        <v>96</v>
      </c>
      <c r="M1242">
        <v>1780</v>
      </c>
      <c r="O1242" s="12" t="str">
        <f t="shared" si="52"/>
        <v>OAS</v>
      </c>
      <c r="P1242" s="12" t="str">
        <f t="shared" si="53"/>
        <v>E_WON</v>
      </c>
    </row>
    <row r="1243" spans="1:16" x14ac:dyDescent="0.35">
      <c r="A1243" t="s">
        <v>95</v>
      </c>
      <c r="B1243" t="s">
        <v>78</v>
      </c>
      <c r="C1243" t="s">
        <v>45</v>
      </c>
      <c r="D1243" t="s">
        <v>1339</v>
      </c>
      <c r="E1243" t="s">
        <v>96</v>
      </c>
      <c r="F1243" t="s">
        <v>96</v>
      </c>
      <c r="G1243" t="s">
        <v>96</v>
      </c>
      <c r="H1243">
        <v>2010</v>
      </c>
      <c r="I1243" t="s">
        <v>96</v>
      </c>
      <c r="J1243" t="s">
        <v>97</v>
      </c>
      <c r="K1243" t="s">
        <v>96</v>
      </c>
      <c r="L1243" t="s">
        <v>96</v>
      </c>
      <c r="M1243">
        <v>1780</v>
      </c>
      <c r="O1243" s="12" t="str">
        <f t="shared" si="52"/>
        <v>OAS</v>
      </c>
      <c r="P1243" s="12" t="str">
        <f t="shared" si="53"/>
        <v>E_WON</v>
      </c>
    </row>
    <row r="1244" spans="1:16" x14ac:dyDescent="0.35">
      <c r="A1244" t="s">
        <v>95</v>
      </c>
      <c r="B1244" t="s">
        <v>78</v>
      </c>
      <c r="C1244" t="s">
        <v>45</v>
      </c>
      <c r="D1244" t="s">
        <v>1340</v>
      </c>
      <c r="E1244" t="s">
        <v>96</v>
      </c>
      <c r="F1244" t="s">
        <v>96</v>
      </c>
      <c r="G1244" t="s">
        <v>96</v>
      </c>
      <c r="H1244">
        <v>2010</v>
      </c>
      <c r="I1244" t="s">
        <v>96</v>
      </c>
      <c r="J1244" t="s">
        <v>97</v>
      </c>
      <c r="K1244" t="s">
        <v>96</v>
      </c>
      <c r="L1244" t="s">
        <v>96</v>
      </c>
      <c r="M1244">
        <v>1780</v>
      </c>
      <c r="O1244" s="12" t="str">
        <f t="shared" si="52"/>
        <v>OAS</v>
      </c>
      <c r="P1244" s="12" t="str">
        <f t="shared" si="53"/>
        <v>E_WON</v>
      </c>
    </row>
    <row r="1245" spans="1:16" x14ac:dyDescent="0.35">
      <c r="A1245" t="s">
        <v>95</v>
      </c>
      <c r="B1245" t="s">
        <v>78</v>
      </c>
      <c r="C1245" t="s">
        <v>45</v>
      </c>
      <c r="D1245" t="s">
        <v>1341</v>
      </c>
      <c r="E1245" t="s">
        <v>96</v>
      </c>
      <c r="F1245" t="s">
        <v>96</v>
      </c>
      <c r="G1245" t="s">
        <v>96</v>
      </c>
      <c r="H1245">
        <v>2010</v>
      </c>
      <c r="I1245" t="s">
        <v>96</v>
      </c>
      <c r="J1245" t="s">
        <v>97</v>
      </c>
      <c r="K1245" t="s">
        <v>96</v>
      </c>
      <c r="L1245" t="s">
        <v>96</v>
      </c>
      <c r="M1245">
        <v>1780</v>
      </c>
      <c r="O1245" s="12" t="str">
        <f t="shared" si="52"/>
        <v>OAS</v>
      </c>
      <c r="P1245" s="12" t="str">
        <f t="shared" si="53"/>
        <v>E_WON</v>
      </c>
    </row>
    <row r="1246" spans="1:16" x14ac:dyDescent="0.35">
      <c r="A1246" t="s">
        <v>95</v>
      </c>
      <c r="B1246" t="s">
        <v>78</v>
      </c>
      <c r="C1246" t="s">
        <v>45</v>
      </c>
      <c r="D1246" t="s">
        <v>1342</v>
      </c>
      <c r="E1246" t="s">
        <v>96</v>
      </c>
      <c r="F1246" t="s">
        <v>96</v>
      </c>
      <c r="G1246" t="s">
        <v>96</v>
      </c>
      <c r="H1246">
        <v>2010</v>
      </c>
      <c r="I1246" t="s">
        <v>96</v>
      </c>
      <c r="J1246" t="s">
        <v>97</v>
      </c>
      <c r="K1246" t="s">
        <v>96</v>
      </c>
      <c r="L1246" t="s">
        <v>96</v>
      </c>
      <c r="M1246">
        <v>1780</v>
      </c>
      <c r="O1246" s="12" t="str">
        <f t="shared" si="52"/>
        <v>OAS</v>
      </c>
      <c r="P1246" s="12" t="str">
        <f t="shared" si="53"/>
        <v>E_WON</v>
      </c>
    </row>
    <row r="1247" spans="1:16" x14ac:dyDescent="0.35">
      <c r="A1247" t="s">
        <v>95</v>
      </c>
      <c r="B1247" t="s">
        <v>78</v>
      </c>
      <c r="C1247" t="s">
        <v>45</v>
      </c>
      <c r="D1247" t="s">
        <v>1343</v>
      </c>
      <c r="E1247" t="s">
        <v>96</v>
      </c>
      <c r="F1247" t="s">
        <v>96</v>
      </c>
      <c r="G1247" t="s">
        <v>96</v>
      </c>
      <c r="H1247">
        <v>2010</v>
      </c>
      <c r="I1247" t="s">
        <v>96</v>
      </c>
      <c r="J1247" t="s">
        <v>97</v>
      </c>
      <c r="K1247" t="s">
        <v>96</v>
      </c>
      <c r="L1247" t="s">
        <v>96</v>
      </c>
      <c r="M1247">
        <v>1700</v>
      </c>
      <c r="O1247" s="12" t="str">
        <f t="shared" si="52"/>
        <v>OAS</v>
      </c>
      <c r="P1247" s="12" t="str">
        <f t="shared" si="53"/>
        <v>E_WON</v>
      </c>
    </row>
    <row r="1248" spans="1:16" x14ac:dyDescent="0.35">
      <c r="A1248" t="s">
        <v>95</v>
      </c>
      <c r="B1248" t="s">
        <v>78</v>
      </c>
      <c r="C1248" t="s">
        <v>45</v>
      </c>
      <c r="D1248" t="s">
        <v>1344</v>
      </c>
      <c r="E1248" t="s">
        <v>96</v>
      </c>
      <c r="F1248" t="s">
        <v>96</v>
      </c>
      <c r="G1248" t="s">
        <v>96</v>
      </c>
      <c r="H1248">
        <v>2010</v>
      </c>
      <c r="I1248" t="s">
        <v>96</v>
      </c>
      <c r="J1248" t="s">
        <v>97</v>
      </c>
      <c r="K1248" t="s">
        <v>96</v>
      </c>
      <c r="L1248" t="s">
        <v>96</v>
      </c>
      <c r="M1248">
        <v>1840</v>
      </c>
      <c r="O1248" s="12" t="str">
        <f t="shared" si="52"/>
        <v>OAS</v>
      </c>
      <c r="P1248" s="12" t="str">
        <f t="shared" si="53"/>
        <v>E_WON</v>
      </c>
    </row>
    <row r="1249" spans="1:16" x14ac:dyDescent="0.35">
      <c r="A1249" t="s">
        <v>95</v>
      </c>
      <c r="B1249" t="s">
        <v>78</v>
      </c>
      <c r="C1249" t="s">
        <v>45</v>
      </c>
      <c r="D1249" t="s">
        <v>1345</v>
      </c>
      <c r="E1249" t="s">
        <v>96</v>
      </c>
      <c r="F1249" t="s">
        <v>96</v>
      </c>
      <c r="G1249" t="s">
        <v>96</v>
      </c>
      <c r="H1249">
        <v>2010</v>
      </c>
      <c r="I1249" t="s">
        <v>96</v>
      </c>
      <c r="J1249" t="s">
        <v>97</v>
      </c>
      <c r="K1249" t="s">
        <v>96</v>
      </c>
      <c r="L1249" t="s">
        <v>96</v>
      </c>
      <c r="M1249">
        <v>1780</v>
      </c>
      <c r="O1249" s="12" t="str">
        <f t="shared" si="52"/>
        <v>OAS</v>
      </c>
      <c r="P1249" s="12" t="str">
        <f t="shared" si="53"/>
        <v>E_WON</v>
      </c>
    </row>
    <row r="1250" spans="1:16" x14ac:dyDescent="0.35">
      <c r="A1250" t="s">
        <v>95</v>
      </c>
      <c r="B1250" t="s">
        <v>78</v>
      </c>
      <c r="C1250" t="s">
        <v>45</v>
      </c>
      <c r="D1250" t="s">
        <v>1346</v>
      </c>
      <c r="E1250" t="s">
        <v>96</v>
      </c>
      <c r="F1250" t="s">
        <v>96</v>
      </c>
      <c r="G1250" t="s">
        <v>96</v>
      </c>
      <c r="H1250">
        <v>2010</v>
      </c>
      <c r="I1250" t="s">
        <v>96</v>
      </c>
      <c r="J1250" t="s">
        <v>97</v>
      </c>
      <c r="K1250" t="s">
        <v>96</v>
      </c>
      <c r="L1250" t="s">
        <v>96</v>
      </c>
      <c r="M1250">
        <v>1780</v>
      </c>
      <c r="O1250" s="12" t="str">
        <f t="shared" si="52"/>
        <v>OAS</v>
      </c>
      <c r="P1250" s="12" t="str">
        <f t="shared" si="53"/>
        <v>E_WON</v>
      </c>
    </row>
    <row r="1251" spans="1:16" x14ac:dyDescent="0.35">
      <c r="A1251" t="s">
        <v>95</v>
      </c>
      <c r="B1251" t="s">
        <v>78</v>
      </c>
      <c r="C1251" t="s">
        <v>45</v>
      </c>
      <c r="D1251" t="s">
        <v>1347</v>
      </c>
      <c r="E1251" t="s">
        <v>96</v>
      </c>
      <c r="F1251" t="s">
        <v>96</v>
      </c>
      <c r="G1251" t="s">
        <v>96</v>
      </c>
      <c r="H1251">
        <v>2010</v>
      </c>
      <c r="I1251" t="s">
        <v>96</v>
      </c>
      <c r="J1251" t="s">
        <v>97</v>
      </c>
      <c r="K1251" t="s">
        <v>96</v>
      </c>
      <c r="L1251" t="s">
        <v>96</v>
      </c>
      <c r="M1251">
        <v>1700</v>
      </c>
      <c r="O1251" s="12" t="str">
        <f t="shared" si="52"/>
        <v>OAS</v>
      </c>
      <c r="P1251" s="12" t="str">
        <f t="shared" si="53"/>
        <v>E_WON</v>
      </c>
    </row>
    <row r="1252" spans="1:16" x14ac:dyDescent="0.35">
      <c r="A1252" t="s">
        <v>95</v>
      </c>
      <c r="B1252" t="s">
        <v>78</v>
      </c>
      <c r="C1252" t="s">
        <v>45</v>
      </c>
      <c r="D1252" t="s">
        <v>1348</v>
      </c>
      <c r="E1252" t="s">
        <v>96</v>
      </c>
      <c r="F1252" t="s">
        <v>96</v>
      </c>
      <c r="G1252" t="s">
        <v>96</v>
      </c>
      <c r="H1252">
        <v>2010</v>
      </c>
      <c r="I1252" t="s">
        <v>96</v>
      </c>
      <c r="J1252" t="s">
        <v>97</v>
      </c>
      <c r="K1252" t="s">
        <v>96</v>
      </c>
      <c r="L1252" t="s">
        <v>96</v>
      </c>
      <c r="M1252">
        <v>1840</v>
      </c>
      <c r="O1252" s="12" t="str">
        <f t="shared" si="52"/>
        <v>OAS</v>
      </c>
      <c r="P1252" s="12" t="str">
        <f t="shared" si="53"/>
        <v>E_WON</v>
      </c>
    </row>
    <row r="1253" spans="1:16" x14ac:dyDescent="0.35">
      <c r="A1253" t="s">
        <v>95</v>
      </c>
      <c r="B1253" t="s">
        <v>78</v>
      </c>
      <c r="C1253" t="s">
        <v>45</v>
      </c>
      <c r="D1253" t="s">
        <v>1349</v>
      </c>
      <c r="E1253" t="s">
        <v>96</v>
      </c>
      <c r="F1253" t="s">
        <v>96</v>
      </c>
      <c r="G1253" t="s">
        <v>96</v>
      </c>
      <c r="H1253">
        <v>2010</v>
      </c>
      <c r="I1253" t="s">
        <v>96</v>
      </c>
      <c r="J1253" t="s">
        <v>97</v>
      </c>
      <c r="K1253" t="s">
        <v>96</v>
      </c>
      <c r="L1253" t="s">
        <v>96</v>
      </c>
      <c r="M1253">
        <v>1780</v>
      </c>
      <c r="O1253" s="12" t="str">
        <f t="shared" si="52"/>
        <v>OAS</v>
      </c>
      <c r="P1253" s="12" t="str">
        <f t="shared" si="53"/>
        <v>E_WON</v>
      </c>
    </row>
    <row r="1254" spans="1:16" x14ac:dyDescent="0.35">
      <c r="A1254" t="s">
        <v>95</v>
      </c>
      <c r="B1254" t="s">
        <v>78</v>
      </c>
      <c r="C1254" t="s">
        <v>45</v>
      </c>
      <c r="D1254" t="s">
        <v>1350</v>
      </c>
      <c r="E1254" t="s">
        <v>96</v>
      </c>
      <c r="F1254" t="s">
        <v>96</v>
      </c>
      <c r="G1254" t="s">
        <v>96</v>
      </c>
      <c r="H1254">
        <v>2010</v>
      </c>
      <c r="I1254" t="s">
        <v>96</v>
      </c>
      <c r="J1254" t="s">
        <v>97</v>
      </c>
      <c r="K1254" t="s">
        <v>96</v>
      </c>
      <c r="L1254" t="s">
        <v>96</v>
      </c>
      <c r="M1254">
        <v>1780</v>
      </c>
      <c r="O1254" s="12" t="str">
        <f t="shared" si="52"/>
        <v>OAS</v>
      </c>
      <c r="P1254" s="12" t="str">
        <f t="shared" si="53"/>
        <v>E_WON</v>
      </c>
    </row>
    <row r="1255" spans="1:16" x14ac:dyDescent="0.35">
      <c r="A1255" t="s">
        <v>95</v>
      </c>
      <c r="B1255" t="s">
        <v>78</v>
      </c>
      <c r="C1255" t="s">
        <v>45</v>
      </c>
      <c r="D1255" t="s">
        <v>1351</v>
      </c>
      <c r="E1255" t="s">
        <v>96</v>
      </c>
      <c r="F1255" t="s">
        <v>96</v>
      </c>
      <c r="G1255" t="s">
        <v>96</v>
      </c>
      <c r="H1255">
        <v>2010</v>
      </c>
      <c r="I1255" t="s">
        <v>96</v>
      </c>
      <c r="J1255" t="s">
        <v>97</v>
      </c>
      <c r="K1255" t="s">
        <v>96</v>
      </c>
      <c r="L1255" t="s">
        <v>96</v>
      </c>
      <c r="M1255">
        <v>1840</v>
      </c>
      <c r="O1255" s="12" t="str">
        <f t="shared" si="52"/>
        <v>OAS</v>
      </c>
      <c r="P1255" s="12" t="str">
        <f t="shared" si="53"/>
        <v>E_WON</v>
      </c>
    </row>
    <row r="1256" spans="1:16" x14ac:dyDescent="0.35">
      <c r="A1256" t="s">
        <v>95</v>
      </c>
      <c r="B1256" t="s">
        <v>78</v>
      </c>
      <c r="C1256" t="s">
        <v>45</v>
      </c>
      <c r="D1256" t="s">
        <v>1352</v>
      </c>
      <c r="E1256" t="s">
        <v>96</v>
      </c>
      <c r="F1256" t="s">
        <v>96</v>
      </c>
      <c r="G1256" t="s">
        <v>96</v>
      </c>
      <c r="H1256">
        <v>2010</v>
      </c>
      <c r="I1256" t="s">
        <v>96</v>
      </c>
      <c r="J1256" t="s">
        <v>97</v>
      </c>
      <c r="K1256" t="s">
        <v>96</v>
      </c>
      <c r="L1256" t="s">
        <v>96</v>
      </c>
      <c r="M1256">
        <v>1780</v>
      </c>
      <c r="O1256" s="12" t="str">
        <f t="shared" si="52"/>
        <v>OAS</v>
      </c>
      <c r="P1256" s="12" t="str">
        <f t="shared" si="53"/>
        <v>E_WON</v>
      </c>
    </row>
    <row r="1257" spans="1:16" x14ac:dyDescent="0.35">
      <c r="A1257" t="s">
        <v>95</v>
      </c>
      <c r="B1257" t="s">
        <v>78</v>
      </c>
      <c r="C1257" t="s">
        <v>45</v>
      </c>
      <c r="D1257" t="s">
        <v>1353</v>
      </c>
      <c r="E1257" t="s">
        <v>96</v>
      </c>
      <c r="F1257" t="s">
        <v>96</v>
      </c>
      <c r="G1257" t="s">
        <v>96</v>
      </c>
      <c r="H1257">
        <v>2010</v>
      </c>
      <c r="I1257" t="s">
        <v>96</v>
      </c>
      <c r="J1257" t="s">
        <v>97</v>
      </c>
      <c r="K1257" t="s">
        <v>96</v>
      </c>
      <c r="L1257" t="s">
        <v>96</v>
      </c>
      <c r="M1257">
        <v>2670</v>
      </c>
      <c r="O1257" s="12" t="str">
        <f t="shared" si="52"/>
        <v>OAS</v>
      </c>
      <c r="P1257" s="12" t="str">
        <f t="shared" si="53"/>
        <v>E_WON</v>
      </c>
    </row>
    <row r="1258" spans="1:16" x14ac:dyDescent="0.35">
      <c r="A1258" t="s">
        <v>95</v>
      </c>
      <c r="B1258" t="s">
        <v>78</v>
      </c>
      <c r="C1258" t="s">
        <v>45</v>
      </c>
      <c r="D1258" t="s">
        <v>1354</v>
      </c>
      <c r="E1258" t="s">
        <v>96</v>
      </c>
      <c r="F1258" t="s">
        <v>96</v>
      </c>
      <c r="G1258" t="s">
        <v>96</v>
      </c>
      <c r="H1258">
        <v>2010</v>
      </c>
      <c r="I1258" t="s">
        <v>96</v>
      </c>
      <c r="J1258" t="s">
        <v>97</v>
      </c>
      <c r="K1258" t="s">
        <v>96</v>
      </c>
      <c r="L1258" t="s">
        <v>96</v>
      </c>
      <c r="M1258">
        <v>2670</v>
      </c>
      <c r="O1258" s="12" t="str">
        <f t="shared" si="52"/>
        <v>OAS</v>
      </c>
      <c r="P1258" s="12" t="str">
        <f t="shared" si="53"/>
        <v>E_WON</v>
      </c>
    </row>
    <row r="1259" spans="1:16" x14ac:dyDescent="0.35">
      <c r="A1259" t="s">
        <v>95</v>
      </c>
      <c r="B1259" t="s">
        <v>78</v>
      </c>
      <c r="C1259" t="s">
        <v>45</v>
      </c>
      <c r="D1259" t="s">
        <v>1355</v>
      </c>
      <c r="E1259" t="s">
        <v>96</v>
      </c>
      <c r="F1259" t="s">
        <v>96</v>
      </c>
      <c r="G1259" t="s">
        <v>96</v>
      </c>
      <c r="H1259">
        <v>2010</v>
      </c>
      <c r="I1259" t="s">
        <v>96</v>
      </c>
      <c r="J1259" t="s">
        <v>97</v>
      </c>
      <c r="K1259" t="s">
        <v>96</v>
      </c>
      <c r="L1259" t="s">
        <v>96</v>
      </c>
      <c r="M1259">
        <v>2670</v>
      </c>
      <c r="O1259" s="12" t="str">
        <f t="shared" si="52"/>
        <v>OAS</v>
      </c>
      <c r="P1259" s="12" t="str">
        <f t="shared" si="53"/>
        <v>E_WON</v>
      </c>
    </row>
    <row r="1260" spans="1:16" x14ac:dyDescent="0.35">
      <c r="A1260" t="s">
        <v>95</v>
      </c>
      <c r="B1260" t="s">
        <v>78</v>
      </c>
      <c r="C1260" t="s">
        <v>45</v>
      </c>
      <c r="D1260" t="s">
        <v>1356</v>
      </c>
      <c r="E1260" t="s">
        <v>96</v>
      </c>
      <c r="F1260" t="s">
        <v>96</v>
      </c>
      <c r="G1260" t="s">
        <v>96</v>
      </c>
      <c r="H1260">
        <v>2010</v>
      </c>
      <c r="I1260" t="s">
        <v>96</v>
      </c>
      <c r="J1260" t="s">
        <v>97</v>
      </c>
      <c r="K1260" t="s">
        <v>96</v>
      </c>
      <c r="L1260" t="s">
        <v>96</v>
      </c>
      <c r="M1260">
        <v>2670</v>
      </c>
      <c r="O1260" s="12" t="str">
        <f t="shared" si="52"/>
        <v>OAS</v>
      </c>
      <c r="P1260" s="12" t="str">
        <f t="shared" si="53"/>
        <v>E_WON</v>
      </c>
    </row>
    <row r="1261" spans="1:16" x14ac:dyDescent="0.35">
      <c r="A1261" t="s">
        <v>95</v>
      </c>
      <c r="B1261" t="s">
        <v>78</v>
      </c>
      <c r="C1261" t="s">
        <v>45</v>
      </c>
      <c r="D1261" t="s">
        <v>1357</v>
      </c>
      <c r="E1261" t="s">
        <v>96</v>
      </c>
      <c r="F1261" t="s">
        <v>96</v>
      </c>
      <c r="G1261" t="s">
        <v>96</v>
      </c>
      <c r="H1261">
        <v>2010</v>
      </c>
      <c r="I1261" t="s">
        <v>96</v>
      </c>
      <c r="J1261" t="s">
        <v>97</v>
      </c>
      <c r="K1261" t="s">
        <v>96</v>
      </c>
      <c r="L1261" t="s">
        <v>96</v>
      </c>
      <c r="M1261">
        <v>2790</v>
      </c>
      <c r="O1261" s="12" t="str">
        <f t="shared" si="52"/>
        <v>OAS</v>
      </c>
      <c r="P1261" s="12" t="str">
        <f t="shared" si="53"/>
        <v>E_WON</v>
      </c>
    </row>
    <row r="1262" spans="1:16" x14ac:dyDescent="0.35">
      <c r="A1262" t="s">
        <v>95</v>
      </c>
      <c r="B1262" t="s">
        <v>78</v>
      </c>
      <c r="C1262" t="s">
        <v>45</v>
      </c>
      <c r="D1262" t="s">
        <v>1358</v>
      </c>
      <c r="E1262" t="s">
        <v>96</v>
      </c>
      <c r="F1262" t="s">
        <v>96</v>
      </c>
      <c r="G1262" t="s">
        <v>96</v>
      </c>
      <c r="H1262">
        <v>2010</v>
      </c>
      <c r="I1262" t="s">
        <v>96</v>
      </c>
      <c r="J1262" t="s">
        <v>97</v>
      </c>
      <c r="K1262" t="s">
        <v>96</v>
      </c>
      <c r="L1262" t="s">
        <v>96</v>
      </c>
      <c r="M1262">
        <v>2670</v>
      </c>
      <c r="O1262" s="12" t="str">
        <f t="shared" si="52"/>
        <v>OAS</v>
      </c>
      <c r="P1262" s="12" t="str">
        <f t="shared" si="53"/>
        <v>E_WON</v>
      </c>
    </row>
    <row r="1263" spans="1:16" x14ac:dyDescent="0.35">
      <c r="A1263" t="s">
        <v>95</v>
      </c>
      <c r="B1263" t="s">
        <v>78</v>
      </c>
      <c r="C1263" t="s">
        <v>45</v>
      </c>
      <c r="D1263" t="s">
        <v>1359</v>
      </c>
      <c r="E1263" t="s">
        <v>96</v>
      </c>
      <c r="F1263" t="s">
        <v>96</v>
      </c>
      <c r="G1263" t="s">
        <v>96</v>
      </c>
      <c r="H1263">
        <v>2010</v>
      </c>
      <c r="I1263" t="s">
        <v>96</v>
      </c>
      <c r="J1263" t="s">
        <v>97</v>
      </c>
      <c r="K1263" t="s">
        <v>96</v>
      </c>
      <c r="L1263" t="s">
        <v>96</v>
      </c>
      <c r="M1263">
        <v>2670</v>
      </c>
      <c r="O1263" s="12" t="str">
        <f t="shared" si="52"/>
        <v>OAS</v>
      </c>
      <c r="P1263" s="12" t="str">
        <f t="shared" si="53"/>
        <v>E_WON</v>
      </c>
    </row>
    <row r="1264" spans="1:16" x14ac:dyDescent="0.35">
      <c r="A1264" t="s">
        <v>95</v>
      </c>
      <c r="B1264" t="s">
        <v>78</v>
      </c>
      <c r="C1264" t="s">
        <v>45</v>
      </c>
      <c r="D1264" t="s">
        <v>1360</v>
      </c>
      <c r="E1264" t="s">
        <v>96</v>
      </c>
      <c r="F1264" t="s">
        <v>96</v>
      </c>
      <c r="G1264" t="s">
        <v>96</v>
      </c>
      <c r="H1264">
        <v>2010</v>
      </c>
      <c r="I1264" t="s">
        <v>96</v>
      </c>
      <c r="J1264" t="s">
        <v>97</v>
      </c>
      <c r="K1264" t="s">
        <v>96</v>
      </c>
      <c r="L1264" t="s">
        <v>96</v>
      </c>
      <c r="M1264">
        <v>2670</v>
      </c>
      <c r="O1264" s="12" t="str">
        <f t="shared" si="52"/>
        <v>OAS</v>
      </c>
      <c r="P1264" s="12" t="str">
        <f t="shared" si="53"/>
        <v>E_WON</v>
      </c>
    </row>
    <row r="1265" spans="1:16" x14ac:dyDescent="0.35">
      <c r="A1265" t="s">
        <v>95</v>
      </c>
      <c r="B1265" t="s">
        <v>78</v>
      </c>
      <c r="C1265" t="s">
        <v>45</v>
      </c>
      <c r="D1265" t="s">
        <v>1361</v>
      </c>
      <c r="E1265" t="s">
        <v>96</v>
      </c>
      <c r="F1265" t="s">
        <v>96</v>
      </c>
      <c r="G1265" t="s">
        <v>96</v>
      </c>
      <c r="H1265">
        <v>2010</v>
      </c>
      <c r="I1265" t="s">
        <v>96</v>
      </c>
      <c r="J1265" t="s">
        <v>97</v>
      </c>
      <c r="K1265" t="s">
        <v>96</v>
      </c>
      <c r="L1265" t="s">
        <v>96</v>
      </c>
      <c r="M1265">
        <v>2670</v>
      </c>
      <c r="O1265" s="12" t="str">
        <f t="shared" si="52"/>
        <v>OAS</v>
      </c>
      <c r="P1265" s="12" t="str">
        <f t="shared" si="53"/>
        <v>E_WON</v>
      </c>
    </row>
    <row r="1266" spans="1:16" x14ac:dyDescent="0.35">
      <c r="A1266" t="s">
        <v>95</v>
      </c>
      <c r="B1266" t="s">
        <v>78</v>
      </c>
      <c r="C1266" t="s">
        <v>45</v>
      </c>
      <c r="D1266" t="s">
        <v>1362</v>
      </c>
      <c r="E1266" t="s">
        <v>96</v>
      </c>
      <c r="F1266" t="s">
        <v>96</v>
      </c>
      <c r="G1266" t="s">
        <v>96</v>
      </c>
      <c r="H1266">
        <v>2010</v>
      </c>
      <c r="I1266" t="s">
        <v>96</v>
      </c>
      <c r="J1266" t="s">
        <v>97</v>
      </c>
      <c r="K1266" t="s">
        <v>96</v>
      </c>
      <c r="L1266" t="s">
        <v>96</v>
      </c>
      <c r="M1266">
        <v>2700</v>
      </c>
      <c r="O1266" s="12" t="str">
        <f t="shared" si="52"/>
        <v>OAS</v>
      </c>
      <c r="P1266" s="12" t="str">
        <f t="shared" si="53"/>
        <v>E_WON</v>
      </c>
    </row>
    <row r="1267" spans="1:16" x14ac:dyDescent="0.35">
      <c r="A1267" t="s">
        <v>95</v>
      </c>
      <c r="B1267" t="s">
        <v>78</v>
      </c>
      <c r="C1267" t="s">
        <v>45</v>
      </c>
      <c r="D1267" t="s">
        <v>1363</v>
      </c>
      <c r="E1267" t="s">
        <v>96</v>
      </c>
      <c r="F1267" t="s">
        <v>96</v>
      </c>
      <c r="G1267" t="s">
        <v>96</v>
      </c>
      <c r="H1267">
        <v>2010</v>
      </c>
      <c r="I1267" t="s">
        <v>96</v>
      </c>
      <c r="J1267" t="s">
        <v>97</v>
      </c>
      <c r="K1267" t="s">
        <v>96</v>
      </c>
      <c r="L1267" t="s">
        <v>96</v>
      </c>
      <c r="M1267">
        <v>2670</v>
      </c>
      <c r="O1267" s="12" t="str">
        <f t="shared" si="52"/>
        <v>OAS</v>
      </c>
      <c r="P1267" s="12" t="str">
        <f t="shared" si="53"/>
        <v>E_WON</v>
      </c>
    </row>
    <row r="1268" spans="1:16" x14ac:dyDescent="0.35">
      <c r="A1268" t="s">
        <v>95</v>
      </c>
      <c r="B1268" t="s">
        <v>78</v>
      </c>
      <c r="C1268" t="s">
        <v>45</v>
      </c>
      <c r="D1268" t="s">
        <v>1364</v>
      </c>
      <c r="E1268" t="s">
        <v>96</v>
      </c>
      <c r="F1268" t="s">
        <v>96</v>
      </c>
      <c r="G1268" t="s">
        <v>96</v>
      </c>
      <c r="H1268">
        <v>2010</v>
      </c>
      <c r="I1268" t="s">
        <v>96</v>
      </c>
      <c r="J1268" t="s">
        <v>97</v>
      </c>
      <c r="K1268" t="s">
        <v>96</v>
      </c>
      <c r="L1268" t="s">
        <v>96</v>
      </c>
      <c r="M1268">
        <v>2670</v>
      </c>
      <c r="O1268" s="12" t="str">
        <f t="shared" si="52"/>
        <v>OAS</v>
      </c>
      <c r="P1268" s="12" t="str">
        <f t="shared" si="53"/>
        <v>E_WON</v>
      </c>
    </row>
    <row r="1269" spans="1:16" x14ac:dyDescent="0.35">
      <c r="A1269" t="s">
        <v>95</v>
      </c>
      <c r="B1269" t="s">
        <v>78</v>
      </c>
      <c r="C1269" t="s">
        <v>45</v>
      </c>
      <c r="D1269" t="s">
        <v>1365</v>
      </c>
      <c r="E1269" t="s">
        <v>96</v>
      </c>
      <c r="F1269" t="s">
        <v>96</v>
      </c>
      <c r="G1269" t="s">
        <v>96</v>
      </c>
      <c r="H1269">
        <v>2010</v>
      </c>
      <c r="I1269" t="s">
        <v>96</v>
      </c>
      <c r="J1269" t="s">
        <v>97</v>
      </c>
      <c r="K1269" t="s">
        <v>96</v>
      </c>
      <c r="L1269" t="s">
        <v>96</v>
      </c>
      <c r="M1269">
        <v>2550</v>
      </c>
      <c r="O1269" s="12" t="str">
        <f t="shared" si="52"/>
        <v>OAS</v>
      </c>
      <c r="P1269" s="12" t="str">
        <f t="shared" si="53"/>
        <v>E_WON</v>
      </c>
    </row>
    <row r="1270" spans="1:16" x14ac:dyDescent="0.35">
      <c r="A1270" t="s">
        <v>95</v>
      </c>
      <c r="B1270" t="s">
        <v>78</v>
      </c>
      <c r="C1270" t="s">
        <v>45</v>
      </c>
      <c r="D1270" t="s">
        <v>1366</v>
      </c>
      <c r="E1270" t="s">
        <v>96</v>
      </c>
      <c r="F1270" t="s">
        <v>96</v>
      </c>
      <c r="G1270" t="s">
        <v>96</v>
      </c>
      <c r="H1270">
        <v>2010</v>
      </c>
      <c r="I1270" t="s">
        <v>96</v>
      </c>
      <c r="J1270" t="s">
        <v>97</v>
      </c>
      <c r="K1270" t="s">
        <v>96</v>
      </c>
      <c r="L1270" t="s">
        <v>96</v>
      </c>
      <c r="M1270">
        <v>2670</v>
      </c>
      <c r="O1270" s="12" t="str">
        <f t="shared" si="52"/>
        <v>OAS</v>
      </c>
      <c r="P1270" s="12" t="str">
        <f t="shared" si="53"/>
        <v>E_WON</v>
      </c>
    </row>
    <row r="1271" spans="1:16" x14ac:dyDescent="0.35">
      <c r="A1271" t="s">
        <v>95</v>
      </c>
      <c r="B1271" t="s">
        <v>78</v>
      </c>
      <c r="C1271" t="s">
        <v>45</v>
      </c>
      <c r="D1271" t="s">
        <v>1367</v>
      </c>
      <c r="E1271" t="s">
        <v>96</v>
      </c>
      <c r="F1271" t="s">
        <v>96</v>
      </c>
      <c r="G1271" t="s">
        <v>96</v>
      </c>
      <c r="H1271">
        <v>2010</v>
      </c>
      <c r="I1271" t="s">
        <v>96</v>
      </c>
      <c r="J1271" t="s">
        <v>97</v>
      </c>
      <c r="K1271" t="s">
        <v>96</v>
      </c>
      <c r="L1271" t="s">
        <v>96</v>
      </c>
      <c r="M1271">
        <v>2670</v>
      </c>
      <c r="O1271" s="12" t="str">
        <f t="shared" si="52"/>
        <v>OAS</v>
      </c>
      <c r="P1271" s="12" t="str">
        <f t="shared" si="53"/>
        <v>E_WON</v>
      </c>
    </row>
    <row r="1272" spans="1:16" x14ac:dyDescent="0.35">
      <c r="A1272" t="s">
        <v>95</v>
      </c>
      <c r="B1272" t="s">
        <v>78</v>
      </c>
      <c r="C1272" t="s">
        <v>45</v>
      </c>
      <c r="D1272" t="s">
        <v>1368</v>
      </c>
      <c r="E1272" t="s">
        <v>96</v>
      </c>
      <c r="F1272" t="s">
        <v>96</v>
      </c>
      <c r="G1272" t="s">
        <v>96</v>
      </c>
      <c r="H1272">
        <v>2010</v>
      </c>
      <c r="I1272" t="s">
        <v>96</v>
      </c>
      <c r="J1272" t="s">
        <v>97</v>
      </c>
      <c r="K1272" t="s">
        <v>96</v>
      </c>
      <c r="L1272" t="s">
        <v>96</v>
      </c>
      <c r="M1272">
        <v>2550</v>
      </c>
      <c r="O1272" s="12" t="str">
        <f t="shared" si="52"/>
        <v>OAS</v>
      </c>
      <c r="P1272" s="12" t="str">
        <f t="shared" si="53"/>
        <v>E_WON</v>
      </c>
    </row>
    <row r="1273" spans="1:16" x14ac:dyDescent="0.35">
      <c r="A1273" t="s">
        <v>95</v>
      </c>
      <c r="B1273" t="s">
        <v>78</v>
      </c>
      <c r="C1273" t="s">
        <v>45</v>
      </c>
      <c r="D1273" t="s">
        <v>1369</v>
      </c>
      <c r="E1273" t="s">
        <v>96</v>
      </c>
      <c r="F1273" t="s">
        <v>96</v>
      </c>
      <c r="G1273" t="s">
        <v>96</v>
      </c>
      <c r="H1273">
        <v>2010</v>
      </c>
      <c r="I1273" t="s">
        <v>96</v>
      </c>
      <c r="J1273" t="s">
        <v>97</v>
      </c>
      <c r="K1273" t="s">
        <v>96</v>
      </c>
      <c r="L1273" t="s">
        <v>96</v>
      </c>
      <c r="M1273">
        <v>2670</v>
      </c>
      <c r="O1273" s="12" t="str">
        <f t="shared" si="52"/>
        <v>OAS</v>
      </c>
      <c r="P1273" s="12" t="str">
        <f t="shared" si="53"/>
        <v>E_WON</v>
      </c>
    </row>
    <row r="1274" spans="1:16" x14ac:dyDescent="0.35">
      <c r="A1274" t="s">
        <v>95</v>
      </c>
      <c r="B1274" t="s">
        <v>78</v>
      </c>
      <c r="C1274" t="s">
        <v>45</v>
      </c>
      <c r="D1274" t="s">
        <v>1370</v>
      </c>
      <c r="E1274" t="s">
        <v>96</v>
      </c>
      <c r="F1274" t="s">
        <v>96</v>
      </c>
      <c r="G1274" t="s">
        <v>96</v>
      </c>
      <c r="H1274">
        <v>2010</v>
      </c>
      <c r="I1274" t="s">
        <v>96</v>
      </c>
      <c r="J1274" t="s">
        <v>97</v>
      </c>
      <c r="K1274" t="s">
        <v>96</v>
      </c>
      <c r="L1274" t="s">
        <v>96</v>
      </c>
      <c r="M1274">
        <v>2760</v>
      </c>
      <c r="O1274" s="12" t="str">
        <f t="shared" si="52"/>
        <v>OAS</v>
      </c>
      <c r="P1274" s="12" t="str">
        <f t="shared" si="53"/>
        <v>E_WON</v>
      </c>
    </row>
    <row r="1275" spans="1:16" x14ac:dyDescent="0.35">
      <c r="A1275" t="s">
        <v>95</v>
      </c>
      <c r="B1275" t="s">
        <v>78</v>
      </c>
      <c r="C1275" t="s">
        <v>45</v>
      </c>
      <c r="D1275" t="s">
        <v>1371</v>
      </c>
      <c r="E1275" t="s">
        <v>96</v>
      </c>
      <c r="F1275" t="s">
        <v>96</v>
      </c>
      <c r="G1275" t="s">
        <v>96</v>
      </c>
      <c r="H1275">
        <v>2010</v>
      </c>
      <c r="I1275" t="s">
        <v>96</v>
      </c>
      <c r="J1275" t="s">
        <v>97</v>
      </c>
      <c r="K1275" t="s">
        <v>96</v>
      </c>
      <c r="L1275" t="s">
        <v>96</v>
      </c>
      <c r="M1275">
        <v>2670</v>
      </c>
      <c r="O1275" s="12" t="str">
        <f t="shared" si="52"/>
        <v>OAS</v>
      </c>
      <c r="P1275" s="12" t="str">
        <f t="shared" si="53"/>
        <v>E_WON</v>
      </c>
    </row>
    <row r="1276" spans="1:16" x14ac:dyDescent="0.35">
      <c r="A1276" t="s">
        <v>95</v>
      </c>
      <c r="B1276" t="s">
        <v>78</v>
      </c>
      <c r="C1276" t="s">
        <v>45</v>
      </c>
      <c r="D1276" t="s">
        <v>1372</v>
      </c>
      <c r="E1276" t="s">
        <v>96</v>
      </c>
      <c r="F1276" t="s">
        <v>96</v>
      </c>
      <c r="G1276" t="s">
        <v>96</v>
      </c>
      <c r="H1276">
        <v>2010</v>
      </c>
      <c r="I1276" t="s">
        <v>96</v>
      </c>
      <c r="J1276" t="s">
        <v>97</v>
      </c>
      <c r="K1276" t="s">
        <v>96</v>
      </c>
      <c r="L1276" t="s">
        <v>96</v>
      </c>
      <c r="M1276">
        <v>2790</v>
      </c>
      <c r="O1276" s="12" t="str">
        <f t="shared" si="52"/>
        <v>OAS</v>
      </c>
      <c r="P1276" s="12" t="str">
        <f t="shared" si="53"/>
        <v>E_WON</v>
      </c>
    </row>
    <row r="1277" spans="1:16" x14ac:dyDescent="0.35">
      <c r="A1277" t="s">
        <v>95</v>
      </c>
      <c r="B1277" t="s">
        <v>78</v>
      </c>
      <c r="C1277" t="s">
        <v>45</v>
      </c>
      <c r="D1277" t="s">
        <v>1373</v>
      </c>
      <c r="E1277" t="s">
        <v>96</v>
      </c>
      <c r="F1277" t="s">
        <v>96</v>
      </c>
      <c r="G1277" t="s">
        <v>96</v>
      </c>
      <c r="H1277">
        <v>2010</v>
      </c>
      <c r="I1277" t="s">
        <v>96</v>
      </c>
      <c r="J1277" t="s">
        <v>97</v>
      </c>
      <c r="K1277" t="s">
        <v>96</v>
      </c>
      <c r="L1277" t="s">
        <v>96</v>
      </c>
      <c r="M1277">
        <v>2670</v>
      </c>
      <c r="O1277" s="12" t="str">
        <f t="shared" si="52"/>
        <v>OAS</v>
      </c>
      <c r="P1277" s="12" t="str">
        <f t="shared" si="53"/>
        <v>E_WON</v>
      </c>
    </row>
    <row r="1278" spans="1:16" x14ac:dyDescent="0.35">
      <c r="A1278" t="s">
        <v>95</v>
      </c>
      <c r="B1278" t="s">
        <v>78</v>
      </c>
      <c r="C1278" t="s">
        <v>45</v>
      </c>
      <c r="D1278" t="s">
        <v>1374</v>
      </c>
      <c r="E1278" t="s">
        <v>96</v>
      </c>
      <c r="F1278" t="s">
        <v>96</v>
      </c>
      <c r="G1278" t="s">
        <v>96</v>
      </c>
      <c r="H1278">
        <v>2010</v>
      </c>
      <c r="I1278" t="s">
        <v>96</v>
      </c>
      <c r="J1278" t="s">
        <v>97</v>
      </c>
      <c r="K1278" t="s">
        <v>96</v>
      </c>
      <c r="L1278" t="s">
        <v>96</v>
      </c>
      <c r="M1278">
        <v>2670</v>
      </c>
      <c r="O1278" s="12" t="str">
        <f t="shared" si="52"/>
        <v>OAS</v>
      </c>
      <c r="P1278" s="12" t="str">
        <f t="shared" si="53"/>
        <v>E_WON</v>
      </c>
    </row>
    <row r="1279" spans="1:16" x14ac:dyDescent="0.35">
      <c r="A1279" t="s">
        <v>95</v>
      </c>
      <c r="B1279" t="s">
        <v>78</v>
      </c>
      <c r="C1279" t="s">
        <v>45</v>
      </c>
      <c r="D1279" t="s">
        <v>1375</v>
      </c>
      <c r="E1279" t="s">
        <v>96</v>
      </c>
      <c r="F1279" t="s">
        <v>96</v>
      </c>
      <c r="G1279" t="s">
        <v>96</v>
      </c>
      <c r="H1279">
        <v>2010</v>
      </c>
      <c r="I1279" t="s">
        <v>96</v>
      </c>
      <c r="J1279" t="s">
        <v>97</v>
      </c>
      <c r="K1279" t="s">
        <v>96</v>
      </c>
      <c r="L1279" t="s">
        <v>96</v>
      </c>
      <c r="M1279">
        <v>2670</v>
      </c>
      <c r="O1279" s="12" t="str">
        <f t="shared" si="52"/>
        <v>OAS</v>
      </c>
      <c r="P1279" s="12" t="str">
        <f t="shared" si="53"/>
        <v>E_WON</v>
      </c>
    </row>
    <row r="1280" spans="1:16" x14ac:dyDescent="0.35">
      <c r="A1280" t="s">
        <v>95</v>
      </c>
      <c r="B1280" t="s">
        <v>78</v>
      </c>
      <c r="C1280" t="s">
        <v>45</v>
      </c>
      <c r="D1280" t="s">
        <v>1376</v>
      </c>
      <c r="E1280" t="s">
        <v>96</v>
      </c>
      <c r="F1280" t="s">
        <v>96</v>
      </c>
      <c r="G1280" t="s">
        <v>96</v>
      </c>
      <c r="H1280">
        <v>2010</v>
      </c>
      <c r="I1280" t="s">
        <v>96</v>
      </c>
      <c r="J1280" t="s">
        <v>97</v>
      </c>
      <c r="K1280" t="s">
        <v>96</v>
      </c>
      <c r="L1280" t="s">
        <v>96</v>
      </c>
      <c r="M1280">
        <v>2670</v>
      </c>
      <c r="O1280" s="12" t="str">
        <f t="shared" si="52"/>
        <v>OAS</v>
      </c>
      <c r="P1280" s="12" t="str">
        <f t="shared" si="53"/>
        <v>E_WON</v>
      </c>
    </row>
    <row r="1281" spans="1:16" x14ac:dyDescent="0.35">
      <c r="A1281" t="s">
        <v>95</v>
      </c>
      <c r="B1281" t="s">
        <v>78</v>
      </c>
      <c r="C1281" t="s">
        <v>45</v>
      </c>
      <c r="D1281" t="s">
        <v>1377</v>
      </c>
      <c r="E1281" t="s">
        <v>96</v>
      </c>
      <c r="F1281" t="s">
        <v>96</v>
      </c>
      <c r="G1281" t="s">
        <v>96</v>
      </c>
      <c r="H1281">
        <v>2010</v>
      </c>
      <c r="I1281" t="s">
        <v>96</v>
      </c>
      <c r="J1281" t="s">
        <v>97</v>
      </c>
      <c r="K1281" t="s">
        <v>96</v>
      </c>
      <c r="L1281" t="s">
        <v>96</v>
      </c>
      <c r="M1281">
        <v>2670</v>
      </c>
      <c r="O1281" s="12" t="str">
        <f t="shared" si="52"/>
        <v>OAS</v>
      </c>
      <c r="P1281" s="12" t="str">
        <f t="shared" si="53"/>
        <v>E_WON</v>
      </c>
    </row>
    <row r="1282" spans="1:16" x14ac:dyDescent="0.35">
      <c r="A1282" t="s">
        <v>95</v>
      </c>
      <c r="B1282" t="s">
        <v>78</v>
      </c>
      <c r="C1282" t="s">
        <v>45</v>
      </c>
      <c r="D1282" t="s">
        <v>1378</v>
      </c>
      <c r="E1282" t="s">
        <v>96</v>
      </c>
      <c r="F1282" t="s">
        <v>96</v>
      </c>
      <c r="G1282" t="s">
        <v>96</v>
      </c>
      <c r="H1282">
        <v>2010</v>
      </c>
      <c r="I1282" t="s">
        <v>96</v>
      </c>
      <c r="J1282" t="s">
        <v>97</v>
      </c>
      <c r="K1282" t="s">
        <v>96</v>
      </c>
      <c r="L1282" t="s">
        <v>96</v>
      </c>
      <c r="M1282">
        <v>2670</v>
      </c>
      <c r="O1282" s="12" t="str">
        <f t="shared" si="52"/>
        <v>OAS</v>
      </c>
      <c r="P1282" s="12" t="str">
        <f t="shared" si="53"/>
        <v>E_WON</v>
      </c>
    </row>
    <row r="1283" spans="1:16" x14ac:dyDescent="0.35">
      <c r="A1283" t="s">
        <v>95</v>
      </c>
      <c r="B1283" t="s">
        <v>78</v>
      </c>
      <c r="C1283" t="s">
        <v>45</v>
      </c>
      <c r="D1283" t="s">
        <v>1379</v>
      </c>
      <c r="E1283" t="s">
        <v>96</v>
      </c>
      <c r="F1283" t="s">
        <v>96</v>
      </c>
      <c r="G1283" t="s">
        <v>96</v>
      </c>
      <c r="H1283">
        <v>2010</v>
      </c>
      <c r="I1283" t="s">
        <v>96</v>
      </c>
      <c r="J1283" t="s">
        <v>97</v>
      </c>
      <c r="K1283" t="s">
        <v>96</v>
      </c>
      <c r="L1283" t="s">
        <v>96</v>
      </c>
      <c r="M1283">
        <v>2670</v>
      </c>
      <c r="O1283" s="12" t="str">
        <f t="shared" ref="O1283:O1346" si="54">LEFT(B1283,3)</f>
        <v>OAS</v>
      </c>
      <c r="P1283" s="12" t="str">
        <f t="shared" ref="P1283:P1346" si="55">LEFT(D1283,5)</f>
        <v>E_WON</v>
      </c>
    </row>
    <row r="1284" spans="1:16" x14ac:dyDescent="0.35">
      <c r="A1284" t="s">
        <v>95</v>
      </c>
      <c r="B1284" t="s">
        <v>78</v>
      </c>
      <c r="C1284" t="s">
        <v>45</v>
      </c>
      <c r="D1284" t="s">
        <v>1380</v>
      </c>
      <c r="E1284" t="s">
        <v>96</v>
      </c>
      <c r="F1284" t="s">
        <v>96</v>
      </c>
      <c r="G1284" t="s">
        <v>96</v>
      </c>
      <c r="H1284">
        <v>2010</v>
      </c>
      <c r="I1284" t="s">
        <v>96</v>
      </c>
      <c r="J1284" t="s">
        <v>97</v>
      </c>
      <c r="K1284" t="s">
        <v>96</v>
      </c>
      <c r="L1284" t="s">
        <v>96</v>
      </c>
      <c r="M1284">
        <v>2550</v>
      </c>
      <c r="O1284" s="12" t="str">
        <f t="shared" si="54"/>
        <v>OAS</v>
      </c>
      <c r="P1284" s="12" t="str">
        <f t="shared" si="55"/>
        <v>E_WON</v>
      </c>
    </row>
    <row r="1285" spans="1:16" x14ac:dyDescent="0.35">
      <c r="A1285" t="s">
        <v>95</v>
      </c>
      <c r="B1285" t="s">
        <v>78</v>
      </c>
      <c r="C1285" t="s">
        <v>45</v>
      </c>
      <c r="D1285" t="s">
        <v>1381</v>
      </c>
      <c r="E1285" t="s">
        <v>96</v>
      </c>
      <c r="F1285" t="s">
        <v>96</v>
      </c>
      <c r="G1285" t="s">
        <v>96</v>
      </c>
      <c r="H1285">
        <v>2010</v>
      </c>
      <c r="I1285" t="s">
        <v>96</v>
      </c>
      <c r="J1285" t="s">
        <v>97</v>
      </c>
      <c r="K1285" t="s">
        <v>96</v>
      </c>
      <c r="L1285" t="s">
        <v>96</v>
      </c>
      <c r="M1285">
        <v>2670</v>
      </c>
      <c r="O1285" s="12" t="str">
        <f t="shared" si="54"/>
        <v>OAS</v>
      </c>
      <c r="P1285" s="12" t="str">
        <f t="shared" si="55"/>
        <v>E_WON</v>
      </c>
    </row>
    <row r="1286" spans="1:16" x14ac:dyDescent="0.35">
      <c r="A1286" t="s">
        <v>95</v>
      </c>
      <c r="B1286" t="s">
        <v>78</v>
      </c>
      <c r="C1286" t="s">
        <v>45</v>
      </c>
      <c r="D1286" t="s">
        <v>1382</v>
      </c>
      <c r="E1286" t="s">
        <v>96</v>
      </c>
      <c r="F1286" t="s">
        <v>96</v>
      </c>
      <c r="G1286" t="s">
        <v>96</v>
      </c>
      <c r="H1286">
        <v>2010</v>
      </c>
      <c r="I1286" t="s">
        <v>96</v>
      </c>
      <c r="J1286" t="s">
        <v>97</v>
      </c>
      <c r="K1286" t="s">
        <v>96</v>
      </c>
      <c r="L1286" t="s">
        <v>96</v>
      </c>
      <c r="M1286">
        <v>2670</v>
      </c>
      <c r="O1286" s="12" t="str">
        <f t="shared" si="54"/>
        <v>OAS</v>
      </c>
      <c r="P1286" s="12" t="str">
        <f t="shared" si="55"/>
        <v>E_WON</v>
      </c>
    </row>
    <row r="1287" spans="1:16" x14ac:dyDescent="0.35">
      <c r="A1287" t="s">
        <v>95</v>
      </c>
      <c r="B1287" t="s">
        <v>78</v>
      </c>
      <c r="C1287" t="s">
        <v>45</v>
      </c>
      <c r="D1287" t="s">
        <v>1383</v>
      </c>
      <c r="E1287" t="s">
        <v>96</v>
      </c>
      <c r="F1287" t="s">
        <v>96</v>
      </c>
      <c r="G1287" t="s">
        <v>96</v>
      </c>
      <c r="H1287">
        <v>2010</v>
      </c>
      <c r="I1287" t="s">
        <v>96</v>
      </c>
      <c r="J1287" t="s">
        <v>97</v>
      </c>
      <c r="K1287" t="s">
        <v>96</v>
      </c>
      <c r="L1287" t="s">
        <v>96</v>
      </c>
      <c r="M1287">
        <v>2550</v>
      </c>
      <c r="O1287" s="12" t="str">
        <f t="shared" si="54"/>
        <v>OAS</v>
      </c>
      <c r="P1287" s="12" t="str">
        <f t="shared" si="55"/>
        <v>E_WON</v>
      </c>
    </row>
    <row r="1288" spans="1:16" x14ac:dyDescent="0.35">
      <c r="A1288" t="s">
        <v>95</v>
      </c>
      <c r="B1288" t="s">
        <v>78</v>
      </c>
      <c r="C1288" t="s">
        <v>45</v>
      </c>
      <c r="D1288" t="s">
        <v>1384</v>
      </c>
      <c r="E1288" t="s">
        <v>96</v>
      </c>
      <c r="F1288" t="s">
        <v>96</v>
      </c>
      <c r="G1288" t="s">
        <v>96</v>
      </c>
      <c r="H1288">
        <v>2010</v>
      </c>
      <c r="I1288" t="s">
        <v>96</v>
      </c>
      <c r="J1288" t="s">
        <v>97</v>
      </c>
      <c r="K1288" t="s">
        <v>96</v>
      </c>
      <c r="L1288" t="s">
        <v>96</v>
      </c>
      <c r="M1288">
        <v>2670</v>
      </c>
      <c r="O1288" s="12" t="str">
        <f t="shared" si="54"/>
        <v>OAS</v>
      </c>
      <c r="P1288" s="12" t="str">
        <f t="shared" si="55"/>
        <v>E_WON</v>
      </c>
    </row>
    <row r="1289" spans="1:16" x14ac:dyDescent="0.35">
      <c r="A1289" t="s">
        <v>95</v>
      </c>
      <c r="B1289" t="s">
        <v>78</v>
      </c>
      <c r="C1289" t="s">
        <v>45</v>
      </c>
      <c r="D1289" t="s">
        <v>1385</v>
      </c>
      <c r="E1289" t="s">
        <v>96</v>
      </c>
      <c r="F1289" t="s">
        <v>96</v>
      </c>
      <c r="G1289" t="s">
        <v>96</v>
      </c>
      <c r="H1289">
        <v>2010</v>
      </c>
      <c r="I1289" t="s">
        <v>96</v>
      </c>
      <c r="J1289" t="s">
        <v>97</v>
      </c>
      <c r="K1289" t="s">
        <v>96</v>
      </c>
      <c r="L1289" t="s">
        <v>96</v>
      </c>
      <c r="M1289">
        <v>2760</v>
      </c>
      <c r="O1289" s="12" t="str">
        <f t="shared" si="54"/>
        <v>OAS</v>
      </c>
      <c r="P1289" s="12" t="str">
        <f t="shared" si="55"/>
        <v>E_WON</v>
      </c>
    </row>
    <row r="1290" spans="1:16" x14ac:dyDescent="0.35">
      <c r="A1290" t="s">
        <v>95</v>
      </c>
      <c r="B1290" t="s">
        <v>78</v>
      </c>
      <c r="C1290" t="s">
        <v>45</v>
      </c>
      <c r="D1290" t="s">
        <v>1386</v>
      </c>
      <c r="E1290" t="s">
        <v>96</v>
      </c>
      <c r="F1290" t="s">
        <v>96</v>
      </c>
      <c r="G1290" t="s">
        <v>96</v>
      </c>
      <c r="H1290">
        <v>2010</v>
      </c>
      <c r="I1290" t="s">
        <v>96</v>
      </c>
      <c r="J1290" t="s">
        <v>97</v>
      </c>
      <c r="K1290" t="s">
        <v>96</v>
      </c>
      <c r="L1290" t="s">
        <v>96</v>
      </c>
      <c r="M1290">
        <v>2670</v>
      </c>
      <c r="O1290" s="12" t="str">
        <f t="shared" si="54"/>
        <v>OAS</v>
      </c>
      <c r="P1290" s="12" t="str">
        <f t="shared" si="55"/>
        <v>E_WON</v>
      </c>
    </row>
    <row r="1291" spans="1:16" x14ac:dyDescent="0.35">
      <c r="A1291" t="s">
        <v>95</v>
      </c>
      <c r="B1291" t="s">
        <v>78</v>
      </c>
      <c r="C1291" t="s">
        <v>45</v>
      </c>
      <c r="D1291" t="s">
        <v>1387</v>
      </c>
      <c r="E1291" t="s">
        <v>96</v>
      </c>
      <c r="F1291" t="s">
        <v>96</v>
      </c>
      <c r="G1291" t="s">
        <v>96</v>
      </c>
      <c r="H1291">
        <v>2010</v>
      </c>
      <c r="I1291" t="s">
        <v>96</v>
      </c>
      <c r="J1291" t="s">
        <v>97</v>
      </c>
      <c r="K1291" t="s">
        <v>96</v>
      </c>
      <c r="L1291" t="s">
        <v>96</v>
      </c>
      <c r="M1291">
        <v>2790</v>
      </c>
      <c r="O1291" s="12" t="str">
        <f t="shared" si="54"/>
        <v>OAS</v>
      </c>
      <c r="P1291" s="12" t="str">
        <f t="shared" si="55"/>
        <v>E_WON</v>
      </c>
    </row>
    <row r="1292" spans="1:16" x14ac:dyDescent="0.35">
      <c r="A1292" t="s">
        <v>95</v>
      </c>
      <c r="B1292" t="s">
        <v>78</v>
      </c>
      <c r="C1292" t="s">
        <v>45</v>
      </c>
      <c r="D1292" t="s">
        <v>1388</v>
      </c>
      <c r="E1292" t="s">
        <v>96</v>
      </c>
      <c r="F1292" t="s">
        <v>96</v>
      </c>
      <c r="G1292" t="s">
        <v>96</v>
      </c>
      <c r="H1292">
        <v>2010</v>
      </c>
      <c r="I1292" t="s">
        <v>96</v>
      </c>
      <c r="J1292" t="s">
        <v>97</v>
      </c>
      <c r="K1292" t="s">
        <v>96</v>
      </c>
      <c r="L1292" t="s">
        <v>96</v>
      </c>
      <c r="M1292">
        <v>2670</v>
      </c>
      <c r="O1292" s="12" t="str">
        <f t="shared" si="54"/>
        <v>OAS</v>
      </c>
      <c r="P1292" s="12" t="str">
        <f t="shared" si="55"/>
        <v>E_WON</v>
      </c>
    </row>
    <row r="1293" spans="1:16" x14ac:dyDescent="0.35">
      <c r="A1293" t="s">
        <v>95</v>
      </c>
      <c r="B1293" t="s">
        <v>78</v>
      </c>
      <c r="C1293" t="s">
        <v>45</v>
      </c>
      <c r="D1293" t="s">
        <v>1389</v>
      </c>
      <c r="E1293" t="s">
        <v>96</v>
      </c>
      <c r="F1293" t="s">
        <v>96</v>
      </c>
      <c r="G1293" t="s">
        <v>96</v>
      </c>
      <c r="H1293">
        <v>2010</v>
      </c>
      <c r="I1293" t="s">
        <v>96</v>
      </c>
      <c r="J1293" t="s">
        <v>97</v>
      </c>
      <c r="K1293" t="s">
        <v>96</v>
      </c>
      <c r="L1293" t="s">
        <v>96</v>
      </c>
      <c r="M1293">
        <v>2670</v>
      </c>
      <c r="O1293" s="12" t="str">
        <f t="shared" si="54"/>
        <v>OAS</v>
      </c>
      <c r="P1293" s="12" t="str">
        <f t="shared" si="55"/>
        <v>E_WON</v>
      </c>
    </row>
    <row r="1294" spans="1:16" x14ac:dyDescent="0.35">
      <c r="A1294" t="s">
        <v>95</v>
      </c>
      <c r="B1294" t="s">
        <v>78</v>
      </c>
      <c r="C1294" t="s">
        <v>45</v>
      </c>
      <c r="D1294" t="s">
        <v>1390</v>
      </c>
      <c r="E1294" t="s">
        <v>96</v>
      </c>
      <c r="F1294" t="s">
        <v>96</v>
      </c>
      <c r="G1294" t="s">
        <v>96</v>
      </c>
      <c r="H1294">
        <v>2010</v>
      </c>
      <c r="I1294" t="s">
        <v>96</v>
      </c>
      <c r="J1294" t="s">
        <v>97</v>
      </c>
      <c r="K1294" t="s">
        <v>96</v>
      </c>
      <c r="L1294" t="s">
        <v>96</v>
      </c>
      <c r="M1294">
        <v>2670</v>
      </c>
      <c r="O1294" s="12" t="str">
        <f t="shared" si="54"/>
        <v>OAS</v>
      </c>
      <c r="P1294" s="12" t="str">
        <f t="shared" si="55"/>
        <v>E_WON</v>
      </c>
    </row>
    <row r="1295" spans="1:16" x14ac:dyDescent="0.35">
      <c r="A1295" t="s">
        <v>95</v>
      </c>
      <c r="B1295" t="s">
        <v>78</v>
      </c>
      <c r="C1295" t="s">
        <v>45</v>
      </c>
      <c r="D1295" t="s">
        <v>1391</v>
      </c>
      <c r="E1295" t="s">
        <v>96</v>
      </c>
      <c r="F1295" t="s">
        <v>96</v>
      </c>
      <c r="G1295" t="s">
        <v>96</v>
      </c>
      <c r="H1295">
        <v>2010</v>
      </c>
      <c r="I1295" t="s">
        <v>96</v>
      </c>
      <c r="J1295" t="s">
        <v>97</v>
      </c>
      <c r="K1295" t="s">
        <v>96</v>
      </c>
      <c r="L1295" t="s">
        <v>96</v>
      </c>
      <c r="M1295">
        <v>2670</v>
      </c>
      <c r="O1295" s="12" t="str">
        <f t="shared" si="54"/>
        <v>OAS</v>
      </c>
      <c r="P1295" s="12" t="str">
        <f t="shared" si="55"/>
        <v>E_WON</v>
      </c>
    </row>
    <row r="1296" spans="1:16" x14ac:dyDescent="0.35">
      <c r="A1296" t="s">
        <v>95</v>
      </c>
      <c r="B1296" t="s">
        <v>78</v>
      </c>
      <c r="C1296" t="s">
        <v>45</v>
      </c>
      <c r="D1296" t="s">
        <v>1392</v>
      </c>
      <c r="E1296" t="s">
        <v>96</v>
      </c>
      <c r="F1296" t="s">
        <v>96</v>
      </c>
      <c r="G1296" t="s">
        <v>96</v>
      </c>
      <c r="H1296">
        <v>2010</v>
      </c>
      <c r="I1296" t="s">
        <v>96</v>
      </c>
      <c r="J1296" t="s">
        <v>97</v>
      </c>
      <c r="K1296" t="s">
        <v>96</v>
      </c>
      <c r="L1296" t="s">
        <v>96</v>
      </c>
      <c r="M1296">
        <v>2670</v>
      </c>
      <c r="O1296" s="12" t="str">
        <f t="shared" si="54"/>
        <v>OAS</v>
      </c>
      <c r="P1296" s="12" t="str">
        <f t="shared" si="55"/>
        <v>E_WON</v>
      </c>
    </row>
    <row r="1297" spans="1:16" x14ac:dyDescent="0.35">
      <c r="A1297" t="s">
        <v>95</v>
      </c>
      <c r="B1297" t="s">
        <v>78</v>
      </c>
      <c r="C1297" t="s">
        <v>45</v>
      </c>
      <c r="D1297" t="s">
        <v>1393</v>
      </c>
      <c r="E1297" t="s">
        <v>96</v>
      </c>
      <c r="F1297" t="s">
        <v>96</v>
      </c>
      <c r="G1297" t="s">
        <v>96</v>
      </c>
      <c r="H1297">
        <v>2010</v>
      </c>
      <c r="I1297" t="s">
        <v>96</v>
      </c>
      <c r="J1297" t="s">
        <v>97</v>
      </c>
      <c r="K1297" t="s">
        <v>96</v>
      </c>
      <c r="L1297" t="s">
        <v>96</v>
      </c>
      <c r="M1297">
        <v>2670</v>
      </c>
      <c r="O1297" s="12" t="str">
        <f t="shared" si="54"/>
        <v>OAS</v>
      </c>
      <c r="P1297" s="12" t="str">
        <f t="shared" si="55"/>
        <v>E_WON</v>
      </c>
    </row>
    <row r="1298" spans="1:16" x14ac:dyDescent="0.35">
      <c r="A1298" t="s">
        <v>95</v>
      </c>
      <c r="B1298" t="s">
        <v>78</v>
      </c>
      <c r="C1298" t="s">
        <v>45</v>
      </c>
      <c r="D1298" t="s">
        <v>1394</v>
      </c>
      <c r="E1298" t="s">
        <v>96</v>
      </c>
      <c r="F1298" t="s">
        <v>96</v>
      </c>
      <c r="G1298" t="s">
        <v>96</v>
      </c>
      <c r="H1298">
        <v>2010</v>
      </c>
      <c r="I1298" t="s">
        <v>96</v>
      </c>
      <c r="J1298" t="s">
        <v>97</v>
      </c>
      <c r="K1298" t="s">
        <v>96</v>
      </c>
      <c r="L1298" t="s">
        <v>96</v>
      </c>
      <c r="M1298">
        <v>2670</v>
      </c>
      <c r="O1298" s="12" t="str">
        <f t="shared" si="54"/>
        <v>OAS</v>
      </c>
      <c r="P1298" s="12" t="str">
        <f t="shared" si="55"/>
        <v>E_WON</v>
      </c>
    </row>
    <row r="1299" spans="1:16" x14ac:dyDescent="0.35">
      <c r="A1299" t="s">
        <v>95</v>
      </c>
      <c r="B1299" t="s">
        <v>78</v>
      </c>
      <c r="C1299" t="s">
        <v>45</v>
      </c>
      <c r="D1299" t="s">
        <v>1395</v>
      </c>
      <c r="E1299" t="s">
        <v>96</v>
      </c>
      <c r="F1299" t="s">
        <v>96</v>
      </c>
      <c r="G1299" t="s">
        <v>96</v>
      </c>
      <c r="H1299">
        <v>2010</v>
      </c>
      <c r="I1299" t="s">
        <v>96</v>
      </c>
      <c r="J1299" t="s">
        <v>97</v>
      </c>
      <c r="K1299" t="s">
        <v>96</v>
      </c>
      <c r="L1299" t="s">
        <v>96</v>
      </c>
      <c r="M1299">
        <v>2550</v>
      </c>
      <c r="O1299" s="12" t="str">
        <f t="shared" si="54"/>
        <v>OAS</v>
      </c>
      <c r="P1299" s="12" t="str">
        <f t="shared" si="55"/>
        <v>E_WON</v>
      </c>
    </row>
    <row r="1300" spans="1:16" x14ac:dyDescent="0.35">
      <c r="A1300" t="s">
        <v>95</v>
      </c>
      <c r="B1300" t="s">
        <v>78</v>
      </c>
      <c r="C1300" t="s">
        <v>45</v>
      </c>
      <c r="D1300" t="s">
        <v>1396</v>
      </c>
      <c r="E1300" t="s">
        <v>96</v>
      </c>
      <c r="F1300" t="s">
        <v>96</v>
      </c>
      <c r="G1300" t="s">
        <v>96</v>
      </c>
      <c r="H1300">
        <v>2010</v>
      </c>
      <c r="I1300" t="s">
        <v>96</v>
      </c>
      <c r="J1300" t="s">
        <v>97</v>
      </c>
      <c r="K1300" t="s">
        <v>96</v>
      </c>
      <c r="L1300" t="s">
        <v>96</v>
      </c>
      <c r="M1300">
        <v>2760</v>
      </c>
      <c r="O1300" s="12" t="str">
        <f t="shared" si="54"/>
        <v>OAS</v>
      </c>
      <c r="P1300" s="12" t="str">
        <f t="shared" si="55"/>
        <v>E_WON</v>
      </c>
    </row>
    <row r="1301" spans="1:16" x14ac:dyDescent="0.35">
      <c r="A1301" t="s">
        <v>95</v>
      </c>
      <c r="B1301" t="s">
        <v>78</v>
      </c>
      <c r="C1301" t="s">
        <v>45</v>
      </c>
      <c r="D1301" t="s">
        <v>1397</v>
      </c>
      <c r="E1301" t="s">
        <v>96</v>
      </c>
      <c r="F1301" t="s">
        <v>96</v>
      </c>
      <c r="G1301" t="s">
        <v>96</v>
      </c>
      <c r="H1301">
        <v>2010</v>
      </c>
      <c r="I1301" t="s">
        <v>96</v>
      </c>
      <c r="J1301" t="s">
        <v>97</v>
      </c>
      <c r="K1301" t="s">
        <v>96</v>
      </c>
      <c r="L1301" t="s">
        <v>96</v>
      </c>
      <c r="M1301">
        <v>2670</v>
      </c>
      <c r="O1301" s="12" t="str">
        <f t="shared" si="54"/>
        <v>OAS</v>
      </c>
      <c r="P1301" s="12" t="str">
        <f t="shared" si="55"/>
        <v>E_WON</v>
      </c>
    </row>
    <row r="1302" spans="1:16" x14ac:dyDescent="0.35">
      <c r="A1302" t="s">
        <v>95</v>
      </c>
      <c r="B1302" t="s">
        <v>78</v>
      </c>
      <c r="C1302" t="s">
        <v>45</v>
      </c>
      <c r="D1302" t="s">
        <v>1398</v>
      </c>
      <c r="E1302" t="s">
        <v>96</v>
      </c>
      <c r="F1302" t="s">
        <v>96</v>
      </c>
      <c r="G1302" t="s">
        <v>96</v>
      </c>
      <c r="H1302">
        <v>2010</v>
      </c>
      <c r="I1302" t="s">
        <v>96</v>
      </c>
      <c r="J1302" t="s">
        <v>97</v>
      </c>
      <c r="K1302" t="s">
        <v>96</v>
      </c>
      <c r="L1302" t="s">
        <v>96</v>
      </c>
      <c r="M1302">
        <v>2670</v>
      </c>
      <c r="O1302" s="12" t="str">
        <f t="shared" si="54"/>
        <v>OAS</v>
      </c>
      <c r="P1302" s="12" t="str">
        <f t="shared" si="55"/>
        <v>E_WON</v>
      </c>
    </row>
    <row r="1303" spans="1:16" x14ac:dyDescent="0.35">
      <c r="A1303" t="s">
        <v>95</v>
      </c>
      <c r="B1303" t="s">
        <v>78</v>
      </c>
      <c r="C1303" t="s">
        <v>45</v>
      </c>
      <c r="D1303" t="s">
        <v>1399</v>
      </c>
      <c r="E1303" t="s">
        <v>96</v>
      </c>
      <c r="F1303" t="s">
        <v>96</v>
      </c>
      <c r="G1303" t="s">
        <v>96</v>
      </c>
      <c r="H1303">
        <v>2010</v>
      </c>
      <c r="I1303" t="s">
        <v>96</v>
      </c>
      <c r="J1303" t="s">
        <v>97</v>
      </c>
      <c r="K1303" t="s">
        <v>96</v>
      </c>
      <c r="L1303" t="s">
        <v>96</v>
      </c>
      <c r="M1303">
        <v>2670</v>
      </c>
      <c r="O1303" s="12" t="str">
        <f t="shared" si="54"/>
        <v>OAS</v>
      </c>
      <c r="P1303" s="12" t="str">
        <f t="shared" si="55"/>
        <v>E_WON</v>
      </c>
    </row>
    <row r="1304" spans="1:16" x14ac:dyDescent="0.35">
      <c r="A1304" t="s">
        <v>95</v>
      </c>
      <c r="B1304" t="s">
        <v>78</v>
      </c>
      <c r="C1304" t="s">
        <v>45</v>
      </c>
      <c r="D1304" t="s">
        <v>1400</v>
      </c>
      <c r="E1304" t="s">
        <v>96</v>
      </c>
      <c r="F1304" t="s">
        <v>96</v>
      </c>
      <c r="G1304" t="s">
        <v>96</v>
      </c>
      <c r="H1304">
        <v>2010</v>
      </c>
      <c r="I1304" t="s">
        <v>96</v>
      </c>
      <c r="J1304" t="s">
        <v>97</v>
      </c>
      <c r="K1304" t="s">
        <v>96</v>
      </c>
      <c r="L1304" t="s">
        <v>96</v>
      </c>
      <c r="M1304">
        <v>2670</v>
      </c>
      <c r="O1304" s="12" t="str">
        <f t="shared" si="54"/>
        <v>OAS</v>
      </c>
      <c r="P1304" s="12" t="str">
        <f t="shared" si="55"/>
        <v>E_WON</v>
      </c>
    </row>
    <row r="1305" spans="1:16" x14ac:dyDescent="0.35">
      <c r="A1305" t="s">
        <v>95</v>
      </c>
      <c r="B1305" t="s">
        <v>78</v>
      </c>
      <c r="C1305" t="s">
        <v>45</v>
      </c>
      <c r="D1305" t="s">
        <v>1401</v>
      </c>
      <c r="E1305" t="s">
        <v>96</v>
      </c>
      <c r="F1305" t="s">
        <v>96</v>
      </c>
      <c r="G1305" t="s">
        <v>96</v>
      </c>
      <c r="H1305">
        <v>2010</v>
      </c>
      <c r="I1305" t="s">
        <v>96</v>
      </c>
      <c r="J1305" t="s">
        <v>97</v>
      </c>
      <c r="K1305" t="s">
        <v>96</v>
      </c>
      <c r="L1305" t="s">
        <v>96</v>
      </c>
      <c r="M1305">
        <v>2670</v>
      </c>
      <c r="O1305" s="12" t="str">
        <f t="shared" si="54"/>
        <v>OAS</v>
      </c>
      <c r="P1305" s="12" t="str">
        <f t="shared" si="55"/>
        <v>E_WON</v>
      </c>
    </row>
    <row r="1306" spans="1:16" x14ac:dyDescent="0.35">
      <c r="A1306" t="s">
        <v>95</v>
      </c>
      <c r="B1306" t="s">
        <v>78</v>
      </c>
      <c r="C1306" t="s">
        <v>45</v>
      </c>
      <c r="D1306" t="s">
        <v>1402</v>
      </c>
      <c r="E1306" t="s">
        <v>96</v>
      </c>
      <c r="F1306" t="s">
        <v>96</v>
      </c>
      <c r="G1306" t="s">
        <v>96</v>
      </c>
      <c r="H1306">
        <v>2010</v>
      </c>
      <c r="I1306" t="s">
        <v>96</v>
      </c>
      <c r="J1306" t="s">
        <v>97</v>
      </c>
      <c r="K1306" t="s">
        <v>96</v>
      </c>
      <c r="L1306" t="s">
        <v>96</v>
      </c>
      <c r="M1306">
        <v>2670</v>
      </c>
      <c r="O1306" s="12" t="str">
        <f t="shared" si="54"/>
        <v>OAS</v>
      </c>
      <c r="P1306" s="12" t="str">
        <f t="shared" si="55"/>
        <v>E_WON</v>
      </c>
    </row>
    <row r="1307" spans="1:16" x14ac:dyDescent="0.35">
      <c r="A1307" t="s">
        <v>95</v>
      </c>
      <c r="B1307" t="s">
        <v>78</v>
      </c>
      <c r="C1307" t="s">
        <v>45</v>
      </c>
      <c r="D1307" t="s">
        <v>1403</v>
      </c>
      <c r="E1307" t="s">
        <v>96</v>
      </c>
      <c r="F1307" t="s">
        <v>96</v>
      </c>
      <c r="G1307" t="s">
        <v>96</v>
      </c>
      <c r="H1307">
        <v>2010</v>
      </c>
      <c r="I1307" t="s">
        <v>96</v>
      </c>
      <c r="J1307" t="s">
        <v>97</v>
      </c>
      <c r="K1307" t="s">
        <v>96</v>
      </c>
      <c r="L1307" t="s">
        <v>96</v>
      </c>
      <c r="M1307">
        <v>2550</v>
      </c>
      <c r="O1307" s="12" t="str">
        <f t="shared" si="54"/>
        <v>OAS</v>
      </c>
      <c r="P1307" s="12" t="str">
        <f t="shared" si="55"/>
        <v>E_WON</v>
      </c>
    </row>
    <row r="1308" spans="1:16" x14ac:dyDescent="0.35">
      <c r="A1308" t="s">
        <v>95</v>
      </c>
      <c r="B1308" t="s">
        <v>78</v>
      </c>
      <c r="C1308" t="s">
        <v>45</v>
      </c>
      <c r="D1308" t="s">
        <v>1404</v>
      </c>
      <c r="E1308" t="s">
        <v>96</v>
      </c>
      <c r="F1308" t="s">
        <v>96</v>
      </c>
      <c r="G1308" t="s">
        <v>96</v>
      </c>
      <c r="H1308">
        <v>2010</v>
      </c>
      <c r="I1308" t="s">
        <v>96</v>
      </c>
      <c r="J1308" t="s">
        <v>97</v>
      </c>
      <c r="K1308" t="s">
        <v>96</v>
      </c>
      <c r="L1308" t="s">
        <v>96</v>
      </c>
      <c r="M1308">
        <v>2670</v>
      </c>
      <c r="O1308" s="12" t="str">
        <f t="shared" si="54"/>
        <v>OAS</v>
      </c>
      <c r="P1308" s="12" t="str">
        <f t="shared" si="55"/>
        <v>E_WON</v>
      </c>
    </row>
    <row r="1309" spans="1:16" x14ac:dyDescent="0.35">
      <c r="A1309" t="s">
        <v>95</v>
      </c>
      <c r="B1309" t="s">
        <v>78</v>
      </c>
      <c r="C1309" t="s">
        <v>45</v>
      </c>
      <c r="D1309" t="s">
        <v>1405</v>
      </c>
      <c r="E1309" t="s">
        <v>96</v>
      </c>
      <c r="F1309" t="s">
        <v>96</v>
      </c>
      <c r="G1309" t="s">
        <v>96</v>
      </c>
      <c r="H1309">
        <v>2010</v>
      </c>
      <c r="I1309" t="s">
        <v>96</v>
      </c>
      <c r="J1309" t="s">
        <v>97</v>
      </c>
      <c r="K1309" t="s">
        <v>96</v>
      </c>
      <c r="L1309" t="s">
        <v>96</v>
      </c>
      <c r="M1309">
        <v>2550</v>
      </c>
      <c r="O1309" s="12" t="str">
        <f t="shared" si="54"/>
        <v>OAS</v>
      </c>
      <c r="P1309" s="12" t="str">
        <f t="shared" si="55"/>
        <v>E_WON</v>
      </c>
    </row>
    <row r="1310" spans="1:16" x14ac:dyDescent="0.35">
      <c r="A1310" t="s">
        <v>95</v>
      </c>
      <c r="B1310" t="s">
        <v>78</v>
      </c>
      <c r="C1310" t="s">
        <v>45</v>
      </c>
      <c r="D1310" t="s">
        <v>1406</v>
      </c>
      <c r="E1310" t="s">
        <v>96</v>
      </c>
      <c r="F1310" t="s">
        <v>96</v>
      </c>
      <c r="G1310" t="s">
        <v>96</v>
      </c>
      <c r="H1310">
        <v>2010</v>
      </c>
      <c r="I1310" t="s">
        <v>96</v>
      </c>
      <c r="J1310" t="s">
        <v>97</v>
      </c>
      <c r="K1310" t="s">
        <v>96</v>
      </c>
      <c r="L1310" t="s">
        <v>96</v>
      </c>
      <c r="M1310">
        <v>2760</v>
      </c>
      <c r="O1310" s="12" t="str">
        <f t="shared" si="54"/>
        <v>OAS</v>
      </c>
      <c r="P1310" s="12" t="str">
        <f t="shared" si="55"/>
        <v>E_WON</v>
      </c>
    </row>
    <row r="1311" spans="1:16" x14ac:dyDescent="0.35">
      <c r="A1311" t="s">
        <v>95</v>
      </c>
      <c r="B1311" t="s">
        <v>78</v>
      </c>
      <c r="C1311" t="s">
        <v>45</v>
      </c>
      <c r="D1311" t="s">
        <v>1407</v>
      </c>
      <c r="E1311" t="s">
        <v>96</v>
      </c>
      <c r="F1311" t="s">
        <v>96</v>
      </c>
      <c r="G1311" t="s">
        <v>96</v>
      </c>
      <c r="H1311">
        <v>2010</v>
      </c>
      <c r="I1311" t="s">
        <v>96</v>
      </c>
      <c r="J1311" t="s">
        <v>97</v>
      </c>
      <c r="K1311" t="s">
        <v>96</v>
      </c>
      <c r="L1311" t="s">
        <v>96</v>
      </c>
      <c r="M1311">
        <v>2670</v>
      </c>
      <c r="O1311" s="12" t="str">
        <f t="shared" si="54"/>
        <v>OAS</v>
      </c>
      <c r="P1311" s="12" t="str">
        <f t="shared" si="55"/>
        <v>E_WON</v>
      </c>
    </row>
    <row r="1312" spans="1:16" x14ac:dyDescent="0.35">
      <c r="A1312" t="s">
        <v>95</v>
      </c>
      <c r="B1312" t="s">
        <v>78</v>
      </c>
      <c r="C1312" t="s">
        <v>45</v>
      </c>
      <c r="D1312" t="s">
        <v>1408</v>
      </c>
      <c r="E1312" t="s">
        <v>96</v>
      </c>
      <c r="F1312" t="s">
        <v>96</v>
      </c>
      <c r="G1312" t="s">
        <v>96</v>
      </c>
      <c r="H1312">
        <v>2010</v>
      </c>
      <c r="I1312" t="s">
        <v>96</v>
      </c>
      <c r="J1312" t="s">
        <v>97</v>
      </c>
      <c r="K1312" t="s">
        <v>96</v>
      </c>
      <c r="L1312" t="s">
        <v>96</v>
      </c>
      <c r="M1312">
        <v>2670</v>
      </c>
      <c r="O1312" s="12" t="str">
        <f t="shared" si="54"/>
        <v>OAS</v>
      </c>
      <c r="P1312" s="12" t="str">
        <f t="shared" si="55"/>
        <v>E_WON</v>
      </c>
    </row>
    <row r="1313" spans="1:16" x14ac:dyDescent="0.35">
      <c r="A1313" t="s">
        <v>95</v>
      </c>
      <c r="B1313" t="s">
        <v>78</v>
      </c>
      <c r="C1313" t="s">
        <v>45</v>
      </c>
      <c r="D1313" t="s">
        <v>1409</v>
      </c>
      <c r="E1313" t="s">
        <v>96</v>
      </c>
      <c r="F1313" t="s">
        <v>96</v>
      </c>
      <c r="G1313" t="s">
        <v>96</v>
      </c>
      <c r="H1313">
        <v>2010</v>
      </c>
      <c r="I1313" t="s">
        <v>96</v>
      </c>
      <c r="J1313" t="s">
        <v>97</v>
      </c>
      <c r="K1313" t="s">
        <v>96</v>
      </c>
      <c r="L1313" t="s">
        <v>96</v>
      </c>
      <c r="M1313">
        <v>2670</v>
      </c>
      <c r="O1313" s="12" t="str">
        <f t="shared" si="54"/>
        <v>OAS</v>
      </c>
      <c r="P1313" s="12" t="str">
        <f t="shared" si="55"/>
        <v>E_WON</v>
      </c>
    </row>
    <row r="1314" spans="1:16" x14ac:dyDescent="0.35">
      <c r="A1314" t="s">
        <v>95</v>
      </c>
      <c r="B1314" t="s">
        <v>78</v>
      </c>
      <c r="C1314" t="s">
        <v>45</v>
      </c>
      <c r="D1314" t="s">
        <v>1410</v>
      </c>
      <c r="E1314" t="s">
        <v>96</v>
      </c>
      <c r="F1314" t="s">
        <v>96</v>
      </c>
      <c r="G1314" t="s">
        <v>96</v>
      </c>
      <c r="H1314">
        <v>2010</v>
      </c>
      <c r="I1314" t="s">
        <v>96</v>
      </c>
      <c r="J1314" t="s">
        <v>97</v>
      </c>
      <c r="K1314" t="s">
        <v>96</v>
      </c>
      <c r="L1314" t="s">
        <v>96</v>
      </c>
      <c r="M1314">
        <v>2670</v>
      </c>
      <c r="O1314" s="12" t="str">
        <f t="shared" si="54"/>
        <v>OAS</v>
      </c>
      <c r="P1314" s="12" t="str">
        <f t="shared" si="55"/>
        <v>E_WON</v>
      </c>
    </row>
    <row r="1315" spans="1:16" x14ac:dyDescent="0.35">
      <c r="A1315" t="s">
        <v>95</v>
      </c>
      <c r="B1315" t="s">
        <v>78</v>
      </c>
      <c r="C1315" t="s">
        <v>45</v>
      </c>
      <c r="D1315" t="s">
        <v>1411</v>
      </c>
      <c r="E1315" t="s">
        <v>96</v>
      </c>
      <c r="F1315" t="s">
        <v>96</v>
      </c>
      <c r="G1315" t="s">
        <v>96</v>
      </c>
      <c r="H1315">
        <v>2010</v>
      </c>
      <c r="I1315" t="s">
        <v>96</v>
      </c>
      <c r="J1315" t="s">
        <v>97</v>
      </c>
      <c r="K1315" t="s">
        <v>96</v>
      </c>
      <c r="L1315" t="s">
        <v>96</v>
      </c>
      <c r="M1315">
        <v>2670</v>
      </c>
      <c r="O1315" s="12" t="str">
        <f t="shared" si="54"/>
        <v>OAS</v>
      </c>
      <c r="P1315" s="12" t="str">
        <f t="shared" si="55"/>
        <v>E_WON</v>
      </c>
    </row>
    <row r="1316" spans="1:16" x14ac:dyDescent="0.35">
      <c r="A1316" t="s">
        <v>95</v>
      </c>
      <c r="B1316" t="s">
        <v>78</v>
      </c>
      <c r="C1316" t="s">
        <v>45</v>
      </c>
      <c r="D1316" t="s">
        <v>1412</v>
      </c>
      <c r="E1316" t="s">
        <v>96</v>
      </c>
      <c r="F1316" t="s">
        <v>96</v>
      </c>
      <c r="G1316" t="s">
        <v>96</v>
      </c>
      <c r="H1316">
        <v>2010</v>
      </c>
      <c r="I1316" t="s">
        <v>96</v>
      </c>
      <c r="J1316" t="s">
        <v>97</v>
      </c>
      <c r="K1316" t="s">
        <v>96</v>
      </c>
      <c r="L1316" t="s">
        <v>96</v>
      </c>
      <c r="M1316">
        <v>2670</v>
      </c>
      <c r="O1316" s="12" t="str">
        <f t="shared" si="54"/>
        <v>OAS</v>
      </c>
      <c r="P1316" s="12" t="str">
        <f t="shared" si="55"/>
        <v>E_WON</v>
      </c>
    </row>
    <row r="1317" spans="1:16" x14ac:dyDescent="0.35">
      <c r="A1317" t="s">
        <v>95</v>
      </c>
      <c r="B1317" t="s">
        <v>78</v>
      </c>
      <c r="C1317" t="s">
        <v>45</v>
      </c>
      <c r="D1317" t="s">
        <v>1413</v>
      </c>
      <c r="E1317" t="s">
        <v>96</v>
      </c>
      <c r="F1317" t="s">
        <v>96</v>
      </c>
      <c r="G1317" t="s">
        <v>96</v>
      </c>
      <c r="H1317">
        <v>2010</v>
      </c>
      <c r="I1317" t="s">
        <v>96</v>
      </c>
      <c r="J1317" t="s">
        <v>97</v>
      </c>
      <c r="K1317" t="s">
        <v>96</v>
      </c>
      <c r="L1317" t="s">
        <v>96</v>
      </c>
      <c r="M1317">
        <v>2550</v>
      </c>
      <c r="O1317" s="12" t="str">
        <f t="shared" si="54"/>
        <v>OAS</v>
      </c>
      <c r="P1317" s="12" t="str">
        <f t="shared" si="55"/>
        <v>E_WON</v>
      </c>
    </row>
    <row r="1318" spans="1:16" x14ac:dyDescent="0.35">
      <c r="A1318" t="s">
        <v>95</v>
      </c>
      <c r="B1318" t="s">
        <v>78</v>
      </c>
      <c r="C1318" t="s">
        <v>45</v>
      </c>
      <c r="D1318" t="s">
        <v>1414</v>
      </c>
      <c r="E1318" t="s">
        <v>96</v>
      </c>
      <c r="F1318" t="s">
        <v>96</v>
      </c>
      <c r="G1318" t="s">
        <v>96</v>
      </c>
      <c r="H1318">
        <v>2010</v>
      </c>
      <c r="I1318" t="s">
        <v>96</v>
      </c>
      <c r="J1318" t="s">
        <v>97</v>
      </c>
      <c r="K1318" t="s">
        <v>96</v>
      </c>
      <c r="L1318" t="s">
        <v>96</v>
      </c>
      <c r="M1318">
        <v>2760</v>
      </c>
      <c r="O1318" s="12" t="str">
        <f t="shared" si="54"/>
        <v>OAS</v>
      </c>
      <c r="P1318" s="12" t="str">
        <f t="shared" si="55"/>
        <v>E_WON</v>
      </c>
    </row>
    <row r="1319" spans="1:16" x14ac:dyDescent="0.35">
      <c r="A1319" t="s">
        <v>95</v>
      </c>
      <c r="B1319" t="s">
        <v>78</v>
      </c>
      <c r="C1319" t="s">
        <v>45</v>
      </c>
      <c r="D1319" t="s">
        <v>1415</v>
      </c>
      <c r="E1319" t="s">
        <v>96</v>
      </c>
      <c r="F1319" t="s">
        <v>96</v>
      </c>
      <c r="G1319" t="s">
        <v>96</v>
      </c>
      <c r="H1319">
        <v>2010</v>
      </c>
      <c r="I1319" t="s">
        <v>96</v>
      </c>
      <c r="J1319" t="s">
        <v>97</v>
      </c>
      <c r="K1319" t="s">
        <v>96</v>
      </c>
      <c r="L1319" t="s">
        <v>96</v>
      </c>
      <c r="M1319">
        <v>2670</v>
      </c>
      <c r="O1319" s="12" t="str">
        <f t="shared" si="54"/>
        <v>OAS</v>
      </c>
      <c r="P1319" s="12" t="str">
        <f t="shared" si="55"/>
        <v>E_WON</v>
      </c>
    </row>
    <row r="1320" spans="1:16" x14ac:dyDescent="0.35">
      <c r="A1320" t="s">
        <v>95</v>
      </c>
      <c r="B1320" t="s">
        <v>78</v>
      </c>
      <c r="C1320" t="s">
        <v>45</v>
      </c>
      <c r="D1320" t="s">
        <v>1416</v>
      </c>
      <c r="E1320" t="s">
        <v>96</v>
      </c>
      <c r="F1320" t="s">
        <v>96</v>
      </c>
      <c r="G1320" t="s">
        <v>96</v>
      </c>
      <c r="H1320">
        <v>2010</v>
      </c>
      <c r="I1320" t="s">
        <v>96</v>
      </c>
      <c r="J1320" t="s">
        <v>97</v>
      </c>
      <c r="K1320" t="s">
        <v>96</v>
      </c>
      <c r="L1320" t="s">
        <v>96</v>
      </c>
      <c r="M1320">
        <v>2670</v>
      </c>
      <c r="O1320" s="12" t="str">
        <f t="shared" si="54"/>
        <v>OAS</v>
      </c>
      <c r="P1320" s="12" t="str">
        <f t="shared" si="55"/>
        <v>E_WON</v>
      </c>
    </row>
    <row r="1321" spans="1:16" x14ac:dyDescent="0.35">
      <c r="A1321" t="s">
        <v>95</v>
      </c>
      <c r="B1321" t="s">
        <v>78</v>
      </c>
      <c r="C1321" t="s">
        <v>45</v>
      </c>
      <c r="D1321" t="s">
        <v>1417</v>
      </c>
      <c r="E1321" t="s">
        <v>96</v>
      </c>
      <c r="F1321" t="s">
        <v>96</v>
      </c>
      <c r="G1321" t="s">
        <v>96</v>
      </c>
      <c r="H1321">
        <v>2010</v>
      </c>
      <c r="I1321" t="s">
        <v>96</v>
      </c>
      <c r="J1321" t="s">
        <v>97</v>
      </c>
      <c r="K1321" t="s">
        <v>96</v>
      </c>
      <c r="L1321" t="s">
        <v>96</v>
      </c>
      <c r="M1321">
        <v>2670</v>
      </c>
      <c r="O1321" s="12" t="str">
        <f t="shared" si="54"/>
        <v>OAS</v>
      </c>
      <c r="P1321" s="12" t="str">
        <f t="shared" si="55"/>
        <v>E_WON</v>
      </c>
    </row>
    <row r="1322" spans="1:16" x14ac:dyDescent="0.35">
      <c r="A1322" t="s">
        <v>95</v>
      </c>
      <c r="B1322" t="s">
        <v>78</v>
      </c>
      <c r="C1322" t="s">
        <v>45</v>
      </c>
      <c r="D1322" t="s">
        <v>1418</v>
      </c>
      <c r="E1322" t="s">
        <v>96</v>
      </c>
      <c r="F1322" t="s">
        <v>96</v>
      </c>
      <c r="G1322" t="s">
        <v>96</v>
      </c>
      <c r="H1322">
        <v>2010</v>
      </c>
      <c r="I1322" t="s">
        <v>96</v>
      </c>
      <c r="J1322" t="s">
        <v>97</v>
      </c>
      <c r="K1322" t="s">
        <v>96</v>
      </c>
      <c r="L1322" t="s">
        <v>96</v>
      </c>
      <c r="M1322">
        <v>2670</v>
      </c>
      <c r="O1322" s="12" t="str">
        <f t="shared" si="54"/>
        <v>OAS</v>
      </c>
      <c r="P1322" s="12" t="str">
        <f t="shared" si="55"/>
        <v>E_WON</v>
      </c>
    </row>
    <row r="1323" spans="1:16" x14ac:dyDescent="0.35">
      <c r="A1323" t="s">
        <v>95</v>
      </c>
      <c r="B1323" t="s">
        <v>79</v>
      </c>
      <c r="C1323" t="s">
        <v>45</v>
      </c>
      <c r="D1323" t="s">
        <v>1419</v>
      </c>
      <c r="E1323" t="s">
        <v>96</v>
      </c>
      <c r="F1323" t="s">
        <v>96</v>
      </c>
      <c r="G1323" t="s">
        <v>96</v>
      </c>
      <c r="H1323">
        <v>2010</v>
      </c>
      <c r="I1323" t="s">
        <v>96</v>
      </c>
      <c r="J1323" t="s">
        <v>97</v>
      </c>
      <c r="K1323" t="s">
        <v>96</v>
      </c>
      <c r="L1323" t="s">
        <v>96</v>
      </c>
      <c r="M1323">
        <v>3899.7000000000003</v>
      </c>
      <c r="O1323" s="12" t="str">
        <f t="shared" si="54"/>
        <v>RUS</v>
      </c>
      <c r="P1323" s="12" t="str">
        <f t="shared" si="55"/>
        <v>E_WON</v>
      </c>
    </row>
    <row r="1324" spans="1:16" x14ac:dyDescent="0.35">
      <c r="A1324" t="s">
        <v>95</v>
      </c>
      <c r="B1324" t="s">
        <v>79</v>
      </c>
      <c r="C1324" t="s">
        <v>45</v>
      </c>
      <c r="D1324" t="s">
        <v>1420</v>
      </c>
      <c r="E1324" t="s">
        <v>96</v>
      </c>
      <c r="F1324" t="s">
        <v>96</v>
      </c>
      <c r="G1324" t="s">
        <v>96</v>
      </c>
      <c r="H1324">
        <v>2010</v>
      </c>
      <c r="I1324" t="s">
        <v>96</v>
      </c>
      <c r="J1324" t="s">
        <v>97</v>
      </c>
      <c r="K1324" t="s">
        <v>96</v>
      </c>
      <c r="L1324" t="s">
        <v>96</v>
      </c>
      <c r="M1324">
        <v>3899.7000000000003</v>
      </c>
      <c r="O1324" s="12" t="str">
        <f t="shared" si="54"/>
        <v>RUS</v>
      </c>
      <c r="P1324" s="12" t="str">
        <f t="shared" si="55"/>
        <v>E_WON</v>
      </c>
    </row>
    <row r="1325" spans="1:16" x14ac:dyDescent="0.35">
      <c r="A1325" t="s">
        <v>95</v>
      </c>
      <c r="B1325" t="s">
        <v>79</v>
      </c>
      <c r="C1325" t="s">
        <v>45</v>
      </c>
      <c r="D1325" t="s">
        <v>1421</v>
      </c>
      <c r="E1325" t="s">
        <v>96</v>
      </c>
      <c r="F1325" t="s">
        <v>96</v>
      </c>
      <c r="G1325" t="s">
        <v>96</v>
      </c>
      <c r="H1325">
        <v>2010</v>
      </c>
      <c r="I1325" t="s">
        <v>96</v>
      </c>
      <c r="J1325" t="s">
        <v>97</v>
      </c>
      <c r="K1325" t="s">
        <v>96</v>
      </c>
      <c r="L1325" t="s">
        <v>96</v>
      </c>
      <c r="M1325">
        <v>3899.7000000000003</v>
      </c>
      <c r="O1325" s="12" t="str">
        <f t="shared" si="54"/>
        <v>RUS</v>
      </c>
      <c r="P1325" s="12" t="str">
        <f t="shared" si="55"/>
        <v>E_WON</v>
      </c>
    </row>
    <row r="1326" spans="1:16" x14ac:dyDescent="0.35">
      <c r="A1326" t="s">
        <v>95</v>
      </c>
      <c r="B1326" t="s">
        <v>79</v>
      </c>
      <c r="C1326" t="s">
        <v>45</v>
      </c>
      <c r="D1326" t="s">
        <v>1422</v>
      </c>
      <c r="E1326" t="s">
        <v>96</v>
      </c>
      <c r="F1326" t="s">
        <v>96</v>
      </c>
      <c r="G1326" t="s">
        <v>96</v>
      </c>
      <c r="H1326">
        <v>2010</v>
      </c>
      <c r="I1326" t="s">
        <v>96</v>
      </c>
      <c r="J1326" t="s">
        <v>97</v>
      </c>
      <c r="K1326" t="s">
        <v>96</v>
      </c>
      <c r="L1326" t="s">
        <v>96</v>
      </c>
      <c r="M1326">
        <v>3899.7000000000003</v>
      </c>
      <c r="O1326" s="12" t="str">
        <f t="shared" si="54"/>
        <v>RUS</v>
      </c>
      <c r="P1326" s="12" t="str">
        <f t="shared" si="55"/>
        <v>E_WON</v>
      </c>
    </row>
    <row r="1327" spans="1:16" x14ac:dyDescent="0.35">
      <c r="A1327" t="s">
        <v>95</v>
      </c>
      <c r="B1327" t="s">
        <v>79</v>
      </c>
      <c r="C1327" t="s">
        <v>45</v>
      </c>
      <c r="D1327" t="s">
        <v>1423</v>
      </c>
      <c r="E1327" t="s">
        <v>96</v>
      </c>
      <c r="F1327" t="s">
        <v>96</v>
      </c>
      <c r="G1327" t="s">
        <v>96</v>
      </c>
      <c r="H1327">
        <v>2010</v>
      </c>
      <c r="I1327" t="s">
        <v>96</v>
      </c>
      <c r="J1327" t="s">
        <v>97</v>
      </c>
      <c r="K1327" t="s">
        <v>96</v>
      </c>
      <c r="L1327" t="s">
        <v>96</v>
      </c>
      <c r="M1327">
        <v>3899.7000000000003</v>
      </c>
      <c r="O1327" s="12" t="str">
        <f t="shared" si="54"/>
        <v>RUS</v>
      </c>
      <c r="P1327" s="12" t="str">
        <f t="shared" si="55"/>
        <v>E_WON</v>
      </c>
    </row>
    <row r="1328" spans="1:16" x14ac:dyDescent="0.35">
      <c r="A1328" t="s">
        <v>95</v>
      </c>
      <c r="B1328" t="s">
        <v>79</v>
      </c>
      <c r="C1328" t="s">
        <v>45</v>
      </c>
      <c r="D1328" t="s">
        <v>1424</v>
      </c>
      <c r="E1328" t="s">
        <v>96</v>
      </c>
      <c r="F1328" t="s">
        <v>96</v>
      </c>
      <c r="G1328" t="s">
        <v>96</v>
      </c>
      <c r="H1328">
        <v>2010</v>
      </c>
      <c r="I1328" t="s">
        <v>96</v>
      </c>
      <c r="J1328" t="s">
        <v>97</v>
      </c>
      <c r="K1328" t="s">
        <v>96</v>
      </c>
      <c r="L1328" t="s">
        <v>96</v>
      </c>
      <c r="M1328">
        <v>3899.7000000000003</v>
      </c>
      <c r="O1328" s="12" t="str">
        <f t="shared" si="54"/>
        <v>RUS</v>
      </c>
      <c r="P1328" s="12" t="str">
        <f t="shared" si="55"/>
        <v>E_WON</v>
      </c>
    </row>
    <row r="1329" spans="1:16" x14ac:dyDescent="0.35">
      <c r="A1329" t="s">
        <v>95</v>
      </c>
      <c r="B1329" t="s">
        <v>79</v>
      </c>
      <c r="C1329" t="s">
        <v>45</v>
      </c>
      <c r="D1329" t="s">
        <v>1425</v>
      </c>
      <c r="E1329" t="s">
        <v>96</v>
      </c>
      <c r="F1329" t="s">
        <v>96</v>
      </c>
      <c r="G1329" t="s">
        <v>96</v>
      </c>
      <c r="H1329">
        <v>2010</v>
      </c>
      <c r="I1329" t="s">
        <v>96</v>
      </c>
      <c r="J1329" t="s">
        <v>97</v>
      </c>
      <c r="K1329" t="s">
        <v>96</v>
      </c>
      <c r="L1329" t="s">
        <v>96</v>
      </c>
      <c r="M1329">
        <v>3899.7000000000003</v>
      </c>
      <c r="O1329" s="12" t="str">
        <f t="shared" si="54"/>
        <v>RUS</v>
      </c>
      <c r="P1329" s="12" t="str">
        <f t="shared" si="55"/>
        <v>E_WON</v>
      </c>
    </row>
    <row r="1330" spans="1:16" x14ac:dyDescent="0.35">
      <c r="A1330" t="s">
        <v>95</v>
      </c>
      <c r="B1330" t="s">
        <v>79</v>
      </c>
      <c r="C1330" t="s">
        <v>45</v>
      </c>
      <c r="D1330" t="s">
        <v>1426</v>
      </c>
      <c r="E1330" t="s">
        <v>96</v>
      </c>
      <c r="F1330" t="s">
        <v>96</v>
      </c>
      <c r="G1330" t="s">
        <v>96</v>
      </c>
      <c r="H1330">
        <v>2010</v>
      </c>
      <c r="I1330" t="s">
        <v>96</v>
      </c>
      <c r="J1330" t="s">
        <v>97</v>
      </c>
      <c r="K1330" t="s">
        <v>96</v>
      </c>
      <c r="L1330" t="s">
        <v>96</v>
      </c>
      <c r="M1330">
        <v>3899.7000000000003</v>
      </c>
      <c r="O1330" s="12" t="str">
        <f t="shared" si="54"/>
        <v>RUS</v>
      </c>
      <c r="P1330" s="12" t="str">
        <f t="shared" si="55"/>
        <v>E_WON</v>
      </c>
    </row>
    <row r="1331" spans="1:16" x14ac:dyDescent="0.35">
      <c r="A1331" t="s">
        <v>95</v>
      </c>
      <c r="B1331" t="s">
        <v>79</v>
      </c>
      <c r="C1331" t="s">
        <v>45</v>
      </c>
      <c r="D1331" t="s">
        <v>1427</v>
      </c>
      <c r="E1331" t="s">
        <v>96</v>
      </c>
      <c r="F1331" t="s">
        <v>96</v>
      </c>
      <c r="G1331" t="s">
        <v>96</v>
      </c>
      <c r="H1331">
        <v>2010</v>
      </c>
      <c r="I1331" t="s">
        <v>96</v>
      </c>
      <c r="J1331" t="s">
        <v>97</v>
      </c>
      <c r="K1331" t="s">
        <v>96</v>
      </c>
      <c r="L1331" t="s">
        <v>96</v>
      </c>
      <c r="M1331">
        <v>3899.7000000000003</v>
      </c>
      <c r="O1331" s="12" t="str">
        <f t="shared" si="54"/>
        <v>RUS</v>
      </c>
      <c r="P1331" s="12" t="str">
        <f t="shared" si="55"/>
        <v>E_WON</v>
      </c>
    </row>
    <row r="1332" spans="1:16" x14ac:dyDescent="0.35">
      <c r="A1332" t="s">
        <v>95</v>
      </c>
      <c r="B1332" t="s">
        <v>79</v>
      </c>
      <c r="C1332" t="s">
        <v>45</v>
      </c>
      <c r="D1332" t="s">
        <v>1428</v>
      </c>
      <c r="E1332" t="s">
        <v>96</v>
      </c>
      <c r="F1332" t="s">
        <v>96</v>
      </c>
      <c r="G1332" t="s">
        <v>96</v>
      </c>
      <c r="H1332">
        <v>2010</v>
      </c>
      <c r="I1332" t="s">
        <v>96</v>
      </c>
      <c r="J1332" t="s">
        <v>97</v>
      </c>
      <c r="K1332" t="s">
        <v>96</v>
      </c>
      <c r="L1332" t="s">
        <v>96</v>
      </c>
      <c r="M1332">
        <v>2228.4</v>
      </c>
      <c r="O1332" s="12" t="str">
        <f t="shared" si="54"/>
        <v>RUS</v>
      </c>
      <c r="P1332" s="12" t="str">
        <f t="shared" si="55"/>
        <v>E_WON</v>
      </c>
    </row>
    <row r="1333" spans="1:16" x14ac:dyDescent="0.35">
      <c r="A1333" t="s">
        <v>95</v>
      </c>
      <c r="B1333" t="s">
        <v>79</v>
      </c>
      <c r="C1333" t="s">
        <v>45</v>
      </c>
      <c r="D1333" t="s">
        <v>1429</v>
      </c>
      <c r="E1333" t="s">
        <v>96</v>
      </c>
      <c r="F1333" t="s">
        <v>96</v>
      </c>
      <c r="G1333" t="s">
        <v>96</v>
      </c>
      <c r="H1333">
        <v>2010</v>
      </c>
      <c r="I1333" t="s">
        <v>96</v>
      </c>
      <c r="J1333" t="s">
        <v>97</v>
      </c>
      <c r="K1333" t="s">
        <v>96</v>
      </c>
      <c r="L1333" t="s">
        <v>96</v>
      </c>
      <c r="M1333">
        <v>2228.4</v>
      </c>
      <c r="O1333" s="12" t="str">
        <f t="shared" si="54"/>
        <v>RUS</v>
      </c>
      <c r="P1333" s="12" t="str">
        <f t="shared" si="55"/>
        <v>E_WON</v>
      </c>
    </row>
    <row r="1334" spans="1:16" x14ac:dyDescent="0.35">
      <c r="A1334" t="s">
        <v>95</v>
      </c>
      <c r="B1334" t="s">
        <v>79</v>
      </c>
      <c r="C1334" t="s">
        <v>45</v>
      </c>
      <c r="D1334" t="s">
        <v>1430</v>
      </c>
      <c r="E1334" t="s">
        <v>96</v>
      </c>
      <c r="F1334" t="s">
        <v>96</v>
      </c>
      <c r="G1334" t="s">
        <v>96</v>
      </c>
      <c r="H1334">
        <v>2010</v>
      </c>
      <c r="I1334" t="s">
        <v>96</v>
      </c>
      <c r="J1334" t="s">
        <v>97</v>
      </c>
      <c r="K1334" t="s">
        <v>96</v>
      </c>
      <c r="L1334" t="s">
        <v>96</v>
      </c>
      <c r="M1334">
        <v>2228.4</v>
      </c>
      <c r="O1334" s="12" t="str">
        <f t="shared" si="54"/>
        <v>RUS</v>
      </c>
      <c r="P1334" s="12" t="str">
        <f t="shared" si="55"/>
        <v>E_WON</v>
      </c>
    </row>
    <row r="1335" spans="1:16" x14ac:dyDescent="0.35">
      <c r="A1335" t="s">
        <v>95</v>
      </c>
      <c r="B1335" t="s">
        <v>79</v>
      </c>
      <c r="C1335" t="s">
        <v>45</v>
      </c>
      <c r="D1335" t="s">
        <v>1431</v>
      </c>
      <c r="E1335" t="s">
        <v>96</v>
      </c>
      <c r="F1335" t="s">
        <v>96</v>
      </c>
      <c r="G1335" t="s">
        <v>96</v>
      </c>
      <c r="H1335">
        <v>2010</v>
      </c>
      <c r="I1335" t="s">
        <v>96</v>
      </c>
      <c r="J1335" t="s">
        <v>97</v>
      </c>
      <c r="K1335" t="s">
        <v>96</v>
      </c>
      <c r="L1335" t="s">
        <v>96</v>
      </c>
      <c r="M1335">
        <v>2228.4</v>
      </c>
      <c r="O1335" s="12" t="str">
        <f t="shared" si="54"/>
        <v>RUS</v>
      </c>
      <c r="P1335" s="12" t="str">
        <f t="shared" si="55"/>
        <v>E_WON</v>
      </c>
    </row>
    <row r="1336" spans="1:16" x14ac:dyDescent="0.35">
      <c r="A1336" t="s">
        <v>95</v>
      </c>
      <c r="B1336" t="s">
        <v>79</v>
      </c>
      <c r="C1336" t="s">
        <v>45</v>
      </c>
      <c r="D1336" t="s">
        <v>1432</v>
      </c>
      <c r="E1336" t="s">
        <v>96</v>
      </c>
      <c r="F1336" t="s">
        <v>96</v>
      </c>
      <c r="G1336" t="s">
        <v>96</v>
      </c>
      <c r="H1336">
        <v>2010</v>
      </c>
      <c r="I1336" t="s">
        <v>96</v>
      </c>
      <c r="J1336" t="s">
        <v>97</v>
      </c>
      <c r="K1336" t="s">
        <v>96</v>
      </c>
      <c r="L1336" t="s">
        <v>96</v>
      </c>
      <c r="M1336">
        <v>2228.4</v>
      </c>
      <c r="O1336" s="12" t="str">
        <f t="shared" si="54"/>
        <v>RUS</v>
      </c>
      <c r="P1336" s="12" t="str">
        <f t="shared" si="55"/>
        <v>E_WON</v>
      </c>
    </row>
    <row r="1337" spans="1:16" x14ac:dyDescent="0.35">
      <c r="A1337" t="s">
        <v>95</v>
      </c>
      <c r="B1337" t="s">
        <v>79</v>
      </c>
      <c r="C1337" t="s">
        <v>45</v>
      </c>
      <c r="D1337" t="s">
        <v>1433</v>
      </c>
      <c r="E1337" t="s">
        <v>96</v>
      </c>
      <c r="F1337" t="s">
        <v>96</v>
      </c>
      <c r="G1337" t="s">
        <v>96</v>
      </c>
      <c r="H1337">
        <v>2010</v>
      </c>
      <c r="I1337" t="s">
        <v>96</v>
      </c>
      <c r="J1337" t="s">
        <v>97</v>
      </c>
      <c r="K1337" t="s">
        <v>96</v>
      </c>
      <c r="L1337" t="s">
        <v>96</v>
      </c>
      <c r="M1337">
        <v>2228.4</v>
      </c>
      <c r="O1337" s="12" t="str">
        <f t="shared" si="54"/>
        <v>RUS</v>
      </c>
      <c r="P1337" s="12" t="str">
        <f t="shared" si="55"/>
        <v>E_WON</v>
      </c>
    </row>
    <row r="1338" spans="1:16" x14ac:dyDescent="0.35">
      <c r="A1338" t="s">
        <v>95</v>
      </c>
      <c r="B1338" t="s">
        <v>79</v>
      </c>
      <c r="C1338" t="s">
        <v>45</v>
      </c>
      <c r="D1338" t="s">
        <v>1434</v>
      </c>
      <c r="E1338" t="s">
        <v>96</v>
      </c>
      <c r="F1338" t="s">
        <v>96</v>
      </c>
      <c r="G1338" t="s">
        <v>96</v>
      </c>
      <c r="H1338">
        <v>2010</v>
      </c>
      <c r="I1338" t="s">
        <v>96</v>
      </c>
      <c r="J1338" t="s">
        <v>97</v>
      </c>
      <c r="K1338" t="s">
        <v>96</v>
      </c>
      <c r="L1338" t="s">
        <v>96</v>
      </c>
      <c r="M1338">
        <v>2228.4</v>
      </c>
      <c r="O1338" s="12" t="str">
        <f t="shared" si="54"/>
        <v>RUS</v>
      </c>
      <c r="P1338" s="12" t="str">
        <f t="shared" si="55"/>
        <v>E_WON</v>
      </c>
    </row>
    <row r="1339" spans="1:16" x14ac:dyDescent="0.35">
      <c r="A1339" t="s">
        <v>95</v>
      </c>
      <c r="B1339" t="s">
        <v>79</v>
      </c>
      <c r="C1339" t="s">
        <v>45</v>
      </c>
      <c r="D1339" t="s">
        <v>1435</v>
      </c>
      <c r="E1339" t="s">
        <v>96</v>
      </c>
      <c r="F1339" t="s">
        <v>96</v>
      </c>
      <c r="G1339" t="s">
        <v>96</v>
      </c>
      <c r="H1339">
        <v>2010</v>
      </c>
      <c r="I1339" t="s">
        <v>96</v>
      </c>
      <c r="J1339" t="s">
        <v>97</v>
      </c>
      <c r="K1339" t="s">
        <v>96</v>
      </c>
      <c r="L1339" t="s">
        <v>96</v>
      </c>
      <c r="M1339">
        <v>3342.6000000000004</v>
      </c>
      <c r="O1339" s="12" t="str">
        <f t="shared" si="54"/>
        <v>RUS</v>
      </c>
      <c r="P1339" s="12" t="str">
        <f t="shared" si="55"/>
        <v>E_WON</v>
      </c>
    </row>
    <row r="1340" spans="1:16" x14ac:dyDescent="0.35">
      <c r="A1340" t="s">
        <v>95</v>
      </c>
      <c r="B1340" t="s">
        <v>79</v>
      </c>
      <c r="C1340" t="s">
        <v>45</v>
      </c>
      <c r="D1340" t="s">
        <v>1436</v>
      </c>
      <c r="E1340" t="s">
        <v>96</v>
      </c>
      <c r="F1340" t="s">
        <v>96</v>
      </c>
      <c r="G1340" t="s">
        <v>96</v>
      </c>
      <c r="H1340">
        <v>2010</v>
      </c>
      <c r="I1340" t="s">
        <v>96</v>
      </c>
      <c r="J1340" t="s">
        <v>97</v>
      </c>
      <c r="K1340" t="s">
        <v>96</v>
      </c>
      <c r="L1340" t="s">
        <v>96</v>
      </c>
      <c r="M1340">
        <v>3342.6000000000004</v>
      </c>
      <c r="O1340" s="12" t="str">
        <f t="shared" si="54"/>
        <v>RUS</v>
      </c>
      <c r="P1340" s="12" t="str">
        <f t="shared" si="55"/>
        <v>E_WON</v>
      </c>
    </row>
    <row r="1341" spans="1:16" x14ac:dyDescent="0.35">
      <c r="A1341" t="s">
        <v>95</v>
      </c>
      <c r="B1341" t="s">
        <v>79</v>
      </c>
      <c r="C1341" t="s">
        <v>45</v>
      </c>
      <c r="D1341" t="s">
        <v>1437</v>
      </c>
      <c r="E1341" t="s">
        <v>96</v>
      </c>
      <c r="F1341" t="s">
        <v>96</v>
      </c>
      <c r="G1341" t="s">
        <v>96</v>
      </c>
      <c r="H1341">
        <v>2010</v>
      </c>
      <c r="I1341" t="s">
        <v>96</v>
      </c>
      <c r="J1341" t="s">
        <v>97</v>
      </c>
      <c r="K1341" t="s">
        <v>96</v>
      </c>
      <c r="L1341" t="s">
        <v>96</v>
      </c>
      <c r="M1341">
        <v>3342.6000000000004</v>
      </c>
      <c r="O1341" s="12" t="str">
        <f t="shared" si="54"/>
        <v>RUS</v>
      </c>
      <c r="P1341" s="12" t="str">
        <f t="shared" si="55"/>
        <v>E_WON</v>
      </c>
    </row>
    <row r="1342" spans="1:16" x14ac:dyDescent="0.35">
      <c r="A1342" t="s">
        <v>95</v>
      </c>
      <c r="B1342" t="s">
        <v>79</v>
      </c>
      <c r="C1342" t="s">
        <v>45</v>
      </c>
      <c r="D1342" t="s">
        <v>1438</v>
      </c>
      <c r="E1342" t="s">
        <v>96</v>
      </c>
      <c r="F1342" t="s">
        <v>96</v>
      </c>
      <c r="G1342" t="s">
        <v>96</v>
      </c>
      <c r="H1342">
        <v>2010</v>
      </c>
      <c r="I1342" t="s">
        <v>96</v>
      </c>
      <c r="J1342" t="s">
        <v>97</v>
      </c>
      <c r="K1342" t="s">
        <v>96</v>
      </c>
      <c r="L1342" t="s">
        <v>96</v>
      </c>
      <c r="M1342">
        <v>3342.6000000000004</v>
      </c>
      <c r="O1342" s="12" t="str">
        <f t="shared" si="54"/>
        <v>RUS</v>
      </c>
      <c r="P1342" s="12" t="str">
        <f t="shared" si="55"/>
        <v>E_WON</v>
      </c>
    </row>
    <row r="1343" spans="1:16" x14ac:dyDescent="0.35">
      <c r="A1343" t="s">
        <v>95</v>
      </c>
      <c r="B1343" t="s">
        <v>79</v>
      </c>
      <c r="C1343" t="s">
        <v>45</v>
      </c>
      <c r="D1343" t="s">
        <v>1439</v>
      </c>
      <c r="E1343" t="s">
        <v>96</v>
      </c>
      <c r="F1343" t="s">
        <v>96</v>
      </c>
      <c r="G1343" t="s">
        <v>96</v>
      </c>
      <c r="H1343">
        <v>2010</v>
      </c>
      <c r="I1343" t="s">
        <v>96</v>
      </c>
      <c r="J1343" t="s">
        <v>97</v>
      </c>
      <c r="K1343" t="s">
        <v>96</v>
      </c>
      <c r="L1343" t="s">
        <v>96</v>
      </c>
      <c r="M1343">
        <v>3342.6000000000004</v>
      </c>
      <c r="O1343" s="12" t="str">
        <f t="shared" si="54"/>
        <v>RUS</v>
      </c>
      <c r="P1343" s="12" t="str">
        <f t="shared" si="55"/>
        <v>E_WON</v>
      </c>
    </row>
    <row r="1344" spans="1:16" x14ac:dyDescent="0.35">
      <c r="A1344" t="s">
        <v>95</v>
      </c>
      <c r="B1344" t="s">
        <v>79</v>
      </c>
      <c r="C1344" t="s">
        <v>45</v>
      </c>
      <c r="D1344" t="s">
        <v>1440</v>
      </c>
      <c r="E1344" t="s">
        <v>96</v>
      </c>
      <c r="F1344" t="s">
        <v>96</v>
      </c>
      <c r="G1344" t="s">
        <v>96</v>
      </c>
      <c r="H1344">
        <v>2010</v>
      </c>
      <c r="I1344" t="s">
        <v>96</v>
      </c>
      <c r="J1344" t="s">
        <v>97</v>
      </c>
      <c r="K1344" t="s">
        <v>96</v>
      </c>
      <c r="L1344" t="s">
        <v>96</v>
      </c>
      <c r="M1344">
        <v>3342.6000000000004</v>
      </c>
      <c r="O1344" s="12" t="str">
        <f t="shared" si="54"/>
        <v>RUS</v>
      </c>
      <c r="P1344" s="12" t="str">
        <f t="shared" si="55"/>
        <v>E_WON</v>
      </c>
    </row>
    <row r="1345" spans="1:16" x14ac:dyDescent="0.35">
      <c r="A1345" t="s">
        <v>95</v>
      </c>
      <c r="B1345" t="s">
        <v>79</v>
      </c>
      <c r="C1345" t="s">
        <v>45</v>
      </c>
      <c r="D1345" t="s">
        <v>1441</v>
      </c>
      <c r="E1345" t="s">
        <v>96</v>
      </c>
      <c r="F1345" t="s">
        <v>96</v>
      </c>
      <c r="G1345" t="s">
        <v>96</v>
      </c>
      <c r="H1345">
        <v>2010</v>
      </c>
      <c r="I1345" t="s">
        <v>96</v>
      </c>
      <c r="J1345" t="s">
        <v>97</v>
      </c>
      <c r="K1345" t="s">
        <v>96</v>
      </c>
      <c r="L1345" t="s">
        <v>96</v>
      </c>
      <c r="M1345">
        <v>3342.6000000000004</v>
      </c>
      <c r="O1345" s="12" t="str">
        <f t="shared" si="54"/>
        <v>RUS</v>
      </c>
      <c r="P1345" s="12" t="str">
        <f t="shared" si="55"/>
        <v>E_WON</v>
      </c>
    </row>
    <row r="1346" spans="1:16" x14ac:dyDescent="0.35">
      <c r="A1346" t="s">
        <v>95</v>
      </c>
      <c r="B1346" t="s">
        <v>80</v>
      </c>
      <c r="C1346" t="s">
        <v>45</v>
      </c>
      <c r="D1346" t="s">
        <v>1442</v>
      </c>
      <c r="E1346" t="s">
        <v>96</v>
      </c>
      <c r="F1346" t="s">
        <v>96</v>
      </c>
      <c r="G1346" t="s">
        <v>96</v>
      </c>
      <c r="H1346">
        <v>2010</v>
      </c>
      <c r="I1346" t="s">
        <v>96</v>
      </c>
      <c r="J1346" t="s">
        <v>97</v>
      </c>
      <c r="K1346" t="s">
        <v>96</v>
      </c>
      <c r="L1346" t="s">
        <v>96</v>
      </c>
      <c r="M1346">
        <v>2270</v>
      </c>
      <c r="O1346" s="12" t="str">
        <f t="shared" si="54"/>
        <v>SKO</v>
      </c>
      <c r="P1346" s="12" t="str">
        <f t="shared" si="55"/>
        <v>E_WON</v>
      </c>
    </row>
    <row r="1347" spans="1:16" x14ac:dyDescent="0.35">
      <c r="A1347" t="s">
        <v>95</v>
      </c>
      <c r="B1347" t="s">
        <v>80</v>
      </c>
      <c r="C1347" t="s">
        <v>45</v>
      </c>
      <c r="D1347" t="s">
        <v>1443</v>
      </c>
      <c r="E1347" t="s">
        <v>96</v>
      </c>
      <c r="F1347" t="s">
        <v>96</v>
      </c>
      <c r="G1347" t="s">
        <v>96</v>
      </c>
      <c r="H1347">
        <v>2010</v>
      </c>
      <c r="I1347" t="s">
        <v>96</v>
      </c>
      <c r="J1347" t="s">
        <v>97</v>
      </c>
      <c r="K1347" t="s">
        <v>96</v>
      </c>
      <c r="L1347" t="s">
        <v>96</v>
      </c>
      <c r="M1347">
        <v>2270</v>
      </c>
      <c r="O1347" s="12" t="str">
        <f t="shared" ref="O1347:O1410" si="56">LEFT(B1347,3)</f>
        <v>SKO</v>
      </c>
      <c r="P1347" s="12" t="str">
        <f t="shared" ref="P1347:P1410" si="57">LEFT(D1347,5)</f>
        <v>E_WON</v>
      </c>
    </row>
    <row r="1348" spans="1:16" x14ac:dyDescent="0.35">
      <c r="A1348" t="s">
        <v>95</v>
      </c>
      <c r="B1348" t="s">
        <v>80</v>
      </c>
      <c r="C1348" t="s">
        <v>45</v>
      </c>
      <c r="D1348" t="s">
        <v>1444</v>
      </c>
      <c r="E1348" t="s">
        <v>96</v>
      </c>
      <c r="F1348" t="s">
        <v>96</v>
      </c>
      <c r="G1348" t="s">
        <v>96</v>
      </c>
      <c r="H1348">
        <v>2010</v>
      </c>
      <c r="I1348" t="s">
        <v>96</v>
      </c>
      <c r="J1348" t="s">
        <v>97</v>
      </c>
      <c r="K1348" t="s">
        <v>96</v>
      </c>
      <c r="L1348" t="s">
        <v>96</v>
      </c>
      <c r="M1348">
        <v>2270</v>
      </c>
      <c r="O1348" s="12" t="str">
        <f t="shared" si="56"/>
        <v>SKO</v>
      </c>
      <c r="P1348" s="12" t="str">
        <f t="shared" si="57"/>
        <v>E_WON</v>
      </c>
    </row>
    <row r="1349" spans="1:16" x14ac:dyDescent="0.35">
      <c r="A1349" t="s">
        <v>95</v>
      </c>
      <c r="B1349" t="s">
        <v>80</v>
      </c>
      <c r="C1349" t="s">
        <v>45</v>
      </c>
      <c r="D1349" t="s">
        <v>1445</v>
      </c>
      <c r="E1349" t="s">
        <v>96</v>
      </c>
      <c r="F1349" t="s">
        <v>96</v>
      </c>
      <c r="G1349" t="s">
        <v>96</v>
      </c>
      <c r="H1349">
        <v>2010</v>
      </c>
      <c r="I1349" t="s">
        <v>96</v>
      </c>
      <c r="J1349" t="s">
        <v>97</v>
      </c>
      <c r="K1349" t="s">
        <v>96</v>
      </c>
      <c r="L1349" t="s">
        <v>96</v>
      </c>
      <c r="M1349">
        <v>2270</v>
      </c>
      <c r="O1349" s="12" t="str">
        <f t="shared" si="56"/>
        <v>SKO</v>
      </c>
      <c r="P1349" s="12" t="str">
        <f t="shared" si="57"/>
        <v>E_WON</v>
      </c>
    </row>
    <row r="1350" spans="1:16" x14ac:dyDescent="0.35">
      <c r="A1350" t="s">
        <v>95</v>
      </c>
      <c r="B1350" t="s">
        <v>81</v>
      </c>
      <c r="C1350" t="s">
        <v>45</v>
      </c>
      <c r="D1350" t="s">
        <v>1446</v>
      </c>
      <c r="E1350" t="s">
        <v>96</v>
      </c>
      <c r="F1350" t="s">
        <v>96</v>
      </c>
      <c r="G1350" t="s">
        <v>96</v>
      </c>
      <c r="H1350">
        <v>2010</v>
      </c>
      <c r="I1350" t="s">
        <v>96</v>
      </c>
      <c r="J1350" t="s">
        <v>97</v>
      </c>
      <c r="K1350" t="s">
        <v>96</v>
      </c>
      <c r="L1350" t="s">
        <v>96</v>
      </c>
      <c r="M1350">
        <v>3167.5</v>
      </c>
      <c r="O1350" s="12" t="str">
        <f t="shared" si="56"/>
        <v>URA</v>
      </c>
      <c r="P1350" s="12" t="str">
        <f t="shared" si="57"/>
        <v>E_WON</v>
      </c>
    </row>
    <row r="1351" spans="1:16" x14ac:dyDescent="0.35">
      <c r="A1351" t="s">
        <v>95</v>
      </c>
      <c r="B1351" t="s">
        <v>81</v>
      </c>
      <c r="C1351" t="s">
        <v>45</v>
      </c>
      <c r="D1351" t="s">
        <v>1447</v>
      </c>
      <c r="E1351" t="s">
        <v>96</v>
      </c>
      <c r="F1351" t="s">
        <v>96</v>
      </c>
      <c r="G1351" t="s">
        <v>96</v>
      </c>
      <c r="H1351">
        <v>2010</v>
      </c>
      <c r="I1351" t="s">
        <v>96</v>
      </c>
      <c r="J1351" t="s">
        <v>97</v>
      </c>
      <c r="K1351" t="s">
        <v>96</v>
      </c>
      <c r="L1351" t="s">
        <v>96</v>
      </c>
      <c r="M1351">
        <v>3167.5</v>
      </c>
      <c r="O1351" s="12" t="str">
        <f t="shared" si="56"/>
        <v>URA</v>
      </c>
      <c r="P1351" s="12" t="str">
        <f t="shared" si="57"/>
        <v>E_WON</v>
      </c>
    </row>
    <row r="1352" spans="1:16" x14ac:dyDescent="0.35">
      <c r="A1352" t="s">
        <v>95</v>
      </c>
      <c r="B1352" t="s">
        <v>81</v>
      </c>
      <c r="C1352" t="s">
        <v>45</v>
      </c>
      <c r="D1352" t="s">
        <v>1448</v>
      </c>
      <c r="E1352" t="s">
        <v>96</v>
      </c>
      <c r="F1352" t="s">
        <v>96</v>
      </c>
      <c r="G1352" t="s">
        <v>96</v>
      </c>
      <c r="H1352">
        <v>2010</v>
      </c>
      <c r="I1352" t="s">
        <v>96</v>
      </c>
      <c r="J1352" t="s">
        <v>97</v>
      </c>
      <c r="K1352" t="s">
        <v>96</v>
      </c>
      <c r="L1352" t="s">
        <v>96</v>
      </c>
      <c r="M1352">
        <v>3167.5</v>
      </c>
      <c r="O1352" s="12" t="str">
        <f t="shared" si="56"/>
        <v>URA</v>
      </c>
      <c r="P1352" s="12" t="str">
        <f t="shared" si="57"/>
        <v>E_WON</v>
      </c>
    </row>
    <row r="1353" spans="1:16" x14ac:dyDescent="0.35">
      <c r="A1353" t="s">
        <v>95</v>
      </c>
      <c r="B1353" t="s">
        <v>81</v>
      </c>
      <c r="C1353" t="s">
        <v>45</v>
      </c>
      <c r="D1353" t="s">
        <v>1449</v>
      </c>
      <c r="E1353" t="s">
        <v>96</v>
      </c>
      <c r="F1353" t="s">
        <v>96</v>
      </c>
      <c r="G1353" t="s">
        <v>96</v>
      </c>
      <c r="H1353">
        <v>2010</v>
      </c>
      <c r="I1353" t="s">
        <v>96</v>
      </c>
      <c r="J1353" t="s">
        <v>97</v>
      </c>
      <c r="K1353" t="s">
        <v>96</v>
      </c>
      <c r="L1353" t="s">
        <v>96</v>
      </c>
      <c r="M1353">
        <v>3167.5</v>
      </c>
      <c r="O1353" s="12" t="str">
        <f t="shared" si="56"/>
        <v>URA</v>
      </c>
      <c r="P1353" s="12" t="str">
        <f t="shared" si="57"/>
        <v>E_WON</v>
      </c>
    </row>
    <row r="1354" spans="1:16" x14ac:dyDescent="0.35">
      <c r="A1354" t="s">
        <v>95</v>
      </c>
      <c r="B1354" t="s">
        <v>81</v>
      </c>
      <c r="C1354" t="s">
        <v>45</v>
      </c>
      <c r="D1354" t="s">
        <v>1450</v>
      </c>
      <c r="E1354" t="s">
        <v>96</v>
      </c>
      <c r="F1354" t="s">
        <v>96</v>
      </c>
      <c r="G1354" t="s">
        <v>96</v>
      </c>
      <c r="H1354">
        <v>2010</v>
      </c>
      <c r="I1354" t="s">
        <v>96</v>
      </c>
      <c r="J1354" t="s">
        <v>97</v>
      </c>
      <c r="K1354" t="s">
        <v>96</v>
      </c>
      <c r="L1354" t="s">
        <v>96</v>
      </c>
      <c r="M1354">
        <v>3167.5</v>
      </c>
      <c r="O1354" s="12" t="str">
        <f t="shared" si="56"/>
        <v>URA</v>
      </c>
      <c r="P1354" s="12" t="str">
        <f t="shared" si="57"/>
        <v>E_WON</v>
      </c>
    </row>
    <row r="1355" spans="1:16" x14ac:dyDescent="0.35">
      <c r="A1355" t="s">
        <v>95</v>
      </c>
      <c r="B1355" t="s">
        <v>81</v>
      </c>
      <c r="C1355" t="s">
        <v>45</v>
      </c>
      <c r="D1355" t="s">
        <v>1451</v>
      </c>
      <c r="E1355" t="s">
        <v>96</v>
      </c>
      <c r="F1355" t="s">
        <v>96</v>
      </c>
      <c r="G1355" t="s">
        <v>96</v>
      </c>
      <c r="H1355">
        <v>2010</v>
      </c>
      <c r="I1355" t="s">
        <v>96</v>
      </c>
      <c r="J1355" t="s">
        <v>97</v>
      </c>
      <c r="K1355" t="s">
        <v>96</v>
      </c>
      <c r="L1355" t="s">
        <v>96</v>
      </c>
      <c r="M1355">
        <v>3167.5</v>
      </c>
      <c r="O1355" s="12" t="str">
        <f t="shared" si="56"/>
        <v>URA</v>
      </c>
      <c r="P1355" s="12" t="str">
        <f t="shared" si="57"/>
        <v>E_WON</v>
      </c>
    </row>
    <row r="1356" spans="1:16" x14ac:dyDescent="0.35">
      <c r="A1356" t="s">
        <v>95</v>
      </c>
      <c r="B1356" t="s">
        <v>81</v>
      </c>
      <c r="C1356" t="s">
        <v>45</v>
      </c>
      <c r="D1356" t="s">
        <v>1452</v>
      </c>
      <c r="E1356" t="s">
        <v>96</v>
      </c>
      <c r="F1356" t="s">
        <v>96</v>
      </c>
      <c r="G1356" t="s">
        <v>96</v>
      </c>
      <c r="H1356">
        <v>2010</v>
      </c>
      <c r="I1356" t="s">
        <v>96</v>
      </c>
      <c r="J1356" t="s">
        <v>97</v>
      </c>
      <c r="K1356" t="s">
        <v>96</v>
      </c>
      <c r="L1356" t="s">
        <v>96</v>
      </c>
      <c r="M1356">
        <v>3167.5</v>
      </c>
      <c r="O1356" s="12" t="str">
        <f t="shared" si="56"/>
        <v>URA</v>
      </c>
      <c r="P1356" s="12" t="str">
        <f t="shared" si="57"/>
        <v>E_WON</v>
      </c>
    </row>
    <row r="1357" spans="1:16" x14ac:dyDescent="0.35">
      <c r="A1357" t="s">
        <v>95</v>
      </c>
      <c r="B1357" t="s">
        <v>81</v>
      </c>
      <c r="C1357" t="s">
        <v>45</v>
      </c>
      <c r="D1357" t="s">
        <v>1453</v>
      </c>
      <c r="E1357" t="s">
        <v>96</v>
      </c>
      <c r="F1357" t="s">
        <v>96</v>
      </c>
      <c r="G1357" t="s">
        <v>96</v>
      </c>
      <c r="H1357">
        <v>2010</v>
      </c>
      <c r="I1357" t="s">
        <v>96</v>
      </c>
      <c r="J1357" t="s">
        <v>97</v>
      </c>
      <c r="K1357" t="s">
        <v>96</v>
      </c>
      <c r="L1357" t="s">
        <v>96</v>
      </c>
      <c r="M1357">
        <v>3167.5</v>
      </c>
      <c r="O1357" s="12" t="str">
        <f t="shared" si="56"/>
        <v>URA</v>
      </c>
      <c r="P1357" s="12" t="str">
        <f t="shared" si="57"/>
        <v>E_WON</v>
      </c>
    </row>
    <row r="1358" spans="1:16" x14ac:dyDescent="0.35">
      <c r="A1358" t="s">
        <v>95</v>
      </c>
      <c r="B1358" t="s">
        <v>81</v>
      </c>
      <c r="C1358" t="s">
        <v>45</v>
      </c>
      <c r="D1358" t="s">
        <v>1454</v>
      </c>
      <c r="E1358" t="s">
        <v>96</v>
      </c>
      <c r="F1358" t="s">
        <v>96</v>
      </c>
      <c r="G1358" t="s">
        <v>96</v>
      </c>
      <c r="H1358">
        <v>2010</v>
      </c>
      <c r="I1358" t="s">
        <v>96</v>
      </c>
      <c r="J1358" t="s">
        <v>97</v>
      </c>
      <c r="K1358" t="s">
        <v>96</v>
      </c>
      <c r="L1358" t="s">
        <v>96</v>
      </c>
      <c r="M1358">
        <v>3167.5</v>
      </c>
      <c r="O1358" s="12" t="str">
        <f t="shared" si="56"/>
        <v>URA</v>
      </c>
      <c r="P1358" s="12" t="str">
        <f t="shared" si="57"/>
        <v>E_WON</v>
      </c>
    </row>
    <row r="1359" spans="1:16" x14ac:dyDescent="0.35">
      <c r="A1359" t="s">
        <v>95</v>
      </c>
      <c r="B1359" t="s">
        <v>81</v>
      </c>
      <c r="C1359" t="s">
        <v>45</v>
      </c>
      <c r="D1359" t="s">
        <v>1455</v>
      </c>
      <c r="E1359" t="s">
        <v>96</v>
      </c>
      <c r="F1359" t="s">
        <v>96</v>
      </c>
      <c r="G1359" t="s">
        <v>96</v>
      </c>
      <c r="H1359">
        <v>2010</v>
      </c>
      <c r="I1359" t="s">
        <v>96</v>
      </c>
      <c r="J1359" t="s">
        <v>97</v>
      </c>
      <c r="K1359" t="s">
        <v>96</v>
      </c>
      <c r="L1359" t="s">
        <v>96</v>
      </c>
      <c r="M1359">
        <v>3167.5</v>
      </c>
      <c r="O1359" s="12" t="str">
        <f t="shared" si="56"/>
        <v>URA</v>
      </c>
      <c r="P1359" s="12" t="str">
        <f t="shared" si="57"/>
        <v>E_WON</v>
      </c>
    </row>
    <row r="1360" spans="1:16" x14ac:dyDescent="0.35">
      <c r="A1360" t="s">
        <v>95</v>
      </c>
      <c r="B1360" t="s">
        <v>81</v>
      </c>
      <c r="C1360" t="s">
        <v>45</v>
      </c>
      <c r="D1360" t="s">
        <v>1456</v>
      </c>
      <c r="E1360" t="s">
        <v>96</v>
      </c>
      <c r="F1360" t="s">
        <v>96</v>
      </c>
      <c r="G1360" t="s">
        <v>96</v>
      </c>
      <c r="H1360">
        <v>2010</v>
      </c>
      <c r="I1360" t="s">
        <v>96</v>
      </c>
      <c r="J1360" t="s">
        <v>97</v>
      </c>
      <c r="K1360" t="s">
        <v>96</v>
      </c>
      <c r="L1360" t="s">
        <v>96</v>
      </c>
      <c r="M1360">
        <v>3167.5</v>
      </c>
      <c r="O1360" s="12" t="str">
        <f t="shared" si="56"/>
        <v>URA</v>
      </c>
      <c r="P1360" s="12" t="str">
        <f t="shared" si="57"/>
        <v>E_WON</v>
      </c>
    </row>
    <row r="1361" spans="1:16" x14ac:dyDescent="0.35">
      <c r="A1361" t="s">
        <v>95</v>
      </c>
      <c r="B1361" t="s">
        <v>81</v>
      </c>
      <c r="C1361" t="s">
        <v>45</v>
      </c>
      <c r="D1361" t="s">
        <v>1457</v>
      </c>
      <c r="E1361" t="s">
        <v>96</v>
      </c>
      <c r="F1361" t="s">
        <v>96</v>
      </c>
      <c r="G1361" t="s">
        <v>96</v>
      </c>
      <c r="H1361">
        <v>2010</v>
      </c>
      <c r="I1361" t="s">
        <v>96</v>
      </c>
      <c r="J1361" t="s">
        <v>97</v>
      </c>
      <c r="K1361" t="s">
        <v>96</v>
      </c>
      <c r="L1361" t="s">
        <v>96</v>
      </c>
      <c r="M1361">
        <v>3167.5</v>
      </c>
      <c r="O1361" s="12" t="str">
        <f t="shared" si="56"/>
        <v>URA</v>
      </c>
      <c r="P1361" s="12" t="str">
        <f t="shared" si="57"/>
        <v>E_WON</v>
      </c>
    </row>
    <row r="1362" spans="1:16" x14ac:dyDescent="0.35">
      <c r="A1362" t="s">
        <v>95</v>
      </c>
      <c r="B1362" t="s">
        <v>81</v>
      </c>
      <c r="C1362" t="s">
        <v>45</v>
      </c>
      <c r="D1362" t="s">
        <v>1458</v>
      </c>
      <c r="E1362" t="s">
        <v>96</v>
      </c>
      <c r="F1362" t="s">
        <v>96</v>
      </c>
      <c r="G1362" t="s">
        <v>96</v>
      </c>
      <c r="H1362">
        <v>2010</v>
      </c>
      <c r="I1362" t="s">
        <v>96</v>
      </c>
      <c r="J1362" t="s">
        <v>97</v>
      </c>
      <c r="K1362" t="s">
        <v>96</v>
      </c>
      <c r="L1362" t="s">
        <v>96</v>
      </c>
      <c r="M1362">
        <v>3167.5</v>
      </c>
      <c r="O1362" s="12" t="str">
        <f t="shared" si="56"/>
        <v>URA</v>
      </c>
      <c r="P1362" s="12" t="str">
        <f t="shared" si="57"/>
        <v>E_WON</v>
      </c>
    </row>
    <row r="1363" spans="1:16" x14ac:dyDescent="0.35">
      <c r="A1363" t="s">
        <v>95</v>
      </c>
      <c r="B1363" t="s">
        <v>81</v>
      </c>
      <c r="C1363" t="s">
        <v>45</v>
      </c>
      <c r="D1363" t="s">
        <v>1459</v>
      </c>
      <c r="E1363" t="s">
        <v>96</v>
      </c>
      <c r="F1363" t="s">
        <v>96</v>
      </c>
      <c r="G1363" t="s">
        <v>96</v>
      </c>
      <c r="H1363">
        <v>2010</v>
      </c>
      <c r="I1363" t="s">
        <v>96</v>
      </c>
      <c r="J1363" t="s">
        <v>97</v>
      </c>
      <c r="K1363" t="s">
        <v>96</v>
      </c>
      <c r="L1363" t="s">
        <v>96</v>
      </c>
      <c r="M1363">
        <v>3167.5</v>
      </c>
      <c r="O1363" s="12" t="str">
        <f t="shared" si="56"/>
        <v>URA</v>
      </c>
      <c r="P1363" s="12" t="str">
        <f t="shared" si="57"/>
        <v>E_WON</v>
      </c>
    </row>
    <row r="1364" spans="1:16" x14ac:dyDescent="0.35">
      <c r="A1364" t="s">
        <v>95</v>
      </c>
      <c r="B1364" t="s">
        <v>81</v>
      </c>
      <c r="C1364" t="s">
        <v>45</v>
      </c>
      <c r="D1364" t="s">
        <v>1460</v>
      </c>
      <c r="E1364" t="s">
        <v>96</v>
      </c>
      <c r="F1364" t="s">
        <v>96</v>
      </c>
      <c r="G1364" t="s">
        <v>96</v>
      </c>
      <c r="H1364">
        <v>2010</v>
      </c>
      <c r="I1364" t="s">
        <v>96</v>
      </c>
      <c r="J1364" t="s">
        <v>97</v>
      </c>
      <c r="K1364" t="s">
        <v>96</v>
      </c>
      <c r="L1364" t="s">
        <v>96</v>
      </c>
      <c r="M1364">
        <v>3167.5</v>
      </c>
      <c r="O1364" s="12" t="str">
        <f t="shared" si="56"/>
        <v>URA</v>
      </c>
      <c r="P1364" s="12" t="str">
        <f t="shared" si="57"/>
        <v>E_WON</v>
      </c>
    </row>
    <row r="1365" spans="1:16" x14ac:dyDescent="0.35">
      <c r="A1365" t="s">
        <v>95</v>
      </c>
      <c r="B1365" t="s">
        <v>81</v>
      </c>
      <c r="C1365" t="s">
        <v>45</v>
      </c>
      <c r="D1365" t="s">
        <v>1461</v>
      </c>
      <c r="E1365" t="s">
        <v>96</v>
      </c>
      <c r="F1365" t="s">
        <v>96</v>
      </c>
      <c r="G1365" t="s">
        <v>96</v>
      </c>
      <c r="H1365">
        <v>2010</v>
      </c>
      <c r="I1365" t="s">
        <v>96</v>
      </c>
      <c r="J1365" t="s">
        <v>97</v>
      </c>
      <c r="K1365" t="s">
        <v>96</v>
      </c>
      <c r="L1365" t="s">
        <v>96</v>
      </c>
      <c r="M1365">
        <v>1810</v>
      </c>
      <c r="O1365" s="12" t="str">
        <f t="shared" si="56"/>
        <v>URA</v>
      </c>
      <c r="P1365" s="12" t="str">
        <f t="shared" si="57"/>
        <v>E_WON</v>
      </c>
    </row>
    <row r="1366" spans="1:16" x14ac:dyDescent="0.35">
      <c r="A1366" t="s">
        <v>95</v>
      </c>
      <c r="B1366" t="s">
        <v>81</v>
      </c>
      <c r="C1366" t="s">
        <v>45</v>
      </c>
      <c r="D1366" t="s">
        <v>1462</v>
      </c>
      <c r="E1366" t="s">
        <v>96</v>
      </c>
      <c r="F1366" t="s">
        <v>96</v>
      </c>
      <c r="G1366" t="s">
        <v>96</v>
      </c>
      <c r="H1366">
        <v>2010</v>
      </c>
      <c r="I1366" t="s">
        <v>96</v>
      </c>
      <c r="J1366" t="s">
        <v>97</v>
      </c>
      <c r="K1366" t="s">
        <v>96</v>
      </c>
      <c r="L1366" t="s">
        <v>96</v>
      </c>
      <c r="M1366">
        <v>1810</v>
      </c>
      <c r="O1366" s="12" t="str">
        <f t="shared" si="56"/>
        <v>URA</v>
      </c>
      <c r="P1366" s="12" t="str">
        <f t="shared" si="57"/>
        <v>E_WON</v>
      </c>
    </row>
    <row r="1367" spans="1:16" x14ac:dyDescent="0.35">
      <c r="A1367" t="s">
        <v>95</v>
      </c>
      <c r="B1367" t="s">
        <v>81</v>
      </c>
      <c r="C1367" t="s">
        <v>45</v>
      </c>
      <c r="D1367" t="s">
        <v>1463</v>
      </c>
      <c r="E1367" t="s">
        <v>96</v>
      </c>
      <c r="F1367" t="s">
        <v>96</v>
      </c>
      <c r="G1367" t="s">
        <v>96</v>
      </c>
      <c r="H1367">
        <v>2010</v>
      </c>
      <c r="I1367" t="s">
        <v>96</v>
      </c>
      <c r="J1367" t="s">
        <v>97</v>
      </c>
      <c r="K1367" t="s">
        <v>96</v>
      </c>
      <c r="L1367" t="s">
        <v>96</v>
      </c>
      <c r="M1367">
        <v>1810</v>
      </c>
      <c r="O1367" s="12" t="str">
        <f t="shared" si="56"/>
        <v>URA</v>
      </c>
      <c r="P1367" s="12" t="str">
        <f t="shared" si="57"/>
        <v>E_WON</v>
      </c>
    </row>
    <row r="1368" spans="1:16" x14ac:dyDescent="0.35">
      <c r="A1368" t="s">
        <v>95</v>
      </c>
      <c r="B1368" t="s">
        <v>81</v>
      </c>
      <c r="C1368" t="s">
        <v>45</v>
      </c>
      <c r="D1368" t="s">
        <v>1464</v>
      </c>
      <c r="E1368" t="s">
        <v>96</v>
      </c>
      <c r="F1368" t="s">
        <v>96</v>
      </c>
      <c r="G1368" t="s">
        <v>96</v>
      </c>
      <c r="H1368">
        <v>2010</v>
      </c>
      <c r="I1368" t="s">
        <v>96</v>
      </c>
      <c r="J1368" t="s">
        <v>97</v>
      </c>
      <c r="K1368" t="s">
        <v>96</v>
      </c>
      <c r="L1368" t="s">
        <v>96</v>
      </c>
      <c r="M1368">
        <v>1810</v>
      </c>
      <c r="O1368" s="12" t="str">
        <f t="shared" si="56"/>
        <v>URA</v>
      </c>
      <c r="P1368" s="12" t="str">
        <f t="shared" si="57"/>
        <v>E_WON</v>
      </c>
    </row>
    <row r="1369" spans="1:16" x14ac:dyDescent="0.35">
      <c r="A1369" t="s">
        <v>95</v>
      </c>
      <c r="B1369" t="s">
        <v>81</v>
      </c>
      <c r="C1369" t="s">
        <v>45</v>
      </c>
      <c r="D1369" t="s">
        <v>1465</v>
      </c>
      <c r="E1369" t="s">
        <v>96</v>
      </c>
      <c r="F1369" t="s">
        <v>96</v>
      </c>
      <c r="G1369" t="s">
        <v>96</v>
      </c>
      <c r="H1369">
        <v>2010</v>
      </c>
      <c r="I1369" t="s">
        <v>96</v>
      </c>
      <c r="J1369" t="s">
        <v>97</v>
      </c>
      <c r="K1369" t="s">
        <v>96</v>
      </c>
      <c r="L1369" t="s">
        <v>96</v>
      </c>
      <c r="M1369">
        <v>1810</v>
      </c>
      <c r="O1369" s="12" t="str">
        <f t="shared" si="56"/>
        <v>URA</v>
      </c>
      <c r="P1369" s="12" t="str">
        <f t="shared" si="57"/>
        <v>E_WON</v>
      </c>
    </row>
    <row r="1370" spans="1:16" x14ac:dyDescent="0.35">
      <c r="A1370" t="s">
        <v>95</v>
      </c>
      <c r="B1370" t="s">
        <v>81</v>
      </c>
      <c r="C1370" t="s">
        <v>45</v>
      </c>
      <c r="D1370" t="s">
        <v>1466</v>
      </c>
      <c r="E1370" t="s">
        <v>96</v>
      </c>
      <c r="F1370" t="s">
        <v>96</v>
      </c>
      <c r="G1370" t="s">
        <v>96</v>
      </c>
      <c r="H1370">
        <v>2010</v>
      </c>
      <c r="I1370" t="s">
        <v>96</v>
      </c>
      <c r="J1370" t="s">
        <v>97</v>
      </c>
      <c r="K1370" t="s">
        <v>96</v>
      </c>
      <c r="L1370" t="s">
        <v>96</v>
      </c>
      <c r="M1370">
        <v>1810</v>
      </c>
      <c r="O1370" s="12" t="str">
        <f t="shared" si="56"/>
        <v>URA</v>
      </c>
      <c r="P1370" s="12" t="str">
        <f t="shared" si="57"/>
        <v>E_WON</v>
      </c>
    </row>
    <row r="1371" spans="1:16" x14ac:dyDescent="0.35">
      <c r="A1371" t="s">
        <v>95</v>
      </c>
      <c r="B1371" t="s">
        <v>81</v>
      </c>
      <c r="C1371" t="s">
        <v>45</v>
      </c>
      <c r="D1371" t="s">
        <v>1467</v>
      </c>
      <c r="E1371" t="s">
        <v>96</v>
      </c>
      <c r="F1371" t="s">
        <v>96</v>
      </c>
      <c r="G1371" t="s">
        <v>96</v>
      </c>
      <c r="H1371">
        <v>2010</v>
      </c>
      <c r="I1371" t="s">
        <v>96</v>
      </c>
      <c r="J1371" t="s">
        <v>97</v>
      </c>
      <c r="K1371" t="s">
        <v>96</v>
      </c>
      <c r="L1371" t="s">
        <v>96</v>
      </c>
      <c r="M1371">
        <v>1810</v>
      </c>
      <c r="O1371" s="12" t="str">
        <f t="shared" si="56"/>
        <v>URA</v>
      </c>
      <c r="P1371" s="12" t="str">
        <f t="shared" si="57"/>
        <v>E_WON</v>
      </c>
    </row>
    <row r="1372" spans="1:16" x14ac:dyDescent="0.35">
      <c r="A1372" t="s">
        <v>95</v>
      </c>
      <c r="B1372" t="s">
        <v>81</v>
      </c>
      <c r="C1372" t="s">
        <v>45</v>
      </c>
      <c r="D1372" t="s">
        <v>1468</v>
      </c>
      <c r="E1372" t="s">
        <v>96</v>
      </c>
      <c r="F1372" t="s">
        <v>96</v>
      </c>
      <c r="G1372" t="s">
        <v>96</v>
      </c>
      <c r="H1372">
        <v>2010</v>
      </c>
      <c r="I1372" t="s">
        <v>96</v>
      </c>
      <c r="J1372" t="s">
        <v>97</v>
      </c>
      <c r="K1372" t="s">
        <v>96</v>
      </c>
      <c r="L1372" t="s">
        <v>96</v>
      </c>
      <c r="M1372">
        <v>1810</v>
      </c>
      <c r="O1372" s="12" t="str">
        <f t="shared" si="56"/>
        <v>URA</v>
      </c>
      <c r="P1372" s="12" t="str">
        <f t="shared" si="57"/>
        <v>E_WON</v>
      </c>
    </row>
    <row r="1373" spans="1:16" x14ac:dyDescent="0.35">
      <c r="A1373" t="s">
        <v>95</v>
      </c>
      <c r="B1373" t="s">
        <v>81</v>
      </c>
      <c r="C1373" t="s">
        <v>45</v>
      </c>
      <c r="D1373" t="s">
        <v>1469</v>
      </c>
      <c r="E1373" t="s">
        <v>96</v>
      </c>
      <c r="F1373" t="s">
        <v>96</v>
      </c>
      <c r="G1373" t="s">
        <v>96</v>
      </c>
      <c r="H1373">
        <v>2010</v>
      </c>
      <c r="I1373" t="s">
        <v>96</v>
      </c>
      <c r="J1373" t="s">
        <v>97</v>
      </c>
      <c r="K1373" t="s">
        <v>96</v>
      </c>
      <c r="L1373" t="s">
        <v>96</v>
      </c>
      <c r="M1373">
        <v>1810</v>
      </c>
      <c r="O1373" s="12" t="str">
        <f t="shared" si="56"/>
        <v>URA</v>
      </c>
      <c r="P1373" s="12" t="str">
        <f t="shared" si="57"/>
        <v>E_WON</v>
      </c>
    </row>
    <row r="1374" spans="1:16" x14ac:dyDescent="0.35">
      <c r="A1374" t="s">
        <v>95</v>
      </c>
      <c r="B1374" t="s">
        <v>81</v>
      </c>
      <c r="C1374" t="s">
        <v>45</v>
      </c>
      <c r="D1374" t="s">
        <v>1470</v>
      </c>
      <c r="E1374" t="s">
        <v>96</v>
      </c>
      <c r="F1374" t="s">
        <v>96</v>
      </c>
      <c r="G1374" t="s">
        <v>96</v>
      </c>
      <c r="H1374">
        <v>2010</v>
      </c>
      <c r="I1374" t="s">
        <v>96</v>
      </c>
      <c r="J1374" t="s">
        <v>97</v>
      </c>
      <c r="K1374" t="s">
        <v>96</v>
      </c>
      <c r="L1374" t="s">
        <v>96</v>
      </c>
      <c r="M1374">
        <v>1810</v>
      </c>
      <c r="O1374" s="12" t="str">
        <f t="shared" si="56"/>
        <v>URA</v>
      </c>
      <c r="P1374" s="12" t="str">
        <f t="shared" si="57"/>
        <v>E_WON</v>
      </c>
    </row>
    <row r="1375" spans="1:16" x14ac:dyDescent="0.35">
      <c r="A1375" t="s">
        <v>95</v>
      </c>
      <c r="B1375" t="s">
        <v>81</v>
      </c>
      <c r="C1375" t="s">
        <v>45</v>
      </c>
      <c r="D1375" t="s">
        <v>1471</v>
      </c>
      <c r="E1375" t="s">
        <v>96</v>
      </c>
      <c r="F1375" t="s">
        <v>96</v>
      </c>
      <c r="G1375" t="s">
        <v>96</v>
      </c>
      <c r="H1375">
        <v>2010</v>
      </c>
      <c r="I1375" t="s">
        <v>96</v>
      </c>
      <c r="J1375" t="s">
        <v>97</v>
      </c>
      <c r="K1375" t="s">
        <v>96</v>
      </c>
      <c r="L1375" t="s">
        <v>96</v>
      </c>
      <c r="M1375">
        <v>1810</v>
      </c>
      <c r="O1375" s="12" t="str">
        <f t="shared" si="56"/>
        <v>URA</v>
      </c>
      <c r="P1375" s="12" t="str">
        <f t="shared" si="57"/>
        <v>E_WON</v>
      </c>
    </row>
    <row r="1376" spans="1:16" x14ac:dyDescent="0.35">
      <c r="A1376" t="s">
        <v>95</v>
      </c>
      <c r="B1376" t="s">
        <v>81</v>
      </c>
      <c r="C1376" t="s">
        <v>45</v>
      </c>
      <c r="D1376" t="s">
        <v>1472</v>
      </c>
      <c r="E1376" t="s">
        <v>96</v>
      </c>
      <c r="F1376" t="s">
        <v>96</v>
      </c>
      <c r="G1376" t="s">
        <v>96</v>
      </c>
      <c r="H1376">
        <v>2010</v>
      </c>
      <c r="I1376" t="s">
        <v>96</v>
      </c>
      <c r="J1376" t="s">
        <v>97</v>
      </c>
      <c r="K1376" t="s">
        <v>96</v>
      </c>
      <c r="L1376" t="s">
        <v>96</v>
      </c>
      <c r="M1376">
        <v>1810</v>
      </c>
      <c r="O1376" s="12" t="str">
        <f t="shared" si="56"/>
        <v>URA</v>
      </c>
      <c r="P1376" s="12" t="str">
        <f t="shared" si="57"/>
        <v>E_WON</v>
      </c>
    </row>
    <row r="1377" spans="1:16" x14ac:dyDescent="0.35">
      <c r="A1377" t="s">
        <v>95</v>
      </c>
      <c r="B1377" t="s">
        <v>81</v>
      </c>
      <c r="C1377" t="s">
        <v>45</v>
      </c>
      <c r="D1377" t="s">
        <v>1473</v>
      </c>
      <c r="E1377" t="s">
        <v>96</v>
      </c>
      <c r="F1377" t="s">
        <v>96</v>
      </c>
      <c r="G1377" t="s">
        <v>96</v>
      </c>
      <c r="H1377">
        <v>2010</v>
      </c>
      <c r="I1377" t="s">
        <v>96</v>
      </c>
      <c r="J1377" t="s">
        <v>97</v>
      </c>
      <c r="K1377" t="s">
        <v>96</v>
      </c>
      <c r="L1377" t="s">
        <v>96</v>
      </c>
      <c r="M1377">
        <v>1810</v>
      </c>
      <c r="O1377" s="12" t="str">
        <f t="shared" si="56"/>
        <v>URA</v>
      </c>
      <c r="P1377" s="12" t="str">
        <f t="shared" si="57"/>
        <v>E_WON</v>
      </c>
    </row>
    <row r="1378" spans="1:16" x14ac:dyDescent="0.35">
      <c r="A1378" t="s">
        <v>95</v>
      </c>
      <c r="B1378" t="s">
        <v>81</v>
      </c>
      <c r="C1378" t="s">
        <v>45</v>
      </c>
      <c r="D1378" t="s">
        <v>1474</v>
      </c>
      <c r="E1378" t="s">
        <v>96</v>
      </c>
      <c r="F1378" t="s">
        <v>96</v>
      </c>
      <c r="G1378" t="s">
        <v>96</v>
      </c>
      <c r="H1378">
        <v>2010</v>
      </c>
      <c r="I1378" t="s">
        <v>96</v>
      </c>
      <c r="J1378" t="s">
        <v>97</v>
      </c>
      <c r="K1378" t="s">
        <v>96</v>
      </c>
      <c r="L1378" t="s">
        <v>96</v>
      </c>
      <c r="M1378">
        <v>1810</v>
      </c>
      <c r="O1378" s="12" t="str">
        <f t="shared" si="56"/>
        <v>URA</v>
      </c>
      <c r="P1378" s="12" t="str">
        <f t="shared" si="57"/>
        <v>E_WON</v>
      </c>
    </row>
    <row r="1379" spans="1:16" x14ac:dyDescent="0.35">
      <c r="A1379" t="s">
        <v>95</v>
      </c>
      <c r="B1379" t="s">
        <v>81</v>
      </c>
      <c r="C1379" t="s">
        <v>45</v>
      </c>
      <c r="D1379" t="s">
        <v>1475</v>
      </c>
      <c r="E1379" t="s">
        <v>96</v>
      </c>
      <c r="F1379" t="s">
        <v>96</v>
      </c>
      <c r="G1379" t="s">
        <v>96</v>
      </c>
      <c r="H1379">
        <v>2010</v>
      </c>
      <c r="I1379" t="s">
        <v>96</v>
      </c>
      <c r="J1379" t="s">
        <v>97</v>
      </c>
      <c r="K1379" t="s">
        <v>96</v>
      </c>
      <c r="L1379" t="s">
        <v>96</v>
      </c>
      <c r="M1379">
        <v>1810</v>
      </c>
      <c r="O1379" s="12" t="str">
        <f t="shared" si="56"/>
        <v>URA</v>
      </c>
      <c r="P1379" s="12" t="str">
        <f t="shared" si="57"/>
        <v>E_WON</v>
      </c>
    </row>
    <row r="1380" spans="1:16" x14ac:dyDescent="0.35">
      <c r="A1380" t="s">
        <v>95</v>
      </c>
      <c r="B1380" t="s">
        <v>81</v>
      </c>
      <c r="C1380" t="s">
        <v>45</v>
      </c>
      <c r="D1380" t="s">
        <v>1476</v>
      </c>
      <c r="E1380" t="s">
        <v>96</v>
      </c>
      <c r="F1380" t="s">
        <v>96</v>
      </c>
      <c r="G1380" t="s">
        <v>96</v>
      </c>
      <c r="H1380">
        <v>2010</v>
      </c>
      <c r="I1380" t="s">
        <v>96</v>
      </c>
      <c r="J1380" t="s">
        <v>97</v>
      </c>
      <c r="K1380" t="s">
        <v>96</v>
      </c>
      <c r="L1380" t="s">
        <v>96</v>
      </c>
      <c r="M1380">
        <v>1810</v>
      </c>
      <c r="O1380" s="12" t="str">
        <f t="shared" si="56"/>
        <v>URA</v>
      </c>
      <c r="P1380" s="12" t="str">
        <f t="shared" si="57"/>
        <v>E_WON</v>
      </c>
    </row>
    <row r="1381" spans="1:16" x14ac:dyDescent="0.35">
      <c r="A1381" t="s">
        <v>95</v>
      </c>
      <c r="B1381" t="s">
        <v>81</v>
      </c>
      <c r="C1381" t="s">
        <v>45</v>
      </c>
      <c r="D1381" t="s">
        <v>1477</v>
      </c>
      <c r="E1381" t="s">
        <v>96</v>
      </c>
      <c r="F1381" t="s">
        <v>96</v>
      </c>
      <c r="G1381" t="s">
        <v>96</v>
      </c>
      <c r="H1381">
        <v>2010</v>
      </c>
      <c r="I1381" t="s">
        <v>96</v>
      </c>
      <c r="J1381" t="s">
        <v>97</v>
      </c>
      <c r="K1381" t="s">
        <v>96</v>
      </c>
      <c r="L1381" t="s">
        <v>96</v>
      </c>
      <c r="M1381">
        <v>1810</v>
      </c>
      <c r="O1381" s="12" t="str">
        <f t="shared" si="56"/>
        <v>URA</v>
      </c>
      <c r="P1381" s="12" t="str">
        <f t="shared" si="57"/>
        <v>E_WON</v>
      </c>
    </row>
    <row r="1382" spans="1:16" x14ac:dyDescent="0.35">
      <c r="A1382" t="s">
        <v>95</v>
      </c>
      <c r="B1382" t="s">
        <v>81</v>
      </c>
      <c r="C1382" t="s">
        <v>45</v>
      </c>
      <c r="D1382" t="s">
        <v>1478</v>
      </c>
      <c r="E1382" t="s">
        <v>96</v>
      </c>
      <c r="F1382" t="s">
        <v>96</v>
      </c>
      <c r="G1382" t="s">
        <v>96</v>
      </c>
      <c r="H1382">
        <v>2010</v>
      </c>
      <c r="I1382" t="s">
        <v>96</v>
      </c>
      <c r="J1382" t="s">
        <v>97</v>
      </c>
      <c r="K1382" t="s">
        <v>96</v>
      </c>
      <c r="L1382" t="s">
        <v>96</v>
      </c>
      <c r="M1382">
        <v>1810</v>
      </c>
      <c r="O1382" s="12" t="str">
        <f t="shared" si="56"/>
        <v>URA</v>
      </c>
      <c r="P1382" s="12" t="str">
        <f t="shared" si="57"/>
        <v>E_WON</v>
      </c>
    </row>
    <row r="1383" spans="1:16" x14ac:dyDescent="0.35">
      <c r="A1383" t="s">
        <v>95</v>
      </c>
      <c r="B1383" t="s">
        <v>81</v>
      </c>
      <c r="C1383" t="s">
        <v>45</v>
      </c>
      <c r="D1383" t="s">
        <v>1479</v>
      </c>
      <c r="E1383" t="s">
        <v>96</v>
      </c>
      <c r="F1383" t="s">
        <v>96</v>
      </c>
      <c r="G1383" t="s">
        <v>96</v>
      </c>
      <c r="H1383">
        <v>2010</v>
      </c>
      <c r="I1383" t="s">
        <v>96</v>
      </c>
      <c r="J1383" t="s">
        <v>97</v>
      </c>
      <c r="K1383" t="s">
        <v>96</v>
      </c>
      <c r="L1383" t="s">
        <v>96</v>
      </c>
      <c r="M1383">
        <v>1810</v>
      </c>
      <c r="O1383" s="12" t="str">
        <f t="shared" si="56"/>
        <v>URA</v>
      </c>
      <c r="P1383" s="12" t="str">
        <f t="shared" si="57"/>
        <v>E_WON</v>
      </c>
    </row>
    <row r="1384" spans="1:16" x14ac:dyDescent="0.35">
      <c r="A1384" t="s">
        <v>95</v>
      </c>
      <c r="B1384" t="s">
        <v>81</v>
      </c>
      <c r="C1384" t="s">
        <v>45</v>
      </c>
      <c r="D1384" t="s">
        <v>1480</v>
      </c>
      <c r="E1384" t="s">
        <v>96</v>
      </c>
      <c r="F1384" t="s">
        <v>96</v>
      </c>
      <c r="G1384" t="s">
        <v>96</v>
      </c>
      <c r="H1384">
        <v>2010</v>
      </c>
      <c r="I1384" t="s">
        <v>96</v>
      </c>
      <c r="J1384" t="s">
        <v>97</v>
      </c>
      <c r="K1384" t="s">
        <v>96</v>
      </c>
      <c r="L1384" t="s">
        <v>96</v>
      </c>
      <c r="M1384">
        <v>1810</v>
      </c>
      <c r="O1384" s="12" t="str">
        <f t="shared" si="56"/>
        <v>URA</v>
      </c>
      <c r="P1384" s="12" t="str">
        <f t="shared" si="57"/>
        <v>E_WON</v>
      </c>
    </row>
    <row r="1385" spans="1:16" x14ac:dyDescent="0.35">
      <c r="A1385" t="s">
        <v>95</v>
      </c>
      <c r="B1385" t="s">
        <v>81</v>
      </c>
      <c r="C1385" t="s">
        <v>45</v>
      </c>
      <c r="D1385" t="s">
        <v>1481</v>
      </c>
      <c r="E1385" t="s">
        <v>96</v>
      </c>
      <c r="F1385" t="s">
        <v>96</v>
      </c>
      <c r="G1385" t="s">
        <v>96</v>
      </c>
      <c r="H1385">
        <v>2010</v>
      </c>
      <c r="I1385" t="s">
        <v>96</v>
      </c>
      <c r="J1385" t="s">
        <v>97</v>
      </c>
      <c r="K1385" t="s">
        <v>96</v>
      </c>
      <c r="L1385" t="s">
        <v>96</v>
      </c>
      <c r="M1385">
        <v>1810</v>
      </c>
      <c r="O1385" s="12" t="str">
        <f t="shared" si="56"/>
        <v>URA</v>
      </c>
      <c r="P1385" s="12" t="str">
        <f t="shared" si="57"/>
        <v>E_WON</v>
      </c>
    </row>
    <row r="1386" spans="1:16" x14ac:dyDescent="0.35">
      <c r="A1386" t="s">
        <v>95</v>
      </c>
      <c r="B1386" t="s">
        <v>81</v>
      </c>
      <c r="C1386" t="s">
        <v>45</v>
      </c>
      <c r="D1386" t="s">
        <v>1482</v>
      </c>
      <c r="E1386" t="s">
        <v>96</v>
      </c>
      <c r="F1386" t="s">
        <v>96</v>
      </c>
      <c r="G1386" t="s">
        <v>96</v>
      </c>
      <c r="H1386">
        <v>2010</v>
      </c>
      <c r="I1386" t="s">
        <v>96</v>
      </c>
      <c r="J1386" t="s">
        <v>97</v>
      </c>
      <c r="K1386" t="s">
        <v>96</v>
      </c>
      <c r="L1386" t="s">
        <v>96</v>
      </c>
      <c r="M1386">
        <v>1810</v>
      </c>
      <c r="O1386" s="12" t="str">
        <f t="shared" si="56"/>
        <v>URA</v>
      </c>
      <c r="P1386" s="12" t="str">
        <f t="shared" si="57"/>
        <v>E_WON</v>
      </c>
    </row>
    <row r="1387" spans="1:16" x14ac:dyDescent="0.35">
      <c r="A1387" t="s">
        <v>95</v>
      </c>
      <c r="B1387" t="s">
        <v>81</v>
      </c>
      <c r="C1387" t="s">
        <v>45</v>
      </c>
      <c r="D1387" t="s">
        <v>1483</v>
      </c>
      <c r="E1387" t="s">
        <v>96</v>
      </c>
      <c r="F1387" t="s">
        <v>96</v>
      </c>
      <c r="G1387" t="s">
        <v>96</v>
      </c>
      <c r="H1387">
        <v>2010</v>
      </c>
      <c r="I1387" t="s">
        <v>96</v>
      </c>
      <c r="J1387" t="s">
        <v>97</v>
      </c>
      <c r="K1387" t="s">
        <v>96</v>
      </c>
      <c r="L1387" t="s">
        <v>96</v>
      </c>
      <c r="M1387">
        <v>1810</v>
      </c>
      <c r="O1387" s="12" t="str">
        <f t="shared" si="56"/>
        <v>URA</v>
      </c>
      <c r="P1387" s="12" t="str">
        <f t="shared" si="57"/>
        <v>E_WON</v>
      </c>
    </row>
    <row r="1388" spans="1:16" x14ac:dyDescent="0.35">
      <c r="A1388" t="s">
        <v>95</v>
      </c>
      <c r="B1388" t="s">
        <v>81</v>
      </c>
      <c r="C1388" t="s">
        <v>45</v>
      </c>
      <c r="D1388" t="s">
        <v>1484</v>
      </c>
      <c r="E1388" t="s">
        <v>96</v>
      </c>
      <c r="F1388" t="s">
        <v>96</v>
      </c>
      <c r="G1388" t="s">
        <v>96</v>
      </c>
      <c r="H1388">
        <v>2010</v>
      </c>
      <c r="I1388" t="s">
        <v>96</v>
      </c>
      <c r="J1388" t="s">
        <v>97</v>
      </c>
      <c r="K1388" t="s">
        <v>96</v>
      </c>
      <c r="L1388" t="s">
        <v>96</v>
      </c>
      <c r="M1388">
        <v>1810</v>
      </c>
      <c r="O1388" s="12" t="str">
        <f t="shared" si="56"/>
        <v>URA</v>
      </c>
      <c r="P1388" s="12" t="str">
        <f t="shared" si="57"/>
        <v>E_WON</v>
      </c>
    </row>
    <row r="1389" spans="1:16" x14ac:dyDescent="0.35">
      <c r="A1389" t="s">
        <v>95</v>
      </c>
      <c r="B1389" t="s">
        <v>81</v>
      </c>
      <c r="C1389" t="s">
        <v>45</v>
      </c>
      <c r="D1389" t="s">
        <v>1485</v>
      </c>
      <c r="E1389" t="s">
        <v>96</v>
      </c>
      <c r="F1389" t="s">
        <v>96</v>
      </c>
      <c r="G1389" t="s">
        <v>96</v>
      </c>
      <c r="H1389">
        <v>2010</v>
      </c>
      <c r="I1389" t="s">
        <v>96</v>
      </c>
      <c r="J1389" t="s">
        <v>97</v>
      </c>
      <c r="K1389" t="s">
        <v>96</v>
      </c>
      <c r="L1389" t="s">
        <v>96</v>
      </c>
      <c r="M1389">
        <v>1810</v>
      </c>
      <c r="O1389" s="12" t="str">
        <f t="shared" si="56"/>
        <v>URA</v>
      </c>
      <c r="P1389" s="12" t="str">
        <f t="shared" si="57"/>
        <v>E_WON</v>
      </c>
    </row>
    <row r="1390" spans="1:16" x14ac:dyDescent="0.35">
      <c r="A1390" t="s">
        <v>95</v>
      </c>
      <c r="B1390" t="s">
        <v>81</v>
      </c>
      <c r="C1390" t="s">
        <v>45</v>
      </c>
      <c r="D1390" t="s">
        <v>1486</v>
      </c>
      <c r="E1390" t="s">
        <v>96</v>
      </c>
      <c r="F1390" t="s">
        <v>96</v>
      </c>
      <c r="G1390" t="s">
        <v>96</v>
      </c>
      <c r="H1390">
        <v>2010</v>
      </c>
      <c r="I1390" t="s">
        <v>96</v>
      </c>
      <c r="J1390" t="s">
        <v>97</v>
      </c>
      <c r="K1390" t="s">
        <v>96</v>
      </c>
      <c r="L1390" t="s">
        <v>96</v>
      </c>
      <c r="M1390">
        <v>1810</v>
      </c>
      <c r="O1390" s="12" t="str">
        <f t="shared" si="56"/>
        <v>URA</v>
      </c>
      <c r="P1390" s="12" t="str">
        <f t="shared" si="57"/>
        <v>E_WON</v>
      </c>
    </row>
    <row r="1391" spans="1:16" x14ac:dyDescent="0.35">
      <c r="A1391" t="s">
        <v>95</v>
      </c>
      <c r="B1391" t="s">
        <v>81</v>
      </c>
      <c r="C1391" t="s">
        <v>45</v>
      </c>
      <c r="D1391" t="s">
        <v>1487</v>
      </c>
      <c r="E1391" t="s">
        <v>96</v>
      </c>
      <c r="F1391" t="s">
        <v>96</v>
      </c>
      <c r="G1391" t="s">
        <v>96</v>
      </c>
      <c r="H1391">
        <v>2010</v>
      </c>
      <c r="I1391" t="s">
        <v>96</v>
      </c>
      <c r="J1391" t="s">
        <v>97</v>
      </c>
      <c r="K1391" t="s">
        <v>96</v>
      </c>
      <c r="L1391" t="s">
        <v>96</v>
      </c>
      <c r="M1391">
        <v>1810</v>
      </c>
      <c r="O1391" s="12" t="str">
        <f t="shared" si="56"/>
        <v>URA</v>
      </c>
      <c r="P1391" s="12" t="str">
        <f t="shared" si="57"/>
        <v>E_WON</v>
      </c>
    </row>
    <row r="1392" spans="1:16" x14ac:dyDescent="0.35">
      <c r="A1392" t="s">
        <v>95</v>
      </c>
      <c r="B1392" t="s">
        <v>81</v>
      </c>
      <c r="C1392" t="s">
        <v>45</v>
      </c>
      <c r="D1392" t="s">
        <v>1488</v>
      </c>
      <c r="E1392" t="s">
        <v>96</v>
      </c>
      <c r="F1392" t="s">
        <v>96</v>
      </c>
      <c r="G1392" t="s">
        <v>96</v>
      </c>
      <c r="H1392">
        <v>2010</v>
      </c>
      <c r="I1392" t="s">
        <v>96</v>
      </c>
      <c r="J1392" t="s">
        <v>97</v>
      </c>
      <c r="K1392" t="s">
        <v>96</v>
      </c>
      <c r="L1392" t="s">
        <v>96</v>
      </c>
      <c r="M1392">
        <v>1810</v>
      </c>
      <c r="O1392" s="12" t="str">
        <f t="shared" si="56"/>
        <v>URA</v>
      </c>
      <c r="P1392" s="12" t="str">
        <f t="shared" si="57"/>
        <v>E_WON</v>
      </c>
    </row>
    <row r="1393" spans="1:16" x14ac:dyDescent="0.35">
      <c r="A1393" t="s">
        <v>95</v>
      </c>
      <c r="B1393" t="s">
        <v>81</v>
      </c>
      <c r="C1393" t="s">
        <v>45</v>
      </c>
      <c r="D1393" t="s">
        <v>1489</v>
      </c>
      <c r="E1393" t="s">
        <v>96</v>
      </c>
      <c r="F1393" t="s">
        <v>96</v>
      </c>
      <c r="G1393" t="s">
        <v>96</v>
      </c>
      <c r="H1393">
        <v>2010</v>
      </c>
      <c r="I1393" t="s">
        <v>96</v>
      </c>
      <c r="J1393" t="s">
        <v>97</v>
      </c>
      <c r="K1393" t="s">
        <v>96</v>
      </c>
      <c r="L1393" t="s">
        <v>96</v>
      </c>
      <c r="M1393">
        <v>1810</v>
      </c>
      <c r="O1393" s="12" t="str">
        <f t="shared" si="56"/>
        <v>URA</v>
      </c>
      <c r="P1393" s="12" t="str">
        <f t="shared" si="57"/>
        <v>E_WON</v>
      </c>
    </row>
    <row r="1394" spans="1:16" x14ac:dyDescent="0.35">
      <c r="A1394" t="s">
        <v>95</v>
      </c>
      <c r="B1394" t="s">
        <v>81</v>
      </c>
      <c r="C1394" t="s">
        <v>45</v>
      </c>
      <c r="D1394" t="s">
        <v>1490</v>
      </c>
      <c r="E1394" t="s">
        <v>96</v>
      </c>
      <c r="F1394" t="s">
        <v>96</v>
      </c>
      <c r="G1394" t="s">
        <v>96</v>
      </c>
      <c r="H1394">
        <v>2010</v>
      </c>
      <c r="I1394" t="s">
        <v>96</v>
      </c>
      <c r="J1394" t="s">
        <v>97</v>
      </c>
      <c r="K1394" t="s">
        <v>96</v>
      </c>
      <c r="L1394" t="s">
        <v>96</v>
      </c>
      <c r="M1394">
        <v>1810</v>
      </c>
      <c r="O1394" s="12" t="str">
        <f t="shared" si="56"/>
        <v>URA</v>
      </c>
      <c r="P1394" s="12" t="str">
        <f t="shared" si="57"/>
        <v>E_WON</v>
      </c>
    </row>
    <row r="1395" spans="1:16" x14ac:dyDescent="0.35">
      <c r="A1395" t="s">
        <v>95</v>
      </c>
      <c r="B1395" t="s">
        <v>81</v>
      </c>
      <c r="C1395" t="s">
        <v>45</v>
      </c>
      <c r="D1395" t="s">
        <v>1491</v>
      </c>
      <c r="E1395" t="s">
        <v>96</v>
      </c>
      <c r="F1395" t="s">
        <v>96</v>
      </c>
      <c r="G1395" t="s">
        <v>96</v>
      </c>
      <c r="H1395">
        <v>2010</v>
      </c>
      <c r="I1395" t="s">
        <v>96</v>
      </c>
      <c r="J1395" t="s">
        <v>97</v>
      </c>
      <c r="K1395" t="s">
        <v>96</v>
      </c>
      <c r="L1395" t="s">
        <v>96</v>
      </c>
      <c r="M1395">
        <v>1810</v>
      </c>
      <c r="O1395" s="12" t="str">
        <f t="shared" si="56"/>
        <v>URA</v>
      </c>
      <c r="P1395" s="12" t="str">
        <f t="shared" si="57"/>
        <v>E_WON</v>
      </c>
    </row>
    <row r="1396" spans="1:16" x14ac:dyDescent="0.35">
      <c r="A1396" t="s">
        <v>95</v>
      </c>
      <c r="B1396" t="s">
        <v>81</v>
      </c>
      <c r="C1396" t="s">
        <v>45</v>
      </c>
      <c r="D1396" t="s">
        <v>1492</v>
      </c>
      <c r="E1396" t="s">
        <v>96</v>
      </c>
      <c r="F1396" t="s">
        <v>96</v>
      </c>
      <c r="G1396" t="s">
        <v>96</v>
      </c>
      <c r="H1396">
        <v>2010</v>
      </c>
      <c r="I1396" t="s">
        <v>96</v>
      </c>
      <c r="J1396" t="s">
        <v>97</v>
      </c>
      <c r="K1396" t="s">
        <v>96</v>
      </c>
      <c r="L1396" t="s">
        <v>96</v>
      </c>
      <c r="M1396">
        <v>1810</v>
      </c>
      <c r="O1396" s="12" t="str">
        <f t="shared" si="56"/>
        <v>URA</v>
      </c>
      <c r="P1396" s="12" t="str">
        <f t="shared" si="57"/>
        <v>E_WON</v>
      </c>
    </row>
    <row r="1397" spans="1:16" x14ac:dyDescent="0.35">
      <c r="A1397" t="s">
        <v>95</v>
      </c>
      <c r="B1397" t="s">
        <v>81</v>
      </c>
      <c r="C1397" t="s">
        <v>45</v>
      </c>
      <c r="D1397" t="s">
        <v>1493</v>
      </c>
      <c r="E1397" t="s">
        <v>96</v>
      </c>
      <c r="F1397" t="s">
        <v>96</v>
      </c>
      <c r="G1397" t="s">
        <v>96</v>
      </c>
      <c r="H1397">
        <v>2010</v>
      </c>
      <c r="I1397" t="s">
        <v>96</v>
      </c>
      <c r="J1397" t="s">
        <v>97</v>
      </c>
      <c r="K1397" t="s">
        <v>96</v>
      </c>
      <c r="L1397" t="s">
        <v>96</v>
      </c>
      <c r="M1397">
        <v>1810</v>
      </c>
      <c r="O1397" s="12" t="str">
        <f t="shared" si="56"/>
        <v>URA</v>
      </c>
      <c r="P1397" s="12" t="str">
        <f t="shared" si="57"/>
        <v>E_WON</v>
      </c>
    </row>
    <row r="1398" spans="1:16" x14ac:dyDescent="0.35">
      <c r="A1398" t="s">
        <v>95</v>
      </c>
      <c r="B1398" t="s">
        <v>81</v>
      </c>
      <c r="C1398" t="s">
        <v>45</v>
      </c>
      <c r="D1398" t="s">
        <v>1494</v>
      </c>
      <c r="E1398" t="s">
        <v>96</v>
      </c>
      <c r="F1398" t="s">
        <v>96</v>
      </c>
      <c r="G1398" t="s">
        <v>96</v>
      </c>
      <c r="H1398">
        <v>2010</v>
      </c>
      <c r="I1398" t="s">
        <v>96</v>
      </c>
      <c r="J1398" t="s">
        <v>97</v>
      </c>
      <c r="K1398" t="s">
        <v>96</v>
      </c>
      <c r="L1398" t="s">
        <v>96</v>
      </c>
      <c r="M1398">
        <v>1810</v>
      </c>
      <c r="O1398" s="12" t="str">
        <f t="shared" si="56"/>
        <v>URA</v>
      </c>
      <c r="P1398" s="12" t="str">
        <f t="shared" si="57"/>
        <v>E_WON</v>
      </c>
    </row>
    <row r="1399" spans="1:16" x14ac:dyDescent="0.35">
      <c r="A1399" t="s">
        <v>95</v>
      </c>
      <c r="B1399" t="s">
        <v>81</v>
      </c>
      <c r="C1399" t="s">
        <v>45</v>
      </c>
      <c r="D1399" t="s">
        <v>1495</v>
      </c>
      <c r="E1399" t="s">
        <v>96</v>
      </c>
      <c r="F1399" t="s">
        <v>96</v>
      </c>
      <c r="G1399" t="s">
        <v>96</v>
      </c>
      <c r="H1399">
        <v>2010</v>
      </c>
      <c r="I1399" t="s">
        <v>96</v>
      </c>
      <c r="J1399" t="s">
        <v>97</v>
      </c>
      <c r="K1399" t="s">
        <v>96</v>
      </c>
      <c r="L1399" t="s">
        <v>96</v>
      </c>
      <c r="M1399">
        <v>1810</v>
      </c>
      <c r="O1399" s="12" t="str">
        <f t="shared" si="56"/>
        <v>URA</v>
      </c>
      <c r="P1399" s="12" t="str">
        <f t="shared" si="57"/>
        <v>E_WON</v>
      </c>
    </row>
    <row r="1400" spans="1:16" x14ac:dyDescent="0.35">
      <c r="A1400" t="s">
        <v>95</v>
      </c>
      <c r="B1400" t="s">
        <v>81</v>
      </c>
      <c r="C1400" t="s">
        <v>45</v>
      </c>
      <c r="D1400" t="s">
        <v>1496</v>
      </c>
      <c r="E1400" t="s">
        <v>96</v>
      </c>
      <c r="F1400" t="s">
        <v>96</v>
      </c>
      <c r="G1400" t="s">
        <v>96</v>
      </c>
      <c r="H1400">
        <v>2010</v>
      </c>
      <c r="I1400" t="s">
        <v>96</v>
      </c>
      <c r="J1400" t="s">
        <v>97</v>
      </c>
      <c r="K1400" t="s">
        <v>96</v>
      </c>
      <c r="L1400" t="s">
        <v>96</v>
      </c>
      <c r="M1400">
        <v>1810</v>
      </c>
      <c r="O1400" s="12" t="str">
        <f t="shared" si="56"/>
        <v>URA</v>
      </c>
      <c r="P1400" s="12" t="str">
        <f t="shared" si="57"/>
        <v>E_WON</v>
      </c>
    </row>
    <row r="1401" spans="1:16" x14ac:dyDescent="0.35">
      <c r="A1401" t="s">
        <v>95</v>
      </c>
      <c r="B1401" t="s">
        <v>81</v>
      </c>
      <c r="C1401" t="s">
        <v>45</v>
      </c>
      <c r="D1401" t="s">
        <v>1497</v>
      </c>
      <c r="E1401" t="s">
        <v>96</v>
      </c>
      <c r="F1401" t="s">
        <v>96</v>
      </c>
      <c r="G1401" t="s">
        <v>96</v>
      </c>
      <c r="H1401">
        <v>2010</v>
      </c>
      <c r="I1401" t="s">
        <v>96</v>
      </c>
      <c r="J1401" t="s">
        <v>97</v>
      </c>
      <c r="K1401" t="s">
        <v>96</v>
      </c>
      <c r="L1401" t="s">
        <v>96</v>
      </c>
      <c r="M1401">
        <v>1810</v>
      </c>
      <c r="O1401" s="12" t="str">
        <f t="shared" si="56"/>
        <v>URA</v>
      </c>
      <c r="P1401" s="12" t="str">
        <f t="shared" si="57"/>
        <v>E_WON</v>
      </c>
    </row>
    <row r="1402" spans="1:16" x14ac:dyDescent="0.35">
      <c r="A1402" t="s">
        <v>95</v>
      </c>
      <c r="B1402" t="s">
        <v>81</v>
      </c>
      <c r="C1402" t="s">
        <v>45</v>
      </c>
      <c r="D1402" t="s">
        <v>1498</v>
      </c>
      <c r="E1402" t="s">
        <v>96</v>
      </c>
      <c r="F1402" t="s">
        <v>96</v>
      </c>
      <c r="G1402" t="s">
        <v>96</v>
      </c>
      <c r="H1402">
        <v>2010</v>
      </c>
      <c r="I1402" t="s">
        <v>96</v>
      </c>
      <c r="J1402" t="s">
        <v>97</v>
      </c>
      <c r="K1402" t="s">
        <v>96</v>
      </c>
      <c r="L1402" t="s">
        <v>96</v>
      </c>
      <c r="M1402">
        <v>1810</v>
      </c>
      <c r="O1402" s="12" t="str">
        <f t="shared" si="56"/>
        <v>URA</v>
      </c>
      <c r="P1402" s="12" t="str">
        <f t="shared" si="57"/>
        <v>E_WON</v>
      </c>
    </row>
    <row r="1403" spans="1:16" x14ac:dyDescent="0.35">
      <c r="A1403" t="s">
        <v>95</v>
      </c>
      <c r="B1403" t="s">
        <v>81</v>
      </c>
      <c r="C1403" t="s">
        <v>45</v>
      </c>
      <c r="D1403" t="s">
        <v>1499</v>
      </c>
      <c r="E1403" t="s">
        <v>96</v>
      </c>
      <c r="F1403" t="s">
        <v>96</v>
      </c>
      <c r="G1403" t="s">
        <v>96</v>
      </c>
      <c r="H1403">
        <v>2010</v>
      </c>
      <c r="I1403" t="s">
        <v>96</v>
      </c>
      <c r="J1403" t="s">
        <v>97</v>
      </c>
      <c r="K1403" t="s">
        <v>96</v>
      </c>
      <c r="L1403" t="s">
        <v>96</v>
      </c>
      <c r="M1403">
        <v>1810</v>
      </c>
      <c r="O1403" s="12" t="str">
        <f t="shared" si="56"/>
        <v>URA</v>
      </c>
      <c r="P1403" s="12" t="str">
        <f t="shared" si="57"/>
        <v>E_WON</v>
      </c>
    </row>
    <row r="1404" spans="1:16" x14ac:dyDescent="0.35">
      <c r="A1404" t="s">
        <v>95</v>
      </c>
      <c r="B1404" t="s">
        <v>81</v>
      </c>
      <c r="C1404" t="s">
        <v>45</v>
      </c>
      <c r="D1404" t="s">
        <v>1500</v>
      </c>
      <c r="E1404" t="s">
        <v>96</v>
      </c>
      <c r="F1404" t="s">
        <v>96</v>
      </c>
      <c r="G1404" t="s">
        <v>96</v>
      </c>
      <c r="H1404">
        <v>2010</v>
      </c>
      <c r="I1404" t="s">
        <v>96</v>
      </c>
      <c r="J1404" t="s">
        <v>97</v>
      </c>
      <c r="K1404" t="s">
        <v>96</v>
      </c>
      <c r="L1404" t="s">
        <v>96</v>
      </c>
      <c r="M1404">
        <v>1810</v>
      </c>
      <c r="O1404" s="12" t="str">
        <f t="shared" si="56"/>
        <v>URA</v>
      </c>
      <c r="P1404" s="12" t="str">
        <f t="shared" si="57"/>
        <v>E_WON</v>
      </c>
    </row>
    <row r="1405" spans="1:16" x14ac:dyDescent="0.35">
      <c r="A1405" t="s">
        <v>95</v>
      </c>
      <c r="B1405" t="s">
        <v>81</v>
      </c>
      <c r="C1405" t="s">
        <v>45</v>
      </c>
      <c r="D1405" t="s">
        <v>1501</v>
      </c>
      <c r="E1405" t="s">
        <v>96</v>
      </c>
      <c r="F1405" t="s">
        <v>96</v>
      </c>
      <c r="G1405" t="s">
        <v>96</v>
      </c>
      <c r="H1405">
        <v>2010</v>
      </c>
      <c r="I1405" t="s">
        <v>96</v>
      </c>
      <c r="J1405" t="s">
        <v>97</v>
      </c>
      <c r="K1405" t="s">
        <v>96</v>
      </c>
      <c r="L1405" t="s">
        <v>96</v>
      </c>
      <c r="M1405">
        <v>1810</v>
      </c>
      <c r="O1405" s="12" t="str">
        <f t="shared" si="56"/>
        <v>URA</v>
      </c>
      <c r="P1405" s="12" t="str">
        <f t="shared" si="57"/>
        <v>E_WON</v>
      </c>
    </row>
    <row r="1406" spans="1:16" x14ac:dyDescent="0.35">
      <c r="A1406" t="s">
        <v>95</v>
      </c>
      <c r="B1406" t="s">
        <v>81</v>
      </c>
      <c r="C1406" t="s">
        <v>45</v>
      </c>
      <c r="D1406" t="s">
        <v>1502</v>
      </c>
      <c r="E1406" t="s">
        <v>96</v>
      </c>
      <c r="F1406" t="s">
        <v>96</v>
      </c>
      <c r="G1406" t="s">
        <v>96</v>
      </c>
      <c r="H1406">
        <v>2010</v>
      </c>
      <c r="I1406" t="s">
        <v>96</v>
      </c>
      <c r="J1406" t="s">
        <v>97</v>
      </c>
      <c r="K1406" t="s">
        <v>96</v>
      </c>
      <c r="L1406" t="s">
        <v>96</v>
      </c>
      <c r="M1406">
        <v>1810</v>
      </c>
      <c r="O1406" s="12" t="str">
        <f t="shared" si="56"/>
        <v>URA</v>
      </c>
      <c r="P1406" s="12" t="str">
        <f t="shared" si="57"/>
        <v>E_WON</v>
      </c>
    </row>
    <row r="1407" spans="1:16" x14ac:dyDescent="0.35">
      <c r="A1407" t="s">
        <v>95</v>
      </c>
      <c r="B1407" t="s">
        <v>81</v>
      </c>
      <c r="C1407" t="s">
        <v>45</v>
      </c>
      <c r="D1407" t="s">
        <v>1503</v>
      </c>
      <c r="E1407" t="s">
        <v>96</v>
      </c>
      <c r="F1407" t="s">
        <v>96</v>
      </c>
      <c r="G1407" t="s">
        <v>96</v>
      </c>
      <c r="H1407">
        <v>2010</v>
      </c>
      <c r="I1407" t="s">
        <v>96</v>
      </c>
      <c r="J1407" t="s">
        <v>97</v>
      </c>
      <c r="K1407" t="s">
        <v>96</v>
      </c>
      <c r="L1407" t="s">
        <v>96</v>
      </c>
      <c r="M1407">
        <v>1810</v>
      </c>
      <c r="O1407" s="12" t="str">
        <f t="shared" si="56"/>
        <v>URA</v>
      </c>
      <c r="P1407" s="12" t="str">
        <f t="shared" si="57"/>
        <v>E_WON</v>
      </c>
    </row>
    <row r="1408" spans="1:16" x14ac:dyDescent="0.35">
      <c r="A1408" t="s">
        <v>95</v>
      </c>
      <c r="B1408" t="s">
        <v>81</v>
      </c>
      <c r="C1408" t="s">
        <v>45</v>
      </c>
      <c r="D1408" t="s">
        <v>1504</v>
      </c>
      <c r="E1408" t="s">
        <v>96</v>
      </c>
      <c r="F1408" t="s">
        <v>96</v>
      </c>
      <c r="G1408" t="s">
        <v>96</v>
      </c>
      <c r="H1408">
        <v>2010</v>
      </c>
      <c r="I1408" t="s">
        <v>96</v>
      </c>
      <c r="J1408" t="s">
        <v>97</v>
      </c>
      <c r="K1408" t="s">
        <v>96</v>
      </c>
      <c r="L1408" t="s">
        <v>96</v>
      </c>
      <c r="M1408">
        <v>1810</v>
      </c>
      <c r="O1408" s="12" t="str">
        <f t="shared" si="56"/>
        <v>URA</v>
      </c>
      <c r="P1408" s="12" t="str">
        <f t="shared" si="57"/>
        <v>E_WON</v>
      </c>
    </row>
    <row r="1409" spans="1:16" x14ac:dyDescent="0.35">
      <c r="A1409" t="s">
        <v>95</v>
      </c>
      <c r="B1409" t="s">
        <v>81</v>
      </c>
      <c r="C1409" t="s">
        <v>45</v>
      </c>
      <c r="D1409" t="s">
        <v>1505</v>
      </c>
      <c r="E1409" t="s">
        <v>96</v>
      </c>
      <c r="F1409" t="s">
        <v>96</v>
      </c>
      <c r="G1409" t="s">
        <v>96</v>
      </c>
      <c r="H1409">
        <v>2010</v>
      </c>
      <c r="I1409" t="s">
        <v>96</v>
      </c>
      <c r="J1409" t="s">
        <v>97</v>
      </c>
      <c r="K1409" t="s">
        <v>96</v>
      </c>
      <c r="L1409" t="s">
        <v>96</v>
      </c>
      <c r="M1409">
        <v>1810</v>
      </c>
      <c r="O1409" s="12" t="str">
        <f t="shared" si="56"/>
        <v>URA</v>
      </c>
      <c r="P1409" s="12" t="str">
        <f t="shared" si="57"/>
        <v>E_WON</v>
      </c>
    </row>
    <row r="1410" spans="1:16" x14ac:dyDescent="0.35">
      <c r="A1410" t="s">
        <v>95</v>
      </c>
      <c r="B1410" t="s">
        <v>81</v>
      </c>
      <c r="C1410" t="s">
        <v>45</v>
      </c>
      <c r="D1410" t="s">
        <v>1506</v>
      </c>
      <c r="E1410" t="s">
        <v>96</v>
      </c>
      <c r="F1410" t="s">
        <v>96</v>
      </c>
      <c r="G1410" t="s">
        <v>96</v>
      </c>
      <c r="H1410">
        <v>2010</v>
      </c>
      <c r="I1410" t="s">
        <v>96</v>
      </c>
      <c r="J1410" t="s">
        <v>97</v>
      </c>
      <c r="K1410" t="s">
        <v>96</v>
      </c>
      <c r="L1410" t="s">
        <v>96</v>
      </c>
      <c r="M1410">
        <v>1810</v>
      </c>
      <c r="O1410" s="12" t="str">
        <f t="shared" si="56"/>
        <v>URA</v>
      </c>
      <c r="P1410" s="12" t="str">
        <f t="shared" si="57"/>
        <v>E_WON</v>
      </c>
    </row>
    <row r="1411" spans="1:16" x14ac:dyDescent="0.35">
      <c r="A1411" t="s">
        <v>95</v>
      </c>
      <c r="B1411" t="s">
        <v>81</v>
      </c>
      <c r="C1411" t="s">
        <v>45</v>
      </c>
      <c r="D1411" t="s">
        <v>1507</v>
      </c>
      <c r="E1411" t="s">
        <v>96</v>
      </c>
      <c r="F1411" t="s">
        <v>96</v>
      </c>
      <c r="G1411" t="s">
        <v>96</v>
      </c>
      <c r="H1411">
        <v>2010</v>
      </c>
      <c r="I1411" t="s">
        <v>96</v>
      </c>
      <c r="J1411" t="s">
        <v>97</v>
      </c>
      <c r="K1411" t="s">
        <v>96</v>
      </c>
      <c r="L1411" t="s">
        <v>96</v>
      </c>
      <c r="M1411">
        <v>1810</v>
      </c>
      <c r="O1411" s="12" t="str">
        <f t="shared" ref="O1411:O1474" si="58">LEFT(B1411,3)</f>
        <v>URA</v>
      </c>
      <c r="P1411" s="12" t="str">
        <f t="shared" ref="P1411:P1474" si="59">LEFT(D1411,5)</f>
        <v>E_WON</v>
      </c>
    </row>
    <row r="1412" spans="1:16" x14ac:dyDescent="0.35">
      <c r="A1412" t="s">
        <v>95</v>
      </c>
      <c r="B1412" t="s">
        <v>81</v>
      </c>
      <c r="C1412" t="s">
        <v>45</v>
      </c>
      <c r="D1412" t="s">
        <v>1508</v>
      </c>
      <c r="E1412" t="s">
        <v>96</v>
      </c>
      <c r="F1412" t="s">
        <v>96</v>
      </c>
      <c r="G1412" t="s">
        <v>96</v>
      </c>
      <c r="H1412">
        <v>2010</v>
      </c>
      <c r="I1412" t="s">
        <v>96</v>
      </c>
      <c r="J1412" t="s">
        <v>97</v>
      </c>
      <c r="K1412" t="s">
        <v>96</v>
      </c>
      <c r="L1412" t="s">
        <v>96</v>
      </c>
      <c r="M1412">
        <v>1810</v>
      </c>
      <c r="O1412" s="12" t="str">
        <f t="shared" si="58"/>
        <v>URA</v>
      </c>
      <c r="P1412" s="12" t="str">
        <f t="shared" si="59"/>
        <v>E_WON</v>
      </c>
    </row>
    <row r="1413" spans="1:16" x14ac:dyDescent="0.35">
      <c r="A1413" t="s">
        <v>95</v>
      </c>
      <c r="B1413" t="s">
        <v>81</v>
      </c>
      <c r="C1413" t="s">
        <v>45</v>
      </c>
      <c r="D1413" t="s">
        <v>1509</v>
      </c>
      <c r="E1413" t="s">
        <v>96</v>
      </c>
      <c r="F1413" t="s">
        <v>96</v>
      </c>
      <c r="G1413" t="s">
        <v>96</v>
      </c>
      <c r="H1413">
        <v>2010</v>
      </c>
      <c r="I1413" t="s">
        <v>96</v>
      </c>
      <c r="J1413" t="s">
        <v>97</v>
      </c>
      <c r="K1413" t="s">
        <v>96</v>
      </c>
      <c r="L1413" t="s">
        <v>96</v>
      </c>
      <c r="M1413">
        <v>1810</v>
      </c>
      <c r="O1413" s="12" t="str">
        <f t="shared" si="58"/>
        <v>URA</v>
      </c>
      <c r="P1413" s="12" t="str">
        <f t="shared" si="59"/>
        <v>E_WON</v>
      </c>
    </row>
    <row r="1414" spans="1:16" x14ac:dyDescent="0.35">
      <c r="A1414" t="s">
        <v>95</v>
      </c>
      <c r="B1414" t="s">
        <v>81</v>
      </c>
      <c r="C1414" t="s">
        <v>45</v>
      </c>
      <c r="D1414" t="s">
        <v>1510</v>
      </c>
      <c r="E1414" t="s">
        <v>96</v>
      </c>
      <c r="F1414" t="s">
        <v>96</v>
      </c>
      <c r="G1414" t="s">
        <v>96</v>
      </c>
      <c r="H1414">
        <v>2010</v>
      </c>
      <c r="I1414" t="s">
        <v>96</v>
      </c>
      <c r="J1414" t="s">
        <v>97</v>
      </c>
      <c r="K1414" t="s">
        <v>96</v>
      </c>
      <c r="L1414" t="s">
        <v>96</v>
      </c>
      <c r="M1414">
        <v>1810</v>
      </c>
      <c r="O1414" s="12" t="str">
        <f t="shared" si="58"/>
        <v>URA</v>
      </c>
      <c r="P1414" s="12" t="str">
        <f t="shared" si="59"/>
        <v>E_WON</v>
      </c>
    </row>
    <row r="1415" spans="1:16" x14ac:dyDescent="0.35">
      <c r="A1415" t="s">
        <v>95</v>
      </c>
      <c r="B1415" t="s">
        <v>81</v>
      </c>
      <c r="C1415" t="s">
        <v>45</v>
      </c>
      <c r="D1415" t="s">
        <v>1511</v>
      </c>
      <c r="E1415" t="s">
        <v>96</v>
      </c>
      <c r="F1415" t="s">
        <v>96</v>
      </c>
      <c r="G1415" t="s">
        <v>96</v>
      </c>
      <c r="H1415">
        <v>2010</v>
      </c>
      <c r="I1415" t="s">
        <v>96</v>
      </c>
      <c r="J1415" t="s">
        <v>97</v>
      </c>
      <c r="K1415" t="s">
        <v>96</v>
      </c>
      <c r="L1415" t="s">
        <v>96</v>
      </c>
      <c r="M1415">
        <v>1810</v>
      </c>
      <c r="O1415" s="12" t="str">
        <f t="shared" si="58"/>
        <v>URA</v>
      </c>
      <c r="P1415" s="12" t="str">
        <f t="shared" si="59"/>
        <v>E_WON</v>
      </c>
    </row>
    <row r="1416" spans="1:16" x14ac:dyDescent="0.35">
      <c r="A1416" t="s">
        <v>95</v>
      </c>
      <c r="B1416" t="s">
        <v>81</v>
      </c>
      <c r="C1416" t="s">
        <v>45</v>
      </c>
      <c r="D1416" t="s">
        <v>1512</v>
      </c>
      <c r="E1416" t="s">
        <v>96</v>
      </c>
      <c r="F1416" t="s">
        <v>96</v>
      </c>
      <c r="G1416" t="s">
        <v>96</v>
      </c>
      <c r="H1416">
        <v>2010</v>
      </c>
      <c r="I1416" t="s">
        <v>96</v>
      </c>
      <c r="J1416" t="s">
        <v>97</v>
      </c>
      <c r="K1416" t="s">
        <v>96</v>
      </c>
      <c r="L1416" t="s">
        <v>96</v>
      </c>
      <c r="M1416">
        <v>1810</v>
      </c>
      <c r="O1416" s="12" t="str">
        <f t="shared" si="58"/>
        <v>URA</v>
      </c>
      <c r="P1416" s="12" t="str">
        <f t="shared" si="59"/>
        <v>E_WON</v>
      </c>
    </row>
    <row r="1417" spans="1:16" x14ac:dyDescent="0.35">
      <c r="A1417" t="s">
        <v>95</v>
      </c>
      <c r="B1417" t="s">
        <v>81</v>
      </c>
      <c r="C1417" t="s">
        <v>45</v>
      </c>
      <c r="D1417" t="s">
        <v>1513</v>
      </c>
      <c r="E1417" t="s">
        <v>96</v>
      </c>
      <c r="F1417" t="s">
        <v>96</v>
      </c>
      <c r="G1417" t="s">
        <v>96</v>
      </c>
      <c r="H1417">
        <v>2010</v>
      </c>
      <c r="I1417" t="s">
        <v>96</v>
      </c>
      <c r="J1417" t="s">
        <v>97</v>
      </c>
      <c r="K1417" t="s">
        <v>96</v>
      </c>
      <c r="L1417" t="s">
        <v>96</v>
      </c>
      <c r="M1417">
        <v>1810</v>
      </c>
      <c r="O1417" s="12" t="str">
        <f t="shared" si="58"/>
        <v>URA</v>
      </c>
      <c r="P1417" s="12" t="str">
        <f t="shared" si="59"/>
        <v>E_WON</v>
      </c>
    </row>
    <row r="1418" spans="1:16" x14ac:dyDescent="0.35">
      <c r="A1418" t="s">
        <v>95</v>
      </c>
      <c r="B1418" t="s">
        <v>81</v>
      </c>
      <c r="C1418" t="s">
        <v>45</v>
      </c>
      <c r="D1418" t="s">
        <v>1514</v>
      </c>
      <c r="E1418" t="s">
        <v>96</v>
      </c>
      <c r="F1418" t="s">
        <v>96</v>
      </c>
      <c r="G1418" t="s">
        <v>96</v>
      </c>
      <c r="H1418">
        <v>2010</v>
      </c>
      <c r="I1418" t="s">
        <v>96</v>
      </c>
      <c r="J1418" t="s">
        <v>97</v>
      </c>
      <c r="K1418" t="s">
        <v>96</v>
      </c>
      <c r="L1418" t="s">
        <v>96</v>
      </c>
      <c r="M1418">
        <v>1810</v>
      </c>
      <c r="O1418" s="12" t="str">
        <f t="shared" si="58"/>
        <v>URA</v>
      </c>
      <c r="P1418" s="12" t="str">
        <f t="shared" si="59"/>
        <v>E_WON</v>
      </c>
    </row>
    <row r="1419" spans="1:16" x14ac:dyDescent="0.35">
      <c r="A1419" t="s">
        <v>95</v>
      </c>
      <c r="B1419" t="s">
        <v>81</v>
      </c>
      <c r="C1419" t="s">
        <v>45</v>
      </c>
      <c r="D1419" t="s">
        <v>1515</v>
      </c>
      <c r="E1419" t="s">
        <v>96</v>
      </c>
      <c r="F1419" t="s">
        <v>96</v>
      </c>
      <c r="G1419" t="s">
        <v>96</v>
      </c>
      <c r="H1419">
        <v>2010</v>
      </c>
      <c r="I1419" t="s">
        <v>96</v>
      </c>
      <c r="J1419" t="s">
        <v>97</v>
      </c>
      <c r="K1419" t="s">
        <v>96</v>
      </c>
      <c r="L1419" t="s">
        <v>96</v>
      </c>
      <c r="M1419">
        <v>1810</v>
      </c>
      <c r="O1419" s="12" t="str">
        <f t="shared" si="58"/>
        <v>URA</v>
      </c>
      <c r="P1419" s="12" t="str">
        <f t="shared" si="59"/>
        <v>E_WON</v>
      </c>
    </row>
    <row r="1420" spans="1:16" x14ac:dyDescent="0.35">
      <c r="A1420" t="s">
        <v>95</v>
      </c>
      <c r="B1420" t="s">
        <v>81</v>
      </c>
      <c r="C1420" t="s">
        <v>45</v>
      </c>
      <c r="D1420" t="s">
        <v>1516</v>
      </c>
      <c r="E1420" t="s">
        <v>96</v>
      </c>
      <c r="F1420" t="s">
        <v>96</v>
      </c>
      <c r="G1420" t="s">
        <v>96</v>
      </c>
      <c r="H1420">
        <v>2010</v>
      </c>
      <c r="I1420" t="s">
        <v>96</v>
      </c>
      <c r="J1420" t="s">
        <v>97</v>
      </c>
      <c r="K1420" t="s">
        <v>96</v>
      </c>
      <c r="L1420" t="s">
        <v>96</v>
      </c>
      <c r="M1420">
        <v>1810</v>
      </c>
      <c r="O1420" s="12" t="str">
        <f t="shared" si="58"/>
        <v>URA</v>
      </c>
      <c r="P1420" s="12" t="str">
        <f t="shared" si="59"/>
        <v>E_WON</v>
      </c>
    </row>
    <row r="1421" spans="1:16" x14ac:dyDescent="0.35">
      <c r="A1421" t="s">
        <v>95</v>
      </c>
      <c r="B1421" t="s">
        <v>81</v>
      </c>
      <c r="C1421" t="s">
        <v>45</v>
      </c>
      <c r="D1421" t="s">
        <v>1517</v>
      </c>
      <c r="E1421" t="s">
        <v>96</v>
      </c>
      <c r="F1421" t="s">
        <v>96</v>
      </c>
      <c r="G1421" t="s">
        <v>96</v>
      </c>
      <c r="H1421">
        <v>2010</v>
      </c>
      <c r="I1421" t="s">
        <v>96</v>
      </c>
      <c r="J1421" t="s">
        <v>97</v>
      </c>
      <c r="K1421" t="s">
        <v>96</v>
      </c>
      <c r="L1421" t="s">
        <v>96</v>
      </c>
      <c r="M1421">
        <v>1810</v>
      </c>
      <c r="O1421" s="12" t="str">
        <f t="shared" si="58"/>
        <v>URA</v>
      </c>
      <c r="P1421" s="12" t="str">
        <f t="shared" si="59"/>
        <v>E_WON</v>
      </c>
    </row>
    <row r="1422" spans="1:16" x14ac:dyDescent="0.35">
      <c r="A1422" t="s">
        <v>95</v>
      </c>
      <c r="B1422" t="s">
        <v>81</v>
      </c>
      <c r="C1422" t="s">
        <v>45</v>
      </c>
      <c r="D1422" t="s">
        <v>1518</v>
      </c>
      <c r="E1422" t="s">
        <v>96</v>
      </c>
      <c r="F1422" t="s">
        <v>96</v>
      </c>
      <c r="G1422" t="s">
        <v>96</v>
      </c>
      <c r="H1422">
        <v>2010</v>
      </c>
      <c r="I1422" t="s">
        <v>96</v>
      </c>
      <c r="J1422" t="s">
        <v>97</v>
      </c>
      <c r="K1422" t="s">
        <v>96</v>
      </c>
      <c r="L1422" t="s">
        <v>96</v>
      </c>
      <c r="M1422">
        <v>1810</v>
      </c>
      <c r="O1422" s="12" t="str">
        <f t="shared" si="58"/>
        <v>URA</v>
      </c>
      <c r="P1422" s="12" t="str">
        <f t="shared" si="59"/>
        <v>E_WON</v>
      </c>
    </row>
    <row r="1423" spans="1:16" x14ac:dyDescent="0.35">
      <c r="A1423" t="s">
        <v>95</v>
      </c>
      <c r="B1423" t="s">
        <v>81</v>
      </c>
      <c r="C1423" t="s">
        <v>45</v>
      </c>
      <c r="D1423" t="s">
        <v>1519</v>
      </c>
      <c r="E1423" t="s">
        <v>96</v>
      </c>
      <c r="F1423" t="s">
        <v>96</v>
      </c>
      <c r="G1423" t="s">
        <v>96</v>
      </c>
      <c r="H1423">
        <v>2010</v>
      </c>
      <c r="I1423" t="s">
        <v>96</v>
      </c>
      <c r="J1423" t="s">
        <v>97</v>
      </c>
      <c r="K1423" t="s">
        <v>96</v>
      </c>
      <c r="L1423" t="s">
        <v>96</v>
      </c>
      <c r="M1423">
        <v>1810</v>
      </c>
      <c r="O1423" s="12" t="str">
        <f t="shared" si="58"/>
        <v>URA</v>
      </c>
      <c r="P1423" s="12" t="str">
        <f t="shared" si="59"/>
        <v>E_WON</v>
      </c>
    </row>
    <row r="1424" spans="1:16" x14ac:dyDescent="0.35">
      <c r="A1424" t="s">
        <v>95</v>
      </c>
      <c r="B1424" t="s">
        <v>81</v>
      </c>
      <c r="C1424" t="s">
        <v>45</v>
      </c>
      <c r="D1424" t="s">
        <v>1520</v>
      </c>
      <c r="E1424" t="s">
        <v>96</v>
      </c>
      <c r="F1424" t="s">
        <v>96</v>
      </c>
      <c r="G1424" t="s">
        <v>96</v>
      </c>
      <c r="H1424">
        <v>2010</v>
      </c>
      <c r="I1424" t="s">
        <v>96</v>
      </c>
      <c r="J1424" t="s">
        <v>97</v>
      </c>
      <c r="K1424" t="s">
        <v>96</v>
      </c>
      <c r="L1424" t="s">
        <v>96</v>
      </c>
      <c r="M1424">
        <v>1810</v>
      </c>
      <c r="O1424" s="12" t="str">
        <f t="shared" si="58"/>
        <v>URA</v>
      </c>
      <c r="P1424" s="12" t="str">
        <f t="shared" si="59"/>
        <v>E_WON</v>
      </c>
    </row>
    <row r="1425" spans="1:16" x14ac:dyDescent="0.35">
      <c r="A1425" t="s">
        <v>95</v>
      </c>
      <c r="B1425" t="s">
        <v>81</v>
      </c>
      <c r="C1425" t="s">
        <v>45</v>
      </c>
      <c r="D1425" t="s">
        <v>1521</v>
      </c>
      <c r="E1425" t="s">
        <v>96</v>
      </c>
      <c r="F1425" t="s">
        <v>96</v>
      </c>
      <c r="G1425" t="s">
        <v>96</v>
      </c>
      <c r="H1425">
        <v>2010</v>
      </c>
      <c r="I1425" t="s">
        <v>96</v>
      </c>
      <c r="J1425" t="s">
        <v>97</v>
      </c>
      <c r="K1425" t="s">
        <v>96</v>
      </c>
      <c r="L1425" t="s">
        <v>96</v>
      </c>
      <c r="M1425">
        <v>1810</v>
      </c>
      <c r="O1425" s="12" t="str">
        <f t="shared" si="58"/>
        <v>URA</v>
      </c>
      <c r="P1425" s="12" t="str">
        <f t="shared" si="59"/>
        <v>E_WON</v>
      </c>
    </row>
    <row r="1426" spans="1:16" x14ac:dyDescent="0.35">
      <c r="A1426" t="s">
        <v>95</v>
      </c>
      <c r="B1426" t="s">
        <v>81</v>
      </c>
      <c r="C1426" t="s">
        <v>45</v>
      </c>
      <c r="D1426" t="s">
        <v>1522</v>
      </c>
      <c r="E1426" t="s">
        <v>96</v>
      </c>
      <c r="F1426" t="s">
        <v>96</v>
      </c>
      <c r="G1426" t="s">
        <v>96</v>
      </c>
      <c r="H1426">
        <v>2010</v>
      </c>
      <c r="I1426" t="s">
        <v>96</v>
      </c>
      <c r="J1426" t="s">
        <v>97</v>
      </c>
      <c r="K1426" t="s">
        <v>96</v>
      </c>
      <c r="L1426" t="s">
        <v>96</v>
      </c>
      <c r="M1426">
        <v>1810</v>
      </c>
      <c r="O1426" s="12" t="str">
        <f t="shared" si="58"/>
        <v>URA</v>
      </c>
      <c r="P1426" s="12" t="str">
        <f t="shared" si="59"/>
        <v>E_WON</v>
      </c>
    </row>
    <row r="1427" spans="1:16" x14ac:dyDescent="0.35">
      <c r="A1427" t="s">
        <v>95</v>
      </c>
      <c r="B1427" t="s">
        <v>81</v>
      </c>
      <c r="C1427" t="s">
        <v>45</v>
      </c>
      <c r="D1427" t="s">
        <v>1523</v>
      </c>
      <c r="E1427" t="s">
        <v>96</v>
      </c>
      <c r="F1427" t="s">
        <v>96</v>
      </c>
      <c r="G1427" t="s">
        <v>96</v>
      </c>
      <c r="H1427">
        <v>2010</v>
      </c>
      <c r="I1427" t="s">
        <v>96</v>
      </c>
      <c r="J1427" t="s">
        <v>97</v>
      </c>
      <c r="K1427" t="s">
        <v>96</v>
      </c>
      <c r="L1427" t="s">
        <v>96</v>
      </c>
      <c r="M1427">
        <v>1810</v>
      </c>
      <c r="O1427" s="12" t="str">
        <f t="shared" si="58"/>
        <v>URA</v>
      </c>
      <c r="P1427" s="12" t="str">
        <f t="shared" si="59"/>
        <v>E_WON</v>
      </c>
    </row>
    <row r="1428" spans="1:16" x14ac:dyDescent="0.35">
      <c r="A1428" t="s">
        <v>95</v>
      </c>
      <c r="B1428" t="s">
        <v>81</v>
      </c>
      <c r="C1428" t="s">
        <v>45</v>
      </c>
      <c r="D1428" t="s">
        <v>1524</v>
      </c>
      <c r="E1428" t="s">
        <v>96</v>
      </c>
      <c r="F1428" t="s">
        <v>96</v>
      </c>
      <c r="G1428" t="s">
        <v>96</v>
      </c>
      <c r="H1428">
        <v>2010</v>
      </c>
      <c r="I1428" t="s">
        <v>96</v>
      </c>
      <c r="J1428" t="s">
        <v>97</v>
      </c>
      <c r="K1428" t="s">
        <v>96</v>
      </c>
      <c r="L1428" t="s">
        <v>96</v>
      </c>
      <c r="M1428">
        <v>1810</v>
      </c>
      <c r="O1428" s="12" t="str">
        <f t="shared" si="58"/>
        <v>URA</v>
      </c>
      <c r="P1428" s="12" t="str">
        <f t="shared" si="59"/>
        <v>E_WON</v>
      </c>
    </row>
    <row r="1429" spans="1:16" x14ac:dyDescent="0.35">
      <c r="A1429" t="s">
        <v>95</v>
      </c>
      <c r="B1429" t="s">
        <v>81</v>
      </c>
      <c r="C1429" t="s">
        <v>45</v>
      </c>
      <c r="D1429" t="s">
        <v>1525</v>
      </c>
      <c r="E1429" t="s">
        <v>96</v>
      </c>
      <c r="F1429" t="s">
        <v>96</v>
      </c>
      <c r="G1429" t="s">
        <v>96</v>
      </c>
      <c r="H1429">
        <v>2010</v>
      </c>
      <c r="I1429" t="s">
        <v>96</v>
      </c>
      <c r="J1429" t="s">
        <v>97</v>
      </c>
      <c r="K1429" t="s">
        <v>96</v>
      </c>
      <c r="L1429" t="s">
        <v>96</v>
      </c>
      <c r="M1429">
        <v>2715</v>
      </c>
      <c r="O1429" s="12" t="str">
        <f t="shared" si="58"/>
        <v>URA</v>
      </c>
      <c r="P1429" s="12" t="str">
        <f t="shared" si="59"/>
        <v>E_WON</v>
      </c>
    </row>
    <row r="1430" spans="1:16" x14ac:dyDescent="0.35">
      <c r="A1430" t="s">
        <v>95</v>
      </c>
      <c r="B1430" t="s">
        <v>81</v>
      </c>
      <c r="C1430" t="s">
        <v>45</v>
      </c>
      <c r="D1430" t="s">
        <v>1526</v>
      </c>
      <c r="E1430" t="s">
        <v>96</v>
      </c>
      <c r="F1430" t="s">
        <v>96</v>
      </c>
      <c r="G1430" t="s">
        <v>96</v>
      </c>
      <c r="H1430">
        <v>2010</v>
      </c>
      <c r="I1430" t="s">
        <v>96</v>
      </c>
      <c r="J1430" t="s">
        <v>97</v>
      </c>
      <c r="K1430" t="s">
        <v>96</v>
      </c>
      <c r="L1430" t="s">
        <v>96</v>
      </c>
      <c r="M1430">
        <v>2715</v>
      </c>
      <c r="O1430" s="12" t="str">
        <f t="shared" si="58"/>
        <v>URA</v>
      </c>
      <c r="P1430" s="12" t="str">
        <f t="shared" si="59"/>
        <v>E_WON</v>
      </c>
    </row>
    <row r="1431" spans="1:16" x14ac:dyDescent="0.35">
      <c r="A1431" t="s">
        <v>95</v>
      </c>
      <c r="B1431" t="s">
        <v>81</v>
      </c>
      <c r="C1431" t="s">
        <v>45</v>
      </c>
      <c r="D1431" t="s">
        <v>1527</v>
      </c>
      <c r="E1431" t="s">
        <v>96</v>
      </c>
      <c r="F1431" t="s">
        <v>96</v>
      </c>
      <c r="G1431" t="s">
        <v>96</v>
      </c>
      <c r="H1431">
        <v>2010</v>
      </c>
      <c r="I1431" t="s">
        <v>96</v>
      </c>
      <c r="J1431" t="s">
        <v>97</v>
      </c>
      <c r="K1431" t="s">
        <v>96</v>
      </c>
      <c r="L1431" t="s">
        <v>96</v>
      </c>
      <c r="M1431">
        <v>2715</v>
      </c>
      <c r="O1431" s="12" t="str">
        <f t="shared" si="58"/>
        <v>URA</v>
      </c>
      <c r="P1431" s="12" t="str">
        <f t="shared" si="59"/>
        <v>E_WON</v>
      </c>
    </row>
    <row r="1432" spans="1:16" x14ac:dyDescent="0.35">
      <c r="A1432" t="s">
        <v>95</v>
      </c>
      <c r="B1432" t="s">
        <v>81</v>
      </c>
      <c r="C1432" t="s">
        <v>45</v>
      </c>
      <c r="D1432" t="s">
        <v>1528</v>
      </c>
      <c r="E1432" t="s">
        <v>96</v>
      </c>
      <c r="F1432" t="s">
        <v>96</v>
      </c>
      <c r="G1432" t="s">
        <v>96</v>
      </c>
      <c r="H1432">
        <v>2010</v>
      </c>
      <c r="I1432" t="s">
        <v>96</v>
      </c>
      <c r="J1432" t="s">
        <v>97</v>
      </c>
      <c r="K1432" t="s">
        <v>96</v>
      </c>
      <c r="L1432" t="s">
        <v>96</v>
      </c>
      <c r="M1432">
        <v>2715</v>
      </c>
      <c r="O1432" s="12" t="str">
        <f t="shared" si="58"/>
        <v>URA</v>
      </c>
      <c r="P1432" s="12" t="str">
        <f t="shared" si="59"/>
        <v>E_WON</v>
      </c>
    </row>
    <row r="1433" spans="1:16" x14ac:dyDescent="0.35">
      <c r="A1433" t="s">
        <v>95</v>
      </c>
      <c r="B1433" t="s">
        <v>81</v>
      </c>
      <c r="C1433" t="s">
        <v>45</v>
      </c>
      <c r="D1433" t="s">
        <v>1529</v>
      </c>
      <c r="E1433" t="s">
        <v>96</v>
      </c>
      <c r="F1433" t="s">
        <v>96</v>
      </c>
      <c r="G1433" t="s">
        <v>96</v>
      </c>
      <c r="H1433">
        <v>2010</v>
      </c>
      <c r="I1433" t="s">
        <v>96</v>
      </c>
      <c r="J1433" t="s">
        <v>97</v>
      </c>
      <c r="K1433" t="s">
        <v>96</v>
      </c>
      <c r="L1433" t="s">
        <v>96</v>
      </c>
      <c r="M1433">
        <v>2715</v>
      </c>
      <c r="O1433" s="12" t="str">
        <f t="shared" si="58"/>
        <v>URA</v>
      </c>
      <c r="P1433" s="12" t="str">
        <f t="shared" si="59"/>
        <v>E_WON</v>
      </c>
    </row>
    <row r="1434" spans="1:16" x14ac:dyDescent="0.35">
      <c r="A1434" t="s">
        <v>95</v>
      </c>
      <c r="B1434" t="s">
        <v>81</v>
      </c>
      <c r="C1434" t="s">
        <v>45</v>
      </c>
      <c r="D1434" t="s">
        <v>1530</v>
      </c>
      <c r="E1434" t="s">
        <v>96</v>
      </c>
      <c r="F1434" t="s">
        <v>96</v>
      </c>
      <c r="G1434" t="s">
        <v>96</v>
      </c>
      <c r="H1434">
        <v>2010</v>
      </c>
      <c r="I1434" t="s">
        <v>96</v>
      </c>
      <c r="J1434" t="s">
        <v>97</v>
      </c>
      <c r="K1434" t="s">
        <v>96</v>
      </c>
      <c r="L1434" t="s">
        <v>96</v>
      </c>
      <c r="M1434">
        <v>2715</v>
      </c>
      <c r="O1434" s="12" t="str">
        <f t="shared" si="58"/>
        <v>URA</v>
      </c>
      <c r="P1434" s="12" t="str">
        <f t="shared" si="59"/>
        <v>E_WON</v>
      </c>
    </row>
    <row r="1435" spans="1:16" x14ac:dyDescent="0.35">
      <c r="A1435" t="s">
        <v>95</v>
      </c>
      <c r="B1435" t="s">
        <v>81</v>
      </c>
      <c r="C1435" t="s">
        <v>45</v>
      </c>
      <c r="D1435" t="s">
        <v>1531</v>
      </c>
      <c r="E1435" t="s">
        <v>96</v>
      </c>
      <c r="F1435" t="s">
        <v>96</v>
      </c>
      <c r="G1435" t="s">
        <v>96</v>
      </c>
      <c r="H1435">
        <v>2010</v>
      </c>
      <c r="I1435" t="s">
        <v>96</v>
      </c>
      <c r="J1435" t="s">
        <v>97</v>
      </c>
      <c r="K1435" t="s">
        <v>96</v>
      </c>
      <c r="L1435" t="s">
        <v>96</v>
      </c>
      <c r="M1435">
        <v>2715</v>
      </c>
      <c r="O1435" s="12" t="str">
        <f t="shared" si="58"/>
        <v>URA</v>
      </c>
      <c r="P1435" s="12" t="str">
        <f t="shared" si="59"/>
        <v>E_WON</v>
      </c>
    </row>
    <row r="1436" spans="1:16" x14ac:dyDescent="0.35">
      <c r="A1436" t="s">
        <v>95</v>
      </c>
      <c r="B1436" t="s">
        <v>81</v>
      </c>
      <c r="C1436" t="s">
        <v>45</v>
      </c>
      <c r="D1436" t="s">
        <v>1532</v>
      </c>
      <c r="E1436" t="s">
        <v>96</v>
      </c>
      <c r="F1436" t="s">
        <v>96</v>
      </c>
      <c r="G1436" t="s">
        <v>96</v>
      </c>
      <c r="H1436">
        <v>2010</v>
      </c>
      <c r="I1436" t="s">
        <v>96</v>
      </c>
      <c r="J1436" t="s">
        <v>97</v>
      </c>
      <c r="K1436" t="s">
        <v>96</v>
      </c>
      <c r="L1436" t="s">
        <v>96</v>
      </c>
      <c r="M1436">
        <v>2715</v>
      </c>
      <c r="O1436" s="12" t="str">
        <f t="shared" si="58"/>
        <v>URA</v>
      </c>
      <c r="P1436" s="12" t="str">
        <f t="shared" si="59"/>
        <v>E_WON</v>
      </c>
    </row>
    <row r="1437" spans="1:16" x14ac:dyDescent="0.35">
      <c r="A1437" t="s">
        <v>95</v>
      </c>
      <c r="B1437" t="s">
        <v>81</v>
      </c>
      <c r="C1437" t="s">
        <v>45</v>
      </c>
      <c r="D1437" t="s">
        <v>1533</v>
      </c>
      <c r="E1437" t="s">
        <v>96</v>
      </c>
      <c r="F1437" t="s">
        <v>96</v>
      </c>
      <c r="G1437" t="s">
        <v>96</v>
      </c>
      <c r="H1437">
        <v>2010</v>
      </c>
      <c r="I1437" t="s">
        <v>96</v>
      </c>
      <c r="J1437" t="s">
        <v>97</v>
      </c>
      <c r="K1437" t="s">
        <v>96</v>
      </c>
      <c r="L1437" t="s">
        <v>96</v>
      </c>
      <c r="M1437">
        <v>2715</v>
      </c>
      <c r="O1437" s="12" t="str">
        <f t="shared" si="58"/>
        <v>URA</v>
      </c>
      <c r="P1437" s="12" t="str">
        <f t="shared" si="59"/>
        <v>E_WON</v>
      </c>
    </row>
    <row r="1438" spans="1:16" x14ac:dyDescent="0.35">
      <c r="A1438" t="s">
        <v>95</v>
      </c>
      <c r="B1438" t="s">
        <v>81</v>
      </c>
      <c r="C1438" t="s">
        <v>45</v>
      </c>
      <c r="D1438" t="s">
        <v>1534</v>
      </c>
      <c r="E1438" t="s">
        <v>96</v>
      </c>
      <c r="F1438" t="s">
        <v>96</v>
      </c>
      <c r="G1438" t="s">
        <v>96</v>
      </c>
      <c r="H1438">
        <v>2010</v>
      </c>
      <c r="I1438" t="s">
        <v>96</v>
      </c>
      <c r="J1438" t="s">
        <v>97</v>
      </c>
      <c r="K1438" t="s">
        <v>96</v>
      </c>
      <c r="L1438" t="s">
        <v>96</v>
      </c>
      <c r="M1438">
        <v>2715</v>
      </c>
      <c r="O1438" s="12" t="str">
        <f t="shared" si="58"/>
        <v>URA</v>
      </c>
      <c r="P1438" s="12" t="str">
        <f t="shared" si="59"/>
        <v>E_WON</v>
      </c>
    </row>
    <row r="1439" spans="1:16" x14ac:dyDescent="0.35">
      <c r="A1439" t="s">
        <v>95</v>
      </c>
      <c r="B1439" t="s">
        <v>81</v>
      </c>
      <c r="C1439" t="s">
        <v>45</v>
      </c>
      <c r="D1439" t="s">
        <v>1535</v>
      </c>
      <c r="E1439" t="s">
        <v>96</v>
      </c>
      <c r="F1439" t="s">
        <v>96</v>
      </c>
      <c r="G1439" t="s">
        <v>96</v>
      </c>
      <c r="H1439">
        <v>2010</v>
      </c>
      <c r="I1439" t="s">
        <v>96</v>
      </c>
      <c r="J1439" t="s">
        <v>97</v>
      </c>
      <c r="K1439" t="s">
        <v>96</v>
      </c>
      <c r="L1439" t="s">
        <v>96</v>
      </c>
      <c r="M1439">
        <v>2715</v>
      </c>
      <c r="O1439" s="12" t="str">
        <f t="shared" si="58"/>
        <v>URA</v>
      </c>
      <c r="P1439" s="12" t="str">
        <f t="shared" si="59"/>
        <v>E_WON</v>
      </c>
    </row>
    <row r="1440" spans="1:16" x14ac:dyDescent="0.35">
      <c r="A1440" t="s">
        <v>95</v>
      </c>
      <c r="B1440" t="s">
        <v>81</v>
      </c>
      <c r="C1440" t="s">
        <v>45</v>
      </c>
      <c r="D1440" t="s">
        <v>1536</v>
      </c>
      <c r="E1440" t="s">
        <v>96</v>
      </c>
      <c r="F1440" t="s">
        <v>96</v>
      </c>
      <c r="G1440" t="s">
        <v>96</v>
      </c>
      <c r="H1440">
        <v>2010</v>
      </c>
      <c r="I1440" t="s">
        <v>96</v>
      </c>
      <c r="J1440" t="s">
        <v>97</v>
      </c>
      <c r="K1440" t="s">
        <v>96</v>
      </c>
      <c r="L1440" t="s">
        <v>96</v>
      </c>
      <c r="M1440">
        <v>2715</v>
      </c>
      <c r="O1440" s="12" t="str">
        <f t="shared" si="58"/>
        <v>URA</v>
      </c>
      <c r="P1440" s="12" t="str">
        <f t="shared" si="59"/>
        <v>E_WON</v>
      </c>
    </row>
    <row r="1441" spans="1:16" x14ac:dyDescent="0.35">
      <c r="A1441" t="s">
        <v>95</v>
      </c>
      <c r="B1441" t="s">
        <v>81</v>
      </c>
      <c r="C1441" t="s">
        <v>45</v>
      </c>
      <c r="D1441" t="s">
        <v>1537</v>
      </c>
      <c r="E1441" t="s">
        <v>96</v>
      </c>
      <c r="F1441" t="s">
        <v>96</v>
      </c>
      <c r="G1441" t="s">
        <v>96</v>
      </c>
      <c r="H1441">
        <v>2010</v>
      </c>
      <c r="I1441" t="s">
        <v>96</v>
      </c>
      <c r="J1441" t="s">
        <v>97</v>
      </c>
      <c r="K1441" t="s">
        <v>96</v>
      </c>
      <c r="L1441" t="s">
        <v>96</v>
      </c>
      <c r="M1441">
        <v>2715</v>
      </c>
      <c r="O1441" s="12" t="str">
        <f t="shared" si="58"/>
        <v>URA</v>
      </c>
      <c r="P1441" s="12" t="str">
        <f t="shared" si="59"/>
        <v>E_WON</v>
      </c>
    </row>
    <row r="1442" spans="1:16" x14ac:dyDescent="0.35">
      <c r="A1442" t="s">
        <v>95</v>
      </c>
      <c r="B1442" t="s">
        <v>81</v>
      </c>
      <c r="C1442" t="s">
        <v>45</v>
      </c>
      <c r="D1442" t="s">
        <v>1538</v>
      </c>
      <c r="E1442" t="s">
        <v>96</v>
      </c>
      <c r="F1442" t="s">
        <v>96</v>
      </c>
      <c r="G1442" t="s">
        <v>96</v>
      </c>
      <c r="H1442">
        <v>2010</v>
      </c>
      <c r="I1442" t="s">
        <v>96</v>
      </c>
      <c r="J1442" t="s">
        <v>97</v>
      </c>
      <c r="K1442" t="s">
        <v>96</v>
      </c>
      <c r="L1442" t="s">
        <v>96</v>
      </c>
      <c r="M1442">
        <v>2715</v>
      </c>
      <c r="O1442" s="12" t="str">
        <f t="shared" si="58"/>
        <v>URA</v>
      </c>
      <c r="P1442" s="12" t="str">
        <f t="shared" si="59"/>
        <v>E_WON</v>
      </c>
    </row>
    <row r="1443" spans="1:16" x14ac:dyDescent="0.35">
      <c r="A1443" t="s">
        <v>95</v>
      </c>
      <c r="B1443" t="s">
        <v>81</v>
      </c>
      <c r="C1443" t="s">
        <v>45</v>
      </c>
      <c r="D1443" t="s">
        <v>1539</v>
      </c>
      <c r="E1443" t="s">
        <v>96</v>
      </c>
      <c r="F1443" t="s">
        <v>96</v>
      </c>
      <c r="G1443" t="s">
        <v>96</v>
      </c>
      <c r="H1443">
        <v>2010</v>
      </c>
      <c r="I1443" t="s">
        <v>96</v>
      </c>
      <c r="J1443" t="s">
        <v>97</v>
      </c>
      <c r="K1443" t="s">
        <v>96</v>
      </c>
      <c r="L1443" t="s">
        <v>96</v>
      </c>
      <c r="M1443">
        <v>2715</v>
      </c>
      <c r="O1443" s="12" t="str">
        <f t="shared" si="58"/>
        <v>URA</v>
      </c>
      <c r="P1443" s="12" t="str">
        <f t="shared" si="59"/>
        <v>E_WON</v>
      </c>
    </row>
    <row r="1444" spans="1:16" x14ac:dyDescent="0.35">
      <c r="A1444" t="s">
        <v>95</v>
      </c>
      <c r="B1444" t="s">
        <v>81</v>
      </c>
      <c r="C1444" t="s">
        <v>45</v>
      </c>
      <c r="D1444" t="s">
        <v>1540</v>
      </c>
      <c r="E1444" t="s">
        <v>96</v>
      </c>
      <c r="F1444" t="s">
        <v>96</v>
      </c>
      <c r="G1444" t="s">
        <v>96</v>
      </c>
      <c r="H1444">
        <v>2010</v>
      </c>
      <c r="I1444" t="s">
        <v>96</v>
      </c>
      <c r="J1444" t="s">
        <v>97</v>
      </c>
      <c r="K1444" t="s">
        <v>96</v>
      </c>
      <c r="L1444" t="s">
        <v>96</v>
      </c>
      <c r="M1444">
        <v>2715</v>
      </c>
      <c r="O1444" s="12" t="str">
        <f t="shared" si="58"/>
        <v>URA</v>
      </c>
      <c r="P1444" s="12" t="str">
        <f t="shared" si="59"/>
        <v>E_WON</v>
      </c>
    </row>
    <row r="1445" spans="1:16" x14ac:dyDescent="0.35">
      <c r="A1445" t="s">
        <v>95</v>
      </c>
      <c r="B1445" t="s">
        <v>81</v>
      </c>
      <c r="C1445" t="s">
        <v>45</v>
      </c>
      <c r="D1445" t="s">
        <v>1541</v>
      </c>
      <c r="E1445" t="s">
        <v>96</v>
      </c>
      <c r="F1445" t="s">
        <v>96</v>
      </c>
      <c r="G1445" t="s">
        <v>96</v>
      </c>
      <c r="H1445">
        <v>2010</v>
      </c>
      <c r="I1445" t="s">
        <v>96</v>
      </c>
      <c r="J1445" t="s">
        <v>97</v>
      </c>
      <c r="K1445" t="s">
        <v>96</v>
      </c>
      <c r="L1445" t="s">
        <v>96</v>
      </c>
      <c r="M1445">
        <v>2715</v>
      </c>
      <c r="O1445" s="12" t="str">
        <f t="shared" si="58"/>
        <v>URA</v>
      </c>
      <c r="P1445" s="12" t="str">
        <f t="shared" si="59"/>
        <v>E_WON</v>
      </c>
    </row>
    <row r="1446" spans="1:16" x14ac:dyDescent="0.35">
      <c r="A1446" t="s">
        <v>95</v>
      </c>
      <c r="B1446" t="s">
        <v>81</v>
      </c>
      <c r="C1446" t="s">
        <v>45</v>
      </c>
      <c r="D1446" t="s">
        <v>1542</v>
      </c>
      <c r="E1446" t="s">
        <v>96</v>
      </c>
      <c r="F1446" t="s">
        <v>96</v>
      </c>
      <c r="G1446" t="s">
        <v>96</v>
      </c>
      <c r="H1446">
        <v>2010</v>
      </c>
      <c r="I1446" t="s">
        <v>96</v>
      </c>
      <c r="J1446" t="s">
        <v>97</v>
      </c>
      <c r="K1446" t="s">
        <v>96</v>
      </c>
      <c r="L1446" t="s">
        <v>96</v>
      </c>
      <c r="M1446">
        <v>2715</v>
      </c>
      <c r="O1446" s="12" t="str">
        <f t="shared" si="58"/>
        <v>URA</v>
      </c>
      <c r="P1446" s="12" t="str">
        <f t="shared" si="59"/>
        <v>E_WON</v>
      </c>
    </row>
    <row r="1447" spans="1:16" x14ac:dyDescent="0.35">
      <c r="A1447" t="s">
        <v>95</v>
      </c>
      <c r="B1447" t="s">
        <v>81</v>
      </c>
      <c r="C1447" t="s">
        <v>45</v>
      </c>
      <c r="D1447" t="s">
        <v>1543</v>
      </c>
      <c r="E1447" t="s">
        <v>96</v>
      </c>
      <c r="F1447" t="s">
        <v>96</v>
      </c>
      <c r="G1447" t="s">
        <v>96</v>
      </c>
      <c r="H1447">
        <v>2010</v>
      </c>
      <c r="I1447" t="s">
        <v>96</v>
      </c>
      <c r="J1447" t="s">
        <v>97</v>
      </c>
      <c r="K1447" t="s">
        <v>96</v>
      </c>
      <c r="L1447" t="s">
        <v>96</v>
      </c>
      <c r="M1447">
        <v>2715</v>
      </c>
      <c r="O1447" s="12" t="str">
        <f t="shared" si="58"/>
        <v>URA</v>
      </c>
      <c r="P1447" s="12" t="str">
        <f t="shared" si="59"/>
        <v>E_WON</v>
      </c>
    </row>
    <row r="1448" spans="1:16" x14ac:dyDescent="0.35">
      <c r="A1448" t="s">
        <v>95</v>
      </c>
      <c r="B1448" t="s">
        <v>81</v>
      </c>
      <c r="C1448" t="s">
        <v>45</v>
      </c>
      <c r="D1448" t="s">
        <v>1544</v>
      </c>
      <c r="E1448" t="s">
        <v>96</v>
      </c>
      <c r="F1448" t="s">
        <v>96</v>
      </c>
      <c r="G1448" t="s">
        <v>96</v>
      </c>
      <c r="H1448">
        <v>2010</v>
      </c>
      <c r="I1448" t="s">
        <v>96</v>
      </c>
      <c r="J1448" t="s">
        <v>97</v>
      </c>
      <c r="K1448" t="s">
        <v>96</v>
      </c>
      <c r="L1448" t="s">
        <v>96</v>
      </c>
      <c r="M1448">
        <v>2715</v>
      </c>
      <c r="O1448" s="12" t="str">
        <f t="shared" si="58"/>
        <v>URA</v>
      </c>
      <c r="P1448" s="12" t="str">
        <f t="shared" si="59"/>
        <v>E_WON</v>
      </c>
    </row>
    <row r="1449" spans="1:16" x14ac:dyDescent="0.35">
      <c r="A1449" t="s">
        <v>95</v>
      </c>
      <c r="B1449" t="s">
        <v>81</v>
      </c>
      <c r="C1449" t="s">
        <v>45</v>
      </c>
      <c r="D1449" t="s">
        <v>1545</v>
      </c>
      <c r="E1449" t="s">
        <v>96</v>
      </c>
      <c r="F1449" t="s">
        <v>96</v>
      </c>
      <c r="G1449" t="s">
        <v>96</v>
      </c>
      <c r="H1449">
        <v>2010</v>
      </c>
      <c r="I1449" t="s">
        <v>96</v>
      </c>
      <c r="J1449" t="s">
        <v>97</v>
      </c>
      <c r="K1449" t="s">
        <v>96</v>
      </c>
      <c r="L1449" t="s">
        <v>96</v>
      </c>
      <c r="M1449">
        <v>2715</v>
      </c>
      <c r="O1449" s="12" t="str">
        <f t="shared" si="58"/>
        <v>URA</v>
      </c>
      <c r="P1449" s="12" t="str">
        <f t="shared" si="59"/>
        <v>E_WON</v>
      </c>
    </row>
    <row r="1450" spans="1:16" x14ac:dyDescent="0.35">
      <c r="A1450" t="s">
        <v>95</v>
      </c>
      <c r="B1450" t="s">
        <v>81</v>
      </c>
      <c r="C1450" t="s">
        <v>45</v>
      </c>
      <c r="D1450" t="s">
        <v>1546</v>
      </c>
      <c r="E1450" t="s">
        <v>96</v>
      </c>
      <c r="F1450" t="s">
        <v>96</v>
      </c>
      <c r="G1450" t="s">
        <v>96</v>
      </c>
      <c r="H1450">
        <v>2010</v>
      </c>
      <c r="I1450" t="s">
        <v>96</v>
      </c>
      <c r="J1450" t="s">
        <v>97</v>
      </c>
      <c r="K1450" t="s">
        <v>96</v>
      </c>
      <c r="L1450" t="s">
        <v>96</v>
      </c>
      <c r="M1450">
        <v>2715</v>
      </c>
      <c r="O1450" s="12" t="str">
        <f t="shared" si="58"/>
        <v>URA</v>
      </c>
      <c r="P1450" s="12" t="str">
        <f t="shared" si="59"/>
        <v>E_WON</v>
      </c>
    </row>
    <row r="1451" spans="1:16" x14ac:dyDescent="0.35">
      <c r="A1451" t="s">
        <v>95</v>
      </c>
      <c r="B1451" t="s">
        <v>81</v>
      </c>
      <c r="C1451" t="s">
        <v>45</v>
      </c>
      <c r="D1451" t="s">
        <v>1547</v>
      </c>
      <c r="E1451" t="s">
        <v>96</v>
      </c>
      <c r="F1451" t="s">
        <v>96</v>
      </c>
      <c r="G1451" t="s">
        <v>96</v>
      </c>
      <c r="H1451">
        <v>2010</v>
      </c>
      <c r="I1451" t="s">
        <v>96</v>
      </c>
      <c r="J1451" t="s">
        <v>97</v>
      </c>
      <c r="K1451" t="s">
        <v>96</v>
      </c>
      <c r="L1451" t="s">
        <v>96</v>
      </c>
      <c r="M1451">
        <v>2715</v>
      </c>
      <c r="O1451" s="12" t="str">
        <f t="shared" si="58"/>
        <v>URA</v>
      </c>
      <c r="P1451" s="12" t="str">
        <f t="shared" si="59"/>
        <v>E_WON</v>
      </c>
    </row>
    <row r="1452" spans="1:16" x14ac:dyDescent="0.35">
      <c r="A1452" t="s">
        <v>95</v>
      </c>
      <c r="B1452" t="s">
        <v>81</v>
      </c>
      <c r="C1452" t="s">
        <v>45</v>
      </c>
      <c r="D1452" t="s">
        <v>1548</v>
      </c>
      <c r="E1452" t="s">
        <v>96</v>
      </c>
      <c r="F1452" t="s">
        <v>96</v>
      </c>
      <c r="G1452" t="s">
        <v>96</v>
      </c>
      <c r="H1452">
        <v>2010</v>
      </c>
      <c r="I1452" t="s">
        <v>96</v>
      </c>
      <c r="J1452" t="s">
        <v>97</v>
      </c>
      <c r="K1452" t="s">
        <v>96</v>
      </c>
      <c r="L1452" t="s">
        <v>96</v>
      </c>
      <c r="M1452">
        <v>2715</v>
      </c>
      <c r="O1452" s="12" t="str">
        <f t="shared" si="58"/>
        <v>URA</v>
      </c>
      <c r="P1452" s="12" t="str">
        <f t="shared" si="59"/>
        <v>E_WON</v>
      </c>
    </row>
    <row r="1453" spans="1:16" x14ac:dyDescent="0.35">
      <c r="A1453" t="s">
        <v>95</v>
      </c>
      <c r="B1453" t="s">
        <v>81</v>
      </c>
      <c r="C1453" t="s">
        <v>45</v>
      </c>
      <c r="D1453" t="s">
        <v>1549</v>
      </c>
      <c r="E1453" t="s">
        <v>96</v>
      </c>
      <c r="F1453" t="s">
        <v>96</v>
      </c>
      <c r="G1453" t="s">
        <v>96</v>
      </c>
      <c r="H1453">
        <v>2010</v>
      </c>
      <c r="I1453" t="s">
        <v>96</v>
      </c>
      <c r="J1453" t="s">
        <v>97</v>
      </c>
      <c r="K1453" t="s">
        <v>96</v>
      </c>
      <c r="L1453" t="s">
        <v>96</v>
      </c>
      <c r="M1453">
        <v>2715</v>
      </c>
      <c r="O1453" s="12" t="str">
        <f t="shared" si="58"/>
        <v>URA</v>
      </c>
      <c r="P1453" s="12" t="str">
        <f t="shared" si="59"/>
        <v>E_WON</v>
      </c>
    </row>
    <row r="1454" spans="1:16" x14ac:dyDescent="0.35">
      <c r="A1454" t="s">
        <v>95</v>
      </c>
      <c r="B1454" t="s">
        <v>81</v>
      </c>
      <c r="C1454" t="s">
        <v>45</v>
      </c>
      <c r="D1454" t="s">
        <v>1550</v>
      </c>
      <c r="E1454" t="s">
        <v>96</v>
      </c>
      <c r="F1454" t="s">
        <v>96</v>
      </c>
      <c r="G1454" t="s">
        <v>96</v>
      </c>
      <c r="H1454">
        <v>2010</v>
      </c>
      <c r="I1454" t="s">
        <v>96</v>
      </c>
      <c r="J1454" t="s">
        <v>97</v>
      </c>
      <c r="K1454" t="s">
        <v>96</v>
      </c>
      <c r="L1454" t="s">
        <v>96</v>
      </c>
      <c r="M1454">
        <v>2715</v>
      </c>
      <c r="O1454" s="12" t="str">
        <f t="shared" si="58"/>
        <v>URA</v>
      </c>
      <c r="P1454" s="12" t="str">
        <f t="shared" si="59"/>
        <v>E_WON</v>
      </c>
    </row>
    <row r="1455" spans="1:16" x14ac:dyDescent="0.35">
      <c r="A1455" t="s">
        <v>95</v>
      </c>
      <c r="B1455" t="s">
        <v>81</v>
      </c>
      <c r="C1455" t="s">
        <v>45</v>
      </c>
      <c r="D1455" t="s">
        <v>1551</v>
      </c>
      <c r="E1455" t="s">
        <v>96</v>
      </c>
      <c r="F1455" t="s">
        <v>96</v>
      </c>
      <c r="G1455" t="s">
        <v>96</v>
      </c>
      <c r="H1455">
        <v>2010</v>
      </c>
      <c r="I1455" t="s">
        <v>96</v>
      </c>
      <c r="J1455" t="s">
        <v>97</v>
      </c>
      <c r="K1455" t="s">
        <v>96</v>
      </c>
      <c r="L1455" t="s">
        <v>96</v>
      </c>
      <c r="M1455">
        <v>2715</v>
      </c>
      <c r="O1455" s="12" t="str">
        <f t="shared" si="58"/>
        <v>URA</v>
      </c>
      <c r="P1455" s="12" t="str">
        <f t="shared" si="59"/>
        <v>E_WON</v>
      </c>
    </row>
    <row r="1456" spans="1:16" x14ac:dyDescent="0.35">
      <c r="A1456" t="s">
        <v>95</v>
      </c>
      <c r="B1456" t="s">
        <v>81</v>
      </c>
      <c r="C1456" t="s">
        <v>45</v>
      </c>
      <c r="D1456" t="s">
        <v>1552</v>
      </c>
      <c r="E1456" t="s">
        <v>96</v>
      </c>
      <c r="F1456" t="s">
        <v>96</v>
      </c>
      <c r="G1456" t="s">
        <v>96</v>
      </c>
      <c r="H1456">
        <v>2010</v>
      </c>
      <c r="I1456" t="s">
        <v>96</v>
      </c>
      <c r="J1456" t="s">
        <v>97</v>
      </c>
      <c r="K1456" t="s">
        <v>96</v>
      </c>
      <c r="L1456" t="s">
        <v>96</v>
      </c>
      <c r="M1456">
        <v>2715</v>
      </c>
      <c r="O1456" s="12" t="str">
        <f t="shared" si="58"/>
        <v>URA</v>
      </c>
      <c r="P1456" s="12" t="str">
        <f t="shared" si="59"/>
        <v>E_WON</v>
      </c>
    </row>
    <row r="1457" spans="1:16" x14ac:dyDescent="0.35">
      <c r="A1457" t="s">
        <v>95</v>
      </c>
      <c r="B1457" t="s">
        <v>81</v>
      </c>
      <c r="C1457" t="s">
        <v>45</v>
      </c>
      <c r="D1457" t="s">
        <v>1553</v>
      </c>
      <c r="E1457" t="s">
        <v>96</v>
      </c>
      <c r="F1457" t="s">
        <v>96</v>
      </c>
      <c r="G1457" t="s">
        <v>96</v>
      </c>
      <c r="H1457">
        <v>2010</v>
      </c>
      <c r="I1457" t="s">
        <v>96</v>
      </c>
      <c r="J1457" t="s">
        <v>97</v>
      </c>
      <c r="K1457" t="s">
        <v>96</v>
      </c>
      <c r="L1457" t="s">
        <v>96</v>
      </c>
      <c r="M1457">
        <v>2715</v>
      </c>
      <c r="O1457" s="12" t="str">
        <f t="shared" si="58"/>
        <v>URA</v>
      </c>
      <c r="P1457" s="12" t="str">
        <f t="shared" si="59"/>
        <v>E_WON</v>
      </c>
    </row>
    <row r="1458" spans="1:16" x14ac:dyDescent="0.35">
      <c r="A1458" t="s">
        <v>95</v>
      </c>
      <c r="B1458" t="s">
        <v>81</v>
      </c>
      <c r="C1458" t="s">
        <v>45</v>
      </c>
      <c r="D1458" t="s">
        <v>1554</v>
      </c>
      <c r="E1458" t="s">
        <v>96</v>
      </c>
      <c r="F1458" t="s">
        <v>96</v>
      </c>
      <c r="G1458" t="s">
        <v>96</v>
      </c>
      <c r="H1458">
        <v>2010</v>
      </c>
      <c r="I1458" t="s">
        <v>96</v>
      </c>
      <c r="J1458" t="s">
        <v>97</v>
      </c>
      <c r="K1458" t="s">
        <v>96</v>
      </c>
      <c r="L1458" t="s">
        <v>96</v>
      </c>
      <c r="M1458">
        <v>2715</v>
      </c>
      <c r="O1458" s="12" t="str">
        <f t="shared" si="58"/>
        <v>URA</v>
      </c>
      <c r="P1458" s="12" t="str">
        <f t="shared" si="59"/>
        <v>E_WON</v>
      </c>
    </row>
    <row r="1459" spans="1:16" x14ac:dyDescent="0.35">
      <c r="A1459" t="s">
        <v>95</v>
      </c>
      <c r="B1459" t="s">
        <v>81</v>
      </c>
      <c r="C1459" t="s">
        <v>45</v>
      </c>
      <c r="D1459" t="s">
        <v>1555</v>
      </c>
      <c r="E1459" t="s">
        <v>96</v>
      </c>
      <c r="F1459" t="s">
        <v>96</v>
      </c>
      <c r="G1459" t="s">
        <v>96</v>
      </c>
      <c r="H1459">
        <v>2010</v>
      </c>
      <c r="I1459" t="s">
        <v>96</v>
      </c>
      <c r="J1459" t="s">
        <v>97</v>
      </c>
      <c r="K1459" t="s">
        <v>96</v>
      </c>
      <c r="L1459" t="s">
        <v>96</v>
      </c>
      <c r="M1459">
        <v>2715</v>
      </c>
      <c r="O1459" s="12" t="str">
        <f t="shared" si="58"/>
        <v>URA</v>
      </c>
      <c r="P1459" s="12" t="str">
        <f t="shared" si="59"/>
        <v>E_WON</v>
      </c>
    </row>
    <row r="1460" spans="1:16" x14ac:dyDescent="0.35">
      <c r="A1460" t="s">
        <v>95</v>
      </c>
      <c r="B1460" t="s">
        <v>81</v>
      </c>
      <c r="C1460" t="s">
        <v>45</v>
      </c>
      <c r="D1460" t="s">
        <v>1556</v>
      </c>
      <c r="E1460" t="s">
        <v>96</v>
      </c>
      <c r="F1460" t="s">
        <v>96</v>
      </c>
      <c r="G1460" t="s">
        <v>96</v>
      </c>
      <c r="H1460">
        <v>2010</v>
      </c>
      <c r="I1460" t="s">
        <v>96</v>
      </c>
      <c r="J1460" t="s">
        <v>97</v>
      </c>
      <c r="K1460" t="s">
        <v>96</v>
      </c>
      <c r="L1460" t="s">
        <v>96</v>
      </c>
      <c r="M1460">
        <v>2715</v>
      </c>
      <c r="O1460" s="12" t="str">
        <f t="shared" si="58"/>
        <v>URA</v>
      </c>
      <c r="P1460" s="12" t="str">
        <f t="shared" si="59"/>
        <v>E_WON</v>
      </c>
    </row>
    <row r="1461" spans="1:16" x14ac:dyDescent="0.35">
      <c r="A1461" t="s">
        <v>95</v>
      </c>
      <c r="B1461" t="s">
        <v>81</v>
      </c>
      <c r="C1461" t="s">
        <v>45</v>
      </c>
      <c r="D1461" t="s">
        <v>1557</v>
      </c>
      <c r="E1461" t="s">
        <v>96</v>
      </c>
      <c r="F1461" t="s">
        <v>96</v>
      </c>
      <c r="G1461" t="s">
        <v>96</v>
      </c>
      <c r="H1461">
        <v>2010</v>
      </c>
      <c r="I1461" t="s">
        <v>96</v>
      </c>
      <c r="J1461" t="s">
        <v>97</v>
      </c>
      <c r="K1461" t="s">
        <v>96</v>
      </c>
      <c r="L1461" t="s">
        <v>96</v>
      </c>
      <c r="M1461">
        <v>2715</v>
      </c>
      <c r="O1461" s="12" t="str">
        <f t="shared" si="58"/>
        <v>URA</v>
      </c>
      <c r="P1461" s="12" t="str">
        <f t="shared" si="59"/>
        <v>E_WON</v>
      </c>
    </row>
    <row r="1462" spans="1:16" x14ac:dyDescent="0.35">
      <c r="A1462" t="s">
        <v>95</v>
      </c>
      <c r="B1462" t="s">
        <v>81</v>
      </c>
      <c r="C1462" t="s">
        <v>45</v>
      </c>
      <c r="D1462" t="s">
        <v>1558</v>
      </c>
      <c r="E1462" t="s">
        <v>96</v>
      </c>
      <c r="F1462" t="s">
        <v>96</v>
      </c>
      <c r="G1462" t="s">
        <v>96</v>
      </c>
      <c r="H1462">
        <v>2010</v>
      </c>
      <c r="I1462" t="s">
        <v>96</v>
      </c>
      <c r="J1462" t="s">
        <v>97</v>
      </c>
      <c r="K1462" t="s">
        <v>96</v>
      </c>
      <c r="L1462" t="s">
        <v>96</v>
      </c>
      <c r="M1462">
        <v>2715</v>
      </c>
      <c r="O1462" s="12" t="str">
        <f t="shared" si="58"/>
        <v>URA</v>
      </c>
      <c r="P1462" s="12" t="str">
        <f t="shared" si="59"/>
        <v>E_WON</v>
      </c>
    </row>
    <row r="1463" spans="1:16" x14ac:dyDescent="0.35">
      <c r="A1463" t="s">
        <v>95</v>
      </c>
      <c r="B1463" t="s">
        <v>81</v>
      </c>
      <c r="C1463" t="s">
        <v>45</v>
      </c>
      <c r="D1463" t="s">
        <v>1559</v>
      </c>
      <c r="E1463" t="s">
        <v>96</v>
      </c>
      <c r="F1463" t="s">
        <v>96</v>
      </c>
      <c r="G1463" t="s">
        <v>96</v>
      </c>
      <c r="H1463">
        <v>2010</v>
      </c>
      <c r="I1463" t="s">
        <v>96</v>
      </c>
      <c r="J1463" t="s">
        <v>97</v>
      </c>
      <c r="K1463" t="s">
        <v>96</v>
      </c>
      <c r="L1463" t="s">
        <v>96</v>
      </c>
      <c r="M1463">
        <v>2715</v>
      </c>
      <c r="O1463" s="12" t="str">
        <f t="shared" si="58"/>
        <v>URA</v>
      </c>
      <c r="P1463" s="12" t="str">
        <f t="shared" si="59"/>
        <v>E_WON</v>
      </c>
    </row>
    <row r="1464" spans="1:16" x14ac:dyDescent="0.35">
      <c r="A1464" t="s">
        <v>95</v>
      </c>
      <c r="B1464" t="s">
        <v>81</v>
      </c>
      <c r="C1464" t="s">
        <v>45</v>
      </c>
      <c r="D1464" t="s">
        <v>1560</v>
      </c>
      <c r="E1464" t="s">
        <v>96</v>
      </c>
      <c r="F1464" t="s">
        <v>96</v>
      </c>
      <c r="G1464" t="s">
        <v>96</v>
      </c>
      <c r="H1464">
        <v>2010</v>
      </c>
      <c r="I1464" t="s">
        <v>96</v>
      </c>
      <c r="J1464" t="s">
        <v>97</v>
      </c>
      <c r="K1464" t="s">
        <v>96</v>
      </c>
      <c r="L1464" t="s">
        <v>96</v>
      </c>
      <c r="M1464">
        <v>2715</v>
      </c>
      <c r="O1464" s="12" t="str">
        <f t="shared" si="58"/>
        <v>URA</v>
      </c>
      <c r="P1464" s="12" t="str">
        <f t="shared" si="59"/>
        <v>E_WON</v>
      </c>
    </row>
    <row r="1465" spans="1:16" x14ac:dyDescent="0.35">
      <c r="A1465" t="s">
        <v>95</v>
      </c>
      <c r="B1465" t="s">
        <v>81</v>
      </c>
      <c r="C1465" t="s">
        <v>45</v>
      </c>
      <c r="D1465" t="s">
        <v>1561</v>
      </c>
      <c r="E1465" t="s">
        <v>96</v>
      </c>
      <c r="F1465" t="s">
        <v>96</v>
      </c>
      <c r="G1465" t="s">
        <v>96</v>
      </c>
      <c r="H1465">
        <v>2010</v>
      </c>
      <c r="I1465" t="s">
        <v>96</v>
      </c>
      <c r="J1465" t="s">
        <v>97</v>
      </c>
      <c r="K1465" t="s">
        <v>96</v>
      </c>
      <c r="L1465" t="s">
        <v>96</v>
      </c>
      <c r="M1465">
        <v>2715</v>
      </c>
      <c r="O1465" s="12" t="str">
        <f t="shared" si="58"/>
        <v>URA</v>
      </c>
      <c r="P1465" s="12" t="str">
        <f t="shared" si="59"/>
        <v>E_WON</v>
      </c>
    </row>
    <row r="1466" spans="1:16" x14ac:dyDescent="0.35">
      <c r="A1466" t="s">
        <v>95</v>
      </c>
      <c r="B1466" t="s">
        <v>81</v>
      </c>
      <c r="C1466" t="s">
        <v>45</v>
      </c>
      <c r="D1466" t="s">
        <v>1562</v>
      </c>
      <c r="E1466" t="s">
        <v>96</v>
      </c>
      <c r="F1466" t="s">
        <v>96</v>
      </c>
      <c r="G1466" t="s">
        <v>96</v>
      </c>
      <c r="H1466">
        <v>2010</v>
      </c>
      <c r="I1466" t="s">
        <v>96</v>
      </c>
      <c r="J1466" t="s">
        <v>97</v>
      </c>
      <c r="K1466" t="s">
        <v>96</v>
      </c>
      <c r="L1466" t="s">
        <v>96</v>
      </c>
      <c r="M1466">
        <v>2715</v>
      </c>
      <c r="O1466" s="12" t="str">
        <f t="shared" si="58"/>
        <v>URA</v>
      </c>
      <c r="P1466" s="12" t="str">
        <f t="shared" si="59"/>
        <v>E_WON</v>
      </c>
    </row>
    <row r="1467" spans="1:16" x14ac:dyDescent="0.35">
      <c r="A1467" t="s">
        <v>95</v>
      </c>
      <c r="B1467" t="s">
        <v>81</v>
      </c>
      <c r="C1467" t="s">
        <v>45</v>
      </c>
      <c r="D1467" t="s">
        <v>1563</v>
      </c>
      <c r="E1467" t="s">
        <v>96</v>
      </c>
      <c r="F1467" t="s">
        <v>96</v>
      </c>
      <c r="G1467" t="s">
        <v>96</v>
      </c>
      <c r="H1467">
        <v>2010</v>
      </c>
      <c r="I1467" t="s">
        <v>96</v>
      </c>
      <c r="J1467" t="s">
        <v>97</v>
      </c>
      <c r="K1467" t="s">
        <v>96</v>
      </c>
      <c r="L1467" t="s">
        <v>96</v>
      </c>
      <c r="M1467">
        <v>2715</v>
      </c>
      <c r="O1467" s="12" t="str">
        <f t="shared" si="58"/>
        <v>URA</v>
      </c>
      <c r="P1467" s="12" t="str">
        <f t="shared" si="59"/>
        <v>E_WON</v>
      </c>
    </row>
    <row r="1468" spans="1:16" x14ac:dyDescent="0.35">
      <c r="A1468" t="s">
        <v>95</v>
      </c>
      <c r="B1468" t="s">
        <v>81</v>
      </c>
      <c r="C1468" t="s">
        <v>45</v>
      </c>
      <c r="D1468" t="s">
        <v>1564</v>
      </c>
      <c r="E1468" t="s">
        <v>96</v>
      </c>
      <c r="F1468" t="s">
        <v>96</v>
      </c>
      <c r="G1468" t="s">
        <v>96</v>
      </c>
      <c r="H1468">
        <v>2010</v>
      </c>
      <c r="I1468" t="s">
        <v>96</v>
      </c>
      <c r="J1468" t="s">
        <v>97</v>
      </c>
      <c r="K1468" t="s">
        <v>96</v>
      </c>
      <c r="L1468" t="s">
        <v>96</v>
      </c>
      <c r="M1468">
        <v>2715</v>
      </c>
      <c r="O1468" s="12" t="str">
        <f t="shared" si="58"/>
        <v>URA</v>
      </c>
      <c r="P1468" s="12" t="str">
        <f t="shared" si="59"/>
        <v>E_WON</v>
      </c>
    </row>
    <row r="1469" spans="1:16" x14ac:dyDescent="0.35">
      <c r="A1469" t="s">
        <v>95</v>
      </c>
      <c r="B1469" t="s">
        <v>81</v>
      </c>
      <c r="C1469" t="s">
        <v>45</v>
      </c>
      <c r="D1469" t="s">
        <v>1565</v>
      </c>
      <c r="E1469" t="s">
        <v>96</v>
      </c>
      <c r="F1469" t="s">
        <v>96</v>
      </c>
      <c r="G1469" t="s">
        <v>96</v>
      </c>
      <c r="H1469">
        <v>2010</v>
      </c>
      <c r="I1469" t="s">
        <v>96</v>
      </c>
      <c r="J1469" t="s">
        <v>97</v>
      </c>
      <c r="K1469" t="s">
        <v>96</v>
      </c>
      <c r="L1469" t="s">
        <v>96</v>
      </c>
      <c r="M1469">
        <v>2715</v>
      </c>
      <c r="O1469" s="12" t="str">
        <f t="shared" si="58"/>
        <v>URA</v>
      </c>
      <c r="P1469" s="12" t="str">
        <f t="shared" si="59"/>
        <v>E_WON</v>
      </c>
    </row>
    <row r="1470" spans="1:16" x14ac:dyDescent="0.35">
      <c r="A1470" t="s">
        <v>95</v>
      </c>
      <c r="B1470" t="s">
        <v>81</v>
      </c>
      <c r="C1470" t="s">
        <v>45</v>
      </c>
      <c r="D1470" t="s">
        <v>1566</v>
      </c>
      <c r="E1470" t="s">
        <v>96</v>
      </c>
      <c r="F1470" t="s">
        <v>96</v>
      </c>
      <c r="G1470" t="s">
        <v>96</v>
      </c>
      <c r="H1470">
        <v>2010</v>
      </c>
      <c r="I1470" t="s">
        <v>96</v>
      </c>
      <c r="J1470" t="s">
        <v>97</v>
      </c>
      <c r="K1470" t="s">
        <v>96</v>
      </c>
      <c r="L1470" t="s">
        <v>96</v>
      </c>
      <c r="M1470">
        <v>2715</v>
      </c>
      <c r="O1470" s="12" t="str">
        <f t="shared" si="58"/>
        <v>URA</v>
      </c>
      <c r="P1470" s="12" t="str">
        <f t="shared" si="59"/>
        <v>E_WON</v>
      </c>
    </row>
    <row r="1471" spans="1:16" x14ac:dyDescent="0.35">
      <c r="A1471" t="s">
        <v>95</v>
      </c>
      <c r="B1471" t="s">
        <v>82</v>
      </c>
      <c r="C1471" t="s">
        <v>45</v>
      </c>
      <c r="D1471" t="s">
        <v>1567</v>
      </c>
      <c r="E1471" t="s">
        <v>96</v>
      </c>
      <c r="F1471" t="s">
        <v>96</v>
      </c>
      <c r="G1471" t="s">
        <v>96</v>
      </c>
      <c r="H1471">
        <v>2010</v>
      </c>
      <c r="I1471" t="s">
        <v>96</v>
      </c>
      <c r="J1471" t="s">
        <v>97</v>
      </c>
      <c r="K1471" t="s">
        <v>96</v>
      </c>
      <c r="L1471" t="s">
        <v>96</v>
      </c>
      <c r="M1471">
        <v>2555</v>
      </c>
      <c r="O1471" s="12" t="str">
        <f t="shared" si="58"/>
        <v>USA</v>
      </c>
      <c r="P1471" s="12" t="str">
        <f t="shared" si="59"/>
        <v>E_WON</v>
      </c>
    </row>
    <row r="1472" spans="1:16" x14ac:dyDescent="0.35">
      <c r="A1472" t="s">
        <v>95</v>
      </c>
      <c r="B1472" t="s">
        <v>82</v>
      </c>
      <c r="C1472" t="s">
        <v>45</v>
      </c>
      <c r="D1472" t="s">
        <v>1568</v>
      </c>
      <c r="E1472" t="s">
        <v>96</v>
      </c>
      <c r="F1472" t="s">
        <v>96</v>
      </c>
      <c r="G1472" t="s">
        <v>96</v>
      </c>
      <c r="H1472">
        <v>2010</v>
      </c>
      <c r="I1472" t="s">
        <v>96</v>
      </c>
      <c r="J1472" t="s">
        <v>97</v>
      </c>
      <c r="K1472" t="s">
        <v>96</v>
      </c>
      <c r="L1472" t="s">
        <v>96</v>
      </c>
      <c r="M1472">
        <v>2555</v>
      </c>
      <c r="O1472" s="12" t="str">
        <f t="shared" si="58"/>
        <v>USA</v>
      </c>
      <c r="P1472" s="12" t="str">
        <f t="shared" si="59"/>
        <v>E_WON</v>
      </c>
    </row>
    <row r="1473" spans="1:16" x14ac:dyDescent="0.35">
      <c r="A1473" t="s">
        <v>95</v>
      </c>
      <c r="B1473" t="s">
        <v>82</v>
      </c>
      <c r="C1473" t="s">
        <v>45</v>
      </c>
      <c r="D1473" t="s">
        <v>1569</v>
      </c>
      <c r="E1473" t="s">
        <v>96</v>
      </c>
      <c r="F1473" t="s">
        <v>96</v>
      </c>
      <c r="G1473" t="s">
        <v>96</v>
      </c>
      <c r="H1473">
        <v>2010</v>
      </c>
      <c r="I1473" t="s">
        <v>96</v>
      </c>
      <c r="J1473" t="s">
        <v>97</v>
      </c>
      <c r="K1473" t="s">
        <v>96</v>
      </c>
      <c r="L1473" t="s">
        <v>96</v>
      </c>
      <c r="M1473">
        <v>2555</v>
      </c>
      <c r="O1473" s="12" t="str">
        <f t="shared" si="58"/>
        <v>USA</v>
      </c>
      <c r="P1473" s="12" t="str">
        <f t="shared" si="59"/>
        <v>E_WON</v>
      </c>
    </row>
    <row r="1474" spans="1:16" x14ac:dyDescent="0.35">
      <c r="A1474" t="s">
        <v>95</v>
      </c>
      <c r="B1474" t="s">
        <v>82</v>
      </c>
      <c r="C1474" t="s">
        <v>45</v>
      </c>
      <c r="D1474" t="s">
        <v>1570</v>
      </c>
      <c r="E1474" t="s">
        <v>96</v>
      </c>
      <c r="F1474" t="s">
        <v>96</v>
      </c>
      <c r="G1474" t="s">
        <v>96</v>
      </c>
      <c r="H1474">
        <v>2010</v>
      </c>
      <c r="I1474" t="s">
        <v>96</v>
      </c>
      <c r="J1474" t="s">
        <v>97</v>
      </c>
      <c r="K1474" t="s">
        <v>96</v>
      </c>
      <c r="L1474" t="s">
        <v>96</v>
      </c>
      <c r="M1474">
        <v>2555</v>
      </c>
      <c r="O1474" s="12" t="str">
        <f t="shared" si="58"/>
        <v>USA</v>
      </c>
      <c r="P1474" s="12" t="str">
        <f t="shared" si="59"/>
        <v>E_WON</v>
      </c>
    </row>
    <row r="1475" spans="1:16" x14ac:dyDescent="0.35">
      <c r="A1475" t="s">
        <v>95</v>
      </c>
      <c r="B1475" t="s">
        <v>82</v>
      </c>
      <c r="C1475" t="s">
        <v>45</v>
      </c>
      <c r="D1475" t="s">
        <v>1571</v>
      </c>
      <c r="E1475" t="s">
        <v>96</v>
      </c>
      <c r="F1475" t="s">
        <v>96</v>
      </c>
      <c r="G1475" t="s">
        <v>96</v>
      </c>
      <c r="H1475">
        <v>2010</v>
      </c>
      <c r="I1475" t="s">
        <v>96</v>
      </c>
      <c r="J1475" t="s">
        <v>97</v>
      </c>
      <c r="K1475" t="s">
        <v>96</v>
      </c>
      <c r="L1475" t="s">
        <v>96</v>
      </c>
      <c r="M1475">
        <v>2555</v>
      </c>
      <c r="O1475" s="12" t="str">
        <f t="shared" ref="O1475:O1538" si="60">LEFT(B1475,3)</f>
        <v>USA</v>
      </c>
      <c r="P1475" s="12" t="str">
        <f t="shared" ref="P1475:P1538" si="61">LEFT(D1475,5)</f>
        <v>E_WON</v>
      </c>
    </row>
    <row r="1476" spans="1:16" x14ac:dyDescent="0.35">
      <c r="A1476" t="s">
        <v>95</v>
      </c>
      <c r="B1476" t="s">
        <v>82</v>
      </c>
      <c r="C1476" t="s">
        <v>45</v>
      </c>
      <c r="D1476" t="s">
        <v>1572</v>
      </c>
      <c r="E1476" t="s">
        <v>96</v>
      </c>
      <c r="F1476" t="s">
        <v>96</v>
      </c>
      <c r="G1476" t="s">
        <v>96</v>
      </c>
      <c r="H1476">
        <v>2010</v>
      </c>
      <c r="I1476" t="s">
        <v>96</v>
      </c>
      <c r="J1476" t="s">
        <v>97</v>
      </c>
      <c r="K1476" t="s">
        <v>96</v>
      </c>
      <c r="L1476" t="s">
        <v>96</v>
      </c>
      <c r="M1476">
        <v>1460</v>
      </c>
      <c r="O1476" s="12" t="str">
        <f t="shared" si="60"/>
        <v>USA</v>
      </c>
      <c r="P1476" s="12" t="str">
        <f t="shared" si="61"/>
        <v>E_WON</v>
      </c>
    </row>
    <row r="1477" spans="1:16" x14ac:dyDescent="0.35">
      <c r="A1477" t="s">
        <v>95</v>
      </c>
      <c r="B1477" t="s">
        <v>82</v>
      </c>
      <c r="C1477" t="s">
        <v>45</v>
      </c>
      <c r="D1477" t="s">
        <v>1573</v>
      </c>
      <c r="E1477" t="s">
        <v>96</v>
      </c>
      <c r="F1477" t="s">
        <v>96</v>
      </c>
      <c r="G1477" t="s">
        <v>96</v>
      </c>
      <c r="H1477">
        <v>2010</v>
      </c>
      <c r="I1477" t="s">
        <v>96</v>
      </c>
      <c r="J1477" t="s">
        <v>97</v>
      </c>
      <c r="K1477" t="s">
        <v>96</v>
      </c>
      <c r="L1477" t="s">
        <v>96</v>
      </c>
      <c r="M1477">
        <v>1460</v>
      </c>
      <c r="O1477" s="12" t="str">
        <f t="shared" si="60"/>
        <v>USA</v>
      </c>
      <c r="P1477" s="12" t="str">
        <f t="shared" si="61"/>
        <v>E_WON</v>
      </c>
    </row>
    <row r="1478" spans="1:16" x14ac:dyDescent="0.35">
      <c r="A1478" t="s">
        <v>95</v>
      </c>
      <c r="B1478" t="s">
        <v>82</v>
      </c>
      <c r="C1478" t="s">
        <v>45</v>
      </c>
      <c r="D1478" t="s">
        <v>1574</v>
      </c>
      <c r="E1478" t="s">
        <v>96</v>
      </c>
      <c r="F1478" t="s">
        <v>96</v>
      </c>
      <c r="G1478" t="s">
        <v>96</v>
      </c>
      <c r="H1478">
        <v>2010</v>
      </c>
      <c r="I1478" t="s">
        <v>96</v>
      </c>
      <c r="J1478" t="s">
        <v>97</v>
      </c>
      <c r="K1478" t="s">
        <v>96</v>
      </c>
      <c r="L1478" t="s">
        <v>96</v>
      </c>
      <c r="M1478">
        <v>1460</v>
      </c>
      <c r="O1478" s="12" t="str">
        <f t="shared" si="60"/>
        <v>USA</v>
      </c>
      <c r="P1478" s="12" t="str">
        <f t="shared" si="61"/>
        <v>E_WON</v>
      </c>
    </row>
    <row r="1479" spans="1:16" x14ac:dyDescent="0.35">
      <c r="A1479" t="s">
        <v>95</v>
      </c>
      <c r="B1479" t="s">
        <v>82</v>
      </c>
      <c r="C1479" t="s">
        <v>45</v>
      </c>
      <c r="D1479" t="s">
        <v>1575</v>
      </c>
      <c r="E1479" t="s">
        <v>96</v>
      </c>
      <c r="F1479" t="s">
        <v>96</v>
      </c>
      <c r="G1479" t="s">
        <v>96</v>
      </c>
      <c r="H1479">
        <v>2010</v>
      </c>
      <c r="I1479" t="s">
        <v>96</v>
      </c>
      <c r="J1479" t="s">
        <v>97</v>
      </c>
      <c r="K1479" t="s">
        <v>96</v>
      </c>
      <c r="L1479" t="s">
        <v>96</v>
      </c>
      <c r="M1479">
        <v>1460</v>
      </c>
      <c r="O1479" s="12" t="str">
        <f t="shared" si="60"/>
        <v>USA</v>
      </c>
      <c r="P1479" s="12" t="str">
        <f t="shared" si="61"/>
        <v>E_WON</v>
      </c>
    </row>
    <row r="1480" spans="1:16" x14ac:dyDescent="0.35">
      <c r="A1480" t="s">
        <v>95</v>
      </c>
      <c r="B1480" t="s">
        <v>82</v>
      </c>
      <c r="C1480" t="s">
        <v>45</v>
      </c>
      <c r="D1480" t="s">
        <v>1576</v>
      </c>
      <c r="E1480" t="s">
        <v>96</v>
      </c>
      <c r="F1480" t="s">
        <v>96</v>
      </c>
      <c r="G1480" t="s">
        <v>96</v>
      </c>
      <c r="H1480">
        <v>2010</v>
      </c>
      <c r="I1480" t="s">
        <v>96</v>
      </c>
      <c r="J1480" t="s">
        <v>97</v>
      </c>
      <c r="K1480" t="s">
        <v>96</v>
      </c>
      <c r="L1480" t="s">
        <v>96</v>
      </c>
      <c r="M1480">
        <v>1460</v>
      </c>
      <c r="O1480" s="12" t="str">
        <f t="shared" si="60"/>
        <v>USA</v>
      </c>
      <c r="P1480" s="12" t="str">
        <f t="shared" si="61"/>
        <v>E_WON</v>
      </c>
    </row>
    <row r="1481" spans="1:16" x14ac:dyDescent="0.35">
      <c r="A1481" t="s">
        <v>95</v>
      </c>
      <c r="B1481" t="s">
        <v>82</v>
      </c>
      <c r="C1481" t="s">
        <v>45</v>
      </c>
      <c r="D1481" t="s">
        <v>1577</v>
      </c>
      <c r="E1481" t="s">
        <v>96</v>
      </c>
      <c r="F1481" t="s">
        <v>96</v>
      </c>
      <c r="G1481" t="s">
        <v>96</v>
      </c>
      <c r="H1481">
        <v>2010</v>
      </c>
      <c r="I1481" t="s">
        <v>96</v>
      </c>
      <c r="J1481" t="s">
        <v>97</v>
      </c>
      <c r="K1481" t="s">
        <v>96</v>
      </c>
      <c r="L1481" t="s">
        <v>96</v>
      </c>
      <c r="M1481">
        <v>1460</v>
      </c>
      <c r="O1481" s="12" t="str">
        <f t="shared" si="60"/>
        <v>USA</v>
      </c>
      <c r="P1481" s="12" t="str">
        <f t="shared" si="61"/>
        <v>E_WON</v>
      </c>
    </row>
    <row r="1482" spans="1:16" x14ac:dyDescent="0.35">
      <c r="A1482" t="s">
        <v>95</v>
      </c>
      <c r="B1482" t="s">
        <v>82</v>
      </c>
      <c r="C1482" t="s">
        <v>45</v>
      </c>
      <c r="D1482" t="s">
        <v>1578</v>
      </c>
      <c r="E1482" t="s">
        <v>96</v>
      </c>
      <c r="F1482" t="s">
        <v>96</v>
      </c>
      <c r="G1482" t="s">
        <v>96</v>
      </c>
      <c r="H1482">
        <v>2010</v>
      </c>
      <c r="I1482" t="s">
        <v>96</v>
      </c>
      <c r="J1482" t="s">
        <v>97</v>
      </c>
      <c r="K1482" t="s">
        <v>96</v>
      </c>
      <c r="L1482" t="s">
        <v>96</v>
      </c>
      <c r="M1482">
        <v>1460</v>
      </c>
      <c r="O1482" s="12" t="str">
        <f t="shared" si="60"/>
        <v>USA</v>
      </c>
      <c r="P1482" s="12" t="str">
        <f t="shared" si="61"/>
        <v>E_WON</v>
      </c>
    </row>
    <row r="1483" spans="1:16" x14ac:dyDescent="0.35">
      <c r="A1483" t="s">
        <v>95</v>
      </c>
      <c r="B1483" t="s">
        <v>82</v>
      </c>
      <c r="C1483" t="s">
        <v>45</v>
      </c>
      <c r="D1483" t="s">
        <v>1579</v>
      </c>
      <c r="E1483" t="s">
        <v>96</v>
      </c>
      <c r="F1483" t="s">
        <v>96</v>
      </c>
      <c r="G1483" t="s">
        <v>96</v>
      </c>
      <c r="H1483">
        <v>2010</v>
      </c>
      <c r="I1483" t="s">
        <v>96</v>
      </c>
      <c r="J1483" t="s">
        <v>97</v>
      </c>
      <c r="K1483" t="s">
        <v>96</v>
      </c>
      <c r="L1483" t="s">
        <v>96</v>
      </c>
      <c r="M1483">
        <v>2190</v>
      </c>
      <c r="O1483" s="12" t="str">
        <f t="shared" si="60"/>
        <v>USA</v>
      </c>
      <c r="P1483" s="12" t="str">
        <f t="shared" si="61"/>
        <v>E_WON</v>
      </c>
    </row>
    <row r="1484" spans="1:16" x14ac:dyDescent="0.35">
      <c r="A1484" t="s">
        <v>95</v>
      </c>
      <c r="B1484" t="s">
        <v>82</v>
      </c>
      <c r="C1484" t="s">
        <v>45</v>
      </c>
      <c r="D1484" t="s">
        <v>1580</v>
      </c>
      <c r="E1484" t="s">
        <v>96</v>
      </c>
      <c r="F1484" t="s">
        <v>96</v>
      </c>
      <c r="G1484" t="s">
        <v>96</v>
      </c>
      <c r="H1484">
        <v>2010</v>
      </c>
      <c r="I1484" t="s">
        <v>96</v>
      </c>
      <c r="J1484" t="s">
        <v>97</v>
      </c>
      <c r="K1484" t="s">
        <v>96</v>
      </c>
      <c r="L1484" t="s">
        <v>96</v>
      </c>
      <c r="M1484">
        <v>2190</v>
      </c>
      <c r="O1484" s="12" t="str">
        <f t="shared" si="60"/>
        <v>USA</v>
      </c>
      <c r="P1484" s="12" t="str">
        <f t="shared" si="61"/>
        <v>E_WON</v>
      </c>
    </row>
    <row r="1485" spans="1:16" x14ac:dyDescent="0.35">
      <c r="A1485" t="s">
        <v>95</v>
      </c>
      <c r="B1485" t="s">
        <v>82</v>
      </c>
      <c r="C1485" t="s">
        <v>45</v>
      </c>
      <c r="D1485" t="s">
        <v>1581</v>
      </c>
      <c r="E1485" t="s">
        <v>96</v>
      </c>
      <c r="F1485" t="s">
        <v>96</v>
      </c>
      <c r="G1485" t="s">
        <v>96</v>
      </c>
      <c r="H1485">
        <v>2010</v>
      </c>
      <c r="I1485" t="s">
        <v>96</v>
      </c>
      <c r="J1485" t="s">
        <v>97</v>
      </c>
      <c r="K1485" t="s">
        <v>96</v>
      </c>
      <c r="L1485" t="s">
        <v>96</v>
      </c>
      <c r="M1485">
        <v>2190</v>
      </c>
      <c r="O1485" s="12" t="str">
        <f t="shared" si="60"/>
        <v>USA</v>
      </c>
      <c r="P1485" s="12" t="str">
        <f t="shared" si="61"/>
        <v>E_WON</v>
      </c>
    </row>
    <row r="1486" spans="1:16" x14ac:dyDescent="0.35">
      <c r="A1486" t="s">
        <v>95</v>
      </c>
      <c r="B1486" t="s">
        <v>82</v>
      </c>
      <c r="C1486" t="s">
        <v>45</v>
      </c>
      <c r="D1486" t="s">
        <v>1582</v>
      </c>
      <c r="E1486" t="s">
        <v>96</v>
      </c>
      <c r="F1486" t="s">
        <v>96</v>
      </c>
      <c r="G1486" t="s">
        <v>96</v>
      </c>
      <c r="H1486">
        <v>2010</v>
      </c>
      <c r="I1486" t="s">
        <v>96</v>
      </c>
      <c r="J1486" t="s">
        <v>97</v>
      </c>
      <c r="K1486" t="s">
        <v>96</v>
      </c>
      <c r="L1486" t="s">
        <v>96</v>
      </c>
      <c r="M1486">
        <v>2190</v>
      </c>
      <c r="O1486" s="12" t="str">
        <f t="shared" si="60"/>
        <v>USA</v>
      </c>
      <c r="P1486" s="12" t="str">
        <f t="shared" si="61"/>
        <v>E_WON</v>
      </c>
    </row>
    <row r="1487" spans="1:16" x14ac:dyDescent="0.35">
      <c r="A1487" t="s">
        <v>95</v>
      </c>
      <c r="B1487" t="s">
        <v>82</v>
      </c>
      <c r="C1487" t="s">
        <v>45</v>
      </c>
      <c r="D1487" t="s">
        <v>1583</v>
      </c>
      <c r="E1487" t="s">
        <v>96</v>
      </c>
      <c r="F1487" t="s">
        <v>96</v>
      </c>
      <c r="G1487" t="s">
        <v>96</v>
      </c>
      <c r="H1487">
        <v>2010</v>
      </c>
      <c r="I1487" t="s">
        <v>96</v>
      </c>
      <c r="J1487" t="s">
        <v>97</v>
      </c>
      <c r="K1487" t="s">
        <v>96</v>
      </c>
      <c r="L1487" t="s">
        <v>96</v>
      </c>
      <c r="M1487">
        <v>2190</v>
      </c>
      <c r="O1487" s="12" t="str">
        <f t="shared" si="60"/>
        <v>USA</v>
      </c>
      <c r="P1487" s="12" t="str">
        <f t="shared" si="61"/>
        <v>E_WON</v>
      </c>
    </row>
    <row r="1488" spans="1:16" x14ac:dyDescent="0.35">
      <c r="A1488" t="s">
        <v>95</v>
      </c>
      <c r="B1488" t="s">
        <v>82</v>
      </c>
      <c r="C1488" t="s">
        <v>45</v>
      </c>
      <c r="D1488" t="s">
        <v>1584</v>
      </c>
      <c r="E1488" t="s">
        <v>96</v>
      </c>
      <c r="F1488" t="s">
        <v>96</v>
      </c>
      <c r="G1488" t="s">
        <v>96</v>
      </c>
      <c r="H1488">
        <v>2010</v>
      </c>
      <c r="I1488" t="s">
        <v>96</v>
      </c>
      <c r="J1488" t="s">
        <v>97</v>
      </c>
      <c r="K1488" t="s">
        <v>96</v>
      </c>
      <c r="L1488" t="s">
        <v>96</v>
      </c>
      <c r="M1488">
        <v>2190</v>
      </c>
      <c r="O1488" s="12" t="str">
        <f t="shared" si="60"/>
        <v>USA</v>
      </c>
      <c r="P1488" s="12" t="str">
        <f t="shared" si="61"/>
        <v>E_WON</v>
      </c>
    </row>
    <row r="1489" spans="1:16" x14ac:dyDescent="0.35">
      <c r="A1489" t="s">
        <v>95</v>
      </c>
      <c r="B1489" t="s">
        <v>82</v>
      </c>
      <c r="C1489" t="s">
        <v>45</v>
      </c>
      <c r="D1489" t="s">
        <v>1585</v>
      </c>
      <c r="E1489" t="s">
        <v>96</v>
      </c>
      <c r="F1489" t="s">
        <v>96</v>
      </c>
      <c r="G1489" t="s">
        <v>96</v>
      </c>
      <c r="H1489">
        <v>2010</v>
      </c>
      <c r="I1489" t="s">
        <v>96</v>
      </c>
      <c r="J1489" t="s">
        <v>97</v>
      </c>
      <c r="K1489" t="s">
        <v>96</v>
      </c>
      <c r="L1489" t="s">
        <v>96</v>
      </c>
      <c r="M1489">
        <v>2190</v>
      </c>
      <c r="O1489" s="12" t="str">
        <f t="shared" si="60"/>
        <v>USA</v>
      </c>
      <c r="P1489" s="12" t="str">
        <f t="shared" si="61"/>
        <v>E_WON</v>
      </c>
    </row>
    <row r="1490" spans="1:16" x14ac:dyDescent="0.35">
      <c r="A1490" t="s">
        <v>2383</v>
      </c>
      <c r="B1490" t="s">
        <v>3110</v>
      </c>
      <c r="C1490" t="s">
        <v>45</v>
      </c>
      <c r="D1490" t="s">
        <v>32</v>
      </c>
      <c r="E1490" t="s">
        <v>96</v>
      </c>
      <c r="F1490" t="s">
        <v>96</v>
      </c>
      <c r="G1490" t="s">
        <v>96</v>
      </c>
      <c r="H1490">
        <v>2010</v>
      </c>
      <c r="I1490" t="s">
        <v>96</v>
      </c>
      <c r="J1490" t="s">
        <v>2382</v>
      </c>
      <c r="K1490" t="s">
        <v>96</v>
      </c>
      <c r="L1490" t="s">
        <v>96</v>
      </c>
      <c r="M1490">
        <v>3011.6188355904783</v>
      </c>
      <c r="O1490" s="12" t="str">
        <f t="shared" si="60"/>
        <v>AFR</v>
      </c>
      <c r="P1490" s="12" t="str">
        <f t="shared" si="61"/>
        <v>EN_CO</v>
      </c>
    </row>
    <row r="1491" spans="1:16" x14ac:dyDescent="0.35">
      <c r="A1491" t="s">
        <v>2383</v>
      </c>
      <c r="B1491" t="s">
        <v>3110</v>
      </c>
      <c r="C1491" t="s">
        <v>45</v>
      </c>
      <c r="D1491" t="s">
        <v>31</v>
      </c>
      <c r="E1491" t="s">
        <v>96</v>
      </c>
      <c r="F1491" t="s">
        <v>96</v>
      </c>
      <c r="G1491" t="s">
        <v>96</v>
      </c>
      <c r="H1491">
        <v>2010</v>
      </c>
      <c r="I1491" t="s">
        <v>96</v>
      </c>
      <c r="J1491" t="s">
        <v>2382</v>
      </c>
      <c r="K1491" t="s">
        <v>96</v>
      </c>
      <c r="L1491" t="s">
        <v>96</v>
      </c>
      <c r="M1491">
        <v>1496.0993831573144</v>
      </c>
      <c r="O1491" s="12" t="str">
        <f t="shared" si="60"/>
        <v>AFR</v>
      </c>
      <c r="P1491" s="12" t="str">
        <f t="shared" si="61"/>
        <v>EN_CO</v>
      </c>
    </row>
    <row r="1492" spans="1:16" x14ac:dyDescent="0.35">
      <c r="A1492" t="s">
        <v>2383</v>
      </c>
      <c r="B1492" t="s">
        <v>3110</v>
      </c>
      <c r="C1492" t="s">
        <v>45</v>
      </c>
      <c r="D1492" t="s">
        <v>33</v>
      </c>
      <c r="E1492" t="s">
        <v>96</v>
      </c>
      <c r="F1492" t="s">
        <v>96</v>
      </c>
      <c r="G1492" t="s">
        <v>96</v>
      </c>
      <c r="H1492">
        <v>2019</v>
      </c>
      <c r="I1492" t="s">
        <v>96</v>
      </c>
      <c r="J1492" t="s">
        <v>3112</v>
      </c>
      <c r="K1492" t="s">
        <v>96</v>
      </c>
      <c r="L1492" t="s">
        <v>96</v>
      </c>
      <c r="M1492">
        <v>4629.788274226069</v>
      </c>
      <c r="O1492" s="12" t="str">
        <f t="shared" si="60"/>
        <v>AFR</v>
      </c>
      <c r="P1492" s="12" t="str">
        <f t="shared" si="61"/>
        <v>EN_ZC</v>
      </c>
    </row>
    <row r="1493" spans="1:16" x14ac:dyDescent="0.35">
      <c r="A1493" t="s">
        <v>2383</v>
      </c>
      <c r="B1493" t="s">
        <v>3110</v>
      </c>
      <c r="C1493" t="s">
        <v>45</v>
      </c>
      <c r="D1493" t="s">
        <v>33</v>
      </c>
      <c r="E1493" t="s">
        <v>96</v>
      </c>
      <c r="F1493" t="s">
        <v>96</v>
      </c>
      <c r="G1493" t="s">
        <v>96</v>
      </c>
      <c r="H1493">
        <v>2020</v>
      </c>
      <c r="I1493" t="s">
        <v>96</v>
      </c>
      <c r="J1493" t="s">
        <v>3112</v>
      </c>
      <c r="K1493" t="s">
        <v>96</v>
      </c>
      <c r="L1493" t="s">
        <v>96</v>
      </c>
      <c r="M1493">
        <v>4577.8659924134381</v>
      </c>
      <c r="O1493" s="12" t="str">
        <f t="shared" si="60"/>
        <v>AFR</v>
      </c>
      <c r="P1493" s="12" t="str">
        <f t="shared" si="61"/>
        <v>EN_ZC</v>
      </c>
    </row>
    <row r="1494" spans="1:16" x14ac:dyDescent="0.35">
      <c r="A1494" t="s">
        <v>2383</v>
      </c>
      <c r="B1494" t="s">
        <v>3110</v>
      </c>
      <c r="C1494" t="s">
        <v>45</v>
      </c>
      <c r="D1494" t="s">
        <v>33</v>
      </c>
      <c r="E1494" t="s">
        <v>96</v>
      </c>
      <c r="F1494" t="s">
        <v>96</v>
      </c>
      <c r="G1494" t="s">
        <v>96</v>
      </c>
      <c r="H1494">
        <v>2021</v>
      </c>
      <c r="I1494" t="s">
        <v>96</v>
      </c>
      <c r="J1494" t="s">
        <v>3112</v>
      </c>
      <c r="K1494" t="s">
        <v>96</v>
      </c>
      <c r="L1494" t="s">
        <v>96</v>
      </c>
      <c r="M1494">
        <v>4465.9344621995933</v>
      </c>
      <c r="O1494" s="12" t="str">
        <f t="shared" si="60"/>
        <v>AFR</v>
      </c>
      <c r="P1494" s="12" t="str">
        <f t="shared" si="61"/>
        <v>EN_ZC</v>
      </c>
    </row>
    <row r="1495" spans="1:16" x14ac:dyDescent="0.35">
      <c r="A1495" t="s">
        <v>2383</v>
      </c>
      <c r="B1495" t="s">
        <v>3110</v>
      </c>
      <c r="C1495" t="s">
        <v>45</v>
      </c>
      <c r="D1495" t="s">
        <v>33</v>
      </c>
      <c r="E1495" t="s">
        <v>96</v>
      </c>
      <c r="F1495" t="s">
        <v>96</v>
      </c>
      <c r="G1495" t="s">
        <v>96</v>
      </c>
      <c r="H1495">
        <v>2022</v>
      </c>
      <c r="I1495" t="s">
        <v>96</v>
      </c>
      <c r="J1495" t="s">
        <v>3112</v>
      </c>
      <c r="K1495" t="s">
        <v>96</v>
      </c>
      <c r="L1495" t="s">
        <v>96</v>
      </c>
      <c r="M1495">
        <v>4396.378251079429</v>
      </c>
      <c r="O1495" s="12" t="str">
        <f t="shared" si="60"/>
        <v>AFR</v>
      </c>
      <c r="P1495" s="12" t="str">
        <f t="shared" si="61"/>
        <v>EN_ZC</v>
      </c>
    </row>
    <row r="1496" spans="1:16" x14ac:dyDescent="0.35">
      <c r="A1496" t="s">
        <v>2383</v>
      </c>
      <c r="B1496" t="s">
        <v>3110</v>
      </c>
      <c r="C1496" t="s">
        <v>45</v>
      </c>
      <c r="D1496" t="s">
        <v>33</v>
      </c>
      <c r="E1496" t="s">
        <v>96</v>
      </c>
      <c r="F1496" t="s">
        <v>96</v>
      </c>
      <c r="G1496" t="s">
        <v>96</v>
      </c>
      <c r="H1496">
        <v>2023</v>
      </c>
      <c r="I1496" t="s">
        <v>96</v>
      </c>
      <c r="J1496" t="s">
        <v>3112</v>
      </c>
      <c r="K1496" t="s">
        <v>96</v>
      </c>
      <c r="L1496" t="s">
        <v>96</v>
      </c>
      <c r="M1496">
        <v>4347.1733732688417</v>
      </c>
      <c r="O1496" s="12" t="str">
        <f t="shared" si="60"/>
        <v>AFR</v>
      </c>
      <c r="P1496" s="12" t="str">
        <f t="shared" si="61"/>
        <v>EN_ZC</v>
      </c>
    </row>
    <row r="1497" spans="1:16" x14ac:dyDescent="0.35">
      <c r="A1497" t="s">
        <v>2383</v>
      </c>
      <c r="B1497" t="s">
        <v>3110</v>
      </c>
      <c r="C1497" t="s">
        <v>45</v>
      </c>
      <c r="D1497" t="s">
        <v>33</v>
      </c>
      <c r="E1497" t="s">
        <v>96</v>
      </c>
      <c r="F1497" t="s">
        <v>96</v>
      </c>
      <c r="G1497" t="s">
        <v>96</v>
      </c>
      <c r="H1497">
        <v>2024</v>
      </c>
      <c r="I1497" t="s">
        <v>96</v>
      </c>
      <c r="J1497" t="s">
        <v>3112</v>
      </c>
      <c r="K1497" t="s">
        <v>96</v>
      </c>
      <c r="L1497" t="s">
        <v>96</v>
      </c>
      <c r="M1497">
        <v>4307.5347909470484</v>
      </c>
      <c r="O1497" s="12" t="str">
        <f t="shared" si="60"/>
        <v>AFR</v>
      </c>
      <c r="P1497" s="12" t="str">
        <f t="shared" si="61"/>
        <v>EN_ZC</v>
      </c>
    </row>
    <row r="1498" spans="1:16" x14ac:dyDescent="0.35">
      <c r="A1498" t="s">
        <v>2383</v>
      </c>
      <c r="B1498" t="s">
        <v>3110</v>
      </c>
      <c r="C1498" t="s">
        <v>45</v>
      </c>
      <c r="D1498" t="s">
        <v>33</v>
      </c>
      <c r="E1498" t="s">
        <v>96</v>
      </c>
      <c r="F1498" t="s">
        <v>96</v>
      </c>
      <c r="G1498" t="s">
        <v>96</v>
      </c>
      <c r="H1498">
        <v>2025</v>
      </c>
      <c r="I1498" t="s">
        <v>96</v>
      </c>
      <c r="J1498" t="s">
        <v>3112</v>
      </c>
      <c r="K1498" t="s">
        <v>96</v>
      </c>
      <c r="L1498" t="s">
        <v>96</v>
      </c>
      <c r="M1498">
        <v>4275.2582120162961</v>
      </c>
      <c r="O1498" s="12" t="str">
        <f t="shared" si="60"/>
        <v>AFR</v>
      </c>
      <c r="P1498" s="12" t="str">
        <f t="shared" si="61"/>
        <v>EN_ZC</v>
      </c>
    </row>
    <row r="1499" spans="1:16" x14ac:dyDescent="0.35">
      <c r="A1499" t="s">
        <v>2383</v>
      </c>
      <c r="B1499" t="s">
        <v>3110</v>
      </c>
      <c r="C1499" t="s">
        <v>45</v>
      </c>
      <c r="D1499" t="s">
        <v>33</v>
      </c>
      <c r="E1499" t="s">
        <v>96</v>
      </c>
      <c r="F1499" t="s">
        <v>96</v>
      </c>
      <c r="G1499" t="s">
        <v>96</v>
      </c>
      <c r="H1499">
        <v>2026</v>
      </c>
      <c r="I1499" t="s">
        <v>96</v>
      </c>
      <c r="J1499" t="s">
        <v>3112</v>
      </c>
      <c r="K1499" t="s">
        <v>96</v>
      </c>
      <c r="L1499" t="s">
        <v>96</v>
      </c>
      <c r="M1499">
        <v>4232.7161517006107</v>
      </c>
      <c r="O1499" s="12" t="str">
        <f t="shared" si="60"/>
        <v>AFR</v>
      </c>
      <c r="P1499" s="12" t="str">
        <f t="shared" si="61"/>
        <v>EN_ZC</v>
      </c>
    </row>
    <row r="1500" spans="1:16" x14ac:dyDescent="0.35">
      <c r="A1500" t="s">
        <v>2383</v>
      </c>
      <c r="B1500" t="s">
        <v>3110</v>
      </c>
      <c r="C1500" t="s">
        <v>45</v>
      </c>
      <c r="D1500" t="s">
        <v>33</v>
      </c>
      <c r="E1500" t="s">
        <v>96</v>
      </c>
      <c r="F1500" t="s">
        <v>96</v>
      </c>
      <c r="G1500" t="s">
        <v>96</v>
      </c>
      <c r="H1500">
        <v>2027</v>
      </c>
      <c r="I1500" t="s">
        <v>96</v>
      </c>
      <c r="J1500" t="s">
        <v>3112</v>
      </c>
      <c r="K1500" t="s">
        <v>96</v>
      </c>
      <c r="L1500" t="s">
        <v>96</v>
      </c>
      <c r="M1500">
        <v>4181.8269424032578</v>
      </c>
      <c r="O1500" s="12" t="str">
        <f t="shared" si="60"/>
        <v>AFR</v>
      </c>
      <c r="P1500" s="12" t="str">
        <f t="shared" si="61"/>
        <v>EN_ZC</v>
      </c>
    </row>
    <row r="1501" spans="1:16" x14ac:dyDescent="0.35">
      <c r="A1501" t="s">
        <v>2383</v>
      </c>
      <c r="B1501" t="s">
        <v>3110</v>
      </c>
      <c r="C1501" t="s">
        <v>45</v>
      </c>
      <c r="D1501" t="s">
        <v>33</v>
      </c>
      <c r="E1501" t="s">
        <v>96</v>
      </c>
      <c r="F1501" t="s">
        <v>96</v>
      </c>
      <c r="G1501" t="s">
        <v>96</v>
      </c>
      <c r="H1501">
        <v>2028</v>
      </c>
      <c r="I1501" t="s">
        <v>96</v>
      </c>
      <c r="J1501" t="s">
        <v>3112</v>
      </c>
      <c r="K1501" t="s">
        <v>96</v>
      </c>
      <c r="L1501" t="s">
        <v>96</v>
      </c>
      <c r="M1501">
        <v>4125.0119636456229</v>
      </c>
      <c r="O1501" s="12" t="str">
        <f t="shared" si="60"/>
        <v>AFR</v>
      </c>
      <c r="P1501" s="12" t="str">
        <f t="shared" si="61"/>
        <v>EN_ZC</v>
      </c>
    </row>
    <row r="1502" spans="1:16" x14ac:dyDescent="0.35">
      <c r="A1502" t="s">
        <v>2383</v>
      </c>
      <c r="B1502" t="s">
        <v>3110</v>
      </c>
      <c r="C1502" t="s">
        <v>45</v>
      </c>
      <c r="D1502" t="s">
        <v>33</v>
      </c>
      <c r="E1502" t="s">
        <v>96</v>
      </c>
      <c r="F1502" t="s">
        <v>96</v>
      </c>
      <c r="G1502" t="s">
        <v>96</v>
      </c>
      <c r="H1502">
        <v>2029</v>
      </c>
      <c r="I1502" t="s">
        <v>96</v>
      </c>
      <c r="J1502" t="s">
        <v>3112</v>
      </c>
      <c r="K1502" t="s">
        <v>96</v>
      </c>
      <c r="L1502" t="s">
        <v>96</v>
      </c>
      <c r="M1502">
        <v>4066.7200727902273</v>
      </c>
      <c r="O1502" s="12" t="str">
        <f t="shared" si="60"/>
        <v>AFR</v>
      </c>
      <c r="P1502" s="12" t="str">
        <f t="shared" si="61"/>
        <v>EN_ZC</v>
      </c>
    </row>
    <row r="1503" spans="1:16" x14ac:dyDescent="0.35">
      <c r="A1503" t="s">
        <v>2383</v>
      </c>
      <c r="B1503" t="s">
        <v>3110</v>
      </c>
      <c r="C1503" t="s">
        <v>45</v>
      </c>
      <c r="D1503" t="s">
        <v>33</v>
      </c>
      <c r="E1503" t="s">
        <v>96</v>
      </c>
      <c r="F1503" t="s">
        <v>96</v>
      </c>
      <c r="G1503" t="s">
        <v>96</v>
      </c>
      <c r="H1503">
        <v>2030</v>
      </c>
      <c r="I1503" t="s">
        <v>96</v>
      </c>
      <c r="J1503" t="s">
        <v>3112</v>
      </c>
      <c r="K1503" t="s">
        <v>96</v>
      </c>
      <c r="L1503" t="s">
        <v>96</v>
      </c>
      <c r="M1503">
        <v>4015.3628591853335</v>
      </c>
      <c r="O1503" s="12" t="str">
        <f t="shared" si="60"/>
        <v>AFR</v>
      </c>
      <c r="P1503" s="12" t="str">
        <f t="shared" si="61"/>
        <v>EN_ZC</v>
      </c>
    </row>
    <row r="1504" spans="1:16" x14ac:dyDescent="0.35">
      <c r="A1504" t="s">
        <v>2383</v>
      </c>
      <c r="B1504" t="s">
        <v>3110</v>
      </c>
      <c r="C1504" t="s">
        <v>45</v>
      </c>
      <c r="D1504" t="s">
        <v>33</v>
      </c>
      <c r="E1504" t="s">
        <v>96</v>
      </c>
      <c r="F1504" t="s">
        <v>96</v>
      </c>
      <c r="G1504" t="s">
        <v>96</v>
      </c>
      <c r="H1504">
        <v>2031</v>
      </c>
      <c r="I1504" t="s">
        <v>96</v>
      </c>
      <c r="J1504" t="s">
        <v>3112</v>
      </c>
      <c r="K1504" t="s">
        <v>96</v>
      </c>
      <c r="L1504" t="s">
        <v>96</v>
      </c>
      <c r="M1504">
        <v>3964.2674389002036</v>
      </c>
      <c r="O1504" s="12" t="str">
        <f t="shared" si="60"/>
        <v>AFR</v>
      </c>
      <c r="P1504" s="12" t="str">
        <f t="shared" si="61"/>
        <v>EN_ZC</v>
      </c>
    </row>
    <row r="1505" spans="1:16" x14ac:dyDescent="0.35">
      <c r="A1505" t="s">
        <v>2383</v>
      </c>
      <c r="B1505" t="s">
        <v>3110</v>
      </c>
      <c r="C1505" t="s">
        <v>45</v>
      </c>
      <c r="D1505" t="s">
        <v>33</v>
      </c>
      <c r="E1505" t="s">
        <v>96</v>
      </c>
      <c r="F1505" t="s">
        <v>96</v>
      </c>
      <c r="G1505" t="s">
        <v>96</v>
      </c>
      <c r="H1505">
        <v>2032</v>
      </c>
      <c r="I1505" t="s">
        <v>96</v>
      </c>
      <c r="J1505" t="s">
        <v>3112</v>
      </c>
      <c r="K1505" t="s">
        <v>96</v>
      </c>
      <c r="L1505" t="s">
        <v>96</v>
      </c>
      <c r="M1505">
        <v>3913.3315102545807</v>
      </c>
      <c r="O1505" s="12" t="str">
        <f t="shared" si="60"/>
        <v>AFR</v>
      </c>
      <c r="P1505" s="12" t="str">
        <f t="shared" si="61"/>
        <v>EN_ZC</v>
      </c>
    </row>
    <row r="1506" spans="1:16" x14ac:dyDescent="0.35">
      <c r="A1506" t="s">
        <v>2383</v>
      </c>
      <c r="B1506" t="s">
        <v>3110</v>
      </c>
      <c r="C1506" t="s">
        <v>45</v>
      </c>
      <c r="D1506" t="s">
        <v>33</v>
      </c>
      <c r="E1506" t="s">
        <v>96</v>
      </c>
      <c r="F1506" t="s">
        <v>96</v>
      </c>
      <c r="G1506" t="s">
        <v>96</v>
      </c>
      <c r="H1506">
        <v>2033</v>
      </c>
      <c r="I1506" t="s">
        <v>96</v>
      </c>
      <c r="J1506" t="s">
        <v>3112</v>
      </c>
      <c r="K1506" t="s">
        <v>96</v>
      </c>
      <c r="L1506" t="s">
        <v>96</v>
      </c>
      <c r="M1506">
        <v>3864.686868696539</v>
      </c>
      <c r="O1506" s="12" t="str">
        <f t="shared" si="60"/>
        <v>AFR</v>
      </c>
      <c r="P1506" s="12" t="str">
        <f t="shared" si="61"/>
        <v>EN_ZC</v>
      </c>
    </row>
    <row r="1507" spans="1:16" x14ac:dyDescent="0.35">
      <c r="A1507" t="s">
        <v>2383</v>
      </c>
      <c r="B1507" t="s">
        <v>3110</v>
      </c>
      <c r="C1507" t="s">
        <v>45</v>
      </c>
      <c r="D1507" t="s">
        <v>33</v>
      </c>
      <c r="E1507" t="s">
        <v>96</v>
      </c>
      <c r="F1507" t="s">
        <v>96</v>
      </c>
      <c r="G1507" t="s">
        <v>96</v>
      </c>
      <c r="H1507">
        <v>2034</v>
      </c>
      <c r="I1507" t="s">
        <v>96</v>
      </c>
      <c r="J1507" t="s">
        <v>3112</v>
      </c>
      <c r="K1507" t="s">
        <v>96</v>
      </c>
      <c r="L1507" t="s">
        <v>96</v>
      </c>
      <c r="M1507">
        <v>3816.6665012321773</v>
      </c>
      <c r="O1507" s="12" t="str">
        <f t="shared" si="60"/>
        <v>AFR</v>
      </c>
      <c r="P1507" s="12" t="str">
        <f t="shared" si="61"/>
        <v>EN_ZC</v>
      </c>
    </row>
    <row r="1508" spans="1:16" x14ac:dyDescent="0.35">
      <c r="A1508" t="s">
        <v>2383</v>
      </c>
      <c r="B1508" t="s">
        <v>3110</v>
      </c>
      <c r="C1508" t="s">
        <v>45</v>
      </c>
      <c r="D1508" t="s">
        <v>33</v>
      </c>
      <c r="E1508" t="s">
        <v>96</v>
      </c>
      <c r="F1508" t="s">
        <v>96</v>
      </c>
      <c r="G1508" t="s">
        <v>96</v>
      </c>
      <c r="H1508">
        <v>2035</v>
      </c>
      <c r="I1508" t="s">
        <v>96</v>
      </c>
      <c r="J1508" t="s">
        <v>3112</v>
      </c>
      <c r="K1508" t="s">
        <v>96</v>
      </c>
      <c r="L1508" t="s">
        <v>96</v>
      </c>
      <c r="M1508">
        <v>3766.2904046639551</v>
      </c>
      <c r="O1508" s="12" t="str">
        <f t="shared" si="60"/>
        <v>AFR</v>
      </c>
      <c r="P1508" s="12" t="str">
        <f t="shared" si="61"/>
        <v>EN_ZC</v>
      </c>
    </row>
    <row r="1509" spans="1:16" x14ac:dyDescent="0.35">
      <c r="A1509" t="s">
        <v>2383</v>
      </c>
      <c r="B1509" t="s">
        <v>3110</v>
      </c>
      <c r="C1509" t="s">
        <v>45</v>
      </c>
      <c r="D1509" t="s">
        <v>33</v>
      </c>
      <c r="E1509" t="s">
        <v>96</v>
      </c>
      <c r="F1509" t="s">
        <v>96</v>
      </c>
      <c r="G1509" t="s">
        <v>96</v>
      </c>
      <c r="H1509">
        <v>2036</v>
      </c>
      <c r="I1509" t="s">
        <v>96</v>
      </c>
      <c r="J1509" t="s">
        <v>3112</v>
      </c>
      <c r="K1509" t="s">
        <v>96</v>
      </c>
      <c r="L1509" t="s">
        <v>96</v>
      </c>
      <c r="M1509">
        <v>3718.3389086456227</v>
      </c>
      <c r="O1509" s="12" t="str">
        <f t="shared" si="60"/>
        <v>AFR</v>
      </c>
      <c r="P1509" s="12" t="str">
        <f t="shared" si="61"/>
        <v>EN_ZC</v>
      </c>
    </row>
    <row r="1510" spans="1:16" x14ac:dyDescent="0.35">
      <c r="A1510" t="s">
        <v>2383</v>
      </c>
      <c r="B1510" t="s">
        <v>3110</v>
      </c>
      <c r="C1510" t="s">
        <v>45</v>
      </c>
      <c r="D1510" t="s">
        <v>33</v>
      </c>
      <c r="E1510" t="s">
        <v>96</v>
      </c>
      <c r="F1510" t="s">
        <v>96</v>
      </c>
      <c r="G1510" t="s">
        <v>96</v>
      </c>
      <c r="H1510">
        <v>2037</v>
      </c>
      <c r="I1510" t="s">
        <v>96</v>
      </c>
      <c r="J1510" t="s">
        <v>3112</v>
      </c>
      <c r="K1510" t="s">
        <v>96</v>
      </c>
      <c r="L1510" t="s">
        <v>96</v>
      </c>
      <c r="M1510">
        <v>3671.1752060896165</v>
      </c>
      <c r="O1510" s="12" t="str">
        <f t="shared" si="60"/>
        <v>AFR</v>
      </c>
      <c r="P1510" s="12" t="str">
        <f t="shared" si="61"/>
        <v>EN_ZC</v>
      </c>
    </row>
    <row r="1511" spans="1:16" x14ac:dyDescent="0.35">
      <c r="A1511" t="s">
        <v>2383</v>
      </c>
      <c r="B1511" t="s">
        <v>3110</v>
      </c>
      <c r="C1511" t="s">
        <v>45</v>
      </c>
      <c r="D1511" t="s">
        <v>33</v>
      </c>
      <c r="E1511" t="s">
        <v>96</v>
      </c>
      <c r="F1511" t="s">
        <v>96</v>
      </c>
      <c r="G1511" t="s">
        <v>96</v>
      </c>
      <c r="H1511">
        <v>2038</v>
      </c>
      <c r="I1511" t="s">
        <v>96</v>
      </c>
      <c r="J1511" t="s">
        <v>3112</v>
      </c>
      <c r="K1511" t="s">
        <v>96</v>
      </c>
      <c r="L1511" t="s">
        <v>96</v>
      </c>
      <c r="M1511">
        <v>3625.6616013849257</v>
      </c>
      <c r="O1511" s="12" t="str">
        <f t="shared" si="60"/>
        <v>AFR</v>
      </c>
      <c r="P1511" s="12" t="str">
        <f t="shared" si="61"/>
        <v>EN_ZC</v>
      </c>
    </row>
    <row r="1512" spans="1:16" x14ac:dyDescent="0.35">
      <c r="A1512" t="s">
        <v>2383</v>
      </c>
      <c r="B1512" t="s">
        <v>3110</v>
      </c>
      <c r="C1512" t="s">
        <v>45</v>
      </c>
      <c r="D1512" t="s">
        <v>33</v>
      </c>
      <c r="E1512" t="s">
        <v>96</v>
      </c>
      <c r="F1512" t="s">
        <v>96</v>
      </c>
      <c r="G1512" t="s">
        <v>96</v>
      </c>
      <c r="H1512">
        <v>2039</v>
      </c>
      <c r="I1512" t="s">
        <v>96</v>
      </c>
      <c r="J1512" t="s">
        <v>3112</v>
      </c>
      <c r="K1512" t="s">
        <v>96</v>
      </c>
      <c r="L1512" t="s">
        <v>96</v>
      </c>
      <c r="M1512">
        <v>3579.774236945012</v>
      </c>
      <c r="O1512" s="12" t="str">
        <f t="shared" si="60"/>
        <v>AFR</v>
      </c>
      <c r="P1512" s="12" t="str">
        <f t="shared" si="61"/>
        <v>EN_ZC</v>
      </c>
    </row>
    <row r="1513" spans="1:16" x14ac:dyDescent="0.35">
      <c r="A1513" t="s">
        <v>2383</v>
      </c>
      <c r="B1513" t="s">
        <v>3110</v>
      </c>
      <c r="C1513" t="s">
        <v>45</v>
      </c>
      <c r="D1513" t="s">
        <v>33</v>
      </c>
      <c r="E1513" t="s">
        <v>96</v>
      </c>
      <c r="F1513" t="s">
        <v>96</v>
      </c>
      <c r="G1513" t="s">
        <v>96</v>
      </c>
      <c r="H1513">
        <v>2040</v>
      </c>
      <c r="I1513" t="s">
        <v>96</v>
      </c>
      <c r="J1513" t="s">
        <v>3112</v>
      </c>
      <c r="K1513" t="s">
        <v>96</v>
      </c>
      <c r="L1513" t="s">
        <v>96</v>
      </c>
      <c r="M1513">
        <v>3535.4318501731168</v>
      </c>
      <c r="O1513" s="12" t="str">
        <f t="shared" si="60"/>
        <v>AFR</v>
      </c>
      <c r="P1513" s="12" t="str">
        <f t="shared" si="61"/>
        <v>EN_ZC</v>
      </c>
    </row>
    <row r="1514" spans="1:16" x14ac:dyDescent="0.35">
      <c r="A1514" t="s">
        <v>2383</v>
      </c>
      <c r="B1514" t="s">
        <v>3110</v>
      </c>
      <c r="C1514" t="s">
        <v>45</v>
      </c>
      <c r="D1514" t="s">
        <v>33</v>
      </c>
      <c r="E1514" t="s">
        <v>96</v>
      </c>
      <c r="F1514" t="s">
        <v>96</v>
      </c>
      <c r="G1514" t="s">
        <v>96</v>
      </c>
      <c r="H1514">
        <v>2041</v>
      </c>
      <c r="I1514" t="s">
        <v>96</v>
      </c>
      <c r="J1514" t="s">
        <v>3112</v>
      </c>
      <c r="K1514" t="s">
        <v>96</v>
      </c>
      <c r="L1514" t="s">
        <v>96</v>
      </c>
      <c r="M1514">
        <v>3492.1515350712843</v>
      </c>
      <c r="O1514" s="12" t="str">
        <f t="shared" si="60"/>
        <v>AFR</v>
      </c>
      <c r="P1514" s="12" t="str">
        <f t="shared" si="61"/>
        <v>EN_ZC</v>
      </c>
    </row>
    <row r="1515" spans="1:16" x14ac:dyDescent="0.35">
      <c r="A1515" t="s">
        <v>2383</v>
      </c>
      <c r="B1515" t="s">
        <v>3110</v>
      </c>
      <c r="C1515" t="s">
        <v>45</v>
      </c>
      <c r="D1515" t="s">
        <v>33</v>
      </c>
      <c r="E1515" t="s">
        <v>96</v>
      </c>
      <c r="F1515" t="s">
        <v>96</v>
      </c>
      <c r="G1515" t="s">
        <v>96</v>
      </c>
      <c r="H1515">
        <v>2042</v>
      </c>
      <c r="I1515" t="s">
        <v>96</v>
      </c>
      <c r="J1515" t="s">
        <v>3112</v>
      </c>
      <c r="K1515" t="s">
        <v>96</v>
      </c>
      <c r="L1515" t="s">
        <v>96</v>
      </c>
      <c r="M1515">
        <v>3446.3511664460302</v>
      </c>
      <c r="O1515" s="12" t="str">
        <f t="shared" si="60"/>
        <v>AFR</v>
      </c>
      <c r="P1515" s="12" t="str">
        <f t="shared" si="61"/>
        <v>EN_ZC</v>
      </c>
    </row>
    <row r="1516" spans="1:16" x14ac:dyDescent="0.35">
      <c r="A1516" t="s">
        <v>2383</v>
      </c>
      <c r="B1516" t="s">
        <v>3110</v>
      </c>
      <c r="C1516" t="s">
        <v>45</v>
      </c>
      <c r="D1516" t="s">
        <v>33</v>
      </c>
      <c r="E1516" t="s">
        <v>96</v>
      </c>
      <c r="F1516" t="s">
        <v>96</v>
      </c>
      <c r="G1516" t="s">
        <v>96</v>
      </c>
      <c r="H1516">
        <v>2043</v>
      </c>
      <c r="I1516" t="s">
        <v>96</v>
      </c>
      <c r="J1516" t="s">
        <v>3112</v>
      </c>
      <c r="K1516" t="s">
        <v>96</v>
      </c>
      <c r="L1516" t="s">
        <v>96</v>
      </c>
      <c r="M1516">
        <v>3405.823295682279</v>
      </c>
      <c r="O1516" s="12" t="str">
        <f t="shared" si="60"/>
        <v>AFR</v>
      </c>
      <c r="P1516" s="12" t="str">
        <f t="shared" si="61"/>
        <v>EN_ZC</v>
      </c>
    </row>
    <row r="1517" spans="1:16" x14ac:dyDescent="0.35">
      <c r="A1517" t="s">
        <v>2383</v>
      </c>
      <c r="B1517" t="s">
        <v>3110</v>
      </c>
      <c r="C1517" t="s">
        <v>45</v>
      </c>
      <c r="D1517" t="s">
        <v>33</v>
      </c>
      <c r="E1517" t="s">
        <v>96</v>
      </c>
      <c r="F1517" t="s">
        <v>96</v>
      </c>
      <c r="G1517" t="s">
        <v>96</v>
      </c>
      <c r="H1517">
        <v>2044</v>
      </c>
      <c r="I1517" t="s">
        <v>96</v>
      </c>
      <c r="J1517" t="s">
        <v>3112</v>
      </c>
      <c r="K1517" t="s">
        <v>96</v>
      </c>
      <c r="L1517" t="s">
        <v>96</v>
      </c>
      <c r="M1517">
        <v>3361.0245852647695</v>
      </c>
      <c r="O1517" s="12" t="str">
        <f t="shared" si="60"/>
        <v>AFR</v>
      </c>
      <c r="P1517" s="12" t="str">
        <f t="shared" si="61"/>
        <v>EN_ZC</v>
      </c>
    </row>
    <row r="1518" spans="1:16" x14ac:dyDescent="0.35">
      <c r="A1518" t="s">
        <v>2383</v>
      </c>
      <c r="B1518" t="s">
        <v>3110</v>
      </c>
      <c r="C1518" t="s">
        <v>45</v>
      </c>
      <c r="D1518" t="s">
        <v>33</v>
      </c>
      <c r="E1518" t="s">
        <v>96</v>
      </c>
      <c r="F1518" t="s">
        <v>96</v>
      </c>
      <c r="G1518" t="s">
        <v>96</v>
      </c>
      <c r="H1518">
        <v>2045</v>
      </c>
      <c r="I1518" t="s">
        <v>96</v>
      </c>
      <c r="J1518" t="s">
        <v>3112</v>
      </c>
      <c r="K1518" t="s">
        <v>96</v>
      </c>
      <c r="L1518" t="s">
        <v>96</v>
      </c>
      <c r="M1518">
        <v>3320.6779548879799</v>
      </c>
      <c r="O1518" s="12" t="str">
        <f t="shared" si="60"/>
        <v>AFR</v>
      </c>
      <c r="P1518" s="12" t="str">
        <f t="shared" si="61"/>
        <v>EN_ZC</v>
      </c>
    </row>
    <row r="1519" spans="1:16" x14ac:dyDescent="0.35">
      <c r="A1519" t="s">
        <v>2383</v>
      </c>
      <c r="B1519" t="s">
        <v>3110</v>
      </c>
      <c r="C1519" t="s">
        <v>45</v>
      </c>
      <c r="D1519" t="s">
        <v>33</v>
      </c>
      <c r="E1519" t="s">
        <v>96</v>
      </c>
      <c r="F1519" t="s">
        <v>96</v>
      </c>
      <c r="G1519" t="s">
        <v>96</v>
      </c>
      <c r="H1519">
        <v>2046</v>
      </c>
      <c r="I1519" t="s">
        <v>96</v>
      </c>
      <c r="J1519" t="s">
        <v>3112</v>
      </c>
      <c r="K1519" t="s">
        <v>96</v>
      </c>
      <c r="L1519" t="s">
        <v>96</v>
      </c>
      <c r="M1519">
        <v>3276.8853321079405</v>
      </c>
      <c r="O1519" s="12" t="str">
        <f t="shared" si="60"/>
        <v>AFR</v>
      </c>
      <c r="P1519" s="12" t="str">
        <f t="shared" si="61"/>
        <v>EN_ZC</v>
      </c>
    </row>
    <row r="1520" spans="1:16" x14ac:dyDescent="0.35">
      <c r="A1520" t="s">
        <v>2383</v>
      </c>
      <c r="B1520" t="s">
        <v>3110</v>
      </c>
      <c r="C1520" t="s">
        <v>45</v>
      </c>
      <c r="D1520" t="s">
        <v>33</v>
      </c>
      <c r="E1520" t="s">
        <v>96</v>
      </c>
      <c r="F1520" t="s">
        <v>96</v>
      </c>
      <c r="G1520" t="s">
        <v>96</v>
      </c>
      <c r="H1520">
        <v>2047</v>
      </c>
      <c r="I1520" t="s">
        <v>96</v>
      </c>
      <c r="J1520" t="s">
        <v>3112</v>
      </c>
      <c r="K1520" t="s">
        <v>96</v>
      </c>
      <c r="L1520" t="s">
        <v>96</v>
      </c>
      <c r="M1520">
        <v>3236.1822621384968</v>
      </c>
      <c r="O1520" s="12" t="str">
        <f t="shared" si="60"/>
        <v>AFR</v>
      </c>
      <c r="P1520" s="12" t="str">
        <f t="shared" si="61"/>
        <v>EN_ZC</v>
      </c>
    </row>
    <row r="1521" spans="1:16" x14ac:dyDescent="0.35">
      <c r="A1521" t="s">
        <v>2383</v>
      </c>
      <c r="B1521" t="s">
        <v>3110</v>
      </c>
      <c r="C1521" t="s">
        <v>45</v>
      </c>
      <c r="D1521" t="s">
        <v>33</v>
      </c>
      <c r="E1521" t="s">
        <v>96</v>
      </c>
      <c r="F1521" t="s">
        <v>96</v>
      </c>
      <c r="G1521" t="s">
        <v>96</v>
      </c>
      <c r="H1521">
        <v>2048</v>
      </c>
      <c r="I1521" t="s">
        <v>96</v>
      </c>
      <c r="J1521" t="s">
        <v>3112</v>
      </c>
      <c r="K1521" t="s">
        <v>96</v>
      </c>
      <c r="L1521" t="s">
        <v>96</v>
      </c>
      <c r="M1521">
        <v>3195.4930867209791</v>
      </c>
      <c r="O1521" s="12" t="str">
        <f t="shared" si="60"/>
        <v>AFR</v>
      </c>
      <c r="P1521" s="12" t="str">
        <f t="shared" si="61"/>
        <v>EN_ZC</v>
      </c>
    </row>
    <row r="1522" spans="1:16" x14ac:dyDescent="0.35">
      <c r="A1522" t="s">
        <v>2383</v>
      </c>
      <c r="B1522" t="s">
        <v>3110</v>
      </c>
      <c r="C1522" t="s">
        <v>45</v>
      </c>
      <c r="D1522" t="s">
        <v>33</v>
      </c>
      <c r="E1522" t="s">
        <v>96</v>
      </c>
      <c r="F1522" t="s">
        <v>96</v>
      </c>
      <c r="G1522" t="s">
        <v>96</v>
      </c>
      <c r="H1522">
        <v>2049</v>
      </c>
      <c r="I1522" t="s">
        <v>96</v>
      </c>
      <c r="J1522" t="s">
        <v>3112</v>
      </c>
      <c r="K1522" t="s">
        <v>96</v>
      </c>
      <c r="L1522" t="s">
        <v>96</v>
      </c>
      <c r="M1522">
        <v>3154.8794285437907</v>
      </c>
      <c r="O1522" s="12" t="str">
        <f t="shared" si="60"/>
        <v>AFR</v>
      </c>
      <c r="P1522" s="12" t="str">
        <f t="shared" si="61"/>
        <v>EN_ZC</v>
      </c>
    </row>
    <row r="1523" spans="1:16" x14ac:dyDescent="0.35">
      <c r="A1523" t="s">
        <v>2383</v>
      </c>
      <c r="B1523" t="s">
        <v>3110</v>
      </c>
      <c r="C1523" t="s">
        <v>45</v>
      </c>
      <c r="D1523" t="s">
        <v>33</v>
      </c>
      <c r="E1523" t="s">
        <v>96</v>
      </c>
      <c r="F1523" t="s">
        <v>96</v>
      </c>
      <c r="G1523" t="s">
        <v>96</v>
      </c>
      <c r="H1523">
        <v>2050</v>
      </c>
      <c r="I1523" t="s">
        <v>96</v>
      </c>
      <c r="J1523" t="s">
        <v>3112</v>
      </c>
      <c r="K1523" t="s">
        <v>96</v>
      </c>
      <c r="L1523" t="s">
        <v>96</v>
      </c>
      <c r="M1523">
        <v>3114.6292591038687</v>
      </c>
      <c r="O1523" s="12" t="str">
        <f t="shared" si="60"/>
        <v>AFR</v>
      </c>
      <c r="P1523" s="12" t="str">
        <f t="shared" si="61"/>
        <v>EN_ZC</v>
      </c>
    </row>
    <row r="1524" spans="1:16" x14ac:dyDescent="0.35">
      <c r="A1524" t="s">
        <v>2383</v>
      </c>
      <c r="B1524" t="s">
        <v>3111</v>
      </c>
      <c r="C1524" t="s">
        <v>45</v>
      </c>
      <c r="D1524" t="s">
        <v>32</v>
      </c>
      <c r="E1524" t="s">
        <v>96</v>
      </c>
      <c r="F1524" t="s">
        <v>96</v>
      </c>
      <c r="G1524" t="s">
        <v>96</v>
      </c>
      <c r="H1524">
        <v>2010</v>
      </c>
      <c r="I1524" t="s">
        <v>96</v>
      </c>
      <c r="J1524" t="s">
        <v>2382</v>
      </c>
      <c r="K1524" t="s">
        <v>96</v>
      </c>
      <c r="L1524" t="s">
        <v>96</v>
      </c>
      <c r="M1524">
        <v>3011.6188355904783</v>
      </c>
      <c r="O1524" s="12" t="str">
        <f t="shared" si="60"/>
        <v>AFR</v>
      </c>
      <c r="P1524" s="12" t="str">
        <f t="shared" si="61"/>
        <v>EN_CO</v>
      </c>
    </row>
    <row r="1525" spans="1:16" x14ac:dyDescent="0.35">
      <c r="A1525" t="s">
        <v>2383</v>
      </c>
      <c r="B1525" t="s">
        <v>3111</v>
      </c>
      <c r="C1525" t="s">
        <v>45</v>
      </c>
      <c r="D1525" t="s">
        <v>31</v>
      </c>
      <c r="E1525" t="s">
        <v>96</v>
      </c>
      <c r="F1525" t="s">
        <v>96</v>
      </c>
      <c r="G1525" t="s">
        <v>96</v>
      </c>
      <c r="H1525">
        <v>2010</v>
      </c>
      <c r="I1525" t="s">
        <v>96</v>
      </c>
      <c r="J1525" t="s">
        <v>2382</v>
      </c>
      <c r="K1525" t="s">
        <v>96</v>
      </c>
      <c r="L1525" t="s">
        <v>96</v>
      </c>
      <c r="M1525">
        <v>1496.0993831573144</v>
      </c>
      <c r="O1525" s="12" t="str">
        <f t="shared" si="60"/>
        <v>AFR</v>
      </c>
      <c r="P1525" s="12" t="str">
        <f t="shared" si="61"/>
        <v>EN_CO</v>
      </c>
    </row>
    <row r="1526" spans="1:16" x14ac:dyDescent="0.35">
      <c r="A1526" t="s">
        <v>2383</v>
      </c>
      <c r="B1526" t="s">
        <v>3111</v>
      </c>
      <c r="C1526" t="s">
        <v>45</v>
      </c>
      <c r="D1526" t="s">
        <v>33</v>
      </c>
      <c r="E1526" t="s">
        <v>96</v>
      </c>
      <c r="F1526" t="s">
        <v>96</v>
      </c>
      <c r="G1526" t="s">
        <v>96</v>
      </c>
      <c r="H1526">
        <v>2019</v>
      </c>
      <c r="I1526" t="s">
        <v>96</v>
      </c>
      <c r="J1526" t="s">
        <v>3112</v>
      </c>
      <c r="K1526" t="s">
        <v>96</v>
      </c>
      <c r="L1526" t="s">
        <v>96</v>
      </c>
      <c r="M1526">
        <v>4629.788274226069</v>
      </c>
      <c r="O1526" s="12" t="str">
        <f t="shared" si="60"/>
        <v>AFR</v>
      </c>
      <c r="P1526" s="12" t="str">
        <f t="shared" si="61"/>
        <v>EN_ZC</v>
      </c>
    </row>
    <row r="1527" spans="1:16" x14ac:dyDescent="0.35">
      <c r="A1527" t="s">
        <v>2383</v>
      </c>
      <c r="B1527" t="s">
        <v>3111</v>
      </c>
      <c r="C1527" t="s">
        <v>45</v>
      </c>
      <c r="D1527" t="s">
        <v>33</v>
      </c>
      <c r="E1527" t="s">
        <v>96</v>
      </c>
      <c r="F1527" t="s">
        <v>96</v>
      </c>
      <c r="G1527" t="s">
        <v>96</v>
      </c>
      <c r="H1527">
        <v>2020</v>
      </c>
      <c r="I1527" t="s">
        <v>96</v>
      </c>
      <c r="J1527" t="s">
        <v>3112</v>
      </c>
      <c r="K1527" t="s">
        <v>96</v>
      </c>
      <c r="L1527" t="s">
        <v>96</v>
      </c>
      <c r="M1527">
        <v>4577.8659924134381</v>
      </c>
      <c r="O1527" s="12" t="str">
        <f t="shared" si="60"/>
        <v>AFR</v>
      </c>
      <c r="P1527" s="12" t="str">
        <f t="shared" si="61"/>
        <v>EN_ZC</v>
      </c>
    </row>
    <row r="1528" spans="1:16" x14ac:dyDescent="0.35">
      <c r="A1528" t="s">
        <v>2383</v>
      </c>
      <c r="B1528" t="s">
        <v>3111</v>
      </c>
      <c r="C1528" t="s">
        <v>45</v>
      </c>
      <c r="D1528" t="s">
        <v>33</v>
      </c>
      <c r="E1528" t="s">
        <v>96</v>
      </c>
      <c r="F1528" t="s">
        <v>96</v>
      </c>
      <c r="G1528" t="s">
        <v>96</v>
      </c>
      <c r="H1528">
        <v>2021</v>
      </c>
      <c r="I1528" t="s">
        <v>96</v>
      </c>
      <c r="J1528" t="s">
        <v>3112</v>
      </c>
      <c r="K1528" t="s">
        <v>96</v>
      </c>
      <c r="L1528" t="s">
        <v>96</v>
      </c>
      <c r="M1528">
        <v>4465.9344621995933</v>
      </c>
      <c r="O1528" s="12" t="str">
        <f t="shared" si="60"/>
        <v>AFR</v>
      </c>
      <c r="P1528" s="12" t="str">
        <f t="shared" si="61"/>
        <v>EN_ZC</v>
      </c>
    </row>
    <row r="1529" spans="1:16" x14ac:dyDescent="0.35">
      <c r="A1529" t="s">
        <v>2383</v>
      </c>
      <c r="B1529" t="s">
        <v>3111</v>
      </c>
      <c r="C1529" t="s">
        <v>45</v>
      </c>
      <c r="D1529" t="s">
        <v>33</v>
      </c>
      <c r="E1529" t="s">
        <v>96</v>
      </c>
      <c r="F1529" t="s">
        <v>96</v>
      </c>
      <c r="G1529" t="s">
        <v>96</v>
      </c>
      <c r="H1529">
        <v>2022</v>
      </c>
      <c r="I1529" t="s">
        <v>96</v>
      </c>
      <c r="J1529" t="s">
        <v>3112</v>
      </c>
      <c r="K1529" t="s">
        <v>96</v>
      </c>
      <c r="L1529" t="s">
        <v>96</v>
      </c>
      <c r="M1529">
        <v>4396.378251079429</v>
      </c>
      <c r="O1529" s="12" t="str">
        <f t="shared" si="60"/>
        <v>AFR</v>
      </c>
      <c r="P1529" s="12" t="str">
        <f t="shared" si="61"/>
        <v>EN_ZC</v>
      </c>
    </row>
    <row r="1530" spans="1:16" x14ac:dyDescent="0.35">
      <c r="A1530" t="s">
        <v>2383</v>
      </c>
      <c r="B1530" t="s">
        <v>3111</v>
      </c>
      <c r="C1530" t="s">
        <v>45</v>
      </c>
      <c r="D1530" t="s">
        <v>33</v>
      </c>
      <c r="E1530" t="s">
        <v>96</v>
      </c>
      <c r="F1530" t="s">
        <v>96</v>
      </c>
      <c r="G1530" t="s">
        <v>96</v>
      </c>
      <c r="H1530">
        <v>2023</v>
      </c>
      <c r="I1530" t="s">
        <v>96</v>
      </c>
      <c r="J1530" t="s">
        <v>3112</v>
      </c>
      <c r="K1530" t="s">
        <v>96</v>
      </c>
      <c r="L1530" t="s">
        <v>96</v>
      </c>
      <c r="M1530">
        <v>4347.1733732688417</v>
      </c>
      <c r="O1530" s="12" t="str">
        <f t="shared" si="60"/>
        <v>AFR</v>
      </c>
      <c r="P1530" s="12" t="str">
        <f t="shared" si="61"/>
        <v>EN_ZC</v>
      </c>
    </row>
    <row r="1531" spans="1:16" x14ac:dyDescent="0.35">
      <c r="A1531" t="s">
        <v>2383</v>
      </c>
      <c r="B1531" t="s">
        <v>3111</v>
      </c>
      <c r="C1531" t="s">
        <v>45</v>
      </c>
      <c r="D1531" t="s">
        <v>33</v>
      </c>
      <c r="E1531" t="s">
        <v>96</v>
      </c>
      <c r="F1531" t="s">
        <v>96</v>
      </c>
      <c r="G1531" t="s">
        <v>96</v>
      </c>
      <c r="H1531">
        <v>2024</v>
      </c>
      <c r="I1531" t="s">
        <v>96</v>
      </c>
      <c r="J1531" t="s">
        <v>3112</v>
      </c>
      <c r="K1531" t="s">
        <v>96</v>
      </c>
      <c r="L1531" t="s">
        <v>96</v>
      </c>
      <c r="M1531">
        <v>4307.5347909470484</v>
      </c>
      <c r="O1531" s="12" t="str">
        <f t="shared" si="60"/>
        <v>AFR</v>
      </c>
      <c r="P1531" s="12" t="str">
        <f t="shared" si="61"/>
        <v>EN_ZC</v>
      </c>
    </row>
    <row r="1532" spans="1:16" x14ac:dyDescent="0.35">
      <c r="A1532" t="s">
        <v>2383</v>
      </c>
      <c r="B1532" t="s">
        <v>3111</v>
      </c>
      <c r="C1532" t="s">
        <v>45</v>
      </c>
      <c r="D1532" t="s">
        <v>33</v>
      </c>
      <c r="E1532" t="s">
        <v>96</v>
      </c>
      <c r="F1532" t="s">
        <v>96</v>
      </c>
      <c r="G1532" t="s">
        <v>96</v>
      </c>
      <c r="H1532">
        <v>2025</v>
      </c>
      <c r="I1532" t="s">
        <v>96</v>
      </c>
      <c r="J1532" t="s">
        <v>3112</v>
      </c>
      <c r="K1532" t="s">
        <v>96</v>
      </c>
      <c r="L1532" t="s">
        <v>96</v>
      </c>
      <c r="M1532">
        <v>4275.2582120162961</v>
      </c>
      <c r="O1532" s="12" t="str">
        <f t="shared" si="60"/>
        <v>AFR</v>
      </c>
      <c r="P1532" s="12" t="str">
        <f t="shared" si="61"/>
        <v>EN_ZC</v>
      </c>
    </row>
    <row r="1533" spans="1:16" x14ac:dyDescent="0.35">
      <c r="A1533" t="s">
        <v>2383</v>
      </c>
      <c r="B1533" t="s">
        <v>3111</v>
      </c>
      <c r="C1533" t="s">
        <v>45</v>
      </c>
      <c r="D1533" t="s">
        <v>33</v>
      </c>
      <c r="E1533" t="s">
        <v>96</v>
      </c>
      <c r="F1533" t="s">
        <v>96</v>
      </c>
      <c r="G1533" t="s">
        <v>96</v>
      </c>
      <c r="H1533">
        <v>2026</v>
      </c>
      <c r="I1533" t="s">
        <v>96</v>
      </c>
      <c r="J1533" t="s">
        <v>3112</v>
      </c>
      <c r="K1533" t="s">
        <v>96</v>
      </c>
      <c r="L1533" t="s">
        <v>96</v>
      </c>
      <c r="M1533">
        <v>4232.7161517006107</v>
      </c>
      <c r="O1533" s="12" t="str">
        <f t="shared" si="60"/>
        <v>AFR</v>
      </c>
      <c r="P1533" s="12" t="str">
        <f t="shared" si="61"/>
        <v>EN_ZC</v>
      </c>
    </row>
    <row r="1534" spans="1:16" x14ac:dyDescent="0.35">
      <c r="A1534" t="s">
        <v>2383</v>
      </c>
      <c r="B1534" t="s">
        <v>3111</v>
      </c>
      <c r="C1534" t="s">
        <v>45</v>
      </c>
      <c r="D1534" t="s">
        <v>33</v>
      </c>
      <c r="E1534" t="s">
        <v>96</v>
      </c>
      <c r="F1534" t="s">
        <v>96</v>
      </c>
      <c r="G1534" t="s">
        <v>96</v>
      </c>
      <c r="H1534">
        <v>2027</v>
      </c>
      <c r="I1534" t="s">
        <v>96</v>
      </c>
      <c r="J1534" t="s">
        <v>3112</v>
      </c>
      <c r="K1534" t="s">
        <v>96</v>
      </c>
      <c r="L1534" t="s">
        <v>96</v>
      </c>
      <c r="M1534">
        <v>4181.8269424032578</v>
      </c>
      <c r="O1534" s="12" t="str">
        <f t="shared" si="60"/>
        <v>AFR</v>
      </c>
      <c r="P1534" s="12" t="str">
        <f t="shared" si="61"/>
        <v>EN_ZC</v>
      </c>
    </row>
    <row r="1535" spans="1:16" x14ac:dyDescent="0.35">
      <c r="A1535" t="s">
        <v>2383</v>
      </c>
      <c r="B1535" t="s">
        <v>3111</v>
      </c>
      <c r="C1535" t="s">
        <v>45</v>
      </c>
      <c r="D1535" t="s">
        <v>33</v>
      </c>
      <c r="E1535" t="s">
        <v>96</v>
      </c>
      <c r="F1535" t="s">
        <v>96</v>
      </c>
      <c r="G1535" t="s">
        <v>96</v>
      </c>
      <c r="H1535">
        <v>2028</v>
      </c>
      <c r="I1535" t="s">
        <v>96</v>
      </c>
      <c r="J1535" t="s">
        <v>3112</v>
      </c>
      <c r="K1535" t="s">
        <v>96</v>
      </c>
      <c r="L1535" t="s">
        <v>96</v>
      </c>
      <c r="M1535">
        <v>4125.0119636456229</v>
      </c>
      <c r="O1535" s="12" t="str">
        <f t="shared" si="60"/>
        <v>AFR</v>
      </c>
      <c r="P1535" s="12" t="str">
        <f t="shared" si="61"/>
        <v>EN_ZC</v>
      </c>
    </row>
    <row r="1536" spans="1:16" x14ac:dyDescent="0.35">
      <c r="A1536" t="s">
        <v>2383</v>
      </c>
      <c r="B1536" t="s">
        <v>3111</v>
      </c>
      <c r="C1536" t="s">
        <v>45</v>
      </c>
      <c r="D1536" t="s">
        <v>33</v>
      </c>
      <c r="E1536" t="s">
        <v>96</v>
      </c>
      <c r="F1536" t="s">
        <v>96</v>
      </c>
      <c r="G1536" t="s">
        <v>96</v>
      </c>
      <c r="H1536">
        <v>2029</v>
      </c>
      <c r="I1536" t="s">
        <v>96</v>
      </c>
      <c r="J1536" t="s">
        <v>3112</v>
      </c>
      <c r="K1536" t="s">
        <v>96</v>
      </c>
      <c r="L1536" t="s">
        <v>96</v>
      </c>
      <c r="M1536">
        <v>4066.7200727902273</v>
      </c>
      <c r="O1536" s="12" t="str">
        <f t="shared" si="60"/>
        <v>AFR</v>
      </c>
      <c r="P1536" s="12" t="str">
        <f t="shared" si="61"/>
        <v>EN_ZC</v>
      </c>
    </row>
    <row r="1537" spans="1:16" x14ac:dyDescent="0.35">
      <c r="A1537" t="s">
        <v>2383</v>
      </c>
      <c r="B1537" t="s">
        <v>3111</v>
      </c>
      <c r="C1537" t="s">
        <v>45</v>
      </c>
      <c r="D1537" t="s">
        <v>33</v>
      </c>
      <c r="E1537" t="s">
        <v>96</v>
      </c>
      <c r="F1537" t="s">
        <v>96</v>
      </c>
      <c r="G1537" t="s">
        <v>96</v>
      </c>
      <c r="H1537">
        <v>2030</v>
      </c>
      <c r="I1537" t="s">
        <v>96</v>
      </c>
      <c r="J1537" t="s">
        <v>3112</v>
      </c>
      <c r="K1537" t="s">
        <v>96</v>
      </c>
      <c r="L1537" t="s">
        <v>96</v>
      </c>
      <c r="M1537">
        <v>4015.3628591853335</v>
      </c>
      <c r="O1537" s="12" t="str">
        <f t="shared" si="60"/>
        <v>AFR</v>
      </c>
      <c r="P1537" s="12" t="str">
        <f t="shared" si="61"/>
        <v>EN_ZC</v>
      </c>
    </row>
    <row r="1538" spans="1:16" x14ac:dyDescent="0.35">
      <c r="A1538" t="s">
        <v>2383</v>
      </c>
      <c r="B1538" t="s">
        <v>3111</v>
      </c>
      <c r="C1538" t="s">
        <v>45</v>
      </c>
      <c r="D1538" t="s">
        <v>33</v>
      </c>
      <c r="E1538" t="s">
        <v>96</v>
      </c>
      <c r="F1538" t="s">
        <v>96</v>
      </c>
      <c r="G1538" t="s">
        <v>96</v>
      </c>
      <c r="H1538">
        <v>2031</v>
      </c>
      <c r="I1538" t="s">
        <v>96</v>
      </c>
      <c r="J1538" t="s">
        <v>3112</v>
      </c>
      <c r="K1538" t="s">
        <v>96</v>
      </c>
      <c r="L1538" t="s">
        <v>96</v>
      </c>
      <c r="M1538">
        <v>3964.2674389002036</v>
      </c>
      <c r="O1538" s="12" t="str">
        <f t="shared" si="60"/>
        <v>AFR</v>
      </c>
      <c r="P1538" s="12" t="str">
        <f t="shared" si="61"/>
        <v>EN_ZC</v>
      </c>
    </row>
    <row r="1539" spans="1:16" x14ac:dyDescent="0.35">
      <c r="A1539" t="s">
        <v>2383</v>
      </c>
      <c r="B1539" t="s">
        <v>3111</v>
      </c>
      <c r="C1539" t="s">
        <v>45</v>
      </c>
      <c r="D1539" t="s">
        <v>33</v>
      </c>
      <c r="E1539" t="s">
        <v>96</v>
      </c>
      <c r="F1539" t="s">
        <v>96</v>
      </c>
      <c r="G1539" t="s">
        <v>96</v>
      </c>
      <c r="H1539">
        <v>2032</v>
      </c>
      <c r="I1539" t="s">
        <v>96</v>
      </c>
      <c r="J1539" t="s">
        <v>3112</v>
      </c>
      <c r="K1539" t="s">
        <v>96</v>
      </c>
      <c r="L1539" t="s">
        <v>96</v>
      </c>
      <c r="M1539">
        <v>3913.3315102545807</v>
      </c>
      <c r="O1539" s="12" t="str">
        <f t="shared" ref="O1539:O1602" si="62">LEFT(B1539,3)</f>
        <v>AFR</v>
      </c>
      <c r="P1539" s="12" t="str">
        <f t="shared" ref="P1539:P1602" si="63">LEFT(D1539,5)</f>
        <v>EN_ZC</v>
      </c>
    </row>
    <row r="1540" spans="1:16" x14ac:dyDescent="0.35">
      <c r="A1540" t="s">
        <v>2383</v>
      </c>
      <c r="B1540" t="s">
        <v>3111</v>
      </c>
      <c r="C1540" t="s">
        <v>45</v>
      </c>
      <c r="D1540" t="s">
        <v>33</v>
      </c>
      <c r="E1540" t="s">
        <v>96</v>
      </c>
      <c r="F1540" t="s">
        <v>96</v>
      </c>
      <c r="G1540" t="s">
        <v>96</v>
      </c>
      <c r="H1540">
        <v>2033</v>
      </c>
      <c r="I1540" t="s">
        <v>96</v>
      </c>
      <c r="J1540" t="s">
        <v>3112</v>
      </c>
      <c r="K1540" t="s">
        <v>96</v>
      </c>
      <c r="L1540" t="s">
        <v>96</v>
      </c>
      <c r="M1540">
        <v>3864.686868696539</v>
      </c>
      <c r="O1540" s="12" t="str">
        <f t="shared" si="62"/>
        <v>AFR</v>
      </c>
      <c r="P1540" s="12" t="str">
        <f t="shared" si="63"/>
        <v>EN_ZC</v>
      </c>
    </row>
    <row r="1541" spans="1:16" x14ac:dyDescent="0.35">
      <c r="A1541" t="s">
        <v>2383</v>
      </c>
      <c r="B1541" t="s">
        <v>3111</v>
      </c>
      <c r="C1541" t="s">
        <v>45</v>
      </c>
      <c r="D1541" t="s">
        <v>33</v>
      </c>
      <c r="E1541" t="s">
        <v>96</v>
      </c>
      <c r="F1541" t="s">
        <v>96</v>
      </c>
      <c r="G1541" t="s">
        <v>96</v>
      </c>
      <c r="H1541">
        <v>2034</v>
      </c>
      <c r="I1541" t="s">
        <v>96</v>
      </c>
      <c r="J1541" t="s">
        <v>3112</v>
      </c>
      <c r="K1541" t="s">
        <v>96</v>
      </c>
      <c r="L1541" t="s">
        <v>96</v>
      </c>
      <c r="M1541">
        <v>3816.6665012321773</v>
      </c>
      <c r="O1541" s="12" t="str">
        <f t="shared" si="62"/>
        <v>AFR</v>
      </c>
      <c r="P1541" s="12" t="str">
        <f t="shared" si="63"/>
        <v>EN_ZC</v>
      </c>
    </row>
    <row r="1542" spans="1:16" x14ac:dyDescent="0.35">
      <c r="A1542" t="s">
        <v>2383</v>
      </c>
      <c r="B1542" t="s">
        <v>3111</v>
      </c>
      <c r="C1542" t="s">
        <v>45</v>
      </c>
      <c r="D1542" t="s">
        <v>33</v>
      </c>
      <c r="E1542" t="s">
        <v>96</v>
      </c>
      <c r="F1542" t="s">
        <v>96</v>
      </c>
      <c r="G1542" t="s">
        <v>96</v>
      </c>
      <c r="H1542">
        <v>2035</v>
      </c>
      <c r="I1542" t="s">
        <v>96</v>
      </c>
      <c r="J1542" t="s">
        <v>3112</v>
      </c>
      <c r="K1542" t="s">
        <v>96</v>
      </c>
      <c r="L1542" t="s">
        <v>96</v>
      </c>
      <c r="M1542">
        <v>3766.2904046639551</v>
      </c>
      <c r="O1542" s="12" t="str">
        <f t="shared" si="62"/>
        <v>AFR</v>
      </c>
      <c r="P1542" s="12" t="str">
        <f t="shared" si="63"/>
        <v>EN_ZC</v>
      </c>
    </row>
    <row r="1543" spans="1:16" x14ac:dyDescent="0.35">
      <c r="A1543" t="s">
        <v>2383</v>
      </c>
      <c r="B1543" t="s">
        <v>3111</v>
      </c>
      <c r="C1543" t="s">
        <v>45</v>
      </c>
      <c r="D1543" t="s">
        <v>33</v>
      </c>
      <c r="E1543" t="s">
        <v>96</v>
      </c>
      <c r="F1543" t="s">
        <v>96</v>
      </c>
      <c r="G1543" t="s">
        <v>96</v>
      </c>
      <c r="H1543">
        <v>2036</v>
      </c>
      <c r="I1543" t="s">
        <v>96</v>
      </c>
      <c r="J1543" t="s">
        <v>3112</v>
      </c>
      <c r="K1543" t="s">
        <v>96</v>
      </c>
      <c r="L1543" t="s">
        <v>96</v>
      </c>
      <c r="M1543">
        <v>3718.3389086456227</v>
      </c>
      <c r="O1543" s="12" t="str">
        <f t="shared" si="62"/>
        <v>AFR</v>
      </c>
      <c r="P1543" s="12" t="str">
        <f t="shared" si="63"/>
        <v>EN_ZC</v>
      </c>
    </row>
    <row r="1544" spans="1:16" x14ac:dyDescent="0.35">
      <c r="A1544" t="s">
        <v>2383</v>
      </c>
      <c r="B1544" t="s">
        <v>3111</v>
      </c>
      <c r="C1544" t="s">
        <v>45</v>
      </c>
      <c r="D1544" t="s">
        <v>33</v>
      </c>
      <c r="E1544" t="s">
        <v>96</v>
      </c>
      <c r="F1544" t="s">
        <v>96</v>
      </c>
      <c r="G1544" t="s">
        <v>96</v>
      </c>
      <c r="H1544">
        <v>2037</v>
      </c>
      <c r="I1544" t="s">
        <v>96</v>
      </c>
      <c r="J1544" t="s">
        <v>3112</v>
      </c>
      <c r="K1544" t="s">
        <v>96</v>
      </c>
      <c r="L1544" t="s">
        <v>96</v>
      </c>
      <c r="M1544">
        <v>3671.1752060896165</v>
      </c>
      <c r="O1544" s="12" t="str">
        <f t="shared" si="62"/>
        <v>AFR</v>
      </c>
      <c r="P1544" s="12" t="str">
        <f t="shared" si="63"/>
        <v>EN_ZC</v>
      </c>
    </row>
    <row r="1545" spans="1:16" x14ac:dyDescent="0.35">
      <c r="A1545" t="s">
        <v>2383</v>
      </c>
      <c r="B1545" t="s">
        <v>3111</v>
      </c>
      <c r="C1545" t="s">
        <v>45</v>
      </c>
      <c r="D1545" t="s">
        <v>33</v>
      </c>
      <c r="E1545" t="s">
        <v>96</v>
      </c>
      <c r="F1545" t="s">
        <v>96</v>
      </c>
      <c r="G1545" t="s">
        <v>96</v>
      </c>
      <c r="H1545">
        <v>2038</v>
      </c>
      <c r="I1545" t="s">
        <v>96</v>
      </c>
      <c r="J1545" t="s">
        <v>3112</v>
      </c>
      <c r="K1545" t="s">
        <v>96</v>
      </c>
      <c r="L1545" t="s">
        <v>96</v>
      </c>
      <c r="M1545">
        <v>3625.6616013849257</v>
      </c>
      <c r="O1545" s="12" t="str">
        <f t="shared" si="62"/>
        <v>AFR</v>
      </c>
      <c r="P1545" s="12" t="str">
        <f t="shared" si="63"/>
        <v>EN_ZC</v>
      </c>
    </row>
    <row r="1546" spans="1:16" x14ac:dyDescent="0.35">
      <c r="A1546" t="s">
        <v>2383</v>
      </c>
      <c r="B1546" t="s">
        <v>3111</v>
      </c>
      <c r="C1546" t="s">
        <v>45</v>
      </c>
      <c r="D1546" t="s">
        <v>33</v>
      </c>
      <c r="E1546" t="s">
        <v>96</v>
      </c>
      <c r="F1546" t="s">
        <v>96</v>
      </c>
      <c r="G1546" t="s">
        <v>96</v>
      </c>
      <c r="H1546">
        <v>2039</v>
      </c>
      <c r="I1546" t="s">
        <v>96</v>
      </c>
      <c r="J1546" t="s">
        <v>3112</v>
      </c>
      <c r="K1546" t="s">
        <v>96</v>
      </c>
      <c r="L1546" t="s">
        <v>96</v>
      </c>
      <c r="M1546">
        <v>3579.774236945012</v>
      </c>
      <c r="O1546" s="12" t="str">
        <f t="shared" si="62"/>
        <v>AFR</v>
      </c>
      <c r="P1546" s="12" t="str">
        <f t="shared" si="63"/>
        <v>EN_ZC</v>
      </c>
    </row>
    <row r="1547" spans="1:16" x14ac:dyDescent="0.35">
      <c r="A1547" t="s">
        <v>2383</v>
      </c>
      <c r="B1547" t="s">
        <v>3111</v>
      </c>
      <c r="C1547" t="s">
        <v>45</v>
      </c>
      <c r="D1547" t="s">
        <v>33</v>
      </c>
      <c r="E1547" t="s">
        <v>96</v>
      </c>
      <c r="F1547" t="s">
        <v>96</v>
      </c>
      <c r="G1547" t="s">
        <v>96</v>
      </c>
      <c r="H1547">
        <v>2040</v>
      </c>
      <c r="I1547" t="s">
        <v>96</v>
      </c>
      <c r="J1547" t="s">
        <v>3112</v>
      </c>
      <c r="K1547" t="s">
        <v>96</v>
      </c>
      <c r="L1547" t="s">
        <v>96</v>
      </c>
      <c r="M1547">
        <v>3535.4318501731168</v>
      </c>
      <c r="O1547" s="12" t="str">
        <f t="shared" si="62"/>
        <v>AFR</v>
      </c>
      <c r="P1547" s="12" t="str">
        <f t="shared" si="63"/>
        <v>EN_ZC</v>
      </c>
    </row>
    <row r="1548" spans="1:16" x14ac:dyDescent="0.35">
      <c r="A1548" t="s">
        <v>2383</v>
      </c>
      <c r="B1548" t="s">
        <v>3111</v>
      </c>
      <c r="C1548" t="s">
        <v>45</v>
      </c>
      <c r="D1548" t="s">
        <v>33</v>
      </c>
      <c r="E1548" t="s">
        <v>96</v>
      </c>
      <c r="F1548" t="s">
        <v>96</v>
      </c>
      <c r="G1548" t="s">
        <v>96</v>
      </c>
      <c r="H1548">
        <v>2041</v>
      </c>
      <c r="I1548" t="s">
        <v>96</v>
      </c>
      <c r="J1548" t="s">
        <v>3112</v>
      </c>
      <c r="K1548" t="s">
        <v>96</v>
      </c>
      <c r="L1548" t="s">
        <v>96</v>
      </c>
      <c r="M1548">
        <v>3492.1515350712843</v>
      </c>
      <c r="O1548" s="12" t="str">
        <f t="shared" si="62"/>
        <v>AFR</v>
      </c>
      <c r="P1548" s="12" t="str">
        <f t="shared" si="63"/>
        <v>EN_ZC</v>
      </c>
    </row>
    <row r="1549" spans="1:16" x14ac:dyDescent="0.35">
      <c r="A1549" t="s">
        <v>2383</v>
      </c>
      <c r="B1549" t="s">
        <v>3111</v>
      </c>
      <c r="C1549" t="s">
        <v>45</v>
      </c>
      <c r="D1549" t="s">
        <v>33</v>
      </c>
      <c r="E1549" t="s">
        <v>96</v>
      </c>
      <c r="F1549" t="s">
        <v>96</v>
      </c>
      <c r="G1549" t="s">
        <v>96</v>
      </c>
      <c r="H1549">
        <v>2042</v>
      </c>
      <c r="I1549" t="s">
        <v>96</v>
      </c>
      <c r="J1549" t="s">
        <v>3112</v>
      </c>
      <c r="K1549" t="s">
        <v>96</v>
      </c>
      <c r="L1549" t="s">
        <v>96</v>
      </c>
      <c r="M1549">
        <v>3446.3511664460302</v>
      </c>
      <c r="O1549" s="12" t="str">
        <f t="shared" si="62"/>
        <v>AFR</v>
      </c>
      <c r="P1549" s="12" t="str">
        <f t="shared" si="63"/>
        <v>EN_ZC</v>
      </c>
    </row>
    <row r="1550" spans="1:16" x14ac:dyDescent="0.35">
      <c r="A1550" t="s">
        <v>2383</v>
      </c>
      <c r="B1550" t="s">
        <v>3111</v>
      </c>
      <c r="C1550" t="s">
        <v>45</v>
      </c>
      <c r="D1550" t="s">
        <v>33</v>
      </c>
      <c r="E1550" t="s">
        <v>96</v>
      </c>
      <c r="F1550" t="s">
        <v>96</v>
      </c>
      <c r="G1550" t="s">
        <v>96</v>
      </c>
      <c r="H1550">
        <v>2043</v>
      </c>
      <c r="I1550" t="s">
        <v>96</v>
      </c>
      <c r="J1550" t="s">
        <v>3112</v>
      </c>
      <c r="K1550" t="s">
        <v>96</v>
      </c>
      <c r="L1550" t="s">
        <v>96</v>
      </c>
      <c r="M1550">
        <v>3405.823295682279</v>
      </c>
      <c r="O1550" s="12" t="str">
        <f t="shared" si="62"/>
        <v>AFR</v>
      </c>
      <c r="P1550" s="12" t="str">
        <f t="shared" si="63"/>
        <v>EN_ZC</v>
      </c>
    </row>
    <row r="1551" spans="1:16" x14ac:dyDescent="0.35">
      <c r="A1551" t="s">
        <v>2383</v>
      </c>
      <c r="B1551" t="s">
        <v>3111</v>
      </c>
      <c r="C1551" t="s">
        <v>45</v>
      </c>
      <c r="D1551" t="s">
        <v>33</v>
      </c>
      <c r="E1551" t="s">
        <v>96</v>
      </c>
      <c r="F1551" t="s">
        <v>96</v>
      </c>
      <c r="G1551" t="s">
        <v>96</v>
      </c>
      <c r="H1551">
        <v>2044</v>
      </c>
      <c r="I1551" t="s">
        <v>96</v>
      </c>
      <c r="J1551" t="s">
        <v>3112</v>
      </c>
      <c r="K1551" t="s">
        <v>96</v>
      </c>
      <c r="L1551" t="s">
        <v>96</v>
      </c>
      <c r="M1551">
        <v>3361.0245852647695</v>
      </c>
      <c r="O1551" s="12" t="str">
        <f t="shared" si="62"/>
        <v>AFR</v>
      </c>
      <c r="P1551" s="12" t="str">
        <f t="shared" si="63"/>
        <v>EN_ZC</v>
      </c>
    </row>
    <row r="1552" spans="1:16" x14ac:dyDescent="0.35">
      <c r="A1552" t="s">
        <v>2383</v>
      </c>
      <c r="B1552" t="s">
        <v>3111</v>
      </c>
      <c r="C1552" t="s">
        <v>45</v>
      </c>
      <c r="D1552" t="s">
        <v>33</v>
      </c>
      <c r="E1552" t="s">
        <v>96</v>
      </c>
      <c r="F1552" t="s">
        <v>96</v>
      </c>
      <c r="G1552" t="s">
        <v>96</v>
      </c>
      <c r="H1552">
        <v>2045</v>
      </c>
      <c r="I1552" t="s">
        <v>96</v>
      </c>
      <c r="J1552" t="s">
        <v>3112</v>
      </c>
      <c r="K1552" t="s">
        <v>96</v>
      </c>
      <c r="L1552" t="s">
        <v>96</v>
      </c>
      <c r="M1552">
        <v>3320.6779548879799</v>
      </c>
      <c r="O1552" s="12" t="str">
        <f t="shared" si="62"/>
        <v>AFR</v>
      </c>
      <c r="P1552" s="12" t="str">
        <f t="shared" si="63"/>
        <v>EN_ZC</v>
      </c>
    </row>
    <row r="1553" spans="1:16" x14ac:dyDescent="0.35">
      <c r="A1553" t="s">
        <v>2383</v>
      </c>
      <c r="B1553" t="s">
        <v>3111</v>
      </c>
      <c r="C1553" t="s">
        <v>45</v>
      </c>
      <c r="D1553" t="s">
        <v>33</v>
      </c>
      <c r="E1553" t="s">
        <v>96</v>
      </c>
      <c r="F1553" t="s">
        <v>96</v>
      </c>
      <c r="G1553" t="s">
        <v>96</v>
      </c>
      <c r="H1553">
        <v>2046</v>
      </c>
      <c r="I1553" t="s">
        <v>96</v>
      </c>
      <c r="J1553" t="s">
        <v>3112</v>
      </c>
      <c r="K1553" t="s">
        <v>96</v>
      </c>
      <c r="L1553" t="s">
        <v>96</v>
      </c>
      <c r="M1553">
        <v>3276.8853321079405</v>
      </c>
      <c r="O1553" s="12" t="str">
        <f t="shared" si="62"/>
        <v>AFR</v>
      </c>
      <c r="P1553" s="12" t="str">
        <f t="shared" si="63"/>
        <v>EN_ZC</v>
      </c>
    </row>
    <row r="1554" spans="1:16" x14ac:dyDescent="0.35">
      <c r="A1554" t="s">
        <v>2383</v>
      </c>
      <c r="B1554" t="s">
        <v>3111</v>
      </c>
      <c r="C1554" t="s">
        <v>45</v>
      </c>
      <c r="D1554" t="s">
        <v>33</v>
      </c>
      <c r="E1554" t="s">
        <v>96</v>
      </c>
      <c r="F1554" t="s">
        <v>96</v>
      </c>
      <c r="G1554" t="s">
        <v>96</v>
      </c>
      <c r="H1554">
        <v>2047</v>
      </c>
      <c r="I1554" t="s">
        <v>96</v>
      </c>
      <c r="J1554" t="s">
        <v>3112</v>
      </c>
      <c r="K1554" t="s">
        <v>96</v>
      </c>
      <c r="L1554" t="s">
        <v>96</v>
      </c>
      <c r="M1554">
        <v>3236.1822621384968</v>
      </c>
      <c r="O1554" s="12" t="str">
        <f t="shared" si="62"/>
        <v>AFR</v>
      </c>
      <c r="P1554" s="12" t="str">
        <f t="shared" si="63"/>
        <v>EN_ZC</v>
      </c>
    </row>
    <row r="1555" spans="1:16" x14ac:dyDescent="0.35">
      <c r="A1555" t="s">
        <v>2383</v>
      </c>
      <c r="B1555" t="s">
        <v>3111</v>
      </c>
      <c r="C1555" t="s">
        <v>45</v>
      </c>
      <c r="D1555" t="s">
        <v>33</v>
      </c>
      <c r="E1555" t="s">
        <v>96</v>
      </c>
      <c r="F1555" t="s">
        <v>96</v>
      </c>
      <c r="G1555" t="s">
        <v>96</v>
      </c>
      <c r="H1555">
        <v>2048</v>
      </c>
      <c r="I1555" t="s">
        <v>96</v>
      </c>
      <c r="J1555" t="s">
        <v>3112</v>
      </c>
      <c r="K1555" t="s">
        <v>96</v>
      </c>
      <c r="L1555" t="s">
        <v>96</v>
      </c>
      <c r="M1555">
        <v>3195.4930867209791</v>
      </c>
      <c r="O1555" s="12" t="str">
        <f t="shared" si="62"/>
        <v>AFR</v>
      </c>
      <c r="P1555" s="12" t="str">
        <f t="shared" si="63"/>
        <v>EN_ZC</v>
      </c>
    </row>
    <row r="1556" spans="1:16" x14ac:dyDescent="0.35">
      <c r="A1556" t="s">
        <v>2383</v>
      </c>
      <c r="B1556" t="s">
        <v>3111</v>
      </c>
      <c r="C1556" t="s">
        <v>45</v>
      </c>
      <c r="D1556" t="s">
        <v>33</v>
      </c>
      <c r="E1556" t="s">
        <v>96</v>
      </c>
      <c r="F1556" t="s">
        <v>96</v>
      </c>
      <c r="G1556" t="s">
        <v>96</v>
      </c>
      <c r="H1556">
        <v>2049</v>
      </c>
      <c r="I1556" t="s">
        <v>96</v>
      </c>
      <c r="J1556" t="s">
        <v>3112</v>
      </c>
      <c r="K1556" t="s">
        <v>96</v>
      </c>
      <c r="L1556" t="s">
        <v>96</v>
      </c>
      <c r="M1556">
        <v>3154.8794285437907</v>
      </c>
      <c r="O1556" s="12" t="str">
        <f t="shared" si="62"/>
        <v>AFR</v>
      </c>
      <c r="P1556" s="12" t="str">
        <f t="shared" si="63"/>
        <v>EN_ZC</v>
      </c>
    </row>
    <row r="1557" spans="1:16" x14ac:dyDescent="0.35">
      <c r="A1557" t="s">
        <v>2383</v>
      </c>
      <c r="B1557" t="s">
        <v>3111</v>
      </c>
      <c r="C1557" t="s">
        <v>45</v>
      </c>
      <c r="D1557" t="s">
        <v>33</v>
      </c>
      <c r="E1557" t="s">
        <v>96</v>
      </c>
      <c r="F1557" t="s">
        <v>96</v>
      </c>
      <c r="G1557" t="s">
        <v>96</v>
      </c>
      <c r="H1557">
        <v>2050</v>
      </c>
      <c r="I1557" t="s">
        <v>96</v>
      </c>
      <c r="J1557" t="s">
        <v>3112</v>
      </c>
      <c r="K1557" t="s">
        <v>96</v>
      </c>
      <c r="L1557" t="s">
        <v>96</v>
      </c>
      <c r="M1557">
        <v>3114.6292591038687</v>
      </c>
      <c r="O1557" s="12" t="str">
        <f t="shared" si="62"/>
        <v>AFR</v>
      </c>
      <c r="P1557" s="12" t="str">
        <f t="shared" si="63"/>
        <v>EN_ZC</v>
      </c>
    </row>
    <row r="1558" spans="1:16" x14ac:dyDescent="0.35">
      <c r="A1558" t="s">
        <v>2383</v>
      </c>
      <c r="B1558" t="s">
        <v>68</v>
      </c>
      <c r="C1558" t="s">
        <v>45</v>
      </c>
      <c r="D1558" t="s">
        <v>32</v>
      </c>
      <c r="E1558" t="s">
        <v>96</v>
      </c>
      <c r="F1558" t="s">
        <v>96</v>
      </c>
      <c r="G1558" t="s">
        <v>96</v>
      </c>
      <c r="H1558">
        <v>2010</v>
      </c>
      <c r="I1558" t="s">
        <v>96</v>
      </c>
      <c r="J1558" t="s">
        <v>2382</v>
      </c>
      <c r="K1558" t="s">
        <v>96</v>
      </c>
      <c r="L1558" t="s">
        <v>96</v>
      </c>
      <c r="M1558">
        <v>3305.3446232591791</v>
      </c>
      <c r="O1558" s="12" t="str">
        <f t="shared" si="62"/>
        <v>ANZ</v>
      </c>
      <c r="P1558" s="12" t="str">
        <f t="shared" si="63"/>
        <v>EN_CO</v>
      </c>
    </row>
    <row r="1559" spans="1:16" x14ac:dyDescent="0.35">
      <c r="A1559" t="s">
        <v>2383</v>
      </c>
      <c r="B1559" t="s">
        <v>68</v>
      </c>
      <c r="C1559" t="s">
        <v>45</v>
      </c>
      <c r="D1559" t="s">
        <v>31</v>
      </c>
      <c r="E1559" t="s">
        <v>96</v>
      </c>
      <c r="F1559" t="s">
        <v>96</v>
      </c>
      <c r="G1559" t="s">
        <v>96</v>
      </c>
      <c r="H1559">
        <v>2010</v>
      </c>
      <c r="I1559" t="s">
        <v>96</v>
      </c>
      <c r="J1559" t="s">
        <v>2382</v>
      </c>
      <c r="K1559" t="s">
        <v>96</v>
      </c>
      <c r="L1559" t="s">
        <v>96</v>
      </c>
      <c r="M1559">
        <v>2029.391070795278</v>
      </c>
      <c r="O1559" s="12" t="str">
        <f t="shared" si="62"/>
        <v>ANZ</v>
      </c>
      <c r="P1559" s="12" t="str">
        <f t="shared" si="63"/>
        <v>EN_CO</v>
      </c>
    </row>
    <row r="1560" spans="1:16" x14ac:dyDescent="0.35">
      <c r="A1560" t="s">
        <v>2383</v>
      </c>
      <c r="B1560" t="s">
        <v>68</v>
      </c>
      <c r="C1560" t="s">
        <v>45</v>
      </c>
      <c r="D1560" t="s">
        <v>33</v>
      </c>
      <c r="E1560" t="s">
        <v>96</v>
      </c>
      <c r="F1560" t="s">
        <v>96</v>
      </c>
      <c r="G1560" t="s">
        <v>96</v>
      </c>
      <c r="H1560">
        <v>2019</v>
      </c>
      <c r="I1560" t="s">
        <v>96</v>
      </c>
      <c r="J1560" t="s">
        <v>3112</v>
      </c>
      <c r="K1560" t="s">
        <v>96</v>
      </c>
      <c r="L1560" t="s">
        <v>96</v>
      </c>
      <c r="M1560">
        <v>5081.3355256629329</v>
      </c>
      <c r="O1560" s="12" t="str">
        <f t="shared" si="62"/>
        <v>ANZ</v>
      </c>
      <c r="P1560" s="12" t="str">
        <f t="shared" si="63"/>
        <v>EN_ZC</v>
      </c>
    </row>
    <row r="1561" spans="1:16" x14ac:dyDescent="0.35">
      <c r="A1561" t="s">
        <v>2383</v>
      </c>
      <c r="B1561" t="s">
        <v>68</v>
      </c>
      <c r="C1561" t="s">
        <v>45</v>
      </c>
      <c r="D1561" t="s">
        <v>33</v>
      </c>
      <c r="E1561" t="s">
        <v>96</v>
      </c>
      <c r="F1561" t="s">
        <v>96</v>
      </c>
      <c r="G1561" t="s">
        <v>96</v>
      </c>
      <c r="H1561">
        <v>2020</v>
      </c>
      <c r="I1561" t="s">
        <v>96</v>
      </c>
      <c r="J1561" t="s">
        <v>3112</v>
      </c>
      <c r="K1561" t="s">
        <v>96</v>
      </c>
      <c r="L1561" t="s">
        <v>96</v>
      </c>
      <c r="M1561">
        <v>5024.3492188340078</v>
      </c>
      <c r="O1561" s="12" t="str">
        <f t="shared" si="62"/>
        <v>ANZ</v>
      </c>
      <c r="P1561" s="12" t="str">
        <f t="shared" si="63"/>
        <v>EN_ZC</v>
      </c>
    </row>
    <row r="1562" spans="1:16" x14ac:dyDescent="0.35">
      <c r="A1562" t="s">
        <v>2383</v>
      </c>
      <c r="B1562" t="s">
        <v>68</v>
      </c>
      <c r="C1562" t="s">
        <v>45</v>
      </c>
      <c r="D1562" t="s">
        <v>33</v>
      </c>
      <c r="E1562" t="s">
        <v>96</v>
      </c>
      <c r="F1562" t="s">
        <v>96</v>
      </c>
      <c r="G1562" t="s">
        <v>96</v>
      </c>
      <c r="H1562">
        <v>2021</v>
      </c>
      <c r="I1562" t="s">
        <v>96</v>
      </c>
      <c r="J1562" t="s">
        <v>3112</v>
      </c>
      <c r="K1562" t="s">
        <v>96</v>
      </c>
      <c r="L1562" t="s">
        <v>96</v>
      </c>
      <c r="M1562">
        <v>4901.500909747454</v>
      </c>
      <c r="O1562" s="12" t="str">
        <f t="shared" si="62"/>
        <v>ANZ</v>
      </c>
      <c r="P1562" s="12" t="str">
        <f t="shared" si="63"/>
        <v>EN_ZC</v>
      </c>
    </row>
    <row r="1563" spans="1:16" x14ac:dyDescent="0.35">
      <c r="A1563" t="s">
        <v>2383</v>
      </c>
      <c r="B1563" t="s">
        <v>68</v>
      </c>
      <c r="C1563" t="s">
        <v>45</v>
      </c>
      <c r="D1563" t="s">
        <v>33</v>
      </c>
      <c r="E1563" t="s">
        <v>96</v>
      </c>
      <c r="F1563" t="s">
        <v>96</v>
      </c>
      <c r="G1563" t="s">
        <v>96</v>
      </c>
      <c r="H1563">
        <v>2022</v>
      </c>
      <c r="I1563" t="s">
        <v>96</v>
      </c>
      <c r="J1563" t="s">
        <v>3112</v>
      </c>
      <c r="K1563" t="s">
        <v>96</v>
      </c>
      <c r="L1563" t="s">
        <v>96</v>
      </c>
      <c r="M1563">
        <v>4825.1608212464344</v>
      </c>
      <c r="O1563" s="12" t="str">
        <f t="shared" si="62"/>
        <v>ANZ</v>
      </c>
      <c r="P1563" s="12" t="str">
        <f t="shared" si="63"/>
        <v>EN_ZC</v>
      </c>
    </row>
    <row r="1564" spans="1:16" x14ac:dyDescent="0.35">
      <c r="A1564" t="s">
        <v>2383</v>
      </c>
      <c r="B1564" t="s">
        <v>68</v>
      </c>
      <c r="C1564" t="s">
        <v>45</v>
      </c>
      <c r="D1564" t="s">
        <v>33</v>
      </c>
      <c r="E1564" t="s">
        <v>96</v>
      </c>
      <c r="F1564" t="s">
        <v>96</v>
      </c>
      <c r="G1564" t="s">
        <v>96</v>
      </c>
      <c r="H1564">
        <v>2023</v>
      </c>
      <c r="I1564" t="s">
        <v>96</v>
      </c>
      <c r="J1564" t="s">
        <v>3112</v>
      </c>
      <c r="K1564" t="s">
        <v>96</v>
      </c>
      <c r="L1564" t="s">
        <v>96</v>
      </c>
      <c r="M1564">
        <v>4771.1569491802466</v>
      </c>
      <c r="O1564" s="12" t="str">
        <f t="shared" si="62"/>
        <v>ANZ</v>
      </c>
      <c r="P1564" s="12" t="str">
        <f t="shared" si="63"/>
        <v>EN_ZC</v>
      </c>
    </row>
    <row r="1565" spans="1:16" x14ac:dyDescent="0.35">
      <c r="A1565" t="s">
        <v>2383</v>
      </c>
      <c r="B1565" t="s">
        <v>68</v>
      </c>
      <c r="C1565" t="s">
        <v>45</v>
      </c>
      <c r="D1565" t="s">
        <v>33</v>
      </c>
      <c r="E1565" t="s">
        <v>96</v>
      </c>
      <c r="F1565" t="s">
        <v>96</v>
      </c>
      <c r="G1565" t="s">
        <v>96</v>
      </c>
      <c r="H1565">
        <v>2024</v>
      </c>
      <c r="I1565" t="s">
        <v>96</v>
      </c>
      <c r="J1565" t="s">
        <v>3112</v>
      </c>
      <c r="K1565" t="s">
        <v>96</v>
      </c>
      <c r="L1565" t="s">
        <v>96</v>
      </c>
      <c r="M1565">
        <v>4727.6523816690433</v>
      </c>
      <c r="O1565" s="12" t="str">
        <f t="shared" si="62"/>
        <v>ANZ</v>
      </c>
      <c r="P1565" s="12" t="str">
        <f t="shared" si="63"/>
        <v>EN_ZC</v>
      </c>
    </row>
    <row r="1566" spans="1:16" x14ac:dyDescent="0.35">
      <c r="A1566" t="s">
        <v>2383</v>
      </c>
      <c r="B1566" t="s">
        <v>68</v>
      </c>
      <c r="C1566" t="s">
        <v>45</v>
      </c>
      <c r="D1566" t="s">
        <v>33</v>
      </c>
      <c r="E1566" t="s">
        <v>96</v>
      </c>
      <c r="F1566" t="s">
        <v>96</v>
      </c>
      <c r="G1566" t="s">
        <v>96</v>
      </c>
      <c r="H1566">
        <v>2025</v>
      </c>
      <c r="I1566" t="s">
        <v>96</v>
      </c>
      <c r="J1566" t="s">
        <v>3112</v>
      </c>
      <c r="K1566" t="s">
        <v>96</v>
      </c>
      <c r="L1566" t="s">
        <v>96</v>
      </c>
      <c r="M1566">
        <v>4692.2278401018366</v>
      </c>
      <c r="O1566" s="12" t="str">
        <f t="shared" si="62"/>
        <v>ANZ</v>
      </c>
      <c r="P1566" s="12" t="str">
        <f t="shared" si="63"/>
        <v>EN_ZC</v>
      </c>
    </row>
    <row r="1567" spans="1:16" x14ac:dyDescent="0.35">
      <c r="A1567" t="s">
        <v>2383</v>
      </c>
      <c r="B1567" t="s">
        <v>68</v>
      </c>
      <c r="C1567" t="s">
        <v>45</v>
      </c>
      <c r="D1567" t="s">
        <v>33</v>
      </c>
      <c r="E1567" t="s">
        <v>96</v>
      </c>
      <c r="F1567" t="s">
        <v>96</v>
      </c>
      <c r="G1567" t="s">
        <v>96</v>
      </c>
      <c r="H1567">
        <v>2026</v>
      </c>
      <c r="I1567" t="s">
        <v>96</v>
      </c>
      <c r="J1567" t="s">
        <v>3112</v>
      </c>
      <c r="K1567" t="s">
        <v>96</v>
      </c>
      <c r="L1567" t="s">
        <v>96</v>
      </c>
      <c r="M1567">
        <v>4645.5366158788183</v>
      </c>
      <c r="O1567" s="12" t="str">
        <f t="shared" si="62"/>
        <v>ANZ</v>
      </c>
      <c r="P1567" s="12" t="str">
        <f t="shared" si="63"/>
        <v>EN_ZC</v>
      </c>
    </row>
    <row r="1568" spans="1:16" x14ac:dyDescent="0.35">
      <c r="A1568" t="s">
        <v>2383</v>
      </c>
      <c r="B1568" t="s">
        <v>68</v>
      </c>
      <c r="C1568" t="s">
        <v>45</v>
      </c>
      <c r="D1568" t="s">
        <v>33</v>
      </c>
      <c r="E1568" t="s">
        <v>96</v>
      </c>
      <c r="F1568" t="s">
        <v>96</v>
      </c>
      <c r="G1568" t="s">
        <v>96</v>
      </c>
      <c r="H1568">
        <v>2027</v>
      </c>
      <c r="I1568" t="s">
        <v>96</v>
      </c>
      <c r="J1568" t="s">
        <v>3112</v>
      </c>
      <c r="K1568" t="s">
        <v>96</v>
      </c>
      <c r="L1568" t="s">
        <v>96</v>
      </c>
      <c r="M1568">
        <v>4589.684138020365</v>
      </c>
      <c r="O1568" s="12" t="str">
        <f t="shared" si="62"/>
        <v>ANZ</v>
      </c>
      <c r="P1568" s="12" t="str">
        <f t="shared" si="63"/>
        <v>EN_ZC</v>
      </c>
    </row>
    <row r="1569" spans="1:16" x14ac:dyDescent="0.35">
      <c r="A1569" t="s">
        <v>2383</v>
      </c>
      <c r="B1569" t="s">
        <v>68</v>
      </c>
      <c r="C1569" t="s">
        <v>45</v>
      </c>
      <c r="D1569" t="s">
        <v>33</v>
      </c>
      <c r="E1569" t="s">
        <v>96</v>
      </c>
      <c r="F1569" t="s">
        <v>96</v>
      </c>
      <c r="G1569" t="s">
        <v>96</v>
      </c>
      <c r="H1569">
        <v>2028</v>
      </c>
      <c r="I1569" t="s">
        <v>96</v>
      </c>
      <c r="J1569" t="s">
        <v>3112</v>
      </c>
      <c r="K1569" t="s">
        <v>96</v>
      </c>
      <c r="L1569" t="s">
        <v>96</v>
      </c>
      <c r="M1569">
        <v>4527.3279452851339</v>
      </c>
      <c r="O1569" s="12" t="str">
        <f t="shared" si="62"/>
        <v>ANZ</v>
      </c>
      <c r="P1569" s="12" t="str">
        <f t="shared" si="63"/>
        <v>EN_ZC</v>
      </c>
    </row>
    <row r="1570" spans="1:16" x14ac:dyDescent="0.35">
      <c r="A1570" t="s">
        <v>2383</v>
      </c>
      <c r="B1570" t="s">
        <v>68</v>
      </c>
      <c r="C1570" t="s">
        <v>45</v>
      </c>
      <c r="D1570" t="s">
        <v>33</v>
      </c>
      <c r="E1570" t="s">
        <v>96</v>
      </c>
      <c r="F1570" t="s">
        <v>96</v>
      </c>
      <c r="G1570" t="s">
        <v>96</v>
      </c>
      <c r="H1570">
        <v>2029</v>
      </c>
      <c r="I1570" t="s">
        <v>96</v>
      </c>
      <c r="J1570" t="s">
        <v>3112</v>
      </c>
      <c r="K1570" t="s">
        <v>96</v>
      </c>
      <c r="L1570" t="s">
        <v>96</v>
      </c>
      <c r="M1570">
        <v>4463.3507959389035</v>
      </c>
      <c r="O1570" s="12" t="str">
        <f t="shared" si="62"/>
        <v>ANZ</v>
      </c>
      <c r="P1570" s="12" t="str">
        <f t="shared" si="63"/>
        <v>EN_ZC</v>
      </c>
    </row>
    <row r="1571" spans="1:16" x14ac:dyDescent="0.35">
      <c r="A1571" t="s">
        <v>2383</v>
      </c>
      <c r="B1571" t="s">
        <v>68</v>
      </c>
      <c r="C1571" t="s">
        <v>45</v>
      </c>
      <c r="D1571" t="s">
        <v>33</v>
      </c>
      <c r="E1571" t="s">
        <v>96</v>
      </c>
      <c r="F1571" t="s">
        <v>96</v>
      </c>
      <c r="G1571" t="s">
        <v>96</v>
      </c>
      <c r="H1571">
        <v>2030</v>
      </c>
      <c r="I1571" t="s">
        <v>96</v>
      </c>
      <c r="J1571" t="s">
        <v>3112</v>
      </c>
      <c r="K1571" t="s">
        <v>96</v>
      </c>
      <c r="L1571" t="s">
        <v>96</v>
      </c>
      <c r="M1571">
        <v>4406.984668908347</v>
      </c>
      <c r="O1571" s="12" t="str">
        <f t="shared" si="62"/>
        <v>ANZ</v>
      </c>
      <c r="P1571" s="12" t="str">
        <f t="shared" si="63"/>
        <v>EN_ZC</v>
      </c>
    </row>
    <row r="1572" spans="1:16" x14ac:dyDescent="0.35">
      <c r="A1572" t="s">
        <v>2383</v>
      </c>
      <c r="B1572" t="s">
        <v>68</v>
      </c>
      <c r="C1572" t="s">
        <v>45</v>
      </c>
      <c r="D1572" t="s">
        <v>33</v>
      </c>
      <c r="E1572" t="s">
        <v>96</v>
      </c>
      <c r="F1572" t="s">
        <v>96</v>
      </c>
      <c r="G1572" t="s">
        <v>96</v>
      </c>
      <c r="H1572">
        <v>2031</v>
      </c>
      <c r="I1572" t="s">
        <v>96</v>
      </c>
      <c r="J1572" t="s">
        <v>3112</v>
      </c>
      <c r="K1572" t="s">
        <v>96</v>
      </c>
      <c r="L1572" t="s">
        <v>96</v>
      </c>
      <c r="M1572">
        <v>4350.9058681262732</v>
      </c>
      <c r="O1572" s="12" t="str">
        <f t="shared" si="62"/>
        <v>ANZ</v>
      </c>
      <c r="P1572" s="12" t="str">
        <f t="shared" si="63"/>
        <v>EN_ZC</v>
      </c>
    </row>
    <row r="1573" spans="1:16" x14ac:dyDescent="0.35">
      <c r="A1573" t="s">
        <v>2383</v>
      </c>
      <c r="B1573" t="s">
        <v>68</v>
      </c>
      <c r="C1573" t="s">
        <v>45</v>
      </c>
      <c r="D1573" t="s">
        <v>33</v>
      </c>
      <c r="E1573" t="s">
        <v>96</v>
      </c>
      <c r="F1573" t="s">
        <v>96</v>
      </c>
      <c r="G1573" t="s">
        <v>96</v>
      </c>
      <c r="H1573">
        <v>2032</v>
      </c>
      <c r="I1573" t="s">
        <v>96</v>
      </c>
      <c r="J1573" t="s">
        <v>3112</v>
      </c>
      <c r="K1573" t="s">
        <v>96</v>
      </c>
      <c r="L1573" t="s">
        <v>96</v>
      </c>
      <c r="M1573">
        <v>4295.0021143411386</v>
      </c>
      <c r="O1573" s="12" t="str">
        <f t="shared" si="62"/>
        <v>ANZ</v>
      </c>
      <c r="P1573" s="12" t="str">
        <f t="shared" si="63"/>
        <v>EN_ZC</v>
      </c>
    </row>
    <row r="1574" spans="1:16" x14ac:dyDescent="0.35">
      <c r="A1574" t="s">
        <v>2383</v>
      </c>
      <c r="B1574" t="s">
        <v>68</v>
      </c>
      <c r="C1574" t="s">
        <v>45</v>
      </c>
      <c r="D1574" t="s">
        <v>33</v>
      </c>
      <c r="E1574" t="s">
        <v>96</v>
      </c>
      <c r="F1574" t="s">
        <v>96</v>
      </c>
      <c r="G1574" t="s">
        <v>96</v>
      </c>
      <c r="H1574">
        <v>2033</v>
      </c>
      <c r="I1574" t="s">
        <v>96</v>
      </c>
      <c r="J1574" t="s">
        <v>3112</v>
      </c>
      <c r="K1574" t="s">
        <v>96</v>
      </c>
      <c r="L1574" t="s">
        <v>96</v>
      </c>
      <c r="M1574">
        <v>4241.6131188533618</v>
      </c>
      <c r="O1574" s="12" t="str">
        <f t="shared" si="62"/>
        <v>ANZ</v>
      </c>
      <c r="P1574" s="12" t="str">
        <f t="shared" si="63"/>
        <v>EN_ZC</v>
      </c>
    </row>
    <row r="1575" spans="1:16" x14ac:dyDescent="0.35">
      <c r="A1575" t="s">
        <v>2383</v>
      </c>
      <c r="B1575" t="s">
        <v>68</v>
      </c>
      <c r="C1575" t="s">
        <v>45</v>
      </c>
      <c r="D1575" t="s">
        <v>33</v>
      </c>
      <c r="E1575" t="s">
        <v>96</v>
      </c>
      <c r="F1575" t="s">
        <v>96</v>
      </c>
      <c r="G1575" t="s">
        <v>96</v>
      </c>
      <c r="H1575">
        <v>2034</v>
      </c>
      <c r="I1575" t="s">
        <v>96</v>
      </c>
      <c r="J1575" t="s">
        <v>3112</v>
      </c>
      <c r="K1575" t="s">
        <v>96</v>
      </c>
      <c r="L1575" t="s">
        <v>96</v>
      </c>
      <c r="M1575">
        <v>4188.9092834511175</v>
      </c>
      <c r="O1575" s="12" t="str">
        <f t="shared" si="62"/>
        <v>ANZ</v>
      </c>
      <c r="P1575" s="12" t="str">
        <f t="shared" si="63"/>
        <v>EN_ZC</v>
      </c>
    </row>
    <row r="1576" spans="1:16" x14ac:dyDescent="0.35">
      <c r="A1576" t="s">
        <v>2383</v>
      </c>
      <c r="B1576" t="s">
        <v>68</v>
      </c>
      <c r="C1576" t="s">
        <v>45</v>
      </c>
      <c r="D1576" t="s">
        <v>33</v>
      </c>
      <c r="E1576" t="s">
        <v>96</v>
      </c>
      <c r="F1576" t="s">
        <v>96</v>
      </c>
      <c r="G1576" t="s">
        <v>96</v>
      </c>
      <c r="H1576">
        <v>2035</v>
      </c>
      <c r="I1576" t="s">
        <v>96</v>
      </c>
      <c r="J1576" t="s">
        <v>3112</v>
      </c>
      <c r="K1576" t="s">
        <v>96</v>
      </c>
      <c r="L1576" t="s">
        <v>96</v>
      </c>
      <c r="M1576">
        <v>4133.6199626496991</v>
      </c>
      <c r="O1576" s="12" t="str">
        <f t="shared" si="62"/>
        <v>ANZ</v>
      </c>
      <c r="P1576" s="12" t="str">
        <f t="shared" si="63"/>
        <v>EN_ZC</v>
      </c>
    </row>
    <row r="1577" spans="1:16" x14ac:dyDescent="0.35">
      <c r="A1577" t="s">
        <v>2383</v>
      </c>
      <c r="B1577" t="s">
        <v>68</v>
      </c>
      <c r="C1577" t="s">
        <v>45</v>
      </c>
      <c r="D1577" t="s">
        <v>33</v>
      </c>
      <c r="E1577" t="s">
        <v>96</v>
      </c>
      <c r="F1577" t="s">
        <v>96</v>
      </c>
      <c r="G1577" t="s">
        <v>96</v>
      </c>
      <c r="H1577">
        <v>2036</v>
      </c>
      <c r="I1577" t="s">
        <v>96</v>
      </c>
      <c r="J1577" t="s">
        <v>3112</v>
      </c>
      <c r="K1577" t="s">
        <v>96</v>
      </c>
      <c r="L1577" t="s">
        <v>96</v>
      </c>
      <c r="M1577">
        <v>4080.9917157851337</v>
      </c>
      <c r="O1577" s="12" t="str">
        <f t="shared" si="62"/>
        <v>ANZ</v>
      </c>
      <c r="P1577" s="12" t="str">
        <f t="shared" si="63"/>
        <v>EN_ZC</v>
      </c>
    </row>
    <row r="1578" spans="1:16" x14ac:dyDescent="0.35">
      <c r="A1578" t="s">
        <v>2383</v>
      </c>
      <c r="B1578" t="s">
        <v>68</v>
      </c>
      <c r="C1578" t="s">
        <v>45</v>
      </c>
      <c r="D1578" t="s">
        <v>33</v>
      </c>
      <c r="E1578" t="s">
        <v>96</v>
      </c>
      <c r="F1578" t="s">
        <v>96</v>
      </c>
      <c r="G1578" t="s">
        <v>96</v>
      </c>
      <c r="H1578">
        <v>2037</v>
      </c>
      <c r="I1578" t="s">
        <v>96</v>
      </c>
      <c r="J1578" t="s">
        <v>3112</v>
      </c>
      <c r="K1578" t="s">
        <v>96</v>
      </c>
      <c r="L1578" t="s">
        <v>96</v>
      </c>
      <c r="M1578">
        <v>4029.2280965600849</v>
      </c>
      <c r="O1578" s="12" t="str">
        <f t="shared" si="62"/>
        <v>ANZ</v>
      </c>
      <c r="P1578" s="12" t="str">
        <f t="shared" si="63"/>
        <v>EN_ZC</v>
      </c>
    </row>
    <row r="1579" spans="1:16" x14ac:dyDescent="0.35">
      <c r="A1579" t="s">
        <v>2383</v>
      </c>
      <c r="B1579" t="s">
        <v>68</v>
      </c>
      <c r="C1579" t="s">
        <v>45</v>
      </c>
      <c r="D1579" t="s">
        <v>33</v>
      </c>
      <c r="E1579" t="s">
        <v>96</v>
      </c>
      <c r="F1579" t="s">
        <v>96</v>
      </c>
      <c r="G1579" t="s">
        <v>96</v>
      </c>
      <c r="H1579">
        <v>2038</v>
      </c>
      <c r="I1579" t="s">
        <v>96</v>
      </c>
      <c r="J1579" t="s">
        <v>3112</v>
      </c>
      <c r="K1579" t="s">
        <v>96</v>
      </c>
      <c r="L1579" t="s">
        <v>96</v>
      </c>
      <c r="M1579">
        <v>3979.2755106558011</v>
      </c>
      <c r="O1579" s="12" t="str">
        <f t="shared" si="62"/>
        <v>ANZ</v>
      </c>
      <c r="P1579" s="12" t="str">
        <f t="shared" si="63"/>
        <v>EN_ZC</v>
      </c>
    </row>
    <row r="1580" spans="1:16" x14ac:dyDescent="0.35">
      <c r="A1580" t="s">
        <v>2383</v>
      </c>
      <c r="B1580" t="s">
        <v>68</v>
      </c>
      <c r="C1580" t="s">
        <v>45</v>
      </c>
      <c r="D1580" t="s">
        <v>33</v>
      </c>
      <c r="E1580" t="s">
        <v>96</v>
      </c>
      <c r="F1580" t="s">
        <v>96</v>
      </c>
      <c r="G1580" t="s">
        <v>96</v>
      </c>
      <c r="H1580">
        <v>2039</v>
      </c>
      <c r="I1580" t="s">
        <v>96</v>
      </c>
      <c r="J1580" t="s">
        <v>3112</v>
      </c>
      <c r="K1580" t="s">
        <v>96</v>
      </c>
      <c r="L1580" t="s">
        <v>96</v>
      </c>
      <c r="M1580">
        <v>3928.9127119063155</v>
      </c>
      <c r="O1580" s="12" t="str">
        <f t="shared" si="62"/>
        <v>ANZ</v>
      </c>
      <c r="P1580" s="12" t="str">
        <f t="shared" si="63"/>
        <v>EN_ZC</v>
      </c>
    </row>
    <row r="1581" spans="1:16" x14ac:dyDescent="0.35">
      <c r="A1581" t="s">
        <v>2383</v>
      </c>
      <c r="B1581" t="s">
        <v>68</v>
      </c>
      <c r="C1581" t="s">
        <v>45</v>
      </c>
      <c r="D1581" t="s">
        <v>33</v>
      </c>
      <c r="E1581" t="s">
        <v>96</v>
      </c>
      <c r="F1581" t="s">
        <v>96</v>
      </c>
      <c r="G1581" t="s">
        <v>96</v>
      </c>
      <c r="H1581">
        <v>2040</v>
      </c>
      <c r="I1581" t="s">
        <v>96</v>
      </c>
      <c r="J1581" t="s">
        <v>3112</v>
      </c>
      <c r="K1581" t="s">
        <v>96</v>
      </c>
      <c r="L1581" t="s">
        <v>96</v>
      </c>
      <c r="M1581">
        <v>3880.2455738319759</v>
      </c>
      <c r="O1581" s="12" t="str">
        <f t="shared" si="62"/>
        <v>ANZ</v>
      </c>
      <c r="P1581" s="12" t="str">
        <f t="shared" si="63"/>
        <v>EN_ZC</v>
      </c>
    </row>
    <row r="1582" spans="1:16" x14ac:dyDescent="0.35">
      <c r="A1582" t="s">
        <v>2383</v>
      </c>
      <c r="B1582" t="s">
        <v>68</v>
      </c>
      <c r="C1582" t="s">
        <v>45</v>
      </c>
      <c r="D1582" t="s">
        <v>33</v>
      </c>
      <c r="E1582" t="s">
        <v>96</v>
      </c>
      <c r="F1582" t="s">
        <v>96</v>
      </c>
      <c r="G1582" t="s">
        <v>96</v>
      </c>
      <c r="H1582">
        <v>2041</v>
      </c>
      <c r="I1582" t="s">
        <v>96</v>
      </c>
      <c r="J1582" t="s">
        <v>3112</v>
      </c>
      <c r="K1582" t="s">
        <v>96</v>
      </c>
      <c r="L1582" t="s">
        <v>96</v>
      </c>
      <c r="M1582">
        <v>3832.7440921955204</v>
      </c>
      <c r="O1582" s="12" t="str">
        <f t="shared" si="62"/>
        <v>ANZ</v>
      </c>
      <c r="P1582" s="12" t="str">
        <f t="shared" si="63"/>
        <v>EN_ZC</v>
      </c>
    </row>
    <row r="1583" spans="1:16" x14ac:dyDescent="0.35">
      <c r="A1583" t="s">
        <v>2383</v>
      </c>
      <c r="B1583" t="s">
        <v>68</v>
      </c>
      <c r="C1583" t="s">
        <v>45</v>
      </c>
      <c r="D1583" t="s">
        <v>33</v>
      </c>
      <c r="E1583" t="s">
        <v>96</v>
      </c>
      <c r="F1583" t="s">
        <v>96</v>
      </c>
      <c r="G1583" t="s">
        <v>96</v>
      </c>
      <c r="H1583">
        <v>2042</v>
      </c>
      <c r="I1583" t="s">
        <v>96</v>
      </c>
      <c r="J1583" t="s">
        <v>3112</v>
      </c>
      <c r="K1583" t="s">
        <v>96</v>
      </c>
      <c r="L1583" t="s">
        <v>96</v>
      </c>
      <c r="M1583">
        <v>3782.4767740376801</v>
      </c>
      <c r="O1583" s="12" t="str">
        <f t="shared" si="62"/>
        <v>ANZ</v>
      </c>
      <c r="P1583" s="12" t="str">
        <f t="shared" si="63"/>
        <v>EN_ZC</v>
      </c>
    </row>
    <row r="1584" spans="1:16" x14ac:dyDescent="0.35">
      <c r="A1584" t="s">
        <v>2383</v>
      </c>
      <c r="B1584" t="s">
        <v>68</v>
      </c>
      <c r="C1584" t="s">
        <v>45</v>
      </c>
      <c r="D1584" t="s">
        <v>33</v>
      </c>
      <c r="E1584" t="s">
        <v>96</v>
      </c>
      <c r="F1584" t="s">
        <v>96</v>
      </c>
      <c r="G1584" t="s">
        <v>96</v>
      </c>
      <c r="H1584">
        <v>2043</v>
      </c>
      <c r="I1584" t="s">
        <v>96</v>
      </c>
      <c r="J1584" t="s">
        <v>3112</v>
      </c>
      <c r="K1584" t="s">
        <v>96</v>
      </c>
      <c r="L1584" t="s">
        <v>96</v>
      </c>
      <c r="M1584">
        <v>3737.996185014254</v>
      </c>
      <c r="O1584" s="12" t="str">
        <f t="shared" si="62"/>
        <v>ANZ</v>
      </c>
      <c r="P1584" s="12" t="str">
        <f t="shared" si="63"/>
        <v>EN_ZC</v>
      </c>
    </row>
    <row r="1585" spans="1:16" x14ac:dyDescent="0.35">
      <c r="A1585" t="s">
        <v>2383</v>
      </c>
      <c r="B1585" t="s">
        <v>68</v>
      </c>
      <c r="C1585" t="s">
        <v>45</v>
      </c>
      <c r="D1585" t="s">
        <v>33</v>
      </c>
      <c r="E1585" t="s">
        <v>96</v>
      </c>
      <c r="F1585" t="s">
        <v>96</v>
      </c>
      <c r="G1585" t="s">
        <v>96</v>
      </c>
      <c r="H1585">
        <v>2044</v>
      </c>
      <c r="I1585" t="s">
        <v>96</v>
      </c>
      <c r="J1585" t="s">
        <v>3112</v>
      </c>
      <c r="K1585" t="s">
        <v>96</v>
      </c>
      <c r="L1585" t="s">
        <v>96</v>
      </c>
      <c r="M1585">
        <v>3688.82821765479</v>
      </c>
      <c r="O1585" s="12" t="str">
        <f t="shared" si="62"/>
        <v>ANZ</v>
      </c>
      <c r="P1585" s="12" t="str">
        <f t="shared" si="63"/>
        <v>EN_ZC</v>
      </c>
    </row>
    <row r="1586" spans="1:16" x14ac:dyDescent="0.35">
      <c r="A1586" t="s">
        <v>2383</v>
      </c>
      <c r="B1586" t="s">
        <v>68</v>
      </c>
      <c r="C1586" t="s">
        <v>45</v>
      </c>
      <c r="D1586" t="s">
        <v>33</v>
      </c>
      <c r="E1586" t="s">
        <v>96</v>
      </c>
      <c r="F1586" t="s">
        <v>96</v>
      </c>
      <c r="G1586" t="s">
        <v>96</v>
      </c>
      <c r="H1586">
        <v>2045</v>
      </c>
      <c r="I1586" t="s">
        <v>96</v>
      </c>
      <c r="J1586" t="s">
        <v>3112</v>
      </c>
      <c r="K1586" t="s">
        <v>96</v>
      </c>
      <c r="L1586" t="s">
        <v>96</v>
      </c>
      <c r="M1586">
        <v>3644.5465455498938</v>
      </c>
      <c r="O1586" s="12" t="str">
        <f t="shared" si="62"/>
        <v>ANZ</v>
      </c>
      <c r="P1586" s="12" t="str">
        <f t="shared" si="63"/>
        <v>EN_ZC</v>
      </c>
    </row>
    <row r="1587" spans="1:16" x14ac:dyDescent="0.35">
      <c r="A1587" t="s">
        <v>2383</v>
      </c>
      <c r="B1587" t="s">
        <v>68</v>
      </c>
      <c r="C1587" t="s">
        <v>45</v>
      </c>
      <c r="D1587" t="s">
        <v>33</v>
      </c>
      <c r="E1587" t="s">
        <v>96</v>
      </c>
      <c r="F1587" t="s">
        <v>96</v>
      </c>
      <c r="G1587" t="s">
        <v>96</v>
      </c>
      <c r="H1587">
        <v>2046</v>
      </c>
      <c r="I1587" t="s">
        <v>96</v>
      </c>
      <c r="J1587" t="s">
        <v>3112</v>
      </c>
      <c r="K1587" t="s">
        <v>96</v>
      </c>
      <c r="L1587" t="s">
        <v>96</v>
      </c>
      <c r="M1587">
        <v>3596.4827904246408</v>
      </c>
      <c r="O1587" s="12" t="str">
        <f t="shared" si="62"/>
        <v>ANZ</v>
      </c>
      <c r="P1587" s="12" t="str">
        <f t="shared" si="63"/>
        <v>EN_ZC</v>
      </c>
    </row>
    <row r="1588" spans="1:16" x14ac:dyDescent="0.35">
      <c r="A1588" t="s">
        <v>2383</v>
      </c>
      <c r="B1588" t="s">
        <v>68</v>
      </c>
      <c r="C1588" t="s">
        <v>45</v>
      </c>
      <c r="D1588" t="s">
        <v>33</v>
      </c>
      <c r="E1588" t="s">
        <v>96</v>
      </c>
      <c r="F1588" t="s">
        <v>96</v>
      </c>
      <c r="G1588" t="s">
        <v>96</v>
      </c>
      <c r="H1588">
        <v>2047</v>
      </c>
      <c r="I1588" t="s">
        <v>96</v>
      </c>
      <c r="J1588" t="s">
        <v>3112</v>
      </c>
      <c r="K1588" t="s">
        <v>96</v>
      </c>
      <c r="L1588" t="s">
        <v>96</v>
      </c>
      <c r="M1588">
        <v>3551.8099148655847</v>
      </c>
      <c r="O1588" s="12" t="str">
        <f t="shared" si="62"/>
        <v>ANZ</v>
      </c>
      <c r="P1588" s="12" t="str">
        <f t="shared" si="63"/>
        <v>EN_ZC</v>
      </c>
    </row>
    <row r="1589" spans="1:16" x14ac:dyDescent="0.35">
      <c r="A1589" t="s">
        <v>2383</v>
      </c>
      <c r="B1589" t="s">
        <v>68</v>
      </c>
      <c r="C1589" t="s">
        <v>45</v>
      </c>
      <c r="D1589" t="s">
        <v>33</v>
      </c>
      <c r="E1589" t="s">
        <v>96</v>
      </c>
      <c r="F1589" t="s">
        <v>96</v>
      </c>
      <c r="G1589" t="s">
        <v>96</v>
      </c>
      <c r="H1589">
        <v>2048</v>
      </c>
      <c r="I1589" t="s">
        <v>96</v>
      </c>
      <c r="J1589" t="s">
        <v>3112</v>
      </c>
      <c r="K1589" t="s">
        <v>96</v>
      </c>
      <c r="L1589" t="s">
        <v>96</v>
      </c>
      <c r="M1589">
        <v>3507.1522890061115</v>
      </c>
      <c r="O1589" s="12" t="str">
        <f t="shared" si="62"/>
        <v>ANZ</v>
      </c>
      <c r="P1589" s="12" t="str">
        <f t="shared" si="63"/>
        <v>EN_ZC</v>
      </c>
    </row>
    <row r="1590" spans="1:16" x14ac:dyDescent="0.35">
      <c r="A1590" t="s">
        <v>2383</v>
      </c>
      <c r="B1590" t="s">
        <v>68</v>
      </c>
      <c r="C1590" t="s">
        <v>45</v>
      </c>
      <c r="D1590" t="s">
        <v>33</v>
      </c>
      <c r="E1590" t="s">
        <v>96</v>
      </c>
      <c r="F1590" t="s">
        <v>96</v>
      </c>
      <c r="G1590" t="s">
        <v>96</v>
      </c>
      <c r="H1590">
        <v>2049</v>
      </c>
      <c r="I1590" t="s">
        <v>96</v>
      </c>
      <c r="J1590" t="s">
        <v>3112</v>
      </c>
      <c r="K1590" t="s">
        <v>96</v>
      </c>
      <c r="L1590" t="s">
        <v>96</v>
      </c>
      <c r="M1590">
        <v>3462.5775456486786</v>
      </c>
      <c r="O1590" s="12" t="str">
        <f t="shared" si="62"/>
        <v>ANZ</v>
      </c>
      <c r="P1590" s="12" t="str">
        <f t="shared" si="63"/>
        <v>EN_ZC</v>
      </c>
    </row>
    <row r="1591" spans="1:16" x14ac:dyDescent="0.35">
      <c r="A1591" t="s">
        <v>2383</v>
      </c>
      <c r="B1591" t="s">
        <v>68</v>
      </c>
      <c r="C1591" t="s">
        <v>45</v>
      </c>
      <c r="D1591" t="s">
        <v>33</v>
      </c>
      <c r="E1591" t="s">
        <v>96</v>
      </c>
      <c r="F1591" t="s">
        <v>96</v>
      </c>
      <c r="G1591" t="s">
        <v>96</v>
      </c>
      <c r="H1591">
        <v>2050</v>
      </c>
      <c r="I1591" t="s">
        <v>96</v>
      </c>
      <c r="J1591" t="s">
        <v>3112</v>
      </c>
      <c r="K1591" t="s">
        <v>96</v>
      </c>
      <c r="L1591" t="s">
        <v>96</v>
      </c>
      <c r="M1591">
        <v>3418.4017423991841</v>
      </c>
      <c r="O1591" s="12" t="str">
        <f t="shared" si="62"/>
        <v>ANZ</v>
      </c>
      <c r="P1591" s="12" t="str">
        <f t="shared" si="63"/>
        <v>EN_ZC</v>
      </c>
    </row>
    <row r="1592" spans="1:16" x14ac:dyDescent="0.35">
      <c r="A1592" t="s">
        <v>2383</v>
      </c>
      <c r="B1592" t="s">
        <v>69</v>
      </c>
      <c r="C1592" t="s">
        <v>45</v>
      </c>
      <c r="D1592" t="s">
        <v>32</v>
      </c>
      <c r="E1592" t="s">
        <v>96</v>
      </c>
      <c r="F1592" t="s">
        <v>96</v>
      </c>
      <c r="G1592" t="s">
        <v>96</v>
      </c>
      <c r="H1592">
        <v>2010</v>
      </c>
      <c r="I1592" t="s">
        <v>96</v>
      </c>
      <c r="J1592" t="s">
        <v>2382</v>
      </c>
      <c r="K1592" t="s">
        <v>96</v>
      </c>
      <c r="L1592" t="s">
        <v>96</v>
      </c>
      <c r="M1592">
        <v>3011.6188355904783</v>
      </c>
      <c r="O1592" s="12" t="str">
        <f t="shared" si="62"/>
        <v>BRZ</v>
      </c>
      <c r="P1592" s="12" t="str">
        <f t="shared" si="63"/>
        <v>EN_CO</v>
      </c>
    </row>
    <row r="1593" spans="1:16" x14ac:dyDescent="0.35">
      <c r="A1593" t="s">
        <v>2383</v>
      </c>
      <c r="B1593" t="s">
        <v>69</v>
      </c>
      <c r="C1593" t="s">
        <v>45</v>
      </c>
      <c r="D1593" t="s">
        <v>31</v>
      </c>
      <c r="E1593" t="s">
        <v>96</v>
      </c>
      <c r="F1593" t="s">
        <v>96</v>
      </c>
      <c r="G1593" t="s">
        <v>96</v>
      </c>
      <c r="H1593">
        <v>2010</v>
      </c>
      <c r="I1593" t="s">
        <v>96</v>
      </c>
      <c r="J1593" t="s">
        <v>2382</v>
      </c>
      <c r="K1593" t="s">
        <v>96</v>
      </c>
      <c r="L1593" t="s">
        <v>96</v>
      </c>
      <c r="M1593">
        <v>1496.0993831573144</v>
      </c>
      <c r="O1593" s="12" t="str">
        <f t="shared" si="62"/>
        <v>BRZ</v>
      </c>
      <c r="P1593" s="12" t="str">
        <f t="shared" si="63"/>
        <v>EN_CO</v>
      </c>
    </row>
    <row r="1594" spans="1:16" x14ac:dyDescent="0.35">
      <c r="A1594" t="s">
        <v>2383</v>
      </c>
      <c r="B1594" t="s">
        <v>69</v>
      </c>
      <c r="C1594" t="s">
        <v>45</v>
      </c>
      <c r="D1594" t="s">
        <v>33</v>
      </c>
      <c r="E1594" t="s">
        <v>96</v>
      </c>
      <c r="F1594" t="s">
        <v>96</v>
      </c>
      <c r="G1594" t="s">
        <v>96</v>
      </c>
      <c r="H1594">
        <v>2019</v>
      </c>
      <c r="I1594" t="s">
        <v>96</v>
      </c>
      <c r="J1594" t="s">
        <v>3112</v>
      </c>
      <c r="K1594" t="s">
        <v>96</v>
      </c>
      <c r="L1594" t="s">
        <v>96</v>
      </c>
      <c r="M1594">
        <v>4629.788274226069</v>
      </c>
      <c r="O1594" s="12" t="str">
        <f t="shared" si="62"/>
        <v>BRZ</v>
      </c>
      <c r="P1594" s="12" t="str">
        <f t="shared" si="63"/>
        <v>EN_ZC</v>
      </c>
    </row>
    <row r="1595" spans="1:16" x14ac:dyDescent="0.35">
      <c r="A1595" t="s">
        <v>2383</v>
      </c>
      <c r="B1595" t="s">
        <v>69</v>
      </c>
      <c r="C1595" t="s">
        <v>45</v>
      </c>
      <c r="D1595" t="s">
        <v>33</v>
      </c>
      <c r="E1595" t="s">
        <v>96</v>
      </c>
      <c r="F1595" t="s">
        <v>96</v>
      </c>
      <c r="G1595" t="s">
        <v>96</v>
      </c>
      <c r="H1595">
        <v>2020</v>
      </c>
      <c r="I1595" t="s">
        <v>96</v>
      </c>
      <c r="J1595" t="s">
        <v>3112</v>
      </c>
      <c r="K1595" t="s">
        <v>96</v>
      </c>
      <c r="L1595" t="s">
        <v>96</v>
      </c>
      <c r="M1595">
        <v>4577.8659924134381</v>
      </c>
      <c r="O1595" s="12" t="str">
        <f t="shared" si="62"/>
        <v>BRZ</v>
      </c>
      <c r="P1595" s="12" t="str">
        <f t="shared" si="63"/>
        <v>EN_ZC</v>
      </c>
    </row>
    <row r="1596" spans="1:16" x14ac:dyDescent="0.35">
      <c r="A1596" t="s">
        <v>2383</v>
      </c>
      <c r="B1596" t="s">
        <v>69</v>
      </c>
      <c r="C1596" t="s">
        <v>45</v>
      </c>
      <c r="D1596" t="s">
        <v>33</v>
      </c>
      <c r="E1596" t="s">
        <v>96</v>
      </c>
      <c r="F1596" t="s">
        <v>96</v>
      </c>
      <c r="G1596" t="s">
        <v>96</v>
      </c>
      <c r="H1596">
        <v>2021</v>
      </c>
      <c r="I1596" t="s">
        <v>96</v>
      </c>
      <c r="J1596" t="s">
        <v>3112</v>
      </c>
      <c r="K1596" t="s">
        <v>96</v>
      </c>
      <c r="L1596" t="s">
        <v>96</v>
      </c>
      <c r="M1596">
        <v>4465.9344621995933</v>
      </c>
      <c r="O1596" s="12" t="str">
        <f t="shared" si="62"/>
        <v>BRZ</v>
      </c>
      <c r="P1596" s="12" t="str">
        <f t="shared" si="63"/>
        <v>EN_ZC</v>
      </c>
    </row>
    <row r="1597" spans="1:16" x14ac:dyDescent="0.35">
      <c r="A1597" t="s">
        <v>2383</v>
      </c>
      <c r="B1597" t="s">
        <v>69</v>
      </c>
      <c r="C1597" t="s">
        <v>45</v>
      </c>
      <c r="D1597" t="s">
        <v>33</v>
      </c>
      <c r="E1597" t="s">
        <v>96</v>
      </c>
      <c r="F1597" t="s">
        <v>96</v>
      </c>
      <c r="G1597" t="s">
        <v>96</v>
      </c>
      <c r="H1597">
        <v>2022</v>
      </c>
      <c r="I1597" t="s">
        <v>96</v>
      </c>
      <c r="J1597" t="s">
        <v>3112</v>
      </c>
      <c r="K1597" t="s">
        <v>96</v>
      </c>
      <c r="L1597" t="s">
        <v>96</v>
      </c>
      <c r="M1597">
        <v>4396.378251079429</v>
      </c>
      <c r="O1597" s="12" t="str">
        <f t="shared" si="62"/>
        <v>BRZ</v>
      </c>
      <c r="P1597" s="12" t="str">
        <f t="shared" si="63"/>
        <v>EN_ZC</v>
      </c>
    </row>
    <row r="1598" spans="1:16" x14ac:dyDescent="0.35">
      <c r="A1598" t="s">
        <v>2383</v>
      </c>
      <c r="B1598" t="s">
        <v>69</v>
      </c>
      <c r="C1598" t="s">
        <v>45</v>
      </c>
      <c r="D1598" t="s">
        <v>33</v>
      </c>
      <c r="E1598" t="s">
        <v>96</v>
      </c>
      <c r="F1598" t="s">
        <v>96</v>
      </c>
      <c r="G1598" t="s">
        <v>96</v>
      </c>
      <c r="H1598">
        <v>2023</v>
      </c>
      <c r="I1598" t="s">
        <v>96</v>
      </c>
      <c r="J1598" t="s">
        <v>3112</v>
      </c>
      <c r="K1598" t="s">
        <v>96</v>
      </c>
      <c r="L1598" t="s">
        <v>96</v>
      </c>
      <c r="M1598">
        <v>4347.1733732688417</v>
      </c>
      <c r="O1598" s="12" t="str">
        <f t="shared" si="62"/>
        <v>BRZ</v>
      </c>
      <c r="P1598" s="12" t="str">
        <f t="shared" si="63"/>
        <v>EN_ZC</v>
      </c>
    </row>
    <row r="1599" spans="1:16" x14ac:dyDescent="0.35">
      <c r="A1599" t="s">
        <v>2383</v>
      </c>
      <c r="B1599" t="s">
        <v>69</v>
      </c>
      <c r="C1599" t="s">
        <v>45</v>
      </c>
      <c r="D1599" t="s">
        <v>33</v>
      </c>
      <c r="E1599" t="s">
        <v>96</v>
      </c>
      <c r="F1599" t="s">
        <v>96</v>
      </c>
      <c r="G1599" t="s">
        <v>96</v>
      </c>
      <c r="H1599">
        <v>2024</v>
      </c>
      <c r="I1599" t="s">
        <v>96</v>
      </c>
      <c r="J1599" t="s">
        <v>3112</v>
      </c>
      <c r="K1599" t="s">
        <v>96</v>
      </c>
      <c r="L1599" t="s">
        <v>96</v>
      </c>
      <c r="M1599">
        <v>4307.5347909470484</v>
      </c>
      <c r="O1599" s="12" t="str">
        <f t="shared" si="62"/>
        <v>BRZ</v>
      </c>
      <c r="P1599" s="12" t="str">
        <f t="shared" si="63"/>
        <v>EN_ZC</v>
      </c>
    </row>
    <row r="1600" spans="1:16" x14ac:dyDescent="0.35">
      <c r="A1600" t="s">
        <v>2383</v>
      </c>
      <c r="B1600" t="s">
        <v>69</v>
      </c>
      <c r="C1600" t="s">
        <v>45</v>
      </c>
      <c r="D1600" t="s">
        <v>33</v>
      </c>
      <c r="E1600" t="s">
        <v>96</v>
      </c>
      <c r="F1600" t="s">
        <v>96</v>
      </c>
      <c r="G1600" t="s">
        <v>96</v>
      </c>
      <c r="H1600">
        <v>2025</v>
      </c>
      <c r="I1600" t="s">
        <v>96</v>
      </c>
      <c r="J1600" t="s">
        <v>3112</v>
      </c>
      <c r="K1600" t="s">
        <v>96</v>
      </c>
      <c r="L1600" t="s">
        <v>96</v>
      </c>
      <c r="M1600">
        <v>4275.2582120162961</v>
      </c>
      <c r="O1600" s="12" t="str">
        <f t="shared" si="62"/>
        <v>BRZ</v>
      </c>
      <c r="P1600" s="12" t="str">
        <f t="shared" si="63"/>
        <v>EN_ZC</v>
      </c>
    </row>
    <row r="1601" spans="1:16" x14ac:dyDescent="0.35">
      <c r="A1601" t="s">
        <v>2383</v>
      </c>
      <c r="B1601" t="s">
        <v>69</v>
      </c>
      <c r="C1601" t="s">
        <v>45</v>
      </c>
      <c r="D1601" t="s">
        <v>33</v>
      </c>
      <c r="E1601" t="s">
        <v>96</v>
      </c>
      <c r="F1601" t="s">
        <v>96</v>
      </c>
      <c r="G1601" t="s">
        <v>96</v>
      </c>
      <c r="H1601">
        <v>2026</v>
      </c>
      <c r="I1601" t="s">
        <v>96</v>
      </c>
      <c r="J1601" t="s">
        <v>3112</v>
      </c>
      <c r="K1601" t="s">
        <v>96</v>
      </c>
      <c r="L1601" t="s">
        <v>96</v>
      </c>
      <c r="M1601">
        <v>4232.7161517006107</v>
      </c>
      <c r="O1601" s="12" t="str">
        <f t="shared" si="62"/>
        <v>BRZ</v>
      </c>
      <c r="P1601" s="12" t="str">
        <f t="shared" si="63"/>
        <v>EN_ZC</v>
      </c>
    </row>
    <row r="1602" spans="1:16" x14ac:dyDescent="0.35">
      <c r="A1602" t="s">
        <v>2383</v>
      </c>
      <c r="B1602" t="s">
        <v>69</v>
      </c>
      <c r="C1602" t="s">
        <v>45</v>
      </c>
      <c r="D1602" t="s">
        <v>33</v>
      </c>
      <c r="E1602" t="s">
        <v>96</v>
      </c>
      <c r="F1602" t="s">
        <v>96</v>
      </c>
      <c r="G1602" t="s">
        <v>96</v>
      </c>
      <c r="H1602">
        <v>2027</v>
      </c>
      <c r="I1602" t="s">
        <v>96</v>
      </c>
      <c r="J1602" t="s">
        <v>3112</v>
      </c>
      <c r="K1602" t="s">
        <v>96</v>
      </c>
      <c r="L1602" t="s">
        <v>96</v>
      </c>
      <c r="M1602">
        <v>4181.8269424032578</v>
      </c>
      <c r="O1602" s="12" t="str">
        <f t="shared" si="62"/>
        <v>BRZ</v>
      </c>
      <c r="P1602" s="12" t="str">
        <f t="shared" si="63"/>
        <v>EN_ZC</v>
      </c>
    </row>
    <row r="1603" spans="1:16" x14ac:dyDescent="0.35">
      <c r="A1603" t="s">
        <v>2383</v>
      </c>
      <c r="B1603" t="s">
        <v>69</v>
      </c>
      <c r="C1603" t="s">
        <v>45</v>
      </c>
      <c r="D1603" t="s">
        <v>33</v>
      </c>
      <c r="E1603" t="s">
        <v>96</v>
      </c>
      <c r="F1603" t="s">
        <v>96</v>
      </c>
      <c r="G1603" t="s">
        <v>96</v>
      </c>
      <c r="H1603">
        <v>2028</v>
      </c>
      <c r="I1603" t="s">
        <v>96</v>
      </c>
      <c r="J1603" t="s">
        <v>3112</v>
      </c>
      <c r="K1603" t="s">
        <v>96</v>
      </c>
      <c r="L1603" t="s">
        <v>96</v>
      </c>
      <c r="M1603">
        <v>4125.0119636456229</v>
      </c>
      <c r="O1603" s="12" t="str">
        <f t="shared" ref="O1603:O1666" si="64">LEFT(B1603,3)</f>
        <v>BRZ</v>
      </c>
      <c r="P1603" s="12" t="str">
        <f t="shared" ref="P1603:P1666" si="65">LEFT(D1603,5)</f>
        <v>EN_ZC</v>
      </c>
    </row>
    <row r="1604" spans="1:16" x14ac:dyDescent="0.35">
      <c r="A1604" t="s">
        <v>2383</v>
      </c>
      <c r="B1604" t="s">
        <v>69</v>
      </c>
      <c r="C1604" t="s">
        <v>45</v>
      </c>
      <c r="D1604" t="s">
        <v>33</v>
      </c>
      <c r="E1604" t="s">
        <v>96</v>
      </c>
      <c r="F1604" t="s">
        <v>96</v>
      </c>
      <c r="G1604" t="s">
        <v>96</v>
      </c>
      <c r="H1604">
        <v>2029</v>
      </c>
      <c r="I1604" t="s">
        <v>96</v>
      </c>
      <c r="J1604" t="s">
        <v>3112</v>
      </c>
      <c r="K1604" t="s">
        <v>96</v>
      </c>
      <c r="L1604" t="s">
        <v>96</v>
      </c>
      <c r="M1604">
        <v>4066.7200727902273</v>
      </c>
      <c r="O1604" s="12" t="str">
        <f t="shared" si="64"/>
        <v>BRZ</v>
      </c>
      <c r="P1604" s="12" t="str">
        <f t="shared" si="65"/>
        <v>EN_ZC</v>
      </c>
    </row>
    <row r="1605" spans="1:16" x14ac:dyDescent="0.35">
      <c r="A1605" t="s">
        <v>2383</v>
      </c>
      <c r="B1605" t="s">
        <v>69</v>
      </c>
      <c r="C1605" t="s">
        <v>45</v>
      </c>
      <c r="D1605" t="s">
        <v>33</v>
      </c>
      <c r="E1605" t="s">
        <v>96</v>
      </c>
      <c r="F1605" t="s">
        <v>96</v>
      </c>
      <c r="G1605" t="s">
        <v>96</v>
      </c>
      <c r="H1605">
        <v>2030</v>
      </c>
      <c r="I1605" t="s">
        <v>96</v>
      </c>
      <c r="J1605" t="s">
        <v>3112</v>
      </c>
      <c r="K1605" t="s">
        <v>96</v>
      </c>
      <c r="L1605" t="s">
        <v>96</v>
      </c>
      <c r="M1605">
        <v>4015.3628591853335</v>
      </c>
      <c r="O1605" s="12" t="str">
        <f t="shared" si="64"/>
        <v>BRZ</v>
      </c>
      <c r="P1605" s="12" t="str">
        <f t="shared" si="65"/>
        <v>EN_ZC</v>
      </c>
    </row>
    <row r="1606" spans="1:16" x14ac:dyDescent="0.35">
      <c r="A1606" t="s">
        <v>2383</v>
      </c>
      <c r="B1606" t="s">
        <v>69</v>
      </c>
      <c r="C1606" t="s">
        <v>45</v>
      </c>
      <c r="D1606" t="s">
        <v>33</v>
      </c>
      <c r="E1606" t="s">
        <v>96</v>
      </c>
      <c r="F1606" t="s">
        <v>96</v>
      </c>
      <c r="G1606" t="s">
        <v>96</v>
      </c>
      <c r="H1606">
        <v>2031</v>
      </c>
      <c r="I1606" t="s">
        <v>96</v>
      </c>
      <c r="J1606" t="s">
        <v>3112</v>
      </c>
      <c r="K1606" t="s">
        <v>96</v>
      </c>
      <c r="L1606" t="s">
        <v>96</v>
      </c>
      <c r="M1606">
        <v>3964.2674389002036</v>
      </c>
      <c r="O1606" s="12" t="str">
        <f t="shared" si="64"/>
        <v>BRZ</v>
      </c>
      <c r="P1606" s="12" t="str">
        <f t="shared" si="65"/>
        <v>EN_ZC</v>
      </c>
    </row>
    <row r="1607" spans="1:16" x14ac:dyDescent="0.35">
      <c r="A1607" t="s">
        <v>2383</v>
      </c>
      <c r="B1607" t="s">
        <v>69</v>
      </c>
      <c r="C1607" t="s">
        <v>45</v>
      </c>
      <c r="D1607" t="s">
        <v>33</v>
      </c>
      <c r="E1607" t="s">
        <v>96</v>
      </c>
      <c r="F1607" t="s">
        <v>96</v>
      </c>
      <c r="G1607" t="s">
        <v>96</v>
      </c>
      <c r="H1607">
        <v>2032</v>
      </c>
      <c r="I1607" t="s">
        <v>96</v>
      </c>
      <c r="J1607" t="s">
        <v>3112</v>
      </c>
      <c r="K1607" t="s">
        <v>96</v>
      </c>
      <c r="L1607" t="s">
        <v>96</v>
      </c>
      <c r="M1607">
        <v>3913.3315102545807</v>
      </c>
      <c r="O1607" s="12" t="str">
        <f t="shared" si="64"/>
        <v>BRZ</v>
      </c>
      <c r="P1607" s="12" t="str">
        <f t="shared" si="65"/>
        <v>EN_ZC</v>
      </c>
    </row>
    <row r="1608" spans="1:16" x14ac:dyDescent="0.35">
      <c r="A1608" t="s">
        <v>2383</v>
      </c>
      <c r="B1608" t="s">
        <v>69</v>
      </c>
      <c r="C1608" t="s">
        <v>45</v>
      </c>
      <c r="D1608" t="s">
        <v>33</v>
      </c>
      <c r="E1608" t="s">
        <v>96</v>
      </c>
      <c r="F1608" t="s">
        <v>96</v>
      </c>
      <c r="G1608" t="s">
        <v>96</v>
      </c>
      <c r="H1608">
        <v>2033</v>
      </c>
      <c r="I1608" t="s">
        <v>96</v>
      </c>
      <c r="J1608" t="s">
        <v>3112</v>
      </c>
      <c r="K1608" t="s">
        <v>96</v>
      </c>
      <c r="L1608" t="s">
        <v>96</v>
      </c>
      <c r="M1608">
        <v>3864.686868696539</v>
      </c>
      <c r="O1608" s="12" t="str">
        <f t="shared" si="64"/>
        <v>BRZ</v>
      </c>
      <c r="P1608" s="12" t="str">
        <f t="shared" si="65"/>
        <v>EN_ZC</v>
      </c>
    </row>
    <row r="1609" spans="1:16" x14ac:dyDescent="0.35">
      <c r="A1609" t="s">
        <v>2383</v>
      </c>
      <c r="B1609" t="s">
        <v>69</v>
      </c>
      <c r="C1609" t="s">
        <v>45</v>
      </c>
      <c r="D1609" t="s">
        <v>33</v>
      </c>
      <c r="E1609" t="s">
        <v>96</v>
      </c>
      <c r="F1609" t="s">
        <v>96</v>
      </c>
      <c r="G1609" t="s">
        <v>96</v>
      </c>
      <c r="H1609">
        <v>2034</v>
      </c>
      <c r="I1609" t="s">
        <v>96</v>
      </c>
      <c r="J1609" t="s">
        <v>3112</v>
      </c>
      <c r="K1609" t="s">
        <v>96</v>
      </c>
      <c r="L1609" t="s">
        <v>96</v>
      </c>
      <c r="M1609">
        <v>3816.6665012321773</v>
      </c>
      <c r="O1609" s="12" t="str">
        <f t="shared" si="64"/>
        <v>BRZ</v>
      </c>
      <c r="P1609" s="12" t="str">
        <f t="shared" si="65"/>
        <v>EN_ZC</v>
      </c>
    </row>
    <row r="1610" spans="1:16" x14ac:dyDescent="0.35">
      <c r="A1610" t="s">
        <v>2383</v>
      </c>
      <c r="B1610" t="s">
        <v>69</v>
      </c>
      <c r="C1610" t="s">
        <v>45</v>
      </c>
      <c r="D1610" t="s">
        <v>33</v>
      </c>
      <c r="E1610" t="s">
        <v>96</v>
      </c>
      <c r="F1610" t="s">
        <v>96</v>
      </c>
      <c r="G1610" t="s">
        <v>96</v>
      </c>
      <c r="H1610">
        <v>2035</v>
      </c>
      <c r="I1610" t="s">
        <v>96</v>
      </c>
      <c r="J1610" t="s">
        <v>3112</v>
      </c>
      <c r="K1610" t="s">
        <v>96</v>
      </c>
      <c r="L1610" t="s">
        <v>96</v>
      </c>
      <c r="M1610">
        <v>3766.2904046639551</v>
      </c>
      <c r="O1610" s="12" t="str">
        <f t="shared" si="64"/>
        <v>BRZ</v>
      </c>
      <c r="P1610" s="12" t="str">
        <f t="shared" si="65"/>
        <v>EN_ZC</v>
      </c>
    </row>
    <row r="1611" spans="1:16" x14ac:dyDescent="0.35">
      <c r="A1611" t="s">
        <v>2383</v>
      </c>
      <c r="B1611" t="s">
        <v>69</v>
      </c>
      <c r="C1611" t="s">
        <v>45</v>
      </c>
      <c r="D1611" t="s">
        <v>33</v>
      </c>
      <c r="E1611" t="s">
        <v>96</v>
      </c>
      <c r="F1611" t="s">
        <v>96</v>
      </c>
      <c r="G1611" t="s">
        <v>96</v>
      </c>
      <c r="H1611">
        <v>2036</v>
      </c>
      <c r="I1611" t="s">
        <v>96</v>
      </c>
      <c r="J1611" t="s">
        <v>3112</v>
      </c>
      <c r="K1611" t="s">
        <v>96</v>
      </c>
      <c r="L1611" t="s">
        <v>96</v>
      </c>
      <c r="M1611">
        <v>3718.3389086456227</v>
      </c>
      <c r="O1611" s="12" t="str">
        <f t="shared" si="64"/>
        <v>BRZ</v>
      </c>
      <c r="P1611" s="12" t="str">
        <f t="shared" si="65"/>
        <v>EN_ZC</v>
      </c>
    </row>
    <row r="1612" spans="1:16" x14ac:dyDescent="0.35">
      <c r="A1612" t="s">
        <v>2383</v>
      </c>
      <c r="B1612" t="s">
        <v>69</v>
      </c>
      <c r="C1612" t="s">
        <v>45</v>
      </c>
      <c r="D1612" t="s">
        <v>33</v>
      </c>
      <c r="E1612" t="s">
        <v>96</v>
      </c>
      <c r="F1612" t="s">
        <v>96</v>
      </c>
      <c r="G1612" t="s">
        <v>96</v>
      </c>
      <c r="H1612">
        <v>2037</v>
      </c>
      <c r="I1612" t="s">
        <v>96</v>
      </c>
      <c r="J1612" t="s">
        <v>3112</v>
      </c>
      <c r="K1612" t="s">
        <v>96</v>
      </c>
      <c r="L1612" t="s">
        <v>96</v>
      </c>
      <c r="M1612">
        <v>3671.1752060896165</v>
      </c>
      <c r="O1612" s="12" t="str">
        <f t="shared" si="64"/>
        <v>BRZ</v>
      </c>
      <c r="P1612" s="12" t="str">
        <f t="shared" si="65"/>
        <v>EN_ZC</v>
      </c>
    </row>
    <row r="1613" spans="1:16" x14ac:dyDescent="0.35">
      <c r="A1613" t="s">
        <v>2383</v>
      </c>
      <c r="B1613" t="s">
        <v>69</v>
      </c>
      <c r="C1613" t="s">
        <v>45</v>
      </c>
      <c r="D1613" t="s">
        <v>33</v>
      </c>
      <c r="E1613" t="s">
        <v>96</v>
      </c>
      <c r="F1613" t="s">
        <v>96</v>
      </c>
      <c r="G1613" t="s">
        <v>96</v>
      </c>
      <c r="H1613">
        <v>2038</v>
      </c>
      <c r="I1613" t="s">
        <v>96</v>
      </c>
      <c r="J1613" t="s">
        <v>3112</v>
      </c>
      <c r="K1613" t="s">
        <v>96</v>
      </c>
      <c r="L1613" t="s">
        <v>96</v>
      </c>
      <c r="M1613">
        <v>3625.6616013849257</v>
      </c>
      <c r="O1613" s="12" t="str">
        <f t="shared" si="64"/>
        <v>BRZ</v>
      </c>
      <c r="P1613" s="12" t="str">
        <f t="shared" si="65"/>
        <v>EN_ZC</v>
      </c>
    </row>
    <row r="1614" spans="1:16" x14ac:dyDescent="0.35">
      <c r="A1614" t="s">
        <v>2383</v>
      </c>
      <c r="B1614" t="s">
        <v>69</v>
      </c>
      <c r="C1614" t="s">
        <v>45</v>
      </c>
      <c r="D1614" t="s">
        <v>33</v>
      </c>
      <c r="E1614" t="s">
        <v>96</v>
      </c>
      <c r="F1614" t="s">
        <v>96</v>
      </c>
      <c r="G1614" t="s">
        <v>96</v>
      </c>
      <c r="H1614">
        <v>2039</v>
      </c>
      <c r="I1614" t="s">
        <v>96</v>
      </c>
      <c r="J1614" t="s">
        <v>3112</v>
      </c>
      <c r="K1614" t="s">
        <v>96</v>
      </c>
      <c r="L1614" t="s">
        <v>96</v>
      </c>
      <c r="M1614">
        <v>3579.774236945012</v>
      </c>
      <c r="O1614" s="12" t="str">
        <f t="shared" si="64"/>
        <v>BRZ</v>
      </c>
      <c r="P1614" s="12" t="str">
        <f t="shared" si="65"/>
        <v>EN_ZC</v>
      </c>
    </row>
    <row r="1615" spans="1:16" x14ac:dyDescent="0.35">
      <c r="A1615" t="s">
        <v>2383</v>
      </c>
      <c r="B1615" t="s">
        <v>69</v>
      </c>
      <c r="C1615" t="s">
        <v>45</v>
      </c>
      <c r="D1615" t="s">
        <v>33</v>
      </c>
      <c r="E1615" t="s">
        <v>96</v>
      </c>
      <c r="F1615" t="s">
        <v>96</v>
      </c>
      <c r="G1615" t="s">
        <v>96</v>
      </c>
      <c r="H1615">
        <v>2040</v>
      </c>
      <c r="I1615" t="s">
        <v>96</v>
      </c>
      <c r="J1615" t="s">
        <v>3112</v>
      </c>
      <c r="K1615" t="s">
        <v>96</v>
      </c>
      <c r="L1615" t="s">
        <v>96</v>
      </c>
      <c r="M1615">
        <v>3535.4318501731168</v>
      </c>
      <c r="O1615" s="12" t="str">
        <f t="shared" si="64"/>
        <v>BRZ</v>
      </c>
      <c r="P1615" s="12" t="str">
        <f t="shared" si="65"/>
        <v>EN_ZC</v>
      </c>
    </row>
    <row r="1616" spans="1:16" x14ac:dyDescent="0.35">
      <c r="A1616" t="s">
        <v>2383</v>
      </c>
      <c r="B1616" t="s">
        <v>69</v>
      </c>
      <c r="C1616" t="s">
        <v>45</v>
      </c>
      <c r="D1616" t="s">
        <v>33</v>
      </c>
      <c r="E1616" t="s">
        <v>96</v>
      </c>
      <c r="F1616" t="s">
        <v>96</v>
      </c>
      <c r="G1616" t="s">
        <v>96</v>
      </c>
      <c r="H1616">
        <v>2041</v>
      </c>
      <c r="I1616" t="s">
        <v>96</v>
      </c>
      <c r="J1616" t="s">
        <v>3112</v>
      </c>
      <c r="K1616" t="s">
        <v>96</v>
      </c>
      <c r="L1616" t="s">
        <v>96</v>
      </c>
      <c r="M1616">
        <v>3492.1515350712843</v>
      </c>
      <c r="O1616" s="12" t="str">
        <f t="shared" si="64"/>
        <v>BRZ</v>
      </c>
      <c r="P1616" s="12" t="str">
        <f t="shared" si="65"/>
        <v>EN_ZC</v>
      </c>
    </row>
    <row r="1617" spans="1:16" x14ac:dyDescent="0.35">
      <c r="A1617" t="s">
        <v>2383</v>
      </c>
      <c r="B1617" t="s">
        <v>69</v>
      </c>
      <c r="C1617" t="s">
        <v>45</v>
      </c>
      <c r="D1617" t="s">
        <v>33</v>
      </c>
      <c r="E1617" t="s">
        <v>96</v>
      </c>
      <c r="F1617" t="s">
        <v>96</v>
      </c>
      <c r="G1617" t="s">
        <v>96</v>
      </c>
      <c r="H1617">
        <v>2042</v>
      </c>
      <c r="I1617" t="s">
        <v>96</v>
      </c>
      <c r="J1617" t="s">
        <v>3112</v>
      </c>
      <c r="K1617" t="s">
        <v>96</v>
      </c>
      <c r="L1617" t="s">
        <v>96</v>
      </c>
      <c r="M1617">
        <v>3446.3511664460302</v>
      </c>
      <c r="O1617" s="12" t="str">
        <f t="shared" si="64"/>
        <v>BRZ</v>
      </c>
      <c r="P1617" s="12" t="str">
        <f t="shared" si="65"/>
        <v>EN_ZC</v>
      </c>
    </row>
    <row r="1618" spans="1:16" x14ac:dyDescent="0.35">
      <c r="A1618" t="s">
        <v>2383</v>
      </c>
      <c r="B1618" t="s">
        <v>69</v>
      </c>
      <c r="C1618" t="s">
        <v>45</v>
      </c>
      <c r="D1618" t="s">
        <v>33</v>
      </c>
      <c r="E1618" t="s">
        <v>96</v>
      </c>
      <c r="F1618" t="s">
        <v>96</v>
      </c>
      <c r="G1618" t="s">
        <v>96</v>
      </c>
      <c r="H1618">
        <v>2043</v>
      </c>
      <c r="I1618" t="s">
        <v>96</v>
      </c>
      <c r="J1618" t="s">
        <v>3112</v>
      </c>
      <c r="K1618" t="s">
        <v>96</v>
      </c>
      <c r="L1618" t="s">
        <v>96</v>
      </c>
      <c r="M1618">
        <v>3405.823295682279</v>
      </c>
      <c r="O1618" s="12" t="str">
        <f t="shared" si="64"/>
        <v>BRZ</v>
      </c>
      <c r="P1618" s="12" t="str">
        <f t="shared" si="65"/>
        <v>EN_ZC</v>
      </c>
    </row>
    <row r="1619" spans="1:16" x14ac:dyDescent="0.35">
      <c r="A1619" t="s">
        <v>2383</v>
      </c>
      <c r="B1619" t="s">
        <v>69</v>
      </c>
      <c r="C1619" t="s">
        <v>45</v>
      </c>
      <c r="D1619" t="s">
        <v>33</v>
      </c>
      <c r="E1619" t="s">
        <v>96</v>
      </c>
      <c r="F1619" t="s">
        <v>96</v>
      </c>
      <c r="G1619" t="s">
        <v>96</v>
      </c>
      <c r="H1619">
        <v>2044</v>
      </c>
      <c r="I1619" t="s">
        <v>96</v>
      </c>
      <c r="J1619" t="s">
        <v>3112</v>
      </c>
      <c r="K1619" t="s">
        <v>96</v>
      </c>
      <c r="L1619" t="s">
        <v>96</v>
      </c>
      <c r="M1619">
        <v>3361.0245852647695</v>
      </c>
      <c r="O1619" s="12" t="str">
        <f t="shared" si="64"/>
        <v>BRZ</v>
      </c>
      <c r="P1619" s="12" t="str">
        <f t="shared" si="65"/>
        <v>EN_ZC</v>
      </c>
    </row>
    <row r="1620" spans="1:16" x14ac:dyDescent="0.35">
      <c r="A1620" t="s">
        <v>2383</v>
      </c>
      <c r="B1620" t="s">
        <v>69</v>
      </c>
      <c r="C1620" t="s">
        <v>45</v>
      </c>
      <c r="D1620" t="s">
        <v>33</v>
      </c>
      <c r="E1620" t="s">
        <v>96</v>
      </c>
      <c r="F1620" t="s">
        <v>96</v>
      </c>
      <c r="G1620" t="s">
        <v>96</v>
      </c>
      <c r="H1620">
        <v>2045</v>
      </c>
      <c r="I1620" t="s">
        <v>96</v>
      </c>
      <c r="J1620" t="s">
        <v>3112</v>
      </c>
      <c r="K1620" t="s">
        <v>96</v>
      </c>
      <c r="L1620" t="s">
        <v>96</v>
      </c>
      <c r="M1620">
        <v>3320.6779548879799</v>
      </c>
      <c r="O1620" s="12" t="str">
        <f t="shared" si="64"/>
        <v>BRZ</v>
      </c>
      <c r="P1620" s="12" t="str">
        <f t="shared" si="65"/>
        <v>EN_ZC</v>
      </c>
    </row>
    <row r="1621" spans="1:16" x14ac:dyDescent="0.35">
      <c r="A1621" t="s">
        <v>2383</v>
      </c>
      <c r="B1621" t="s">
        <v>69</v>
      </c>
      <c r="C1621" t="s">
        <v>45</v>
      </c>
      <c r="D1621" t="s">
        <v>33</v>
      </c>
      <c r="E1621" t="s">
        <v>96</v>
      </c>
      <c r="F1621" t="s">
        <v>96</v>
      </c>
      <c r="G1621" t="s">
        <v>96</v>
      </c>
      <c r="H1621">
        <v>2046</v>
      </c>
      <c r="I1621" t="s">
        <v>96</v>
      </c>
      <c r="J1621" t="s">
        <v>3112</v>
      </c>
      <c r="K1621" t="s">
        <v>96</v>
      </c>
      <c r="L1621" t="s">
        <v>96</v>
      </c>
      <c r="M1621">
        <v>3276.8853321079405</v>
      </c>
      <c r="O1621" s="12" t="str">
        <f t="shared" si="64"/>
        <v>BRZ</v>
      </c>
      <c r="P1621" s="12" t="str">
        <f t="shared" si="65"/>
        <v>EN_ZC</v>
      </c>
    </row>
    <row r="1622" spans="1:16" x14ac:dyDescent="0.35">
      <c r="A1622" t="s">
        <v>2383</v>
      </c>
      <c r="B1622" t="s">
        <v>69</v>
      </c>
      <c r="C1622" t="s">
        <v>45</v>
      </c>
      <c r="D1622" t="s">
        <v>33</v>
      </c>
      <c r="E1622" t="s">
        <v>96</v>
      </c>
      <c r="F1622" t="s">
        <v>96</v>
      </c>
      <c r="G1622" t="s">
        <v>96</v>
      </c>
      <c r="H1622">
        <v>2047</v>
      </c>
      <c r="I1622" t="s">
        <v>96</v>
      </c>
      <c r="J1622" t="s">
        <v>3112</v>
      </c>
      <c r="K1622" t="s">
        <v>96</v>
      </c>
      <c r="L1622" t="s">
        <v>96</v>
      </c>
      <c r="M1622">
        <v>3236.1822621384968</v>
      </c>
      <c r="O1622" s="12" t="str">
        <f t="shared" si="64"/>
        <v>BRZ</v>
      </c>
      <c r="P1622" s="12" t="str">
        <f t="shared" si="65"/>
        <v>EN_ZC</v>
      </c>
    </row>
    <row r="1623" spans="1:16" x14ac:dyDescent="0.35">
      <c r="A1623" t="s">
        <v>2383</v>
      </c>
      <c r="B1623" t="s">
        <v>69</v>
      </c>
      <c r="C1623" t="s">
        <v>45</v>
      </c>
      <c r="D1623" t="s">
        <v>33</v>
      </c>
      <c r="E1623" t="s">
        <v>96</v>
      </c>
      <c r="F1623" t="s">
        <v>96</v>
      </c>
      <c r="G1623" t="s">
        <v>96</v>
      </c>
      <c r="H1623">
        <v>2048</v>
      </c>
      <c r="I1623" t="s">
        <v>96</v>
      </c>
      <c r="J1623" t="s">
        <v>3112</v>
      </c>
      <c r="K1623" t="s">
        <v>96</v>
      </c>
      <c r="L1623" t="s">
        <v>96</v>
      </c>
      <c r="M1623">
        <v>3195.4930867209791</v>
      </c>
      <c r="O1623" s="12" t="str">
        <f t="shared" si="64"/>
        <v>BRZ</v>
      </c>
      <c r="P1623" s="12" t="str">
        <f t="shared" si="65"/>
        <v>EN_ZC</v>
      </c>
    </row>
    <row r="1624" spans="1:16" x14ac:dyDescent="0.35">
      <c r="A1624" t="s">
        <v>2383</v>
      </c>
      <c r="B1624" t="s">
        <v>69</v>
      </c>
      <c r="C1624" t="s">
        <v>45</v>
      </c>
      <c r="D1624" t="s">
        <v>33</v>
      </c>
      <c r="E1624" t="s">
        <v>96</v>
      </c>
      <c r="F1624" t="s">
        <v>96</v>
      </c>
      <c r="G1624" t="s">
        <v>96</v>
      </c>
      <c r="H1624">
        <v>2049</v>
      </c>
      <c r="I1624" t="s">
        <v>96</v>
      </c>
      <c r="J1624" t="s">
        <v>3112</v>
      </c>
      <c r="K1624" t="s">
        <v>96</v>
      </c>
      <c r="L1624" t="s">
        <v>96</v>
      </c>
      <c r="M1624">
        <v>3154.8794285437907</v>
      </c>
      <c r="O1624" s="12" t="str">
        <f t="shared" si="64"/>
        <v>BRZ</v>
      </c>
      <c r="P1624" s="12" t="str">
        <f t="shared" si="65"/>
        <v>EN_ZC</v>
      </c>
    </row>
    <row r="1625" spans="1:16" x14ac:dyDescent="0.35">
      <c r="A1625" t="s">
        <v>2383</v>
      </c>
      <c r="B1625" t="s">
        <v>69</v>
      </c>
      <c r="C1625" t="s">
        <v>45</v>
      </c>
      <c r="D1625" t="s">
        <v>33</v>
      </c>
      <c r="E1625" t="s">
        <v>96</v>
      </c>
      <c r="F1625" t="s">
        <v>96</v>
      </c>
      <c r="G1625" t="s">
        <v>96</v>
      </c>
      <c r="H1625">
        <v>2050</v>
      </c>
      <c r="I1625" t="s">
        <v>96</v>
      </c>
      <c r="J1625" t="s">
        <v>3112</v>
      </c>
      <c r="K1625" t="s">
        <v>96</v>
      </c>
      <c r="L1625" t="s">
        <v>96</v>
      </c>
      <c r="M1625">
        <v>3114.6292591038687</v>
      </c>
      <c r="O1625" s="12" t="str">
        <f t="shared" si="64"/>
        <v>BRZ</v>
      </c>
      <c r="P1625" s="12" t="str">
        <f t="shared" si="65"/>
        <v>EN_ZC</v>
      </c>
    </row>
    <row r="1626" spans="1:16" x14ac:dyDescent="0.35">
      <c r="A1626" t="s">
        <v>2383</v>
      </c>
      <c r="B1626" t="s">
        <v>70</v>
      </c>
      <c r="C1626" t="s">
        <v>45</v>
      </c>
      <c r="D1626" t="s">
        <v>32</v>
      </c>
      <c r="E1626" t="s">
        <v>96</v>
      </c>
      <c r="F1626" t="s">
        <v>96</v>
      </c>
      <c r="G1626" t="s">
        <v>96</v>
      </c>
      <c r="H1626">
        <v>2010</v>
      </c>
      <c r="I1626" t="s">
        <v>96</v>
      </c>
      <c r="J1626" t="s">
        <v>2382</v>
      </c>
      <c r="K1626" t="s">
        <v>96</v>
      </c>
      <c r="L1626" t="s">
        <v>96</v>
      </c>
      <c r="M1626">
        <v>3305.3446232591791</v>
      </c>
      <c r="O1626" s="12" t="str">
        <f t="shared" si="64"/>
        <v>CAN</v>
      </c>
      <c r="P1626" s="12" t="str">
        <f t="shared" si="65"/>
        <v>EN_CO</v>
      </c>
    </row>
    <row r="1627" spans="1:16" x14ac:dyDescent="0.35">
      <c r="A1627" t="s">
        <v>2383</v>
      </c>
      <c r="B1627" t="s">
        <v>70</v>
      </c>
      <c r="C1627" t="s">
        <v>45</v>
      </c>
      <c r="D1627" t="s">
        <v>31</v>
      </c>
      <c r="E1627" t="s">
        <v>96</v>
      </c>
      <c r="F1627" t="s">
        <v>96</v>
      </c>
      <c r="G1627" t="s">
        <v>96</v>
      </c>
      <c r="H1627">
        <v>2010</v>
      </c>
      <c r="I1627" t="s">
        <v>96</v>
      </c>
      <c r="J1627" t="s">
        <v>2382</v>
      </c>
      <c r="K1627" t="s">
        <v>96</v>
      </c>
      <c r="L1627" t="s">
        <v>96</v>
      </c>
      <c r="M1627">
        <v>2136.0494083228709</v>
      </c>
      <c r="O1627" s="12" t="str">
        <f t="shared" si="64"/>
        <v>CAN</v>
      </c>
      <c r="P1627" s="12" t="str">
        <f t="shared" si="65"/>
        <v>EN_CO</v>
      </c>
    </row>
    <row r="1628" spans="1:16" x14ac:dyDescent="0.35">
      <c r="A1628" t="s">
        <v>2383</v>
      </c>
      <c r="B1628" t="s">
        <v>70</v>
      </c>
      <c r="C1628" t="s">
        <v>45</v>
      </c>
      <c r="D1628" t="s">
        <v>33</v>
      </c>
      <c r="E1628" t="s">
        <v>96</v>
      </c>
      <c r="F1628" t="s">
        <v>96</v>
      </c>
      <c r="G1628" t="s">
        <v>96</v>
      </c>
      <c r="H1628">
        <v>2019</v>
      </c>
      <c r="I1628" t="s">
        <v>96</v>
      </c>
      <c r="J1628" t="s">
        <v>3112</v>
      </c>
      <c r="K1628" t="s">
        <v>96</v>
      </c>
      <c r="L1628" t="s">
        <v>96</v>
      </c>
      <c r="M1628">
        <v>5081.3355256629329</v>
      </c>
      <c r="O1628" s="12" t="str">
        <f t="shared" si="64"/>
        <v>CAN</v>
      </c>
      <c r="P1628" s="12" t="str">
        <f t="shared" si="65"/>
        <v>EN_ZC</v>
      </c>
    </row>
    <row r="1629" spans="1:16" x14ac:dyDescent="0.35">
      <c r="A1629" t="s">
        <v>2383</v>
      </c>
      <c r="B1629" t="s">
        <v>70</v>
      </c>
      <c r="C1629" t="s">
        <v>45</v>
      </c>
      <c r="D1629" t="s">
        <v>33</v>
      </c>
      <c r="E1629" t="s">
        <v>96</v>
      </c>
      <c r="F1629" t="s">
        <v>96</v>
      </c>
      <c r="G1629" t="s">
        <v>96</v>
      </c>
      <c r="H1629">
        <v>2020</v>
      </c>
      <c r="I1629" t="s">
        <v>96</v>
      </c>
      <c r="J1629" t="s">
        <v>3112</v>
      </c>
      <c r="K1629" t="s">
        <v>96</v>
      </c>
      <c r="L1629" t="s">
        <v>96</v>
      </c>
      <c r="M1629">
        <v>5024.3492188340078</v>
      </c>
      <c r="O1629" s="12" t="str">
        <f t="shared" si="64"/>
        <v>CAN</v>
      </c>
      <c r="P1629" s="12" t="str">
        <f t="shared" si="65"/>
        <v>EN_ZC</v>
      </c>
    </row>
    <row r="1630" spans="1:16" x14ac:dyDescent="0.35">
      <c r="A1630" t="s">
        <v>2383</v>
      </c>
      <c r="B1630" t="s">
        <v>70</v>
      </c>
      <c r="C1630" t="s">
        <v>45</v>
      </c>
      <c r="D1630" t="s">
        <v>33</v>
      </c>
      <c r="E1630" t="s">
        <v>96</v>
      </c>
      <c r="F1630" t="s">
        <v>96</v>
      </c>
      <c r="G1630" t="s">
        <v>96</v>
      </c>
      <c r="H1630">
        <v>2021</v>
      </c>
      <c r="I1630" t="s">
        <v>96</v>
      </c>
      <c r="J1630" t="s">
        <v>3112</v>
      </c>
      <c r="K1630" t="s">
        <v>96</v>
      </c>
      <c r="L1630" t="s">
        <v>96</v>
      </c>
      <c r="M1630">
        <v>4901.500909747454</v>
      </c>
      <c r="O1630" s="12" t="str">
        <f t="shared" si="64"/>
        <v>CAN</v>
      </c>
      <c r="P1630" s="12" t="str">
        <f t="shared" si="65"/>
        <v>EN_ZC</v>
      </c>
    </row>
    <row r="1631" spans="1:16" x14ac:dyDescent="0.35">
      <c r="A1631" t="s">
        <v>2383</v>
      </c>
      <c r="B1631" t="s">
        <v>70</v>
      </c>
      <c r="C1631" t="s">
        <v>45</v>
      </c>
      <c r="D1631" t="s">
        <v>33</v>
      </c>
      <c r="E1631" t="s">
        <v>96</v>
      </c>
      <c r="F1631" t="s">
        <v>96</v>
      </c>
      <c r="G1631" t="s">
        <v>96</v>
      </c>
      <c r="H1631">
        <v>2022</v>
      </c>
      <c r="I1631" t="s">
        <v>96</v>
      </c>
      <c r="J1631" t="s">
        <v>3112</v>
      </c>
      <c r="K1631" t="s">
        <v>96</v>
      </c>
      <c r="L1631" t="s">
        <v>96</v>
      </c>
      <c r="M1631">
        <v>4825.1608212464344</v>
      </c>
      <c r="O1631" s="12" t="str">
        <f t="shared" si="64"/>
        <v>CAN</v>
      </c>
      <c r="P1631" s="12" t="str">
        <f t="shared" si="65"/>
        <v>EN_ZC</v>
      </c>
    </row>
    <row r="1632" spans="1:16" x14ac:dyDescent="0.35">
      <c r="A1632" t="s">
        <v>2383</v>
      </c>
      <c r="B1632" t="s">
        <v>70</v>
      </c>
      <c r="C1632" t="s">
        <v>45</v>
      </c>
      <c r="D1632" t="s">
        <v>33</v>
      </c>
      <c r="E1632" t="s">
        <v>96</v>
      </c>
      <c r="F1632" t="s">
        <v>96</v>
      </c>
      <c r="G1632" t="s">
        <v>96</v>
      </c>
      <c r="H1632">
        <v>2023</v>
      </c>
      <c r="I1632" t="s">
        <v>96</v>
      </c>
      <c r="J1632" t="s">
        <v>3112</v>
      </c>
      <c r="K1632" t="s">
        <v>96</v>
      </c>
      <c r="L1632" t="s">
        <v>96</v>
      </c>
      <c r="M1632">
        <v>4771.1569491802466</v>
      </c>
      <c r="O1632" s="12" t="str">
        <f t="shared" si="64"/>
        <v>CAN</v>
      </c>
      <c r="P1632" s="12" t="str">
        <f t="shared" si="65"/>
        <v>EN_ZC</v>
      </c>
    </row>
    <row r="1633" spans="1:16" x14ac:dyDescent="0.35">
      <c r="A1633" t="s">
        <v>2383</v>
      </c>
      <c r="B1633" t="s">
        <v>70</v>
      </c>
      <c r="C1633" t="s">
        <v>45</v>
      </c>
      <c r="D1633" t="s">
        <v>33</v>
      </c>
      <c r="E1633" t="s">
        <v>96</v>
      </c>
      <c r="F1633" t="s">
        <v>96</v>
      </c>
      <c r="G1633" t="s">
        <v>96</v>
      </c>
      <c r="H1633">
        <v>2024</v>
      </c>
      <c r="I1633" t="s">
        <v>96</v>
      </c>
      <c r="J1633" t="s">
        <v>3112</v>
      </c>
      <c r="K1633" t="s">
        <v>96</v>
      </c>
      <c r="L1633" t="s">
        <v>96</v>
      </c>
      <c r="M1633">
        <v>4727.6523816690433</v>
      </c>
      <c r="O1633" s="12" t="str">
        <f t="shared" si="64"/>
        <v>CAN</v>
      </c>
      <c r="P1633" s="12" t="str">
        <f t="shared" si="65"/>
        <v>EN_ZC</v>
      </c>
    </row>
    <row r="1634" spans="1:16" x14ac:dyDescent="0.35">
      <c r="A1634" t="s">
        <v>2383</v>
      </c>
      <c r="B1634" t="s">
        <v>70</v>
      </c>
      <c r="C1634" t="s">
        <v>45</v>
      </c>
      <c r="D1634" t="s">
        <v>33</v>
      </c>
      <c r="E1634" t="s">
        <v>96</v>
      </c>
      <c r="F1634" t="s">
        <v>96</v>
      </c>
      <c r="G1634" t="s">
        <v>96</v>
      </c>
      <c r="H1634">
        <v>2025</v>
      </c>
      <c r="I1634" t="s">
        <v>96</v>
      </c>
      <c r="J1634" t="s">
        <v>3112</v>
      </c>
      <c r="K1634" t="s">
        <v>96</v>
      </c>
      <c r="L1634" t="s">
        <v>96</v>
      </c>
      <c r="M1634">
        <v>4692.2278401018366</v>
      </c>
      <c r="O1634" s="12" t="str">
        <f t="shared" si="64"/>
        <v>CAN</v>
      </c>
      <c r="P1634" s="12" t="str">
        <f t="shared" si="65"/>
        <v>EN_ZC</v>
      </c>
    </row>
    <row r="1635" spans="1:16" x14ac:dyDescent="0.35">
      <c r="A1635" t="s">
        <v>2383</v>
      </c>
      <c r="B1635" t="s">
        <v>70</v>
      </c>
      <c r="C1635" t="s">
        <v>45</v>
      </c>
      <c r="D1635" t="s">
        <v>33</v>
      </c>
      <c r="E1635" t="s">
        <v>96</v>
      </c>
      <c r="F1635" t="s">
        <v>96</v>
      </c>
      <c r="G1635" t="s">
        <v>96</v>
      </c>
      <c r="H1635">
        <v>2026</v>
      </c>
      <c r="I1635" t="s">
        <v>96</v>
      </c>
      <c r="J1635" t="s">
        <v>3112</v>
      </c>
      <c r="K1635" t="s">
        <v>96</v>
      </c>
      <c r="L1635" t="s">
        <v>96</v>
      </c>
      <c r="M1635">
        <v>4645.5366158788183</v>
      </c>
      <c r="O1635" s="12" t="str">
        <f t="shared" si="64"/>
        <v>CAN</v>
      </c>
      <c r="P1635" s="12" t="str">
        <f t="shared" si="65"/>
        <v>EN_ZC</v>
      </c>
    </row>
    <row r="1636" spans="1:16" x14ac:dyDescent="0.35">
      <c r="A1636" t="s">
        <v>2383</v>
      </c>
      <c r="B1636" t="s">
        <v>70</v>
      </c>
      <c r="C1636" t="s">
        <v>45</v>
      </c>
      <c r="D1636" t="s">
        <v>33</v>
      </c>
      <c r="E1636" t="s">
        <v>96</v>
      </c>
      <c r="F1636" t="s">
        <v>96</v>
      </c>
      <c r="G1636" t="s">
        <v>96</v>
      </c>
      <c r="H1636">
        <v>2027</v>
      </c>
      <c r="I1636" t="s">
        <v>96</v>
      </c>
      <c r="J1636" t="s">
        <v>3112</v>
      </c>
      <c r="K1636" t="s">
        <v>96</v>
      </c>
      <c r="L1636" t="s">
        <v>96</v>
      </c>
      <c r="M1636">
        <v>4589.684138020365</v>
      </c>
      <c r="O1636" s="12" t="str">
        <f t="shared" si="64"/>
        <v>CAN</v>
      </c>
      <c r="P1636" s="12" t="str">
        <f t="shared" si="65"/>
        <v>EN_ZC</v>
      </c>
    </row>
    <row r="1637" spans="1:16" x14ac:dyDescent="0.35">
      <c r="A1637" t="s">
        <v>2383</v>
      </c>
      <c r="B1637" t="s">
        <v>70</v>
      </c>
      <c r="C1637" t="s">
        <v>45</v>
      </c>
      <c r="D1637" t="s">
        <v>33</v>
      </c>
      <c r="E1637" t="s">
        <v>96</v>
      </c>
      <c r="F1637" t="s">
        <v>96</v>
      </c>
      <c r="G1637" t="s">
        <v>96</v>
      </c>
      <c r="H1637">
        <v>2028</v>
      </c>
      <c r="I1637" t="s">
        <v>96</v>
      </c>
      <c r="J1637" t="s">
        <v>3112</v>
      </c>
      <c r="K1637" t="s">
        <v>96</v>
      </c>
      <c r="L1637" t="s">
        <v>96</v>
      </c>
      <c r="M1637">
        <v>4527.3279452851339</v>
      </c>
      <c r="O1637" s="12" t="str">
        <f t="shared" si="64"/>
        <v>CAN</v>
      </c>
      <c r="P1637" s="12" t="str">
        <f t="shared" si="65"/>
        <v>EN_ZC</v>
      </c>
    </row>
    <row r="1638" spans="1:16" x14ac:dyDescent="0.35">
      <c r="A1638" t="s">
        <v>2383</v>
      </c>
      <c r="B1638" t="s">
        <v>70</v>
      </c>
      <c r="C1638" t="s">
        <v>45</v>
      </c>
      <c r="D1638" t="s">
        <v>33</v>
      </c>
      <c r="E1638" t="s">
        <v>96</v>
      </c>
      <c r="F1638" t="s">
        <v>96</v>
      </c>
      <c r="G1638" t="s">
        <v>96</v>
      </c>
      <c r="H1638">
        <v>2029</v>
      </c>
      <c r="I1638" t="s">
        <v>96</v>
      </c>
      <c r="J1638" t="s">
        <v>3112</v>
      </c>
      <c r="K1638" t="s">
        <v>96</v>
      </c>
      <c r="L1638" t="s">
        <v>96</v>
      </c>
      <c r="M1638">
        <v>4463.3507959389035</v>
      </c>
      <c r="O1638" s="12" t="str">
        <f t="shared" si="64"/>
        <v>CAN</v>
      </c>
      <c r="P1638" s="12" t="str">
        <f t="shared" si="65"/>
        <v>EN_ZC</v>
      </c>
    </row>
    <row r="1639" spans="1:16" x14ac:dyDescent="0.35">
      <c r="A1639" t="s">
        <v>2383</v>
      </c>
      <c r="B1639" t="s">
        <v>70</v>
      </c>
      <c r="C1639" t="s">
        <v>45</v>
      </c>
      <c r="D1639" t="s">
        <v>33</v>
      </c>
      <c r="E1639" t="s">
        <v>96</v>
      </c>
      <c r="F1639" t="s">
        <v>96</v>
      </c>
      <c r="G1639" t="s">
        <v>96</v>
      </c>
      <c r="H1639">
        <v>2030</v>
      </c>
      <c r="I1639" t="s">
        <v>96</v>
      </c>
      <c r="J1639" t="s">
        <v>3112</v>
      </c>
      <c r="K1639" t="s">
        <v>96</v>
      </c>
      <c r="L1639" t="s">
        <v>96</v>
      </c>
      <c r="M1639">
        <v>4406.984668908347</v>
      </c>
      <c r="O1639" s="12" t="str">
        <f t="shared" si="64"/>
        <v>CAN</v>
      </c>
      <c r="P1639" s="12" t="str">
        <f t="shared" si="65"/>
        <v>EN_ZC</v>
      </c>
    </row>
    <row r="1640" spans="1:16" x14ac:dyDescent="0.35">
      <c r="A1640" t="s">
        <v>2383</v>
      </c>
      <c r="B1640" t="s">
        <v>70</v>
      </c>
      <c r="C1640" t="s">
        <v>45</v>
      </c>
      <c r="D1640" t="s">
        <v>33</v>
      </c>
      <c r="E1640" t="s">
        <v>96</v>
      </c>
      <c r="F1640" t="s">
        <v>96</v>
      </c>
      <c r="G1640" t="s">
        <v>96</v>
      </c>
      <c r="H1640">
        <v>2031</v>
      </c>
      <c r="I1640" t="s">
        <v>96</v>
      </c>
      <c r="J1640" t="s">
        <v>3112</v>
      </c>
      <c r="K1640" t="s">
        <v>96</v>
      </c>
      <c r="L1640" t="s">
        <v>96</v>
      </c>
      <c r="M1640">
        <v>4350.9058681262732</v>
      </c>
      <c r="O1640" s="12" t="str">
        <f t="shared" si="64"/>
        <v>CAN</v>
      </c>
      <c r="P1640" s="12" t="str">
        <f t="shared" si="65"/>
        <v>EN_ZC</v>
      </c>
    </row>
    <row r="1641" spans="1:16" x14ac:dyDescent="0.35">
      <c r="A1641" t="s">
        <v>2383</v>
      </c>
      <c r="B1641" t="s">
        <v>70</v>
      </c>
      <c r="C1641" t="s">
        <v>45</v>
      </c>
      <c r="D1641" t="s">
        <v>33</v>
      </c>
      <c r="E1641" t="s">
        <v>96</v>
      </c>
      <c r="F1641" t="s">
        <v>96</v>
      </c>
      <c r="G1641" t="s">
        <v>96</v>
      </c>
      <c r="H1641">
        <v>2032</v>
      </c>
      <c r="I1641" t="s">
        <v>96</v>
      </c>
      <c r="J1641" t="s">
        <v>3112</v>
      </c>
      <c r="K1641" t="s">
        <v>96</v>
      </c>
      <c r="L1641" t="s">
        <v>96</v>
      </c>
      <c r="M1641">
        <v>4295.0021143411386</v>
      </c>
      <c r="O1641" s="12" t="str">
        <f t="shared" si="64"/>
        <v>CAN</v>
      </c>
      <c r="P1641" s="12" t="str">
        <f t="shared" si="65"/>
        <v>EN_ZC</v>
      </c>
    </row>
    <row r="1642" spans="1:16" x14ac:dyDescent="0.35">
      <c r="A1642" t="s">
        <v>2383</v>
      </c>
      <c r="B1642" t="s">
        <v>70</v>
      </c>
      <c r="C1642" t="s">
        <v>45</v>
      </c>
      <c r="D1642" t="s">
        <v>33</v>
      </c>
      <c r="E1642" t="s">
        <v>96</v>
      </c>
      <c r="F1642" t="s">
        <v>96</v>
      </c>
      <c r="G1642" t="s">
        <v>96</v>
      </c>
      <c r="H1642">
        <v>2033</v>
      </c>
      <c r="I1642" t="s">
        <v>96</v>
      </c>
      <c r="J1642" t="s">
        <v>3112</v>
      </c>
      <c r="K1642" t="s">
        <v>96</v>
      </c>
      <c r="L1642" t="s">
        <v>96</v>
      </c>
      <c r="M1642">
        <v>4241.6131188533618</v>
      </c>
      <c r="O1642" s="12" t="str">
        <f t="shared" si="64"/>
        <v>CAN</v>
      </c>
      <c r="P1642" s="12" t="str">
        <f t="shared" si="65"/>
        <v>EN_ZC</v>
      </c>
    </row>
    <row r="1643" spans="1:16" x14ac:dyDescent="0.35">
      <c r="A1643" t="s">
        <v>2383</v>
      </c>
      <c r="B1643" t="s">
        <v>70</v>
      </c>
      <c r="C1643" t="s">
        <v>45</v>
      </c>
      <c r="D1643" t="s">
        <v>33</v>
      </c>
      <c r="E1643" t="s">
        <v>96</v>
      </c>
      <c r="F1643" t="s">
        <v>96</v>
      </c>
      <c r="G1643" t="s">
        <v>96</v>
      </c>
      <c r="H1643">
        <v>2034</v>
      </c>
      <c r="I1643" t="s">
        <v>96</v>
      </c>
      <c r="J1643" t="s">
        <v>3112</v>
      </c>
      <c r="K1643" t="s">
        <v>96</v>
      </c>
      <c r="L1643" t="s">
        <v>96</v>
      </c>
      <c r="M1643">
        <v>4188.9092834511175</v>
      </c>
      <c r="O1643" s="12" t="str">
        <f t="shared" si="64"/>
        <v>CAN</v>
      </c>
      <c r="P1643" s="12" t="str">
        <f t="shared" si="65"/>
        <v>EN_ZC</v>
      </c>
    </row>
    <row r="1644" spans="1:16" x14ac:dyDescent="0.35">
      <c r="A1644" t="s">
        <v>2383</v>
      </c>
      <c r="B1644" t="s">
        <v>70</v>
      </c>
      <c r="C1644" t="s">
        <v>45</v>
      </c>
      <c r="D1644" t="s">
        <v>33</v>
      </c>
      <c r="E1644" t="s">
        <v>96</v>
      </c>
      <c r="F1644" t="s">
        <v>96</v>
      </c>
      <c r="G1644" t="s">
        <v>96</v>
      </c>
      <c r="H1644">
        <v>2035</v>
      </c>
      <c r="I1644" t="s">
        <v>96</v>
      </c>
      <c r="J1644" t="s">
        <v>3112</v>
      </c>
      <c r="K1644" t="s">
        <v>96</v>
      </c>
      <c r="L1644" t="s">
        <v>96</v>
      </c>
      <c r="M1644">
        <v>4133.6199626496991</v>
      </c>
      <c r="O1644" s="12" t="str">
        <f t="shared" si="64"/>
        <v>CAN</v>
      </c>
      <c r="P1644" s="12" t="str">
        <f t="shared" si="65"/>
        <v>EN_ZC</v>
      </c>
    </row>
    <row r="1645" spans="1:16" x14ac:dyDescent="0.35">
      <c r="A1645" t="s">
        <v>2383</v>
      </c>
      <c r="B1645" t="s">
        <v>70</v>
      </c>
      <c r="C1645" t="s">
        <v>45</v>
      </c>
      <c r="D1645" t="s">
        <v>33</v>
      </c>
      <c r="E1645" t="s">
        <v>96</v>
      </c>
      <c r="F1645" t="s">
        <v>96</v>
      </c>
      <c r="G1645" t="s">
        <v>96</v>
      </c>
      <c r="H1645">
        <v>2036</v>
      </c>
      <c r="I1645" t="s">
        <v>96</v>
      </c>
      <c r="J1645" t="s">
        <v>3112</v>
      </c>
      <c r="K1645" t="s">
        <v>96</v>
      </c>
      <c r="L1645" t="s">
        <v>96</v>
      </c>
      <c r="M1645">
        <v>4080.9917157851337</v>
      </c>
      <c r="O1645" s="12" t="str">
        <f t="shared" si="64"/>
        <v>CAN</v>
      </c>
      <c r="P1645" s="12" t="str">
        <f t="shared" si="65"/>
        <v>EN_ZC</v>
      </c>
    </row>
    <row r="1646" spans="1:16" x14ac:dyDescent="0.35">
      <c r="A1646" t="s">
        <v>2383</v>
      </c>
      <c r="B1646" t="s">
        <v>70</v>
      </c>
      <c r="C1646" t="s">
        <v>45</v>
      </c>
      <c r="D1646" t="s">
        <v>33</v>
      </c>
      <c r="E1646" t="s">
        <v>96</v>
      </c>
      <c r="F1646" t="s">
        <v>96</v>
      </c>
      <c r="G1646" t="s">
        <v>96</v>
      </c>
      <c r="H1646">
        <v>2037</v>
      </c>
      <c r="I1646" t="s">
        <v>96</v>
      </c>
      <c r="J1646" t="s">
        <v>3112</v>
      </c>
      <c r="K1646" t="s">
        <v>96</v>
      </c>
      <c r="L1646" t="s">
        <v>96</v>
      </c>
      <c r="M1646">
        <v>4029.2280965600849</v>
      </c>
      <c r="O1646" s="12" t="str">
        <f t="shared" si="64"/>
        <v>CAN</v>
      </c>
      <c r="P1646" s="12" t="str">
        <f t="shared" si="65"/>
        <v>EN_ZC</v>
      </c>
    </row>
    <row r="1647" spans="1:16" x14ac:dyDescent="0.35">
      <c r="A1647" t="s">
        <v>2383</v>
      </c>
      <c r="B1647" t="s">
        <v>70</v>
      </c>
      <c r="C1647" t="s">
        <v>45</v>
      </c>
      <c r="D1647" t="s">
        <v>33</v>
      </c>
      <c r="E1647" t="s">
        <v>96</v>
      </c>
      <c r="F1647" t="s">
        <v>96</v>
      </c>
      <c r="G1647" t="s">
        <v>96</v>
      </c>
      <c r="H1647">
        <v>2038</v>
      </c>
      <c r="I1647" t="s">
        <v>96</v>
      </c>
      <c r="J1647" t="s">
        <v>3112</v>
      </c>
      <c r="K1647" t="s">
        <v>96</v>
      </c>
      <c r="L1647" t="s">
        <v>96</v>
      </c>
      <c r="M1647">
        <v>3979.2755106558011</v>
      </c>
      <c r="O1647" s="12" t="str">
        <f t="shared" si="64"/>
        <v>CAN</v>
      </c>
      <c r="P1647" s="12" t="str">
        <f t="shared" si="65"/>
        <v>EN_ZC</v>
      </c>
    </row>
    <row r="1648" spans="1:16" x14ac:dyDescent="0.35">
      <c r="A1648" t="s">
        <v>2383</v>
      </c>
      <c r="B1648" t="s">
        <v>70</v>
      </c>
      <c r="C1648" t="s">
        <v>45</v>
      </c>
      <c r="D1648" t="s">
        <v>33</v>
      </c>
      <c r="E1648" t="s">
        <v>96</v>
      </c>
      <c r="F1648" t="s">
        <v>96</v>
      </c>
      <c r="G1648" t="s">
        <v>96</v>
      </c>
      <c r="H1648">
        <v>2039</v>
      </c>
      <c r="I1648" t="s">
        <v>96</v>
      </c>
      <c r="J1648" t="s">
        <v>3112</v>
      </c>
      <c r="K1648" t="s">
        <v>96</v>
      </c>
      <c r="L1648" t="s">
        <v>96</v>
      </c>
      <c r="M1648">
        <v>3928.9127119063155</v>
      </c>
      <c r="O1648" s="12" t="str">
        <f t="shared" si="64"/>
        <v>CAN</v>
      </c>
      <c r="P1648" s="12" t="str">
        <f t="shared" si="65"/>
        <v>EN_ZC</v>
      </c>
    </row>
    <row r="1649" spans="1:16" x14ac:dyDescent="0.35">
      <c r="A1649" t="s">
        <v>2383</v>
      </c>
      <c r="B1649" t="s">
        <v>70</v>
      </c>
      <c r="C1649" t="s">
        <v>45</v>
      </c>
      <c r="D1649" t="s">
        <v>33</v>
      </c>
      <c r="E1649" t="s">
        <v>96</v>
      </c>
      <c r="F1649" t="s">
        <v>96</v>
      </c>
      <c r="G1649" t="s">
        <v>96</v>
      </c>
      <c r="H1649">
        <v>2040</v>
      </c>
      <c r="I1649" t="s">
        <v>96</v>
      </c>
      <c r="J1649" t="s">
        <v>3112</v>
      </c>
      <c r="K1649" t="s">
        <v>96</v>
      </c>
      <c r="L1649" t="s">
        <v>96</v>
      </c>
      <c r="M1649">
        <v>3880.2455738319759</v>
      </c>
      <c r="O1649" s="12" t="str">
        <f t="shared" si="64"/>
        <v>CAN</v>
      </c>
      <c r="P1649" s="12" t="str">
        <f t="shared" si="65"/>
        <v>EN_ZC</v>
      </c>
    </row>
    <row r="1650" spans="1:16" x14ac:dyDescent="0.35">
      <c r="A1650" t="s">
        <v>2383</v>
      </c>
      <c r="B1650" t="s">
        <v>70</v>
      </c>
      <c r="C1650" t="s">
        <v>45</v>
      </c>
      <c r="D1650" t="s">
        <v>33</v>
      </c>
      <c r="E1650" t="s">
        <v>96</v>
      </c>
      <c r="F1650" t="s">
        <v>96</v>
      </c>
      <c r="G1650" t="s">
        <v>96</v>
      </c>
      <c r="H1650">
        <v>2041</v>
      </c>
      <c r="I1650" t="s">
        <v>96</v>
      </c>
      <c r="J1650" t="s">
        <v>3112</v>
      </c>
      <c r="K1650" t="s">
        <v>96</v>
      </c>
      <c r="L1650" t="s">
        <v>96</v>
      </c>
      <c r="M1650">
        <v>3832.7440921955204</v>
      </c>
      <c r="O1650" s="12" t="str">
        <f t="shared" si="64"/>
        <v>CAN</v>
      </c>
      <c r="P1650" s="12" t="str">
        <f t="shared" si="65"/>
        <v>EN_ZC</v>
      </c>
    </row>
    <row r="1651" spans="1:16" x14ac:dyDescent="0.35">
      <c r="A1651" t="s">
        <v>2383</v>
      </c>
      <c r="B1651" t="s">
        <v>70</v>
      </c>
      <c r="C1651" t="s">
        <v>45</v>
      </c>
      <c r="D1651" t="s">
        <v>33</v>
      </c>
      <c r="E1651" t="s">
        <v>96</v>
      </c>
      <c r="F1651" t="s">
        <v>96</v>
      </c>
      <c r="G1651" t="s">
        <v>96</v>
      </c>
      <c r="H1651">
        <v>2042</v>
      </c>
      <c r="I1651" t="s">
        <v>96</v>
      </c>
      <c r="J1651" t="s">
        <v>3112</v>
      </c>
      <c r="K1651" t="s">
        <v>96</v>
      </c>
      <c r="L1651" t="s">
        <v>96</v>
      </c>
      <c r="M1651">
        <v>3782.4767740376801</v>
      </c>
      <c r="O1651" s="12" t="str">
        <f t="shared" si="64"/>
        <v>CAN</v>
      </c>
      <c r="P1651" s="12" t="str">
        <f t="shared" si="65"/>
        <v>EN_ZC</v>
      </c>
    </row>
    <row r="1652" spans="1:16" x14ac:dyDescent="0.35">
      <c r="A1652" t="s">
        <v>2383</v>
      </c>
      <c r="B1652" t="s">
        <v>70</v>
      </c>
      <c r="C1652" t="s">
        <v>45</v>
      </c>
      <c r="D1652" t="s">
        <v>33</v>
      </c>
      <c r="E1652" t="s">
        <v>96</v>
      </c>
      <c r="F1652" t="s">
        <v>96</v>
      </c>
      <c r="G1652" t="s">
        <v>96</v>
      </c>
      <c r="H1652">
        <v>2043</v>
      </c>
      <c r="I1652" t="s">
        <v>96</v>
      </c>
      <c r="J1652" t="s">
        <v>3112</v>
      </c>
      <c r="K1652" t="s">
        <v>96</v>
      </c>
      <c r="L1652" t="s">
        <v>96</v>
      </c>
      <c r="M1652">
        <v>3737.996185014254</v>
      </c>
      <c r="O1652" s="12" t="str">
        <f t="shared" si="64"/>
        <v>CAN</v>
      </c>
      <c r="P1652" s="12" t="str">
        <f t="shared" si="65"/>
        <v>EN_ZC</v>
      </c>
    </row>
    <row r="1653" spans="1:16" x14ac:dyDescent="0.35">
      <c r="A1653" t="s">
        <v>2383</v>
      </c>
      <c r="B1653" t="s">
        <v>70</v>
      </c>
      <c r="C1653" t="s">
        <v>45</v>
      </c>
      <c r="D1653" t="s">
        <v>33</v>
      </c>
      <c r="E1653" t="s">
        <v>96</v>
      </c>
      <c r="F1653" t="s">
        <v>96</v>
      </c>
      <c r="G1653" t="s">
        <v>96</v>
      </c>
      <c r="H1653">
        <v>2044</v>
      </c>
      <c r="I1653" t="s">
        <v>96</v>
      </c>
      <c r="J1653" t="s">
        <v>3112</v>
      </c>
      <c r="K1653" t="s">
        <v>96</v>
      </c>
      <c r="L1653" t="s">
        <v>96</v>
      </c>
      <c r="M1653">
        <v>3688.82821765479</v>
      </c>
      <c r="O1653" s="12" t="str">
        <f t="shared" si="64"/>
        <v>CAN</v>
      </c>
      <c r="P1653" s="12" t="str">
        <f t="shared" si="65"/>
        <v>EN_ZC</v>
      </c>
    </row>
    <row r="1654" spans="1:16" x14ac:dyDescent="0.35">
      <c r="A1654" t="s">
        <v>2383</v>
      </c>
      <c r="B1654" t="s">
        <v>70</v>
      </c>
      <c r="C1654" t="s">
        <v>45</v>
      </c>
      <c r="D1654" t="s">
        <v>33</v>
      </c>
      <c r="E1654" t="s">
        <v>96</v>
      </c>
      <c r="F1654" t="s">
        <v>96</v>
      </c>
      <c r="G1654" t="s">
        <v>96</v>
      </c>
      <c r="H1654">
        <v>2045</v>
      </c>
      <c r="I1654" t="s">
        <v>96</v>
      </c>
      <c r="J1654" t="s">
        <v>3112</v>
      </c>
      <c r="K1654" t="s">
        <v>96</v>
      </c>
      <c r="L1654" t="s">
        <v>96</v>
      </c>
      <c r="M1654">
        <v>3644.5465455498938</v>
      </c>
      <c r="O1654" s="12" t="str">
        <f t="shared" si="64"/>
        <v>CAN</v>
      </c>
      <c r="P1654" s="12" t="str">
        <f t="shared" si="65"/>
        <v>EN_ZC</v>
      </c>
    </row>
    <row r="1655" spans="1:16" x14ac:dyDescent="0.35">
      <c r="A1655" t="s">
        <v>2383</v>
      </c>
      <c r="B1655" t="s">
        <v>70</v>
      </c>
      <c r="C1655" t="s">
        <v>45</v>
      </c>
      <c r="D1655" t="s">
        <v>33</v>
      </c>
      <c r="E1655" t="s">
        <v>96</v>
      </c>
      <c r="F1655" t="s">
        <v>96</v>
      </c>
      <c r="G1655" t="s">
        <v>96</v>
      </c>
      <c r="H1655">
        <v>2046</v>
      </c>
      <c r="I1655" t="s">
        <v>96</v>
      </c>
      <c r="J1655" t="s">
        <v>3112</v>
      </c>
      <c r="K1655" t="s">
        <v>96</v>
      </c>
      <c r="L1655" t="s">
        <v>96</v>
      </c>
      <c r="M1655">
        <v>3596.4827904246408</v>
      </c>
      <c r="O1655" s="12" t="str">
        <f t="shared" si="64"/>
        <v>CAN</v>
      </c>
      <c r="P1655" s="12" t="str">
        <f t="shared" si="65"/>
        <v>EN_ZC</v>
      </c>
    </row>
    <row r="1656" spans="1:16" x14ac:dyDescent="0.35">
      <c r="A1656" t="s">
        <v>2383</v>
      </c>
      <c r="B1656" t="s">
        <v>70</v>
      </c>
      <c r="C1656" t="s">
        <v>45</v>
      </c>
      <c r="D1656" t="s">
        <v>33</v>
      </c>
      <c r="E1656" t="s">
        <v>96</v>
      </c>
      <c r="F1656" t="s">
        <v>96</v>
      </c>
      <c r="G1656" t="s">
        <v>96</v>
      </c>
      <c r="H1656">
        <v>2047</v>
      </c>
      <c r="I1656" t="s">
        <v>96</v>
      </c>
      <c r="J1656" t="s">
        <v>3112</v>
      </c>
      <c r="K1656" t="s">
        <v>96</v>
      </c>
      <c r="L1656" t="s">
        <v>96</v>
      </c>
      <c r="M1656">
        <v>3551.8099148655847</v>
      </c>
      <c r="O1656" s="12" t="str">
        <f t="shared" si="64"/>
        <v>CAN</v>
      </c>
      <c r="P1656" s="12" t="str">
        <f t="shared" si="65"/>
        <v>EN_ZC</v>
      </c>
    </row>
    <row r="1657" spans="1:16" x14ac:dyDescent="0.35">
      <c r="A1657" t="s">
        <v>2383</v>
      </c>
      <c r="B1657" t="s">
        <v>70</v>
      </c>
      <c r="C1657" t="s">
        <v>45</v>
      </c>
      <c r="D1657" t="s">
        <v>33</v>
      </c>
      <c r="E1657" t="s">
        <v>96</v>
      </c>
      <c r="F1657" t="s">
        <v>96</v>
      </c>
      <c r="G1657" t="s">
        <v>96</v>
      </c>
      <c r="H1657">
        <v>2048</v>
      </c>
      <c r="I1657" t="s">
        <v>96</v>
      </c>
      <c r="J1657" t="s">
        <v>3112</v>
      </c>
      <c r="K1657" t="s">
        <v>96</v>
      </c>
      <c r="L1657" t="s">
        <v>96</v>
      </c>
      <c r="M1657">
        <v>3507.1522890061115</v>
      </c>
      <c r="O1657" s="12" t="str">
        <f t="shared" si="64"/>
        <v>CAN</v>
      </c>
      <c r="P1657" s="12" t="str">
        <f t="shared" si="65"/>
        <v>EN_ZC</v>
      </c>
    </row>
    <row r="1658" spans="1:16" x14ac:dyDescent="0.35">
      <c r="A1658" t="s">
        <v>2383</v>
      </c>
      <c r="B1658" t="s">
        <v>70</v>
      </c>
      <c r="C1658" t="s">
        <v>45</v>
      </c>
      <c r="D1658" t="s">
        <v>33</v>
      </c>
      <c r="E1658" t="s">
        <v>96</v>
      </c>
      <c r="F1658" t="s">
        <v>96</v>
      </c>
      <c r="G1658" t="s">
        <v>96</v>
      </c>
      <c r="H1658">
        <v>2049</v>
      </c>
      <c r="I1658" t="s">
        <v>96</v>
      </c>
      <c r="J1658" t="s">
        <v>3112</v>
      </c>
      <c r="K1658" t="s">
        <v>96</v>
      </c>
      <c r="L1658" t="s">
        <v>96</v>
      </c>
      <c r="M1658">
        <v>3462.5775456486786</v>
      </c>
      <c r="O1658" s="12" t="str">
        <f t="shared" si="64"/>
        <v>CAN</v>
      </c>
      <c r="P1658" s="12" t="str">
        <f t="shared" si="65"/>
        <v>EN_ZC</v>
      </c>
    </row>
    <row r="1659" spans="1:16" x14ac:dyDescent="0.35">
      <c r="A1659" t="s">
        <v>2383</v>
      </c>
      <c r="B1659" t="s">
        <v>70</v>
      </c>
      <c r="C1659" t="s">
        <v>45</v>
      </c>
      <c r="D1659" t="s">
        <v>33</v>
      </c>
      <c r="E1659" t="s">
        <v>96</v>
      </c>
      <c r="F1659" t="s">
        <v>96</v>
      </c>
      <c r="G1659" t="s">
        <v>96</v>
      </c>
      <c r="H1659">
        <v>2050</v>
      </c>
      <c r="I1659" t="s">
        <v>96</v>
      </c>
      <c r="J1659" t="s">
        <v>3112</v>
      </c>
      <c r="K1659" t="s">
        <v>96</v>
      </c>
      <c r="L1659" t="s">
        <v>96</v>
      </c>
      <c r="M1659">
        <v>3418.4017423991841</v>
      </c>
      <c r="O1659" s="12" t="str">
        <f t="shared" si="64"/>
        <v>CAN</v>
      </c>
      <c r="P1659" s="12" t="str">
        <f t="shared" si="65"/>
        <v>EN_ZC</v>
      </c>
    </row>
    <row r="1660" spans="1:16" x14ac:dyDescent="0.35">
      <c r="A1660" t="s">
        <v>2383</v>
      </c>
      <c r="B1660" t="s">
        <v>71</v>
      </c>
      <c r="C1660" t="s">
        <v>45</v>
      </c>
      <c r="D1660" t="s">
        <v>32</v>
      </c>
      <c r="E1660" t="s">
        <v>96</v>
      </c>
      <c r="F1660" t="s">
        <v>96</v>
      </c>
      <c r="G1660" t="s">
        <v>96</v>
      </c>
      <c r="H1660">
        <v>2010</v>
      </c>
      <c r="I1660" t="s">
        <v>96</v>
      </c>
      <c r="J1660" t="s">
        <v>2382</v>
      </c>
      <c r="K1660" t="s">
        <v>96</v>
      </c>
      <c r="L1660" t="s">
        <v>96</v>
      </c>
      <c r="M1660">
        <v>3011.6188355904783</v>
      </c>
      <c r="O1660" s="12" t="str">
        <f t="shared" si="64"/>
        <v>CHI</v>
      </c>
      <c r="P1660" s="12" t="str">
        <f t="shared" si="65"/>
        <v>EN_CO</v>
      </c>
    </row>
    <row r="1661" spans="1:16" x14ac:dyDescent="0.35">
      <c r="A1661" t="s">
        <v>2383</v>
      </c>
      <c r="B1661" t="s">
        <v>71</v>
      </c>
      <c r="C1661" t="s">
        <v>45</v>
      </c>
      <c r="D1661" t="s">
        <v>31</v>
      </c>
      <c r="E1661" t="s">
        <v>96</v>
      </c>
      <c r="F1661" t="s">
        <v>96</v>
      </c>
      <c r="G1661" t="s">
        <v>96</v>
      </c>
      <c r="H1661">
        <v>2010</v>
      </c>
      <c r="I1661" t="s">
        <v>96</v>
      </c>
      <c r="J1661" t="s">
        <v>2382</v>
      </c>
      <c r="K1661" t="s">
        <v>96</v>
      </c>
      <c r="L1661" t="s">
        <v>96</v>
      </c>
      <c r="M1661">
        <v>1066.5833752759274</v>
      </c>
      <c r="O1661" s="12" t="str">
        <f t="shared" si="64"/>
        <v>CHI</v>
      </c>
      <c r="P1661" s="12" t="str">
        <f t="shared" si="65"/>
        <v>EN_CO</v>
      </c>
    </row>
    <row r="1662" spans="1:16" x14ac:dyDescent="0.35">
      <c r="A1662" t="s">
        <v>2383</v>
      </c>
      <c r="B1662" t="s">
        <v>71</v>
      </c>
      <c r="C1662" t="s">
        <v>45</v>
      </c>
      <c r="D1662" t="s">
        <v>33</v>
      </c>
      <c r="E1662" t="s">
        <v>96</v>
      </c>
      <c r="F1662" t="s">
        <v>96</v>
      </c>
      <c r="G1662" t="s">
        <v>96</v>
      </c>
      <c r="H1662">
        <v>2019</v>
      </c>
      <c r="I1662" t="s">
        <v>96</v>
      </c>
      <c r="J1662" t="s">
        <v>3112</v>
      </c>
      <c r="K1662" t="s">
        <v>96</v>
      </c>
      <c r="L1662" t="s">
        <v>96</v>
      </c>
      <c r="M1662">
        <v>4629.788274226069</v>
      </c>
      <c r="O1662" s="12" t="str">
        <f t="shared" si="64"/>
        <v>CHI</v>
      </c>
      <c r="P1662" s="12" t="str">
        <f t="shared" si="65"/>
        <v>EN_ZC</v>
      </c>
    </row>
    <row r="1663" spans="1:16" x14ac:dyDescent="0.35">
      <c r="A1663" t="s">
        <v>2383</v>
      </c>
      <c r="B1663" t="s">
        <v>71</v>
      </c>
      <c r="C1663" t="s">
        <v>45</v>
      </c>
      <c r="D1663" t="s">
        <v>33</v>
      </c>
      <c r="E1663" t="s">
        <v>96</v>
      </c>
      <c r="F1663" t="s">
        <v>96</v>
      </c>
      <c r="G1663" t="s">
        <v>96</v>
      </c>
      <c r="H1663">
        <v>2020</v>
      </c>
      <c r="I1663" t="s">
        <v>96</v>
      </c>
      <c r="J1663" t="s">
        <v>3112</v>
      </c>
      <c r="K1663" t="s">
        <v>96</v>
      </c>
      <c r="L1663" t="s">
        <v>96</v>
      </c>
      <c r="M1663">
        <v>4577.8659924134381</v>
      </c>
      <c r="O1663" s="12" t="str">
        <f t="shared" si="64"/>
        <v>CHI</v>
      </c>
      <c r="P1663" s="12" t="str">
        <f t="shared" si="65"/>
        <v>EN_ZC</v>
      </c>
    </row>
    <row r="1664" spans="1:16" x14ac:dyDescent="0.35">
      <c r="A1664" t="s">
        <v>2383</v>
      </c>
      <c r="B1664" t="s">
        <v>71</v>
      </c>
      <c r="C1664" t="s">
        <v>45</v>
      </c>
      <c r="D1664" t="s">
        <v>33</v>
      </c>
      <c r="E1664" t="s">
        <v>96</v>
      </c>
      <c r="F1664" t="s">
        <v>96</v>
      </c>
      <c r="G1664" t="s">
        <v>96</v>
      </c>
      <c r="H1664">
        <v>2021</v>
      </c>
      <c r="I1664" t="s">
        <v>96</v>
      </c>
      <c r="J1664" t="s">
        <v>3112</v>
      </c>
      <c r="K1664" t="s">
        <v>96</v>
      </c>
      <c r="L1664" t="s">
        <v>96</v>
      </c>
      <c r="M1664">
        <v>4465.9344621995933</v>
      </c>
      <c r="O1664" s="12" t="str">
        <f t="shared" si="64"/>
        <v>CHI</v>
      </c>
      <c r="P1664" s="12" t="str">
        <f t="shared" si="65"/>
        <v>EN_ZC</v>
      </c>
    </row>
    <row r="1665" spans="1:16" x14ac:dyDescent="0.35">
      <c r="A1665" t="s">
        <v>2383</v>
      </c>
      <c r="B1665" t="s">
        <v>71</v>
      </c>
      <c r="C1665" t="s">
        <v>45</v>
      </c>
      <c r="D1665" t="s">
        <v>33</v>
      </c>
      <c r="E1665" t="s">
        <v>96</v>
      </c>
      <c r="F1665" t="s">
        <v>96</v>
      </c>
      <c r="G1665" t="s">
        <v>96</v>
      </c>
      <c r="H1665">
        <v>2022</v>
      </c>
      <c r="I1665" t="s">
        <v>96</v>
      </c>
      <c r="J1665" t="s">
        <v>3112</v>
      </c>
      <c r="K1665" t="s">
        <v>96</v>
      </c>
      <c r="L1665" t="s">
        <v>96</v>
      </c>
      <c r="M1665">
        <v>4396.378251079429</v>
      </c>
      <c r="O1665" s="12" t="str">
        <f t="shared" si="64"/>
        <v>CHI</v>
      </c>
      <c r="P1665" s="12" t="str">
        <f t="shared" si="65"/>
        <v>EN_ZC</v>
      </c>
    </row>
    <row r="1666" spans="1:16" x14ac:dyDescent="0.35">
      <c r="A1666" t="s">
        <v>2383</v>
      </c>
      <c r="B1666" t="s">
        <v>71</v>
      </c>
      <c r="C1666" t="s">
        <v>45</v>
      </c>
      <c r="D1666" t="s">
        <v>33</v>
      </c>
      <c r="E1666" t="s">
        <v>96</v>
      </c>
      <c r="F1666" t="s">
        <v>96</v>
      </c>
      <c r="G1666" t="s">
        <v>96</v>
      </c>
      <c r="H1666">
        <v>2023</v>
      </c>
      <c r="I1666" t="s">
        <v>96</v>
      </c>
      <c r="J1666" t="s">
        <v>3112</v>
      </c>
      <c r="K1666" t="s">
        <v>96</v>
      </c>
      <c r="L1666" t="s">
        <v>96</v>
      </c>
      <c r="M1666">
        <v>4347.1733732688417</v>
      </c>
      <c r="O1666" s="12" t="str">
        <f t="shared" si="64"/>
        <v>CHI</v>
      </c>
      <c r="P1666" s="12" t="str">
        <f t="shared" si="65"/>
        <v>EN_ZC</v>
      </c>
    </row>
    <row r="1667" spans="1:16" x14ac:dyDescent="0.35">
      <c r="A1667" t="s">
        <v>2383</v>
      </c>
      <c r="B1667" t="s">
        <v>71</v>
      </c>
      <c r="C1667" t="s">
        <v>45</v>
      </c>
      <c r="D1667" t="s">
        <v>33</v>
      </c>
      <c r="E1667" t="s">
        <v>96</v>
      </c>
      <c r="F1667" t="s">
        <v>96</v>
      </c>
      <c r="G1667" t="s">
        <v>96</v>
      </c>
      <c r="H1667">
        <v>2024</v>
      </c>
      <c r="I1667" t="s">
        <v>96</v>
      </c>
      <c r="J1667" t="s">
        <v>3112</v>
      </c>
      <c r="K1667" t="s">
        <v>96</v>
      </c>
      <c r="L1667" t="s">
        <v>96</v>
      </c>
      <c r="M1667">
        <v>4307.5347909470484</v>
      </c>
      <c r="O1667" s="12" t="str">
        <f t="shared" ref="O1667:O1730" si="66">LEFT(B1667,3)</f>
        <v>CHI</v>
      </c>
      <c r="P1667" s="12" t="str">
        <f t="shared" ref="P1667:P1730" si="67">LEFT(D1667,5)</f>
        <v>EN_ZC</v>
      </c>
    </row>
    <row r="1668" spans="1:16" x14ac:dyDescent="0.35">
      <c r="A1668" t="s">
        <v>2383</v>
      </c>
      <c r="B1668" t="s">
        <v>71</v>
      </c>
      <c r="C1668" t="s">
        <v>45</v>
      </c>
      <c r="D1668" t="s">
        <v>33</v>
      </c>
      <c r="E1668" t="s">
        <v>96</v>
      </c>
      <c r="F1668" t="s">
        <v>96</v>
      </c>
      <c r="G1668" t="s">
        <v>96</v>
      </c>
      <c r="H1668">
        <v>2025</v>
      </c>
      <c r="I1668" t="s">
        <v>96</v>
      </c>
      <c r="J1668" t="s">
        <v>3112</v>
      </c>
      <c r="K1668" t="s">
        <v>96</v>
      </c>
      <c r="L1668" t="s">
        <v>96</v>
      </c>
      <c r="M1668">
        <v>4275.2582120162961</v>
      </c>
      <c r="O1668" s="12" t="str">
        <f t="shared" si="66"/>
        <v>CHI</v>
      </c>
      <c r="P1668" s="12" t="str">
        <f t="shared" si="67"/>
        <v>EN_ZC</v>
      </c>
    </row>
    <row r="1669" spans="1:16" x14ac:dyDescent="0.35">
      <c r="A1669" t="s">
        <v>2383</v>
      </c>
      <c r="B1669" t="s">
        <v>71</v>
      </c>
      <c r="C1669" t="s">
        <v>45</v>
      </c>
      <c r="D1669" t="s">
        <v>33</v>
      </c>
      <c r="E1669" t="s">
        <v>96</v>
      </c>
      <c r="F1669" t="s">
        <v>96</v>
      </c>
      <c r="G1669" t="s">
        <v>96</v>
      </c>
      <c r="H1669">
        <v>2026</v>
      </c>
      <c r="I1669" t="s">
        <v>96</v>
      </c>
      <c r="J1669" t="s">
        <v>3112</v>
      </c>
      <c r="K1669" t="s">
        <v>96</v>
      </c>
      <c r="L1669" t="s">
        <v>96</v>
      </c>
      <c r="M1669">
        <v>4232.7161517006107</v>
      </c>
      <c r="O1669" s="12" t="str">
        <f t="shared" si="66"/>
        <v>CHI</v>
      </c>
      <c r="P1669" s="12" t="str">
        <f t="shared" si="67"/>
        <v>EN_ZC</v>
      </c>
    </row>
    <row r="1670" spans="1:16" x14ac:dyDescent="0.35">
      <c r="A1670" t="s">
        <v>2383</v>
      </c>
      <c r="B1670" t="s">
        <v>71</v>
      </c>
      <c r="C1670" t="s">
        <v>45</v>
      </c>
      <c r="D1670" t="s">
        <v>33</v>
      </c>
      <c r="E1670" t="s">
        <v>96</v>
      </c>
      <c r="F1670" t="s">
        <v>96</v>
      </c>
      <c r="G1670" t="s">
        <v>96</v>
      </c>
      <c r="H1670">
        <v>2027</v>
      </c>
      <c r="I1670" t="s">
        <v>96</v>
      </c>
      <c r="J1670" t="s">
        <v>3112</v>
      </c>
      <c r="K1670" t="s">
        <v>96</v>
      </c>
      <c r="L1670" t="s">
        <v>96</v>
      </c>
      <c r="M1670">
        <v>4181.8269424032578</v>
      </c>
      <c r="O1670" s="12" t="str">
        <f t="shared" si="66"/>
        <v>CHI</v>
      </c>
      <c r="P1670" s="12" t="str">
        <f t="shared" si="67"/>
        <v>EN_ZC</v>
      </c>
    </row>
    <row r="1671" spans="1:16" x14ac:dyDescent="0.35">
      <c r="A1671" t="s">
        <v>2383</v>
      </c>
      <c r="B1671" t="s">
        <v>71</v>
      </c>
      <c r="C1671" t="s">
        <v>45</v>
      </c>
      <c r="D1671" t="s">
        <v>33</v>
      </c>
      <c r="E1671" t="s">
        <v>96</v>
      </c>
      <c r="F1671" t="s">
        <v>96</v>
      </c>
      <c r="G1671" t="s">
        <v>96</v>
      </c>
      <c r="H1671">
        <v>2028</v>
      </c>
      <c r="I1671" t="s">
        <v>96</v>
      </c>
      <c r="J1671" t="s">
        <v>3112</v>
      </c>
      <c r="K1671" t="s">
        <v>96</v>
      </c>
      <c r="L1671" t="s">
        <v>96</v>
      </c>
      <c r="M1671">
        <v>4125.0119636456229</v>
      </c>
      <c r="O1671" s="12" t="str">
        <f t="shared" si="66"/>
        <v>CHI</v>
      </c>
      <c r="P1671" s="12" t="str">
        <f t="shared" si="67"/>
        <v>EN_ZC</v>
      </c>
    </row>
    <row r="1672" spans="1:16" x14ac:dyDescent="0.35">
      <c r="A1672" t="s">
        <v>2383</v>
      </c>
      <c r="B1672" t="s">
        <v>71</v>
      </c>
      <c r="C1672" t="s">
        <v>45</v>
      </c>
      <c r="D1672" t="s">
        <v>33</v>
      </c>
      <c r="E1672" t="s">
        <v>96</v>
      </c>
      <c r="F1672" t="s">
        <v>96</v>
      </c>
      <c r="G1672" t="s">
        <v>96</v>
      </c>
      <c r="H1672">
        <v>2029</v>
      </c>
      <c r="I1672" t="s">
        <v>96</v>
      </c>
      <c r="J1672" t="s">
        <v>3112</v>
      </c>
      <c r="K1672" t="s">
        <v>96</v>
      </c>
      <c r="L1672" t="s">
        <v>96</v>
      </c>
      <c r="M1672">
        <v>4066.7200727902273</v>
      </c>
      <c r="O1672" s="12" t="str">
        <f t="shared" si="66"/>
        <v>CHI</v>
      </c>
      <c r="P1672" s="12" t="str">
        <f t="shared" si="67"/>
        <v>EN_ZC</v>
      </c>
    </row>
    <row r="1673" spans="1:16" x14ac:dyDescent="0.35">
      <c r="A1673" t="s">
        <v>2383</v>
      </c>
      <c r="B1673" t="s">
        <v>71</v>
      </c>
      <c r="C1673" t="s">
        <v>45</v>
      </c>
      <c r="D1673" t="s">
        <v>33</v>
      </c>
      <c r="E1673" t="s">
        <v>96</v>
      </c>
      <c r="F1673" t="s">
        <v>96</v>
      </c>
      <c r="G1673" t="s">
        <v>96</v>
      </c>
      <c r="H1673">
        <v>2030</v>
      </c>
      <c r="I1673" t="s">
        <v>96</v>
      </c>
      <c r="J1673" t="s">
        <v>3112</v>
      </c>
      <c r="K1673" t="s">
        <v>96</v>
      </c>
      <c r="L1673" t="s">
        <v>96</v>
      </c>
      <c r="M1673">
        <v>4015.3628591853335</v>
      </c>
      <c r="O1673" s="12" t="str">
        <f t="shared" si="66"/>
        <v>CHI</v>
      </c>
      <c r="P1673" s="12" t="str">
        <f t="shared" si="67"/>
        <v>EN_ZC</v>
      </c>
    </row>
    <row r="1674" spans="1:16" x14ac:dyDescent="0.35">
      <c r="A1674" t="s">
        <v>2383</v>
      </c>
      <c r="B1674" t="s">
        <v>71</v>
      </c>
      <c r="C1674" t="s">
        <v>45</v>
      </c>
      <c r="D1674" t="s">
        <v>33</v>
      </c>
      <c r="E1674" t="s">
        <v>96</v>
      </c>
      <c r="F1674" t="s">
        <v>96</v>
      </c>
      <c r="G1674" t="s">
        <v>96</v>
      </c>
      <c r="H1674">
        <v>2031</v>
      </c>
      <c r="I1674" t="s">
        <v>96</v>
      </c>
      <c r="J1674" t="s">
        <v>3112</v>
      </c>
      <c r="K1674" t="s">
        <v>96</v>
      </c>
      <c r="L1674" t="s">
        <v>96</v>
      </c>
      <c r="M1674">
        <v>3964.2674389002036</v>
      </c>
      <c r="O1674" s="12" t="str">
        <f t="shared" si="66"/>
        <v>CHI</v>
      </c>
      <c r="P1674" s="12" t="str">
        <f t="shared" si="67"/>
        <v>EN_ZC</v>
      </c>
    </row>
    <row r="1675" spans="1:16" x14ac:dyDescent="0.35">
      <c r="A1675" t="s">
        <v>2383</v>
      </c>
      <c r="B1675" t="s">
        <v>71</v>
      </c>
      <c r="C1675" t="s">
        <v>45</v>
      </c>
      <c r="D1675" t="s">
        <v>33</v>
      </c>
      <c r="E1675" t="s">
        <v>96</v>
      </c>
      <c r="F1675" t="s">
        <v>96</v>
      </c>
      <c r="G1675" t="s">
        <v>96</v>
      </c>
      <c r="H1675">
        <v>2032</v>
      </c>
      <c r="I1675" t="s">
        <v>96</v>
      </c>
      <c r="J1675" t="s">
        <v>3112</v>
      </c>
      <c r="K1675" t="s">
        <v>96</v>
      </c>
      <c r="L1675" t="s">
        <v>96</v>
      </c>
      <c r="M1675">
        <v>3913.3315102545807</v>
      </c>
      <c r="O1675" s="12" t="str">
        <f t="shared" si="66"/>
        <v>CHI</v>
      </c>
      <c r="P1675" s="12" t="str">
        <f t="shared" si="67"/>
        <v>EN_ZC</v>
      </c>
    </row>
    <row r="1676" spans="1:16" x14ac:dyDescent="0.35">
      <c r="A1676" t="s">
        <v>2383</v>
      </c>
      <c r="B1676" t="s">
        <v>71</v>
      </c>
      <c r="C1676" t="s">
        <v>45</v>
      </c>
      <c r="D1676" t="s">
        <v>33</v>
      </c>
      <c r="E1676" t="s">
        <v>96</v>
      </c>
      <c r="F1676" t="s">
        <v>96</v>
      </c>
      <c r="G1676" t="s">
        <v>96</v>
      </c>
      <c r="H1676">
        <v>2033</v>
      </c>
      <c r="I1676" t="s">
        <v>96</v>
      </c>
      <c r="J1676" t="s">
        <v>3112</v>
      </c>
      <c r="K1676" t="s">
        <v>96</v>
      </c>
      <c r="L1676" t="s">
        <v>96</v>
      </c>
      <c r="M1676">
        <v>3864.686868696539</v>
      </c>
      <c r="O1676" s="12" t="str">
        <f t="shared" si="66"/>
        <v>CHI</v>
      </c>
      <c r="P1676" s="12" t="str">
        <f t="shared" si="67"/>
        <v>EN_ZC</v>
      </c>
    </row>
    <row r="1677" spans="1:16" x14ac:dyDescent="0.35">
      <c r="A1677" t="s">
        <v>2383</v>
      </c>
      <c r="B1677" t="s">
        <v>71</v>
      </c>
      <c r="C1677" t="s">
        <v>45</v>
      </c>
      <c r="D1677" t="s">
        <v>33</v>
      </c>
      <c r="E1677" t="s">
        <v>96</v>
      </c>
      <c r="F1677" t="s">
        <v>96</v>
      </c>
      <c r="G1677" t="s">
        <v>96</v>
      </c>
      <c r="H1677">
        <v>2034</v>
      </c>
      <c r="I1677" t="s">
        <v>96</v>
      </c>
      <c r="J1677" t="s">
        <v>3112</v>
      </c>
      <c r="K1677" t="s">
        <v>96</v>
      </c>
      <c r="L1677" t="s">
        <v>96</v>
      </c>
      <c r="M1677">
        <v>3816.6665012321773</v>
      </c>
      <c r="O1677" s="12" t="str">
        <f t="shared" si="66"/>
        <v>CHI</v>
      </c>
      <c r="P1677" s="12" t="str">
        <f t="shared" si="67"/>
        <v>EN_ZC</v>
      </c>
    </row>
    <row r="1678" spans="1:16" x14ac:dyDescent="0.35">
      <c r="A1678" t="s">
        <v>2383</v>
      </c>
      <c r="B1678" t="s">
        <v>71</v>
      </c>
      <c r="C1678" t="s">
        <v>45</v>
      </c>
      <c r="D1678" t="s">
        <v>33</v>
      </c>
      <c r="E1678" t="s">
        <v>96</v>
      </c>
      <c r="F1678" t="s">
        <v>96</v>
      </c>
      <c r="G1678" t="s">
        <v>96</v>
      </c>
      <c r="H1678">
        <v>2035</v>
      </c>
      <c r="I1678" t="s">
        <v>96</v>
      </c>
      <c r="J1678" t="s">
        <v>3112</v>
      </c>
      <c r="K1678" t="s">
        <v>96</v>
      </c>
      <c r="L1678" t="s">
        <v>96</v>
      </c>
      <c r="M1678">
        <v>3766.2904046639551</v>
      </c>
      <c r="O1678" s="12" t="str">
        <f t="shared" si="66"/>
        <v>CHI</v>
      </c>
      <c r="P1678" s="12" t="str">
        <f t="shared" si="67"/>
        <v>EN_ZC</v>
      </c>
    </row>
    <row r="1679" spans="1:16" x14ac:dyDescent="0.35">
      <c r="A1679" t="s">
        <v>2383</v>
      </c>
      <c r="B1679" t="s">
        <v>71</v>
      </c>
      <c r="C1679" t="s">
        <v>45</v>
      </c>
      <c r="D1679" t="s">
        <v>33</v>
      </c>
      <c r="E1679" t="s">
        <v>96</v>
      </c>
      <c r="F1679" t="s">
        <v>96</v>
      </c>
      <c r="G1679" t="s">
        <v>96</v>
      </c>
      <c r="H1679">
        <v>2036</v>
      </c>
      <c r="I1679" t="s">
        <v>96</v>
      </c>
      <c r="J1679" t="s">
        <v>3112</v>
      </c>
      <c r="K1679" t="s">
        <v>96</v>
      </c>
      <c r="L1679" t="s">
        <v>96</v>
      </c>
      <c r="M1679">
        <v>3718.3389086456227</v>
      </c>
      <c r="O1679" s="12" t="str">
        <f t="shared" si="66"/>
        <v>CHI</v>
      </c>
      <c r="P1679" s="12" t="str">
        <f t="shared" si="67"/>
        <v>EN_ZC</v>
      </c>
    </row>
    <row r="1680" spans="1:16" x14ac:dyDescent="0.35">
      <c r="A1680" t="s">
        <v>2383</v>
      </c>
      <c r="B1680" t="s">
        <v>71</v>
      </c>
      <c r="C1680" t="s">
        <v>45</v>
      </c>
      <c r="D1680" t="s">
        <v>33</v>
      </c>
      <c r="E1680" t="s">
        <v>96</v>
      </c>
      <c r="F1680" t="s">
        <v>96</v>
      </c>
      <c r="G1680" t="s">
        <v>96</v>
      </c>
      <c r="H1680">
        <v>2037</v>
      </c>
      <c r="I1680" t="s">
        <v>96</v>
      </c>
      <c r="J1680" t="s">
        <v>3112</v>
      </c>
      <c r="K1680" t="s">
        <v>96</v>
      </c>
      <c r="L1680" t="s">
        <v>96</v>
      </c>
      <c r="M1680">
        <v>3671.1752060896165</v>
      </c>
      <c r="O1680" s="12" t="str">
        <f t="shared" si="66"/>
        <v>CHI</v>
      </c>
      <c r="P1680" s="12" t="str">
        <f t="shared" si="67"/>
        <v>EN_ZC</v>
      </c>
    </row>
    <row r="1681" spans="1:16" x14ac:dyDescent="0.35">
      <c r="A1681" t="s">
        <v>2383</v>
      </c>
      <c r="B1681" t="s">
        <v>71</v>
      </c>
      <c r="C1681" t="s">
        <v>45</v>
      </c>
      <c r="D1681" t="s">
        <v>33</v>
      </c>
      <c r="E1681" t="s">
        <v>96</v>
      </c>
      <c r="F1681" t="s">
        <v>96</v>
      </c>
      <c r="G1681" t="s">
        <v>96</v>
      </c>
      <c r="H1681">
        <v>2038</v>
      </c>
      <c r="I1681" t="s">
        <v>96</v>
      </c>
      <c r="J1681" t="s">
        <v>3112</v>
      </c>
      <c r="K1681" t="s">
        <v>96</v>
      </c>
      <c r="L1681" t="s">
        <v>96</v>
      </c>
      <c r="M1681">
        <v>3625.6616013849257</v>
      </c>
      <c r="O1681" s="12" t="str">
        <f t="shared" si="66"/>
        <v>CHI</v>
      </c>
      <c r="P1681" s="12" t="str">
        <f t="shared" si="67"/>
        <v>EN_ZC</v>
      </c>
    </row>
    <row r="1682" spans="1:16" x14ac:dyDescent="0.35">
      <c r="A1682" t="s">
        <v>2383</v>
      </c>
      <c r="B1682" t="s">
        <v>71</v>
      </c>
      <c r="C1682" t="s">
        <v>45</v>
      </c>
      <c r="D1682" t="s">
        <v>33</v>
      </c>
      <c r="E1682" t="s">
        <v>96</v>
      </c>
      <c r="F1682" t="s">
        <v>96</v>
      </c>
      <c r="G1682" t="s">
        <v>96</v>
      </c>
      <c r="H1682">
        <v>2039</v>
      </c>
      <c r="I1682" t="s">
        <v>96</v>
      </c>
      <c r="J1682" t="s">
        <v>3112</v>
      </c>
      <c r="K1682" t="s">
        <v>96</v>
      </c>
      <c r="L1682" t="s">
        <v>96</v>
      </c>
      <c r="M1682">
        <v>3579.774236945012</v>
      </c>
      <c r="O1682" s="12" t="str">
        <f t="shared" si="66"/>
        <v>CHI</v>
      </c>
      <c r="P1682" s="12" t="str">
        <f t="shared" si="67"/>
        <v>EN_ZC</v>
      </c>
    </row>
    <row r="1683" spans="1:16" x14ac:dyDescent="0.35">
      <c r="A1683" t="s">
        <v>2383</v>
      </c>
      <c r="B1683" t="s">
        <v>71</v>
      </c>
      <c r="C1683" t="s">
        <v>45</v>
      </c>
      <c r="D1683" t="s">
        <v>33</v>
      </c>
      <c r="E1683" t="s">
        <v>96</v>
      </c>
      <c r="F1683" t="s">
        <v>96</v>
      </c>
      <c r="G1683" t="s">
        <v>96</v>
      </c>
      <c r="H1683">
        <v>2040</v>
      </c>
      <c r="I1683" t="s">
        <v>96</v>
      </c>
      <c r="J1683" t="s">
        <v>3112</v>
      </c>
      <c r="K1683" t="s">
        <v>96</v>
      </c>
      <c r="L1683" t="s">
        <v>96</v>
      </c>
      <c r="M1683">
        <v>3535.4318501731168</v>
      </c>
      <c r="O1683" s="12" t="str">
        <f t="shared" si="66"/>
        <v>CHI</v>
      </c>
      <c r="P1683" s="12" t="str">
        <f t="shared" si="67"/>
        <v>EN_ZC</v>
      </c>
    </row>
    <row r="1684" spans="1:16" x14ac:dyDescent="0.35">
      <c r="A1684" t="s">
        <v>2383</v>
      </c>
      <c r="B1684" t="s">
        <v>71</v>
      </c>
      <c r="C1684" t="s">
        <v>45</v>
      </c>
      <c r="D1684" t="s">
        <v>33</v>
      </c>
      <c r="E1684" t="s">
        <v>96</v>
      </c>
      <c r="F1684" t="s">
        <v>96</v>
      </c>
      <c r="G1684" t="s">
        <v>96</v>
      </c>
      <c r="H1684">
        <v>2041</v>
      </c>
      <c r="I1684" t="s">
        <v>96</v>
      </c>
      <c r="J1684" t="s">
        <v>3112</v>
      </c>
      <c r="K1684" t="s">
        <v>96</v>
      </c>
      <c r="L1684" t="s">
        <v>96</v>
      </c>
      <c r="M1684">
        <v>3492.1515350712843</v>
      </c>
      <c r="O1684" s="12" t="str">
        <f t="shared" si="66"/>
        <v>CHI</v>
      </c>
      <c r="P1684" s="12" t="str">
        <f t="shared" si="67"/>
        <v>EN_ZC</v>
      </c>
    </row>
    <row r="1685" spans="1:16" x14ac:dyDescent="0.35">
      <c r="A1685" t="s">
        <v>2383</v>
      </c>
      <c r="B1685" t="s">
        <v>71</v>
      </c>
      <c r="C1685" t="s">
        <v>45</v>
      </c>
      <c r="D1685" t="s">
        <v>33</v>
      </c>
      <c r="E1685" t="s">
        <v>96</v>
      </c>
      <c r="F1685" t="s">
        <v>96</v>
      </c>
      <c r="G1685" t="s">
        <v>96</v>
      </c>
      <c r="H1685">
        <v>2042</v>
      </c>
      <c r="I1685" t="s">
        <v>96</v>
      </c>
      <c r="J1685" t="s">
        <v>3112</v>
      </c>
      <c r="K1685" t="s">
        <v>96</v>
      </c>
      <c r="L1685" t="s">
        <v>96</v>
      </c>
      <c r="M1685">
        <v>3446.3511664460302</v>
      </c>
      <c r="O1685" s="12" t="str">
        <f t="shared" si="66"/>
        <v>CHI</v>
      </c>
      <c r="P1685" s="12" t="str">
        <f t="shared" si="67"/>
        <v>EN_ZC</v>
      </c>
    </row>
    <row r="1686" spans="1:16" x14ac:dyDescent="0.35">
      <c r="A1686" t="s">
        <v>2383</v>
      </c>
      <c r="B1686" t="s">
        <v>71</v>
      </c>
      <c r="C1686" t="s">
        <v>45</v>
      </c>
      <c r="D1686" t="s">
        <v>33</v>
      </c>
      <c r="E1686" t="s">
        <v>96</v>
      </c>
      <c r="F1686" t="s">
        <v>96</v>
      </c>
      <c r="G1686" t="s">
        <v>96</v>
      </c>
      <c r="H1686">
        <v>2043</v>
      </c>
      <c r="I1686" t="s">
        <v>96</v>
      </c>
      <c r="J1686" t="s">
        <v>3112</v>
      </c>
      <c r="K1686" t="s">
        <v>96</v>
      </c>
      <c r="L1686" t="s">
        <v>96</v>
      </c>
      <c r="M1686">
        <v>3405.823295682279</v>
      </c>
      <c r="O1686" s="12" t="str">
        <f t="shared" si="66"/>
        <v>CHI</v>
      </c>
      <c r="P1686" s="12" t="str">
        <f t="shared" si="67"/>
        <v>EN_ZC</v>
      </c>
    </row>
    <row r="1687" spans="1:16" x14ac:dyDescent="0.35">
      <c r="A1687" t="s">
        <v>2383</v>
      </c>
      <c r="B1687" t="s">
        <v>71</v>
      </c>
      <c r="C1687" t="s">
        <v>45</v>
      </c>
      <c r="D1687" t="s">
        <v>33</v>
      </c>
      <c r="E1687" t="s">
        <v>96</v>
      </c>
      <c r="F1687" t="s">
        <v>96</v>
      </c>
      <c r="G1687" t="s">
        <v>96</v>
      </c>
      <c r="H1687">
        <v>2044</v>
      </c>
      <c r="I1687" t="s">
        <v>96</v>
      </c>
      <c r="J1687" t="s">
        <v>3112</v>
      </c>
      <c r="K1687" t="s">
        <v>96</v>
      </c>
      <c r="L1687" t="s">
        <v>96</v>
      </c>
      <c r="M1687">
        <v>3361.0245852647695</v>
      </c>
      <c r="O1687" s="12" t="str">
        <f t="shared" si="66"/>
        <v>CHI</v>
      </c>
      <c r="P1687" s="12" t="str">
        <f t="shared" si="67"/>
        <v>EN_ZC</v>
      </c>
    </row>
    <row r="1688" spans="1:16" x14ac:dyDescent="0.35">
      <c r="A1688" t="s">
        <v>2383</v>
      </c>
      <c r="B1688" t="s">
        <v>71</v>
      </c>
      <c r="C1688" t="s">
        <v>45</v>
      </c>
      <c r="D1688" t="s">
        <v>33</v>
      </c>
      <c r="E1688" t="s">
        <v>96</v>
      </c>
      <c r="F1688" t="s">
        <v>96</v>
      </c>
      <c r="G1688" t="s">
        <v>96</v>
      </c>
      <c r="H1688">
        <v>2045</v>
      </c>
      <c r="I1688" t="s">
        <v>96</v>
      </c>
      <c r="J1688" t="s">
        <v>3112</v>
      </c>
      <c r="K1688" t="s">
        <v>96</v>
      </c>
      <c r="L1688" t="s">
        <v>96</v>
      </c>
      <c r="M1688">
        <v>3320.6779548879799</v>
      </c>
      <c r="O1688" s="12" t="str">
        <f t="shared" si="66"/>
        <v>CHI</v>
      </c>
      <c r="P1688" s="12" t="str">
        <f t="shared" si="67"/>
        <v>EN_ZC</v>
      </c>
    </row>
    <row r="1689" spans="1:16" x14ac:dyDescent="0.35">
      <c r="A1689" t="s">
        <v>2383</v>
      </c>
      <c r="B1689" t="s">
        <v>71</v>
      </c>
      <c r="C1689" t="s">
        <v>45</v>
      </c>
      <c r="D1689" t="s">
        <v>33</v>
      </c>
      <c r="E1689" t="s">
        <v>96</v>
      </c>
      <c r="F1689" t="s">
        <v>96</v>
      </c>
      <c r="G1689" t="s">
        <v>96</v>
      </c>
      <c r="H1689">
        <v>2046</v>
      </c>
      <c r="I1689" t="s">
        <v>96</v>
      </c>
      <c r="J1689" t="s">
        <v>3112</v>
      </c>
      <c r="K1689" t="s">
        <v>96</v>
      </c>
      <c r="L1689" t="s">
        <v>96</v>
      </c>
      <c r="M1689">
        <v>3276.8853321079405</v>
      </c>
      <c r="O1689" s="12" t="str">
        <f t="shared" si="66"/>
        <v>CHI</v>
      </c>
      <c r="P1689" s="12" t="str">
        <f t="shared" si="67"/>
        <v>EN_ZC</v>
      </c>
    </row>
    <row r="1690" spans="1:16" x14ac:dyDescent="0.35">
      <c r="A1690" t="s">
        <v>2383</v>
      </c>
      <c r="B1690" t="s">
        <v>71</v>
      </c>
      <c r="C1690" t="s">
        <v>45</v>
      </c>
      <c r="D1690" t="s">
        <v>33</v>
      </c>
      <c r="E1690" t="s">
        <v>96</v>
      </c>
      <c r="F1690" t="s">
        <v>96</v>
      </c>
      <c r="G1690" t="s">
        <v>96</v>
      </c>
      <c r="H1690">
        <v>2047</v>
      </c>
      <c r="I1690" t="s">
        <v>96</v>
      </c>
      <c r="J1690" t="s">
        <v>3112</v>
      </c>
      <c r="K1690" t="s">
        <v>96</v>
      </c>
      <c r="L1690" t="s">
        <v>96</v>
      </c>
      <c r="M1690">
        <v>3236.1822621384968</v>
      </c>
      <c r="O1690" s="12" t="str">
        <f t="shared" si="66"/>
        <v>CHI</v>
      </c>
      <c r="P1690" s="12" t="str">
        <f t="shared" si="67"/>
        <v>EN_ZC</v>
      </c>
    </row>
    <row r="1691" spans="1:16" x14ac:dyDescent="0.35">
      <c r="A1691" t="s">
        <v>2383</v>
      </c>
      <c r="B1691" t="s">
        <v>71</v>
      </c>
      <c r="C1691" t="s">
        <v>45</v>
      </c>
      <c r="D1691" t="s">
        <v>33</v>
      </c>
      <c r="E1691" t="s">
        <v>96</v>
      </c>
      <c r="F1691" t="s">
        <v>96</v>
      </c>
      <c r="G1691" t="s">
        <v>96</v>
      </c>
      <c r="H1691">
        <v>2048</v>
      </c>
      <c r="I1691" t="s">
        <v>96</v>
      </c>
      <c r="J1691" t="s">
        <v>3112</v>
      </c>
      <c r="K1691" t="s">
        <v>96</v>
      </c>
      <c r="L1691" t="s">
        <v>96</v>
      </c>
      <c r="M1691">
        <v>3195.4930867209791</v>
      </c>
      <c r="O1691" s="12" t="str">
        <f t="shared" si="66"/>
        <v>CHI</v>
      </c>
      <c r="P1691" s="12" t="str">
        <f t="shared" si="67"/>
        <v>EN_ZC</v>
      </c>
    </row>
    <row r="1692" spans="1:16" x14ac:dyDescent="0.35">
      <c r="A1692" t="s">
        <v>2383</v>
      </c>
      <c r="B1692" t="s">
        <v>71</v>
      </c>
      <c r="C1692" t="s">
        <v>45</v>
      </c>
      <c r="D1692" t="s">
        <v>33</v>
      </c>
      <c r="E1692" t="s">
        <v>96</v>
      </c>
      <c r="F1692" t="s">
        <v>96</v>
      </c>
      <c r="G1692" t="s">
        <v>96</v>
      </c>
      <c r="H1692">
        <v>2049</v>
      </c>
      <c r="I1692" t="s">
        <v>96</v>
      </c>
      <c r="J1692" t="s">
        <v>3112</v>
      </c>
      <c r="K1692" t="s">
        <v>96</v>
      </c>
      <c r="L1692" t="s">
        <v>96</v>
      </c>
      <c r="M1692">
        <v>3154.8794285437907</v>
      </c>
      <c r="O1692" s="12" t="str">
        <f t="shared" si="66"/>
        <v>CHI</v>
      </c>
      <c r="P1692" s="12" t="str">
        <f t="shared" si="67"/>
        <v>EN_ZC</v>
      </c>
    </row>
    <row r="1693" spans="1:16" x14ac:dyDescent="0.35">
      <c r="A1693" t="s">
        <v>2383</v>
      </c>
      <c r="B1693" t="s">
        <v>71</v>
      </c>
      <c r="C1693" t="s">
        <v>45</v>
      </c>
      <c r="D1693" t="s">
        <v>33</v>
      </c>
      <c r="E1693" t="s">
        <v>96</v>
      </c>
      <c r="F1693" t="s">
        <v>96</v>
      </c>
      <c r="G1693" t="s">
        <v>96</v>
      </c>
      <c r="H1693">
        <v>2050</v>
      </c>
      <c r="I1693" t="s">
        <v>96</v>
      </c>
      <c r="J1693" t="s">
        <v>3112</v>
      </c>
      <c r="K1693" t="s">
        <v>96</v>
      </c>
      <c r="L1693" t="s">
        <v>96</v>
      </c>
      <c r="M1693">
        <v>3114.6292591038687</v>
      </c>
      <c r="O1693" s="12" t="str">
        <f t="shared" si="66"/>
        <v>CHI</v>
      </c>
      <c r="P1693" s="12" t="str">
        <f t="shared" si="67"/>
        <v>EN_ZC</v>
      </c>
    </row>
    <row r="1694" spans="1:16" x14ac:dyDescent="0.35">
      <c r="A1694" t="s">
        <v>2383</v>
      </c>
      <c r="B1694" t="s">
        <v>72</v>
      </c>
      <c r="C1694" t="s">
        <v>45</v>
      </c>
      <c r="D1694" t="s">
        <v>32</v>
      </c>
      <c r="E1694" t="s">
        <v>96</v>
      </c>
      <c r="F1694" t="s">
        <v>96</v>
      </c>
      <c r="G1694" t="s">
        <v>96</v>
      </c>
      <c r="H1694">
        <v>2010</v>
      </c>
      <c r="I1694" t="s">
        <v>96</v>
      </c>
      <c r="J1694" t="s">
        <v>2382</v>
      </c>
      <c r="K1694" t="s">
        <v>96</v>
      </c>
      <c r="L1694" t="s">
        <v>96</v>
      </c>
      <c r="M1694">
        <v>3011.6188355904783</v>
      </c>
      <c r="O1694" s="12" t="str">
        <f t="shared" si="66"/>
        <v>CSA</v>
      </c>
      <c r="P1694" s="12" t="str">
        <f t="shared" si="67"/>
        <v>EN_CO</v>
      </c>
    </row>
    <row r="1695" spans="1:16" x14ac:dyDescent="0.35">
      <c r="A1695" t="s">
        <v>2383</v>
      </c>
      <c r="B1695" t="s">
        <v>72</v>
      </c>
      <c r="C1695" t="s">
        <v>45</v>
      </c>
      <c r="D1695" t="s">
        <v>31</v>
      </c>
      <c r="E1695" t="s">
        <v>96</v>
      </c>
      <c r="F1695" t="s">
        <v>96</v>
      </c>
      <c r="G1695" t="s">
        <v>96</v>
      </c>
      <c r="H1695">
        <v>2010</v>
      </c>
      <c r="I1695" t="s">
        <v>96</v>
      </c>
      <c r="J1695" t="s">
        <v>2382</v>
      </c>
      <c r="K1695" t="s">
        <v>96</v>
      </c>
      <c r="L1695" t="s">
        <v>96</v>
      </c>
      <c r="M1695">
        <v>1496.0993831573144</v>
      </c>
      <c r="O1695" s="12" t="str">
        <f t="shared" si="66"/>
        <v>CSA</v>
      </c>
      <c r="P1695" s="12" t="str">
        <f t="shared" si="67"/>
        <v>EN_CO</v>
      </c>
    </row>
    <row r="1696" spans="1:16" x14ac:dyDescent="0.35">
      <c r="A1696" t="s">
        <v>2383</v>
      </c>
      <c r="B1696" t="s">
        <v>72</v>
      </c>
      <c r="C1696" t="s">
        <v>45</v>
      </c>
      <c r="D1696" t="s">
        <v>33</v>
      </c>
      <c r="E1696" t="s">
        <v>96</v>
      </c>
      <c r="F1696" t="s">
        <v>96</v>
      </c>
      <c r="G1696" t="s">
        <v>96</v>
      </c>
      <c r="H1696">
        <v>2019</v>
      </c>
      <c r="I1696" t="s">
        <v>96</v>
      </c>
      <c r="J1696" t="s">
        <v>3112</v>
      </c>
      <c r="K1696" t="s">
        <v>96</v>
      </c>
      <c r="L1696" t="s">
        <v>96</v>
      </c>
      <c r="M1696">
        <v>4629.788274226069</v>
      </c>
      <c r="O1696" s="12" t="str">
        <f t="shared" si="66"/>
        <v>CSA</v>
      </c>
      <c r="P1696" s="12" t="str">
        <f t="shared" si="67"/>
        <v>EN_ZC</v>
      </c>
    </row>
    <row r="1697" spans="1:16" x14ac:dyDescent="0.35">
      <c r="A1697" t="s">
        <v>2383</v>
      </c>
      <c r="B1697" t="s">
        <v>72</v>
      </c>
      <c r="C1697" t="s">
        <v>45</v>
      </c>
      <c r="D1697" t="s">
        <v>33</v>
      </c>
      <c r="E1697" t="s">
        <v>96</v>
      </c>
      <c r="F1697" t="s">
        <v>96</v>
      </c>
      <c r="G1697" t="s">
        <v>96</v>
      </c>
      <c r="H1697">
        <v>2020</v>
      </c>
      <c r="I1697" t="s">
        <v>96</v>
      </c>
      <c r="J1697" t="s">
        <v>3112</v>
      </c>
      <c r="K1697" t="s">
        <v>96</v>
      </c>
      <c r="L1697" t="s">
        <v>96</v>
      </c>
      <c r="M1697">
        <v>4577.8659924134381</v>
      </c>
      <c r="O1697" s="12" t="str">
        <f t="shared" si="66"/>
        <v>CSA</v>
      </c>
      <c r="P1697" s="12" t="str">
        <f t="shared" si="67"/>
        <v>EN_ZC</v>
      </c>
    </row>
    <row r="1698" spans="1:16" x14ac:dyDescent="0.35">
      <c r="A1698" t="s">
        <v>2383</v>
      </c>
      <c r="B1698" t="s">
        <v>72</v>
      </c>
      <c r="C1698" t="s">
        <v>45</v>
      </c>
      <c r="D1698" t="s">
        <v>33</v>
      </c>
      <c r="E1698" t="s">
        <v>96</v>
      </c>
      <c r="F1698" t="s">
        <v>96</v>
      </c>
      <c r="G1698" t="s">
        <v>96</v>
      </c>
      <c r="H1698">
        <v>2021</v>
      </c>
      <c r="I1698" t="s">
        <v>96</v>
      </c>
      <c r="J1698" t="s">
        <v>3112</v>
      </c>
      <c r="K1698" t="s">
        <v>96</v>
      </c>
      <c r="L1698" t="s">
        <v>96</v>
      </c>
      <c r="M1698">
        <v>4465.9344621995933</v>
      </c>
      <c r="O1698" s="12" t="str">
        <f t="shared" si="66"/>
        <v>CSA</v>
      </c>
      <c r="P1698" s="12" t="str">
        <f t="shared" si="67"/>
        <v>EN_ZC</v>
      </c>
    </row>
    <row r="1699" spans="1:16" x14ac:dyDescent="0.35">
      <c r="A1699" t="s">
        <v>2383</v>
      </c>
      <c r="B1699" t="s">
        <v>72</v>
      </c>
      <c r="C1699" t="s">
        <v>45</v>
      </c>
      <c r="D1699" t="s">
        <v>33</v>
      </c>
      <c r="E1699" t="s">
        <v>96</v>
      </c>
      <c r="F1699" t="s">
        <v>96</v>
      </c>
      <c r="G1699" t="s">
        <v>96</v>
      </c>
      <c r="H1699">
        <v>2022</v>
      </c>
      <c r="I1699" t="s">
        <v>96</v>
      </c>
      <c r="J1699" t="s">
        <v>3112</v>
      </c>
      <c r="K1699" t="s">
        <v>96</v>
      </c>
      <c r="L1699" t="s">
        <v>96</v>
      </c>
      <c r="M1699">
        <v>4396.378251079429</v>
      </c>
      <c r="O1699" s="12" t="str">
        <f t="shared" si="66"/>
        <v>CSA</v>
      </c>
      <c r="P1699" s="12" t="str">
        <f t="shared" si="67"/>
        <v>EN_ZC</v>
      </c>
    </row>
    <row r="1700" spans="1:16" x14ac:dyDescent="0.35">
      <c r="A1700" t="s">
        <v>2383</v>
      </c>
      <c r="B1700" t="s">
        <v>72</v>
      </c>
      <c r="C1700" t="s">
        <v>45</v>
      </c>
      <c r="D1700" t="s">
        <v>33</v>
      </c>
      <c r="E1700" t="s">
        <v>96</v>
      </c>
      <c r="F1700" t="s">
        <v>96</v>
      </c>
      <c r="G1700" t="s">
        <v>96</v>
      </c>
      <c r="H1700">
        <v>2023</v>
      </c>
      <c r="I1700" t="s">
        <v>96</v>
      </c>
      <c r="J1700" t="s">
        <v>3112</v>
      </c>
      <c r="K1700" t="s">
        <v>96</v>
      </c>
      <c r="L1700" t="s">
        <v>96</v>
      </c>
      <c r="M1700">
        <v>4347.1733732688417</v>
      </c>
      <c r="O1700" s="12" t="str">
        <f t="shared" si="66"/>
        <v>CSA</v>
      </c>
      <c r="P1700" s="12" t="str">
        <f t="shared" si="67"/>
        <v>EN_ZC</v>
      </c>
    </row>
    <row r="1701" spans="1:16" x14ac:dyDescent="0.35">
      <c r="A1701" t="s">
        <v>2383</v>
      </c>
      <c r="B1701" t="s">
        <v>72</v>
      </c>
      <c r="C1701" t="s">
        <v>45</v>
      </c>
      <c r="D1701" t="s">
        <v>33</v>
      </c>
      <c r="E1701" t="s">
        <v>96</v>
      </c>
      <c r="F1701" t="s">
        <v>96</v>
      </c>
      <c r="G1701" t="s">
        <v>96</v>
      </c>
      <c r="H1701">
        <v>2024</v>
      </c>
      <c r="I1701" t="s">
        <v>96</v>
      </c>
      <c r="J1701" t="s">
        <v>3112</v>
      </c>
      <c r="K1701" t="s">
        <v>96</v>
      </c>
      <c r="L1701" t="s">
        <v>96</v>
      </c>
      <c r="M1701">
        <v>4307.5347909470484</v>
      </c>
      <c r="O1701" s="12" t="str">
        <f t="shared" si="66"/>
        <v>CSA</v>
      </c>
      <c r="P1701" s="12" t="str">
        <f t="shared" si="67"/>
        <v>EN_ZC</v>
      </c>
    </row>
    <row r="1702" spans="1:16" x14ac:dyDescent="0.35">
      <c r="A1702" t="s">
        <v>2383</v>
      </c>
      <c r="B1702" t="s">
        <v>72</v>
      </c>
      <c r="C1702" t="s">
        <v>45</v>
      </c>
      <c r="D1702" t="s">
        <v>33</v>
      </c>
      <c r="E1702" t="s">
        <v>96</v>
      </c>
      <c r="F1702" t="s">
        <v>96</v>
      </c>
      <c r="G1702" t="s">
        <v>96</v>
      </c>
      <c r="H1702">
        <v>2025</v>
      </c>
      <c r="I1702" t="s">
        <v>96</v>
      </c>
      <c r="J1702" t="s">
        <v>3112</v>
      </c>
      <c r="K1702" t="s">
        <v>96</v>
      </c>
      <c r="L1702" t="s">
        <v>96</v>
      </c>
      <c r="M1702">
        <v>4275.2582120162961</v>
      </c>
      <c r="O1702" s="12" t="str">
        <f t="shared" si="66"/>
        <v>CSA</v>
      </c>
      <c r="P1702" s="12" t="str">
        <f t="shared" si="67"/>
        <v>EN_ZC</v>
      </c>
    </row>
    <row r="1703" spans="1:16" x14ac:dyDescent="0.35">
      <c r="A1703" t="s">
        <v>2383</v>
      </c>
      <c r="B1703" t="s">
        <v>72</v>
      </c>
      <c r="C1703" t="s">
        <v>45</v>
      </c>
      <c r="D1703" t="s">
        <v>33</v>
      </c>
      <c r="E1703" t="s">
        <v>96</v>
      </c>
      <c r="F1703" t="s">
        <v>96</v>
      </c>
      <c r="G1703" t="s">
        <v>96</v>
      </c>
      <c r="H1703">
        <v>2026</v>
      </c>
      <c r="I1703" t="s">
        <v>96</v>
      </c>
      <c r="J1703" t="s">
        <v>3112</v>
      </c>
      <c r="K1703" t="s">
        <v>96</v>
      </c>
      <c r="L1703" t="s">
        <v>96</v>
      </c>
      <c r="M1703">
        <v>4232.7161517006107</v>
      </c>
      <c r="O1703" s="12" t="str">
        <f t="shared" si="66"/>
        <v>CSA</v>
      </c>
      <c r="P1703" s="12" t="str">
        <f t="shared" si="67"/>
        <v>EN_ZC</v>
      </c>
    </row>
    <row r="1704" spans="1:16" x14ac:dyDescent="0.35">
      <c r="A1704" t="s">
        <v>2383</v>
      </c>
      <c r="B1704" t="s">
        <v>72</v>
      </c>
      <c r="C1704" t="s">
        <v>45</v>
      </c>
      <c r="D1704" t="s">
        <v>33</v>
      </c>
      <c r="E1704" t="s">
        <v>96</v>
      </c>
      <c r="F1704" t="s">
        <v>96</v>
      </c>
      <c r="G1704" t="s">
        <v>96</v>
      </c>
      <c r="H1704">
        <v>2027</v>
      </c>
      <c r="I1704" t="s">
        <v>96</v>
      </c>
      <c r="J1704" t="s">
        <v>3112</v>
      </c>
      <c r="K1704" t="s">
        <v>96</v>
      </c>
      <c r="L1704" t="s">
        <v>96</v>
      </c>
      <c r="M1704">
        <v>4181.8269424032578</v>
      </c>
      <c r="O1704" s="12" t="str">
        <f t="shared" si="66"/>
        <v>CSA</v>
      </c>
      <c r="P1704" s="12" t="str">
        <f t="shared" si="67"/>
        <v>EN_ZC</v>
      </c>
    </row>
    <row r="1705" spans="1:16" x14ac:dyDescent="0.35">
      <c r="A1705" t="s">
        <v>2383</v>
      </c>
      <c r="B1705" t="s">
        <v>72</v>
      </c>
      <c r="C1705" t="s">
        <v>45</v>
      </c>
      <c r="D1705" t="s">
        <v>33</v>
      </c>
      <c r="E1705" t="s">
        <v>96</v>
      </c>
      <c r="F1705" t="s">
        <v>96</v>
      </c>
      <c r="G1705" t="s">
        <v>96</v>
      </c>
      <c r="H1705">
        <v>2028</v>
      </c>
      <c r="I1705" t="s">
        <v>96</v>
      </c>
      <c r="J1705" t="s">
        <v>3112</v>
      </c>
      <c r="K1705" t="s">
        <v>96</v>
      </c>
      <c r="L1705" t="s">
        <v>96</v>
      </c>
      <c r="M1705">
        <v>4125.0119636456229</v>
      </c>
      <c r="O1705" s="12" t="str">
        <f t="shared" si="66"/>
        <v>CSA</v>
      </c>
      <c r="P1705" s="12" t="str">
        <f t="shared" si="67"/>
        <v>EN_ZC</v>
      </c>
    </row>
    <row r="1706" spans="1:16" x14ac:dyDescent="0.35">
      <c r="A1706" t="s">
        <v>2383</v>
      </c>
      <c r="B1706" t="s">
        <v>72</v>
      </c>
      <c r="C1706" t="s">
        <v>45</v>
      </c>
      <c r="D1706" t="s">
        <v>33</v>
      </c>
      <c r="E1706" t="s">
        <v>96</v>
      </c>
      <c r="F1706" t="s">
        <v>96</v>
      </c>
      <c r="G1706" t="s">
        <v>96</v>
      </c>
      <c r="H1706">
        <v>2029</v>
      </c>
      <c r="I1706" t="s">
        <v>96</v>
      </c>
      <c r="J1706" t="s">
        <v>3112</v>
      </c>
      <c r="K1706" t="s">
        <v>96</v>
      </c>
      <c r="L1706" t="s">
        <v>96</v>
      </c>
      <c r="M1706">
        <v>4066.7200727902273</v>
      </c>
      <c r="O1706" s="12" t="str">
        <f t="shared" si="66"/>
        <v>CSA</v>
      </c>
      <c r="P1706" s="12" t="str">
        <f t="shared" si="67"/>
        <v>EN_ZC</v>
      </c>
    </row>
    <row r="1707" spans="1:16" x14ac:dyDescent="0.35">
      <c r="A1707" t="s">
        <v>2383</v>
      </c>
      <c r="B1707" t="s">
        <v>72</v>
      </c>
      <c r="C1707" t="s">
        <v>45</v>
      </c>
      <c r="D1707" t="s">
        <v>33</v>
      </c>
      <c r="E1707" t="s">
        <v>96</v>
      </c>
      <c r="F1707" t="s">
        <v>96</v>
      </c>
      <c r="G1707" t="s">
        <v>96</v>
      </c>
      <c r="H1707">
        <v>2030</v>
      </c>
      <c r="I1707" t="s">
        <v>96</v>
      </c>
      <c r="J1707" t="s">
        <v>3112</v>
      </c>
      <c r="K1707" t="s">
        <v>96</v>
      </c>
      <c r="L1707" t="s">
        <v>96</v>
      </c>
      <c r="M1707">
        <v>4015.3628591853335</v>
      </c>
      <c r="O1707" s="12" t="str">
        <f t="shared" si="66"/>
        <v>CSA</v>
      </c>
      <c r="P1707" s="12" t="str">
        <f t="shared" si="67"/>
        <v>EN_ZC</v>
      </c>
    </row>
    <row r="1708" spans="1:16" x14ac:dyDescent="0.35">
      <c r="A1708" t="s">
        <v>2383</v>
      </c>
      <c r="B1708" t="s">
        <v>72</v>
      </c>
      <c r="C1708" t="s">
        <v>45</v>
      </c>
      <c r="D1708" t="s">
        <v>33</v>
      </c>
      <c r="E1708" t="s">
        <v>96</v>
      </c>
      <c r="F1708" t="s">
        <v>96</v>
      </c>
      <c r="G1708" t="s">
        <v>96</v>
      </c>
      <c r="H1708">
        <v>2031</v>
      </c>
      <c r="I1708" t="s">
        <v>96</v>
      </c>
      <c r="J1708" t="s">
        <v>3112</v>
      </c>
      <c r="K1708" t="s">
        <v>96</v>
      </c>
      <c r="L1708" t="s">
        <v>96</v>
      </c>
      <c r="M1708">
        <v>3964.2674389002036</v>
      </c>
      <c r="O1708" s="12" t="str">
        <f t="shared" si="66"/>
        <v>CSA</v>
      </c>
      <c r="P1708" s="12" t="str">
        <f t="shared" si="67"/>
        <v>EN_ZC</v>
      </c>
    </row>
    <row r="1709" spans="1:16" x14ac:dyDescent="0.35">
      <c r="A1709" t="s">
        <v>2383</v>
      </c>
      <c r="B1709" t="s">
        <v>72</v>
      </c>
      <c r="C1709" t="s">
        <v>45</v>
      </c>
      <c r="D1709" t="s">
        <v>33</v>
      </c>
      <c r="E1709" t="s">
        <v>96</v>
      </c>
      <c r="F1709" t="s">
        <v>96</v>
      </c>
      <c r="G1709" t="s">
        <v>96</v>
      </c>
      <c r="H1709">
        <v>2032</v>
      </c>
      <c r="I1709" t="s">
        <v>96</v>
      </c>
      <c r="J1709" t="s">
        <v>3112</v>
      </c>
      <c r="K1709" t="s">
        <v>96</v>
      </c>
      <c r="L1709" t="s">
        <v>96</v>
      </c>
      <c r="M1709">
        <v>3913.3315102545807</v>
      </c>
      <c r="O1709" s="12" t="str">
        <f t="shared" si="66"/>
        <v>CSA</v>
      </c>
      <c r="P1709" s="12" t="str">
        <f t="shared" si="67"/>
        <v>EN_ZC</v>
      </c>
    </row>
    <row r="1710" spans="1:16" x14ac:dyDescent="0.35">
      <c r="A1710" t="s">
        <v>2383</v>
      </c>
      <c r="B1710" t="s">
        <v>72</v>
      </c>
      <c r="C1710" t="s">
        <v>45</v>
      </c>
      <c r="D1710" t="s">
        <v>33</v>
      </c>
      <c r="E1710" t="s">
        <v>96</v>
      </c>
      <c r="F1710" t="s">
        <v>96</v>
      </c>
      <c r="G1710" t="s">
        <v>96</v>
      </c>
      <c r="H1710">
        <v>2033</v>
      </c>
      <c r="I1710" t="s">
        <v>96</v>
      </c>
      <c r="J1710" t="s">
        <v>3112</v>
      </c>
      <c r="K1710" t="s">
        <v>96</v>
      </c>
      <c r="L1710" t="s">
        <v>96</v>
      </c>
      <c r="M1710">
        <v>3864.686868696539</v>
      </c>
      <c r="O1710" s="12" t="str">
        <f t="shared" si="66"/>
        <v>CSA</v>
      </c>
      <c r="P1710" s="12" t="str">
        <f t="shared" si="67"/>
        <v>EN_ZC</v>
      </c>
    </row>
    <row r="1711" spans="1:16" x14ac:dyDescent="0.35">
      <c r="A1711" t="s">
        <v>2383</v>
      </c>
      <c r="B1711" t="s">
        <v>72</v>
      </c>
      <c r="C1711" t="s">
        <v>45</v>
      </c>
      <c r="D1711" t="s">
        <v>33</v>
      </c>
      <c r="E1711" t="s">
        <v>96</v>
      </c>
      <c r="F1711" t="s">
        <v>96</v>
      </c>
      <c r="G1711" t="s">
        <v>96</v>
      </c>
      <c r="H1711">
        <v>2034</v>
      </c>
      <c r="I1711" t="s">
        <v>96</v>
      </c>
      <c r="J1711" t="s">
        <v>3112</v>
      </c>
      <c r="K1711" t="s">
        <v>96</v>
      </c>
      <c r="L1711" t="s">
        <v>96</v>
      </c>
      <c r="M1711">
        <v>3816.6665012321773</v>
      </c>
      <c r="O1711" s="12" t="str">
        <f t="shared" si="66"/>
        <v>CSA</v>
      </c>
      <c r="P1711" s="12" t="str">
        <f t="shared" si="67"/>
        <v>EN_ZC</v>
      </c>
    </row>
    <row r="1712" spans="1:16" x14ac:dyDescent="0.35">
      <c r="A1712" t="s">
        <v>2383</v>
      </c>
      <c r="B1712" t="s">
        <v>72</v>
      </c>
      <c r="C1712" t="s">
        <v>45</v>
      </c>
      <c r="D1712" t="s">
        <v>33</v>
      </c>
      <c r="E1712" t="s">
        <v>96</v>
      </c>
      <c r="F1712" t="s">
        <v>96</v>
      </c>
      <c r="G1712" t="s">
        <v>96</v>
      </c>
      <c r="H1712">
        <v>2035</v>
      </c>
      <c r="I1712" t="s">
        <v>96</v>
      </c>
      <c r="J1712" t="s">
        <v>3112</v>
      </c>
      <c r="K1712" t="s">
        <v>96</v>
      </c>
      <c r="L1712" t="s">
        <v>96</v>
      </c>
      <c r="M1712">
        <v>3766.2904046639551</v>
      </c>
      <c r="O1712" s="12" t="str">
        <f t="shared" si="66"/>
        <v>CSA</v>
      </c>
      <c r="P1712" s="12" t="str">
        <f t="shared" si="67"/>
        <v>EN_ZC</v>
      </c>
    </row>
    <row r="1713" spans="1:16" x14ac:dyDescent="0.35">
      <c r="A1713" t="s">
        <v>2383</v>
      </c>
      <c r="B1713" t="s">
        <v>72</v>
      </c>
      <c r="C1713" t="s">
        <v>45</v>
      </c>
      <c r="D1713" t="s">
        <v>33</v>
      </c>
      <c r="E1713" t="s">
        <v>96</v>
      </c>
      <c r="F1713" t="s">
        <v>96</v>
      </c>
      <c r="G1713" t="s">
        <v>96</v>
      </c>
      <c r="H1713">
        <v>2036</v>
      </c>
      <c r="I1713" t="s">
        <v>96</v>
      </c>
      <c r="J1713" t="s">
        <v>3112</v>
      </c>
      <c r="K1713" t="s">
        <v>96</v>
      </c>
      <c r="L1713" t="s">
        <v>96</v>
      </c>
      <c r="M1713">
        <v>3718.3389086456227</v>
      </c>
      <c r="O1713" s="12" t="str">
        <f t="shared" si="66"/>
        <v>CSA</v>
      </c>
      <c r="P1713" s="12" t="str">
        <f t="shared" si="67"/>
        <v>EN_ZC</v>
      </c>
    </row>
    <row r="1714" spans="1:16" x14ac:dyDescent="0.35">
      <c r="A1714" t="s">
        <v>2383</v>
      </c>
      <c r="B1714" t="s">
        <v>72</v>
      </c>
      <c r="C1714" t="s">
        <v>45</v>
      </c>
      <c r="D1714" t="s">
        <v>33</v>
      </c>
      <c r="E1714" t="s">
        <v>96</v>
      </c>
      <c r="F1714" t="s">
        <v>96</v>
      </c>
      <c r="G1714" t="s">
        <v>96</v>
      </c>
      <c r="H1714">
        <v>2037</v>
      </c>
      <c r="I1714" t="s">
        <v>96</v>
      </c>
      <c r="J1714" t="s">
        <v>3112</v>
      </c>
      <c r="K1714" t="s">
        <v>96</v>
      </c>
      <c r="L1714" t="s">
        <v>96</v>
      </c>
      <c r="M1714">
        <v>3671.1752060896165</v>
      </c>
      <c r="O1714" s="12" t="str">
        <f t="shared" si="66"/>
        <v>CSA</v>
      </c>
      <c r="P1714" s="12" t="str">
        <f t="shared" si="67"/>
        <v>EN_ZC</v>
      </c>
    </row>
    <row r="1715" spans="1:16" x14ac:dyDescent="0.35">
      <c r="A1715" t="s">
        <v>2383</v>
      </c>
      <c r="B1715" t="s">
        <v>72</v>
      </c>
      <c r="C1715" t="s">
        <v>45</v>
      </c>
      <c r="D1715" t="s">
        <v>33</v>
      </c>
      <c r="E1715" t="s">
        <v>96</v>
      </c>
      <c r="F1715" t="s">
        <v>96</v>
      </c>
      <c r="G1715" t="s">
        <v>96</v>
      </c>
      <c r="H1715">
        <v>2038</v>
      </c>
      <c r="I1715" t="s">
        <v>96</v>
      </c>
      <c r="J1715" t="s">
        <v>3112</v>
      </c>
      <c r="K1715" t="s">
        <v>96</v>
      </c>
      <c r="L1715" t="s">
        <v>96</v>
      </c>
      <c r="M1715">
        <v>3625.6616013849257</v>
      </c>
      <c r="O1715" s="12" t="str">
        <f t="shared" si="66"/>
        <v>CSA</v>
      </c>
      <c r="P1715" s="12" t="str">
        <f t="shared" si="67"/>
        <v>EN_ZC</v>
      </c>
    </row>
    <row r="1716" spans="1:16" x14ac:dyDescent="0.35">
      <c r="A1716" t="s">
        <v>2383</v>
      </c>
      <c r="B1716" t="s">
        <v>72</v>
      </c>
      <c r="C1716" t="s">
        <v>45</v>
      </c>
      <c r="D1716" t="s">
        <v>33</v>
      </c>
      <c r="E1716" t="s">
        <v>96</v>
      </c>
      <c r="F1716" t="s">
        <v>96</v>
      </c>
      <c r="G1716" t="s">
        <v>96</v>
      </c>
      <c r="H1716">
        <v>2039</v>
      </c>
      <c r="I1716" t="s">
        <v>96</v>
      </c>
      <c r="J1716" t="s">
        <v>3112</v>
      </c>
      <c r="K1716" t="s">
        <v>96</v>
      </c>
      <c r="L1716" t="s">
        <v>96</v>
      </c>
      <c r="M1716">
        <v>3579.774236945012</v>
      </c>
      <c r="O1716" s="12" t="str">
        <f t="shared" si="66"/>
        <v>CSA</v>
      </c>
      <c r="P1716" s="12" t="str">
        <f t="shared" si="67"/>
        <v>EN_ZC</v>
      </c>
    </row>
    <row r="1717" spans="1:16" x14ac:dyDescent="0.35">
      <c r="A1717" t="s">
        <v>2383</v>
      </c>
      <c r="B1717" t="s">
        <v>72</v>
      </c>
      <c r="C1717" t="s">
        <v>45</v>
      </c>
      <c r="D1717" t="s">
        <v>33</v>
      </c>
      <c r="E1717" t="s">
        <v>96</v>
      </c>
      <c r="F1717" t="s">
        <v>96</v>
      </c>
      <c r="G1717" t="s">
        <v>96</v>
      </c>
      <c r="H1717">
        <v>2040</v>
      </c>
      <c r="I1717" t="s">
        <v>96</v>
      </c>
      <c r="J1717" t="s">
        <v>3112</v>
      </c>
      <c r="K1717" t="s">
        <v>96</v>
      </c>
      <c r="L1717" t="s">
        <v>96</v>
      </c>
      <c r="M1717">
        <v>3535.4318501731168</v>
      </c>
      <c r="O1717" s="12" t="str">
        <f t="shared" si="66"/>
        <v>CSA</v>
      </c>
      <c r="P1717" s="12" t="str">
        <f t="shared" si="67"/>
        <v>EN_ZC</v>
      </c>
    </row>
    <row r="1718" spans="1:16" x14ac:dyDescent="0.35">
      <c r="A1718" t="s">
        <v>2383</v>
      </c>
      <c r="B1718" t="s">
        <v>72</v>
      </c>
      <c r="C1718" t="s">
        <v>45</v>
      </c>
      <c r="D1718" t="s">
        <v>33</v>
      </c>
      <c r="E1718" t="s">
        <v>96</v>
      </c>
      <c r="F1718" t="s">
        <v>96</v>
      </c>
      <c r="G1718" t="s">
        <v>96</v>
      </c>
      <c r="H1718">
        <v>2041</v>
      </c>
      <c r="I1718" t="s">
        <v>96</v>
      </c>
      <c r="J1718" t="s">
        <v>3112</v>
      </c>
      <c r="K1718" t="s">
        <v>96</v>
      </c>
      <c r="L1718" t="s">
        <v>96</v>
      </c>
      <c r="M1718">
        <v>3492.1515350712843</v>
      </c>
      <c r="O1718" s="12" t="str">
        <f t="shared" si="66"/>
        <v>CSA</v>
      </c>
      <c r="P1718" s="12" t="str">
        <f t="shared" si="67"/>
        <v>EN_ZC</v>
      </c>
    </row>
    <row r="1719" spans="1:16" x14ac:dyDescent="0.35">
      <c r="A1719" t="s">
        <v>2383</v>
      </c>
      <c r="B1719" t="s">
        <v>72</v>
      </c>
      <c r="C1719" t="s">
        <v>45</v>
      </c>
      <c r="D1719" t="s">
        <v>33</v>
      </c>
      <c r="E1719" t="s">
        <v>96</v>
      </c>
      <c r="F1719" t="s">
        <v>96</v>
      </c>
      <c r="G1719" t="s">
        <v>96</v>
      </c>
      <c r="H1719">
        <v>2042</v>
      </c>
      <c r="I1719" t="s">
        <v>96</v>
      </c>
      <c r="J1719" t="s">
        <v>3112</v>
      </c>
      <c r="K1719" t="s">
        <v>96</v>
      </c>
      <c r="L1719" t="s">
        <v>96</v>
      </c>
      <c r="M1719">
        <v>3446.3511664460302</v>
      </c>
      <c r="O1719" s="12" t="str">
        <f t="shared" si="66"/>
        <v>CSA</v>
      </c>
      <c r="P1719" s="12" t="str">
        <f t="shared" si="67"/>
        <v>EN_ZC</v>
      </c>
    </row>
    <row r="1720" spans="1:16" x14ac:dyDescent="0.35">
      <c r="A1720" t="s">
        <v>2383</v>
      </c>
      <c r="B1720" t="s">
        <v>72</v>
      </c>
      <c r="C1720" t="s">
        <v>45</v>
      </c>
      <c r="D1720" t="s">
        <v>33</v>
      </c>
      <c r="E1720" t="s">
        <v>96</v>
      </c>
      <c r="F1720" t="s">
        <v>96</v>
      </c>
      <c r="G1720" t="s">
        <v>96</v>
      </c>
      <c r="H1720">
        <v>2043</v>
      </c>
      <c r="I1720" t="s">
        <v>96</v>
      </c>
      <c r="J1720" t="s">
        <v>3112</v>
      </c>
      <c r="K1720" t="s">
        <v>96</v>
      </c>
      <c r="L1720" t="s">
        <v>96</v>
      </c>
      <c r="M1720">
        <v>3405.823295682279</v>
      </c>
      <c r="O1720" s="12" t="str">
        <f t="shared" si="66"/>
        <v>CSA</v>
      </c>
      <c r="P1720" s="12" t="str">
        <f t="shared" si="67"/>
        <v>EN_ZC</v>
      </c>
    </row>
    <row r="1721" spans="1:16" x14ac:dyDescent="0.35">
      <c r="A1721" t="s">
        <v>2383</v>
      </c>
      <c r="B1721" t="s">
        <v>72</v>
      </c>
      <c r="C1721" t="s">
        <v>45</v>
      </c>
      <c r="D1721" t="s">
        <v>33</v>
      </c>
      <c r="E1721" t="s">
        <v>96</v>
      </c>
      <c r="F1721" t="s">
        <v>96</v>
      </c>
      <c r="G1721" t="s">
        <v>96</v>
      </c>
      <c r="H1721">
        <v>2044</v>
      </c>
      <c r="I1721" t="s">
        <v>96</v>
      </c>
      <c r="J1721" t="s">
        <v>3112</v>
      </c>
      <c r="K1721" t="s">
        <v>96</v>
      </c>
      <c r="L1721" t="s">
        <v>96</v>
      </c>
      <c r="M1721">
        <v>3361.0245852647695</v>
      </c>
      <c r="O1721" s="12" t="str">
        <f t="shared" si="66"/>
        <v>CSA</v>
      </c>
      <c r="P1721" s="12" t="str">
        <f t="shared" si="67"/>
        <v>EN_ZC</v>
      </c>
    </row>
    <row r="1722" spans="1:16" x14ac:dyDescent="0.35">
      <c r="A1722" t="s">
        <v>2383</v>
      </c>
      <c r="B1722" t="s">
        <v>72</v>
      </c>
      <c r="C1722" t="s">
        <v>45</v>
      </c>
      <c r="D1722" t="s">
        <v>33</v>
      </c>
      <c r="E1722" t="s">
        <v>96</v>
      </c>
      <c r="F1722" t="s">
        <v>96</v>
      </c>
      <c r="G1722" t="s">
        <v>96</v>
      </c>
      <c r="H1722">
        <v>2045</v>
      </c>
      <c r="I1722" t="s">
        <v>96</v>
      </c>
      <c r="J1722" t="s">
        <v>3112</v>
      </c>
      <c r="K1722" t="s">
        <v>96</v>
      </c>
      <c r="L1722" t="s">
        <v>96</v>
      </c>
      <c r="M1722">
        <v>3320.6779548879799</v>
      </c>
      <c r="O1722" s="12" t="str">
        <f t="shared" si="66"/>
        <v>CSA</v>
      </c>
      <c r="P1722" s="12" t="str">
        <f t="shared" si="67"/>
        <v>EN_ZC</v>
      </c>
    </row>
    <row r="1723" spans="1:16" x14ac:dyDescent="0.35">
      <c r="A1723" t="s">
        <v>2383</v>
      </c>
      <c r="B1723" t="s">
        <v>72</v>
      </c>
      <c r="C1723" t="s">
        <v>45</v>
      </c>
      <c r="D1723" t="s">
        <v>33</v>
      </c>
      <c r="E1723" t="s">
        <v>96</v>
      </c>
      <c r="F1723" t="s">
        <v>96</v>
      </c>
      <c r="G1723" t="s">
        <v>96</v>
      </c>
      <c r="H1723">
        <v>2046</v>
      </c>
      <c r="I1723" t="s">
        <v>96</v>
      </c>
      <c r="J1723" t="s">
        <v>3112</v>
      </c>
      <c r="K1723" t="s">
        <v>96</v>
      </c>
      <c r="L1723" t="s">
        <v>96</v>
      </c>
      <c r="M1723">
        <v>3276.8853321079405</v>
      </c>
      <c r="O1723" s="12" t="str">
        <f t="shared" si="66"/>
        <v>CSA</v>
      </c>
      <c r="P1723" s="12" t="str">
        <f t="shared" si="67"/>
        <v>EN_ZC</v>
      </c>
    </row>
    <row r="1724" spans="1:16" x14ac:dyDescent="0.35">
      <c r="A1724" t="s">
        <v>2383</v>
      </c>
      <c r="B1724" t="s">
        <v>72</v>
      </c>
      <c r="C1724" t="s">
        <v>45</v>
      </c>
      <c r="D1724" t="s">
        <v>33</v>
      </c>
      <c r="E1724" t="s">
        <v>96</v>
      </c>
      <c r="F1724" t="s">
        <v>96</v>
      </c>
      <c r="G1724" t="s">
        <v>96</v>
      </c>
      <c r="H1724">
        <v>2047</v>
      </c>
      <c r="I1724" t="s">
        <v>96</v>
      </c>
      <c r="J1724" t="s">
        <v>3112</v>
      </c>
      <c r="K1724" t="s">
        <v>96</v>
      </c>
      <c r="L1724" t="s">
        <v>96</v>
      </c>
      <c r="M1724">
        <v>3236.1822621384968</v>
      </c>
      <c r="O1724" s="12" t="str">
        <f t="shared" si="66"/>
        <v>CSA</v>
      </c>
      <c r="P1724" s="12" t="str">
        <f t="shared" si="67"/>
        <v>EN_ZC</v>
      </c>
    </row>
    <row r="1725" spans="1:16" x14ac:dyDescent="0.35">
      <c r="A1725" t="s">
        <v>2383</v>
      </c>
      <c r="B1725" t="s">
        <v>72</v>
      </c>
      <c r="C1725" t="s">
        <v>45</v>
      </c>
      <c r="D1725" t="s">
        <v>33</v>
      </c>
      <c r="E1725" t="s">
        <v>96</v>
      </c>
      <c r="F1725" t="s">
        <v>96</v>
      </c>
      <c r="G1725" t="s">
        <v>96</v>
      </c>
      <c r="H1725">
        <v>2048</v>
      </c>
      <c r="I1725" t="s">
        <v>96</v>
      </c>
      <c r="J1725" t="s">
        <v>3112</v>
      </c>
      <c r="K1725" t="s">
        <v>96</v>
      </c>
      <c r="L1725" t="s">
        <v>96</v>
      </c>
      <c r="M1725">
        <v>3195.4930867209791</v>
      </c>
      <c r="O1725" s="12" t="str">
        <f t="shared" si="66"/>
        <v>CSA</v>
      </c>
      <c r="P1725" s="12" t="str">
        <f t="shared" si="67"/>
        <v>EN_ZC</v>
      </c>
    </row>
    <row r="1726" spans="1:16" x14ac:dyDescent="0.35">
      <c r="A1726" t="s">
        <v>2383</v>
      </c>
      <c r="B1726" t="s">
        <v>72</v>
      </c>
      <c r="C1726" t="s">
        <v>45</v>
      </c>
      <c r="D1726" t="s">
        <v>33</v>
      </c>
      <c r="E1726" t="s">
        <v>96</v>
      </c>
      <c r="F1726" t="s">
        <v>96</v>
      </c>
      <c r="G1726" t="s">
        <v>96</v>
      </c>
      <c r="H1726">
        <v>2049</v>
      </c>
      <c r="I1726" t="s">
        <v>96</v>
      </c>
      <c r="J1726" t="s">
        <v>3112</v>
      </c>
      <c r="K1726" t="s">
        <v>96</v>
      </c>
      <c r="L1726" t="s">
        <v>96</v>
      </c>
      <c r="M1726">
        <v>3154.8794285437907</v>
      </c>
      <c r="O1726" s="12" t="str">
        <f t="shared" si="66"/>
        <v>CSA</v>
      </c>
      <c r="P1726" s="12" t="str">
        <f t="shared" si="67"/>
        <v>EN_ZC</v>
      </c>
    </row>
    <row r="1727" spans="1:16" x14ac:dyDescent="0.35">
      <c r="A1727" t="s">
        <v>2383</v>
      </c>
      <c r="B1727" t="s">
        <v>72</v>
      </c>
      <c r="C1727" t="s">
        <v>45</v>
      </c>
      <c r="D1727" t="s">
        <v>33</v>
      </c>
      <c r="E1727" t="s">
        <v>96</v>
      </c>
      <c r="F1727" t="s">
        <v>96</v>
      </c>
      <c r="G1727" t="s">
        <v>96</v>
      </c>
      <c r="H1727">
        <v>2050</v>
      </c>
      <c r="I1727" t="s">
        <v>96</v>
      </c>
      <c r="J1727" t="s">
        <v>3112</v>
      </c>
      <c r="K1727" t="s">
        <v>96</v>
      </c>
      <c r="L1727" t="s">
        <v>96</v>
      </c>
      <c r="M1727">
        <v>3114.6292591038687</v>
      </c>
      <c r="O1727" s="12" t="str">
        <f t="shared" si="66"/>
        <v>CSA</v>
      </c>
      <c r="P1727" s="12" t="str">
        <f t="shared" si="67"/>
        <v>EN_ZC</v>
      </c>
    </row>
    <row r="1728" spans="1:16" x14ac:dyDescent="0.35">
      <c r="A1728" t="s">
        <v>2383</v>
      </c>
      <c r="B1728" t="s">
        <v>73</v>
      </c>
      <c r="C1728" t="s">
        <v>45</v>
      </c>
      <c r="D1728" t="s">
        <v>32</v>
      </c>
      <c r="E1728" t="s">
        <v>96</v>
      </c>
      <c r="F1728" t="s">
        <v>96</v>
      </c>
      <c r="G1728" t="s">
        <v>96</v>
      </c>
      <c r="H1728">
        <v>2010</v>
      </c>
      <c r="I1728" t="s">
        <v>96</v>
      </c>
      <c r="J1728" t="s">
        <v>2382</v>
      </c>
      <c r="K1728" t="s">
        <v>96</v>
      </c>
      <c r="L1728" t="s">
        <v>96</v>
      </c>
      <c r="M1728">
        <v>3305.3446232591791</v>
      </c>
      <c r="O1728" s="12" t="str">
        <f t="shared" si="66"/>
        <v>EUR</v>
      </c>
      <c r="P1728" s="12" t="str">
        <f t="shared" si="67"/>
        <v>EN_CO</v>
      </c>
    </row>
    <row r="1729" spans="1:16" x14ac:dyDescent="0.35">
      <c r="A1729" t="s">
        <v>2383</v>
      </c>
      <c r="B1729" t="s">
        <v>73</v>
      </c>
      <c r="C1729" t="s">
        <v>45</v>
      </c>
      <c r="D1729" t="s">
        <v>31</v>
      </c>
      <c r="E1729" t="s">
        <v>96</v>
      </c>
      <c r="F1729" t="s">
        <v>96</v>
      </c>
      <c r="G1729" t="s">
        <v>96</v>
      </c>
      <c r="H1729">
        <v>2010</v>
      </c>
      <c r="I1729" t="s">
        <v>96</v>
      </c>
      <c r="J1729" t="s">
        <v>2382</v>
      </c>
      <c r="K1729" t="s">
        <v>96</v>
      </c>
      <c r="L1729" t="s">
        <v>96</v>
      </c>
      <c r="M1729">
        <v>2136.0494083228709</v>
      </c>
      <c r="O1729" s="12" t="str">
        <f t="shared" si="66"/>
        <v>EUR</v>
      </c>
      <c r="P1729" s="12" t="str">
        <f t="shared" si="67"/>
        <v>EN_CO</v>
      </c>
    </row>
    <row r="1730" spans="1:16" x14ac:dyDescent="0.35">
      <c r="A1730" t="s">
        <v>2383</v>
      </c>
      <c r="B1730" t="s">
        <v>73</v>
      </c>
      <c r="C1730" t="s">
        <v>45</v>
      </c>
      <c r="D1730" t="s">
        <v>33</v>
      </c>
      <c r="E1730" t="s">
        <v>96</v>
      </c>
      <c r="F1730" t="s">
        <v>96</v>
      </c>
      <c r="G1730" t="s">
        <v>96</v>
      </c>
      <c r="H1730">
        <v>2019</v>
      </c>
      <c r="I1730" t="s">
        <v>96</v>
      </c>
      <c r="J1730" t="s">
        <v>3112</v>
      </c>
      <c r="K1730" t="s">
        <v>96</v>
      </c>
      <c r="L1730" t="s">
        <v>96</v>
      </c>
      <c r="M1730">
        <v>5081.3355256629329</v>
      </c>
      <c r="O1730" s="12" t="str">
        <f t="shared" si="66"/>
        <v>EUR</v>
      </c>
      <c r="P1730" s="12" t="str">
        <f t="shared" si="67"/>
        <v>EN_ZC</v>
      </c>
    </row>
    <row r="1731" spans="1:16" x14ac:dyDescent="0.35">
      <c r="A1731" t="s">
        <v>2383</v>
      </c>
      <c r="B1731" t="s">
        <v>73</v>
      </c>
      <c r="C1731" t="s">
        <v>45</v>
      </c>
      <c r="D1731" t="s">
        <v>33</v>
      </c>
      <c r="E1731" t="s">
        <v>96</v>
      </c>
      <c r="F1731" t="s">
        <v>96</v>
      </c>
      <c r="G1731" t="s">
        <v>96</v>
      </c>
      <c r="H1731">
        <v>2020</v>
      </c>
      <c r="I1731" t="s">
        <v>96</v>
      </c>
      <c r="J1731" t="s">
        <v>3112</v>
      </c>
      <c r="K1731" t="s">
        <v>96</v>
      </c>
      <c r="L1731" t="s">
        <v>96</v>
      </c>
      <c r="M1731">
        <v>5024.3492188340078</v>
      </c>
      <c r="O1731" s="12" t="str">
        <f t="shared" ref="O1731:O1794" si="68">LEFT(B1731,3)</f>
        <v>EUR</v>
      </c>
      <c r="P1731" s="12" t="str">
        <f t="shared" ref="P1731:P1794" si="69">LEFT(D1731,5)</f>
        <v>EN_ZC</v>
      </c>
    </row>
    <row r="1732" spans="1:16" x14ac:dyDescent="0.35">
      <c r="A1732" t="s">
        <v>2383</v>
      </c>
      <c r="B1732" t="s">
        <v>73</v>
      </c>
      <c r="C1732" t="s">
        <v>45</v>
      </c>
      <c r="D1732" t="s">
        <v>33</v>
      </c>
      <c r="E1732" t="s">
        <v>96</v>
      </c>
      <c r="F1732" t="s">
        <v>96</v>
      </c>
      <c r="G1732" t="s">
        <v>96</v>
      </c>
      <c r="H1732">
        <v>2021</v>
      </c>
      <c r="I1732" t="s">
        <v>96</v>
      </c>
      <c r="J1732" t="s">
        <v>3112</v>
      </c>
      <c r="K1732" t="s">
        <v>96</v>
      </c>
      <c r="L1732" t="s">
        <v>96</v>
      </c>
      <c r="M1732">
        <v>4901.500909747454</v>
      </c>
      <c r="O1732" s="12" t="str">
        <f t="shared" si="68"/>
        <v>EUR</v>
      </c>
      <c r="P1732" s="12" t="str">
        <f t="shared" si="69"/>
        <v>EN_ZC</v>
      </c>
    </row>
    <row r="1733" spans="1:16" x14ac:dyDescent="0.35">
      <c r="A1733" t="s">
        <v>2383</v>
      </c>
      <c r="B1733" t="s">
        <v>73</v>
      </c>
      <c r="C1733" t="s">
        <v>45</v>
      </c>
      <c r="D1733" t="s">
        <v>33</v>
      </c>
      <c r="E1733" t="s">
        <v>96</v>
      </c>
      <c r="F1733" t="s">
        <v>96</v>
      </c>
      <c r="G1733" t="s">
        <v>96</v>
      </c>
      <c r="H1733">
        <v>2022</v>
      </c>
      <c r="I1733" t="s">
        <v>96</v>
      </c>
      <c r="J1733" t="s">
        <v>3112</v>
      </c>
      <c r="K1733" t="s">
        <v>96</v>
      </c>
      <c r="L1733" t="s">
        <v>96</v>
      </c>
      <c r="M1733">
        <v>4825.1608212464344</v>
      </c>
      <c r="O1733" s="12" t="str">
        <f t="shared" si="68"/>
        <v>EUR</v>
      </c>
      <c r="P1733" s="12" t="str">
        <f t="shared" si="69"/>
        <v>EN_ZC</v>
      </c>
    </row>
    <row r="1734" spans="1:16" x14ac:dyDescent="0.35">
      <c r="A1734" t="s">
        <v>2383</v>
      </c>
      <c r="B1734" t="s">
        <v>73</v>
      </c>
      <c r="C1734" t="s">
        <v>45</v>
      </c>
      <c r="D1734" t="s">
        <v>33</v>
      </c>
      <c r="E1734" t="s">
        <v>96</v>
      </c>
      <c r="F1734" t="s">
        <v>96</v>
      </c>
      <c r="G1734" t="s">
        <v>96</v>
      </c>
      <c r="H1734">
        <v>2023</v>
      </c>
      <c r="I1734" t="s">
        <v>96</v>
      </c>
      <c r="J1734" t="s">
        <v>3112</v>
      </c>
      <c r="K1734" t="s">
        <v>96</v>
      </c>
      <c r="L1734" t="s">
        <v>96</v>
      </c>
      <c r="M1734">
        <v>4771.1569491802466</v>
      </c>
      <c r="O1734" s="12" t="str">
        <f t="shared" si="68"/>
        <v>EUR</v>
      </c>
      <c r="P1734" s="12" t="str">
        <f t="shared" si="69"/>
        <v>EN_ZC</v>
      </c>
    </row>
    <row r="1735" spans="1:16" x14ac:dyDescent="0.35">
      <c r="A1735" t="s">
        <v>2383</v>
      </c>
      <c r="B1735" t="s">
        <v>73</v>
      </c>
      <c r="C1735" t="s">
        <v>45</v>
      </c>
      <c r="D1735" t="s">
        <v>33</v>
      </c>
      <c r="E1735" t="s">
        <v>96</v>
      </c>
      <c r="F1735" t="s">
        <v>96</v>
      </c>
      <c r="G1735" t="s">
        <v>96</v>
      </c>
      <c r="H1735">
        <v>2024</v>
      </c>
      <c r="I1735" t="s">
        <v>96</v>
      </c>
      <c r="J1735" t="s">
        <v>3112</v>
      </c>
      <c r="K1735" t="s">
        <v>96</v>
      </c>
      <c r="L1735" t="s">
        <v>96</v>
      </c>
      <c r="M1735">
        <v>4727.6523816690433</v>
      </c>
      <c r="O1735" s="12" t="str">
        <f t="shared" si="68"/>
        <v>EUR</v>
      </c>
      <c r="P1735" s="12" t="str">
        <f t="shared" si="69"/>
        <v>EN_ZC</v>
      </c>
    </row>
    <row r="1736" spans="1:16" x14ac:dyDescent="0.35">
      <c r="A1736" t="s">
        <v>2383</v>
      </c>
      <c r="B1736" t="s">
        <v>73</v>
      </c>
      <c r="C1736" t="s">
        <v>45</v>
      </c>
      <c r="D1736" t="s">
        <v>33</v>
      </c>
      <c r="E1736" t="s">
        <v>96</v>
      </c>
      <c r="F1736" t="s">
        <v>96</v>
      </c>
      <c r="G1736" t="s">
        <v>96</v>
      </c>
      <c r="H1736">
        <v>2025</v>
      </c>
      <c r="I1736" t="s">
        <v>96</v>
      </c>
      <c r="J1736" t="s">
        <v>3112</v>
      </c>
      <c r="K1736" t="s">
        <v>96</v>
      </c>
      <c r="L1736" t="s">
        <v>96</v>
      </c>
      <c r="M1736">
        <v>4692.2278401018366</v>
      </c>
      <c r="O1736" s="12" t="str">
        <f t="shared" si="68"/>
        <v>EUR</v>
      </c>
      <c r="P1736" s="12" t="str">
        <f t="shared" si="69"/>
        <v>EN_ZC</v>
      </c>
    </row>
    <row r="1737" spans="1:16" x14ac:dyDescent="0.35">
      <c r="A1737" t="s">
        <v>2383</v>
      </c>
      <c r="B1737" t="s">
        <v>73</v>
      </c>
      <c r="C1737" t="s">
        <v>45</v>
      </c>
      <c r="D1737" t="s">
        <v>33</v>
      </c>
      <c r="E1737" t="s">
        <v>96</v>
      </c>
      <c r="F1737" t="s">
        <v>96</v>
      </c>
      <c r="G1737" t="s">
        <v>96</v>
      </c>
      <c r="H1737">
        <v>2026</v>
      </c>
      <c r="I1737" t="s">
        <v>96</v>
      </c>
      <c r="J1737" t="s">
        <v>3112</v>
      </c>
      <c r="K1737" t="s">
        <v>96</v>
      </c>
      <c r="L1737" t="s">
        <v>96</v>
      </c>
      <c r="M1737">
        <v>4645.5366158788183</v>
      </c>
      <c r="O1737" s="12" t="str">
        <f t="shared" si="68"/>
        <v>EUR</v>
      </c>
      <c r="P1737" s="12" t="str">
        <f t="shared" si="69"/>
        <v>EN_ZC</v>
      </c>
    </row>
    <row r="1738" spans="1:16" x14ac:dyDescent="0.35">
      <c r="A1738" t="s">
        <v>2383</v>
      </c>
      <c r="B1738" t="s">
        <v>73</v>
      </c>
      <c r="C1738" t="s">
        <v>45</v>
      </c>
      <c r="D1738" t="s">
        <v>33</v>
      </c>
      <c r="E1738" t="s">
        <v>96</v>
      </c>
      <c r="F1738" t="s">
        <v>96</v>
      </c>
      <c r="G1738" t="s">
        <v>96</v>
      </c>
      <c r="H1738">
        <v>2027</v>
      </c>
      <c r="I1738" t="s">
        <v>96</v>
      </c>
      <c r="J1738" t="s">
        <v>3112</v>
      </c>
      <c r="K1738" t="s">
        <v>96</v>
      </c>
      <c r="L1738" t="s">
        <v>96</v>
      </c>
      <c r="M1738">
        <v>4589.684138020365</v>
      </c>
      <c r="O1738" s="12" t="str">
        <f t="shared" si="68"/>
        <v>EUR</v>
      </c>
      <c r="P1738" s="12" t="str">
        <f t="shared" si="69"/>
        <v>EN_ZC</v>
      </c>
    </row>
    <row r="1739" spans="1:16" x14ac:dyDescent="0.35">
      <c r="A1739" t="s">
        <v>2383</v>
      </c>
      <c r="B1739" t="s">
        <v>73</v>
      </c>
      <c r="C1739" t="s">
        <v>45</v>
      </c>
      <c r="D1739" t="s">
        <v>33</v>
      </c>
      <c r="E1739" t="s">
        <v>96</v>
      </c>
      <c r="F1739" t="s">
        <v>96</v>
      </c>
      <c r="G1739" t="s">
        <v>96</v>
      </c>
      <c r="H1739">
        <v>2028</v>
      </c>
      <c r="I1739" t="s">
        <v>96</v>
      </c>
      <c r="J1739" t="s">
        <v>3112</v>
      </c>
      <c r="K1739" t="s">
        <v>96</v>
      </c>
      <c r="L1739" t="s">
        <v>96</v>
      </c>
      <c r="M1739">
        <v>4527.3279452851339</v>
      </c>
      <c r="O1739" s="12" t="str">
        <f t="shared" si="68"/>
        <v>EUR</v>
      </c>
      <c r="P1739" s="12" t="str">
        <f t="shared" si="69"/>
        <v>EN_ZC</v>
      </c>
    </row>
    <row r="1740" spans="1:16" x14ac:dyDescent="0.35">
      <c r="A1740" t="s">
        <v>2383</v>
      </c>
      <c r="B1740" t="s">
        <v>73</v>
      </c>
      <c r="C1740" t="s">
        <v>45</v>
      </c>
      <c r="D1740" t="s">
        <v>33</v>
      </c>
      <c r="E1740" t="s">
        <v>96</v>
      </c>
      <c r="F1740" t="s">
        <v>96</v>
      </c>
      <c r="G1740" t="s">
        <v>96</v>
      </c>
      <c r="H1740">
        <v>2029</v>
      </c>
      <c r="I1740" t="s">
        <v>96</v>
      </c>
      <c r="J1740" t="s">
        <v>3112</v>
      </c>
      <c r="K1740" t="s">
        <v>96</v>
      </c>
      <c r="L1740" t="s">
        <v>96</v>
      </c>
      <c r="M1740">
        <v>4463.3507959389035</v>
      </c>
      <c r="O1740" s="12" t="str">
        <f t="shared" si="68"/>
        <v>EUR</v>
      </c>
      <c r="P1740" s="12" t="str">
        <f t="shared" si="69"/>
        <v>EN_ZC</v>
      </c>
    </row>
    <row r="1741" spans="1:16" x14ac:dyDescent="0.35">
      <c r="A1741" t="s">
        <v>2383</v>
      </c>
      <c r="B1741" t="s">
        <v>73</v>
      </c>
      <c r="C1741" t="s">
        <v>45</v>
      </c>
      <c r="D1741" t="s">
        <v>33</v>
      </c>
      <c r="E1741" t="s">
        <v>96</v>
      </c>
      <c r="F1741" t="s">
        <v>96</v>
      </c>
      <c r="G1741" t="s">
        <v>96</v>
      </c>
      <c r="H1741">
        <v>2030</v>
      </c>
      <c r="I1741" t="s">
        <v>96</v>
      </c>
      <c r="J1741" t="s">
        <v>3112</v>
      </c>
      <c r="K1741" t="s">
        <v>96</v>
      </c>
      <c r="L1741" t="s">
        <v>96</v>
      </c>
      <c r="M1741">
        <v>4406.984668908347</v>
      </c>
      <c r="O1741" s="12" t="str">
        <f t="shared" si="68"/>
        <v>EUR</v>
      </c>
      <c r="P1741" s="12" t="str">
        <f t="shared" si="69"/>
        <v>EN_ZC</v>
      </c>
    </row>
    <row r="1742" spans="1:16" x14ac:dyDescent="0.35">
      <c r="A1742" t="s">
        <v>2383</v>
      </c>
      <c r="B1742" t="s">
        <v>73</v>
      </c>
      <c r="C1742" t="s">
        <v>45</v>
      </c>
      <c r="D1742" t="s">
        <v>33</v>
      </c>
      <c r="E1742" t="s">
        <v>96</v>
      </c>
      <c r="F1742" t="s">
        <v>96</v>
      </c>
      <c r="G1742" t="s">
        <v>96</v>
      </c>
      <c r="H1742">
        <v>2031</v>
      </c>
      <c r="I1742" t="s">
        <v>96</v>
      </c>
      <c r="J1742" t="s">
        <v>3112</v>
      </c>
      <c r="K1742" t="s">
        <v>96</v>
      </c>
      <c r="L1742" t="s">
        <v>96</v>
      </c>
      <c r="M1742">
        <v>4350.9058681262732</v>
      </c>
      <c r="O1742" s="12" t="str">
        <f t="shared" si="68"/>
        <v>EUR</v>
      </c>
      <c r="P1742" s="12" t="str">
        <f t="shared" si="69"/>
        <v>EN_ZC</v>
      </c>
    </row>
    <row r="1743" spans="1:16" x14ac:dyDescent="0.35">
      <c r="A1743" t="s">
        <v>2383</v>
      </c>
      <c r="B1743" t="s">
        <v>73</v>
      </c>
      <c r="C1743" t="s">
        <v>45</v>
      </c>
      <c r="D1743" t="s">
        <v>33</v>
      </c>
      <c r="E1743" t="s">
        <v>96</v>
      </c>
      <c r="F1743" t="s">
        <v>96</v>
      </c>
      <c r="G1743" t="s">
        <v>96</v>
      </c>
      <c r="H1743">
        <v>2032</v>
      </c>
      <c r="I1743" t="s">
        <v>96</v>
      </c>
      <c r="J1743" t="s">
        <v>3112</v>
      </c>
      <c r="K1743" t="s">
        <v>96</v>
      </c>
      <c r="L1743" t="s">
        <v>96</v>
      </c>
      <c r="M1743">
        <v>4295.0021143411386</v>
      </c>
      <c r="O1743" s="12" t="str">
        <f t="shared" si="68"/>
        <v>EUR</v>
      </c>
      <c r="P1743" s="12" t="str">
        <f t="shared" si="69"/>
        <v>EN_ZC</v>
      </c>
    </row>
    <row r="1744" spans="1:16" x14ac:dyDescent="0.35">
      <c r="A1744" t="s">
        <v>2383</v>
      </c>
      <c r="B1744" t="s">
        <v>73</v>
      </c>
      <c r="C1744" t="s">
        <v>45</v>
      </c>
      <c r="D1744" t="s">
        <v>33</v>
      </c>
      <c r="E1744" t="s">
        <v>96</v>
      </c>
      <c r="F1744" t="s">
        <v>96</v>
      </c>
      <c r="G1744" t="s">
        <v>96</v>
      </c>
      <c r="H1744">
        <v>2033</v>
      </c>
      <c r="I1744" t="s">
        <v>96</v>
      </c>
      <c r="J1744" t="s">
        <v>3112</v>
      </c>
      <c r="K1744" t="s">
        <v>96</v>
      </c>
      <c r="L1744" t="s">
        <v>96</v>
      </c>
      <c r="M1744">
        <v>4241.6131188533618</v>
      </c>
      <c r="O1744" s="12" t="str">
        <f t="shared" si="68"/>
        <v>EUR</v>
      </c>
      <c r="P1744" s="12" t="str">
        <f t="shared" si="69"/>
        <v>EN_ZC</v>
      </c>
    </row>
    <row r="1745" spans="1:16" x14ac:dyDescent="0.35">
      <c r="A1745" t="s">
        <v>2383</v>
      </c>
      <c r="B1745" t="s">
        <v>73</v>
      </c>
      <c r="C1745" t="s">
        <v>45</v>
      </c>
      <c r="D1745" t="s">
        <v>33</v>
      </c>
      <c r="E1745" t="s">
        <v>96</v>
      </c>
      <c r="F1745" t="s">
        <v>96</v>
      </c>
      <c r="G1745" t="s">
        <v>96</v>
      </c>
      <c r="H1745">
        <v>2034</v>
      </c>
      <c r="I1745" t="s">
        <v>96</v>
      </c>
      <c r="J1745" t="s">
        <v>3112</v>
      </c>
      <c r="K1745" t="s">
        <v>96</v>
      </c>
      <c r="L1745" t="s">
        <v>96</v>
      </c>
      <c r="M1745">
        <v>4188.9092834511175</v>
      </c>
      <c r="O1745" s="12" t="str">
        <f t="shared" si="68"/>
        <v>EUR</v>
      </c>
      <c r="P1745" s="12" t="str">
        <f t="shared" si="69"/>
        <v>EN_ZC</v>
      </c>
    </row>
    <row r="1746" spans="1:16" x14ac:dyDescent="0.35">
      <c r="A1746" t="s">
        <v>2383</v>
      </c>
      <c r="B1746" t="s">
        <v>73</v>
      </c>
      <c r="C1746" t="s">
        <v>45</v>
      </c>
      <c r="D1746" t="s">
        <v>33</v>
      </c>
      <c r="E1746" t="s">
        <v>96</v>
      </c>
      <c r="F1746" t="s">
        <v>96</v>
      </c>
      <c r="G1746" t="s">
        <v>96</v>
      </c>
      <c r="H1746">
        <v>2035</v>
      </c>
      <c r="I1746" t="s">
        <v>96</v>
      </c>
      <c r="J1746" t="s">
        <v>3112</v>
      </c>
      <c r="K1746" t="s">
        <v>96</v>
      </c>
      <c r="L1746" t="s">
        <v>96</v>
      </c>
      <c r="M1746">
        <v>4133.6199626496991</v>
      </c>
      <c r="O1746" s="12" t="str">
        <f t="shared" si="68"/>
        <v>EUR</v>
      </c>
      <c r="P1746" s="12" t="str">
        <f t="shared" si="69"/>
        <v>EN_ZC</v>
      </c>
    </row>
    <row r="1747" spans="1:16" x14ac:dyDescent="0.35">
      <c r="A1747" t="s">
        <v>2383</v>
      </c>
      <c r="B1747" t="s">
        <v>73</v>
      </c>
      <c r="C1747" t="s">
        <v>45</v>
      </c>
      <c r="D1747" t="s">
        <v>33</v>
      </c>
      <c r="E1747" t="s">
        <v>96</v>
      </c>
      <c r="F1747" t="s">
        <v>96</v>
      </c>
      <c r="G1747" t="s">
        <v>96</v>
      </c>
      <c r="H1747">
        <v>2036</v>
      </c>
      <c r="I1747" t="s">
        <v>96</v>
      </c>
      <c r="J1747" t="s">
        <v>3112</v>
      </c>
      <c r="K1747" t="s">
        <v>96</v>
      </c>
      <c r="L1747" t="s">
        <v>96</v>
      </c>
      <c r="M1747">
        <v>4080.9917157851337</v>
      </c>
      <c r="O1747" s="12" t="str">
        <f t="shared" si="68"/>
        <v>EUR</v>
      </c>
      <c r="P1747" s="12" t="str">
        <f t="shared" si="69"/>
        <v>EN_ZC</v>
      </c>
    </row>
    <row r="1748" spans="1:16" x14ac:dyDescent="0.35">
      <c r="A1748" t="s">
        <v>2383</v>
      </c>
      <c r="B1748" t="s">
        <v>73</v>
      </c>
      <c r="C1748" t="s">
        <v>45</v>
      </c>
      <c r="D1748" t="s">
        <v>33</v>
      </c>
      <c r="E1748" t="s">
        <v>96</v>
      </c>
      <c r="F1748" t="s">
        <v>96</v>
      </c>
      <c r="G1748" t="s">
        <v>96</v>
      </c>
      <c r="H1748">
        <v>2037</v>
      </c>
      <c r="I1748" t="s">
        <v>96</v>
      </c>
      <c r="J1748" t="s">
        <v>3112</v>
      </c>
      <c r="K1748" t="s">
        <v>96</v>
      </c>
      <c r="L1748" t="s">
        <v>96</v>
      </c>
      <c r="M1748">
        <v>4029.2280965600849</v>
      </c>
      <c r="O1748" s="12" t="str">
        <f t="shared" si="68"/>
        <v>EUR</v>
      </c>
      <c r="P1748" s="12" t="str">
        <f t="shared" si="69"/>
        <v>EN_ZC</v>
      </c>
    </row>
    <row r="1749" spans="1:16" x14ac:dyDescent="0.35">
      <c r="A1749" t="s">
        <v>2383</v>
      </c>
      <c r="B1749" t="s">
        <v>73</v>
      </c>
      <c r="C1749" t="s">
        <v>45</v>
      </c>
      <c r="D1749" t="s">
        <v>33</v>
      </c>
      <c r="E1749" t="s">
        <v>96</v>
      </c>
      <c r="F1749" t="s">
        <v>96</v>
      </c>
      <c r="G1749" t="s">
        <v>96</v>
      </c>
      <c r="H1749">
        <v>2038</v>
      </c>
      <c r="I1749" t="s">
        <v>96</v>
      </c>
      <c r="J1749" t="s">
        <v>3112</v>
      </c>
      <c r="K1749" t="s">
        <v>96</v>
      </c>
      <c r="L1749" t="s">
        <v>96</v>
      </c>
      <c r="M1749">
        <v>3979.2755106558011</v>
      </c>
      <c r="O1749" s="12" t="str">
        <f t="shared" si="68"/>
        <v>EUR</v>
      </c>
      <c r="P1749" s="12" t="str">
        <f t="shared" si="69"/>
        <v>EN_ZC</v>
      </c>
    </row>
    <row r="1750" spans="1:16" x14ac:dyDescent="0.35">
      <c r="A1750" t="s">
        <v>2383</v>
      </c>
      <c r="B1750" t="s">
        <v>73</v>
      </c>
      <c r="C1750" t="s">
        <v>45</v>
      </c>
      <c r="D1750" t="s">
        <v>33</v>
      </c>
      <c r="E1750" t="s">
        <v>96</v>
      </c>
      <c r="F1750" t="s">
        <v>96</v>
      </c>
      <c r="G1750" t="s">
        <v>96</v>
      </c>
      <c r="H1750">
        <v>2039</v>
      </c>
      <c r="I1750" t="s">
        <v>96</v>
      </c>
      <c r="J1750" t="s">
        <v>3112</v>
      </c>
      <c r="K1750" t="s">
        <v>96</v>
      </c>
      <c r="L1750" t="s">
        <v>96</v>
      </c>
      <c r="M1750">
        <v>3928.9127119063155</v>
      </c>
      <c r="O1750" s="12" t="str">
        <f t="shared" si="68"/>
        <v>EUR</v>
      </c>
      <c r="P1750" s="12" t="str">
        <f t="shared" si="69"/>
        <v>EN_ZC</v>
      </c>
    </row>
    <row r="1751" spans="1:16" x14ac:dyDescent="0.35">
      <c r="A1751" t="s">
        <v>2383</v>
      </c>
      <c r="B1751" t="s">
        <v>73</v>
      </c>
      <c r="C1751" t="s">
        <v>45</v>
      </c>
      <c r="D1751" t="s">
        <v>33</v>
      </c>
      <c r="E1751" t="s">
        <v>96</v>
      </c>
      <c r="F1751" t="s">
        <v>96</v>
      </c>
      <c r="G1751" t="s">
        <v>96</v>
      </c>
      <c r="H1751">
        <v>2040</v>
      </c>
      <c r="I1751" t="s">
        <v>96</v>
      </c>
      <c r="J1751" t="s">
        <v>3112</v>
      </c>
      <c r="K1751" t="s">
        <v>96</v>
      </c>
      <c r="L1751" t="s">
        <v>96</v>
      </c>
      <c r="M1751">
        <v>3880.2455738319759</v>
      </c>
      <c r="O1751" s="12" t="str">
        <f t="shared" si="68"/>
        <v>EUR</v>
      </c>
      <c r="P1751" s="12" t="str">
        <f t="shared" si="69"/>
        <v>EN_ZC</v>
      </c>
    </row>
    <row r="1752" spans="1:16" x14ac:dyDescent="0.35">
      <c r="A1752" t="s">
        <v>2383</v>
      </c>
      <c r="B1752" t="s">
        <v>73</v>
      </c>
      <c r="C1752" t="s">
        <v>45</v>
      </c>
      <c r="D1752" t="s">
        <v>33</v>
      </c>
      <c r="E1752" t="s">
        <v>96</v>
      </c>
      <c r="F1752" t="s">
        <v>96</v>
      </c>
      <c r="G1752" t="s">
        <v>96</v>
      </c>
      <c r="H1752">
        <v>2041</v>
      </c>
      <c r="I1752" t="s">
        <v>96</v>
      </c>
      <c r="J1752" t="s">
        <v>3112</v>
      </c>
      <c r="K1752" t="s">
        <v>96</v>
      </c>
      <c r="L1752" t="s">
        <v>96</v>
      </c>
      <c r="M1752">
        <v>3832.7440921955204</v>
      </c>
      <c r="O1752" s="12" t="str">
        <f t="shared" si="68"/>
        <v>EUR</v>
      </c>
      <c r="P1752" s="12" t="str">
        <f t="shared" si="69"/>
        <v>EN_ZC</v>
      </c>
    </row>
    <row r="1753" spans="1:16" x14ac:dyDescent="0.35">
      <c r="A1753" t="s">
        <v>2383</v>
      </c>
      <c r="B1753" t="s">
        <v>73</v>
      </c>
      <c r="C1753" t="s">
        <v>45</v>
      </c>
      <c r="D1753" t="s">
        <v>33</v>
      </c>
      <c r="E1753" t="s">
        <v>96</v>
      </c>
      <c r="F1753" t="s">
        <v>96</v>
      </c>
      <c r="G1753" t="s">
        <v>96</v>
      </c>
      <c r="H1753">
        <v>2042</v>
      </c>
      <c r="I1753" t="s">
        <v>96</v>
      </c>
      <c r="J1753" t="s">
        <v>3112</v>
      </c>
      <c r="K1753" t="s">
        <v>96</v>
      </c>
      <c r="L1753" t="s">
        <v>96</v>
      </c>
      <c r="M1753">
        <v>3782.4767740376801</v>
      </c>
      <c r="O1753" s="12" t="str">
        <f t="shared" si="68"/>
        <v>EUR</v>
      </c>
      <c r="P1753" s="12" t="str">
        <f t="shared" si="69"/>
        <v>EN_ZC</v>
      </c>
    </row>
    <row r="1754" spans="1:16" x14ac:dyDescent="0.35">
      <c r="A1754" t="s">
        <v>2383</v>
      </c>
      <c r="B1754" t="s">
        <v>73</v>
      </c>
      <c r="C1754" t="s">
        <v>45</v>
      </c>
      <c r="D1754" t="s">
        <v>33</v>
      </c>
      <c r="E1754" t="s">
        <v>96</v>
      </c>
      <c r="F1754" t="s">
        <v>96</v>
      </c>
      <c r="G1754" t="s">
        <v>96</v>
      </c>
      <c r="H1754">
        <v>2043</v>
      </c>
      <c r="I1754" t="s">
        <v>96</v>
      </c>
      <c r="J1754" t="s">
        <v>3112</v>
      </c>
      <c r="K1754" t="s">
        <v>96</v>
      </c>
      <c r="L1754" t="s">
        <v>96</v>
      </c>
      <c r="M1754">
        <v>3737.996185014254</v>
      </c>
      <c r="O1754" s="12" t="str">
        <f t="shared" si="68"/>
        <v>EUR</v>
      </c>
      <c r="P1754" s="12" t="str">
        <f t="shared" si="69"/>
        <v>EN_ZC</v>
      </c>
    </row>
    <row r="1755" spans="1:16" x14ac:dyDescent="0.35">
      <c r="A1755" t="s">
        <v>2383</v>
      </c>
      <c r="B1755" t="s">
        <v>73</v>
      </c>
      <c r="C1755" t="s">
        <v>45</v>
      </c>
      <c r="D1755" t="s">
        <v>33</v>
      </c>
      <c r="E1755" t="s">
        <v>96</v>
      </c>
      <c r="F1755" t="s">
        <v>96</v>
      </c>
      <c r="G1755" t="s">
        <v>96</v>
      </c>
      <c r="H1755">
        <v>2044</v>
      </c>
      <c r="I1755" t="s">
        <v>96</v>
      </c>
      <c r="J1755" t="s">
        <v>3112</v>
      </c>
      <c r="K1755" t="s">
        <v>96</v>
      </c>
      <c r="L1755" t="s">
        <v>96</v>
      </c>
      <c r="M1755">
        <v>3688.82821765479</v>
      </c>
      <c r="O1755" s="12" t="str">
        <f t="shared" si="68"/>
        <v>EUR</v>
      </c>
      <c r="P1755" s="12" t="str">
        <f t="shared" si="69"/>
        <v>EN_ZC</v>
      </c>
    </row>
    <row r="1756" spans="1:16" x14ac:dyDescent="0.35">
      <c r="A1756" t="s">
        <v>2383</v>
      </c>
      <c r="B1756" t="s">
        <v>73</v>
      </c>
      <c r="C1756" t="s">
        <v>45</v>
      </c>
      <c r="D1756" t="s">
        <v>33</v>
      </c>
      <c r="E1756" t="s">
        <v>96</v>
      </c>
      <c r="F1756" t="s">
        <v>96</v>
      </c>
      <c r="G1756" t="s">
        <v>96</v>
      </c>
      <c r="H1756">
        <v>2045</v>
      </c>
      <c r="I1756" t="s">
        <v>96</v>
      </c>
      <c r="J1756" t="s">
        <v>3112</v>
      </c>
      <c r="K1756" t="s">
        <v>96</v>
      </c>
      <c r="L1756" t="s">
        <v>96</v>
      </c>
      <c r="M1756">
        <v>3644.5465455498938</v>
      </c>
      <c r="O1756" s="12" t="str">
        <f t="shared" si="68"/>
        <v>EUR</v>
      </c>
      <c r="P1756" s="12" t="str">
        <f t="shared" si="69"/>
        <v>EN_ZC</v>
      </c>
    </row>
    <row r="1757" spans="1:16" x14ac:dyDescent="0.35">
      <c r="A1757" t="s">
        <v>2383</v>
      </c>
      <c r="B1757" t="s">
        <v>73</v>
      </c>
      <c r="C1757" t="s">
        <v>45</v>
      </c>
      <c r="D1757" t="s">
        <v>33</v>
      </c>
      <c r="E1757" t="s">
        <v>96</v>
      </c>
      <c r="F1757" t="s">
        <v>96</v>
      </c>
      <c r="G1757" t="s">
        <v>96</v>
      </c>
      <c r="H1757">
        <v>2046</v>
      </c>
      <c r="I1757" t="s">
        <v>96</v>
      </c>
      <c r="J1757" t="s">
        <v>3112</v>
      </c>
      <c r="K1757" t="s">
        <v>96</v>
      </c>
      <c r="L1757" t="s">
        <v>96</v>
      </c>
      <c r="M1757">
        <v>3596.4827904246408</v>
      </c>
      <c r="O1757" s="12" t="str">
        <f t="shared" si="68"/>
        <v>EUR</v>
      </c>
      <c r="P1757" s="12" t="str">
        <f t="shared" si="69"/>
        <v>EN_ZC</v>
      </c>
    </row>
    <row r="1758" spans="1:16" x14ac:dyDescent="0.35">
      <c r="A1758" t="s">
        <v>2383</v>
      </c>
      <c r="B1758" t="s">
        <v>73</v>
      </c>
      <c r="C1758" t="s">
        <v>45</v>
      </c>
      <c r="D1758" t="s">
        <v>33</v>
      </c>
      <c r="E1758" t="s">
        <v>96</v>
      </c>
      <c r="F1758" t="s">
        <v>96</v>
      </c>
      <c r="G1758" t="s">
        <v>96</v>
      </c>
      <c r="H1758">
        <v>2047</v>
      </c>
      <c r="I1758" t="s">
        <v>96</v>
      </c>
      <c r="J1758" t="s">
        <v>3112</v>
      </c>
      <c r="K1758" t="s">
        <v>96</v>
      </c>
      <c r="L1758" t="s">
        <v>96</v>
      </c>
      <c r="M1758">
        <v>3551.8099148655847</v>
      </c>
      <c r="O1758" s="12" t="str">
        <f t="shared" si="68"/>
        <v>EUR</v>
      </c>
      <c r="P1758" s="12" t="str">
        <f t="shared" si="69"/>
        <v>EN_ZC</v>
      </c>
    </row>
    <row r="1759" spans="1:16" x14ac:dyDescent="0.35">
      <c r="A1759" t="s">
        <v>2383</v>
      </c>
      <c r="B1759" t="s">
        <v>73</v>
      </c>
      <c r="C1759" t="s">
        <v>45</v>
      </c>
      <c r="D1759" t="s">
        <v>33</v>
      </c>
      <c r="E1759" t="s">
        <v>96</v>
      </c>
      <c r="F1759" t="s">
        <v>96</v>
      </c>
      <c r="G1759" t="s">
        <v>96</v>
      </c>
      <c r="H1759">
        <v>2048</v>
      </c>
      <c r="I1759" t="s">
        <v>96</v>
      </c>
      <c r="J1759" t="s">
        <v>3112</v>
      </c>
      <c r="K1759" t="s">
        <v>96</v>
      </c>
      <c r="L1759" t="s">
        <v>96</v>
      </c>
      <c r="M1759">
        <v>3507.1522890061115</v>
      </c>
      <c r="O1759" s="12" t="str">
        <f t="shared" si="68"/>
        <v>EUR</v>
      </c>
      <c r="P1759" s="12" t="str">
        <f t="shared" si="69"/>
        <v>EN_ZC</v>
      </c>
    </row>
    <row r="1760" spans="1:16" x14ac:dyDescent="0.35">
      <c r="A1760" t="s">
        <v>2383</v>
      </c>
      <c r="B1760" t="s">
        <v>73</v>
      </c>
      <c r="C1760" t="s">
        <v>45</v>
      </c>
      <c r="D1760" t="s">
        <v>33</v>
      </c>
      <c r="E1760" t="s">
        <v>96</v>
      </c>
      <c r="F1760" t="s">
        <v>96</v>
      </c>
      <c r="G1760" t="s">
        <v>96</v>
      </c>
      <c r="H1760">
        <v>2049</v>
      </c>
      <c r="I1760" t="s">
        <v>96</v>
      </c>
      <c r="J1760" t="s">
        <v>3112</v>
      </c>
      <c r="K1760" t="s">
        <v>96</v>
      </c>
      <c r="L1760" t="s">
        <v>96</v>
      </c>
      <c r="M1760">
        <v>3462.5775456486786</v>
      </c>
      <c r="O1760" s="12" t="str">
        <f t="shared" si="68"/>
        <v>EUR</v>
      </c>
      <c r="P1760" s="12" t="str">
        <f t="shared" si="69"/>
        <v>EN_ZC</v>
      </c>
    </row>
    <row r="1761" spans="1:16" x14ac:dyDescent="0.35">
      <c r="A1761" t="s">
        <v>2383</v>
      </c>
      <c r="B1761" t="s">
        <v>73</v>
      </c>
      <c r="C1761" t="s">
        <v>45</v>
      </c>
      <c r="D1761" t="s">
        <v>33</v>
      </c>
      <c r="E1761" t="s">
        <v>96</v>
      </c>
      <c r="F1761" t="s">
        <v>96</v>
      </c>
      <c r="G1761" t="s">
        <v>96</v>
      </c>
      <c r="H1761">
        <v>2050</v>
      </c>
      <c r="I1761" t="s">
        <v>96</v>
      </c>
      <c r="J1761" t="s">
        <v>3112</v>
      </c>
      <c r="K1761" t="s">
        <v>96</v>
      </c>
      <c r="L1761" t="s">
        <v>96</v>
      </c>
      <c r="M1761">
        <v>3418.4017423991841</v>
      </c>
      <c r="O1761" s="12" t="str">
        <f t="shared" si="68"/>
        <v>EUR</v>
      </c>
      <c r="P1761" s="12" t="str">
        <f t="shared" si="69"/>
        <v>EN_ZC</v>
      </c>
    </row>
    <row r="1762" spans="1:16" x14ac:dyDescent="0.35">
      <c r="A1762" t="s">
        <v>2383</v>
      </c>
      <c r="B1762" t="s">
        <v>74</v>
      </c>
      <c r="C1762" t="s">
        <v>45</v>
      </c>
      <c r="D1762" t="s">
        <v>32</v>
      </c>
      <c r="E1762" t="s">
        <v>96</v>
      </c>
      <c r="F1762" t="s">
        <v>96</v>
      </c>
      <c r="G1762" t="s">
        <v>96</v>
      </c>
      <c r="H1762">
        <v>2010</v>
      </c>
      <c r="I1762" t="s">
        <v>96</v>
      </c>
      <c r="J1762" t="s">
        <v>2382</v>
      </c>
      <c r="K1762" t="s">
        <v>96</v>
      </c>
      <c r="L1762" t="s">
        <v>96</v>
      </c>
      <c r="M1762">
        <v>3011.6188355904783</v>
      </c>
      <c r="O1762" s="12" t="str">
        <f t="shared" si="68"/>
        <v>IND</v>
      </c>
      <c r="P1762" s="12" t="str">
        <f t="shared" si="69"/>
        <v>EN_CO</v>
      </c>
    </row>
    <row r="1763" spans="1:16" x14ac:dyDescent="0.35">
      <c r="A1763" t="s">
        <v>2383</v>
      </c>
      <c r="B1763" t="s">
        <v>74</v>
      </c>
      <c r="C1763" t="s">
        <v>45</v>
      </c>
      <c r="D1763" t="s">
        <v>31</v>
      </c>
      <c r="E1763" t="s">
        <v>96</v>
      </c>
      <c r="F1763" t="s">
        <v>96</v>
      </c>
      <c r="G1763" t="s">
        <v>96</v>
      </c>
      <c r="H1763">
        <v>2010</v>
      </c>
      <c r="I1763" t="s">
        <v>96</v>
      </c>
      <c r="J1763" t="s">
        <v>2382</v>
      </c>
      <c r="K1763" t="s">
        <v>96</v>
      </c>
      <c r="L1763" t="s">
        <v>96</v>
      </c>
      <c r="M1763">
        <v>1496.0993831573144</v>
      </c>
      <c r="O1763" s="12" t="str">
        <f t="shared" si="68"/>
        <v>IND</v>
      </c>
      <c r="P1763" s="12" t="str">
        <f t="shared" si="69"/>
        <v>EN_CO</v>
      </c>
    </row>
    <row r="1764" spans="1:16" x14ac:dyDescent="0.35">
      <c r="A1764" t="s">
        <v>2383</v>
      </c>
      <c r="B1764" t="s">
        <v>74</v>
      </c>
      <c r="C1764" t="s">
        <v>45</v>
      </c>
      <c r="D1764" t="s">
        <v>33</v>
      </c>
      <c r="E1764" t="s">
        <v>96</v>
      </c>
      <c r="F1764" t="s">
        <v>96</v>
      </c>
      <c r="G1764" t="s">
        <v>96</v>
      </c>
      <c r="H1764">
        <v>2019</v>
      </c>
      <c r="I1764" t="s">
        <v>96</v>
      </c>
      <c r="J1764" t="s">
        <v>3112</v>
      </c>
      <c r="K1764" t="s">
        <v>96</v>
      </c>
      <c r="L1764" t="s">
        <v>96</v>
      </c>
      <c r="M1764">
        <v>4629.788274226069</v>
      </c>
      <c r="O1764" s="12" t="str">
        <f t="shared" si="68"/>
        <v>IND</v>
      </c>
      <c r="P1764" s="12" t="str">
        <f t="shared" si="69"/>
        <v>EN_ZC</v>
      </c>
    </row>
    <row r="1765" spans="1:16" x14ac:dyDescent="0.35">
      <c r="A1765" t="s">
        <v>2383</v>
      </c>
      <c r="B1765" t="s">
        <v>74</v>
      </c>
      <c r="C1765" t="s">
        <v>45</v>
      </c>
      <c r="D1765" t="s">
        <v>33</v>
      </c>
      <c r="E1765" t="s">
        <v>96</v>
      </c>
      <c r="F1765" t="s">
        <v>96</v>
      </c>
      <c r="G1765" t="s">
        <v>96</v>
      </c>
      <c r="H1765">
        <v>2020</v>
      </c>
      <c r="I1765" t="s">
        <v>96</v>
      </c>
      <c r="J1765" t="s">
        <v>3112</v>
      </c>
      <c r="K1765" t="s">
        <v>96</v>
      </c>
      <c r="L1765" t="s">
        <v>96</v>
      </c>
      <c r="M1765">
        <v>4577.8659924134381</v>
      </c>
      <c r="O1765" s="12" t="str">
        <f t="shared" si="68"/>
        <v>IND</v>
      </c>
      <c r="P1765" s="12" t="str">
        <f t="shared" si="69"/>
        <v>EN_ZC</v>
      </c>
    </row>
    <row r="1766" spans="1:16" x14ac:dyDescent="0.35">
      <c r="A1766" t="s">
        <v>2383</v>
      </c>
      <c r="B1766" t="s">
        <v>74</v>
      </c>
      <c r="C1766" t="s">
        <v>45</v>
      </c>
      <c r="D1766" t="s">
        <v>33</v>
      </c>
      <c r="E1766" t="s">
        <v>96</v>
      </c>
      <c r="F1766" t="s">
        <v>96</v>
      </c>
      <c r="G1766" t="s">
        <v>96</v>
      </c>
      <c r="H1766">
        <v>2021</v>
      </c>
      <c r="I1766" t="s">
        <v>96</v>
      </c>
      <c r="J1766" t="s">
        <v>3112</v>
      </c>
      <c r="K1766" t="s">
        <v>96</v>
      </c>
      <c r="L1766" t="s">
        <v>96</v>
      </c>
      <c r="M1766">
        <v>4465.9344621995933</v>
      </c>
      <c r="O1766" s="12" t="str">
        <f t="shared" si="68"/>
        <v>IND</v>
      </c>
      <c r="P1766" s="12" t="str">
        <f t="shared" si="69"/>
        <v>EN_ZC</v>
      </c>
    </row>
    <row r="1767" spans="1:16" x14ac:dyDescent="0.35">
      <c r="A1767" t="s">
        <v>2383</v>
      </c>
      <c r="B1767" t="s">
        <v>74</v>
      </c>
      <c r="C1767" t="s">
        <v>45</v>
      </c>
      <c r="D1767" t="s">
        <v>33</v>
      </c>
      <c r="E1767" t="s">
        <v>96</v>
      </c>
      <c r="F1767" t="s">
        <v>96</v>
      </c>
      <c r="G1767" t="s">
        <v>96</v>
      </c>
      <c r="H1767">
        <v>2022</v>
      </c>
      <c r="I1767" t="s">
        <v>96</v>
      </c>
      <c r="J1767" t="s">
        <v>3112</v>
      </c>
      <c r="K1767" t="s">
        <v>96</v>
      </c>
      <c r="L1767" t="s">
        <v>96</v>
      </c>
      <c r="M1767">
        <v>4396.378251079429</v>
      </c>
      <c r="O1767" s="12" t="str">
        <f t="shared" si="68"/>
        <v>IND</v>
      </c>
      <c r="P1767" s="12" t="str">
        <f t="shared" si="69"/>
        <v>EN_ZC</v>
      </c>
    </row>
    <row r="1768" spans="1:16" x14ac:dyDescent="0.35">
      <c r="A1768" t="s">
        <v>2383</v>
      </c>
      <c r="B1768" t="s">
        <v>74</v>
      </c>
      <c r="C1768" t="s">
        <v>45</v>
      </c>
      <c r="D1768" t="s">
        <v>33</v>
      </c>
      <c r="E1768" t="s">
        <v>96</v>
      </c>
      <c r="F1768" t="s">
        <v>96</v>
      </c>
      <c r="G1768" t="s">
        <v>96</v>
      </c>
      <c r="H1768">
        <v>2023</v>
      </c>
      <c r="I1768" t="s">
        <v>96</v>
      </c>
      <c r="J1768" t="s">
        <v>3112</v>
      </c>
      <c r="K1768" t="s">
        <v>96</v>
      </c>
      <c r="L1768" t="s">
        <v>96</v>
      </c>
      <c r="M1768">
        <v>4347.1733732688417</v>
      </c>
      <c r="O1768" s="12" t="str">
        <f t="shared" si="68"/>
        <v>IND</v>
      </c>
      <c r="P1768" s="12" t="str">
        <f t="shared" si="69"/>
        <v>EN_ZC</v>
      </c>
    </row>
    <row r="1769" spans="1:16" x14ac:dyDescent="0.35">
      <c r="A1769" t="s">
        <v>2383</v>
      </c>
      <c r="B1769" t="s">
        <v>74</v>
      </c>
      <c r="C1769" t="s">
        <v>45</v>
      </c>
      <c r="D1769" t="s">
        <v>33</v>
      </c>
      <c r="E1769" t="s">
        <v>96</v>
      </c>
      <c r="F1769" t="s">
        <v>96</v>
      </c>
      <c r="G1769" t="s">
        <v>96</v>
      </c>
      <c r="H1769">
        <v>2024</v>
      </c>
      <c r="I1769" t="s">
        <v>96</v>
      </c>
      <c r="J1769" t="s">
        <v>3112</v>
      </c>
      <c r="K1769" t="s">
        <v>96</v>
      </c>
      <c r="L1769" t="s">
        <v>96</v>
      </c>
      <c r="M1769">
        <v>4307.5347909470484</v>
      </c>
      <c r="O1769" s="12" t="str">
        <f t="shared" si="68"/>
        <v>IND</v>
      </c>
      <c r="P1769" s="12" t="str">
        <f t="shared" si="69"/>
        <v>EN_ZC</v>
      </c>
    </row>
    <row r="1770" spans="1:16" x14ac:dyDescent="0.35">
      <c r="A1770" t="s">
        <v>2383</v>
      </c>
      <c r="B1770" t="s">
        <v>74</v>
      </c>
      <c r="C1770" t="s">
        <v>45</v>
      </c>
      <c r="D1770" t="s">
        <v>33</v>
      </c>
      <c r="E1770" t="s">
        <v>96</v>
      </c>
      <c r="F1770" t="s">
        <v>96</v>
      </c>
      <c r="G1770" t="s">
        <v>96</v>
      </c>
      <c r="H1770">
        <v>2025</v>
      </c>
      <c r="I1770" t="s">
        <v>96</v>
      </c>
      <c r="J1770" t="s">
        <v>3112</v>
      </c>
      <c r="K1770" t="s">
        <v>96</v>
      </c>
      <c r="L1770" t="s">
        <v>96</v>
      </c>
      <c r="M1770">
        <v>4275.2582120162961</v>
      </c>
      <c r="O1770" s="12" t="str">
        <f t="shared" si="68"/>
        <v>IND</v>
      </c>
      <c r="P1770" s="12" t="str">
        <f t="shared" si="69"/>
        <v>EN_ZC</v>
      </c>
    </row>
    <row r="1771" spans="1:16" x14ac:dyDescent="0.35">
      <c r="A1771" t="s">
        <v>2383</v>
      </c>
      <c r="B1771" t="s">
        <v>74</v>
      </c>
      <c r="C1771" t="s">
        <v>45</v>
      </c>
      <c r="D1771" t="s">
        <v>33</v>
      </c>
      <c r="E1771" t="s">
        <v>96</v>
      </c>
      <c r="F1771" t="s">
        <v>96</v>
      </c>
      <c r="G1771" t="s">
        <v>96</v>
      </c>
      <c r="H1771">
        <v>2026</v>
      </c>
      <c r="I1771" t="s">
        <v>96</v>
      </c>
      <c r="J1771" t="s">
        <v>3112</v>
      </c>
      <c r="K1771" t="s">
        <v>96</v>
      </c>
      <c r="L1771" t="s">
        <v>96</v>
      </c>
      <c r="M1771">
        <v>4232.7161517006107</v>
      </c>
      <c r="O1771" s="12" t="str">
        <f t="shared" si="68"/>
        <v>IND</v>
      </c>
      <c r="P1771" s="12" t="str">
        <f t="shared" si="69"/>
        <v>EN_ZC</v>
      </c>
    </row>
    <row r="1772" spans="1:16" x14ac:dyDescent="0.35">
      <c r="A1772" t="s">
        <v>2383</v>
      </c>
      <c r="B1772" t="s">
        <v>74</v>
      </c>
      <c r="C1772" t="s">
        <v>45</v>
      </c>
      <c r="D1772" t="s">
        <v>33</v>
      </c>
      <c r="E1772" t="s">
        <v>96</v>
      </c>
      <c r="F1772" t="s">
        <v>96</v>
      </c>
      <c r="G1772" t="s">
        <v>96</v>
      </c>
      <c r="H1772">
        <v>2027</v>
      </c>
      <c r="I1772" t="s">
        <v>96</v>
      </c>
      <c r="J1772" t="s">
        <v>3112</v>
      </c>
      <c r="K1772" t="s">
        <v>96</v>
      </c>
      <c r="L1772" t="s">
        <v>96</v>
      </c>
      <c r="M1772">
        <v>4181.8269424032578</v>
      </c>
      <c r="O1772" s="12" t="str">
        <f t="shared" si="68"/>
        <v>IND</v>
      </c>
      <c r="P1772" s="12" t="str">
        <f t="shared" si="69"/>
        <v>EN_ZC</v>
      </c>
    </row>
    <row r="1773" spans="1:16" x14ac:dyDescent="0.35">
      <c r="A1773" t="s">
        <v>2383</v>
      </c>
      <c r="B1773" t="s">
        <v>74</v>
      </c>
      <c r="C1773" t="s">
        <v>45</v>
      </c>
      <c r="D1773" t="s">
        <v>33</v>
      </c>
      <c r="E1773" t="s">
        <v>96</v>
      </c>
      <c r="F1773" t="s">
        <v>96</v>
      </c>
      <c r="G1773" t="s">
        <v>96</v>
      </c>
      <c r="H1773">
        <v>2028</v>
      </c>
      <c r="I1773" t="s">
        <v>96</v>
      </c>
      <c r="J1773" t="s">
        <v>3112</v>
      </c>
      <c r="K1773" t="s">
        <v>96</v>
      </c>
      <c r="L1773" t="s">
        <v>96</v>
      </c>
      <c r="M1773">
        <v>4125.0119636456229</v>
      </c>
      <c r="O1773" s="12" t="str">
        <f t="shared" si="68"/>
        <v>IND</v>
      </c>
      <c r="P1773" s="12" t="str">
        <f t="shared" si="69"/>
        <v>EN_ZC</v>
      </c>
    </row>
    <row r="1774" spans="1:16" x14ac:dyDescent="0.35">
      <c r="A1774" t="s">
        <v>2383</v>
      </c>
      <c r="B1774" t="s">
        <v>74</v>
      </c>
      <c r="C1774" t="s">
        <v>45</v>
      </c>
      <c r="D1774" t="s">
        <v>33</v>
      </c>
      <c r="E1774" t="s">
        <v>96</v>
      </c>
      <c r="F1774" t="s">
        <v>96</v>
      </c>
      <c r="G1774" t="s">
        <v>96</v>
      </c>
      <c r="H1774">
        <v>2029</v>
      </c>
      <c r="I1774" t="s">
        <v>96</v>
      </c>
      <c r="J1774" t="s">
        <v>3112</v>
      </c>
      <c r="K1774" t="s">
        <v>96</v>
      </c>
      <c r="L1774" t="s">
        <v>96</v>
      </c>
      <c r="M1774">
        <v>4066.7200727902273</v>
      </c>
      <c r="O1774" s="12" t="str">
        <f t="shared" si="68"/>
        <v>IND</v>
      </c>
      <c r="P1774" s="12" t="str">
        <f t="shared" si="69"/>
        <v>EN_ZC</v>
      </c>
    </row>
    <row r="1775" spans="1:16" x14ac:dyDescent="0.35">
      <c r="A1775" t="s">
        <v>2383</v>
      </c>
      <c r="B1775" t="s">
        <v>74</v>
      </c>
      <c r="C1775" t="s">
        <v>45</v>
      </c>
      <c r="D1775" t="s">
        <v>33</v>
      </c>
      <c r="E1775" t="s">
        <v>96</v>
      </c>
      <c r="F1775" t="s">
        <v>96</v>
      </c>
      <c r="G1775" t="s">
        <v>96</v>
      </c>
      <c r="H1775">
        <v>2030</v>
      </c>
      <c r="I1775" t="s">
        <v>96</v>
      </c>
      <c r="J1775" t="s">
        <v>3112</v>
      </c>
      <c r="K1775" t="s">
        <v>96</v>
      </c>
      <c r="L1775" t="s">
        <v>96</v>
      </c>
      <c r="M1775">
        <v>4015.3628591853335</v>
      </c>
      <c r="O1775" s="12" t="str">
        <f t="shared" si="68"/>
        <v>IND</v>
      </c>
      <c r="P1775" s="12" t="str">
        <f t="shared" si="69"/>
        <v>EN_ZC</v>
      </c>
    </row>
    <row r="1776" spans="1:16" x14ac:dyDescent="0.35">
      <c r="A1776" t="s">
        <v>2383</v>
      </c>
      <c r="B1776" t="s">
        <v>74</v>
      </c>
      <c r="C1776" t="s">
        <v>45</v>
      </c>
      <c r="D1776" t="s">
        <v>33</v>
      </c>
      <c r="E1776" t="s">
        <v>96</v>
      </c>
      <c r="F1776" t="s">
        <v>96</v>
      </c>
      <c r="G1776" t="s">
        <v>96</v>
      </c>
      <c r="H1776">
        <v>2031</v>
      </c>
      <c r="I1776" t="s">
        <v>96</v>
      </c>
      <c r="J1776" t="s">
        <v>3112</v>
      </c>
      <c r="K1776" t="s">
        <v>96</v>
      </c>
      <c r="L1776" t="s">
        <v>96</v>
      </c>
      <c r="M1776">
        <v>3964.2674389002036</v>
      </c>
      <c r="O1776" s="12" t="str">
        <f t="shared" si="68"/>
        <v>IND</v>
      </c>
      <c r="P1776" s="12" t="str">
        <f t="shared" si="69"/>
        <v>EN_ZC</v>
      </c>
    </row>
    <row r="1777" spans="1:16" x14ac:dyDescent="0.35">
      <c r="A1777" t="s">
        <v>2383</v>
      </c>
      <c r="B1777" t="s">
        <v>74</v>
      </c>
      <c r="C1777" t="s">
        <v>45</v>
      </c>
      <c r="D1777" t="s">
        <v>33</v>
      </c>
      <c r="E1777" t="s">
        <v>96</v>
      </c>
      <c r="F1777" t="s">
        <v>96</v>
      </c>
      <c r="G1777" t="s">
        <v>96</v>
      </c>
      <c r="H1777">
        <v>2032</v>
      </c>
      <c r="I1777" t="s">
        <v>96</v>
      </c>
      <c r="J1777" t="s">
        <v>3112</v>
      </c>
      <c r="K1777" t="s">
        <v>96</v>
      </c>
      <c r="L1777" t="s">
        <v>96</v>
      </c>
      <c r="M1777">
        <v>3913.3315102545807</v>
      </c>
      <c r="O1777" s="12" t="str">
        <f t="shared" si="68"/>
        <v>IND</v>
      </c>
      <c r="P1777" s="12" t="str">
        <f t="shared" si="69"/>
        <v>EN_ZC</v>
      </c>
    </row>
    <row r="1778" spans="1:16" x14ac:dyDescent="0.35">
      <c r="A1778" t="s">
        <v>2383</v>
      </c>
      <c r="B1778" t="s">
        <v>74</v>
      </c>
      <c r="C1778" t="s">
        <v>45</v>
      </c>
      <c r="D1778" t="s">
        <v>33</v>
      </c>
      <c r="E1778" t="s">
        <v>96</v>
      </c>
      <c r="F1778" t="s">
        <v>96</v>
      </c>
      <c r="G1778" t="s">
        <v>96</v>
      </c>
      <c r="H1778">
        <v>2033</v>
      </c>
      <c r="I1778" t="s">
        <v>96</v>
      </c>
      <c r="J1778" t="s">
        <v>3112</v>
      </c>
      <c r="K1778" t="s">
        <v>96</v>
      </c>
      <c r="L1778" t="s">
        <v>96</v>
      </c>
      <c r="M1778">
        <v>3864.686868696539</v>
      </c>
      <c r="O1778" s="12" t="str">
        <f t="shared" si="68"/>
        <v>IND</v>
      </c>
      <c r="P1778" s="12" t="str">
        <f t="shared" si="69"/>
        <v>EN_ZC</v>
      </c>
    </row>
    <row r="1779" spans="1:16" x14ac:dyDescent="0.35">
      <c r="A1779" t="s">
        <v>2383</v>
      </c>
      <c r="B1779" t="s">
        <v>74</v>
      </c>
      <c r="C1779" t="s">
        <v>45</v>
      </c>
      <c r="D1779" t="s">
        <v>33</v>
      </c>
      <c r="E1779" t="s">
        <v>96</v>
      </c>
      <c r="F1779" t="s">
        <v>96</v>
      </c>
      <c r="G1779" t="s">
        <v>96</v>
      </c>
      <c r="H1779">
        <v>2034</v>
      </c>
      <c r="I1779" t="s">
        <v>96</v>
      </c>
      <c r="J1779" t="s">
        <v>3112</v>
      </c>
      <c r="K1779" t="s">
        <v>96</v>
      </c>
      <c r="L1779" t="s">
        <v>96</v>
      </c>
      <c r="M1779">
        <v>3816.6665012321773</v>
      </c>
      <c r="O1779" s="12" t="str">
        <f t="shared" si="68"/>
        <v>IND</v>
      </c>
      <c r="P1779" s="12" t="str">
        <f t="shared" si="69"/>
        <v>EN_ZC</v>
      </c>
    </row>
    <row r="1780" spans="1:16" x14ac:dyDescent="0.35">
      <c r="A1780" t="s">
        <v>2383</v>
      </c>
      <c r="B1780" t="s">
        <v>74</v>
      </c>
      <c r="C1780" t="s">
        <v>45</v>
      </c>
      <c r="D1780" t="s">
        <v>33</v>
      </c>
      <c r="E1780" t="s">
        <v>96</v>
      </c>
      <c r="F1780" t="s">
        <v>96</v>
      </c>
      <c r="G1780" t="s">
        <v>96</v>
      </c>
      <c r="H1780">
        <v>2035</v>
      </c>
      <c r="I1780" t="s">
        <v>96</v>
      </c>
      <c r="J1780" t="s">
        <v>3112</v>
      </c>
      <c r="K1780" t="s">
        <v>96</v>
      </c>
      <c r="L1780" t="s">
        <v>96</v>
      </c>
      <c r="M1780">
        <v>3766.2904046639551</v>
      </c>
      <c r="O1780" s="12" t="str">
        <f t="shared" si="68"/>
        <v>IND</v>
      </c>
      <c r="P1780" s="12" t="str">
        <f t="shared" si="69"/>
        <v>EN_ZC</v>
      </c>
    </row>
    <row r="1781" spans="1:16" x14ac:dyDescent="0.35">
      <c r="A1781" t="s">
        <v>2383</v>
      </c>
      <c r="B1781" t="s">
        <v>74</v>
      </c>
      <c r="C1781" t="s">
        <v>45</v>
      </c>
      <c r="D1781" t="s">
        <v>33</v>
      </c>
      <c r="E1781" t="s">
        <v>96</v>
      </c>
      <c r="F1781" t="s">
        <v>96</v>
      </c>
      <c r="G1781" t="s">
        <v>96</v>
      </c>
      <c r="H1781">
        <v>2036</v>
      </c>
      <c r="I1781" t="s">
        <v>96</v>
      </c>
      <c r="J1781" t="s">
        <v>3112</v>
      </c>
      <c r="K1781" t="s">
        <v>96</v>
      </c>
      <c r="L1781" t="s">
        <v>96</v>
      </c>
      <c r="M1781">
        <v>3718.3389086456227</v>
      </c>
      <c r="O1781" s="12" t="str">
        <f t="shared" si="68"/>
        <v>IND</v>
      </c>
      <c r="P1781" s="12" t="str">
        <f t="shared" si="69"/>
        <v>EN_ZC</v>
      </c>
    </row>
    <row r="1782" spans="1:16" x14ac:dyDescent="0.35">
      <c r="A1782" t="s">
        <v>2383</v>
      </c>
      <c r="B1782" t="s">
        <v>74</v>
      </c>
      <c r="C1782" t="s">
        <v>45</v>
      </c>
      <c r="D1782" t="s">
        <v>33</v>
      </c>
      <c r="E1782" t="s">
        <v>96</v>
      </c>
      <c r="F1782" t="s">
        <v>96</v>
      </c>
      <c r="G1782" t="s">
        <v>96</v>
      </c>
      <c r="H1782">
        <v>2037</v>
      </c>
      <c r="I1782" t="s">
        <v>96</v>
      </c>
      <c r="J1782" t="s">
        <v>3112</v>
      </c>
      <c r="K1782" t="s">
        <v>96</v>
      </c>
      <c r="L1782" t="s">
        <v>96</v>
      </c>
      <c r="M1782">
        <v>3671.1752060896165</v>
      </c>
      <c r="O1782" s="12" t="str">
        <f t="shared" si="68"/>
        <v>IND</v>
      </c>
      <c r="P1782" s="12" t="str">
        <f t="shared" si="69"/>
        <v>EN_ZC</v>
      </c>
    </row>
    <row r="1783" spans="1:16" x14ac:dyDescent="0.35">
      <c r="A1783" t="s">
        <v>2383</v>
      </c>
      <c r="B1783" t="s">
        <v>74</v>
      </c>
      <c r="C1783" t="s">
        <v>45</v>
      </c>
      <c r="D1783" t="s">
        <v>33</v>
      </c>
      <c r="E1783" t="s">
        <v>96</v>
      </c>
      <c r="F1783" t="s">
        <v>96</v>
      </c>
      <c r="G1783" t="s">
        <v>96</v>
      </c>
      <c r="H1783">
        <v>2038</v>
      </c>
      <c r="I1783" t="s">
        <v>96</v>
      </c>
      <c r="J1783" t="s">
        <v>3112</v>
      </c>
      <c r="K1783" t="s">
        <v>96</v>
      </c>
      <c r="L1783" t="s">
        <v>96</v>
      </c>
      <c r="M1783">
        <v>3625.6616013849257</v>
      </c>
      <c r="O1783" s="12" t="str">
        <f t="shared" si="68"/>
        <v>IND</v>
      </c>
      <c r="P1783" s="12" t="str">
        <f t="shared" si="69"/>
        <v>EN_ZC</v>
      </c>
    </row>
    <row r="1784" spans="1:16" x14ac:dyDescent="0.35">
      <c r="A1784" t="s">
        <v>2383</v>
      </c>
      <c r="B1784" t="s">
        <v>74</v>
      </c>
      <c r="C1784" t="s">
        <v>45</v>
      </c>
      <c r="D1784" t="s">
        <v>33</v>
      </c>
      <c r="E1784" t="s">
        <v>96</v>
      </c>
      <c r="F1784" t="s">
        <v>96</v>
      </c>
      <c r="G1784" t="s">
        <v>96</v>
      </c>
      <c r="H1784">
        <v>2039</v>
      </c>
      <c r="I1784" t="s">
        <v>96</v>
      </c>
      <c r="J1784" t="s">
        <v>3112</v>
      </c>
      <c r="K1784" t="s">
        <v>96</v>
      </c>
      <c r="L1784" t="s">
        <v>96</v>
      </c>
      <c r="M1784">
        <v>3579.774236945012</v>
      </c>
      <c r="O1784" s="12" t="str">
        <f t="shared" si="68"/>
        <v>IND</v>
      </c>
      <c r="P1784" s="12" t="str">
        <f t="shared" si="69"/>
        <v>EN_ZC</v>
      </c>
    </row>
    <row r="1785" spans="1:16" x14ac:dyDescent="0.35">
      <c r="A1785" t="s">
        <v>2383</v>
      </c>
      <c r="B1785" t="s">
        <v>74</v>
      </c>
      <c r="C1785" t="s">
        <v>45</v>
      </c>
      <c r="D1785" t="s">
        <v>33</v>
      </c>
      <c r="E1785" t="s">
        <v>96</v>
      </c>
      <c r="F1785" t="s">
        <v>96</v>
      </c>
      <c r="G1785" t="s">
        <v>96</v>
      </c>
      <c r="H1785">
        <v>2040</v>
      </c>
      <c r="I1785" t="s">
        <v>96</v>
      </c>
      <c r="J1785" t="s">
        <v>3112</v>
      </c>
      <c r="K1785" t="s">
        <v>96</v>
      </c>
      <c r="L1785" t="s">
        <v>96</v>
      </c>
      <c r="M1785">
        <v>3535.4318501731168</v>
      </c>
      <c r="O1785" s="12" t="str">
        <f t="shared" si="68"/>
        <v>IND</v>
      </c>
      <c r="P1785" s="12" t="str">
        <f t="shared" si="69"/>
        <v>EN_ZC</v>
      </c>
    </row>
    <row r="1786" spans="1:16" x14ac:dyDescent="0.35">
      <c r="A1786" t="s">
        <v>2383</v>
      </c>
      <c r="B1786" t="s">
        <v>74</v>
      </c>
      <c r="C1786" t="s">
        <v>45</v>
      </c>
      <c r="D1786" t="s">
        <v>33</v>
      </c>
      <c r="E1786" t="s">
        <v>96</v>
      </c>
      <c r="F1786" t="s">
        <v>96</v>
      </c>
      <c r="G1786" t="s">
        <v>96</v>
      </c>
      <c r="H1786">
        <v>2041</v>
      </c>
      <c r="I1786" t="s">
        <v>96</v>
      </c>
      <c r="J1786" t="s">
        <v>3112</v>
      </c>
      <c r="K1786" t="s">
        <v>96</v>
      </c>
      <c r="L1786" t="s">
        <v>96</v>
      </c>
      <c r="M1786">
        <v>3492.1515350712843</v>
      </c>
      <c r="O1786" s="12" t="str">
        <f t="shared" si="68"/>
        <v>IND</v>
      </c>
      <c r="P1786" s="12" t="str">
        <f t="shared" si="69"/>
        <v>EN_ZC</v>
      </c>
    </row>
    <row r="1787" spans="1:16" x14ac:dyDescent="0.35">
      <c r="A1787" t="s">
        <v>2383</v>
      </c>
      <c r="B1787" t="s">
        <v>74</v>
      </c>
      <c r="C1787" t="s">
        <v>45</v>
      </c>
      <c r="D1787" t="s">
        <v>33</v>
      </c>
      <c r="E1787" t="s">
        <v>96</v>
      </c>
      <c r="F1787" t="s">
        <v>96</v>
      </c>
      <c r="G1787" t="s">
        <v>96</v>
      </c>
      <c r="H1787">
        <v>2042</v>
      </c>
      <c r="I1787" t="s">
        <v>96</v>
      </c>
      <c r="J1787" t="s">
        <v>3112</v>
      </c>
      <c r="K1787" t="s">
        <v>96</v>
      </c>
      <c r="L1787" t="s">
        <v>96</v>
      </c>
      <c r="M1787">
        <v>3446.3511664460302</v>
      </c>
      <c r="O1787" s="12" t="str">
        <f t="shared" si="68"/>
        <v>IND</v>
      </c>
      <c r="P1787" s="12" t="str">
        <f t="shared" si="69"/>
        <v>EN_ZC</v>
      </c>
    </row>
    <row r="1788" spans="1:16" x14ac:dyDescent="0.35">
      <c r="A1788" t="s">
        <v>2383</v>
      </c>
      <c r="B1788" t="s">
        <v>74</v>
      </c>
      <c r="C1788" t="s">
        <v>45</v>
      </c>
      <c r="D1788" t="s">
        <v>33</v>
      </c>
      <c r="E1788" t="s">
        <v>96</v>
      </c>
      <c r="F1788" t="s">
        <v>96</v>
      </c>
      <c r="G1788" t="s">
        <v>96</v>
      </c>
      <c r="H1788">
        <v>2043</v>
      </c>
      <c r="I1788" t="s">
        <v>96</v>
      </c>
      <c r="J1788" t="s">
        <v>3112</v>
      </c>
      <c r="K1788" t="s">
        <v>96</v>
      </c>
      <c r="L1788" t="s">
        <v>96</v>
      </c>
      <c r="M1788">
        <v>3405.823295682279</v>
      </c>
      <c r="O1788" s="12" t="str">
        <f t="shared" si="68"/>
        <v>IND</v>
      </c>
      <c r="P1788" s="12" t="str">
        <f t="shared" si="69"/>
        <v>EN_ZC</v>
      </c>
    </row>
    <row r="1789" spans="1:16" x14ac:dyDescent="0.35">
      <c r="A1789" t="s">
        <v>2383</v>
      </c>
      <c r="B1789" t="s">
        <v>74</v>
      </c>
      <c r="C1789" t="s">
        <v>45</v>
      </c>
      <c r="D1789" t="s">
        <v>33</v>
      </c>
      <c r="E1789" t="s">
        <v>96</v>
      </c>
      <c r="F1789" t="s">
        <v>96</v>
      </c>
      <c r="G1789" t="s">
        <v>96</v>
      </c>
      <c r="H1789">
        <v>2044</v>
      </c>
      <c r="I1789" t="s">
        <v>96</v>
      </c>
      <c r="J1789" t="s">
        <v>3112</v>
      </c>
      <c r="K1789" t="s">
        <v>96</v>
      </c>
      <c r="L1789" t="s">
        <v>96</v>
      </c>
      <c r="M1789">
        <v>3361.0245852647695</v>
      </c>
      <c r="O1789" s="12" t="str">
        <f t="shared" si="68"/>
        <v>IND</v>
      </c>
      <c r="P1789" s="12" t="str">
        <f t="shared" si="69"/>
        <v>EN_ZC</v>
      </c>
    </row>
    <row r="1790" spans="1:16" x14ac:dyDescent="0.35">
      <c r="A1790" t="s">
        <v>2383</v>
      </c>
      <c r="B1790" t="s">
        <v>74</v>
      </c>
      <c r="C1790" t="s">
        <v>45</v>
      </c>
      <c r="D1790" t="s">
        <v>33</v>
      </c>
      <c r="E1790" t="s">
        <v>96</v>
      </c>
      <c r="F1790" t="s">
        <v>96</v>
      </c>
      <c r="G1790" t="s">
        <v>96</v>
      </c>
      <c r="H1790">
        <v>2045</v>
      </c>
      <c r="I1790" t="s">
        <v>96</v>
      </c>
      <c r="J1790" t="s">
        <v>3112</v>
      </c>
      <c r="K1790" t="s">
        <v>96</v>
      </c>
      <c r="L1790" t="s">
        <v>96</v>
      </c>
      <c r="M1790">
        <v>3320.6779548879799</v>
      </c>
      <c r="O1790" s="12" t="str">
        <f t="shared" si="68"/>
        <v>IND</v>
      </c>
      <c r="P1790" s="12" t="str">
        <f t="shared" si="69"/>
        <v>EN_ZC</v>
      </c>
    </row>
    <row r="1791" spans="1:16" x14ac:dyDescent="0.35">
      <c r="A1791" t="s">
        <v>2383</v>
      </c>
      <c r="B1791" t="s">
        <v>74</v>
      </c>
      <c r="C1791" t="s">
        <v>45</v>
      </c>
      <c r="D1791" t="s">
        <v>33</v>
      </c>
      <c r="E1791" t="s">
        <v>96</v>
      </c>
      <c r="F1791" t="s">
        <v>96</v>
      </c>
      <c r="G1791" t="s">
        <v>96</v>
      </c>
      <c r="H1791">
        <v>2046</v>
      </c>
      <c r="I1791" t="s">
        <v>96</v>
      </c>
      <c r="J1791" t="s">
        <v>3112</v>
      </c>
      <c r="K1791" t="s">
        <v>96</v>
      </c>
      <c r="L1791" t="s">
        <v>96</v>
      </c>
      <c r="M1791">
        <v>3276.8853321079405</v>
      </c>
      <c r="O1791" s="12" t="str">
        <f t="shared" si="68"/>
        <v>IND</v>
      </c>
      <c r="P1791" s="12" t="str">
        <f t="shared" si="69"/>
        <v>EN_ZC</v>
      </c>
    </row>
    <row r="1792" spans="1:16" x14ac:dyDescent="0.35">
      <c r="A1792" t="s">
        <v>2383</v>
      </c>
      <c r="B1792" t="s">
        <v>74</v>
      </c>
      <c r="C1792" t="s">
        <v>45</v>
      </c>
      <c r="D1792" t="s">
        <v>33</v>
      </c>
      <c r="E1792" t="s">
        <v>96</v>
      </c>
      <c r="F1792" t="s">
        <v>96</v>
      </c>
      <c r="G1792" t="s">
        <v>96</v>
      </c>
      <c r="H1792">
        <v>2047</v>
      </c>
      <c r="I1792" t="s">
        <v>96</v>
      </c>
      <c r="J1792" t="s">
        <v>3112</v>
      </c>
      <c r="K1792" t="s">
        <v>96</v>
      </c>
      <c r="L1792" t="s">
        <v>96</v>
      </c>
      <c r="M1792">
        <v>3236.1822621384968</v>
      </c>
      <c r="O1792" s="12" t="str">
        <f t="shared" si="68"/>
        <v>IND</v>
      </c>
      <c r="P1792" s="12" t="str">
        <f t="shared" si="69"/>
        <v>EN_ZC</v>
      </c>
    </row>
    <row r="1793" spans="1:16" x14ac:dyDescent="0.35">
      <c r="A1793" t="s">
        <v>2383</v>
      </c>
      <c r="B1793" t="s">
        <v>74</v>
      </c>
      <c r="C1793" t="s">
        <v>45</v>
      </c>
      <c r="D1793" t="s">
        <v>33</v>
      </c>
      <c r="E1793" t="s">
        <v>96</v>
      </c>
      <c r="F1793" t="s">
        <v>96</v>
      </c>
      <c r="G1793" t="s">
        <v>96</v>
      </c>
      <c r="H1793">
        <v>2048</v>
      </c>
      <c r="I1793" t="s">
        <v>96</v>
      </c>
      <c r="J1793" t="s">
        <v>3112</v>
      </c>
      <c r="K1793" t="s">
        <v>96</v>
      </c>
      <c r="L1793" t="s">
        <v>96</v>
      </c>
      <c r="M1793">
        <v>3195.4930867209791</v>
      </c>
      <c r="O1793" s="12" t="str">
        <f t="shared" si="68"/>
        <v>IND</v>
      </c>
      <c r="P1793" s="12" t="str">
        <f t="shared" si="69"/>
        <v>EN_ZC</v>
      </c>
    </row>
    <row r="1794" spans="1:16" x14ac:dyDescent="0.35">
      <c r="A1794" t="s">
        <v>2383</v>
      </c>
      <c r="B1794" t="s">
        <v>74</v>
      </c>
      <c r="C1794" t="s">
        <v>45</v>
      </c>
      <c r="D1794" t="s">
        <v>33</v>
      </c>
      <c r="E1794" t="s">
        <v>96</v>
      </c>
      <c r="F1794" t="s">
        <v>96</v>
      </c>
      <c r="G1794" t="s">
        <v>96</v>
      </c>
      <c r="H1794">
        <v>2049</v>
      </c>
      <c r="I1794" t="s">
        <v>96</v>
      </c>
      <c r="J1794" t="s">
        <v>3112</v>
      </c>
      <c r="K1794" t="s">
        <v>96</v>
      </c>
      <c r="L1794" t="s">
        <v>96</v>
      </c>
      <c r="M1794">
        <v>3154.8794285437907</v>
      </c>
      <c r="O1794" s="12" t="str">
        <f t="shared" si="68"/>
        <v>IND</v>
      </c>
      <c r="P1794" s="12" t="str">
        <f t="shared" si="69"/>
        <v>EN_ZC</v>
      </c>
    </row>
    <row r="1795" spans="1:16" x14ac:dyDescent="0.35">
      <c r="A1795" t="s">
        <v>2383</v>
      </c>
      <c r="B1795" t="s">
        <v>74</v>
      </c>
      <c r="C1795" t="s">
        <v>45</v>
      </c>
      <c r="D1795" t="s">
        <v>33</v>
      </c>
      <c r="E1795" t="s">
        <v>96</v>
      </c>
      <c r="F1795" t="s">
        <v>96</v>
      </c>
      <c r="G1795" t="s">
        <v>96</v>
      </c>
      <c r="H1795">
        <v>2050</v>
      </c>
      <c r="I1795" t="s">
        <v>96</v>
      </c>
      <c r="J1795" t="s">
        <v>3112</v>
      </c>
      <c r="K1795" t="s">
        <v>96</v>
      </c>
      <c r="L1795" t="s">
        <v>96</v>
      </c>
      <c r="M1795">
        <v>3114.6292591038687</v>
      </c>
      <c r="O1795" s="12" t="str">
        <f t="shared" ref="O1795:O1858" si="70">LEFT(B1795,3)</f>
        <v>IND</v>
      </c>
      <c r="P1795" s="12" t="str">
        <f t="shared" ref="P1795:P1858" si="71">LEFT(D1795,5)</f>
        <v>EN_ZC</v>
      </c>
    </row>
    <row r="1796" spans="1:16" x14ac:dyDescent="0.35">
      <c r="A1796" t="s">
        <v>2383</v>
      </c>
      <c r="B1796" t="s">
        <v>75</v>
      </c>
      <c r="C1796" t="s">
        <v>45</v>
      </c>
      <c r="D1796" t="s">
        <v>32</v>
      </c>
      <c r="E1796" t="s">
        <v>96</v>
      </c>
      <c r="F1796" t="s">
        <v>96</v>
      </c>
      <c r="G1796" t="s">
        <v>96</v>
      </c>
      <c r="H1796">
        <v>2010</v>
      </c>
      <c r="I1796" t="s">
        <v>96</v>
      </c>
      <c r="J1796" t="s">
        <v>2382</v>
      </c>
      <c r="K1796" t="s">
        <v>96</v>
      </c>
      <c r="L1796" t="s">
        <v>96</v>
      </c>
      <c r="M1796">
        <v>3539.5816438051052</v>
      </c>
      <c r="O1796" s="12" t="str">
        <f t="shared" si="70"/>
        <v>JPN</v>
      </c>
      <c r="P1796" s="12" t="str">
        <f t="shared" si="71"/>
        <v>EN_CO</v>
      </c>
    </row>
    <row r="1797" spans="1:16" x14ac:dyDescent="0.35">
      <c r="A1797" t="s">
        <v>2383</v>
      </c>
      <c r="B1797" t="s">
        <v>75</v>
      </c>
      <c r="C1797" t="s">
        <v>45</v>
      </c>
      <c r="D1797" t="s">
        <v>31</v>
      </c>
      <c r="E1797" t="s">
        <v>96</v>
      </c>
      <c r="F1797" t="s">
        <v>96</v>
      </c>
      <c r="G1797" t="s">
        <v>96</v>
      </c>
      <c r="H1797">
        <v>2010</v>
      </c>
      <c r="I1797" t="s">
        <v>96</v>
      </c>
      <c r="J1797" t="s">
        <v>2382</v>
      </c>
      <c r="K1797" t="s">
        <v>96</v>
      </c>
      <c r="L1797" t="s">
        <v>96</v>
      </c>
      <c r="M1797">
        <v>2669.3410959608345</v>
      </c>
      <c r="O1797" s="12" t="str">
        <f t="shared" si="70"/>
        <v>JPN</v>
      </c>
      <c r="P1797" s="12" t="str">
        <f t="shared" si="71"/>
        <v>EN_CO</v>
      </c>
    </row>
    <row r="1798" spans="1:16" x14ac:dyDescent="0.35">
      <c r="A1798" t="s">
        <v>2383</v>
      </c>
      <c r="B1798" t="s">
        <v>75</v>
      </c>
      <c r="C1798" t="s">
        <v>45</v>
      </c>
      <c r="D1798" t="s">
        <v>33</v>
      </c>
      <c r="E1798" t="s">
        <v>96</v>
      </c>
      <c r="F1798" t="s">
        <v>96</v>
      </c>
      <c r="G1798" t="s">
        <v>96</v>
      </c>
      <c r="H1798">
        <v>2019</v>
      </c>
      <c r="I1798" t="s">
        <v>96</v>
      </c>
      <c r="J1798" t="s">
        <v>3112</v>
      </c>
      <c r="K1798" t="s">
        <v>96</v>
      </c>
      <c r="L1798" t="s">
        <v>96</v>
      </c>
      <c r="M1798">
        <v>5441.4301692138488</v>
      </c>
      <c r="O1798" s="12" t="str">
        <f t="shared" si="70"/>
        <v>JPN</v>
      </c>
      <c r="P1798" s="12" t="str">
        <f t="shared" si="71"/>
        <v>EN_ZC</v>
      </c>
    </row>
    <row r="1799" spans="1:16" x14ac:dyDescent="0.35">
      <c r="A1799" t="s">
        <v>2383</v>
      </c>
      <c r="B1799" t="s">
        <v>75</v>
      </c>
      <c r="C1799" t="s">
        <v>45</v>
      </c>
      <c r="D1799" t="s">
        <v>33</v>
      </c>
      <c r="E1799" t="s">
        <v>96</v>
      </c>
      <c r="F1799" t="s">
        <v>96</v>
      </c>
      <c r="G1799" t="s">
        <v>96</v>
      </c>
      <c r="H1799">
        <v>2020</v>
      </c>
      <c r="I1799" t="s">
        <v>96</v>
      </c>
      <c r="J1799" t="s">
        <v>3112</v>
      </c>
      <c r="K1799" t="s">
        <v>96</v>
      </c>
      <c r="L1799" t="s">
        <v>96</v>
      </c>
      <c r="M1799">
        <v>5380.4054626883863</v>
      </c>
      <c r="O1799" s="12" t="str">
        <f t="shared" si="70"/>
        <v>JPN</v>
      </c>
      <c r="P1799" s="12" t="str">
        <f t="shared" si="71"/>
        <v>EN_ZC</v>
      </c>
    </row>
    <row r="1800" spans="1:16" x14ac:dyDescent="0.35">
      <c r="A1800" t="s">
        <v>2383</v>
      </c>
      <c r="B1800" t="s">
        <v>75</v>
      </c>
      <c r="C1800" t="s">
        <v>45</v>
      </c>
      <c r="D1800" t="s">
        <v>33</v>
      </c>
      <c r="E1800" t="s">
        <v>96</v>
      </c>
      <c r="F1800" t="s">
        <v>96</v>
      </c>
      <c r="G1800" t="s">
        <v>96</v>
      </c>
      <c r="H1800">
        <v>2021</v>
      </c>
      <c r="I1800" t="s">
        <v>96</v>
      </c>
      <c r="J1800" t="s">
        <v>3112</v>
      </c>
      <c r="K1800" t="s">
        <v>96</v>
      </c>
      <c r="L1800" t="s">
        <v>96</v>
      </c>
      <c r="M1800">
        <v>5248.8513679185335</v>
      </c>
      <c r="O1800" s="12" t="str">
        <f t="shared" si="70"/>
        <v>JPN</v>
      </c>
      <c r="P1800" s="12" t="str">
        <f t="shared" si="71"/>
        <v>EN_ZC</v>
      </c>
    </row>
    <row r="1801" spans="1:16" x14ac:dyDescent="0.35">
      <c r="A1801" t="s">
        <v>2383</v>
      </c>
      <c r="B1801" t="s">
        <v>75</v>
      </c>
      <c r="C1801" t="s">
        <v>45</v>
      </c>
      <c r="D1801" t="s">
        <v>33</v>
      </c>
      <c r="E1801" t="s">
        <v>96</v>
      </c>
      <c r="F1801" t="s">
        <v>96</v>
      </c>
      <c r="G1801" t="s">
        <v>96</v>
      </c>
      <c r="H1801">
        <v>2022</v>
      </c>
      <c r="I1801" t="s">
        <v>96</v>
      </c>
      <c r="J1801" t="s">
        <v>3112</v>
      </c>
      <c r="K1801" t="s">
        <v>96</v>
      </c>
      <c r="L1801" t="s">
        <v>96</v>
      </c>
      <c r="M1801">
        <v>5167.1013518859454</v>
      </c>
      <c r="O1801" s="12" t="str">
        <f t="shared" si="70"/>
        <v>JPN</v>
      </c>
      <c r="P1801" s="12" t="str">
        <f t="shared" si="71"/>
        <v>EN_ZC</v>
      </c>
    </row>
    <row r="1802" spans="1:16" x14ac:dyDescent="0.35">
      <c r="A1802" t="s">
        <v>2383</v>
      </c>
      <c r="B1802" t="s">
        <v>75</v>
      </c>
      <c r="C1802" t="s">
        <v>45</v>
      </c>
      <c r="D1802" t="s">
        <v>33</v>
      </c>
      <c r="E1802" t="s">
        <v>96</v>
      </c>
      <c r="F1802" t="s">
        <v>96</v>
      </c>
      <c r="G1802" t="s">
        <v>96</v>
      </c>
      <c r="H1802">
        <v>2023</v>
      </c>
      <c r="I1802" t="s">
        <v>96</v>
      </c>
      <c r="J1802" t="s">
        <v>3112</v>
      </c>
      <c r="K1802" t="s">
        <v>96</v>
      </c>
      <c r="L1802" t="s">
        <v>96</v>
      </c>
      <c r="M1802">
        <v>5109.2704337678233</v>
      </c>
      <c r="O1802" s="12" t="str">
        <f t="shared" si="70"/>
        <v>JPN</v>
      </c>
      <c r="P1802" s="12" t="str">
        <f t="shared" si="71"/>
        <v>EN_ZC</v>
      </c>
    </row>
    <row r="1803" spans="1:16" x14ac:dyDescent="0.35">
      <c r="A1803" t="s">
        <v>2383</v>
      </c>
      <c r="B1803" t="s">
        <v>75</v>
      </c>
      <c r="C1803" t="s">
        <v>45</v>
      </c>
      <c r="D1803" t="s">
        <v>33</v>
      </c>
      <c r="E1803" t="s">
        <v>96</v>
      </c>
      <c r="F1803" t="s">
        <v>96</v>
      </c>
      <c r="G1803" t="s">
        <v>96</v>
      </c>
      <c r="H1803">
        <v>2024</v>
      </c>
      <c r="I1803" t="s">
        <v>96</v>
      </c>
      <c r="J1803" t="s">
        <v>3112</v>
      </c>
      <c r="K1803" t="s">
        <v>96</v>
      </c>
      <c r="L1803" t="s">
        <v>96</v>
      </c>
      <c r="M1803">
        <v>5062.6828654093697</v>
      </c>
      <c r="O1803" s="12" t="str">
        <f t="shared" si="70"/>
        <v>JPN</v>
      </c>
      <c r="P1803" s="12" t="str">
        <f t="shared" si="71"/>
        <v>EN_ZC</v>
      </c>
    </row>
    <row r="1804" spans="1:16" x14ac:dyDescent="0.35">
      <c r="A1804" t="s">
        <v>2383</v>
      </c>
      <c r="B1804" t="s">
        <v>75</v>
      </c>
      <c r="C1804" t="s">
        <v>45</v>
      </c>
      <c r="D1804" t="s">
        <v>33</v>
      </c>
      <c r="E1804" t="s">
        <v>96</v>
      </c>
      <c r="F1804" t="s">
        <v>96</v>
      </c>
      <c r="G1804" t="s">
        <v>96</v>
      </c>
      <c r="H1804">
        <v>2025</v>
      </c>
      <c r="I1804" t="s">
        <v>96</v>
      </c>
      <c r="J1804" t="s">
        <v>3112</v>
      </c>
      <c r="K1804" t="s">
        <v>96</v>
      </c>
      <c r="L1804" t="s">
        <v>96</v>
      </c>
      <c r="M1804">
        <v>5024.7479232586593</v>
      </c>
      <c r="O1804" s="12" t="str">
        <f t="shared" si="70"/>
        <v>JPN</v>
      </c>
      <c r="P1804" s="12" t="str">
        <f t="shared" si="71"/>
        <v>EN_ZC</v>
      </c>
    </row>
    <row r="1805" spans="1:16" x14ac:dyDescent="0.35">
      <c r="A1805" t="s">
        <v>2383</v>
      </c>
      <c r="B1805" t="s">
        <v>75</v>
      </c>
      <c r="C1805" t="s">
        <v>45</v>
      </c>
      <c r="D1805" t="s">
        <v>33</v>
      </c>
      <c r="E1805" t="s">
        <v>96</v>
      </c>
      <c r="F1805" t="s">
        <v>96</v>
      </c>
      <c r="G1805" t="s">
        <v>96</v>
      </c>
      <c r="H1805">
        <v>2026</v>
      </c>
      <c r="I1805" t="s">
        <v>96</v>
      </c>
      <c r="J1805" t="s">
        <v>3112</v>
      </c>
      <c r="K1805" t="s">
        <v>96</v>
      </c>
      <c r="L1805" t="s">
        <v>96</v>
      </c>
      <c r="M1805">
        <v>4974.7478721221987</v>
      </c>
      <c r="O1805" s="12" t="str">
        <f t="shared" si="70"/>
        <v>JPN</v>
      </c>
      <c r="P1805" s="12" t="str">
        <f t="shared" si="71"/>
        <v>EN_ZC</v>
      </c>
    </row>
    <row r="1806" spans="1:16" x14ac:dyDescent="0.35">
      <c r="A1806" t="s">
        <v>2383</v>
      </c>
      <c r="B1806" t="s">
        <v>75</v>
      </c>
      <c r="C1806" t="s">
        <v>45</v>
      </c>
      <c r="D1806" t="s">
        <v>33</v>
      </c>
      <c r="E1806" t="s">
        <v>96</v>
      </c>
      <c r="F1806" t="s">
        <v>96</v>
      </c>
      <c r="G1806" t="s">
        <v>96</v>
      </c>
      <c r="H1806">
        <v>2027</v>
      </c>
      <c r="I1806" t="s">
        <v>96</v>
      </c>
      <c r="J1806" t="s">
        <v>3112</v>
      </c>
      <c r="K1806" t="s">
        <v>96</v>
      </c>
      <c r="L1806" t="s">
        <v>96</v>
      </c>
      <c r="M1806">
        <v>4914.9373446517293</v>
      </c>
      <c r="O1806" s="12" t="str">
        <f t="shared" si="70"/>
        <v>JPN</v>
      </c>
      <c r="P1806" s="12" t="str">
        <f t="shared" si="71"/>
        <v>EN_ZC</v>
      </c>
    </row>
    <row r="1807" spans="1:16" x14ac:dyDescent="0.35">
      <c r="A1807" t="s">
        <v>2383</v>
      </c>
      <c r="B1807" t="s">
        <v>75</v>
      </c>
      <c r="C1807" t="s">
        <v>45</v>
      </c>
      <c r="D1807" t="s">
        <v>33</v>
      </c>
      <c r="E1807" t="s">
        <v>96</v>
      </c>
      <c r="F1807" t="s">
        <v>96</v>
      </c>
      <c r="G1807" t="s">
        <v>96</v>
      </c>
      <c r="H1807">
        <v>2028</v>
      </c>
      <c r="I1807" t="s">
        <v>96</v>
      </c>
      <c r="J1807" t="s">
        <v>3112</v>
      </c>
      <c r="K1807" t="s">
        <v>96</v>
      </c>
      <c r="L1807" t="s">
        <v>96</v>
      </c>
      <c r="M1807">
        <v>4848.162209124238</v>
      </c>
      <c r="O1807" s="12" t="str">
        <f t="shared" si="70"/>
        <v>JPN</v>
      </c>
      <c r="P1807" s="12" t="str">
        <f t="shared" si="71"/>
        <v>EN_ZC</v>
      </c>
    </row>
    <row r="1808" spans="1:16" x14ac:dyDescent="0.35">
      <c r="A1808" t="s">
        <v>2383</v>
      </c>
      <c r="B1808" t="s">
        <v>75</v>
      </c>
      <c r="C1808" t="s">
        <v>45</v>
      </c>
      <c r="D1808" t="s">
        <v>33</v>
      </c>
      <c r="E1808" t="s">
        <v>96</v>
      </c>
      <c r="F1808" t="s">
        <v>96</v>
      </c>
      <c r="G1808" t="s">
        <v>96</v>
      </c>
      <c r="H1808">
        <v>2029</v>
      </c>
      <c r="I1808" t="s">
        <v>96</v>
      </c>
      <c r="J1808" t="s">
        <v>3112</v>
      </c>
      <c r="K1808" t="s">
        <v>96</v>
      </c>
      <c r="L1808" t="s">
        <v>96</v>
      </c>
      <c r="M1808">
        <v>4779.6512460448093</v>
      </c>
      <c r="O1808" s="12" t="str">
        <f t="shared" si="70"/>
        <v>JPN</v>
      </c>
      <c r="P1808" s="12" t="str">
        <f t="shared" si="71"/>
        <v>EN_ZC</v>
      </c>
    </row>
    <row r="1809" spans="1:16" x14ac:dyDescent="0.35">
      <c r="A1809" t="s">
        <v>2383</v>
      </c>
      <c r="B1809" t="s">
        <v>75</v>
      </c>
      <c r="C1809" t="s">
        <v>45</v>
      </c>
      <c r="D1809" t="s">
        <v>33</v>
      </c>
      <c r="E1809" t="s">
        <v>96</v>
      </c>
      <c r="F1809" t="s">
        <v>96</v>
      </c>
      <c r="G1809" t="s">
        <v>96</v>
      </c>
      <c r="H1809">
        <v>2030</v>
      </c>
      <c r="I1809" t="s">
        <v>96</v>
      </c>
      <c r="J1809" t="s">
        <v>3112</v>
      </c>
      <c r="K1809" t="s">
        <v>96</v>
      </c>
      <c r="L1809" t="s">
        <v>96</v>
      </c>
      <c r="M1809">
        <v>4719.2906690672062</v>
      </c>
      <c r="O1809" s="12" t="str">
        <f t="shared" si="70"/>
        <v>JPN</v>
      </c>
      <c r="P1809" s="12" t="str">
        <f t="shared" si="71"/>
        <v>EN_ZC</v>
      </c>
    </row>
    <row r="1810" spans="1:16" x14ac:dyDescent="0.35">
      <c r="A1810" t="s">
        <v>2383</v>
      </c>
      <c r="B1810" t="s">
        <v>75</v>
      </c>
      <c r="C1810" t="s">
        <v>45</v>
      </c>
      <c r="D1810" t="s">
        <v>33</v>
      </c>
      <c r="E1810" t="s">
        <v>96</v>
      </c>
      <c r="F1810" t="s">
        <v>96</v>
      </c>
      <c r="G1810" t="s">
        <v>96</v>
      </c>
      <c r="H1810">
        <v>2031</v>
      </c>
      <c r="I1810" t="s">
        <v>96</v>
      </c>
      <c r="J1810" t="s">
        <v>3112</v>
      </c>
      <c r="K1810" t="s">
        <v>96</v>
      </c>
      <c r="L1810" t="s">
        <v>96</v>
      </c>
      <c r="M1810">
        <v>4659.237780040733</v>
      </c>
      <c r="O1810" s="12" t="str">
        <f t="shared" si="70"/>
        <v>JPN</v>
      </c>
      <c r="P1810" s="12" t="str">
        <f t="shared" si="71"/>
        <v>EN_ZC</v>
      </c>
    </row>
    <row r="1811" spans="1:16" x14ac:dyDescent="0.35">
      <c r="A1811" t="s">
        <v>2383</v>
      </c>
      <c r="B1811" t="s">
        <v>75</v>
      </c>
      <c r="C1811" t="s">
        <v>45</v>
      </c>
      <c r="D1811" t="s">
        <v>33</v>
      </c>
      <c r="E1811" t="s">
        <v>96</v>
      </c>
      <c r="F1811" t="s">
        <v>96</v>
      </c>
      <c r="G1811" t="s">
        <v>96</v>
      </c>
      <c r="H1811">
        <v>2032</v>
      </c>
      <c r="I1811" t="s">
        <v>96</v>
      </c>
      <c r="J1811" t="s">
        <v>3112</v>
      </c>
      <c r="K1811" t="s">
        <v>96</v>
      </c>
      <c r="L1811" t="s">
        <v>96</v>
      </c>
      <c r="M1811">
        <v>4599.3723429164947</v>
      </c>
      <c r="O1811" s="12" t="str">
        <f t="shared" si="70"/>
        <v>JPN</v>
      </c>
      <c r="P1811" s="12" t="str">
        <f t="shared" si="71"/>
        <v>EN_ZC</v>
      </c>
    </row>
    <row r="1812" spans="1:16" x14ac:dyDescent="0.35">
      <c r="A1812" t="s">
        <v>2383</v>
      </c>
      <c r="B1812" t="s">
        <v>75</v>
      </c>
      <c r="C1812" t="s">
        <v>45</v>
      </c>
      <c r="D1812" t="s">
        <v>33</v>
      </c>
      <c r="E1812" t="s">
        <v>96</v>
      </c>
      <c r="F1812" t="s">
        <v>96</v>
      </c>
      <c r="G1812" t="s">
        <v>96</v>
      </c>
      <c r="H1812">
        <v>2033</v>
      </c>
      <c r="I1812" t="s">
        <v>96</v>
      </c>
      <c r="J1812" t="s">
        <v>3112</v>
      </c>
      <c r="K1812" t="s">
        <v>96</v>
      </c>
      <c r="L1812" t="s">
        <v>96</v>
      </c>
      <c r="M1812">
        <v>4542.1998753075368</v>
      </c>
      <c r="O1812" s="12" t="str">
        <f t="shared" si="70"/>
        <v>JPN</v>
      </c>
      <c r="P1812" s="12" t="str">
        <f t="shared" si="71"/>
        <v>EN_ZC</v>
      </c>
    </row>
    <row r="1813" spans="1:16" x14ac:dyDescent="0.35">
      <c r="A1813" t="s">
        <v>2383</v>
      </c>
      <c r="B1813" t="s">
        <v>75</v>
      </c>
      <c r="C1813" t="s">
        <v>45</v>
      </c>
      <c r="D1813" t="s">
        <v>33</v>
      </c>
      <c r="E1813" t="s">
        <v>96</v>
      </c>
      <c r="F1813" t="s">
        <v>96</v>
      </c>
      <c r="G1813" t="s">
        <v>96</v>
      </c>
      <c r="H1813">
        <v>2034</v>
      </c>
      <c r="I1813" t="s">
        <v>96</v>
      </c>
      <c r="J1813" t="s">
        <v>3112</v>
      </c>
      <c r="K1813" t="s">
        <v>96</v>
      </c>
      <c r="L1813" t="s">
        <v>96</v>
      </c>
      <c r="M1813">
        <v>4485.7611224358425</v>
      </c>
      <c r="O1813" s="12" t="str">
        <f t="shared" si="70"/>
        <v>JPN</v>
      </c>
      <c r="P1813" s="12" t="str">
        <f t="shared" si="71"/>
        <v>EN_ZC</v>
      </c>
    </row>
    <row r="1814" spans="1:16" x14ac:dyDescent="0.35">
      <c r="A1814" t="s">
        <v>2383</v>
      </c>
      <c r="B1814" t="s">
        <v>75</v>
      </c>
      <c r="C1814" t="s">
        <v>45</v>
      </c>
      <c r="D1814" t="s">
        <v>33</v>
      </c>
      <c r="E1814" t="s">
        <v>96</v>
      </c>
      <c r="F1814" t="s">
        <v>96</v>
      </c>
      <c r="G1814" t="s">
        <v>96</v>
      </c>
      <c r="H1814">
        <v>2035</v>
      </c>
      <c r="I1814" t="s">
        <v>96</v>
      </c>
      <c r="J1814" t="s">
        <v>3112</v>
      </c>
      <c r="K1814" t="s">
        <v>96</v>
      </c>
      <c r="L1814" t="s">
        <v>96</v>
      </c>
      <c r="M1814">
        <v>4426.5536607902286</v>
      </c>
      <c r="O1814" s="12" t="str">
        <f t="shared" si="70"/>
        <v>JPN</v>
      </c>
      <c r="P1814" s="12" t="str">
        <f t="shared" si="71"/>
        <v>EN_ZC</v>
      </c>
    </row>
    <row r="1815" spans="1:16" x14ac:dyDescent="0.35">
      <c r="A1815" t="s">
        <v>2383</v>
      </c>
      <c r="B1815" t="s">
        <v>75</v>
      </c>
      <c r="C1815" t="s">
        <v>45</v>
      </c>
      <c r="D1815" t="s">
        <v>33</v>
      </c>
      <c r="E1815" t="s">
        <v>96</v>
      </c>
      <c r="F1815" t="s">
        <v>96</v>
      </c>
      <c r="G1815" t="s">
        <v>96</v>
      </c>
      <c r="H1815">
        <v>2036</v>
      </c>
      <c r="I1815" t="s">
        <v>96</v>
      </c>
      <c r="J1815" t="s">
        <v>3112</v>
      </c>
      <c r="K1815" t="s">
        <v>96</v>
      </c>
      <c r="L1815" t="s">
        <v>96</v>
      </c>
      <c r="M1815">
        <v>4370.1958531242371</v>
      </c>
      <c r="O1815" s="12" t="str">
        <f t="shared" si="70"/>
        <v>JPN</v>
      </c>
      <c r="P1815" s="12" t="str">
        <f t="shared" si="71"/>
        <v>EN_ZC</v>
      </c>
    </row>
    <row r="1816" spans="1:16" x14ac:dyDescent="0.35">
      <c r="A1816" t="s">
        <v>2383</v>
      </c>
      <c r="B1816" t="s">
        <v>75</v>
      </c>
      <c r="C1816" t="s">
        <v>45</v>
      </c>
      <c r="D1816" t="s">
        <v>33</v>
      </c>
      <c r="E1816" t="s">
        <v>96</v>
      </c>
      <c r="F1816" t="s">
        <v>96</v>
      </c>
      <c r="G1816" t="s">
        <v>96</v>
      </c>
      <c r="H1816">
        <v>2037</v>
      </c>
      <c r="I1816" t="s">
        <v>96</v>
      </c>
      <c r="J1816" t="s">
        <v>3112</v>
      </c>
      <c r="K1816" t="s">
        <v>96</v>
      </c>
      <c r="L1816" t="s">
        <v>96</v>
      </c>
      <c r="M1816">
        <v>4314.7639459226102</v>
      </c>
      <c r="O1816" s="12" t="str">
        <f t="shared" si="70"/>
        <v>JPN</v>
      </c>
      <c r="P1816" s="12" t="str">
        <f t="shared" si="71"/>
        <v>EN_ZC</v>
      </c>
    </row>
    <row r="1817" spans="1:16" x14ac:dyDescent="0.35">
      <c r="A1817" t="s">
        <v>2383</v>
      </c>
      <c r="B1817" t="s">
        <v>75</v>
      </c>
      <c r="C1817" t="s">
        <v>45</v>
      </c>
      <c r="D1817" t="s">
        <v>33</v>
      </c>
      <c r="E1817" t="s">
        <v>96</v>
      </c>
      <c r="F1817" t="s">
        <v>96</v>
      </c>
      <c r="G1817" t="s">
        <v>96</v>
      </c>
      <c r="H1817">
        <v>2038</v>
      </c>
      <c r="I1817" t="s">
        <v>96</v>
      </c>
      <c r="J1817" t="s">
        <v>3112</v>
      </c>
      <c r="K1817" t="s">
        <v>96</v>
      </c>
      <c r="L1817" t="s">
        <v>96</v>
      </c>
      <c r="M1817">
        <v>4261.2714129857395</v>
      </c>
      <c r="O1817" s="12" t="str">
        <f t="shared" si="70"/>
        <v>JPN</v>
      </c>
      <c r="P1817" s="12" t="str">
        <f t="shared" si="71"/>
        <v>EN_ZC</v>
      </c>
    </row>
    <row r="1818" spans="1:16" x14ac:dyDescent="0.35">
      <c r="A1818" t="s">
        <v>2383</v>
      </c>
      <c r="B1818" t="s">
        <v>75</v>
      </c>
      <c r="C1818" t="s">
        <v>45</v>
      </c>
      <c r="D1818" t="s">
        <v>33</v>
      </c>
      <c r="E1818" t="s">
        <v>96</v>
      </c>
      <c r="F1818" t="s">
        <v>96</v>
      </c>
      <c r="G1818" t="s">
        <v>96</v>
      </c>
      <c r="H1818">
        <v>2039</v>
      </c>
      <c r="I1818" t="s">
        <v>96</v>
      </c>
      <c r="J1818" t="s">
        <v>3112</v>
      </c>
      <c r="K1818" t="s">
        <v>96</v>
      </c>
      <c r="L1818" t="s">
        <v>96</v>
      </c>
      <c r="M1818">
        <v>4207.3395970020383</v>
      </c>
      <c r="O1818" s="12" t="str">
        <f t="shared" si="70"/>
        <v>JPN</v>
      </c>
      <c r="P1818" s="12" t="str">
        <f t="shared" si="71"/>
        <v>EN_ZC</v>
      </c>
    </row>
    <row r="1819" spans="1:16" x14ac:dyDescent="0.35">
      <c r="A1819" t="s">
        <v>2383</v>
      </c>
      <c r="B1819" t="s">
        <v>75</v>
      </c>
      <c r="C1819" t="s">
        <v>45</v>
      </c>
      <c r="D1819" t="s">
        <v>33</v>
      </c>
      <c r="E1819" t="s">
        <v>96</v>
      </c>
      <c r="F1819" t="s">
        <v>96</v>
      </c>
      <c r="G1819" t="s">
        <v>96</v>
      </c>
      <c r="H1819">
        <v>2040</v>
      </c>
      <c r="I1819" t="s">
        <v>96</v>
      </c>
      <c r="J1819" t="s">
        <v>3112</v>
      </c>
      <c r="K1819" t="s">
        <v>96</v>
      </c>
      <c r="L1819" t="s">
        <v>96</v>
      </c>
      <c r="M1819">
        <v>4155.2236066232181</v>
      </c>
      <c r="O1819" s="12" t="str">
        <f t="shared" si="70"/>
        <v>JPN</v>
      </c>
      <c r="P1819" s="12" t="str">
        <f t="shared" si="71"/>
        <v>EN_ZC</v>
      </c>
    </row>
    <row r="1820" spans="1:16" x14ac:dyDescent="0.35">
      <c r="A1820" t="s">
        <v>2383</v>
      </c>
      <c r="B1820" t="s">
        <v>75</v>
      </c>
      <c r="C1820" t="s">
        <v>45</v>
      </c>
      <c r="D1820" t="s">
        <v>33</v>
      </c>
      <c r="E1820" t="s">
        <v>96</v>
      </c>
      <c r="F1820" t="s">
        <v>96</v>
      </c>
      <c r="G1820" t="s">
        <v>96</v>
      </c>
      <c r="H1820">
        <v>2041</v>
      </c>
      <c r="I1820" t="s">
        <v>96</v>
      </c>
      <c r="J1820" t="s">
        <v>3112</v>
      </c>
      <c r="K1820" t="s">
        <v>96</v>
      </c>
      <c r="L1820" t="s">
        <v>96</v>
      </c>
      <c r="M1820">
        <v>4104.3558782566197</v>
      </c>
      <c r="O1820" s="12" t="str">
        <f t="shared" si="70"/>
        <v>JPN</v>
      </c>
      <c r="P1820" s="12" t="str">
        <f t="shared" si="71"/>
        <v>EN_ZC</v>
      </c>
    </row>
    <row r="1821" spans="1:16" x14ac:dyDescent="0.35">
      <c r="A1821" t="s">
        <v>2383</v>
      </c>
      <c r="B1821" t="s">
        <v>75</v>
      </c>
      <c r="C1821" t="s">
        <v>45</v>
      </c>
      <c r="D1821" t="s">
        <v>33</v>
      </c>
      <c r="E1821" t="s">
        <v>96</v>
      </c>
      <c r="F1821" t="s">
        <v>96</v>
      </c>
      <c r="G1821" t="s">
        <v>96</v>
      </c>
      <c r="H1821">
        <v>2042</v>
      </c>
      <c r="I1821" t="s">
        <v>96</v>
      </c>
      <c r="J1821" t="s">
        <v>3112</v>
      </c>
      <c r="K1821" t="s">
        <v>96</v>
      </c>
      <c r="L1821" t="s">
        <v>96</v>
      </c>
      <c r="M1821">
        <v>4050.5263092057044</v>
      </c>
      <c r="O1821" s="12" t="str">
        <f t="shared" si="70"/>
        <v>JPN</v>
      </c>
      <c r="P1821" s="12" t="str">
        <f t="shared" si="71"/>
        <v>EN_ZC</v>
      </c>
    </row>
    <row r="1822" spans="1:16" x14ac:dyDescent="0.35">
      <c r="A1822" t="s">
        <v>2383</v>
      </c>
      <c r="B1822" t="s">
        <v>75</v>
      </c>
      <c r="C1822" t="s">
        <v>45</v>
      </c>
      <c r="D1822" t="s">
        <v>33</v>
      </c>
      <c r="E1822" t="s">
        <v>96</v>
      </c>
      <c r="F1822" t="s">
        <v>96</v>
      </c>
      <c r="G1822" t="s">
        <v>96</v>
      </c>
      <c r="H1822">
        <v>2043</v>
      </c>
      <c r="I1822" t="s">
        <v>96</v>
      </c>
      <c r="J1822" t="s">
        <v>3112</v>
      </c>
      <c r="K1822" t="s">
        <v>96</v>
      </c>
      <c r="L1822" t="s">
        <v>96</v>
      </c>
      <c r="M1822">
        <v>4002.8935524562089</v>
      </c>
      <c r="O1822" s="12" t="str">
        <f t="shared" si="70"/>
        <v>JPN</v>
      </c>
      <c r="P1822" s="12" t="str">
        <f t="shared" si="71"/>
        <v>EN_ZC</v>
      </c>
    </row>
    <row r="1823" spans="1:16" x14ac:dyDescent="0.35">
      <c r="A1823" t="s">
        <v>2383</v>
      </c>
      <c r="B1823" t="s">
        <v>75</v>
      </c>
      <c r="C1823" t="s">
        <v>45</v>
      </c>
      <c r="D1823" t="s">
        <v>33</v>
      </c>
      <c r="E1823" t="s">
        <v>96</v>
      </c>
      <c r="F1823" t="s">
        <v>96</v>
      </c>
      <c r="G1823" t="s">
        <v>96</v>
      </c>
      <c r="H1823">
        <v>2044</v>
      </c>
      <c r="I1823" t="s">
        <v>96</v>
      </c>
      <c r="J1823" t="s">
        <v>3112</v>
      </c>
      <c r="K1823" t="s">
        <v>96</v>
      </c>
      <c r="L1823" t="s">
        <v>96</v>
      </c>
      <c r="M1823">
        <v>3950.2412409531607</v>
      </c>
      <c r="O1823" s="12" t="str">
        <f t="shared" si="70"/>
        <v>JPN</v>
      </c>
      <c r="P1823" s="12" t="str">
        <f t="shared" si="71"/>
        <v>EN_ZC</v>
      </c>
    </row>
    <row r="1824" spans="1:16" x14ac:dyDescent="0.35">
      <c r="A1824" t="s">
        <v>2383</v>
      </c>
      <c r="B1824" t="s">
        <v>75</v>
      </c>
      <c r="C1824" t="s">
        <v>45</v>
      </c>
      <c r="D1824" t="s">
        <v>33</v>
      </c>
      <c r="E1824" t="s">
        <v>96</v>
      </c>
      <c r="F1824" t="s">
        <v>96</v>
      </c>
      <c r="G1824" t="s">
        <v>96</v>
      </c>
      <c r="H1824">
        <v>2045</v>
      </c>
      <c r="I1824" t="s">
        <v>96</v>
      </c>
      <c r="J1824" t="s">
        <v>3112</v>
      </c>
      <c r="K1824" t="s">
        <v>96</v>
      </c>
      <c r="L1824" t="s">
        <v>96</v>
      </c>
      <c r="M1824">
        <v>3902.8214975967367</v>
      </c>
      <c r="O1824" s="12" t="str">
        <f t="shared" si="70"/>
        <v>JPN</v>
      </c>
      <c r="P1824" s="12" t="str">
        <f t="shared" si="71"/>
        <v>EN_ZC</v>
      </c>
    </row>
    <row r="1825" spans="1:16" x14ac:dyDescent="0.35">
      <c r="A1825" t="s">
        <v>2383</v>
      </c>
      <c r="B1825" t="s">
        <v>75</v>
      </c>
      <c r="C1825" t="s">
        <v>45</v>
      </c>
      <c r="D1825" t="s">
        <v>33</v>
      </c>
      <c r="E1825" t="s">
        <v>96</v>
      </c>
      <c r="F1825" t="s">
        <v>96</v>
      </c>
      <c r="G1825" t="s">
        <v>96</v>
      </c>
      <c r="H1825">
        <v>2046</v>
      </c>
      <c r="I1825" t="s">
        <v>96</v>
      </c>
      <c r="J1825" t="s">
        <v>3112</v>
      </c>
      <c r="K1825" t="s">
        <v>96</v>
      </c>
      <c r="L1825" t="s">
        <v>96</v>
      </c>
      <c r="M1825">
        <v>3851.3516495885915</v>
      </c>
      <c r="O1825" s="12" t="str">
        <f t="shared" si="70"/>
        <v>JPN</v>
      </c>
      <c r="P1825" s="12" t="str">
        <f t="shared" si="71"/>
        <v>EN_ZC</v>
      </c>
    </row>
    <row r="1826" spans="1:16" x14ac:dyDescent="0.35">
      <c r="A1826" t="s">
        <v>2383</v>
      </c>
      <c r="B1826" t="s">
        <v>75</v>
      </c>
      <c r="C1826" t="s">
        <v>45</v>
      </c>
      <c r="D1826" t="s">
        <v>33</v>
      </c>
      <c r="E1826" t="s">
        <v>96</v>
      </c>
      <c r="F1826" t="s">
        <v>96</v>
      </c>
      <c r="G1826" t="s">
        <v>96</v>
      </c>
      <c r="H1826">
        <v>2047</v>
      </c>
      <c r="I1826" t="s">
        <v>96</v>
      </c>
      <c r="J1826" t="s">
        <v>3112</v>
      </c>
      <c r="K1826" t="s">
        <v>96</v>
      </c>
      <c r="L1826" t="s">
        <v>96</v>
      </c>
      <c r="M1826">
        <v>3803.5129796985789</v>
      </c>
      <c r="O1826" s="12" t="str">
        <f t="shared" si="70"/>
        <v>JPN</v>
      </c>
      <c r="P1826" s="12" t="str">
        <f t="shared" si="71"/>
        <v>EN_ZC</v>
      </c>
    </row>
    <row r="1827" spans="1:16" x14ac:dyDescent="0.35">
      <c r="A1827" t="s">
        <v>2383</v>
      </c>
      <c r="B1827" t="s">
        <v>75</v>
      </c>
      <c r="C1827" t="s">
        <v>45</v>
      </c>
      <c r="D1827" t="s">
        <v>33</v>
      </c>
      <c r="E1827" t="s">
        <v>96</v>
      </c>
      <c r="F1827" t="s">
        <v>96</v>
      </c>
      <c r="G1827" t="s">
        <v>96</v>
      </c>
      <c r="H1827">
        <v>2048</v>
      </c>
      <c r="I1827" t="s">
        <v>96</v>
      </c>
      <c r="J1827" t="s">
        <v>3112</v>
      </c>
      <c r="K1827" t="s">
        <v>96</v>
      </c>
      <c r="L1827" t="s">
        <v>96</v>
      </c>
      <c r="M1827">
        <v>3755.6906401955207</v>
      </c>
      <c r="O1827" s="12" t="str">
        <f t="shared" si="70"/>
        <v>JPN</v>
      </c>
      <c r="P1827" s="12" t="str">
        <f t="shared" si="71"/>
        <v>EN_ZC</v>
      </c>
    </row>
    <row r="1828" spans="1:16" x14ac:dyDescent="0.35">
      <c r="A1828" t="s">
        <v>2383</v>
      </c>
      <c r="B1828" t="s">
        <v>75</v>
      </c>
      <c r="C1828" t="s">
        <v>45</v>
      </c>
      <c r="D1828" t="s">
        <v>33</v>
      </c>
      <c r="E1828" t="s">
        <v>96</v>
      </c>
      <c r="F1828" t="s">
        <v>96</v>
      </c>
      <c r="G1828" t="s">
        <v>96</v>
      </c>
      <c r="H1828">
        <v>2049</v>
      </c>
      <c r="I1828" t="s">
        <v>96</v>
      </c>
      <c r="J1828" t="s">
        <v>3112</v>
      </c>
      <c r="K1828" t="s">
        <v>96</v>
      </c>
      <c r="L1828" t="s">
        <v>96</v>
      </c>
      <c r="M1828">
        <v>3707.9570567576397</v>
      </c>
      <c r="O1828" s="12" t="str">
        <f t="shared" si="70"/>
        <v>JPN</v>
      </c>
      <c r="P1828" s="12" t="str">
        <f t="shared" si="71"/>
        <v>EN_ZC</v>
      </c>
    </row>
    <row r="1829" spans="1:16" x14ac:dyDescent="0.35">
      <c r="A1829" t="s">
        <v>2383</v>
      </c>
      <c r="B1829" t="s">
        <v>75</v>
      </c>
      <c r="C1829" t="s">
        <v>45</v>
      </c>
      <c r="D1829" t="s">
        <v>33</v>
      </c>
      <c r="E1829" t="s">
        <v>96</v>
      </c>
      <c r="F1829" t="s">
        <v>96</v>
      </c>
      <c r="G1829" t="s">
        <v>96</v>
      </c>
      <c r="H1829">
        <v>2050</v>
      </c>
      <c r="I1829" t="s">
        <v>96</v>
      </c>
      <c r="J1829" t="s">
        <v>3112</v>
      </c>
      <c r="K1829" t="s">
        <v>96</v>
      </c>
      <c r="L1829" t="s">
        <v>96</v>
      </c>
      <c r="M1829">
        <v>3660.6506847739288</v>
      </c>
      <c r="O1829" s="12" t="str">
        <f t="shared" si="70"/>
        <v>JPN</v>
      </c>
      <c r="P1829" s="12" t="str">
        <f t="shared" si="71"/>
        <v>EN_ZC</v>
      </c>
    </row>
    <row r="1830" spans="1:16" x14ac:dyDescent="0.35">
      <c r="A1830" t="s">
        <v>2383</v>
      </c>
      <c r="B1830" t="s">
        <v>76</v>
      </c>
      <c r="C1830" t="s">
        <v>45</v>
      </c>
      <c r="D1830" t="s">
        <v>32</v>
      </c>
      <c r="E1830" t="s">
        <v>96</v>
      </c>
      <c r="F1830" t="s">
        <v>96</v>
      </c>
      <c r="G1830" t="s">
        <v>96</v>
      </c>
      <c r="H1830">
        <v>2010</v>
      </c>
      <c r="I1830" t="s">
        <v>96</v>
      </c>
      <c r="J1830" t="s">
        <v>2382</v>
      </c>
      <c r="K1830" t="s">
        <v>96</v>
      </c>
      <c r="L1830" t="s">
        <v>96</v>
      </c>
      <c r="M1830">
        <v>3305.3446232591791</v>
      </c>
      <c r="O1830" s="12" t="str">
        <f t="shared" si="70"/>
        <v>MID</v>
      </c>
      <c r="P1830" s="12" t="str">
        <f t="shared" si="71"/>
        <v>EN_CO</v>
      </c>
    </row>
    <row r="1831" spans="1:16" x14ac:dyDescent="0.35">
      <c r="A1831" t="s">
        <v>2383</v>
      </c>
      <c r="B1831" t="s">
        <v>76</v>
      </c>
      <c r="C1831" t="s">
        <v>45</v>
      </c>
      <c r="D1831" t="s">
        <v>31</v>
      </c>
      <c r="E1831" t="s">
        <v>96</v>
      </c>
      <c r="F1831" t="s">
        <v>96</v>
      </c>
      <c r="G1831" t="s">
        <v>96</v>
      </c>
      <c r="H1831">
        <v>2010</v>
      </c>
      <c r="I1831" t="s">
        <v>96</v>
      </c>
      <c r="J1831" t="s">
        <v>2382</v>
      </c>
      <c r="K1831" t="s">
        <v>96</v>
      </c>
      <c r="L1831" t="s">
        <v>96</v>
      </c>
      <c r="M1831">
        <v>1922.7327332676855</v>
      </c>
      <c r="O1831" s="12" t="str">
        <f t="shared" si="70"/>
        <v>MID</v>
      </c>
      <c r="P1831" s="12" t="str">
        <f t="shared" si="71"/>
        <v>EN_CO</v>
      </c>
    </row>
    <row r="1832" spans="1:16" x14ac:dyDescent="0.35">
      <c r="A1832" t="s">
        <v>2383</v>
      </c>
      <c r="B1832" t="s">
        <v>76</v>
      </c>
      <c r="C1832" t="s">
        <v>45</v>
      </c>
      <c r="D1832" t="s">
        <v>33</v>
      </c>
      <c r="E1832" t="s">
        <v>96</v>
      </c>
      <c r="F1832" t="s">
        <v>96</v>
      </c>
      <c r="G1832" t="s">
        <v>96</v>
      </c>
      <c r="H1832">
        <v>2019</v>
      </c>
      <c r="I1832" t="s">
        <v>96</v>
      </c>
      <c r="J1832" t="s">
        <v>3112</v>
      </c>
      <c r="K1832" t="s">
        <v>96</v>
      </c>
      <c r="L1832" t="s">
        <v>96</v>
      </c>
      <c r="M1832">
        <v>5081.3355256629329</v>
      </c>
      <c r="O1832" s="12" t="str">
        <f t="shared" si="70"/>
        <v>MID</v>
      </c>
      <c r="P1832" s="12" t="str">
        <f t="shared" si="71"/>
        <v>EN_ZC</v>
      </c>
    </row>
    <row r="1833" spans="1:16" x14ac:dyDescent="0.35">
      <c r="A1833" t="s">
        <v>2383</v>
      </c>
      <c r="B1833" t="s">
        <v>76</v>
      </c>
      <c r="C1833" t="s">
        <v>45</v>
      </c>
      <c r="D1833" t="s">
        <v>33</v>
      </c>
      <c r="E1833" t="s">
        <v>96</v>
      </c>
      <c r="F1833" t="s">
        <v>96</v>
      </c>
      <c r="G1833" t="s">
        <v>96</v>
      </c>
      <c r="H1833">
        <v>2020</v>
      </c>
      <c r="I1833" t="s">
        <v>96</v>
      </c>
      <c r="J1833" t="s">
        <v>3112</v>
      </c>
      <c r="K1833" t="s">
        <v>96</v>
      </c>
      <c r="L1833" t="s">
        <v>96</v>
      </c>
      <c r="M1833">
        <v>5024.3492188340078</v>
      </c>
      <c r="O1833" s="12" t="str">
        <f t="shared" si="70"/>
        <v>MID</v>
      </c>
      <c r="P1833" s="12" t="str">
        <f t="shared" si="71"/>
        <v>EN_ZC</v>
      </c>
    </row>
    <row r="1834" spans="1:16" x14ac:dyDescent="0.35">
      <c r="A1834" t="s">
        <v>2383</v>
      </c>
      <c r="B1834" t="s">
        <v>76</v>
      </c>
      <c r="C1834" t="s">
        <v>45</v>
      </c>
      <c r="D1834" t="s">
        <v>33</v>
      </c>
      <c r="E1834" t="s">
        <v>96</v>
      </c>
      <c r="F1834" t="s">
        <v>96</v>
      </c>
      <c r="G1834" t="s">
        <v>96</v>
      </c>
      <c r="H1834">
        <v>2021</v>
      </c>
      <c r="I1834" t="s">
        <v>96</v>
      </c>
      <c r="J1834" t="s">
        <v>3112</v>
      </c>
      <c r="K1834" t="s">
        <v>96</v>
      </c>
      <c r="L1834" t="s">
        <v>96</v>
      </c>
      <c r="M1834">
        <v>4901.500909747454</v>
      </c>
      <c r="O1834" s="12" t="str">
        <f t="shared" si="70"/>
        <v>MID</v>
      </c>
      <c r="P1834" s="12" t="str">
        <f t="shared" si="71"/>
        <v>EN_ZC</v>
      </c>
    </row>
    <row r="1835" spans="1:16" x14ac:dyDescent="0.35">
      <c r="A1835" t="s">
        <v>2383</v>
      </c>
      <c r="B1835" t="s">
        <v>76</v>
      </c>
      <c r="C1835" t="s">
        <v>45</v>
      </c>
      <c r="D1835" t="s">
        <v>33</v>
      </c>
      <c r="E1835" t="s">
        <v>96</v>
      </c>
      <c r="F1835" t="s">
        <v>96</v>
      </c>
      <c r="G1835" t="s">
        <v>96</v>
      </c>
      <c r="H1835">
        <v>2022</v>
      </c>
      <c r="I1835" t="s">
        <v>96</v>
      </c>
      <c r="J1835" t="s">
        <v>3112</v>
      </c>
      <c r="K1835" t="s">
        <v>96</v>
      </c>
      <c r="L1835" t="s">
        <v>96</v>
      </c>
      <c r="M1835">
        <v>4825.1608212464344</v>
      </c>
      <c r="O1835" s="12" t="str">
        <f t="shared" si="70"/>
        <v>MID</v>
      </c>
      <c r="P1835" s="12" t="str">
        <f t="shared" si="71"/>
        <v>EN_ZC</v>
      </c>
    </row>
    <row r="1836" spans="1:16" x14ac:dyDescent="0.35">
      <c r="A1836" t="s">
        <v>2383</v>
      </c>
      <c r="B1836" t="s">
        <v>76</v>
      </c>
      <c r="C1836" t="s">
        <v>45</v>
      </c>
      <c r="D1836" t="s">
        <v>33</v>
      </c>
      <c r="E1836" t="s">
        <v>96</v>
      </c>
      <c r="F1836" t="s">
        <v>96</v>
      </c>
      <c r="G1836" t="s">
        <v>96</v>
      </c>
      <c r="H1836">
        <v>2023</v>
      </c>
      <c r="I1836" t="s">
        <v>96</v>
      </c>
      <c r="J1836" t="s">
        <v>3112</v>
      </c>
      <c r="K1836" t="s">
        <v>96</v>
      </c>
      <c r="L1836" t="s">
        <v>96</v>
      </c>
      <c r="M1836">
        <v>4771.1569491802466</v>
      </c>
      <c r="O1836" s="12" t="str">
        <f t="shared" si="70"/>
        <v>MID</v>
      </c>
      <c r="P1836" s="12" t="str">
        <f t="shared" si="71"/>
        <v>EN_ZC</v>
      </c>
    </row>
    <row r="1837" spans="1:16" x14ac:dyDescent="0.35">
      <c r="A1837" t="s">
        <v>2383</v>
      </c>
      <c r="B1837" t="s">
        <v>76</v>
      </c>
      <c r="C1837" t="s">
        <v>45</v>
      </c>
      <c r="D1837" t="s">
        <v>33</v>
      </c>
      <c r="E1837" t="s">
        <v>96</v>
      </c>
      <c r="F1837" t="s">
        <v>96</v>
      </c>
      <c r="G1837" t="s">
        <v>96</v>
      </c>
      <c r="H1837">
        <v>2024</v>
      </c>
      <c r="I1837" t="s">
        <v>96</v>
      </c>
      <c r="J1837" t="s">
        <v>3112</v>
      </c>
      <c r="K1837" t="s">
        <v>96</v>
      </c>
      <c r="L1837" t="s">
        <v>96</v>
      </c>
      <c r="M1837">
        <v>4727.6523816690433</v>
      </c>
      <c r="O1837" s="12" t="str">
        <f t="shared" si="70"/>
        <v>MID</v>
      </c>
      <c r="P1837" s="12" t="str">
        <f t="shared" si="71"/>
        <v>EN_ZC</v>
      </c>
    </row>
    <row r="1838" spans="1:16" x14ac:dyDescent="0.35">
      <c r="A1838" t="s">
        <v>2383</v>
      </c>
      <c r="B1838" t="s">
        <v>76</v>
      </c>
      <c r="C1838" t="s">
        <v>45</v>
      </c>
      <c r="D1838" t="s">
        <v>33</v>
      </c>
      <c r="E1838" t="s">
        <v>96</v>
      </c>
      <c r="F1838" t="s">
        <v>96</v>
      </c>
      <c r="G1838" t="s">
        <v>96</v>
      </c>
      <c r="H1838">
        <v>2025</v>
      </c>
      <c r="I1838" t="s">
        <v>96</v>
      </c>
      <c r="J1838" t="s">
        <v>3112</v>
      </c>
      <c r="K1838" t="s">
        <v>96</v>
      </c>
      <c r="L1838" t="s">
        <v>96</v>
      </c>
      <c r="M1838">
        <v>4692.2278401018366</v>
      </c>
      <c r="O1838" s="12" t="str">
        <f t="shared" si="70"/>
        <v>MID</v>
      </c>
      <c r="P1838" s="12" t="str">
        <f t="shared" si="71"/>
        <v>EN_ZC</v>
      </c>
    </row>
    <row r="1839" spans="1:16" x14ac:dyDescent="0.35">
      <c r="A1839" t="s">
        <v>2383</v>
      </c>
      <c r="B1839" t="s">
        <v>76</v>
      </c>
      <c r="C1839" t="s">
        <v>45</v>
      </c>
      <c r="D1839" t="s">
        <v>33</v>
      </c>
      <c r="E1839" t="s">
        <v>96</v>
      </c>
      <c r="F1839" t="s">
        <v>96</v>
      </c>
      <c r="G1839" t="s">
        <v>96</v>
      </c>
      <c r="H1839">
        <v>2026</v>
      </c>
      <c r="I1839" t="s">
        <v>96</v>
      </c>
      <c r="J1839" t="s">
        <v>3112</v>
      </c>
      <c r="K1839" t="s">
        <v>96</v>
      </c>
      <c r="L1839" t="s">
        <v>96</v>
      </c>
      <c r="M1839">
        <v>4645.5366158788183</v>
      </c>
      <c r="O1839" s="12" t="str">
        <f t="shared" si="70"/>
        <v>MID</v>
      </c>
      <c r="P1839" s="12" t="str">
        <f t="shared" si="71"/>
        <v>EN_ZC</v>
      </c>
    </row>
    <row r="1840" spans="1:16" x14ac:dyDescent="0.35">
      <c r="A1840" t="s">
        <v>2383</v>
      </c>
      <c r="B1840" t="s">
        <v>76</v>
      </c>
      <c r="C1840" t="s">
        <v>45</v>
      </c>
      <c r="D1840" t="s">
        <v>33</v>
      </c>
      <c r="E1840" t="s">
        <v>96</v>
      </c>
      <c r="F1840" t="s">
        <v>96</v>
      </c>
      <c r="G1840" t="s">
        <v>96</v>
      </c>
      <c r="H1840">
        <v>2027</v>
      </c>
      <c r="I1840" t="s">
        <v>96</v>
      </c>
      <c r="J1840" t="s">
        <v>3112</v>
      </c>
      <c r="K1840" t="s">
        <v>96</v>
      </c>
      <c r="L1840" t="s">
        <v>96</v>
      </c>
      <c r="M1840">
        <v>4589.684138020365</v>
      </c>
      <c r="O1840" s="12" t="str">
        <f t="shared" si="70"/>
        <v>MID</v>
      </c>
      <c r="P1840" s="12" t="str">
        <f t="shared" si="71"/>
        <v>EN_ZC</v>
      </c>
    </row>
    <row r="1841" spans="1:16" x14ac:dyDescent="0.35">
      <c r="A1841" t="s">
        <v>2383</v>
      </c>
      <c r="B1841" t="s">
        <v>76</v>
      </c>
      <c r="C1841" t="s">
        <v>45</v>
      </c>
      <c r="D1841" t="s">
        <v>33</v>
      </c>
      <c r="E1841" t="s">
        <v>96</v>
      </c>
      <c r="F1841" t="s">
        <v>96</v>
      </c>
      <c r="G1841" t="s">
        <v>96</v>
      </c>
      <c r="H1841">
        <v>2028</v>
      </c>
      <c r="I1841" t="s">
        <v>96</v>
      </c>
      <c r="J1841" t="s">
        <v>3112</v>
      </c>
      <c r="K1841" t="s">
        <v>96</v>
      </c>
      <c r="L1841" t="s">
        <v>96</v>
      </c>
      <c r="M1841">
        <v>4527.3279452851339</v>
      </c>
      <c r="O1841" s="12" t="str">
        <f t="shared" si="70"/>
        <v>MID</v>
      </c>
      <c r="P1841" s="12" t="str">
        <f t="shared" si="71"/>
        <v>EN_ZC</v>
      </c>
    </row>
    <row r="1842" spans="1:16" x14ac:dyDescent="0.35">
      <c r="A1842" t="s">
        <v>2383</v>
      </c>
      <c r="B1842" t="s">
        <v>76</v>
      </c>
      <c r="C1842" t="s">
        <v>45</v>
      </c>
      <c r="D1842" t="s">
        <v>33</v>
      </c>
      <c r="E1842" t="s">
        <v>96</v>
      </c>
      <c r="F1842" t="s">
        <v>96</v>
      </c>
      <c r="G1842" t="s">
        <v>96</v>
      </c>
      <c r="H1842">
        <v>2029</v>
      </c>
      <c r="I1842" t="s">
        <v>96</v>
      </c>
      <c r="J1842" t="s">
        <v>3112</v>
      </c>
      <c r="K1842" t="s">
        <v>96</v>
      </c>
      <c r="L1842" t="s">
        <v>96</v>
      </c>
      <c r="M1842">
        <v>4463.3507959389035</v>
      </c>
      <c r="O1842" s="12" t="str">
        <f t="shared" si="70"/>
        <v>MID</v>
      </c>
      <c r="P1842" s="12" t="str">
        <f t="shared" si="71"/>
        <v>EN_ZC</v>
      </c>
    </row>
    <row r="1843" spans="1:16" x14ac:dyDescent="0.35">
      <c r="A1843" t="s">
        <v>2383</v>
      </c>
      <c r="B1843" t="s">
        <v>76</v>
      </c>
      <c r="C1843" t="s">
        <v>45</v>
      </c>
      <c r="D1843" t="s">
        <v>33</v>
      </c>
      <c r="E1843" t="s">
        <v>96</v>
      </c>
      <c r="F1843" t="s">
        <v>96</v>
      </c>
      <c r="G1843" t="s">
        <v>96</v>
      </c>
      <c r="H1843">
        <v>2030</v>
      </c>
      <c r="I1843" t="s">
        <v>96</v>
      </c>
      <c r="J1843" t="s">
        <v>3112</v>
      </c>
      <c r="K1843" t="s">
        <v>96</v>
      </c>
      <c r="L1843" t="s">
        <v>96</v>
      </c>
      <c r="M1843">
        <v>4406.984668908347</v>
      </c>
      <c r="O1843" s="12" t="str">
        <f t="shared" si="70"/>
        <v>MID</v>
      </c>
      <c r="P1843" s="12" t="str">
        <f t="shared" si="71"/>
        <v>EN_ZC</v>
      </c>
    </row>
    <row r="1844" spans="1:16" x14ac:dyDescent="0.35">
      <c r="A1844" t="s">
        <v>2383</v>
      </c>
      <c r="B1844" t="s">
        <v>76</v>
      </c>
      <c r="C1844" t="s">
        <v>45</v>
      </c>
      <c r="D1844" t="s">
        <v>33</v>
      </c>
      <c r="E1844" t="s">
        <v>96</v>
      </c>
      <c r="F1844" t="s">
        <v>96</v>
      </c>
      <c r="G1844" t="s">
        <v>96</v>
      </c>
      <c r="H1844">
        <v>2031</v>
      </c>
      <c r="I1844" t="s">
        <v>96</v>
      </c>
      <c r="J1844" t="s">
        <v>3112</v>
      </c>
      <c r="K1844" t="s">
        <v>96</v>
      </c>
      <c r="L1844" t="s">
        <v>96</v>
      </c>
      <c r="M1844">
        <v>4350.9058681262732</v>
      </c>
      <c r="O1844" s="12" t="str">
        <f t="shared" si="70"/>
        <v>MID</v>
      </c>
      <c r="P1844" s="12" t="str">
        <f t="shared" si="71"/>
        <v>EN_ZC</v>
      </c>
    </row>
    <row r="1845" spans="1:16" x14ac:dyDescent="0.35">
      <c r="A1845" t="s">
        <v>2383</v>
      </c>
      <c r="B1845" t="s">
        <v>76</v>
      </c>
      <c r="C1845" t="s">
        <v>45</v>
      </c>
      <c r="D1845" t="s">
        <v>33</v>
      </c>
      <c r="E1845" t="s">
        <v>96</v>
      </c>
      <c r="F1845" t="s">
        <v>96</v>
      </c>
      <c r="G1845" t="s">
        <v>96</v>
      </c>
      <c r="H1845">
        <v>2032</v>
      </c>
      <c r="I1845" t="s">
        <v>96</v>
      </c>
      <c r="J1845" t="s">
        <v>3112</v>
      </c>
      <c r="K1845" t="s">
        <v>96</v>
      </c>
      <c r="L1845" t="s">
        <v>96</v>
      </c>
      <c r="M1845">
        <v>4295.0021143411386</v>
      </c>
      <c r="O1845" s="12" t="str">
        <f t="shared" si="70"/>
        <v>MID</v>
      </c>
      <c r="P1845" s="12" t="str">
        <f t="shared" si="71"/>
        <v>EN_ZC</v>
      </c>
    </row>
    <row r="1846" spans="1:16" x14ac:dyDescent="0.35">
      <c r="A1846" t="s">
        <v>2383</v>
      </c>
      <c r="B1846" t="s">
        <v>76</v>
      </c>
      <c r="C1846" t="s">
        <v>45</v>
      </c>
      <c r="D1846" t="s">
        <v>33</v>
      </c>
      <c r="E1846" t="s">
        <v>96</v>
      </c>
      <c r="F1846" t="s">
        <v>96</v>
      </c>
      <c r="G1846" t="s">
        <v>96</v>
      </c>
      <c r="H1846">
        <v>2033</v>
      </c>
      <c r="I1846" t="s">
        <v>96</v>
      </c>
      <c r="J1846" t="s">
        <v>3112</v>
      </c>
      <c r="K1846" t="s">
        <v>96</v>
      </c>
      <c r="L1846" t="s">
        <v>96</v>
      </c>
      <c r="M1846">
        <v>4241.6131188533618</v>
      </c>
      <c r="O1846" s="12" t="str">
        <f t="shared" si="70"/>
        <v>MID</v>
      </c>
      <c r="P1846" s="12" t="str">
        <f t="shared" si="71"/>
        <v>EN_ZC</v>
      </c>
    </row>
    <row r="1847" spans="1:16" x14ac:dyDescent="0.35">
      <c r="A1847" t="s">
        <v>2383</v>
      </c>
      <c r="B1847" t="s">
        <v>76</v>
      </c>
      <c r="C1847" t="s">
        <v>45</v>
      </c>
      <c r="D1847" t="s">
        <v>33</v>
      </c>
      <c r="E1847" t="s">
        <v>96</v>
      </c>
      <c r="F1847" t="s">
        <v>96</v>
      </c>
      <c r="G1847" t="s">
        <v>96</v>
      </c>
      <c r="H1847">
        <v>2034</v>
      </c>
      <c r="I1847" t="s">
        <v>96</v>
      </c>
      <c r="J1847" t="s">
        <v>3112</v>
      </c>
      <c r="K1847" t="s">
        <v>96</v>
      </c>
      <c r="L1847" t="s">
        <v>96</v>
      </c>
      <c r="M1847">
        <v>4188.9092834511175</v>
      </c>
      <c r="O1847" s="12" t="str">
        <f t="shared" si="70"/>
        <v>MID</v>
      </c>
      <c r="P1847" s="12" t="str">
        <f t="shared" si="71"/>
        <v>EN_ZC</v>
      </c>
    </row>
    <row r="1848" spans="1:16" x14ac:dyDescent="0.35">
      <c r="A1848" t="s">
        <v>2383</v>
      </c>
      <c r="B1848" t="s">
        <v>76</v>
      </c>
      <c r="C1848" t="s">
        <v>45</v>
      </c>
      <c r="D1848" t="s">
        <v>33</v>
      </c>
      <c r="E1848" t="s">
        <v>96</v>
      </c>
      <c r="F1848" t="s">
        <v>96</v>
      </c>
      <c r="G1848" t="s">
        <v>96</v>
      </c>
      <c r="H1848">
        <v>2035</v>
      </c>
      <c r="I1848" t="s">
        <v>96</v>
      </c>
      <c r="J1848" t="s">
        <v>3112</v>
      </c>
      <c r="K1848" t="s">
        <v>96</v>
      </c>
      <c r="L1848" t="s">
        <v>96</v>
      </c>
      <c r="M1848">
        <v>4133.6199626496991</v>
      </c>
      <c r="O1848" s="12" t="str">
        <f t="shared" si="70"/>
        <v>MID</v>
      </c>
      <c r="P1848" s="12" t="str">
        <f t="shared" si="71"/>
        <v>EN_ZC</v>
      </c>
    </row>
    <row r="1849" spans="1:16" x14ac:dyDescent="0.35">
      <c r="A1849" t="s">
        <v>2383</v>
      </c>
      <c r="B1849" t="s">
        <v>76</v>
      </c>
      <c r="C1849" t="s">
        <v>45</v>
      </c>
      <c r="D1849" t="s">
        <v>33</v>
      </c>
      <c r="E1849" t="s">
        <v>96</v>
      </c>
      <c r="F1849" t="s">
        <v>96</v>
      </c>
      <c r="G1849" t="s">
        <v>96</v>
      </c>
      <c r="H1849">
        <v>2036</v>
      </c>
      <c r="I1849" t="s">
        <v>96</v>
      </c>
      <c r="J1849" t="s">
        <v>3112</v>
      </c>
      <c r="K1849" t="s">
        <v>96</v>
      </c>
      <c r="L1849" t="s">
        <v>96</v>
      </c>
      <c r="M1849">
        <v>4080.9917157851337</v>
      </c>
      <c r="O1849" s="12" t="str">
        <f t="shared" si="70"/>
        <v>MID</v>
      </c>
      <c r="P1849" s="12" t="str">
        <f t="shared" si="71"/>
        <v>EN_ZC</v>
      </c>
    </row>
    <row r="1850" spans="1:16" x14ac:dyDescent="0.35">
      <c r="A1850" t="s">
        <v>2383</v>
      </c>
      <c r="B1850" t="s">
        <v>76</v>
      </c>
      <c r="C1850" t="s">
        <v>45</v>
      </c>
      <c r="D1850" t="s">
        <v>33</v>
      </c>
      <c r="E1850" t="s">
        <v>96</v>
      </c>
      <c r="F1850" t="s">
        <v>96</v>
      </c>
      <c r="G1850" t="s">
        <v>96</v>
      </c>
      <c r="H1850">
        <v>2037</v>
      </c>
      <c r="I1850" t="s">
        <v>96</v>
      </c>
      <c r="J1850" t="s">
        <v>3112</v>
      </c>
      <c r="K1850" t="s">
        <v>96</v>
      </c>
      <c r="L1850" t="s">
        <v>96</v>
      </c>
      <c r="M1850">
        <v>4029.2280965600849</v>
      </c>
      <c r="O1850" s="12" t="str">
        <f t="shared" si="70"/>
        <v>MID</v>
      </c>
      <c r="P1850" s="12" t="str">
        <f t="shared" si="71"/>
        <v>EN_ZC</v>
      </c>
    </row>
    <row r="1851" spans="1:16" x14ac:dyDescent="0.35">
      <c r="A1851" t="s">
        <v>2383</v>
      </c>
      <c r="B1851" t="s">
        <v>76</v>
      </c>
      <c r="C1851" t="s">
        <v>45</v>
      </c>
      <c r="D1851" t="s">
        <v>33</v>
      </c>
      <c r="E1851" t="s">
        <v>96</v>
      </c>
      <c r="F1851" t="s">
        <v>96</v>
      </c>
      <c r="G1851" t="s">
        <v>96</v>
      </c>
      <c r="H1851">
        <v>2038</v>
      </c>
      <c r="I1851" t="s">
        <v>96</v>
      </c>
      <c r="J1851" t="s">
        <v>3112</v>
      </c>
      <c r="K1851" t="s">
        <v>96</v>
      </c>
      <c r="L1851" t="s">
        <v>96</v>
      </c>
      <c r="M1851">
        <v>3979.2755106558011</v>
      </c>
      <c r="O1851" s="12" t="str">
        <f t="shared" si="70"/>
        <v>MID</v>
      </c>
      <c r="P1851" s="12" t="str">
        <f t="shared" si="71"/>
        <v>EN_ZC</v>
      </c>
    </row>
    <row r="1852" spans="1:16" x14ac:dyDescent="0.35">
      <c r="A1852" t="s">
        <v>2383</v>
      </c>
      <c r="B1852" t="s">
        <v>76</v>
      </c>
      <c r="C1852" t="s">
        <v>45</v>
      </c>
      <c r="D1852" t="s">
        <v>33</v>
      </c>
      <c r="E1852" t="s">
        <v>96</v>
      </c>
      <c r="F1852" t="s">
        <v>96</v>
      </c>
      <c r="G1852" t="s">
        <v>96</v>
      </c>
      <c r="H1852">
        <v>2039</v>
      </c>
      <c r="I1852" t="s">
        <v>96</v>
      </c>
      <c r="J1852" t="s">
        <v>3112</v>
      </c>
      <c r="K1852" t="s">
        <v>96</v>
      </c>
      <c r="L1852" t="s">
        <v>96</v>
      </c>
      <c r="M1852">
        <v>3928.9127119063155</v>
      </c>
      <c r="O1852" s="12" t="str">
        <f t="shared" si="70"/>
        <v>MID</v>
      </c>
      <c r="P1852" s="12" t="str">
        <f t="shared" si="71"/>
        <v>EN_ZC</v>
      </c>
    </row>
    <row r="1853" spans="1:16" x14ac:dyDescent="0.35">
      <c r="A1853" t="s">
        <v>2383</v>
      </c>
      <c r="B1853" t="s">
        <v>76</v>
      </c>
      <c r="C1853" t="s">
        <v>45</v>
      </c>
      <c r="D1853" t="s">
        <v>33</v>
      </c>
      <c r="E1853" t="s">
        <v>96</v>
      </c>
      <c r="F1853" t="s">
        <v>96</v>
      </c>
      <c r="G1853" t="s">
        <v>96</v>
      </c>
      <c r="H1853">
        <v>2040</v>
      </c>
      <c r="I1853" t="s">
        <v>96</v>
      </c>
      <c r="J1853" t="s">
        <v>3112</v>
      </c>
      <c r="K1853" t="s">
        <v>96</v>
      </c>
      <c r="L1853" t="s">
        <v>96</v>
      </c>
      <c r="M1853">
        <v>3880.2455738319759</v>
      </c>
      <c r="O1853" s="12" t="str">
        <f t="shared" si="70"/>
        <v>MID</v>
      </c>
      <c r="P1853" s="12" t="str">
        <f t="shared" si="71"/>
        <v>EN_ZC</v>
      </c>
    </row>
    <row r="1854" spans="1:16" x14ac:dyDescent="0.35">
      <c r="A1854" t="s">
        <v>2383</v>
      </c>
      <c r="B1854" t="s">
        <v>76</v>
      </c>
      <c r="C1854" t="s">
        <v>45</v>
      </c>
      <c r="D1854" t="s">
        <v>33</v>
      </c>
      <c r="E1854" t="s">
        <v>96</v>
      </c>
      <c r="F1854" t="s">
        <v>96</v>
      </c>
      <c r="G1854" t="s">
        <v>96</v>
      </c>
      <c r="H1854">
        <v>2041</v>
      </c>
      <c r="I1854" t="s">
        <v>96</v>
      </c>
      <c r="J1854" t="s">
        <v>3112</v>
      </c>
      <c r="K1854" t="s">
        <v>96</v>
      </c>
      <c r="L1854" t="s">
        <v>96</v>
      </c>
      <c r="M1854">
        <v>3832.7440921955204</v>
      </c>
      <c r="O1854" s="12" t="str">
        <f t="shared" si="70"/>
        <v>MID</v>
      </c>
      <c r="P1854" s="12" t="str">
        <f t="shared" si="71"/>
        <v>EN_ZC</v>
      </c>
    </row>
    <row r="1855" spans="1:16" x14ac:dyDescent="0.35">
      <c r="A1855" t="s">
        <v>2383</v>
      </c>
      <c r="B1855" t="s">
        <v>76</v>
      </c>
      <c r="C1855" t="s">
        <v>45</v>
      </c>
      <c r="D1855" t="s">
        <v>33</v>
      </c>
      <c r="E1855" t="s">
        <v>96</v>
      </c>
      <c r="F1855" t="s">
        <v>96</v>
      </c>
      <c r="G1855" t="s">
        <v>96</v>
      </c>
      <c r="H1855">
        <v>2042</v>
      </c>
      <c r="I1855" t="s">
        <v>96</v>
      </c>
      <c r="J1855" t="s">
        <v>3112</v>
      </c>
      <c r="K1855" t="s">
        <v>96</v>
      </c>
      <c r="L1855" t="s">
        <v>96</v>
      </c>
      <c r="M1855">
        <v>3782.4767740376801</v>
      </c>
      <c r="O1855" s="12" t="str">
        <f t="shared" si="70"/>
        <v>MID</v>
      </c>
      <c r="P1855" s="12" t="str">
        <f t="shared" si="71"/>
        <v>EN_ZC</v>
      </c>
    </row>
    <row r="1856" spans="1:16" x14ac:dyDescent="0.35">
      <c r="A1856" t="s">
        <v>2383</v>
      </c>
      <c r="B1856" t="s">
        <v>76</v>
      </c>
      <c r="C1856" t="s">
        <v>45</v>
      </c>
      <c r="D1856" t="s">
        <v>33</v>
      </c>
      <c r="E1856" t="s">
        <v>96</v>
      </c>
      <c r="F1856" t="s">
        <v>96</v>
      </c>
      <c r="G1856" t="s">
        <v>96</v>
      </c>
      <c r="H1856">
        <v>2043</v>
      </c>
      <c r="I1856" t="s">
        <v>96</v>
      </c>
      <c r="J1856" t="s">
        <v>3112</v>
      </c>
      <c r="K1856" t="s">
        <v>96</v>
      </c>
      <c r="L1856" t="s">
        <v>96</v>
      </c>
      <c r="M1856">
        <v>3737.996185014254</v>
      </c>
      <c r="O1856" s="12" t="str">
        <f t="shared" si="70"/>
        <v>MID</v>
      </c>
      <c r="P1856" s="12" t="str">
        <f t="shared" si="71"/>
        <v>EN_ZC</v>
      </c>
    </row>
    <row r="1857" spans="1:16" x14ac:dyDescent="0.35">
      <c r="A1857" t="s">
        <v>2383</v>
      </c>
      <c r="B1857" t="s">
        <v>76</v>
      </c>
      <c r="C1857" t="s">
        <v>45</v>
      </c>
      <c r="D1857" t="s">
        <v>33</v>
      </c>
      <c r="E1857" t="s">
        <v>96</v>
      </c>
      <c r="F1857" t="s">
        <v>96</v>
      </c>
      <c r="G1857" t="s">
        <v>96</v>
      </c>
      <c r="H1857">
        <v>2044</v>
      </c>
      <c r="I1857" t="s">
        <v>96</v>
      </c>
      <c r="J1857" t="s">
        <v>3112</v>
      </c>
      <c r="K1857" t="s">
        <v>96</v>
      </c>
      <c r="L1857" t="s">
        <v>96</v>
      </c>
      <c r="M1857">
        <v>3688.82821765479</v>
      </c>
      <c r="O1857" s="12" t="str">
        <f t="shared" si="70"/>
        <v>MID</v>
      </c>
      <c r="P1857" s="12" t="str">
        <f t="shared" si="71"/>
        <v>EN_ZC</v>
      </c>
    </row>
    <row r="1858" spans="1:16" x14ac:dyDescent="0.35">
      <c r="A1858" t="s">
        <v>2383</v>
      </c>
      <c r="B1858" t="s">
        <v>76</v>
      </c>
      <c r="C1858" t="s">
        <v>45</v>
      </c>
      <c r="D1858" t="s">
        <v>33</v>
      </c>
      <c r="E1858" t="s">
        <v>96</v>
      </c>
      <c r="F1858" t="s">
        <v>96</v>
      </c>
      <c r="G1858" t="s">
        <v>96</v>
      </c>
      <c r="H1858">
        <v>2045</v>
      </c>
      <c r="I1858" t="s">
        <v>96</v>
      </c>
      <c r="J1858" t="s">
        <v>3112</v>
      </c>
      <c r="K1858" t="s">
        <v>96</v>
      </c>
      <c r="L1858" t="s">
        <v>96</v>
      </c>
      <c r="M1858">
        <v>3644.5465455498938</v>
      </c>
      <c r="O1858" s="12" t="str">
        <f t="shared" si="70"/>
        <v>MID</v>
      </c>
      <c r="P1858" s="12" t="str">
        <f t="shared" si="71"/>
        <v>EN_ZC</v>
      </c>
    </row>
    <row r="1859" spans="1:16" x14ac:dyDescent="0.35">
      <c r="A1859" t="s">
        <v>2383</v>
      </c>
      <c r="B1859" t="s">
        <v>76</v>
      </c>
      <c r="C1859" t="s">
        <v>45</v>
      </c>
      <c r="D1859" t="s">
        <v>33</v>
      </c>
      <c r="E1859" t="s">
        <v>96</v>
      </c>
      <c r="F1859" t="s">
        <v>96</v>
      </c>
      <c r="G1859" t="s">
        <v>96</v>
      </c>
      <c r="H1859">
        <v>2046</v>
      </c>
      <c r="I1859" t="s">
        <v>96</v>
      </c>
      <c r="J1859" t="s">
        <v>3112</v>
      </c>
      <c r="K1859" t="s">
        <v>96</v>
      </c>
      <c r="L1859" t="s">
        <v>96</v>
      </c>
      <c r="M1859">
        <v>3596.4827904246408</v>
      </c>
      <c r="O1859" s="12" t="str">
        <f t="shared" ref="O1859:O1922" si="72">LEFT(B1859,3)</f>
        <v>MID</v>
      </c>
      <c r="P1859" s="12" t="str">
        <f t="shared" ref="P1859:P1922" si="73">LEFT(D1859,5)</f>
        <v>EN_ZC</v>
      </c>
    </row>
    <row r="1860" spans="1:16" x14ac:dyDescent="0.35">
      <c r="A1860" t="s">
        <v>2383</v>
      </c>
      <c r="B1860" t="s">
        <v>76</v>
      </c>
      <c r="C1860" t="s">
        <v>45</v>
      </c>
      <c r="D1860" t="s">
        <v>33</v>
      </c>
      <c r="E1860" t="s">
        <v>96</v>
      </c>
      <c r="F1860" t="s">
        <v>96</v>
      </c>
      <c r="G1860" t="s">
        <v>96</v>
      </c>
      <c r="H1860">
        <v>2047</v>
      </c>
      <c r="I1860" t="s">
        <v>96</v>
      </c>
      <c r="J1860" t="s">
        <v>3112</v>
      </c>
      <c r="K1860" t="s">
        <v>96</v>
      </c>
      <c r="L1860" t="s">
        <v>96</v>
      </c>
      <c r="M1860">
        <v>3551.8099148655847</v>
      </c>
      <c r="O1860" s="12" t="str">
        <f t="shared" si="72"/>
        <v>MID</v>
      </c>
      <c r="P1860" s="12" t="str">
        <f t="shared" si="73"/>
        <v>EN_ZC</v>
      </c>
    </row>
    <row r="1861" spans="1:16" x14ac:dyDescent="0.35">
      <c r="A1861" t="s">
        <v>2383</v>
      </c>
      <c r="B1861" t="s">
        <v>76</v>
      </c>
      <c r="C1861" t="s">
        <v>45</v>
      </c>
      <c r="D1861" t="s">
        <v>33</v>
      </c>
      <c r="E1861" t="s">
        <v>96</v>
      </c>
      <c r="F1861" t="s">
        <v>96</v>
      </c>
      <c r="G1861" t="s">
        <v>96</v>
      </c>
      <c r="H1861">
        <v>2048</v>
      </c>
      <c r="I1861" t="s">
        <v>96</v>
      </c>
      <c r="J1861" t="s">
        <v>3112</v>
      </c>
      <c r="K1861" t="s">
        <v>96</v>
      </c>
      <c r="L1861" t="s">
        <v>96</v>
      </c>
      <c r="M1861">
        <v>3507.1522890061115</v>
      </c>
      <c r="O1861" s="12" t="str">
        <f t="shared" si="72"/>
        <v>MID</v>
      </c>
      <c r="P1861" s="12" t="str">
        <f t="shared" si="73"/>
        <v>EN_ZC</v>
      </c>
    </row>
    <row r="1862" spans="1:16" x14ac:dyDescent="0.35">
      <c r="A1862" t="s">
        <v>2383</v>
      </c>
      <c r="B1862" t="s">
        <v>76</v>
      </c>
      <c r="C1862" t="s">
        <v>45</v>
      </c>
      <c r="D1862" t="s">
        <v>33</v>
      </c>
      <c r="E1862" t="s">
        <v>96</v>
      </c>
      <c r="F1862" t="s">
        <v>96</v>
      </c>
      <c r="G1862" t="s">
        <v>96</v>
      </c>
      <c r="H1862">
        <v>2049</v>
      </c>
      <c r="I1862" t="s">
        <v>96</v>
      </c>
      <c r="J1862" t="s">
        <v>3112</v>
      </c>
      <c r="K1862" t="s">
        <v>96</v>
      </c>
      <c r="L1862" t="s">
        <v>96</v>
      </c>
      <c r="M1862">
        <v>3462.5775456486786</v>
      </c>
      <c r="O1862" s="12" t="str">
        <f t="shared" si="72"/>
        <v>MID</v>
      </c>
      <c r="P1862" s="12" t="str">
        <f t="shared" si="73"/>
        <v>EN_ZC</v>
      </c>
    </row>
    <row r="1863" spans="1:16" x14ac:dyDescent="0.35">
      <c r="A1863" t="s">
        <v>2383</v>
      </c>
      <c r="B1863" t="s">
        <v>76</v>
      </c>
      <c r="C1863" t="s">
        <v>45</v>
      </c>
      <c r="D1863" t="s">
        <v>33</v>
      </c>
      <c r="E1863" t="s">
        <v>96</v>
      </c>
      <c r="F1863" t="s">
        <v>96</v>
      </c>
      <c r="G1863" t="s">
        <v>96</v>
      </c>
      <c r="H1863">
        <v>2050</v>
      </c>
      <c r="I1863" t="s">
        <v>96</v>
      </c>
      <c r="J1863" t="s">
        <v>3112</v>
      </c>
      <c r="K1863" t="s">
        <v>96</v>
      </c>
      <c r="L1863" t="s">
        <v>96</v>
      </c>
      <c r="M1863">
        <v>3418.4017423991841</v>
      </c>
      <c r="O1863" s="12" t="str">
        <f t="shared" si="72"/>
        <v>MID</v>
      </c>
      <c r="P1863" s="12" t="str">
        <f t="shared" si="73"/>
        <v>EN_ZC</v>
      </c>
    </row>
    <row r="1864" spans="1:16" x14ac:dyDescent="0.35">
      <c r="A1864" t="s">
        <v>2383</v>
      </c>
      <c r="B1864" t="s">
        <v>77</v>
      </c>
      <c r="C1864" t="s">
        <v>45</v>
      </c>
      <c r="D1864" t="s">
        <v>32</v>
      </c>
      <c r="E1864" t="s">
        <v>96</v>
      </c>
      <c r="F1864" t="s">
        <v>96</v>
      </c>
      <c r="G1864" t="s">
        <v>96</v>
      </c>
      <c r="H1864">
        <v>2010</v>
      </c>
      <c r="I1864" t="s">
        <v>96</v>
      </c>
      <c r="J1864" t="s">
        <v>2382</v>
      </c>
      <c r="K1864" t="s">
        <v>96</v>
      </c>
      <c r="L1864" t="s">
        <v>96</v>
      </c>
      <c r="M1864">
        <v>3305.3446232591791</v>
      </c>
      <c r="O1864" s="12" t="str">
        <f t="shared" si="72"/>
        <v>MXC</v>
      </c>
      <c r="P1864" s="12" t="str">
        <f t="shared" si="73"/>
        <v>EN_CO</v>
      </c>
    </row>
    <row r="1865" spans="1:16" x14ac:dyDescent="0.35">
      <c r="A1865" t="s">
        <v>2383</v>
      </c>
      <c r="B1865" t="s">
        <v>77</v>
      </c>
      <c r="C1865" t="s">
        <v>45</v>
      </c>
      <c r="D1865" t="s">
        <v>31</v>
      </c>
      <c r="E1865" t="s">
        <v>96</v>
      </c>
      <c r="F1865" t="s">
        <v>96</v>
      </c>
      <c r="G1865" t="s">
        <v>96</v>
      </c>
      <c r="H1865">
        <v>2010</v>
      </c>
      <c r="I1865" t="s">
        <v>96</v>
      </c>
      <c r="J1865" t="s">
        <v>2382</v>
      </c>
      <c r="K1865" t="s">
        <v>96</v>
      </c>
      <c r="L1865" t="s">
        <v>96</v>
      </c>
      <c r="M1865">
        <v>1496.0993831573144</v>
      </c>
      <c r="O1865" s="12" t="str">
        <f t="shared" si="72"/>
        <v>MXC</v>
      </c>
      <c r="P1865" s="12" t="str">
        <f t="shared" si="73"/>
        <v>EN_CO</v>
      </c>
    </row>
    <row r="1866" spans="1:16" x14ac:dyDescent="0.35">
      <c r="A1866" t="s">
        <v>2383</v>
      </c>
      <c r="B1866" t="s">
        <v>77</v>
      </c>
      <c r="C1866" t="s">
        <v>45</v>
      </c>
      <c r="D1866" t="s">
        <v>33</v>
      </c>
      <c r="E1866" t="s">
        <v>96</v>
      </c>
      <c r="F1866" t="s">
        <v>96</v>
      </c>
      <c r="G1866" t="s">
        <v>96</v>
      </c>
      <c r="H1866">
        <v>2019</v>
      </c>
      <c r="I1866" t="s">
        <v>96</v>
      </c>
      <c r="J1866" t="s">
        <v>3112</v>
      </c>
      <c r="K1866" t="s">
        <v>96</v>
      </c>
      <c r="L1866" t="s">
        <v>96</v>
      </c>
      <c r="M1866">
        <v>5081.3355256629329</v>
      </c>
      <c r="O1866" s="12" t="str">
        <f t="shared" si="72"/>
        <v>MXC</v>
      </c>
      <c r="P1866" s="12" t="str">
        <f t="shared" si="73"/>
        <v>EN_ZC</v>
      </c>
    </row>
    <row r="1867" spans="1:16" x14ac:dyDescent="0.35">
      <c r="A1867" t="s">
        <v>2383</v>
      </c>
      <c r="B1867" t="s">
        <v>77</v>
      </c>
      <c r="C1867" t="s">
        <v>45</v>
      </c>
      <c r="D1867" t="s">
        <v>33</v>
      </c>
      <c r="E1867" t="s">
        <v>96</v>
      </c>
      <c r="F1867" t="s">
        <v>96</v>
      </c>
      <c r="G1867" t="s">
        <v>96</v>
      </c>
      <c r="H1867">
        <v>2020</v>
      </c>
      <c r="I1867" t="s">
        <v>96</v>
      </c>
      <c r="J1867" t="s">
        <v>3112</v>
      </c>
      <c r="K1867" t="s">
        <v>96</v>
      </c>
      <c r="L1867" t="s">
        <v>96</v>
      </c>
      <c r="M1867">
        <v>5024.3492188340078</v>
      </c>
      <c r="O1867" s="12" t="str">
        <f t="shared" si="72"/>
        <v>MXC</v>
      </c>
      <c r="P1867" s="12" t="str">
        <f t="shared" si="73"/>
        <v>EN_ZC</v>
      </c>
    </row>
    <row r="1868" spans="1:16" x14ac:dyDescent="0.35">
      <c r="A1868" t="s">
        <v>2383</v>
      </c>
      <c r="B1868" t="s">
        <v>77</v>
      </c>
      <c r="C1868" t="s">
        <v>45</v>
      </c>
      <c r="D1868" t="s">
        <v>33</v>
      </c>
      <c r="E1868" t="s">
        <v>96</v>
      </c>
      <c r="F1868" t="s">
        <v>96</v>
      </c>
      <c r="G1868" t="s">
        <v>96</v>
      </c>
      <c r="H1868">
        <v>2021</v>
      </c>
      <c r="I1868" t="s">
        <v>96</v>
      </c>
      <c r="J1868" t="s">
        <v>3112</v>
      </c>
      <c r="K1868" t="s">
        <v>96</v>
      </c>
      <c r="L1868" t="s">
        <v>96</v>
      </c>
      <c r="M1868">
        <v>4901.500909747454</v>
      </c>
      <c r="O1868" s="12" t="str">
        <f t="shared" si="72"/>
        <v>MXC</v>
      </c>
      <c r="P1868" s="12" t="str">
        <f t="shared" si="73"/>
        <v>EN_ZC</v>
      </c>
    </row>
    <row r="1869" spans="1:16" x14ac:dyDescent="0.35">
      <c r="A1869" t="s">
        <v>2383</v>
      </c>
      <c r="B1869" t="s">
        <v>77</v>
      </c>
      <c r="C1869" t="s">
        <v>45</v>
      </c>
      <c r="D1869" t="s">
        <v>33</v>
      </c>
      <c r="E1869" t="s">
        <v>96</v>
      </c>
      <c r="F1869" t="s">
        <v>96</v>
      </c>
      <c r="G1869" t="s">
        <v>96</v>
      </c>
      <c r="H1869">
        <v>2022</v>
      </c>
      <c r="I1869" t="s">
        <v>96</v>
      </c>
      <c r="J1869" t="s">
        <v>3112</v>
      </c>
      <c r="K1869" t="s">
        <v>96</v>
      </c>
      <c r="L1869" t="s">
        <v>96</v>
      </c>
      <c r="M1869">
        <v>4825.1608212464344</v>
      </c>
      <c r="O1869" s="12" t="str">
        <f t="shared" si="72"/>
        <v>MXC</v>
      </c>
      <c r="P1869" s="12" t="str">
        <f t="shared" si="73"/>
        <v>EN_ZC</v>
      </c>
    </row>
    <row r="1870" spans="1:16" x14ac:dyDescent="0.35">
      <c r="A1870" t="s">
        <v>2383</v>
      </c>
      <c r="B1870" t="s">
        <v>77</v>
      </c>
      <c r="C1870" t="s">
        <v>45</v>
      </c>
      <c r="D1870" t="s">
        <v>33</v>
      </c>
      <c r="E1870" t="s">
        <v>96</v>
      </c>
      <c r="F1870" t="s">
        <v>96</v>
      </c>
      <c r="G1870" t="s">
        <v>96</v>
      </c>
      <c r="H1870">
        <v>2023</v>
      </c>
      <c r="I1870" t="s">
        <v>96</v>
      </c>
      <c r="J1870" t="s">
        <v>3112</v>
      </c>
      <c r="K1870" t="s">
        <v>96</v>
      </c>
      <c r="L1870" t="s">
        <v>96</v>
      </c>
      <c r="M1870">
        <v>4771.1569491802466</v>
      </c>
      <c r="O1870" s="12" t="str">
        <f t="shared" si="72"/>
        <v>MXC</v>
      </c>
      <c r="P1870" s="12" t="str">
        <f t="shared" si="73"/>
        <v>EN_ZC</v>
      </c>
    </row>
    <row r="1871" spans="1:16" x14ac:dyDescent="0.35">
      <c r="A1871" t="s">
        <v>2383</v>
      </c>
      <c r="B1871" t="s">
        <v>77</v>
      </c>
      <c r="C1871" t="s">
        <v>45</v>
      </c>
      <c r="D1871" t="s">
        <v>33</v>
      </c>
      <c r="E1871" t="s">
        <v>96</v>
      </c>
      <c r="F1871" t="s">
        <v>96</v>
      </c>
      <c r="G1871" t="s">
        <v>96</v>
      </c>
      <c r="H1871">
        <v>2024</v>
      </c>
      <c r="I1871" t="s">
        <v>96</v>
      </c>
      <c r="J1871" t="s">
        <v>3112</v>
      </c>
      <c r="K1871" t="s">
        <v>96</v>
      </c>
      <c r="L1871" t="s">
        <v>96</v>
      </c>
      <c r="M1871">
        <v>4727.6523816690433</v>
      </c>
      <c r="O1871" s="12" t="str">
        <f t="shared" si="72"/>
        <v>MXC</v>
      </c>
      <c r="P1871" s="12" t="str">
        <f t="shared" si="73"/>
        <v>EN_ZC</v>
      </c>
    </row>
    <row r="1872" spans="1:16" x14ac:dyDescent="0.35">
      <c r="A1872" t="s">
        <v>2383</v>
      </c>
      <c r="B1872" t="s">
        <v>77</v>
      </c>
      <c r="C1872" t="s">
        <v>45</v>
      </c>
      <c r="D1872" t="s">
        <v>33</v>
      </c>
      <c r="E1872" t="s">
        <v>96</v>
      </c>
      <c r="F1872" t="s">
        <v>96</v>
      </c>
      <c r="G1872" t="s">
        <v>96</v>
      </c>
      <c r="H1872">
        <v>2025</v>
      </c>
      <c r="I1872" t="s">
        <v>96</v>
      </c>
      <c r="J1872" t="s">
        <v>3112</v>
      </c>
      <c r="K1872" t="s">
        <v>96</v>
      </c>
      <c r="L1872" t="s">
        <v>96</v>
      </c>
      <c r="M1872">
        <v>4692.2278401018366</v>
      </c>
      <c r="O1872" s="12" t="str">
        <f t="shared" si="72"/>
        <v>MXC</v>
      </c>
      <c r="P1872" s="12" t="str">
        <f t="shared" si="73"/>
        <v>EN_ZC</v>
      </c>
    </row>
    <row r="1873" spans="1:16" x14ac:dyDescent="0.35">
      <c r="A1873" t="s">
        <v>2383</v>
      </c>
      <c r="B1873" t="s">
        <v>77</v>
      </c>
      <c r="C1873" t="s">
        <v>45</v>
      </c>
      <c r="D1873" t="s">
        <v>33</v>
      </c>
      <c r="E1873" t="s">
        <v>96</v>
      </c>
      <c r="F1873" t="s">
        <v>96</v>
      </c>
      <c r="G1873" t="s">
        <v>96</v>
      </c>
      <c r="H1873">
        <v>2026</v>
      </c>
      <c r="I1873" t="s">
        <v>96</v>
      </c>
      <c r="J1873" t="s">
        <v>3112</v>
      </c>
      <c r="K1873" t="s">
        <v>96</v>
      </c>
      <c r="L1873" t="s">
        <v>96</v>
      </c>
      <c r="M1873">
        <v>4645.5366158788183</v>
      </c>
      <c r="O1873" s="12" t="str">
        <f t="shared" si="72"/>
        <v>MXC</v>
      </c>
      <c r="P1873" s="12" t="str">
        <f t="shared" si="73"/>
        <v>EN_ZC</v>
      </c>
    </row>
    <row r="1874" spans="1:16" x14ac:dyDescent="0.35">
      <c r="A1874" t="s">
        <v>2383</v>
      </c>
      <c r="B1874" t="s">
        <v>77</v>
      </c>
      <c r="C1874" t="s">
        <v>45</v>
      </c>
      <c r="D1874" t="s">
        <v>33</v>
      </c>
      <c r="E1874" t="s">
        <v>96</v>
      </c>
      <c r="F1874" t="s">
        <v>96</v>
      </c>
      <c r="G1874" t="s">
        <v>96</v>
      </c>
      <c r="H1874">
        <v>2027</v>
      </c>
      <c r="I1874" t="s">
        <v>96</v>
      </c>
      <c r="J1874" t="s">
        <v>3112</v>
      </c>
      <c r="K1874" t="s">
        <v>96</v>
      </c>
      <c r="L1874" t="s">
        <v>96</v>
      </c>
      <c r="M1874">
        <v>4589.684138020365</v>
      </c>
      <c r="O1874" s="12" t="str">
        <f t="shared" si="72"/>
        <v>MXC</v>
      </c>
      <c r="P1874" s="12" t="str">
        <f t="shared" si="73"/>
        <v>EN_ZC</v>
      </c>
    </row>
    <row r="1875" spans="1:16" x14ac:dyDescent="0.35">
      <c r="A1875" t="s">
        <v>2383</v>
      </c>
      <c r="B1875" t="s">
        <v>77</v>
      </c>
      <c r="C1875" t="s">
        <v>45</v>
      </c>
      <c r="D1875" t="s">
        <v>33</v>
      </c>
      <c r="E1875" t="s">
        <v>96</v>
      </c>
      <c r="F1875" t="s">
        <v>96</v>
      </c>
      <c r="G1875" t="s">
        <v>96</v>
      </c>
      <c r="H1875">
        <v>2028</v>
      </c>
      <c r="I1875" t="s">
        <v>96</v>
      </c>
      <c r="J1875" t="s">
        <v>3112</v>
      </c>
      <c r="K1875" t="s">
        <v>96</v>
      </c>
      <c r="L1875" t="s">
        <v>96</v>
      </c>
      <c r="M1875">
        <v>4527.3279452851339</v>
      </c>
      <c r="O1875" s="12" t="str">
        <f t="shared" si="72"/>
        <v>MXC</v>
      </c>
      <c r="P1875" s="12" t="str">
        <f t="shared" si="73"/>
        <v>EN_ZC</v>
      </c>
    </row>
    <row r="1876" spans="1:16" x14ac:dyDescent="0.35">
      <c r="A1876" t="s">
        <v>2383</v>
      </c>
      <c r="B1876" t="s">
        <v>77</v>
      </c>
      <c r="C1876" t="s">
        <v>45</v>
      </c>
      <c r="D1876" t="s">
        <v>33</v>
      </c>
      <c r="E1876" t="s">
        <v>96</v>
      </c>
      <c r="F1876" t="s">
        <v>96</v>
      </c>
      <c r="G1876" t="s">
        <v>96</v>
      </c>
      <c r="H1876">
        <v>2029</v>
      </c>
      <c r="I1876" t="s">
        <v>96</v>
      </c>
      <c r="J1876" t="s">
        <v>3112</v>
      </c>
      <c r="K1876" t="s">
        <v>96</v>
      </c>
      <c r="L1876" t="s">
        <v>96</v>
      </c>
      <c r="M1876">
        <v>4463.3507959389035</v>
      </c>
      <c r="O1876" s="12" t="str">
        <f t="shared" si="72"/>
        <v>MXC</v>
      </c>
      <c r="P1876" s="12" t="str">
        <f t="shared" si="73"/>
        <v>EN_ZC</v>
      </c>
    </row>
    <row r="1877" spans="1:16" x14ac:dyDescent="0.35">
      <c r="A1877" t="s">
        <v>2383</v>
      </c>
      <c r="B1877" t="s">
        <v>77</v>
      </c>
      <c r="C1877" t="s">
        <v>45</v>
      </c>
      <c r="D1877" t="s">
        <v>33</v>
      </c>
      <c r="E1877" t="s">
        <v>96</v>
      </c>
      <c r="F1877" t="s">
        <v>96</v>
      </c>
      <c r="G1877" t="s">
        <v>96</v>
      </c>
      <c r="H1877">
        <v>2030</v>
      </c>
      <c r="I1877" t="s">
        <v>96</v>
      </c>
      <c r="J1877" t="s">
        <v>3112</v>
      </c>
      <c r="K1877" t="s">
        <v>96</v>
      </c>
      <c r="L1877" t="s">
        <v>96</v>
      </c>
      <c r="M1877">
        <v>4406.984668908347</v>
      </c>
      <c r="O1877" s="12" t="str">
        <f t="shared" si="72"/>
        <v>MXC</v>
      </c>
      <c r="P1877" s="12" t="str">
        <f t="shared" si="73"/>
        <v>EN_ZC</v>
      </c>
    </row>
    <row r="1878" spans="1:16" x14ac:dyDescent="0.35">
      <c r="A1878" t="s">
        <v>2383</v>
      </c>
      <c r="B1878" t="s">
        <v>77</v>
      </c>
      <c r="C1878" t="s">
        <v>45</v>
      </c>
      <c r="D1878" t="s">
        <v>33</v>
      </c>
      <c r="E1878" t="s">
        <v>96</v>
      </c>
      <c r="F1878" t="s">
        <v>96</v>
      </c>
      <c r="G1878" t="s">
        <v>96</v>
      </c>
      <c r="H1878">
        <v>2031</v>
      </c>
      <c r="I1878" t="s">
        <v>96</v>
      </c>
      <c r="J1878" t="s">
        <v>3112</v>
      </c>
      <c r="K1878" t="s">
        <v>96</v>
      </c>
      <c r="L1878" t="s">
        <v>96</v>
      </c>
      <c r="M1878">
        <v>4350.9058681262732</v>
      </c>
      <c r="O1878" s="12" t="str">
        <f t="shared" si="72"/>
        <v>MXC</v>
      </c>
      <c r="P1878" s="12" t="str">
        <f t="shared" si="73"/>
        <v>EN_ZC</v>
      </c>
    </row>
    <row r="1879" spans="1:16" x14ac:dyDescent="0.35">
      <c r="A1879" t="s">
        <v>2383</v>
      </c>
      <c r="B1879" t="s">
        <v>77</v>
      </c>
      <c r="C1879" t="s">
        <v>45</v>
      </c>
      <c r="D1879" t="s">
        <v>33</v>
      </c>
      <c r="E1879" t="s">
        <v>96</v>
      </c>
      <c r="F1879" t="s">
        <v>96</v>
      </c>
      <c r="G1879" t="s">
        <v>96</v>
      </c>
      <c r="H1879">
        <v>2032</v>
      </c>
      <c r="I1879" t="s">
        <v>96</v>
      </c>
      <c r="J1879" t="s">
        <v>3112</v>
      </c>
      <c r="K1879" t="s">
        <v>96</v>
      </c>
      <c r="L1879" t="s">
        <v>96</v>
      </c>
      <c r="M1879">
        <v>4295.0021143411386</v>
      </c>
      <c r="O1879" s="12" t="str">
        <f t="shared" si="72"/>
        <v>MXC</v>
      </c>
      <c r="P1879" s="12" t="str">
        <f t="shared" si="73"/>
        <v>EN_ZC</v>
      </c>
    </row>
    <row r="1880" spans="1:16" x14ac:dyDescent="0.35">
      <c r="A1880" t="s">
        <v>2383</v>
      </c>
      <c r="B1880" t="s">
        <v>77</v>
      </c>
      <c r="C1880" t="s">
        <v>45</v>
      </c>
      <c r="D1880" t="s">
        <v>33</v>
      </c>
      <c r="E1880" t="s">
        <v>96</v>
      </c>
      <c r="F1880" t="s">
        <v>96</v>
      </c>
      <c r="G1880" t="s">
        <v>96</v>
      </c>
      <c r="H1880">
        <v>2033</v>
      </c>
      <c r="I1880" t="s">
        <v>96</v>
      </c>
      <c r="J1880" t="s">
        <v>3112</v>
      </c>
      <c r="K1880" t="s">
        <v>96</v>
      </c>
      <c r="L1880" t="s">
        <v>96</v>
      </c>
      <c r="M1880">
        <v>4241.6131188533618</v>
      </c>
      <c r="O1880" s="12" t="str">
        <f t="shared" si="72"/>
        <v>MXC</v>
      </c>
      <c r="P1880" s="12" t="str">
        <f t="shared" si="73"/>
        <v>EN_ZC</v>
      </c>
    </row>
    <row r="1881" spans="1:16" x14ac:dyDescent="0.35">
      <c r="A1881" t="s">
        <v>2383</v>
      </c>
      <c r="B1881" t="s">
        <v>77</v>
      </c>
      <c r="C1881" t="s">
        <v>45</v>
      </c>
      <c r="D1881" t="s">
        <v>33</v>
      </c>
      <c r="E1881" t="s">
        <v>96</v>
      </c>
      <c r="F1881" t="s">
        <v>96</v>
      </c>
      <c r="G1881" t="s">
        <v>96</v>
      </c>
      <c r="H1881">
        <v>2034</v>
      </c>
      <c r="I1881" t="s">
        <v>96</v>
      </c>
      <c r="J1881" t="s">
        <v>3112</v>
      </c>
      <c r="K1881" t="s">
        <v>96</v>
      </c>
      <c r="L1881" t="s">
        <v>96</v>
      </c>
      <c r="M1881">
        <v>4188.9092834511175</v>
      </c>
      <c r="O1881" s="12" t="str">
        <f t="shared" si="72"/>
        <v>MXC</v>
      </c>
      <c r="P1881" s="12" t="str">
        <f t="shared" si="73"/>
        <v>EN_ZC</v>
      </c>
    </row>
    <row r="1882" spans="1:16" x14ac:dyDescent="0.35">
      <c r="A1882" t="s">
        <v>2383</v>
      </c>
      <c r="B1882" t="s">
        <v>77</v>
      </c>
      <c r="C1882" t="s">
        <v>45</v>
      </c>
      <c r="D1882" t="s">
        <v>33</v>
      </c>
      <c r="E1882" t="s">
        <v>96</v>
      </c>
      <c r="F1882" t="s">
        <v>96</v>
      </c>
      <c r="G1882" t="s">
        <v>96</v>
      </c>
      <c r="H1882">
        <v>2035</v>
      </c>
      <c r="I1882" t="s">
        <v>96</v>
      </c>
      <c r="J1882" t="s">
        <v>3112</v>
      </c>
      <c r="K1882" t="s">
        <v>96</v>
      </c>
      <c r="L1882" t="s">
        <v>96</v>
      </c>
      <c r="M1882">
        <v>4133.6199626496991</v>
      </c>
      <c r="O1882" s="12" t="str">
        <f t="shared" si="72"/>
        <v>MXC</v>
      </c>
      <c r="P1882" s="12" t="str">
        <f t="shared" si="73"/>
        <v>EN_ZC</v>
      </c>
    </row>
    <row r="1883" spans="1:16" x14ac:dyDescent="0.35">
      <c r="A1883" t="s">
        <v>2383</v>
      </c>
      <c r="B1883" t="s">
        <v>77</v>
      </c>
      <c r="C1883" t="s">
        <v>45</v>
      </c>
      <c r="D1883" t="s">
        <v>33</v>
      </c>
      <c r="E1883" t="s">
        <v>96</v>
      </c>
      <c r="F1883" t="s">
        <v>96</v>
      </c>
      <c r="G1883" t="s">
        <v>96</v>
      </c>
      <c r="H1883">
        <v>2036</v>
      </c>
      <c r="I1883" t="s">
        <v>96</v>
      </c>
      <c r="J1883" t="s">
        <v>3112</v>
      </c>
      <c r="K1883" t="s">
        <v>96</v>
      </c>
      <c r="L1883" t="s">
        <v>96</v>
      </c>
      <c r="M1883">
        <v>4080.9917157851337</v>
      </c>
      <c r="O1883" s="12" t="str">
        <f t="shared" si="72"/>
        <v>MXC</v>
      </c>
      <c r="P1883" s="12" t="str">
        <f t="shared" si="73"/>
        <v>EN_ZC</v>
      </c>
    </row>
    <row r="1884" spans="1:16" x14ac:dyDescent="0.35">
      <c r="A1884" t="s">
        <v>2383</v>
      </c>
      <c r="B1884" t="s">
        <v>77</v>
      </c>
      <c r="C1884" t="s">
        <v>45</v>
      </c>
      <c r="D1884" t="s">
        <v>33</v>
      </c>
      <c r="E1884" t="s">
        <v>96</v>
      </c>
      <c r="F1884" t="s">
        <v>96</v>
      </c>
      <c r="G1884" t="s">
        <v>96</v>
      </c>
      <c r="H1884">
        <v>2037</v>
      </c>
      <c r="I1884" t="s">
        <v>96</v>
      </c>
      <c r="J1884" t="s">
        <v>3112</v>
      </c>
      <c r="K1884" t="s">
        <v>96</v>
      </c>
      <c r="L1884" t="s">
        <v>96</v>
      </c>
      <c r="M1884">
        <v>4029.2280965600849</v>
      </c>
      <c r="O1884" s="12" t="str">
        <f t="shared" si="72"/>
        <v>MXC</v>
      </c>
      <c r="P1884" s="12" t="str">
        <f t="shared" si="73"/>
        <v>EN_ZC</v>
      </c>
    </row>
    <row r="1885" spans="1:16" x14ac:dyDescent="0.35">
      <c r="A1885" t="s">
        <v>2383</v>
      </c>
      <c r="B1885" t="s">
        <v>77</v>
      </c>
      <c r="C1885" t="s">
        <v>45</v>
      </c>
      <c r="D1885" t="s">
        <v>33</v>
      </c>
      <c r="E1885" t="s">
        <v>96</v>
      </c>
      <c r="F1885" t="s">
        <v>96</v>
      </c>
      <c r="G1885" t="s">
        <v>96</v>
      </c>
      <c r="H1885">
        <v>2038</v>
      </c>
      <c r="I1885" t="s">
        <v>96</v>
      </c>
      <c r="J1885" t="s">
        <v>3112</v>
      </c>
      <c r="K1885" t="s">
        <v>96</v>
      </c>
      <c r="L1885" t="s">
        <v>96</v>
      </c>
      <c r="M1885">
        <v>3979.2755106558011</v>
      </c>
      <c r="O1885" s="12" t="str">
        <f t="shared" si="72"/>
        <v>MXC</v>
      </c>
      <c r="P1885" s="12" t="str">
        <f t="shared" si="73"/>
        <v>EN_ZC</v>
      </c>
    </row>
    <row r="1886" spans="1:16" x14ac:dyDescent="0.35">
      <c r="A1886" t="s">
        <v>2383</v>
      </c>
      <c r="B1886" t="s">
        <v>77</v>
      </c>
      <c r="C1886" t="s">
        <v>45</v>
      </c>
      <c r="D1886" t="s">
        <v>33</v>
      </c>
      <c r="E1886" t="s">
        <v>96</v>
      </c>
      <c r="F1886" t="s">
        <v>96</v>
      </c>
      <c r="G1886" t="s">
        <v>96</v>
      </c>
      <c r="H1886">
        <v>2039</v>
      </c>
      <c r="I1886" t="s">
        <v>96</v>
      </c>
      <c r="J1886" t="s">
        <v>3112</v>
      </c>
      <c r="K1886" t="s">
        <v>96</v>
      </c>
      <c r="L1886" t="s">
        <v>96</v>
      </c>
      <c r="M1886">
        <v>3928.9127119063155</v>
      </c>
      <c r="O1886" s="12" t="str">
        <f t="shared" si="72"/>
        <v>MXC</v>
      </c>
      <c r="P1886" s="12" t="str">
        <f t="shared" si="73"/>
        <v>EN_ZC</v>
      </c>
    </row>
    <row r="1887" spans="1:16" x14ac:dyDescent="0.35">
      <c r="A1887" t="s">
        <v>2383</v>
      </c>
      <c r="B1887" t="s">
        <v>77</v>
      </c>
      <c r="C1887" t="s">
        <v>45</v>
      </c>
      <c r="D1887" t="s">
        <v>33</v>
      </c>
      <c r="E1887" t="s">
        <v>96</v>
      </c>
      <c r="F1887" t="s">
        <v>96</v>
      </c>
      <c r="G1887" t="s">
        <v>96</v>
      </c>
      <c r="H1887">
        <v>2040</v>
      </c>
      <c r="I1887" t="s">
        <v>96</v>
      </c>
      <c r="J1887" t="s">
        <v>3112</v>
      </c>
      <c r="K1887" t="s">
        <v>96</v>
      </c>
      <c r="L1887" t="s">
        <v>96</v>
      </c>
      <c r="M1887">
        <v>3880.2455738319759</v>
      </c>
      <c r="O1887" s="12" t="str">
        <f t="shared" si="72"/>
        <v>MXC</v>
      </c>
      <c r="P1887" s="12" t="str">
        <f t="shared" si="73"/>
        <v>EN_ZC</v>
      </c>
    </row>
    <row r="1888" spans="1:16" x14ac:dyDescent="0.35">
      <c r="A1888" t="s">
        <v>2383</v>
      </c>
      <c r="B1888" t="s">
        <v>77</v>
      </c>
      <c r="C1888" t="s">
        <v>45</v>
      </c>
      <c r="D1888" t="s">
        <v>33</v>
      </c>
      <c r="E1888" t="s">
        <v>96</v>
      </c>
      <c r="F1888" t="s">
        <v>96</v>
      </c>
      <c r="G1888" t="s">
        <v>96</v>
      </c>
      <c r="H1888">
        <v>2041</v>
      </c>
      <c r="I1888" t="s">
        <v>96</v>
      </c>
      <c r="J1888" t="s">
        <v>3112</v>
      </c>
      <c r="K1888" t="s">
        <v>96</v>
      </c>
      <c r="L1888" t="s">
        <v>96</v>
      </c>
      <c r="M1888">
        <v>3832.7440921955204</v>
      </c>
      <c r="O1888" s="12" t="str">
        <f t="shared" si="72"/>
        <v>MXC</v>
      </c>
      <c r="P1888" s="12" t="str">
        <f t="shared" si="73"/>
        <v>EN_ZC</v>
      </c>
    </row>
    <row r="1889" spans="1:16" x14ac:dyDescent="0.35">
      <c r="A1889" t="s">
        <v>2383</v>
      </c>
      <c r="B1889" t="s">
        <v>77</v>
      </c>
      <c r="C1889" t="s">
        <v>45</v>
      </c>
      <c r="D1889" t="s">
        <v>33</v>
      </c>
      <c r="E1889" t="s">
        <v>96</v>
      </c>
      <c r="F1889" t="s">
        <v>96</v>
      </c>
      <c r="G1889" t="s">
        <v>96</v>
      </c>
      <c r="H1889">
        <v>2042</v>
      </c>
      <c r="I1889" t="s">
        <v>96</v>
      </c>
      <c r="J1889" t="s">
        <v>3112</v>
      </c>
      <c r="K1889" t="s">
        <v>96</v>
      </c>
      <c r="L1889" t="s">
        <v>96</v>
      </c>
      <c r="M1889">
        <v>3782.4767740376801</v>
      </c>
      <c r="O1889" s="12" t="str">
        <f t="shared" si="72"/>
        <v>MXC</v>
      </c>
      <c r="P1889" s="12" t="str">
        <f t="shared" si="73"/>
        <v>EN_ZC</v>
      </c>
    </row>
    <row r="1890" spans="1:16" x14ac:dyDescent="0.35">
      <c r="A1890" t="s">
        <v>2383</v>
      </c>
      <c r="B1890" t="s">
        <v>77</v>
      </c>
      <c r="C1890" t="s">
        <v>45</v>
      </c>
      <c r="D1890" t="s">
        <v>33</v>
      </c>
      <c r="E1890" t="s">
        <v>96</v>
      </c>
      <c r="F1890" t="s">
        <v>96</v>
      </c>
      <c r="G1890" t="s">
        <v>96</v>
      </c>
      <c r="H1890">
        <v>2043</v>
      </c>
      <c r="I1890" t="s">
        <v>96</v>
      </c>
      <c r="J1890" t="s">
        <v>3112</v>
      </c>
      <c r="K1890" t="s">
        <v>96</v>
      </c>
      <c r="L1890" t="s">
        <v>96</v>
      </c>
      <c r="M1890">
        <v>3737.996185014254</v>
      </c>
      <c r="O1890" s="12" t="str">
        <f t="shared" si="72"/>
        <v>MXC</v>
      </c>
      <c r="P1890" s="12" t="str">
        <f t="shared" si="73"/>
        <v>EN_ZC</v>
      </c>
    </row>
    <row r="1891" spans="1:16" x14ac:dyDescent="0.35">
      <c r="A1891" t="s">
        <v>2383</v>
      </c>
      <c r="B1891" t="s">
        <v>77</v>
      </c>
      <c r="C1891" t="s">
        <v>45</v>
      </c>
      <c r="D1891" t="s">
        <v>33</v>
      </c>
      <c r="E1891" t="s">
        <v>96</v>
      </c>
      <c r="F1891" t="s">
        <v>96</v>
      </c>
      <c r="G1891" t="s">
        <v>96</v>
      </c>
      <c r="H1891">
        <v>2044</v>
      </c>
      <c r="I1891" t="s">
        <v>96</v>
      </c>
      <c r="J1891" t="s">
        <v>3112</v>
      </c>
      <c r="K1891" t="s">
        <v>96</v>
      </c>
      <c r="L1891" t="s">
        <v>96</v>
      </c>
      <c r="M1891">
        <v>3688.82821765479</v>
      </c>
      <c r="O1891" s="12" t="str">
        <f t="shared" si="72"/>
        <v>MXC</v>
      </c>
      <c r="P1891" s="12" t="str">
        <f t="shared" si="73"/>
        <v>EN_ZC</v>
      </c>
    </row>
    <row r="1892" spans="1:16" x14ac:dyDescent="0.35">
      <c r="A1892" t="s">
        <v>2383</v>
      </c>
      <c r="B1892" t="s">
        <v>77</v>
      </c>
      <c r="C1892" t="s">
        <v>45</v>
      </c>
      <c r="D1892" t="s">
        <v>33</v>
      </c>
      <c r="E1892" t="s">
        <v>96</v>
      </c>
      <c r="F1892" t="s">
        <v>96</v>
      </c>
      <c r="G1892" t="s">
        <v>96</v>
      </c>
      <c r="H1892">
        <v>2045</v>
      </c>
      <c r="I1892" t="s">
        <v>96</v>
      </c>
      <c r="J1892" t="s">
        <v>3112</v>
      </c>
      <c r="K1892" t="s">
        <v>96</v>
      </c>
      <c r="L1892" t="s">
        <v>96</v>
      </c>
      <c r="M1892">
        <v>3644.5465455498938</v>
      </c>
      <c r="O1892" s="12" t="str">
        <f t="shared" si="72"/>
        <v>MXC</v>
      </c>
      <c r="P1892" s="12" t="str">
        <f t="shared" si="73"/>
        <v>EN_ZC</v>
      </c>
    </row>
    <row r="1893" spans="1:16" x14ac:dyDescent="0.35">
      <c r="A1893" t="s">
        <v>2383</v>
      </c>
      <c r="B1893" t="s">
        <v>77</v>
      </c>
      <c r="C1893" t="s">
        <v>45</v>
      </c>
      <c r="D1893" t="s">
        <v>33</v>
      </c>
      <c r="E1893" t="s">
        <v>96</v>
      </c>
      <c r="F1893" t="s">
        <v>96</v>
      </c>
      <c r="G1893" t="s">
        <v>96</v>
      </c>
      <c r="H1893">
        <v>2046</v>
      </c>
      <c r="I1893" t="s">
        <v>96</v>
      </c>
      <c r="J1893" t="s">
        <v>3112</v>
      </c>
      <c r="K1893" t="s">
        <v>96</v>
      </c>
      <c r="L1893" t="s">
        <v>96</v>
      </c>
      <c r="M1893">
        <v>3596.4827904246408</v>
      </c>
      <c r="O1893" s="12" t="str">
        <f t="shared" si="72"/>
        <v>MXC</v>
      </c>
      <c r="P1893" s="12" t="str">
        <f t="shared" si="73"/>
        <v>EN_ZC</v>
      </c>
    </row>
    <row r="1894" spans="1:16" x14ac:dyDescent="0.35">
      <c r="A1894" t="s">
        <v>2383</v>
      </c>
      <c r="B1894" t="s">
        <v>77</v>
      </c>
      <c r="C1894" t="s">
        <v>45</v>
      </c>
      <c r="D1894" t="s">
        <v>33</v>
      </c>
      <c r="E1894" t="s">
        <v>96</v>
      </c>
      <c r="F1894" t="s">
        <v>96</v>
      </c>
      <c r="G1894" t="s">
        <v>96</v>
      </c>
      <c r="H1894">
        <v>2047</v>
      </c>
      <c r="I1894" t="s">
        <v>96</v>
      </c>
      <c r="J1894" t="s">
        <v>3112</v>
      </c>
      <c r="K1894" t="s">
        <v>96</v>
      </c>
      <c r="L1894" t="s">
        <v>96</v>
      </c>
      <c r="M1894">
        <v>3551.8099148655847</v>
      </c>
      <c r="O1894" s="12" t="str">
        <f t="shared" si="72"/>
        <v>MXC</v>
      </c>
      <c r="P1894" s="12" t="str">
        <f t="shared" si="73"/>
        <v>EN_ZC</v>
      </c>
    </row>
    <row r="1895" spans="1:16" x14ac:dyDescent="0.35">
      <c r="A1895" t="s">
        <v>2383</v>
      </c>
      <c r="B1895" t="s">
        <v>77</v>
      </c>
      <c r="C1895" t="s">
        <v>45</v>
      </c>
      <c r="D1895" t="s">
        <v>33</v>
      </c>
      <c r="E1895" t="s">
        <v>96</v>
      </c>
      <c r="F1895" t="s">
        <v>96</v>
      </c>
      <c r="G1895" t="s">
        <v>96</v>
      </c>
      <c r="H1895">
        <v>2048</v>
      </c>
      <c r="I1895" t="s">
        <v>96</v>
      </c>
      <c r="J1895" t="s">
        <v>3112</v>
      </c>
      <c r="K1895" t="s">
        <v>96</v>
      </c>
      <c r="L1895" t="s">
        <v>96</v>
      </c>
      <c r="M1895">
        <v>3507.1522890061115</v>
      </c>
      <c r="O1895" s="12" t="str">
        <f t="shared" si="72"/>
        <v>MXC</v>
      </c>
      <c r="P1895" s="12" t="str">
        <f t="shared" si="73"/>
        <v>EN_ZC</v>
      </c>
    </row>
    <row r="1896" spans="1:16" x14ac:dyDescent="0.35">
      <c r="A1896" t="s">
        <v>2383</v>
      </c>
      <c r="B1896" t="s">
        <v>77</v>
      </c>
      <c r="C1896" t="s">
        <v>45</v>
      </c>
      <c r="D1896" t="s">
        <v>33</v>
      </c>
      <c r="E1896" t="s">
        <v>96</v>
      </c>
      <c r="F1896" t="s">
        <v>96</v>
      </c>
      <c r="G1896" t="s">
        <v>96</v>
      </c>
      <c r="H1896">
        <v>2049</v>
      </c>
      <c r="I1896" t="s">
        <v>96</v>
      </c>
      <c r="J1896" t="s">
        <v>3112</v>
      </c>
      <c r="K1896" t="s">
        <v>96</v>
      </c>
      <c r="L1896" t="s">
        <v>96</v>
      </c>
      <c r="M1896">
        <v>3462.5775456486786</v>
      </c>
      <c r="O1896" s="12" t="str">
        <f t="shared" si="72"/>
        <v>MXC</v>
      </c>
      <c r="P1896" s="12" t="str">
        <f t="shared" si="73"/>
        <v>EN_ZC</v>
      </c>
    </row>
    <row r="1897" spans="1:16" x14ac:dyDescent="0.35">
      <c r="A1897" t="s">
        <v>2383</v>
      </c>
      <c r="B1897" t="s">
        <v>77</v>
      </c>
      <c r="C1897" t="s">
        <v>45</v>
      </c>
      <c r="D1897" t="s">
        <v>33</v>
      </c>
      <c r="E1897" t="s">
        <v>96</v>
      </c>
      <c r="F1897" t="s">
        <v>96</v>
      </c>
      <c r="G1897" t="s">
        <v>96</v>
      </c>
      <c r="H1897">
        <v>2050</v>
      </c>
      <c r="I1897" t="s">
        <v>96</v>
      </c>
      <c r="J1897" t="s">
        <v>3112</v>
      </c>
      <c r="K1897" t="s">
        <v>96</v>
      </c>
      <c r="L1897" t="s">
        <v>96</v>
      </c>
      <c r="M1897">
        <v>3418.4017423991841</v>
      </c>
      <c r="O1897" s="12" t="str">
        <f t="shared" si="72"/>
        <v>MXC</v>
      </c>
      <c r="P1897" s="12" t="str">
        <f t="shared" si="73"/>
        <v>EN_ZC</v>
      </c>
    </row>
    <row r="1898" spans="1:16" x14ac:dyDescent="0.35">
      <c r="A1898" t="s">
        <v>2383</v>
      </c>
      <c r="B1898" t="s">
        <v>78</v>
      </c>
      <c r="C1898" t="s">
        <v>45</v>
      </c>
      <c r="D1898" t="s">
        <v>32</v>
      </c>
      <c r="E1898" t="s">
        <v>96</v>
      </c>
      <c r="F1898" t="s">
        <v>96</v>
      </c>
      <c r="G1898" t="s">
        <v>96</v>
      </c>
      <c r="H1898">
        <v>2010</v>
      </c>
      <c r="I1898" t="s">
        <v>96</v>
      </c>
      <c r="J1898" t="s">
        <v>2382</v>
      </c>
      <c r="K1898" t="s">
        <v>96</v>
      </c>
      <c r="L1898" t="s">
        <v>96</v>
      </c>
      <c r="M1898">
        <v>3011.6188355904783</v>
      </c>
      <c r="O1898" s="12" t="str">
        <f t="shared" si="72"/>
        <v>OAS</v>
      </c>
      <c r="P1898" s="12" t="str">
        <f t="shared" si="73"/>
        <v>EN_CO</v>
      </c>
    </row>
    <row r="1899" spans="1:16" x14ac:dyDescent="0.35">
      <c r="A1899" t="s">
        <v>2383</v>
      </c>
      <c r="B1899" t="s">
        <v>78</v>
      </c>
      <c r="C1899" t="s">
        <v>45</v>
      </c>
      <c r="D1899" t="s">
        <v>31</v>
      </c>
      <c r="E1899" t="s">
        <v>96</v>
      </c>
      <c r="F1899" t="s">
        <v>96</v>
      </c>
      <c r="G1899" t="s">
        <v>96</v>
      </c>
      <c r="H1899">
        <v>2010</v>
      </c>
      <c r="I1899" t="s">
        <v>96</v>
      </c>
      <c r="J1899" t="s">
        <v>2382</v>
      </c>
      <c r="K1899" t="s">
        <v>96</v>
      </c>
      <c r="L1899" t="s">
        <v>96</v>
      </c>
      <c r="M1899">
        <v>1496.0993831573144</v>
      </c>
      <c r="O1899" s="12" t="str">
        <f t="shared" si="72"/>
        <v>OAS</v>
      </c>
      <c r="P1899" s="12" t="str">
        <f t="shared" si="73"/>
        <v>EN_CO</v>
      </c>
    </row>
    <row r="1900" spans="1:16" x14ac:dyDescent="0.35">
      <c r="A1900" t="s">
        <v>2383</v>
      </c>
      <c r="B1900" t="s">
        <v>78</v>
      </c>
      <c r="C1900" t="s">
        <v>45</v>
      </c>
      <c r="D1900" t="s">
        <v>33</v>
      </c>
      <c r="E1900" t="s">
        <v>96</v>
      </c>
      <c r="F1900" t="s">
        <v>96</v>
      </c>
      <c r="G1900" t="s">
        <v>96</v>
      </c>
      <c r="H1900">
        <v>2019</v>
      </c>
      <c r="I1900" t="s">
        <v>96</v>
      </c>
      <c r="J1900" t="s">
        <v>3112</v>
      </c>
      <c r="K1900" t="s">
        <v>96</v>
      </c>
      <c r="L1900" t="s">
        <v>96</v>
      </c>
      <c r="M1900">
        <v>4629.788274226069</v>
      </c>
      <c r="O1900" s="12" t="str">
        <f t="shared" si="72"/>
        <v>OAS</v>
      </c>
      <c r="P1900" s="12" t="str">
        <f t="shared" si="73"/>
        <v>EN_ZC</v>
      </c>
    </row>
    <row r="1901" spans="1:16" x14ac:dyDescent="0.35">
      <c r="A1901" t="s">
        <v>2383</v>
      </c>
      <c r="B1901" t="s">
        <v>78</v>
      </c>
      <c r="C1901" t="s">
        <v>45</v>
      </c>
      <c r="D1901" t="s">
        <v>33</v>
      </c>
      <c r="E1901" t="s">
        <v>96</v>
      </c>
      <c r="F1901" t="s">
        <v>96</v>
      </c>
      <c r="G1901" t="s">
        <v>96</v>
      </c>
      <c r="H1901">
        <v>2020</v>
      </c>
      <c r="I1901" t="s">
        <v>96</v>
      </c>
      <c r="J1901" t="s">
        <v>3112</v>
      </c>
      <c r="K1901" t="s">
        <v>96</v>
      </c>
      <c r="L1901" t="s">
        <v>96</v>
      </c>
      <c r="M1901">
        <v>4577.8659924134381</v>
      </c>
      <c r="O1901" s="12" t="str">
        <f t="shared" si="72"/>
        <v>OAS</v>
      </c>
      <c r="P1901" s="12" t="str">
        <f t="shared" si="73"/>
        <v>EN_ZC</v>
      </c>
    </row>
    <row r="1902" spans="1:16" x14ac:dyDescent="0.35">
      <c r="A1902" t="s">
        <v>2383</v>
      </c>
      <c r="B1902" t="s">
        <v>78</v>
      </c>
      <c r="C1902" t="s">
        <v>45</v>
      </c>
      <c r="D1902" t="s">
        <v>33</v>
      </c>
      <c r="E1902" t="s">
        <v>96</v>
      </c>
      <c r="F1902" t="s">
        <v>96</v>
      </c>
      <c r="G1902" t="s">
        <v>96</v>
      </c>
      <c r="H1902">
        <v>2021</v>
      </c>
      <c r="I1902" t="s">
        <v>96</v>
      </c>
      <c r="J1902" t="s">
        <v>3112</v>
      </c>
      <c r="K1902" t="s">
        <v>96</v>
      </c>
      <c r="L1902" t="s">
        <v>96</v>
      </c>
      <c r="M1902">
        <v>4465.9344621995933</v>
      </c>
      <c r="O1902" s="12" t="str">
        <f t="shared" si="72"/>
        <v>OAS</v>
      </c>
      <c r="P1902" s="12" t="str">
        <f t="shared" si="73"/>
        <v>EN_ZC</v>
      </c>
    </row>
    <row r="1903" spans="1:16" x14ac:dyDescent="0.35">
      <c r="A1903" t="s">
        <v>2383</v>
      </c>
      <c r="B1903" t="s">
        <v>78</v>
      </c>
      <c r="C1903" t="s">
        <v>45</v>
      </c>
      <c r="D1903" t="s">
        <v>33</v>
      </c>
      <c r="E1903" t="s">
        <v>96</v>
      </c>
      <c r="F1903" t="s">
        <v>96</v>
      </c>
      <c r="G1903" t="s">
        <v>96</v>
      </c>
      <c r="H1903">
        <v>2022</v>
      </c>
      <c r="I1903" t="s">
        <v>96</v>
      </c>
      <c r="J1903" t="s">
        <v>3112</v>
      </c>
      <c r="K1903" t="s">
        <v>96</v>
      </c>
      <c r="L1903" t="s">
        <v>96</v>
      </c>
      <c r="M1903">
        <v>4396.378251079429</v>
      </c>
      <c r="O1903" s="12" t="str">
        <f t="shared" si="72"/>
        <v>OAS</v>
      </c>
      <c r="P1903" s="12" t="str">
        <f t="shared" si="73"/>
        <v>EN_ZC</v>
      </c>
    </row>
    <row r="1904" spans="1:16" x14ac:dyDescent="0.35">
      <c r="A1904" t="s">
        <v>2383</v>
      </c>
      <c r="B1904" t="s">
        <v>78</v>
      </c>
      <c r="C1904" t="s">
        <v>45</v>
      </c>
      <c r="D1904" t="s">
        <v>33</v>
      </c>
      <c r="E1904" t="s">
        <v>96</v>
      </c>
      <c r="F1904" t="s">
        <v>96</v>
      </c>
      <c r="G1904" t="s">
        <v>96</v>
      </c>
      <c r="H1904">
        <v>2023</v>
      </c>
      <c r="I1904" t="s">
        <v>96</v>
      </c>
      <c r="J1904" t="s">
        <v>3112</v>
      </c>
      <c r="K1904" t="s">
        <v>96</v>
      </c>
      <c r="L1904" t="s">
        <v>96</v>
      </c>
      <c r="M1904">
        <v>4347.1733732688417</v>
      </c>
      <c r="O1904" s="12" t="str">
        <f t="shared" si="72"/>
        <v>OAS</v>
      </c>
      <c r="P1904" s="12" t="str">
        <f t="shared" si="73"/>
        <v>EN_ZC</v>
      </c>
    </row>
    <row r="1905" spans="1:16" x14ac:dyDescent="0.35">
      <c r="A1905" t="s">
        <v>2383</v>
      </c>
      <c r="B1905" t="s">
        <v>78</v>
      </c>
      <c r="C1905" t="s">
        <v>45</v>
      </c>
      <c r="D1905" t="s">
        <v>33</v>
      </c>
      <c r="E1905" t="s">
        <v>96</v>
      </c>
      <c r="F1905" t="s">
        <v>96</v>
      </c>
      <c r="G1905" t="s">
        <v>96</v>
      </c>
      <c r="H1905">
        <v>2024</v>
      </c>
      <c r="I1905" t="s">
        <v>96</v>
      </c>
      <c r="J1905" t="s">
        <v>3112</v>
      </c>
      <c r="K1905" t="s">
        <v>96</v>
      </c>
      <c r="L1905" t="s">
        <v>96</v>
      </c>
      <c r="M1905">
        <v>4307.5347909470484</v>
      </c>
      <c r="O1905" s="12" t="str">
        <f t="shared" si="72"/>
        <v>OAS</v>
      </c>
      <c r="P1905" s="12" t="str">
        <f t="shared" si="73"/>
        <v>EN_ZC</v>
      </c>
    </row>
    <row r="1906" spans="1:16" x14ac:dyDescent="0.35">
      <c r="A1906" t="s">
        <v>2383</v>
      </c>
      <c r="B1906" t="s">
        <v>78</v>
      </c>
      <c r="C1906" t="s">
        <v>45</v>
      </c>
      <c r="D1906" t="s">
        <v>33</v>
      </c>
      <c r="E1906" t="s">
        <v>96</v>
      </c>
      <c r="F1906" t="s">
        <v>96</v>
      </c>
      <c r="G1906" t="s">
        <v>96</v>
      </c>
      <c r="H1906">
        <v>2025</v>
      </c>
      <c r="I1906" t="s">
        <v>96</v>
      </c>
      <c r="J1906" t="s">
        <v>3112</v>
      </c>
      <c r="K1906" t="s">
        <v>96</v>
      </c>
      <c r="L1906" t="s">
        <v>96</v>
      </c>
      <c r="M1906">
        <v>4275.2582120162961</v>
      </c>
      <c r="O1906" s="12" t="str">
        <f t="shared" si="72"/>
        <v>OAS</v>
      </c>
      <c r="P1906" s="12" t="str">
        <f t="shared" si="73"/>
        <v>EN_ZC</v>
      </c>
    </row>
    <row r="1907" spans="1:16" x14ac:dyDescent="0.35">
      <c r="A1907" t="s">
        <v>2383</v>
      </c>
      <c r="B1907" t="s">
        <v>78</v>
      </c>
      <c r="C1907" t="s">
        <v>45</v>
      </c>
      <c r="D1907" t="s">
        <v>33</v>
      </c>
      <c r="E1907" t="s">
        <v>96</v>
      </c>
      <c r="F1907" t="s">
        <v>96</v>
      </c>
      <c r="G1907" t="s">
        <v>96</v>
      </c>
      <c r="H1907">
        <v>2026</v>
      </c>
      <c r="I1907" t="s">
        <v>96</v>
      </c>
      <c r="J1907" t="s">
        <v>3112</v>
      </c>
      <c r="K1907" t="s">
        <v>96</v>
      </c>
      <c r="L1907" t="s">
        <v>96</v>
      </c>
      <c r="M1907">
        <v>4232.7161517006107</v>
      </c>
      <c r="O1907" s="12" t="str">
        <f t="shared" si="72"/>
        <v>OAS</v>
      </c>
      <c r="P1907" s="12" t="str">
        <f t="shared" si="73"/>
        <v>EN_ZC</v>
      </c>
    </row>
    <row r="1908" spans="1:16" x14ac:dyDescent="0.35">
      <c r="A1908" t="s">
        <v>2383</v>
      </c>
      <c r="B1908" t="s">
        <v>78</v>
      </c>
      <c r="C1908" t="s">
        <v>45</v>
      </c>
      <c r="D1908" t="s">
        <v>33</v>
      </c>
      <c r="E1908" t="s">
        <v>96</v>
      </c>
      <c r="F1908" t="s">
        <v>96</v>
      </c>
      <c r="G1908" t="s">
        <v>96</v>
      </c>
      <c r="H1908">
        <v>2027</v>
      </c>
      <c r="I1908" t="s">
        <v>96</v>
      </c>
      <c r="J1908" t="s">
        <v>3112</v>
      </c>
      <c r="K1908" t="s">
        <v>96</v>
      </c>
      <c r="L1908" t="s">
        <v>96</v>
      </c>
      <c r="M1908">
        <v>4181.8269424032578</v>
      </c>
      <c r="O1908" s="12" t="str">
        <f t="shared" si="72"/>
        <v>OAS</v>
      </c>
      <c r="P1908" s="12" t="str">
        <f t="shared" si="73"/>
        <v>EN_ZC</v>
      </c>
    </row>
    <row r="1909" spans="1:16" x14ac:dyDescent="0.35">
      <c r="A1909" t="s">
        <v>2383</v>
      </c>
      <c r="B1909" t="s">
        <v>78</v>
      </c>
      <c r="C1909" t="s">
        <v>45</v>
      </c>
      <c r="D1909" t="s">
        <v>33</v>
      </c>
      <c r="E1909" t="s">
        <v>96</v>
      </c>
      <c r="F1909" t="s">
        <v>96</v>
      </c>
      <c r="G1909" t="s">
        <v>96</v>
      </c>
      <c r="H1909">
        <v>2028</v>
      </c>
      <c r="I1909" t="s">
        <v>96</v>
      </c>
      <c r="J1909" t="s">
        <v>3112</v>
      </c>
      <c r="K1909" t="s">
        <v>96</v>
      </c>
      <c r="L1909" t="s">
        <v>96</v>
      </c>
      <c r="M1909">
        <v>4125.0119636456229</v>
      </c>
      <c r="O1909" s="12" t="str">
        <f t="shared" si="72"/>
        <v>OAS</v>
      </c>
      <c r="P1909" s="12" t="str">
        <f t="shared" si="73"/>
        <v>EN_ZC</v>
      </c>
    </row>
    <row r="1910" spans="1:16" x14ac:dyDescent="0.35">
      <c r="A1910" t="s">
        <v>2383</v>
      </c>
      <c r="B1910" t="s">
        <v>78</v>
      </c>
      <c r="C1910" t="s">
        <v>45</v>
      </c>
      <c r="D1910" t="s">
        <v>33</v>
      </c>
      <c r="E1910" t="s">
        <v>96</v>
      </c>
      <c r="F1910" t="s">
        <v>96</v>
      </c>
      <c r="G1910" t="s">
        <v>96</v>
      </c>
      <c r="H1910">
        <v>2029</v>
      </c>
      <c r="I1910" t="s">
        <v>96</v>
      </c>
      <c r="J1910" t="s">
        <v>3112</v>
      </c>
      <c r="K1910" t="s">
        <v>96</v>
      </c>
      <c r="L1910" t="s">
        <v>96</v>
      </c>
      <c r="M1910">
        <v>4066.7200727902273</v>
      </c>
      <c r="O1910" s="12" t="str">
        <f t="shared" si="72"/>
        <v>OAS</v>
      </c>
      <c r="P1910" s="12" t="str">
        <f t="shared" si="73"/>
        <v>EN_ZC</v>
      </c>
    </row>
    <row r="1911" spans="1:16" x14ac:dyDescent="0.35">
      <c r="A1911" t="s">
        <v>2383</v>
      </c>
      <c r="B1911" t="s">
        <v>78</v>
      </c>
      <c r="C1911" t="s">
        <v>45</v>
      </c>
      <c r="D1911" t="s">
        <v>33</v>
      </c>
      <c r="E1911" t="s">
        <v>96</v>
      </c>
      <c r="F1911" t="s">
        <v>96</v>
      </c>
      <c r="G1911" t="s">
        <v>96</v>
      </c>
      <c r="H1911">
        <v>2030</v>
      </c>
      <c r="I1911" t="s">
        <v>96</v>
      </c>
      <c r="J1911" t="s">
        <v>3112</v>
      </c>
      <c r="K1911" t="s">
        <v>96</v>
      </c>
      <c r="L1911" t="s">
        <v>96</v>
      </c>
      <c r="M1911">
        <v>4015.3628591853335</v>
      </c>
      <c r="O1911" s="12" t="str">
        <f t="shared" si="72"/>
        <v>OAS</v>
      </c>
      <c r="P1911" s="12" t="str">
        <f t="shared" si="73"/>
        <v>EN_ZC</v>
      </c>
    </row>
    <row r="1912" spans="1:16" x14ac:dyDescent="0.35">
      <c r="A1912" t="s">
        <v>2383</v>
      </c>
      <c r="B1912" t="s">
        <v>78</v>
      </c>
      <c r="C1912" t="s">
        <v>45</v>
      </c>
      <c r="D1912" t="s">
        <v>33</v>
      </c>
      <c r="E1912" t="s">
        <v>96</v>
      </c>
      <c r="F1912" t="s">
        <v>96</v>
      </c>
      <c r="G1912" t="s">
        <v>96</v>
      </c>
      <c r="H1912">
        <v>2031</v>
      </c>
      <c r="I1912" t="s">
        <v>96</v>
      </c>
      <c r="J1912" t="s">
        <v>3112</v>
      </c>
      <c r="K1912" t="s">
        <v>96</v>
      </c>
      <c r="L1912" t="s">
        <v>96</v>
      </c>
      <c r="M1912">
        <v>3964.2674389002036</v>
      </c>
      <c r="O1912" s="12" t="str">
        <f t="shared" si="72"/>
        <v>OAS</v>
      </c>
      <c r="P1912" s="12" t="str">
        <f t="shared" si="73"/>
        <v>EN_ZC</v>
      </c>
    </row>
    <row r="1913" spans="1:16" x14ac:dyDescent="0.35">
      <c r="A1913" t="s">
        <v>2383</v>
      </c>
      <c r="B1913" t="s">
        <v>78</v>
      </c>
      <c r="C1913" t="s">
        <v>45</v>
      </c>
      <c r="D1913" t="s">
        <v>33</v>
      </c>
      <c r="E1913" t="s">
        <v>96</v>
      </c>
      <c r="F1913" t="s">
        <v>96</v>
      </c>
      <c r="G1913" t="s">
        <v>96</v>
      </c>
      <c r="H1913">
        <v>2032</v>
      </c>
      <c r="I1913" t="s">
        <v>96</v>
      </c>
      <c r="J1913" t="s">
        <v>3112</v>
      </c>
      <c r="K1913" t="s">
        <v>96</v>
      </c>
      <c r="L1913" t="s">
        <v>96</v>
      </c>
      <c r="M1913">
        <v>3913.3315102545807</v>
      </c>
      <c r="O1913" s="12" t="str">
        <f t="shared" si="72"/>
        <v>OAS</v>
      </c>
      <c r="P1913" s="12" t="str">
        <f t="shared" si="73"/>
        <v>EN_ZC</v>
      </c>
    </row>
    <row r="1914" spans="1:16" x14ac:dyDescent="0.35">
      <c r="A1914" t="s">
        <v>2383</v>
      </c>
      <c r="B1914" t="s">
        <v>78</v>
      </c>
      <c r="C1914" t="s">
        <v>45</v>
      </c>
      <c r="D1914" t="s">
        <v>33</v>
      </c>
      <c r="E1914" t="s">
        <v>96</v>
      </c>
      <c r="F1914" t="s">
        <v>96</v>
      </c>
      <c r="G1914" t="s">
        <v>96</v>
      </c>
      <c r="H1914">
        <v>2033</v>
      </c>
      <c r="I1914" t="s">
        <v>96</v>
      </c>
      <c r="J1914" t="s">
        <v>3112</v>
      </c>
      <c r="K1914" t="s">
        <v>96</v>
      </c>
      <c r="L1914" t="s">
        <v>96</v>
      </c>
      <c r="M1914">
        <v>3864.686868696539</v>
      </c>
      <c r="O1914" s="12" t="str">
        <f t="shared" si="72"/>
        <v>OAS</v>
      </c>
      <c r="P1914" s="12" t="str">
        <f t="shared" si="73"/>
        <v>EN_ZC</v>
      </c>
    </row>
    <row r="1915" spans="1:16" x14ac:dyDescent="0.35">
      <c r="A1915" t="s">
        <v>2383</v>
      </c>
      <c r="B1915" t="s">
        <v>78</v>
      </c>
      <c r="C1915" t="s">
        <v>45</v>
      </c>
      <c r="D1915" t="s">
        <v>33</v>
      </c>
      <c r="E1915" t="s">
        <v>96</v>
      </c>
      <c r="F1915" t="s">
        <v>96</v>
      </c>
      <c r="G1915" t="s">
        <v>96</v>
      </c>
      <c r="H1915">
        <v>2034</v>
      </c>
      <c r="I1915" t="s">
        <v>96</v>
      </c>
      <c r="J1915" t="s">
        <v>3112</v>
      </c>
      <c r="K1915" t="s">
        <v>96</v>
      </c>
      <c r="L1915" t="s">
        <v>96</v>
      </c>
      <c r="M1915">
        <v>3816.6665012321773</v>
      </c>
      <c r="O1915" s="12" t="str">
        <f t="shared" si="72"/>
        <v>OAS</v>
      </c>
      <c r="P1915" s="12" t="str">
        <f t="shared" si="73"/>
        <v>EN_ZC</v>
      </c>
    </row>
    <row r="1916" spans="1:16" x14ac:dyDescent="0.35">
      <c r="A1916" t="s">
        <v>2383</v>
      </c>
      <c r="B1916" t="s">
        <v>78</v>
      </c>
      <c r="C1916" t="s">
        <v>45</v>
      </c>
      <c r="D1916" t="s">
        <v>33</v>
      </c>
      <c r="E1916" t="s">
        <v>96</v>
      </c>
      <c r="F1916" t="s">
        <v>96</v>
      </c>
      <c r="G1916" t="s">
        <v>96</v>
      </c>
      <c r="H1916">
        <v>2035</v>
      </c>
      <c r="I1916" t="s">
        <v>96</v>
      </c>
      <c r="J1916" t="s">
        <v>3112</v>
      </c>
      <c r="K1916" t="s">
        <v>96</v>
      </c>
      <c r="L1916" t="s">
        <v>96</v>
      </c>
      <c r="M1916">
        <v>3766.2904046639551</v>
      </c>
      <c r="O1916" s="12" t="str">
        <f t="shared" si="72"/>
        <v>OAS</v>
      </c>
      <c r="P1916" s="12" t="str">
        <f t="shared" si="73"/>
        <v>EN_ZC</v>
      </c>
    </row>
    <row r="1917" spans="1:16" x14ac:dyDescent="0.35">
      <c r="A1917" t="s">
        <v>2383</v>
      </c>
      <c r="B1917" t="s">
        <v>78</v>
      </c>
      <c r="C1917" t="s">
        <v>45</v>
      </c>
      <c r="D1917" t="s">
        <v>33</v>
      </c>
      <c r="E1917" t="s">
        <v>96</v>
      </c>
      <c r="F1917" t="s">
        <v>96</v>
      </c>
      <c r="G1917" t="s">
        <v>96</v>
      </c>
      <c r="H1917">
        <v>2036</v>
      </c>
      <c r="I1917" t="s">
        <v>96</v>
      </c>
      <c r="J1917" t="s">
        <v>3112</v>
      </c>
      <c r="K1917" t="s">
        <v>96</v>
      </c>
      <c r="L1917" t="s">
        <v>96</v>
      </c>
      <c r="M1917">
        <v>3718.3389086456227</v>
      </c>
      <c r="O1917" s="12" t="str">
        <f t="shared" si="72"/>
        <v>OAS</v>
      </c>
      <c r="P1917" s="12" t="str">
        <f t="shared" si="73"/>
        <v>EN_ZC</v>
      </c>
    </row>
    <row r="1918" spans="1:16" x14ac:dyDescent="0.35">
      <c r="A1918" t="s">
        <v>2383</v>
      </c>
      <c r="B1918" t="s">
        <v>78</v>
      </c>
      <c r="C1918" t="s">
        <v>45</v>
      </c>
      <c r="D1918" t="s">
        <v>33</v>
      </c>
      <c r="E1918" t="s">
        <v>96</v>
      </c>
      <c r="F1918" t="s">
        <v>96</v>
      </c>
      <c r="G1918" t="s">
        <v>96</v>
      </c>
      <c r="H1918">
        <v>2037</v>
      </c>
      <c r="I1918" t="s">
        <v>96</v>
      </c>
      <c r="J1918" t="s">
        <v>3112</v>
      </c>
      <c r="K1918" t="s">
        <v>96</v>
      </c>
      <c r="L1918" t="s">
        <v>96</v>
      </c>
      <c r="M1918">
        <v>3671.1752060896165</v>
      </c>
      <c r="O1918" s="12" t="str">
        <f t="shared" si="72"/>
        <v>OAS</v>
      </c>
      <c r="P1918" s="12" t="str">
        <f t="shared" si="73"/>
        <v>EN_ZC</v>
      </c>
    </row>
    <row r="1919" spans="1:16" x14ac:dyDescent="0.35">
      <c r="A1919" t="s">
        <v>2383</v>
      </c>
      <c r="B1919" t="s">
        <v>78</v>
      </c>
      <c r="C1919" t="s">
        <v>45</v>
      </c>
      <c r="D1919" t="s">
        <v>33</v>
      </c>
      <c r="E1919" t="s">
        <v>96</v>
      </c>
      <c r="F1919" t="s">
        <v>96</v>
      </c>
      <c r="G1919" t="s">
        <v>96</v>
      </c>
      <c r="H1919">
        <v>2038</v>
      </c>
      <c r="I1919" t="s">
        <v>96</v>
      </c>
      <c r="J1919" t="s">
        <v>3112</v>
      </c>
      <c r="K1919" t="s">
        <v>96</v>
      </c>
      <c r="L1919" t="s">
        <v>96</v>
      </c>
      <c r="M1919">
        <v>3625.6616013849257</v>
      </c>
      <c r="O1919" s="12" t="str">
        <f t="shared" si="72"/>
        <v>OAS</v>
      </c>
      <c r="P1919" s="12" t="str">
        <f t="shared" si="73"/>
        <v>EN_ZC</v>
      </c>
    </row>
    <row r="1920" spans="1:16" x14ac:dyDescent="0.35">
      <c r="A1920" t="s">
        <v>2383</v>
      </c>
      <c r="B1920" t="s">
        <v>78</v>
      </c>
      <c r="C1920" t="s">
        <v>45</v>
      </c>
      <c r="D1920" t="s">
        <v>33</v>
      </c>
      <c r="E1920" t="s">
        <v>96</v>
      </c>
      <c r="F1920" t="s">
        <v>96</v>
      </c>
      <c r="G1920" t="s">
        <v>96</v>
      </c>
      <c r="H1920">
        <v>2039</v>
      </c>
      <c r="I1920" t="s">
        <v>96</v>
      </c>
      <c r="J1920" t="s">
        <v>3112</v>
      </c>
      <c r="K1920" t="s">
        <v>96</v>
      </c>
      <c r="L1920" t="s">
        <v>96</v>
      </c>
      <c r="M1920">
        <v>3579.774236945012</v>
      </c>
      <c r="O1920" s="12" t="str">
        <f t="shared" si="72"/>
        <v>OAS</v>
      </c>
      <c r="P1920" s="12" t="str">
        <f t="shared" si="73"/>
        <v>EN_ZC</v>
      </c>
    </row>
    <row r="1921" spans="1:16" x14ac:dyDescent="0.35">
      <c r="A1921" t="s">
        <v>2383</v>
      </c>
      <c r="B1921" t="s">
        <v>78</v>
      </c>
      <c r="C1921" t="s">
        <v>45</v>
      </c>
      <c r="D1921" t="s">
        <v>33</v>
      </c>
      <c r="E1921" t="s">
        <v>96</v>
      </c>
      <c r="F1921" t="s">
        <v>96</v>
      </c>
      <c r="G1921" t="s">
        <v>96</v>
      </c>
      <c r="H1921">
        <v>2040</v>
      </c>
      <c r="I1921" t="s">
        <v>96</v>
      </c>
      <c r="J1921" t="s">
        <v>3112</v>
      </c>
      <c r="K1921" t="s">
        <v>96</v>
      </c>
      <c r="L1921" t="s">
        <v>96</v>
      </c>
      <c r="M1921">
        <v>3535.4318501731168</v>
      </c>
      <c r="O1921" s="12" t="str">
        <f t="shared" si="72"/>
        <v>OAS</v>
      </c>
      <c r="P1921" s="12" t="str">
        <f t="shared" si="73"/>
        <v>EN_ZC</v>
      </c>
    </row>
    <row r="1922" spans="1:16" x14ac:dyDescent="0.35">
      <c r="A1922" t="s">
        <v>2383</v>
      </c>
      <c r="B1922" t="s">
        <v>78</v>
      </c>
      <c r="C1922" t="s">
        <v>45</v>
      </c>
      <c r="D1922" t="s">
        <v>33</v>
      </c>
      <c r="E1922" t="s">
        <v>96</v>
      </c>
      <c r="F1922" t="s">
        <v>96</v>
      </c>
      <c r="G1922" t="s">
        <v>96</v>
      </c>
      <c r="H1922">
        <v>2041</v>
      </c>
      <c r="I1922" t="s">
        <v>96</v>
      </c>
      <c r="J1922" t="s">
        <v>3112</v>
      </c>
      <c r="K1922" t="s">
        <v>96</v>
      </c>
      <c r="L1922" t="s">
        <v>96</v>
      </c>
      <c r="M1922">
        <v>3492.1515350712843</v>
      </c>
      <c r="O1922" s="12" t="str">
        <f t="shared" si="72"/>
        <v>OAS</v>
      </c>
      <c r="P1922" s="12" t="str">
        <f t="shared" si="73"/>
        <v>EN_ZC</v>
      </c>
    </row>
    <row r="1923" spans="1:16" x14ac:dyDescent="0.35">
      <c r="A1923" t="s">
        <v>2383</v>
      </c>
      <c r="B1923" t="s">
        <v>78</v>
      </c>
      <c r="C1923" t="s">
        <v>45</v>
      </c>
      <c r="D1923" t="s">
        <v>33</v>
      </c>
      <c r="E1923" t="s">
        <v>96</v>
      </c>
      <c r="F1923" t="s">
        <v>96</v>
      </c>
      <c r="G1923" t="s">
        <v>96</v>
      </c>
      <c r="H1923">
        <v>2042</v>
      </c>
      <c r="I1923" t="s">
        <v>96</v>
      </c>
      <c r="J1923" t="s">
        <v>3112</v>
      </c>
      <c r="K1923" t="s">
        <v>96</v>
      </c>
      <c r="L1923" t="s">
        <v>96</v>
      </c>
      <c r="M1923">
        <v>3446.3511664460302</v>
      </c>
      <c r="O1923" s="12" t="str">
        <f t="shared" ref="O1923:O1986" si="74">LEFT(B1923,3)</f>
        <v>OAS</v>
      </c>
      <c r="P1923" s="12" t="str">
        <f t="shared" ref="P1923:P1986" si="75">LEFT(D1923,5)</f>
        <v>EN_ZC</v>
      </c>
    </row>
    <row r="1924" spans="1:16" x14ac:dyDescent="0.35">
      <c r="A1924" t="s">
        <v>2383</v>
      </c>
      <c r="B1924" t="s">
        <v>78</v>
      </c>
      <c r="C1924" t="s">
        <v>45</v>
      </c>
      <c r="D1924" t="s">
        <v>33</v>
      </c>
      <c r="E1924" t="s">
        <v>96</v>
      </c>
      <c r="F1924" t="s">
        <v>96</v>
      </c>
      <c r="G1924" t="s">
        <v>96</v>
      </c>
      <c r="H1924">
        <v>2043</v>
      </c>
      <c r="I1924" t="s">
        <v>96</v>
      </c>
      <c r="J1924" t="s">
        <v>3112</v>
      </c>
      <c r="K1924" t="s">
        <v>96</v>
      </c>
      <c r="L1924" t="s">
        <v>96</v>
      </c>
      <c r="M1924">
        <v>3405.823295682279</v>
      </c>
      <c r="O1924" s="12" t="str">
        <f t="shared" si="74"/>
        <v>OAS</v>
      </c>
      <c r="P1924" s="12" t="str">
        <f t="shared" si="75"/>
        <v>EN_ZC</v>
      </c>
    </row>
    <row r="1925" spans="1:16" x14ac:dyDescent="0.35">
      <c r="A1925" t="s">
        <v>2383</v>
      </c>
      <c r="B1925" t="s">
        <v>78</v>
      </c>
      <c r="C1925" t="s">
        <v>45</v>
      </c>
      <c r="D1925" t="s">
        <v>33</v>
      </c>
      <c r="E1925" t="s">
        <v>96</v>
      </c>
      <c r="F1925" t="s">
        <v>96</v>
      </c>
      <c r="G1925" t="s">
        <v>96</v>
      </c>
      <c r="H1925">
        <v>2044</v>
      </c>
      <c r="I1925" t="s">
        <v>96</v>
      </c>
      <c r="J1925" t="s">
        <v>3112</v>
      </c>
      <c r="K1925" t="s">
        <v>96</v>
      </c>
      <c r="L1925" t="s">
        <v>96</v>
      </c>
      <c r="M1925">
        <v>3361.0245852647695</v>
      </c>
      <c r="O1925" s="12" t="str">
        <f t="shared" si="74"/>
        <v>OAS</v>
      </c>
      <c r="P1925" s="12" t="str">
        <f t="shared" si="75"/>
        <v>EN_ZC</v>
      </c>
    </row>
    <row r="1926" spans="1:16" x14ac:dyDescent="0.35">
      <c r="A1926" t="s">
        <v>2383</v>
      </c>
      <c r="B1926" t="s">
        <v>78</v>
      </c>
      <c r="C1926" t="s">
        <v>45</v>
      </c>
      <c r="D1926" t="s">
        <v>33</v>
      </c>
      <c r="E1926" t="s">
        <v>96</v>
      </c>
      <c r="F1926" t="s">
        <v>96</v>
      </c>
      <c r="G1926" t="s">
        <v>96</v>
      </c>
      <c r="H1926">
        <v>2045</v>
      </c>
      <c r="I1926" t="s">
        <v>96</v>
      </c>
      <c r="J1926" t="s">
        <v>3112</v>
      </c>
      <c r="K1926" t="s">
        <v>96</v>
      </c>
      <c r="L1926" t="s">
        <v>96</v>
      </c>
      <c r="M1926">
        <v>3320.6779548879799</v>
      </c>
      <c r="O1926" s="12" t="str">
        <f t="shared" si="74"/>
        <v>OAS</v>
      </c>
      <c r="P1926" s="12" t="str">
        <f t="shared" si="75"/>
        <v>EN_ZC</v>
      </c>
    </row>
    <row r="1927" spans="1:16" x14ac:dyDescent="0.35">
      <c r="A1927" t="s">
        <v>2383</v>
      </c>
      <c r="B1927" t="s">
        <v>78</v>
      </c>
      <c r="C1927" t="s">
        <v>45</v>
      </c>
      <c r="D1927" t="s">
        <v>33</v>
      </c>
      <c r="E1927" t="s">
        <v>96</v>
      </c>
      <c r="F1927" t="s">
        <v>96</v>
      </c>
      <c r="G1927" t="s">
        <v>96</v>
      </c>
      <c r="H1927">
        <v>2046</v>
      </c>
      <c r="I1927" t="s">
        <v>96</v>
      </c>
      <c r="J1927" t="s">
        <v>3112</v>
      </c>
      <c r="K1927" t="s">
        <v>96</v>
      </c>
      <c r="L1927" t="s">
        <v>96</v>
      </c>
      <c r="M1927">
        <v>3276.8853321079405</v>
      </c>
      <c r="O1927" s="12" t="str">
        <f t="shared" si="74"/>
        <v>OAS</v>
      </c>
      <c r="P1927" s="12" t="str">
        <f t="shared" si="75"/>
        <v>EN_ZC</v>
      </c>
    </row>
    <row r="1928" spans="1:16" x14ac:dyDescent="0.35">
      <c r="A1928" t="s">
        <v>2383</v>
      </c>
      <c r="B1928" t="s">
        <v>78</v>
      </c>
      <c r="C1928" t="s">
        <v>45</v>
      </c>
      <c r="D1928" t="s">
        <v>33</v>
      </c>
      <c r="E1928" t="s">
        <v>96</v>
      </c>
      <c r="F1928" t="s">
        <v>96</v>
      </c>
      <c r="G1928" t="s">
        <v>96</v>
      </c>
      <c r="H1928">
        <v>2047</v>
      </c>
      <c r="I1928" t="s">
        <v>96</v>
      </c>
      <c r="J1928" t="s">
        <v>3112</v>
      </c>
      <c r="K1928" t="s">
        <v>96</v>
      </c>
      <c r="L1928" t="s">
        <v>96</v>
      </c>
      <c r="M1928">
        <v>3236.1822621384968</v>
      </c>
      <c r="O1928" s="12" t="str">
        <f t="shared" si="74"/>
        <v>OAS</v>
      </c>
      <c r="P1928" s="12" t="str">
        <f t="shared" si="75"/>
        <v>EN_ZC</v>
      </c>
    </row>
    <row r="1929" spans="1:16" x14ac:dyDescent="0.35">
      <c r="A1929" t="s">
        <v>2383</v>
      </c>
      <c r="B1929" t="s">
        <v>78</v>
      </c>
      <c r="C1929" t="s">
        <v>45</v>
      </c>
      <c r="D1929" t="s">
        <v>33</v>
      </c>
      <c r="E1929" t="s">
        <v>96</v>
      </c>
      <c r="F1929" t="s">
        <v>96</v>
      </c>
      <c r="G1929" t="s">
        <v>96</v>
      </c>
      <c r="H1929">
        <v>2048</v>
      </c>
      <c r="I1929" t="s">
        <v>96</v>
      </c>
      <c r="J1929" t="s">
        <v>3112</v>
      </c>
      <c r="K1929" t="s">
        <v>96</v>
      </c>
      <c r="L1929" t="s">
        <v>96</v>
      </c>
      <c r="M1929">
        <v>3195.4930867209791</v>
      </c>
      <c r="O1929" s="12" t="str">
        <f t="shared" si="74"/>
        <v>OAS</v>
      </c>
      <c r="P1929" s="12" t="str">
        <f t="shared" si="75"/>
        <v>EN_ZC</v>
      </c>
    </row>
    <row r="1930" spans="1:16" x14ac:dyDescent="0.35">
      <c r="A1930" t="s">
        <v>2383</v>
      </c>
      <c r="B1930" t="s">
        <v>78</v>
      </c>
      <c r="C1930" t="s">
        <v>45</v>
      </c>
      <c r="D1930" t="s">
        <v>33</v>
      </c>
      <c r="E1930" t="s">
        <v>96</v>
      </c>
      <c r="F1930" t="s">
        <v>96</v>
      </c>
      <c r="G1930" t="s">
        <v>96</v>
      </c>
      <c r="H1930">
        <v>2049</v>
      </c>
      <c r="I1930" t="s">
        <v>96</v>
      </c>
      <c r="J1930" t="s">
        <v>3112</v>
      </c>
      <c r="K1930" t="s">
        <v>96</v>
      </c>
      <c r="L1930" t="s">
        <v>96</v>
      </c>
      <c r="M1930">
        <v>3154.8794285437907</v>
      </c>
      <c r="O1930" s="12" t="str">
        <f t="shared" si="74"/>
        <v>OAS</v>
      </c>
      <c r="P1930" s="12" t="str">
        <f t="shared" si="75"/>
        <v>EN_ZC</v>
      </c>
    </row>
    <row r="1931" spans="1:16" x14ac:dyDescent="0.35">
      <c r="A1931" t="s">
        <v>2383</v>
      </c>
      <c r="B1931" t="s">
        <v>78</v>
      </c>
      <c r="C1931" t="s">
        <v>45</v>
      </c>
      <c r="D1931" t="s">
        <v>33</v>
      </c>
      <c r="E1931" t="s">
        <v>96</v>
      </c>
      <c r="F1931" t="s">
        <v>96</v>
      </c>
      <c r="G1931" t="s">
        <v>96</v>
      </c>
      <c r="H1931">
        <v>2050</v>
      </c>
      <c r="I1931" t="s">
        <v>96</v>
      </c>
      <c r="J1931" t="s">
        <v>3112</v>
      </c>
      <c r="K1931" t="s">
        <v>96</v>
      </c>
      <c r="L1931" t="s">
        <v>96</v>
      </c>
      <c r="M1931">
        <v>3114.6292591038687</v>
      </c>
      <c r="O1931" s="12" t="str">
        <f t="shared" si="74"/>
        <v>OAS</v>
      </c>
      <c r="P1931" s="12" t="str">
        <f t="shared" si="75"/>
        <v>EN_ZC</v>
      </c>
    </row>
    <row r="1932" spans="1:16" x14ac:dyDescent="0.35">
      <c r="A1932" t="s">
        <v>2383</v>
      </c>
      <c r="B1932" t="s">
        <v>79</v>
      </c>
      <c r="C1932" t="s">
        <v>45</v>
      </c>
      <c r="D1932" t="s">
        <v>32</v>
      </c>
      <c r="E1932" t="s">
        <v>96</v>
      </c>
      <c r="F1932" t="s">
        <v>96</v>
      </c>
      <c r="G1932" t="s">
        <v>96</v>
      </c>
      <c r="H1932">
        <v>2010</v>
      </c>
      <c r="I1932" t="s">
        <v>96</v>
      </c>
      <c r="J1932" t="s">
        <v>2382</v>
      </c>
      <c r="K1932" t="s">
        <v>96</v>
      </c>
      <c r="L1932" t="s">
        <v>96</v>
      </c>
      <c r="M1932">
        <v>3305.3446232591791</v>
      </c>
      <c r="O1932" s="12" t="str">
        <f t="shared" si="74"/>
        <v>RUS</v>
      </c>
      <c r="P1932" s="12" t="str">
        <f t="shared" si="75"/>
        <v>EN_CO</v>
      </c>
    </row>
    <row r="1933" spans="1:16" x14ac:dyDescent="0.35">
      <c r="A1933" t="s">
        <v>2383</v>
      </c>
      <c r="B1933" t="s">
        <v>79</v>
      </c>
      <c r="C1933" t="s">
        <v>45</v>
      </c>
      <c r="D1933" t="s">
        <v>31</v>
      </c>
      <c r="E1933" t="s">
        <v>96</v>
      </c>
      <c r="F1933" t="s">
        <v>96</v>
      </c>
      <c r="G1933" t="s">
        <v>96</v>
      </c>
      <c r="H1933">
        <v>2010</v>
      </c>
      <c r="I1933" t="s">
        <v>96</v>
      </c>
      <c r="J1933" t="s">
        <v>2382</v>
      </c>
      <c r="K1933" t="s">
        <v>96</v>
      </c>
      <c r="L1933" t="s">
        <v>96</v>
      </c>
      <c r="M1933">
        <v>1922.7327332676855</v>
      </c>
      <c r="O1933" s="12" t="str">
        <f t="shared" si="74"/>
        <v>RUS</v>
      </c>
      <c r="P1933" s="12" t="str">
        <f t="shared" si="75"/>
        <v>EN_CO</v>
      </c>
    </row>
    <row r="1934" spans="1:16" x14ac:dyDescent="0.35">
      <c r="A1934" t="s">
        <v>2383</v>
      </c>
      <c r="B1934" t="s">
        <v>79</v>
      </c>
      <c r="C1934" t="s">
        <v>45</v>
      </c>
      <c r="D1934" t="s">
        <v>33</v>
      </c>
      <c r="E1934" t="s">
        <v>96</v>
      </c>
      <c r="F1934" t="s">
        <v>96</v>
      </c>
      <c r="G1934" t="s">
        <v>96</v>
      </c>
      <c r="H1934">
        <v>2019</v>
      </c>
      <c r="I1934" t="s">
        <v>96</v>
      </c>
      <c r="J1934" t="s">
        <v>3112</v>
      </c>
      <c r="K1934" t="s">
        <v>96</v>
      </c>
      <c r="L1934" t="s">
        <v>96</v>
      </c>
      <c r="M1934">
        <v>5081.3355256629329</v>
      </c>
      <c r="O1934" s="12" t="str">
        <f t="shared" si="74"/>
        <v>RUS</v>
      </c>
      <c r="P1934" s="12" t="str">
        <f t="shared" si="75"/>
        <v>EN_ZC</v>
      </c>
    </row>
    <row r="1935" spans="1:16" x14ac:dyDescent="0.35">
      <c r="A1935" t="s">
        <v>2383</v>
      </c>
      <c r="B1935" t="s">
        <v>79</v>
      </c>
      <c r="C1935" t="s">
        <v>45</v>
      </c>
      <c r="D1935" t="s">
        <v>33</v>
      </c>
      <c r="E1935" t="s">
        <v>96</v>
      </c>
      <c r="F1935" t="s">
        <v>96</v>
      </c>
      <c r="G1935" t="s">
        <v>96</v>
      </c>
      <c r="H1935">
        <v>2020</v>
      </c>
      <c r="I1935" t="s">
        <v>96</v>
      </c>
      <c r="J1935" t="s">
        <v>3112</v>
      </c>
      <c r="K1935" t="s">
        <v>96</v>
      </c>
      <c r="L1935" t="s">
        <v>96</v>
      </c>
      <c r="M1935">
        <v>5024.3492188340078</v>
      </c>
      <c r="O1935" s="12" t="str">
        <f t="shared" si="74"/>
        <v>RUS</v>
      </c>
      <c r="P1935" s="12" t="str">
        <f t="shared" si="75"/>
        <v>EN_ZC</v>
      </c>
    </row>
    <row r="1936" spans="1:16" x14ac:dyDescent="0.35">
      <c r="A1936" t="s">
        <v>2383</v>
      </c>
      <c r="B1936" t="s">
        <v>79</v>
      </c>
      <c r="C1936" t="s">
        <v>45</v>
      </c>
      <c r="D1936" t="s">
        <v>33</v>
      </c>
      <c r="E1936" t="s">
        <v>96</v>
      </c>
      <c r="F1936" t="s">
        <v>96</v>
      </c>
      <c r="G1936" t="s">
        <v>96</v>
      </c>
      <c r="H1936">
        <v>2021</v>
      </c>
      <c r="I1936" t="s">
        <v>96</v>
      </c>
      <c r="J1936" t="s">
        <v>3112</v>
      </c>
      <c r="K1936" t="s">
        <v>96</v>
      </c>
      <c r="L1936" t="s">
        <v>96</v>
      </c>
      <c r="M1936">
        <v>4901.500909747454</v>
      </c>
      <c r="O1936" s="12" t="str">
        <f t="shared" si="74"/>
        <v>RUS</v>
      </c>
      <c r="P1936" s="12" t="str">
        <f t="shared" si="75"/>
        <v>EN_ZC</v>
      </c>
    </row>
    <row r="1937" spans="1:16" x14ac:dyDescent="0.35">
      <c r="A1937" t="s">
        <v>2383</v>
      </c>
      <c r="B1937" t="s">
        <v>79</v>
      </c>
      <c r="C1937" t="s">
        <v>45</v>
      </c>
      <c r="D1937" t="s">
        <v>33</v>
      </c>
      <c r="E1937" t="s">
        <v>96</v>
      </c>
      <c r="F1937" t="s">
        <v>96</v>
      </c>
      <c r="G1937" t="s">
        <v>96</v>
      </c>
      <c r="H1937">
        <v>2022</v>
      </c>
      <c r="I1937" t="s">
        <v>96</v>
      </c>
      <c r="J1937" t="s">
        <v>3112</v>
      </c>
      <c r="K1937" t="s">
        <v>96</v>
      </c>
      <c r="L1937" t="s">
        <v>96</v>
      </c>
      <c r="M1937">
        <v>4825.1608212464344</v>
      </c>
      <c r="O1937" s="12" t="str">
        <f t="shared" si="74"/>
        <v>RUS</v>
      </c>
      <c r="P1937" s="12" t="str">
        <f t="shared" si="75"/>
        <v>EN_ZC</v>
      </c>
    </row>
    <row r="1938" spans="1:16" x14ac:dyDescent="0.35">
      <c r="A1938" t="s">
        <v>2383</v>
      </c>
      <c r="B1938" t="s">
        <v>79</v>
      </c>
      <c r="C1938" t="s">
        <v>45</v>
      </c>
      <c r="D1938" t="s">
        <v>33</v>
      </c>
      <c r="E1938" t="s">
        <v>96</v>
      </c>
      <c r="F1938" t="s">
        <v>96</v>
      </c>
      <c r="G1938" t="s">
        <v>96</v>
      </c>
      <c r="H1938">
        <v>2023</v>
      </c>
      <c r="I1938" t="s">
        <v>96</v>
      </c>
      <c r="J1938" t="s">
        <v>3112</v>
      </c>
      <c r="K1938" t="s">
        <v>96</v>
      </c>
      <c r="L1938" t="s">
        <v>96</v>
      </c>
      <c r="M1938">
        <v>4771.1569491802466</v>
      </c>
      <c r="O1938" s="12" t="str">
        <f t="shared" si="74"/>
        <v>RUS</v>
      </c>
      <c r="P1938" s="12" t="str">
        <f t="shared" si="75"/>
        <v>EN_ZC</v>
      </c>
    </row>
    <row r="1939" spans="1:16" x14ac:dyDescent="0.35">
      <c r="A1939" t="s">
        <v>2383</v>
      </c>
      <c r="B1939" t="s">
        <v>79</v>
      </c>
      <c r="C1939" t="s">
        <v>45</v>
      </c>
      <c r="D1939" t="s">
        <v>33</v>
      </c>
      <c r="E1939" t="s">
        <v>96</v>
      </c>
      <c r="F1939" t="s">
        <v>96</v>
      </c>
      <c r="G1939" t="s">
        <v>96</v>
      </c>
      <c r="H1939">
        <v>2024</v>
      </c>
      <c r="I1939" t="s">
        <v>96</v>
      </c>
      <c r="J1939" t="s">
        <v>3112</v>
      </c>
      <c r="K1939" t="s">
        <v>96</v>
      </c>
      <c r="L1939" t="s">
        <v>96</v>
      </c>
      <c r="M1939">
        <v>4727.6523816690433</v>
      </c>
      <c r="O1939" s="12" t="str">
        <f t="shared" si="74"/>
        <v>RUS</v>
      </c>
      <c r="P1939" s="12" t="str">
        <f t="shared" si="75"/>
        <v>EN_ZC</v>
      </c>
    </row>
    <row r="1940" spans="1:16" x14ac:dyDescent="0.35">
      <c r="A1940" t="s">
        <v>2383</v>
      </c>
      <c r="B1940" t="s">
        <v>79</v>
      </c>
      <c r="C1940" t="s">
        <v>45</v>
      </c>
      <c r="D1940" t="s">
        <v>33</v>
      </c>
      <c r="E1940" t="s">
        <v>96</v>
      </c>
      <c r="F1940" t="s">
        <v>96</v>
      </c>
      <c r="G1940" t="s">
        <v>96</v>
      </c>
      <c r="H1940">
        <v>2025</v>
      </c>
      <c r="I1940" t="s">
        <v>96</v>
      </c>
      <c r="J1940" t="s">
        <v>3112</v>
      </c>
      <c r="K1940" t="s">
        <v>96</v>
      </c>
      <c r="L1940" t="s">
        <v>96</v>
      </c>
      <c r="M1940">
        <v>4692.2278401018366</v>
      </c>
      <c r="O1940" s="12" t="str">
        <f t="shared" si="74"/>
        <v>RUS</v>
      </c>
      <c r="P1940" s="12" t="str">
        <f t="shared" si="75"/>
        <v>EN_ZC</v>
      </c>
    </row>
    <row r="1941" spans="1:16" x14ac:dyDescent="0.35">
      <c r="A1941" t="s">
        <v>2383</v>
      </c>
      <c r="B1941" t="s">
        <v>79</v>
      </c>
      <c r="C1941" t="s">
        <v>45</v>
      </c>
      <c r="D1941" t="s">
        <v>33</v>
      </c>
      <c r="E1941" t="s">
        <v>96</v>
      </c>
      <c r="F1941" t="s">
        <v>96</v>
      </c>
      <c r="G1941" t="s">
        <v>96</v>
      </c>
      <c r="H1941">
        <v>2026</v>
      </c>
      <c r="I1941" t="s">
        <v>96</v>
      </c>
      <c r="J1941" t="s">
        <v>3112</v>
      </c>
      <c r="K1941" t="s">
        <v>96</v>
      </c>
      <c r="L1941" t="s">
        <v>96</v>
      </c>
      <c r="M1941">
        <v>4645.5366158788183</v>
      </c>
      <c r="O1941" s="12" t="str">
        <f t="shared" si="74"/>
        <v>RUS</v>
      </c>
      <c r="P1941" s="12" t="str">
        <f t="shared" si="75"/>
        <v>EN_ZC</v>
      </c>
    </row>
    <row r="1942" spans="1:16" x14ac:dyDescent="0.35">
      <c r="A1942" t="s">
        <v>2383</v>
      </c>
      <c r="B1942" t="s">
        <v>79</v>
      </c>
      <c r="C1942" t="s">
        <v>45</v>
      </c>
      <c r="D1942" t="s">
        <v>33</v>
      </c>
      <c r="E1942" t="s">
        <v>96</v>
      </c>
      <c r="F1942" t="s">
        <v>96</v>
      </c>
      <c r="G1942" t="s">
        <v>96</v>
      </c>
      <c r="H1942">
        <v>2027</v>
      </c>
      <c r="I1942" t="s">
        <v>96</v>
      </c>
      <c r="J1942" t="s">
        <v>3112</v>
      </c>
      <c r="K1942" t="s">
        <v>96</v>
      </c>
      <c r="L1942" t="s">
        <v>96</v>
      </c>
      <c r="M1942">
        <v>4589.684138020365</v>
      </c>
      <c r="O1942" s="12" t="str">
        <f t="shared" si="74"/>
        <v>RUS</v>
      </c>
      <c r="P1942" s="12" t="str">
        <f t="shared" si="75"/>
        <v>EN_ZC</v>
      </c>
    </row>
    <row r="1943" spans="1:16" x14ac:dyDescent="0.35">
      <c r="A1943" t="s">
        <v>2383</v>
      </c>
      <c r="B1943" t="s">
        <v>79</v>
      </c>
      <c r="C1943" t="s">
        <v>45</v>
      </c>
      <c r="D1943" t="s">
        <v>33</v>
      </c>
      <c r="E1943" t="s">
        <v>96</v>
      </c>
      <c r="F1943" t="s">
        <v>96</v>
      </c>
      <c r="G1943" t="s">
        <v>96</v>
      </c>
      <c r="H1943">
        <v>2028</v>
      </c>
      <c r="I1943" t="s">
        <v>96</v>
      </c>
      <c r="J1943" t="s">
        <v>3112</v>
      </c>
      <c r="K1943" t="s">
        <v>96</v>
      </c>
      <c r="L1943" t="s">
        <v>96</v>
      </c>
      <c r="M1943">
        <v>4527.3279452851339</v>
      </c>
      <c r="O1943" s="12" t="str">
        <f t="shared" si="74"/>
        <v>RUS</v>
      </c>
      <c r="P1943" s="12" t="str">
        <f t="shared" si="75"/>
        <v>EN_ZC</v>
      </c>
    </row>
    <row r="1944" spans="1:16" x14ac:dyDescent="0.35">
      <c r="A1944" t="s">
        <v>2383</v>
      </c>
      <c r="B1944" t="s">
        <v>79</v>
      </c>
      <c r="C1944" t="s">
        <v>45</v>
      </c>
      <c r="D1944" t="s">
        <v>33</v>
      </c>
      <c r="E1944" t="s">
        <v>96</v>
      </c>
      <c r="F1944" t="s">
        <v>96</v>
      </c>
      <c r="G1944" t="s">
        <v>96</v>
      </c>
      <c r="H1944">
        <v>2029</v>
      </c>
      <c r="I1944" t="s">
        <v>96</v>
      </c>
      <c r="J1944" t="s">
        <v>3112</v>
      </c>
      <c r="K1944" t="s">
        <v>96</v>
      </c>
      <c r="L1944" t="s">
        <v>96</v>
      </c>
      <c r="M1944">
        <v>4463.3507959389035</v>
      </c>
      <c r="O1944" s="12" t="str">
        <f t="shared" si="74"/>
        <v>RUS</v>
      </c>
      <c r="P1944" s="12" t="str">
        <f t="shared" si="75"/>
        <v>EN_ZC</v>
      </c>
    </row>
    <row r="1945" spans="1:16" x14ac:dyDescent="0.35">
      <c r="A1945" t="s">
        <v>2383</v>
      </c>
      <c r="B1945" t="s">
        <v>79</v>
      </c>
      <c r="C1945" t="s">
        <v>45</v>
      </c>
      <c r="D1945" t="s">
        <v>33</v>
      </c>
      <c r="E1945" t="s">
        <v>96</v>
      </c>
      <c r="F1945" t="s">
        <v>96</v>
      </c>
      <c r="G1945" t="s">
        <v>96</v>
      </c>
      <c r="H1945">
        <v>2030</v>
      </c>
      <c r="I1945" t="s">
        <v>96</v>
      </c>
      <c r="J1945" t="s">
        <v>3112</v>
      </c>
      <c r="K1945" t="s">
        <v>96</v>
      </c>
      <c r="L1945" t="s">
        <v>96</v>
      </c>
      <c r="M1945">
        <v>4406.984668908347</v>
      </c>
      <c r="O1945" s="12" t="str">
        <f t="shared" si="74"/>
        <v>RUS</v>
      </c>
      <c r="P1945" s="12" t="str">
        <f t="shared" si="75"/>
        <v>EN_ZC</v>
      </c>
    </row>
    <row r="1946" spans="1:16" x14ac:dyDescent="0.35">
      <c r="A1946" t="s">
        <v>2383</v>
      </c>
      <c r="B1946" t="s">
        <v>79</v>
      </c>
      <c r="C1946" t="s">
        <v>45</v>
      </c>
      <c r="D1946" t="s">
        <v>33</v>
      </c>
      <c r="E1946" t="s">
        <v>96</v>
      </c>
      <c r="F1946" t="s">
        <v>96</v>
      </c>
      <c r="G1946" t="s">
        <v>96</v>
      </c>
      <c r="H1946">
        <v>2031</v>
      </c>
      <c r="I1946" t="s">
        <v>96</v>
      </c>
      <c r="J1946" t="s">
        <v>3112</v>
      </c>
      <c r="K1946" t="s">
        <v>96</v>
      </c>
      <c r="L1946" t="s">
        <v>96</v>
      </c>
      <c r="M1946">
        <v>4350.9058681262732</v>
      </c>
      <c r="O1946" s="12" t="str">
        <f t="shared" si="74"/>
        <v>RUS</v>
      </c>
      <c r="P1946" s="12" t="str">
        <f t="shared" si="75"/>
        <v>EN_ZC</v>
      </c>
    </row>
    <row r="1947" spans="1:16" x14ac:dyDescent="0.35">
      <c r="A1947" t="s">
        <v>2383</v>
      </c>
      <c r="B1947" t="s">
        <v>79</v>
      </c>
      <c r="C1947" t="s">
        <v>45</v>
      </c>
      <c r="D1947" t="s">
        <v>33</v>
      </c>
      <c r="E1947" t="s">
        <v>96</v>
      </c>
      <c r="F1947" t="s">
        <v>96</v>
      </c>
      <c r="G1947" t="s">
        <v>96</v>
      </c>
      <c r="H1947">
        <v>2032</v>
      </c>
      <c r="I1947" t="s">
        <v>96</v>
      </c>
      <c r="J1947" t="s">
        <v>3112</v>
      </c>
      <c r="K1947" t="s">
        <v>96</v>
      </c>
      <c r="L1947" t="s">
        <v>96</v>
      </c>
      <c r="M1947">
        <v>4295.0021143411386</v>
      </c>
      <c r="O1947" s="12" t="str">
        <f t="shared" si="74"/>
        <v>RUS</v>
      </c>
      <c r="P1947" s="12" t="str">
        <f t="shared" si="75"/>
        <v>EN_ZC</v>
      </c>
    </row>
    <row r="1948" spans="1:16" x14ac:dyDescent="0.35">
      <c r="A1948" t="s">
        <v>2383</v>
      </c>
      <c r="B1948" t="s">
        <v>79</v>
      </c>
      <c r="C1948" t="s">
        <v>45</v>
      </c>
      <c r="D1948" t="s">
        <v>33</v>
      </c>
      <c r="E1948" t="s">
        <v>96</v>
      </c>
      <c r="F1948" t="s">
        <v>96</v>
      </c>
      <c r="G1948" t="s">
        <v>96</v>
      </c>
      <c r="H1948">
        <v>2033</v>
      </c>
      <c r="I1948" t="s">
        <v>96</v>
      </c>
      <c r="J1948" t="s">
        <v>3112</v>
      </c>
      <c r="K1948" t="s">
        <v>96</v>
      </c>
      <c r="L1948" t="s">
        <v>96</v>
      </c>
      <c r="M1948">
        <v>4241.6131188533618</v>
      </c>
      <c r="O1948" s="12" t="str">
        <f t="shared" si="74"/>
        <v>RUS</v>
      </c>
      <c r="P1948" s="12" t="str">
        <f t="shared" si="75"/>
        <v>EN_ZC</v>
      </c>
    </row>
    <row r="1949" spans="1:16" x14ac:dyDescent="0.35">
      <c r="A1949" t="s">
        <v>2383</v>
      </c>
      <c r="B1949" t="s">
        <v>79</v>
      </c>
      <c r="C1949" t="s">
        <v>45</v>
      </c>
      <c r="D1949" t="s">
        <v>33</v>
      </c>
      <c r="E1949" t="s">
        <v>96</v>
      </c>
      <c r="F1949" t="s">
        <v>96</v>
      </c>
      <c r="G1949" t="s">
        <v>96</v>
      </c>
      <c r="H1949">
        <v>2034</v>
      </c>
      <c r="I1949" t="s">
        <v>96</v>
      </c>
      <c r="J1949" t="s">
        <v>3112</v>
      </c>
      <c r="K1949" t="s">
        <v>96</v>
      </c>
      <c r="L1949" t="s">
        <v>96</v>
      </c>
      <c r="M1949">
        <v>4188.9092834511175</v>
      </c>
      <c r="O1949" s="12" t="str">
        <f t="shared" si="74"/>
        <v>RUS</v>
      </c>
      <c r="P1949" s="12" t="str">
        <f t="shared" si="75"/>
        <v>EN_ZC</v>
      </c>
    </row>
    <row r="1950" spans="1:16" x14ac:dyDescent="0.35">
      <c r="A1950" t="s">
        <v>2383</v>
      </c>
      <c r="B1950" t="s">
        <v>79</v>
      </c>
      <c r="C1950" t="s">
        <v>45</v>
      </c>
      <c r="D1950" t="s">
        <v>33</v>
      </c>
      <c r="E1950" t="s">
        <v>96</v>
      </c>
      <c r="F1950" t="s">
        <v>96</v>
      </c>
      <c r="G1950" t="s">
        <v>96</v>
      </c>
      <c r="H1950">
        <v>2035</v>
      </c>
      <c r="I1950" t="s">
        <v>96</v>
      </c>
      <c r="J1950" t="s">
        <v>3112</v>
      </c>
      <c r="K1950" t="s">
        <v>96</v>
      </c>
      <c r="L1950" t="s">
        <v>96</v>
      </c>
      <c r="M1950">
        <v>4133.6199626496991</v>
      </c>
      <c r="O1950" s="12" t="str">
        <f t="shared" si="74"/>
        <v>RUS</v>
      </c>
      <c r="P1950" s="12" t="str">
        <f t="shared" si="75"/>
        <v>EN_ZC</v>
      </c>
    </row>
    <row r="1951" spans="1:16" x14ac:dyDescent="0.35">
      <c r="A1951" t="s">
        <v>2383</v>
      </c>
      <c r="B1951" t="s">
        <v>79</v>
      </c>
      <c r="C1951" t="s">
        <v>45</v>
      </c>
      <c r="D1951" t="s">
        <v>33</v>
      </c>
      <c r="E1951" t="s">
        <v>96</v>
      </c>
      <c r="F1951" t="s">
        <v>96</v>
      </c>
      <c r="G1951" t="s">
        <v>96</v>
      </c>
      <c r="H1951">
        <v>2036</v>
      </c>
      <c r="I1951" t="s">
        <v>96</v>
      </c>
      <c r="J1951" t="s">
        <v>3112</v>
      </c>
      <c r="K1951" t="s">
        <v>96</v>
      </c>
      <c r="L1951" t="s">
        <v>96</v>
      </c>
      <c r="M1951">
        <v>4080.9917157851337</v>
      </c>
      <c r="O1951" s="12" t="str">
        <f t="shared" si="74"/>
        <v>RUS</v>
      </c>
      <c r="P1951" s="12" t="str">
        <f t="shared" si="75"/>
        <v>EN_ZC</v>
      </c>
    </row>
    <row r="1952" spans="1:16" x14ac:dyDescent="0.35">
      <c r="A1952" t="s">
        <v>2383</v>
      </c>
      <c r="B1952" t="s">
        <v>79</v>
      </c>
      <c r="C1952" t="s">
        <v>45</v>
      </c>
      <c r="D1952" t="s">
        <v>33</v>
      </c>
      <c r="E1952" t="s">
        <v>96</v>
      </c>
      <c r="F1952" t="s">
        <v>96</v>
      </c>
      <c r="G1952" t="s">
        <v>96</v>
      </c>
      <c r="H1952">
        <v>2037</v>
      </c>
      <c r="I1952" t="s">
        <v>96</v>
      </c>
      <c r="J1952" t="s">
        <v>3112</v>
      </c>
      <c r="K1952" t="s">
        <v>96</v>
      </c>
      <c r="L1952" t="s">
        <v>96</v>
      </c>
      <c r="M1952">
        <v>4029.2280965600849</v>
      </c>
      <c r="O1952" s="12" t="str">
        <f t="shared" si="74"/>
        <v>RUS</v>
      </c>
      <c r="P1952" s="12" t="str">
        <f t="shared" si="75"/>
        <v>EN_ZC</v>
      </c>
    </row>
    <row r="1953" spans="1:16" x14ac:dyDescent="0.35">
      <c r="A1953" t="s">
        <v>2383</v>
      </c>
      <c r="B1953" t="s">
        <v>79</v>
      </c>
      <c r="C1953" t="s">
        <v>45</v>
      </c>
      <c r="D1953" t="s">
        <v>33</v>
      </c>
      <c r="E1953" t="s">
        <v>96</v>
      </c>
      <c r="F1953" t="s">
        <v>96</v>
      </c>
      <c r="G1953" t="s">
        <v>96</v>
      </c>
      <c r="H1953">
        <v>2038</v>
      </c>
      <c r="I1953" t="s">
        <v>96</v>
      </c>
      <c r="J1953" t="s">
        <v>3112</v>
      </c>
      <c r="K1953" t="s">
        <v>96</v>
      </c>
      <c r="L1953" t="s">
        <v>96</v>
      </c>
      <c r="M1953">
        <v>3979.2755106558011</v>
      </c>
      <c r="O1953" s="12" t="str">
        <f t="shared" si="74"/>
        <v>RUS</v>
      </c>
      <c r="P1953" s="12" t="str">
        <f t="shared" si="75"/>
        <v>EN_ZC</v>
      </c>
    </row>
    <row r="1954" spans="1:16" x14ac:dyDescent="0.35">
      <c r="A1954" t="s">
        <v>2383</v>
      </c>
      <c r="B1954" t="s">
        <v>79</v>
      </c>
      <c r="C1954" t="s">
        <v>45</v>
      </c>
      <c r="D1954" t="s">
        <v>33</v>
      </c>
      <c r="E1954" t="s">
        <v>96</v>
      </c>
      <c r="F1954" t="s">
        <v>96</v>
      </c>
      <c r="G1954" t="s">
        <v>96</v>
      </c>
      <c r="H1954">
        <v>2039</v>
      </c>
      <c r="I1954" t="s">
        <v>96</v>
      </c>
      <c r="J1954" t="s">
        <v>3112</v>
      </c>
      <c r="K1954" t="s">
        <v>96</v>
      </c>
      <c r="L1954" t="s">
        <v>96</v>
      </c>
      <c r="M1954">
        <v>3928.9127119063155</v>
      </c>
      <c r="O1954" s="12" t="str">
        <f t="shared" si="74"/>
        <v>RUS</v>
      </c>
      <c r="P1954" s="12" t="str">
        <f t="shared" si="75"/>
        <v>EN_ZC</v>
      </c>
    </row>
    <row r="1955" spans="1:16" x14ac:dyDescent="0.35">
      <c r="A1955" t="s">
        <v>2383</v>
      </c>
      <c r="B1955" t="s">
        <v>79</v>
      </c>
      <c r="C1955" t="s">
        <v>45</v>
      </c>
      <c r="D1955" t="s">
        <v>33</v>
      </c>
      <c r="E1955" t="s">
        <v>96</v>
      </c>
      <c r="F1955" t="s">
        <v>96</v>
      </c>
      <c r="G1955" t="s">
        <v>96</v>
      </c>
      <c r="H1955">
        <v>2040</v>
      </c>
      <c r="I1955" t="s">
        <v>96</v>
      </c>
      <c r="J1955" t="s">
        <v>3112</v>
      </c>
      <c r="K1955" t="s">
        <v>96</v>
      </c>
      <c r="L1955" t="s">
        <v>96</v>
      </c>
      <c r="M1955">
        <v>3880.2455738319759</v>
      </c>
      <c r="O1955" s="12" t="str">
        <f t="shared" si="74"/>
        <v>RUS</v>
      </c>
      <c r="P1955" s="12" t="str">
        <f t="shared" si="75"/>
        <v>EN_ZC</v>
      </c>
    </row>
    <row r="1956" spans="1:16" x14ac:dyDescent="0.35">
      <c r="A1956" t="s">
        <v>2383</v>
      </c>
      <c r="B1956" t="s">
        <v>79</v>
      </c>
      <c r="C1956" t="s">
        <v>45</v>
      </c>
      <c r="D1956" t="s">
        <v>33</v>
      </c>
      <c r="E1956" t="s">
        <v>96</v>
      </c>
      <c r="F1956" t="s">
        <v>96</v>
      </c>
      <c r="G1956" t="s">
        <v>96</v>
      </c>
      <c r="H1956">
        <v>2041</v>
      </c>
      <c r="I1956" t="s">
        <v>96</v>
      </c>
      <c r="J1956" t="s">
        <v>3112</v>
      </c>
      <c r="K1956" t="s">
        <v>96</v>
      </c>
      <c r="L1956" t="s">
        <v>96</v>
      </c>
      <c r="M1956">
        <v>3832.7440921955204</v>
      </c>
      <c r="O1956" s="12" t="str">
        <f t="shared" si="74"/>
        <v>RUS</v>
      </c>
      <c r="P1956" s="12" t="str">
        <f t="shared" si="75"/>
        <v>EN_ZC</v>
      </c>
    </row>
    <row r="1957" spans="1:16" x14ac:dyDescent="0.35">
      <c r="A1957" t="s">
        <v>2383</v>
      </c>
      <c r="B1957" t="s">
        <v>79</v>
      </c>
      <c r="C1957" t="s">
        <v>45</v>
      </c>
      <c r="D1957" t="s">
        <v>33</v>
      </c>
      <c r="E1957" t="s">
        <v>96</v>
      </c>
      <c r="F1957" t="s">
        <v>96</v>
      </c>
      <c r="G1957" t="s">
        <v>96</v>
      </c>
      <c r="H1957">
        <v>2042</v>
      </c>
      <c r="I1957" t="s">
        <v>96</v>
      </c>
      <c r="J1957" t="s">
        <v>3112</v>
      </c>
      <c r="K1957" t="s">
        <v>96</v>
      </c>
      <c r="L1957" t="s">
        <v>96</v>
      </c>
      <c r="M1957">
        <v>3782.4767740376801</v>
      </c>
      <c r="O1957" s="12" t="str">
        <f t="shared" si="74"/>
        <v>RUS</v>
      </c>
      <c r="P1957" s="12" t="str">
        <f t="shared" si="75"/>
        <v>EN_ZC</v>
      </c>
    </row>
    <row r="1958" spans="1:16" x14ac:dyDescent="0.35">
      <c r="A1958" t="s">
        <v>2383</v>
      </c>
      <c r="B1958" t="s">
        <v>79</v>
      </c>
      <c r="C1958" t="s">
        <v>45</v>
      </c>
      <c r="D1958" t="s">
        <v>33</v>
      </c>
      <c r="E1958" t="s">
        <v>96</v>
      </c>
      <c r="F1958" t="s">
        <v>96</v>
      </c>
      <c r="G1958" t="s">
        <v>96</v>
      </c>
      <c r="H1958">
        <v>2043</v>
      </c>
      <c r="I1958" t="s">
        <v>96</v>
      </c>
      <c r="J1958" t="s">
        <v>3112</v>
      </c>
      <c r="K1958" t="s">
        <v>96</v>
      </c>
      <c r="L1958" t="s">
        <v>96</v>
      </c>
      <c r="M1958">
        <v>3737.996185014254</v>
      </c>
      <c r="O1958" s="12" t="str">
        <f t="shared" si="74"/>
        <v>RUS</v>
      </c>
      <c r="P1958" s="12" t="str">
        <f t="shared" si="75"/>
        <v>EN_ZC</v>
      </c>
    </row>
    <row r="1959" spans="1:16" x14ac:dyDescent="0.35">
      <c r="A1959" t="s">
        <v>2383</v>
      </c>
      <c r="B1959" t="s">
        <v>79</v>
      </c>
      <c r="C1959" t="s">
        <v>45</v>
      </c>
      <c r="D1959" t="s">
        <v>33</v>
      </c>
      <c r="E1959" t="s">
        <v>96</v>
      </c>
      <c r="F1959" t="s">
        <v>96</v>
      </c>
      <c r="G1959" t="s">
        <v>96</v>
      </c>
      <c r="H1959">
        <v>2044</v>
      </c>
      <c r="I1959" t="s">
        <v>96</v>
      </c>
      <c r="J1959" t="s">
        <v>3112</v>
      </c>
      <c r="K1959" t="s">
        <v>96</v>
      </c>
      <c r="L1959" t="s">
        <v>96</v>
      </c>
      <c r="M1959">
        <v>3688.82821765479</v>
      </c>
      <c r="O1959" s="12" t="str">
        <f t="shared" si="74"/>
        <v>RUS</v>
      </c>
      <c r="P1959" s="12" t="str">
        <f t="shared" si="75"/>
        <v>EN_ZC</v>
      </c>
    </row>
    <row r="1960" spans="1:16" x14ac:dyDescent="0.35">
      <c r="A1960" t="s">
        <v>2383</v>
      </c>
      <c r="B1960" t="s">
        <v>79</v>
      </c>
      <c r="C1960" t="s">
        <v>45</v>
      </c>
      <c r="D1960" t="s">
        <v>33</v>
      </c>
      <c r="E1960" t="s">
        <v>96</v>
      </c>
      <c r="F1960" t="s">
        <v>96</v>
      </c>
      <c r="G1960" t="s">
        <v>96</v>
      </c>
      <c r="H1960">
        <v>2045</v>
      </c>
      <c r="I1960" t="s">
        <v>96</v>
      </c>
      <c r="J1960" t="s">
        <v>3112</v>
      </c>
      <c r="K1960" t="s">
        <v>96</v>
      </c>
      <c r="L1960" t="s">
        <v>96</v>
      </c>
      <c r="M1960">
        <v>3644.5465455498938</v>
      </c>
      <c r="O1960" s="12" t="str">
        <f t="shared" si="74"/>
        <v>RUS</v>
      </c>
      <c r="P1960" s="12" t="str">
        <f t="shared" si="75"/>
        <v>EN_ZC</v>
      </c>
    </row>
    <row r="1961" spans="1:16" x14ac:dyDescent="0.35">
      <c r="A1961" t="s">
        <v>2383</v>
      </c>
      <c r="B1961" t="s">
        <v>79</v>
      </c>
      <c r="C1961" t="s">
        <v>45</v>
      </c>
      <c r="D1961" t="s">
        <v>33</v>
      </c>
      <c r="E1961" t="s">
        <v>96</v>
      </c>
      <c r="F1961" t="s">
        <v>96</v>
      </c>
      <c r="G1961" t="s">
        <v>96</v>
      </c>
      <c r="H1961">
        <v>2046</v>
      </c>
      <c r="I1961" t="s">
        <v>96</v>
      </c>
      <c r="J1961" t="s">
        <v>3112</v>
      </c>
      <c r="K1961" t="s">
        <v>96</v>
      </c>
      <c r="L1961" t="s">
        <v>96</v>
      </c>
      <c r="M1961">
        <v>3596.4827904246408</v>
      </c>
      <c r="O1961" s="12" t="str">
        <f t="shared" si="74"/>
        <v>RUS</v>
      </c>
      <c r="P1961" s="12" t="str">
        <f t="shared" si="75"/>
        <v>EN_ZC</v>
      </c>
    </row>
    <row r="1962" spans="1:16" x14ac:dyDescent="0.35">
      <c r="A1962" t="s">
        <v>2383</v>
      </c>
      <c r="B1962" t="s">
        <v>79</v>
      </c>
      <c r="C1962" t="s">
        <v>45</v>
      </c>
      <c r="D1962" t="s">
        <v>33</v>
      </c>
      <c r="E1962" t="s">
        <v>96</v>
      </c>
      <c r="F1962" t="s">
        <v>96</v>
      </c>
      <c r="G1962" t="s">
        <v>96</v>
      </c>
      <c r="H1962">
        <v>2047</v>
      </c>
      <c r="I1962" t="s">
        <v>96</v>
      </c>
      <c r="J1962" t="s">
        <v>3112</v>
      </c>
      <c r="K1962" t="s">
        <v>96</v>
      </c>
      <c r="L1962" t="s">
        <v>96</v>
      </c>
      <c r="M1962">
        <v>3551.8099148655847</v>
      </c>
      <c r="O1962" s="12" t="str">
        <f t="shared" si="74"/>
        <v>RUS</v>
      </c>
      <c r="P1962" s="12" t="str">
        <f t="shared" si="75"/>
        <v>EN_ZC</v>
      </c>
    </row>
    <row r="1963" spans="1:16" x14ac:dyDescent="0.35">
      <c r="A1963" t="s">
        <v>2383</v>
      </c>
      <c r="B1963" t="s">
        <v>79</v>
      </c>
      <c r="C1963" t="s">
        <v>45</v>
      </c>
      <c r="D1963" t="s">
        <v>33</v>
      </c>
      <c r="E1963" t="s">
        <v>96</v>
      </c>
      <c r="F1963" t="s">
        <v>96</v>
      </c>
      <c r="G1963" t="s">
        <v>96</v>
      </c>
      <c r="H1963">
        <v>2048</v>
      </c>
      <c r="I1963" t="s">
        <v>96</v>
      </c>
      <c r="J1963" t="s">
        <v>3112</v>
      </c>
      <c r="K1963" t="s">
        <v>96</v>
      </c>
      <c r="L1963" t="s">
        <v>96</v>
      </c>
      <c r="M1963">
        <v>3507.1522890061115</v>
      </c>
      <c r="O1963" s="12" t="str">
        <f t="shared" si="74"/>
        <v>RUS</v>
      </c>
      <c r="P1963" s="12" t="str">
        <f t="shared" si="75"/>
        <v>EN_ZC</v>
      </c>
    </row>
    <row r="1964" spans="1:16" x14ac:dyDescent="0.35">
      <c r="A1964" t="s">
        <v>2383</v>
      </c>
      <c r="B1964" t="s">
        <v>79</v>
      </c>
      <c r="C1964" t="s">
        <v>45</v>
      </c>
      <c r="D1964" t="s">
        <v>33</v>
      </c>
      <c r="E1964" t="s">
        <v>96</v>
      </c>
      <c r="F1964" t="s">
        <v>96</v>
      </c>
      <c r="G1964" t="s">
        <v>96</v>
      </c>
      <c r="H1964">
        <v>2049</v>
      </c>
      <c r="I1964" t="s">
        <v>96</v>
      </c>
      <c r="J1964" t="s">
        <v>3112</v>
      </c>
      <c r="K1964" t="s">
        <v>96</v>
      </c>
      <c r="L1964" t="s">
        <v>96</v>
      </c>
      <c r="M1964">
        <v>3462.5775456486786</v>
      </c>
      <c r="O1964" s="12" t="str">
        <f t="shared" si="74"/>
        <v>RUS</v>
      </c>
      <c r="P1964" s="12" t="str">
        <f t="shared" si="75"/>
        <v>EN_ZC</v>
      </c>
    </row>
    <row r="1965" spans="1:16" x14ac:dyDescent="0.35">
      <c r="A1965" t="s">
        <v>2383</v>
      </c>
      <c r="B1965" t="s">
        <v>79</v>
      </c>
      <c r="C1965" t="s">
        <v>45</v>
      </c>
      <c r="D1965" t="s">
        <v>33</v>
      </c>
      <c r="E1965" t="s">
        <v>96</v>
      </c>
      <c r="F1965" t="s">
        <v>96</v>
      </c>
      <c r="G1965" t="s">
        <v>96</v>
      </c>
      <c r="H1965">
        <v>2050</v>
      </c>
      <c r="I1965" t="s">
        <v>96</v>
      </c>
      <c r="J1965" t="s">
        <v>3112</v>
      </c>
      <c r="K1965" t="s">
        <v>96</v>
      </c>
      <c r="L1965" t="s">
        <v>96</v>
      </c>
      <c r="M1965">
        <v>3418.4017423991841</v>
      </c>
      <c r="O1965" s="12" t="str">
        <f t="shared" si="74"/>
        <v>RUS</v>
      </c>
      <c r="P1965" s="12" t="str">
        <f t="shared" si="75"/>
        <v>EN_ZC</v>
      </c>
    </row>
    <row r="1966" spans="1:16" x14ac:dyDescent="0.35">
      <c r="A1966" t="s">
        <v>2383</v>
      </c>
      <c r="B1966" t="s">
        <v>80</v>
      </c>
      <c r="C1966" t="s">
        <v>45</v>
      </c>
      <c r="D1966" t="s">
        <v>32</v>
      </c>
      <c r="E1966" t="s">
        <v>96</v>
      </c>
      <c r="F1966" t="s">
        <v>96</v>
      </c>
      <c r="G1966" t="s">
        <v>96</v>
      </c>
      <c r="H1966">
        <v>2010</v>
      </c>
      <c r="I1966" t="s">
        <v>96</v>
      </c>
      <c r="J1966" t="s">
        <v>2382</v>
      </c>
      <c r="K1966" t="s">
        <v>96</v>
      </c>
      <c r="L1966" t="s">
        <v>96</v>
      </c>
      <c r="M1966">
        <v>3305.3446232591791</v>
      </c>
      <c r="O1966" s="12" t="str">
        <f t="shared" si="74"/>
        <v>SKO</v>
      </c>
      <c r="P1966" s="12" t="str">
        <f t="shared" si="75"/>
        <v>EN_CO</v>
      </c>
    </row>
    <row r="1967" spans="1:16" x14ac:dyDescent="0.35">
      <c r="A1967" t="s">
        <v>2383</v>
      </c>
      <c r="B1967" t="s">
        <v>80</v>
      </c>
      <c r="C1967" t="s">
        <v>45</v>
      </c>
      <c r="D1967" t="s">
        <v>31</v>
      </c>
      <c r="E1967" t="s">
        <v>96</v>
      </c>
      <c r="F1967" t="s">
        <v>96</v>
      </c>
      <c r="G1967" t="s">
        <v>96</v>
      </c>
      <c r="H1967">
        <v>2010</v>
      </c>
      <c r="I1967" t="s">
        <v>96</v>
      </c>
      <c r="J1967" t="s">
        <v>2382</v>
      </c>
      <c r="K1967" t="s">
        <v>96</v>
      </c>
      <c r="L1967" t="s">
        <v>96</v>
      </c>
      <c r="M1967">
        <v>1922.7327332676855</v>
      </c>
      <c r="O1967" s="12" t="str">
        <f t="shared" si="74"/>
        <v>SKO</v>
      </c>
      <c r="P1967" s="12" t="str">
        <f t="shared" si="75"/>
        <v>EN_CO</v>
      </c>
    </row>
    <row r="1968" spans="1:16" x14ac:dyDescent="0.35">
      <c r="A1968" t="s">
        <v>2383</v>
      </c>
      <c r="B1968" t="s">
        <v>80</v>
      </c>
      <c r="C1968" t="s">
        <v>45</v>
      </c>
      <c r="D1968" t="s">
        <v>33</v>
      </c>
      <c r="E1968" t="s">
        <v>96</v>
      </c>
      <c r="F1968" t="s">
        <v>96</v>
      </c>
      <c r="G1968" t="s">
        <v>96</v>
      </c>
      <c r="H1968">
        <v>2019</v>
      </c>
      <c r="I1968" t="s">
        <v>96</v>
      </c>
      <c r="J1968" t="s">
        <v>3112</v>
      </c>
      <c r="K1968" t="s">
        <v>96</v>
      </c>
      <c r="L1968" t="s">
        <v>96</v>
      </c>
      <c r="M1968">
        <v>5081.3355256629329</v>
      </c>
      <c r="O1968" s="12" t="str">
        <f t="shared" si="74"/>
        <v>SKO</v>
      </c>
      <c r="P1968" s="12" t="str">
        <f t="shared" si="75"/>
        <v>EN_ZC</v>
      </c>
    </row>
    <row r="1969" spans="1:16" x14ac:dyDescent="0.35">
      <c r="A1969" t="s">
        <v>2383</v>
      </c>
      <c r="B1969" t="s">
        <v>80</v>
      </c>
      <c r="C1969" t="s">
        <v>45</v>
      </c>
      <c r="D1969" t="s">
        <v>33</v>
      </c>
      <c r="E1969" t="s">
        <v>96</v>
      </c>
      <c r="F1969" t="s">
        <v>96</v>
      </c>
      <c r="G1969" t="s">
        <v>96</v>
      </c>
      <c r="H1969">
        <v>2020</v>
      </c>
      <c r="I1969" t="s">
        <v>96</v>
      </c>
      <c r="J1969" t="s">
        <v>3112</v>
      </c>
      <c r="K1969" t="s">
        <v>96</v>
      </c>
      <c r="L1969" t="s">
        <v>96</v>
      </c>
      <c r="M1969">
        <v>5024.3492188340078</v>
      </c>
      <c r="O1969" s="12" t="str">
        <f t="shared" si="74"/>
        <v>SKO</v>
      </c>
      <c r="P1969" s="12" t="str">
        <f t="shared" si="75"/>
        <v>EN_ZC</v>
      </c>
    </row>
    <row r="1970" spans="1:16" x14ac:dyDescent="0.35">
      <c r="A1970" t="s">
        <v>2383</v>
      </c>
      <c r="B1970" t="s">
        <v>80</v>
      </c>
      <c r="C1970" t="s">
        <v>45</v>
      </c>
      <c r="D1970" t="s">
        <v>33</v>
      </c>
      <c r="E1970" t="s">
        <v>96</v>
      </c>
      <c r="F1970" t="s">
        <v>96</v>
      </c>
      <c r="G1970" t="s">
        <v>96</v>
      </c>
      <c r="H1970">
        <v>2021</v>
      </c>
      <c r="I1970" t="s">
        <v>96</v>
      </c>
      <c r="J1970" t="s">
        <v>3112</v>
      </c>
      <c r="K1970" t="s">
        <v>96</v>
      </c>
      <c r="L1970" t="s">
        <v>96</v>
      </c>
      <c r="M1970">
        <v>4901.500909747454</v>
      </c>
      <c r="O1970" s="12" t="str">
        <f t="shared" si="74"/>
        <v>SKO</v>
      </c>
      <c r="P1970" s="12" t="str">
        <f t="shared" si="75"/>
        <v>EN_ZC</v>
      </c>
    </row>
    <row r="1971" spans="1:16" x14ac:dyDescent="0.35">
      <c r="A1971" t="s">
        <v>2383</v>
      </c>
      <c r="B1971" t="s">
        <v>80</v>
      </c>
      <c r="C1971" t="s">
        <v>45</v>
      </c>
      <c r="D1971" t="s">
        <v>33</v>
      </c>
      <c r="E1971" t="s">
        <v>96</v>
      </c>
      <c r="F1971" t="s">
        <v>96</v>
      </c>
      <c r="G1971" t="s">
        <v>96</v>
      </c>
      <c r="H1971">
        <v>2022</v>
      </c>
      <c r="I1971" t="s">
        <v>96</v>
      </c>
      <c r="J1971" t="s">
        <v>3112</v>
      </c>
      <c r="K1971" t="s">
        <v>96</v>
      </c>
      <c r="L1971" t="s">
        <v>96</v>
      </c>
      <c r="M1971">
        <v>4825.1608212464344</v>
      </c>
      <c r="O1971" s="12" t="str">
        <f t="shared" si="74"/>
        <v>SKO</v>
      </c>
      <c r="P1971" s="12" t="str">
        <f t="shared" si="75"/>
        <v>EN_ZC</v>
      </c>
    </row>
    <row r="1972" spans="1:16" x14ac:dyDescent="0.35">
      <c r="A1972" t="s">
        <v>2383</v>
      </c>
      <c r="B1972" t="s">
        <v>80</v>
      </c>
      <c r="C1972" t="s">
        <v>45</v>
      </c>
      <c r="D1972" t="s">
        <v>33</v>
      </c>
      <c r="E1972" t="s">
        <v>96</v>
      </c>
      <c r="F1972" t="s">
        <v>96</v>
      </c>
      <c r="G1972" t="s">
        <v>96</v>
      </c>
      <c r="H1972">
        <v>2023</v>
      </c>
      <c r="I1972" t="s">
        <v>96</v>
      </c>
      <c r="J1972" t="s">
        <v>3112</v>
      </c>
      <c r="K1972" t="s">
        <v>96</v>
      </c>
      <c r="L1972" t="s">
        <v>96</v>
      </c>
      <c r="M1972">
        <v>4771.1569491802466</v>
      </c>
      <c r="O1972" s="12" t="str">
        <f t="shared" si="74"/>
        <v>SKO</v>
      </c>
      <c r="P1972" s="12" t="str">
        <f t="shared" si="75"/>
        <v>EN_ZC</v>
      </c>
    </row>
    <row r="1973" spans="1:16" x14ac:dyDescent="0.35">
      <c r="A1973" t="s">
        <v>2383</v>
      </c>
      <c r="B1973" t="s">
        <v>80</v>
      </c>
      <c r="C1973" t="s">
        <v>45</v>
      </c>
      <c r="D1973" t="s">
        <v>33</v>
      </c>
      <c r="E1973" t="s">
        <v>96</v>
      </c>
      <c r="F1973" t="s">
        <v>96</v>
      </c>
      <c r="G1973" t="s">
        <v>96</v>
      </c>
      <c r="H1973">
        <v>2024</v>
      </c>
      <c r="I1973" t="s">
        <v>96</v>
      </c>
      <c r="J1973" t="s">
        <v>3112</v>
      </c>
      <c r="K1973" t="s">
        <v>96</v>
      </c>
      <c r="L1973" t="s">
        <v>96</v>
      </c>
      <c r="M1973">
        <v>4727.6523816690433</v>
      </c>
      <c r="O1973" s="12" t="str">
        <f t="shared" si="74"/>
        <v>SKO</v>
      </c>
      <c r="P1973" s="12" t="str">
        <f t="shared" si="75"/>
        <v>EN_ZC</v>
      </c>
    </row>
    <row r="1974" spans="1:16" x14ac:dyDescent="0.35">
      <c r="A1974" t="s">
        <v>2383</v>
      </c>
      <c r="B1974" t="s">
        <v>80</v>
      </c>
      <c r="C1974" t="s">
        <v>45</v>
      </c>
      <c r="D1974" t="s">
        <v>33</v>
      </c>
      <c r="E1974" t="s">
        <v>96</v>
      </c>
      <c r="F1974" t="s">
        <v>96</v>
      </c>
      <c r="G1974" t="s">
        <v>96</v>
      </c>
      <c r="H1974">
        <v>2025</v>
      </c>
      <c r="I1974" t="s">
        <v>96</v>
      </c>
      <c r="J1974" t="s">
        <v>3112</v>
      </c>
      <c r="K1974" t="s">
        <v>96</v>
      </c>
      <c r="L1974" t="s">
        <v>96</v>
      </c>
      <c r="M1974">
        <v>4692.2278401018366</v>
      </c>
      <c r="O1974" s="12" t="str">
        <f t="shared" si="74"/>
        <v>SKO</v>
      </c>
      <c r="P1974" s="12" t="str">
        <f t="shared" si="75"/>
        <v>EN_ZC</v>
      </c>
    </row>
    <row r="1975" spans="1:16" x14ac:dyDescent="0.35">
      <c r="A1975" t="s">
        <v>2383</v>
      </c>
      <c r="B1975" t="s">
        <v>80</v>
      </c>
      <c r="C1975" t="s">
        <v>45</v>
      </c>
      <c r="D1975" t="s">
        <v>33</v>
      </c>
      <c r="E1975" t="s">
        <v>96</v>
      </c>
      <c r="F1975" t="s">
        <v>96</v>
      </c>
      <c r="G1975" t="s">
        <v>96</v>
      </c>
      <c r="H1975">
        <v>2026</v>
      </c>
      <c r="I1975" t="s">
        <v>96</v>
      </c>
      <c r="J1975" t="s">
        <v>3112</v>
      </c>
      <c r="K1975" t="s">
        <v>96</v>
      </c>
      <c r="L1975" t="s">
        <v>96</v>
      </c>
      <c r="M1975">
        <v>4645.5366158788183</v>
      </c>
      <c r="O1975" s="12" t="str">
        <f t="shared" si="74"/>
        <v>SKO</v>
      </c>
      <c r="P1975" s="12" t="str">
        <f t="shared" si="75"/>
        <v>EN_ZC</v>
      </c>
    </row>
    <row r="1976" spans="1:16" x14ac:dyDescent="0.35">
      <c r="A1976" t="s">
        <v>2383</v>
      </c>
      <c r="B1976" t="s">
        <v>80</v>
      </c>
      <c r="C1976" t="s">
        <v>45</v>
      </c>
      <c r="D1976" t="s">
        <v>33</v>
      </c>
      <c r="E1976" t="s">
        <v>96</v>
      </c>
      <c r="F1976" t="s">
        <v>96</v>
      </c>
      <c r="G1976" t="s">
        <v>96</v>
      </c>
      <c r="H1976">
        <v>2027</v>
      </c>
      <c r="I1976" t="s">
        <v>96</v>
      </c>
      <c r="J1976" t="s">
        <v>3112</v>
      </c>
      <c r="K1976" t="s">
        <v>96</v>
      </c>
      <c r="L1976" t="s">
        <v>96</v>
      </c>
      <c r="M1976">
        <v>4589.684138020365</v>
      </c>
      <c r="O1976" s="12" t="str">
        <f t="shared" si="74"/>
        <v>SKO</v>
      </c>
      <c r="P1976" s="12" t="str">
        <f t="shared" si="75"/>
        <v>EN_ZC</v>
      </c>
    </row>
    <row r="1977" spans="1:16" x14ac:dyDescent="0.35">
      <c r="A1977" t="s">
        <v>2383</v>
      </c>
      <c r="B1977" t="s">
        <v>80</v>
      </c>
      <c r="C1977" t="s">
        <v>45</v>
      </c>
      <c r="D1977" t="s">
        <v>33</v>
      </c>
      <c r="E1977" t="s">
        <v>96</v>
      </c>
      <c r="F1977" t="s">
        <v>96</v>
      </c>
      <c r="G1977" t="s">
        <v>96</v>
      </c>
      <c r="H1977">
        <v>2028</v>
      </c>
      <c r="I1977" t="s">
        <v>96</v>
      </c>
      <c r="J1977" t="s">
        <v>3112</v>
      </c>
      <c r="K1977" t="s">
        <v>96</v>
      </c>
      <c r="L1977" t="s">
        <v>96</v>
      </c>
      <c r="M1977">
        <v>4527.3279452851339</v>
      </c>
      <c r="O1977" s="12" t="str">
        <f t="shared" si="74"/>
        <v>SKO</v>
      </c>
      <c r="P1977" s="12" t="str">
        <f t="shared" si="75"/>
        <v>EN_ZC</v>
      </c>
    </row>
    <row r="1978" spans="1:16" x14ac:dyDescent="0.35">
      <c r="A1978" t="s">
        <v>2383</v>
      </c>
      <c r="B1978" t="s">
        <v>80</v>
      </c>
      <c r="C1978" t="s">
        <v>45</v>
      </c>
      <c r="D1978" t="s">
        <v>33</v>
      </c>
      <c r="E1978" t="s">
        <v>96</v>
      </c>
      <c r="F1978" t="s">
        <v>96</v>
      </c>
      <c r="G1978" t="s">
        <v>96</v>
      </c>
      <c r="H1978">
        <v>2029</v>
      </c>
      <c r="I1978" t="s">
        <v>96</v>
      </c>
      <c r="J1978" t="s">
        <v>3112</v>
      </c>
      <c r="K1978" t="s">
        <v>96</v>
      </c>
      <c r="L1978" t="s">
        <v>96</v>
      </c>
      <c r="M1978">
        <v>4463.3507959389035</v>
      </c>
      <c r="O1978" s="12" t="str">
        <f t="shared" si="74"/>
        <v>SKO</v>
      </c>
      <c r="P1978" s="12" t="str">
        <f t="shared" si="75"/>
        <v>EN_ZC</v>
      </c>
    </row>
    <row r="1979" spans="1:16" x14ac:dyDescent="0.35">
      <c r="A1979" t="s">
        <v>2383</v>
      </c>
      <c r="B1979" t="s">
        <v>80</v>
      </c>
      <c r="C1979" t="s">
        <v>45</v>
      </c>
      <c r="D1979" t="s">
        <v>33</v>
      </c>
      <c r="E1979" t="s">
        <v>96</v>
      </c>
      <c r="F1979" t="s">
        <v>96</v>
      </c>
      <c r="G1979" t="s">
        <v>96</v>
      </c>
      <c r="H1979">
        <v>2030</v>
      </c>
      <c r="I1979" t="s">
        <v>96</v>
      </c>
      <c r="J1979" t="s">
        <v>3112</v>
      </c>
      <c r="K1979" t="s">
        <v>96</v>
      </c>
      <c r="L1979" t="s">
        <v>96</v>
      </c>
      <c r="M1979">
        <v>4406.984668908347</v>
      </c>
      <c r="O1979" s="12" t="str">
        <f t="shared" si="74"/>
        <v>SKO</v>
      </c>
      <c r="P1979" s="12" t="str">
        <f t="shared" si="75"/>
        <v>EN_ZC</v>
      </c>
    </row>
    <row r="1980" spans="1:16" x14ac:dyDescent="0.35">
      <c r="A1980" t="s">
        <v>2383</v>
      </c>
      <c r="B1980" t="s">
        <v>80</v>
      </c>
      <c r="C1980" t="s">
        <v>45</v>
      </c>
      <c r="D1980" t="s">
        <v>33</v>
      </c>
      <c r="E1980" t="s">
        <v>96</v>
      </c>
      <c r="F1980" t="s">
        <v>96</v>
      </c>
      <c r="G1980" t="s">
        <v>96</v>
      </c>
      <c r="H1980">
        <v>2031</v>
      </c>
      <c r="I1980" t="s">
        <v>96</v>
      </c>
      <c r="J1980" t="s">
        <v>3112</v>
      </c>
      <c r="K1980" t="s">
        <v>96</v>
      </c>
      <c r="L1980" t="s">
        <v>96</v>
      </c>
      <c r="M1980">
        <v>4350.9058681262732</v>
      </c>
      <c r="O1980" s="12" t="str">
        <f t="shared" si="74"/>
        <v>SKO</v>
      </c>
      <c r="P1980" s="12" t="str">
        <f t="shared" si="75"/>
        <v>EN_ZC</v>
      </c>
    </row>
    <row r="1981" spans="1:16" x14ac:dyDescent="0.35">
      <c r="A1981" t="s">
        <v>2383</v>
      </c>
      <c r="B1981" t="s">
        <v>80</v>
      </c>
      <c r="C1981" t="s">
        <v>45</v>
      </c>
      <c r="D1981" t="s">
        <v>33</v>
      </c>
      <c r="E1981" t="s">
        <v>96</v>
      </c>
      <c r="F1981" t="s">
        <v>96</v>
      </c>
      <c r="G1981" t="s">
        <v>96</v>
      </c>
      <c r="H1981">
        <v>2032</v>
      </c>
      <c r="I1981" t="s">
        <v>96</v>
      </c>
      <c r="J1981" t="s">
        <v>3112</v>
      </c>
      <c r="K1981" t="s">
        <v>96</v>
      </c>
      <c r="L1981" t="s">
        <v>96</v>
      </c>
      <c r="M1981">
        <v>4295.0021143411386</v>
      </c>
      <c r="O1981" s="12" t="str">
        <f t="shared" si="74"/>
        <v>SKO</v>
      </c>
      <c r="P1981" s="12" t="str">
        <f t="shared" si="75"/>
        <v>EN_ZC</v>
      </c>
    </row>
    <row r="1982" spans="1:16" x14ac:dyDescent="0.35">
      <c r="A1982" t="s">
        <v>2383</v>
      </c>
      <c r="B1982" t="s">
        <v>80</v>
      </c>
      <c r="C1982" t="s">
        <v>45</v>
      </c>
      <c r="D1982" t="s">
        <v>33</v>
      </c>
      <c r="E1982" t="s">
        <v>96</v>
      </c>
      <c r="F1982" t="s">
        <v>96</v>
      </c>
      <c r="G1982" t="s">
        <v>96</v>
      </c>
      <c r="H1982">
        <v>2033</v>
      </c>
      <c r="I1982" t="s">
        <v>96</v>
      </c>
      <c r="J1982" t="s">
        <v>3112</v>
      </c>
      <c r="K1982" t="s">
        <v>96</v>
      </c>
      <c r="L1982" t="s">
        <v>96</v>
      </c>
      <c r="M1982">
        <v>4241.6131188533618</v>
      </c>
      <c r="O1982" s="12" t="str">
        <f t="shared" si="74"/>
        <v>SKO</v>
      </c>
      <c r="P1982" s="12" t="str">
        <f t="shared" si="75"/>
        <v>EN_ZC</v>
      </c>
    </row>
    <row r="1983" spans="1:16" x14ac:dyDescent="0.35">
      <c r="A1983" t="s">
        <v>2383</v>
      </c>
      <c r="B1983" t="s">
        <v>80</v>
      </c>
      <c r="C1983" t="s">
        <v>45</v>
      </c>
      <c r="D1983" t="s">
        <v>33</v>
      </c>
      <c r="E1983" t="s">
        <v>96</v>
      </c>
      <c r="F1983" t="s">
        <v>96</v>
      </c>
      <c r="G1983" t="s">
        <v>96</v>
      </c>
      <c r="H1983">
        <v>2034</v>
      </c>
      <c r="I1983" t="s">
        <v>96</v>
      </c>
      <c r="J1983" t="s">
        <v>3112</v>
      </c>
      <c r="K1983" t="s">
        <v>96</v>
      </c>
      <c r="L1983" t="s">
        <v>96</v>
      </c>
      <c r="M1983">
        <v>4188.9092834511175</v>
      </c>
      <c r="O1983" s="12" t="str">
        <f t="shared" si="74"/>
        <v>SKO</v>
      </c>
      <c r="P1983" s="12" t="str">
        <f t="shared" si="75"/>
        <v>EN_ZC</v>
      </c>
    </row>
    <row r="1984" spans="1:16" x14ac:dyDescent="0.35">
      <c r="A1984" t="s">
        <v>2383</v>
      </c>
      <c r="B1984" t="s">
        <v>80</v>
      </c>
      <c r="C1984" t="s">
        <v>45</v>
      </c>
      <c r="D1984" t="s">
        <v>33</v>
      </c>
      <c r="E1984" t="s">
        <v>96</v>
      </c>
      <c r="F1984" t="s">
        <v>96</v>
      </c>
      <c r="G1984" t="s">
        <v>96</v>
      </c>
      <c r="H1984">
        <v>2035</v>
      </c>
      <c r="I1984" t="s">
        <v>96</v>
      </c>
      <c r="J1984" t="s">
        <v>3112</v>
      </c>
      <c r="K1984" t="s">
        <v>96</v>
      </c>
      <c r="L1984" t="s">
        <v>96</v>
      </c>
      <c r="M1984">
        <v>4133.6199626496991</v>
      </c>
      <c r="O1984" s="12" t="str">
        <f t="shared" si="74"/>
        <v>SKO</v>
      </c>
      <c r="P1984" s="12" t="str">
        <f t="shared" si="75"/>
        <v>EN_ZC</v>
      </c>
    </row>
    <row r="1985" spans="1:16" x14ac:dyDescent="0.35">
      <c r="A1985" t="s">
        <v>2383</v>
      </c>
      <c r="B1985" t="s">
        <v>80</v>
      </c>
      <c r="C1985" t="s">
        <v>45</v>
      </c>
      <c r="D1985" t="s">
        <v>33</v>
      </c>
      <c r="E1985" t="s">
        <v>96</v>
      </c>
      <c r="F1985" t="s">
        <v>96</v>
      </c>
      <c r="G1985" t="s">
        <v>96</v>
      </c>
      <c r="H1985">
        <v>2036</v>
      </c>
      <c r="I1985" t="s">
        <v>96</v>
      </c>
      <c r="J1985" t="s">
        <v>3112</v>
      </c>
      <c r="K1985" t="s">
        <v>96</v>
      </c>
      <c r="L1985" t="s">
        <v>96</v>
      </c>
      <c r="M1985">
        <v>4080.9917157851337</v>
      </c>
      <c r="O1985" s="12" t="str">
        <f t="shared" si="74"/>
        <v>SKO</v>
      </c>
      <c r="P1985" s="12" t="str">
        <f t="shared" si="75"/>
        <v>EN_ZC</v>
      </c>
    </row>
    <row r="1986" spans="1:16" x14ac:dyDescent="0.35">
      <c r="A1986" t="s">
        <v>2383</v>
      </c>
      <c r="B1986" t="s">
        <v>80</v>
      </c>
      <c r="C1986" t="s">
        <v>45</v>
      </c>
      <c r="D1986" t="s">
        <v>33</v>
      </c>
      <c r="E1986" t="s">
        <v>96</v>
      </c>
      <c r="F1986" t="s">
        <v>96</v>
      </c>
      <c r="G1986" t="s">
        <v>96</v>
      </c>
      <c r="H1986">
        <v>2037</v>
      </c>
      <c r="I1986" t="s">
        <v>96</v>
      </c>
      <c r="J1986" t="s">
        <v>3112</v>
      </c>
      <c r="K1986" t="s">
        <v>96</v>
      </c>
      <c r="L1986" t="s">
        <v>96</v>
      </c>
      <c r="M1986">
        <v>4029.2280965600849</v>
      </c>
      <c r="O1986" s="12" t="str">
        <f t="shared" si="74"/>
        <v>SKO</v>
      </c>
      <c r="P1986" s="12" t="str">
        <f t="shared" si="75"/>
        <v>EN_ZC</v>
      </c>
    </row>
    <row r="1987" spans="1:16" x14ac:dyDescent="0.35">
      <c r="A1987" t="s">
        <v>2383</v>
      </c>
      <c r="B1987" t="s">
        <v>80</v>
      </c>
      <c r="C1987" t="s">
        <v>45</v>
      </c>
      <c r="D1987" t="s">
        <v>33</v>
      </c>
      <c r="E1987" t="s">
        <v>96</v>
      </c>
      <c r="F1987" t="s">
        <v>96</v>
      </c>
      <c r="G1987" t="s">
        <v>96</v>
      </c>
      <c r="H1987">
        <v>2038</v>
      </c>
      <c r="I1987" t="s">
        <v>96</v>
      </c>
      <c r="J1987" t="s">
        <v>3112</v>
      </c>
      <c r="K1987" t="s">
        <v>96</v>
      </c>
      <c r="L1987" t="s">
        <v>96</v>
      </c>
      <c r="M1987">
        <v>3979.2755106558011</v>
      </c>
      <c r="O1987" s="12" t="str">
        <f t="shared" ref="O1987:O2050" si="76">LEFT(B1987,3)</f>
        <v>SKO</v>
      </c>
      <c r="P1987" s="12" t="str">
        <f t="shared" ref="P1987:P2050" si="77">LEFT(D1987,5)</f>
        <v>EN_ZC</v>
      </c>
    </row>
    <row r="1988" spans="1:16" x14ac:dyDescent="0.35">
      <c r="A1988" t="s">
        <v>2383</v>
      </c>
      <c r="B1988" t="s">
        <v>80</v>
      </c>
      <c r="C1988" t="s">
        <v>45</v>
      </c>
      <c r="D1988" t="s">
        <v>33</v>
      </c>
      <c r="E1988" t="s">
        <v>96</v>
      </c>
      <c r="F1988" t="s">
        <v>96</v>
      </c>
      <c r="G1988" t="s">
        <v>96</v>
      </c>
      <c r="H1988">
        <v>2039</v>
      </c>
      <c r="I1988" t="s">
        <v>96</v>
      </c>
      <c r="J1988" t="s">
        <v>3112</v>
      </c>
      <c r="K1988" t="s">
        <v>96</v>
      </c>
      <c r="L1988" t="s">
        <v>96</v>
      </c>
      <c r="M1988">
        <v>3928.9127119063155</v>
      </c>
      <c r="O1988" s="12" t="str">
        <f t="shared" si="76"/>
        <v>SKO</v>
      </c>
      <c r="P1988" s="12" t="str">
        <f t="shared" si="77"/>
        <v>EN_ZC</v>
      </c>
    </row>
    <row r="1989" spans="1:16" x14ac:dyDescent="0.35">
      <c r="A1989" t="s">
        <v>2383</v>
      </c>
      <c r="B1989" t="s">
        <v>80</v>
      </c>
      <c r="C1989" t="s">
        <v>45</v>
      </c>
      <c r="D1989" t="s">
        <v>33</v>
      </c>
      <c r="E1989" t="s">
        <v>96</v>
      </c>
      <c r="F1989" t="s">
        <v>96</v>
      </c>
      <c r="G1989" t="s">
        <v>96</v>
      </c>
      <c r="H1989">
        <v>2040</v>
      </c>
      <c r="I1989" t="s">
        <v>96</v>
      </c>
      <c r="J1989" t="s">
        <v>3112</v>
      </c>
      <c r="K1989" t="s">
        <v>96</v>
      </c>
      <c r="L1989" t="s">
        <v>96</v>
      </c>
      <c r="M1989">
        <v>3880.2455738319759</v>
      </c>
      <c r="O1989" s="12" t="str">
        <f t="shared" si="76"/>
        <v>SKO</v>
      </c>
      <c r="P1989" s="12" t="str">
        <f t="shared" si="77"/>
        <v>EN_ZC</v>
      </c>
    </row>
    <row r="1990" spans="1:16" x14ac:dyDescent="0.35">
      <c r="A1990" t="s">
        <v>2383</v>
      </c>
      <c r="B1990" t="s">
        <v>80</v>
      </c>
      <c r="C1990" t="s">
        <v>45</v>
      </c>
      <c r="D1990" t="s">
        <v>33</v>
      </c>
      <c r="E1990" t="s">
        <v>96</v>
      </c>
      <c r="F1990" t="s">
        <v>96</v>
      </c>
      <c r="G1990" t="s">
        <v>96</v>
      </c>
      <c r="H1990">
        <v>2041</v>
      </c>
      <c r="I1990" t="s">
        <v>96</v>
      </c>
      <c r="J1990" t="s">
        <v>3112</v>
      </c>
      <c r="K1990" t="s">
        <v>96</v>
      </c>
      <c r="L1990" t="s">
        <v>96</v>
      </c>
      <c r="M1990">
        <v>3832.7440921955204</v>
      </c>
      <c r="O1990" s="12" t="str">
        <f t="shared" si="76"/>
        <v>SKO</v>
      </c>
      <c r="P1990" s="12" t="str">
        <f t="shared" si="77"/>
        <v>EN_ZC</v>
      </c>
    </row>
    <row r="1991" spans="1:16" x14ac:dyDescent="0.35">
      <c r="A1991" t="s">
        <v>2383</v>
      </c>
      <c r="B1991" t="s">
        <v>80</v>
      </c>
      <c r="C1991" t="s">
        <v>45</v>
      </c>
      <c r="D1991" t="s">
        <v>33</v>
      </c>
      <c r="E1991" t="s">
        <v>96</v>
      </c>
      <c r="F1991" t="s">
        <v>96</v>
      </c>
      <c r="G1991" t="s">
        <v>96</v>
      </c>
      <c r="H1991">
        <v>2042</v>
      </c>
      <c r="I1991" t="s">
        <v>96</v>
      </c>
      <c r="J1991" t="s">
        <v>3112</v>
      </c>
      <c r="K1991" t="s">
        <v>96</v>
      </c>
      <c r="L1991" t="s">
        <v>96</v>
      </c>
      <c r="M1991">
        <v>3782.4767740376801</v>
      </c>
      <c r="O1991" s="12" t="str">
        <f t="shared" si="76"/>
        <v>SKO</v>
      </c>
      <c r="P1991" s="12" t="str">
        <f t="shared" si="77"/>
        <v>EN_ZC</v>
      </c>
    </row>
    <row r="1992" spans="1:16" x14ac:dyDescent="0.35">
      <c r="A1992" t="s">
        <v>2383</v>
      </c>
      <c r="B1992" t="s">
        <v>80</v>
      </c>
      <c r="C1992" t="s">
        <v>45</v>
      </c>
      <c r="D1992" t="s">
        <v>33</v>
      </c>
      <c r="E1992" t="s">
        <v>96</v>
      </c>
      <c r="F1992" t="s">
        <v>96</v>
      </c>
      <c r="G1992" t="s">
        <v>96</v>
      </c>
      <c r="H1992">
        <v>2043</v>
      </c>
      <c r="I1992" t="s">
        <v>96</v>
      </c>
      <c r="J1992" t="s">
        <v>3112</v>
      </c>
      <c r="K1992" t="s">
        <v>96</v>
      </c>
      <c r="L1992" t="s">
        <v>96</v>
      </c>
      <c r="M1992">
        <v>3737.996185014254</v>
      </c>
      <c r="O1992" s="12" t="str">
        <f t="shared" si="76"/>
        <v>SKO</v>
      </c>
      <c r="P1992" s="12" t="str">
        <f t="shared" si="77"/>
        <v>EN_ZC</v>
      </c>
    </row>
    <row r="1993" spans="1:16" x14ac:dyDescent="0.35">
      <c r="A1993" t="s">
        <v>2383</v>
      </c>
      <c r="B1993" t="s">
        <v>80</v>
      </c>
      <c r="C1993" t="s">
        <v>45</v>
      </c>
      <c r="D1993" t="s">
        <v>33</v>
      </c>
      <c r="E1993" t="s">
        <v>96</v>
      </c>
      <c r="F1993" t="s">
        <v>96</v>
      </c>
      <c r="G1993" t="s">
        <v>96</v>
      </c>
      <c r="H1993">
        <v>2044</v>
      </c>
      <c r="I1993" t="s">
        <v>96</v>
      </c>
      <c r="J1993" t="s">
        <v>3112</v>
      </c>
      <c r="K1993" t="s">
        <v>96</v>
      </c>
      <c r="L1993" t="s">
        <v>96</v>
      </c>
      <c r="M1993">
        <v>3688.82821765479</v>
      </c>
      <c r="O1993" s="12" t="str">
        <f t="shared" si="76"/>
        <v>SKO</v>
      </c>
      <c r="P1993" s="12" t="str">
        <f t="shared" si="77"/>
        <v>EN_ZC</v>
      </c>
    </row>
    <row r="1994" spans="1:16" x14ac:dyDescent="0.35">
      <c r="A1994" t="s">
        <v>2383</v>
      </c>
      <c r="B1994" t="s">
        <v>80</v>
      </c>
      <c r="C1994" t="s">
        <v>45</v>
      </c>
      <c r="D1994" t="s">
        <v>33</v>
      </c>
      <c r="E1994" t="s">
        <v>96</v>
      </c>
      <c r="F1994" t="s">
        <v>96</v>
      </c>
      <c r="G1994" t="s">
        <v>96</v>
      </c>
      <c r="H1994">
        <v>2045</v>
      </c>
      <c r="I1994" t="s">
        <v>96</v>
      </c>
      <c r="J1994" t="s">
        <v>3112</v>
      </c>
      <c r="K1994" t="s">
        <v>96</v>
      </c>
      <c r="L1994" t="s">
        <v>96</v>
      </c>
      <c r="M1994">
        <v>3644.5465455498938</v>
      </c>
      <c r="O1994" s="12" t="str">
        <f t="shared" si="76"/>
        <v>SKO</v>
      </c>
      <c r="P1994" s="12" t="str">
        <f t="shared" si="77"/>
        <v>EN_ZC</v>
      </c>
    </row>
    <row r="1995" spans="1:16" x14ac:dyDescent="0.35">
      <c r="A1995" t="s">
        <v>2383</v>
      </c>
      <c r="B1995" t="s">
        <v>80</v>
      </c>
      <c r="C1995" t="s">
        <v>45</v>
      </c>
      <c r="D1995" t="s">
        <v>33</v>
      </c>
      <c r="E1995" t="s">
        <v>96</v>
      </c>
      <c r="F1995" t="s">
        <v>96</v>
      </c>
      <c r="G1995" t="s">
        <v>96</v>
      </c>
      <c r="H1995">
        <v>2046</v>
      </c>
      <c r="I1995" t="s">
        <v>96</v>
      </c>
      <c r="J1995" t="s">
        <v>3112</v>
      </c>
      <c r="K1995" t="s">
        <v>96</v>
      </c>
      <c r="L1995" t="s">
        <v>96</v>
      </c>
      <c r="M1995">
        <v>3596.4827904246408</v>
      </c>
      <c r="O1995" s="12" t="str">
        <f t="shared" si="76"/>
        <v>SKO</v>
      </c>
      <c r="P1995" s="12" t="str">
        <f t="shared" si="77"/>
        <v>EN_ZC</v>
      </c>
    </row>
    <row r="1996" spans="1:16" x14ac:dyDescent="0.35">
      <c r="A1996" t="s">
        <v>2383</v>
      </c>
      <c r="B1996" t="s">
        <v>80</v>
      </c>
      <c r="C1996" t="s">
        <v>45</v>
      </c>
      <c r="D1996" t="s">
        <v>33</v>
      </c>
      <c r="E1996" t="s">
        <v>96</v>
      </c>
      <c r="F1996" t="s">
        <v>96</v>
      </c>
      <c r="G1996" t="s">
        <v>96</v>
      </c>
      <c r="H1996">
        <v>2047</v>
      </c>
      <c r="I1996" t="s">
        <v>96</v>
      </c>
      <c r="J1996" t="s">
        <v>3112</v>
      </c>
      <c r="K1996" t="s">
        <v>96</v>
      </c>
      <c r="L1996" t="s">
        <v>96</v>
      </c>
      <c r="M1996">
        <v>3551.8099148655847</v>
      </c>
      <c r="O1996" s="12" t="str">
        <f t="shared" si="76"/>
        <v>SKO</v>
      </c>
      <c r="P1996" s="12" t="str">
        <f t="shared" si="77"/>
        <v>EN_ZC</v>
      </c>
    </row>
    <row r="1997" spans="1:16" x14ac:dyDescent="0.35">
      <c r="A1997" t="s">
        <v>2383</v>
      </c>
      <c r="B1997" t="s">
        <v>80</v>
      </c>
      <c r="C1997" t="s">
        <v>45</v>
      </c>
      <c r="D1997" t="s">
        <v>33</v>
      </c>
      <c r="E1997" t="s">
        <v>96</v>
      </c>
      <c r="F1997" t="s">
        <v>96</v>
      </c>
      <c r="G1997" t="s">
        <v>96</v>
      </c>
      <c r="H1997">
        <v>2048</v>
      </c>
      <c r="I1997" t="s">
        <v>96</v>
      </c>
      <c r="J1997" t="s">
        <v>3112</v>
      </c>
      <c r="K1997" t="s">
        <v>96</v>
      </c>
      <c r="L1997" t="s">
        <v>96</v>
      </c>
      <c r="M1997">
        <v>3507.1522890061115</v>
      </c>
      <c r="O1997" s="12" t="str">
        <f t="shared" si="76"/>
        <v>SKO</v>
      </c>
      <c r="P1997" s="12" t="str">
        <f t="shared" si="77"/>
        <v>EN_ZC</v>
      </c>
    </row>
    <row r="1998" spans="1:16" x14ac:dyDescent="0.35">
      <c r="A1998" t="s">
        <v>2383</v>
      </c>
      <c r="B1998" t="s">
        <v>80</v>
      </c>
      <c r="C1998" t="s">
        <v>45</v>
      </c>
      <c r="D1998" t="s">
        <v>33</v>
      </c>
      <c r="E1998" t="s">
        <v>96</v>
      </c>
      <c r="F1998" t="s">
        <v>96</v>
      </c>
      <c r="G1998" t="s">
        <v>96</v>
      </c>
      <c r="H1998">
        <v>2049</v>
      </c>
      <c r="I1998" t="s">
        <v>96</v>
      </c>
      <c r="J1998" t="s">
        <v>3112</v>
      </c>
      <c r="K1998" t="s">
        <v>96</v>
      </c>
      <c r="L1998" t="s">
        <v>96</v>
      </c>
      <c r="M1998">
        <v>3462.5775456486786</v>
      </c>
      <c r="O1998" s="12" t="str">
        <f t="shared" si="76"/>
        <v>SKO</v>
      </c>
      <c r="P1998" s="12" t="str">
        <f t="shared" si="77"/>
        <v>EN_ZC</v>
      </c>
    </row>
    <row r="1999" spans="1:16" x14ac:dyDescent="0.35">
      <c r="A1999" t="s">
        <v>2383</v>
      </c>
      <c r="B1999" t="s">
        <v>80</v>
      </c>
      <c r="C1999" t="s">
        <v>45</v>
      </c>
      <c r="D1999" t="s">
        <v>33</v>
      </c>
      <c r="E1999" t="s">
        <v>96</v>
      </c>
      <c r="F1999" t="s">
        <v>96</v>
      </c>
      <c r="G1999" t="s">
        <v>96</v>
      </c>
      <c r="H1999">
        <v>2050</v>
      </c>
      <c r="I1999" t="s">
        <v>96</v>
      </c>
      <c r="J1999" t="s">
        <v>3112</v>
      </c>
      <c r="K1999" t="s">
        <v>96</v>
      </c>
      <c r="L1999" t="s">
        <v>96</v>
      </c>
      <c r="M1999">
        <v>3418.4017423991841</v>
      </c>
      <c r="O1999" s="12" t="str">
        <f t="shared" si="76"/>
        <v>SKO</v>
      </c>
      <c r="P1999" s="12" t="str">
        <f t="shared" si="77"/>
        <v>EN_ZC</v>
      </c>
    </row>
    <row r="2000" spans="1:16" x14ac:dyDescent="0.35">
      <c r="A2000" t="s">
        <v>2383</v>
      </c>
      <c r="B2000" t="s">
        <v>81</v>
      </c>
      <c r="C2000" t="s">
        <v>45</v>
      </c>
      <c r="D2000" t="s">
        <v>32</v>
      </c>
      <c r="E2000" t="s">
        <v>96</v>
      </c>
      <c r="F2000" t="s">
        <v>96</v>
      </c>
      <c r="G2000" t="s">
        <v>96</v>
      </c>
      <c r="H2000">
        <v>2010</v>
      </c>
      <c r="I2000" t="s">
        <v>96</v>
      </c>
      <c r="J2000" t="s">
        <v>2382</v>
      </c>
      <c r="K2000" t="s">
        <v>96</v>
      </c>
      <c r="L2000" t="s">
        <v>96</v>
      </c>
      <c r="M2000">
        <v>3305.3446232591791</v>
      </c>
      <c r="O2000" s="12" t="str">
        <f t="shared" si="76"/>
        <v>URA</v>
      </c>
      <c r="P2000" s="12" t="str">
        <f t="shared" si="77"/>
        <v>EN_CO</v>
      </c>
    </row>
    <row r="2001" spans="1:16" x14ac:dyDescent="0.35">
      <c r="A2001" t="s">
        <v>2383</v>
      </c>
      <c r="B2001" t="s">
        <v>81</v>
      </c>
      <c r="C2001" t="s">
        <v>45</v>
      </c>
      <c r="D2001" t="s">
        <v>31</v>
      </c>
      <c r="E2001" t="s">
        <v>96</v>
      </c>
      <c r="F2001" t="s">
        <v>96</v>
      </c>
      <c r="G2001" t="s">
        <v>96</v>
      </c>
      <c r="H2001">
        <v>2010</v>
      </c>
      <c r="I2001" t="s">
        <v>96</v>
      </c>
      <c r="J2001" t="s">
        <v>2382</v>
      </c>
      <c r="K2001" t="s">
        <v>96</v>
      </c>
      <c r="L2001" t="s">
        <v>96</v>
      </c>
      <c r="M2001">
        <v>1922.7327332676855</v>
      </c>
      <c r="O2001" s="12" t="str">
        <f t="shared" si="76"/>
        <v>URA</v>
      </c>
      <c r="P2001" s="12" t="str">
        <f t="shared" si="77"/>
        <v>EN_CO</v>
      </c>
    </row>
    <row r="2002" spans="1:16" x14ac:dyDescent="0.35">
      <c r="A2002" t="s">
        <v>2383</v>
      </c>
      <c r="B2002" t="s">
        <v>81</v>
      </c>
      <c r="C2002" t="s">
        <v>45</v>
      </c>
      <c r="D2002" t="s">
        <v>33</v>
      </c>
      <c r="E2002" t="s">
        <v>96</v>
      </c>
      <c r="F2002" t="s">
        <v>96</v>
      </c>
      <c r="G2002" t="s">
        <v>96</v>
      </c>
      <c r="H2002">
        <v>2019</v>
      </c>
      <c r="I2002" t="s">
        <v>96</v>
      </c>
      <c r="J2002" t="s">
        <v>3112</v>
      </c>
      <c r="K2002" t="s">
        <v>96</v>
      </c>
      <c r="L2002" t="s">
        <v>96</v>
      </c>
      <c r="M2002">
        <v>5081.3355256629329</v>
      </c>
      <c r="O2002" s="12" t="str">
        <f t="shared" si="76"/>
        <v>URA</v>
      </c>
      <c r="P2002" s="12" t="str">
        <f t="shared" si="77"/>
        <v>EN_ZC</v>
      </c>
    </row>
    <row r="2003" spans="1:16" x14ac:dyDescent="0.35">
      <c r="A2003" t="s">
        <v>2383</v>
      </c>
      <c r="B2003" t="s">
        <v>81</v>
      </c>
      <c r="C2003" t="s">
        <v>45</v>
      </c>
      <c r="D2003" t="s">
        <v>33</v>
      </c>
      <c r="E2003" t="s">
        <v>96</v>
      </c>
      <c r="F2003" t="s">
        <v>96</v>
      </c>
      <c r="G2003" t="s">
        <v>96</v>
      </c>
      <c r="H2003">
        <v>2020</v>
      </c>
      <c r="I2003" t="s">
        <v>96</v>
      </c>
      <c r="J2003" t="s">
        <v>3112</v>
      </c>
      <c r="K2003" t="s">
        <v>96</v>
      </c>
      <c r="L2003" t="s">
        <v>96</v>
      </c>
      <c r="M2003">
        <v>5024.3492188340078</v>
      </c>
      <c r="O2003" s="12" t="str">
        <f t="shared" si="76"/>
        <v>URA</v>
      </c>
      <c r="P2003" s="12" t="str">
        <f t="shared" si="77"/>
        <v>EN_ZC</v>
      </c>
    </row>
    <row r="2004" spans="1:16" x14ac:dyDescent="0.35">
      <c r="A2004" t="s">
        <v>2383</v>
      </c>
      <c r="B2004" t="s">
        <v>81</v>
      </c>
      <c r="C2004" t="s">
        <v>45</v>
      </c>
      <c r="D2004" t="s">
        <v>33</v>
      </c>
      <c r="E2004" t="s">
        <v>96</v>
      </c>
      <c r="F2004" t="s">
        <v>96</v>
      </c>
      <c r="G2004" t="s">
        <v>96</v>
      </c>
      <c r="H2004">
        <v>2021</v>
      </c>
      <c r="I2004" t="s">
        <v>96</v>
      </c>
      <c r="J2004" t="s">
        <v>3112</v>
      </c>
      <c r="K2004" t="s">
        <v>96</v>
      </c>
      <c r="L2004" t="s">
        <v>96</v>
      </c>
      <c r="M2004">
        <v>4901.500909747454</v>
      </c>
      <c r="O2004" s="12" t="str">
        <f t="shared" si="76"/>
        <v>URA</v>
      </c>
      <c r="P2004" s="12" t="str">
        <f t="shared" si="77"/>
        <v>EN_ZC</v>
      </c>
    </row>
    <row r="2005" spans="1:16" x14ac:dyDescent="0.35">
      <c r="A2005" t="s">
        <v>2383</v>
      </c>
      <c r="B2005" t="s">
        <v>81</v>
      </c>
      <c r="C2005" t="s">
        <v>45</v>
      </c>
      <c r="D2005" t="s">
        <v>33</v>
      </c>
      <c r="E2005" t="s">
        <v>96</v>
      </c>
      <c r="F2005" t="s">
        <v>96</v>
      </c>
      <c r="G2005" t="s">
        <v>96</v>
      </c>
      <c r="H2005">
        <v>2022</v>
      </c>
      <c r="I2005" t="s">
        <v>96</v>
      </c>
      <c r="J2005" t="s">
        <v>3112</v>
      </c>
      <c r="K2005" t="s">
        <v>96</v>
      </c>
      <c r="L2005" t="s">
        <v>96</v>
      </c>
      <c r="M2005">
        <v>4825.1608212464344</v>
      </c>
      <c r="O2005" s="12" t="str">
        <f t="shared" si="76"/>
        <v>URA</v>
      </c>
      <c r="P2005" s="12" t="str">
        <f t="shared" si="77"/>
        <v>EN_ZC</v>
      </c>
    </row>
    <row r="2006" spans="1:16" x14ac:dyDescent="0.35">
      <c r="A2006" t="s">
        <v>2383</v>
      </c>
      <c r="B2006" t="s">
        <v>81</v>
      </c>
      <c r="C2006" t="s">
        <v>45</v>
      </c>
      <c r="D2006" t="s">
        <v>33</v>
      </c>
      <c r="E2006" t="s">
        <v>96</v>
      </c>
      <c r="F2006" t="s">
        <v>96</v>
      </c>
      <c r="G2006" t="s">
        <v>96</v>
      </c>
      <c r="H2006">
        <v>2023</v>
      </c>
      <c r="I2006" t="s">
        <v>96</v>
      </c>
      <c r="J2006" t="s">
        <v>3112</v>
      </c>
      <c r="K2006" t="s">
        <v>96</v>
      </c>
      <c r="L2006" t="s">
        <v>96</v>
      </c>
      <c r="M2006">
        <v>4771.1569491802466</v>
      </c>
      <c r="O2006" s="12" t="str">
        <f t="shared" si="76"/>
        <v>URA</v>
      </c>
      <c r="P2006" s="12" t="str">
        <f t="shared" si="77"/>
        <v>EN_ZC</v>
      </c>
    </row>
    <row r="2007" spans="1:16" x14ac:dyDescent="0.35">
      <c r="A2007" t="s">
        <v>2383</v>
      </c>
      <c r="B2007" t="s">
        <v>81</v>
      </c>
      <c r="C2007" t="s">
        <v>45</v>
      </c>
      <c r="D2007" t="s">
        <v>33</v>
      </c>
      <c r="E2007" t="s">
        <v>96</v>
      </c>
      <c r="F2007" t="s">
        <v>96</v>
      </c>
      <c r="G2007" t="s">
        <v>96</v>
      </c>
      <c r="H2007">
        <v>2024</v>
      </c>
      <c r="I2007" t="s">
        <v>96</v>
      </c>
      <c r="J2007" t="s">
        <v>3112</v>
      </c>
      <c r="K2007" t="s">
        <v>96</v>
      </c>
      <c r="L2007" t="s">
        <v>96</v>
      </c>
      <c r="M2007">
        <v>4727.6523816690433</v>
      </c>
      <c r="O2007" s="12" t="str">
        <f t="shared" si="76"/>
        <v>URA</v>
      </c>
      <c r="P2007" s="12" t="str">
        <f t="shared" si="77"/>
        <v>EN_ZC</v>
      </c>
    </row>
    <row r="2008" spans="1:16" x14ac:dyDescent="0.35">
      <c r="A2008" t="s">
        <v>2383</v>
      </c>
      <c r="B2008" t="s">
        <v>81</v>
      </c>
      <c r="C2008" t="s">
        <v>45</v>
      </c>
      <c r="D2008" t="s">
        <v>33</v>
      </c>
      <c r="E2008" t="s">
        <v>96</v>
      </c>
      <c r="F2008" t="s">
        <v>96</v>
      </c>
      <c r="G2008" t="s">
        <v>96</v>
      </c>
      <c r="H2008">
        <v>2025</v>
      </c>
      <c r="I2008" t="s">
        <v>96</v>
      </c>
      <c r="J2008" t="s">
        <v>3112</v>
      </c>
      <c r="K2008" t="s">
        <v>96</v>
      </c>
      <c r="L2008" t="s">
        <v>96</v>
      </c>
      <c r="M2008">
        <v>4692.2278401018366</v>
      </c>
      <c r="O2008" s="12" t="str">
        <f t="shared" si="76"/>
        <v>URA</v>
      </c>
      <c r="P2008" s="12" t="str">
        <f t="shared" si="77"/>
        <v>EN_ZC</v>
      </c>
    </row>
    <row r="2009" spans="1:16" x14ac:dyDescent="0.35">
      <c r="A2009" t="s">
        <v>2383</v>
      </c>
      <c r="B2009" t="s">
        <v>81</v>
      </c>
      <c r="C2009" t="s">
        <v>45</v>
      </c>
      <c r="D2009" t="s">
        <v>33</v>
      </c>
      <c r="E2009" t="s">
        <v>96</v>
      </c>
      <c r="F2009" t="s">
        <v>96</v>
      </c>
      <c r="G2009" t="s">
        <v>96</v>
      </c>
      <c r="H2009">
        <v>2026</v>
      </c>
      <c r="I2009" t="s">
        <v>96</v>
      </c>
      <c r="J2009" t="s">
        <v>3112</v>
      </c>
      <c r="K2009" t="s">
        <v>96</v>
      </c>
      <c r="L2009" t="s">
        <v>96</v>
      </c>
      <c r="M2009">
        <v>4645.5366158788183</v>
      </c>
      <c r="O2009" s="12" t="str">
        <f t="shared" si="76"/>
        <v>URA</v>
      </c>
      <c r="P2009" s="12" t="str">
        <f t="shared" si="77"/>
        <v>EN_ZC</v>
      </c>
    </row>
    <row r="2010" spans="1:16" x14ac:dyDescent="0.35">
      <c r="A2010" t="s">
        <v>2383</v>
      </c>
      <c r="B2010" t="s">
        <v>81</v>
      </c>
      <c r="C2010" t="s">
        <v>45</v>
      </c>
      <c r="D2010" t="s">
        <v>33</v>
      </c>
      <c r="E2010" t="s">
        <v>96</v>
      </c>
      <c r="F2010" t="s">
        <v>96</v>
      </c>
      <c r="G2010" t="s">
        <v>96</v>
      </c>
      <c r="H2010">
        <v>2027</v>
      </c>
      <c r="I2010" t="s">
        <v>96</v>
      </c>
      <c r="J2010" t="s">
        <v>3112</v>
      </c>
      <c r="K2010" t="s">
        <v>96</v>
      </c>
      <c r="L2010" t="s">
        <v>96</v>
      </c>
      <c r="M2010">
        <v>4589.684138020365</v>
      </c>
      <c r="O2010" s="12" t="str">
        <f t="shared" si="76"/>
        <v>URA</v>
      </c>
      <c r="P2010" s="12" t="str">
        <f t="shared" si="77"/>
        <v>EN_ZC</v>
      </c>
    </row>
    <row r="2011" spans="1:16" x14ac:dyDescent="0.35">
      <c r="A2011" t="s">
        <v>2383</v>
      </c>
      <c r="B2011" t="s">
        <v>81</v>
      </c>
      <c r="C2011" t="s">
        <v>45</v>
      </c>
      <c r="D2011" t="s">
        <v>33</v>
      </c>
      <c r="E2011" t="s">
        <v>96</v>
      </c>
      <c r="F2011" t="s">
        <v>96</v>
      </c>
      <c r="G2011" t="s">
        <v>96</v>
      </c>
      <c r="H2011">
        <v>2028</v>
      </c>
      <c r="I2011" t="s">
        <v>96</v>
      </c>
      <c r="J2011" t="s">
        <v>3112</v>
      </c>
      <c r="K2011" t="s">
        <v>96</v>
      </c>
      <c r="L2011" t="s">
        <v>96</v>
      </c>
      <c r="M2011">
        <v>4527.3279452851339</v>
      </c>
      <c r="O2011" s="12" t="str">
        <f t="shared" si="76"/>
        <v>URA</v>
      </c>
      <c r="P2011" s="12" t="str">
        <f t="shared" si="77"/>
        <v>EN_ZC</v>
      </c>
    </row>
    <row r="2012" spans="1:16" x14ac:dyDescent="0.35">
      <c r="A2012" t="s">
        <v>2383</v>
      </c>
      <c r="B2012" t="s">
        <v>81</v>
      </c>
      <c r="C2012" t="s">
        <v>45</v>
      </c>
      <c r="D2012" t="s">
        <v>33</v>
      </c>
      <c r="E2012" t="s">
        <v>96</v>
      </c>
      <c r="F2012" t="s">
        <v>96</v>
      </c>
      <c r="G2012" t="s">
        <v>96</v>
      </c>
      <c r="H2012">
        <v>2029</v>
      </c>
      <c r="I2012" t="s">
        <v>96</v>
      </c>
      <c r="J2012" t="s">
        <v>3112</v>
      </c>
      <c r="K2012" t="s">
        <v>96</v>
      </c>
      <c r="L2012" t="s">
        <v>96</v>
      </c>
      <c r="M2012">
        <v>4463.3507959389035</v>
      </c>
      <c r="O2012" s="12" t="str">
        <f t="shared" si="76"/>
        <v>URA</v>
      </c>
      <c r="P2012" s="12" t="str">
        <f t="shared" si="77"/>
        <v>EN_ZC</v>
      </c>
    </row>
    <row r="2013" spans="1:16" x14ac:dyDescent="0.35">
      <c r="A2013" t="s">
        <v>2383</v>
      </c>
      <c r="B2013" t="s">
        <v>81</v>
      </c>
      <c r="C2013" t="s">
        <v>45</v>
      </c>
      <c r="D2013" t="s">
        <v>33</v>
      </c>
      <c r="E2013" t="s">
        <v>96</v>
      </c>
      <c r="F2013" t="s">
        <v>96</v>
      </c>
      <c r="G2013" t="s">
        <v>96</v>
      </c>
      <c r="H2013">
        <v>2030</v>
      </c>
      <c r="I2013" t="s">
        <v>96</v>
      </c>
      <c r="J2013" t="s">
        <v>3112</v>
      </c>
      <c r="K2013" t="s">
        <v>96</v>
      </c>
      <c r="L2013" t="s">
        <v>96</v>
      </c>
      <c r="M2013">
        <v>4406.984668908347</v>
      </c>
      <c r="O2013" s="12" t="str">
        <f t="shared" si="76"/>
        <v>URA</v>
      </c>
      <c r="P2013" s="12" t="str">
        <f t="shared" si="77"/>
        <v>EN_ZC</v>
      </c>
    </row>
    <row r="2014" spans="1:16" x14ac:dyDescent="0.35">
      <c r="A2014" t="s">
        <v>2383</v>
      </c>
      <c r="B2014" t="s">
        <v>81</v>
      </c>
      <c r="C2014" t="s">
        <v>45</v>
      </c>
      <c r="D2014" t="s">
        <v>33</v>
      </c>
      <c r="E2014" t="s">
        <v>96</v>
      </c>
      <c r="F2014" t="s">
        <v>96</v>
      </c>
      <c r="G2014" t="s">
        <v>96</v>
      </c>
      <c r="H2014">
        <v>2031</v>
      </c>
      <c r="I2014" t="s">
        <v>96</v>
      </c>
      <c r="J2014" t="s">
        <v>3112</v>
      </c>
      <c r="K2014" t="s">
        <v>96</v>
      </c>
      <c r="L2014" t="s">
        <v>96</v>
      </c>
      <c r="M2014">
        <v>4350.9058681262732</v>
      </c>
      <c r="O2014" s="12" t="str">
        <f t="shared" si="76"/>
        <v>URA</v>
      </c>
      <c r="P2014" s="12" t="str">
        <f t="shared" si="77"/>
        <v>EN_ZC</v>
      </c>
    </row>
    <row r="2015" spans="1:16" x14ac:dyDescent="0.35">
      <c r="A2015" t="s">
        <v>2383</v>
      </c>
      <c r="B2015" t="s">
        <v>81</v>
      </c>
      <c r="C2015" t="s">
        <v>45</v>
      </c>
      <c r="D2015" t="s">
        <v>33</v>
      </c>
      <c r="E2015" t="s">
        <v>96</v>
      </c>
      <c r="F2015" t="s">
        <v>96</v>
      </c>
      <c r="G2015" t="s">
        <v>96</v>
      </c>
      <c r="H2015">
        <v>2032</v>
      </c>
      <c r="I2015" t="s">
        <v>96</v>
      </c>
      <c r="J2015" t="s">
        <v>3112</v>
      </c>
      <c r="K2015" t="s">
        <v>96</v>
      </c>
      <c r="L2015" t="s">
        <v>96</v>
      </c>
      <c r="M2015">
        <v>4295.0021143411386</v>
      </c>
      <c r="O2015" s="12" t="str">
        <f t="shared" si="76"/>
        <v>URA</v>
      </c>
      <c r="P2015" s="12" t="str">
        <f t="shared" si="77"/>
        <v>EN_ZC</v>
      </c>
    </row>
    <row r="2016" spans="1:16" x14ac:dyDescent="0.35">
      <c r="A2016" t="s">
        <v>2383</v>
      </c>
      <c r="B2016" t="s">
        <v>81</v>
      </c>
      <c r="C2016" t="s">
        <v>45</v>
      </c>
      <c r="D2016" t="s">
        <v>33</v>
      </c>
      <c r="E2016" t="s">
        <v>96</v>
      </c>
      <c r="F2016" t="s">
        <v>96</v>
      </c>
      <c r="G2016" t="s">
        <v>96</v>
      </c>
      <c r="H2016">
        <v>2033</v>
      </c>
      <c r="I2016" t="s">
        <v>96</v>
      </c>
      <c r="J2016" t="s">
        <v>3112</v>
      </c>
      <c r="K2016" t="s">
        <v>96</v>
      </c>
      <c r="L2016" t="s">
        <v>96</v>
      </c>
      <c r="M2016">
        <v>4241.6131188533618</v>
      </c>
      <c r="O2016" s="12" t="str">
        <f t="shared" si="76"/>
        <v>URA</v>
      </c>
      <c r="P2016" s="12" t="str">
        <f t="shared" si="77"/>
        <v>EN_ZC</v>
      </c>
    </row>
    <row r="2017" spans="1:16" x14ac:dyDescent="0.35">
      <c r="A2017" t="s">
        <v>2383</v>
      </c>
      <c r="B2017" t="s">
        <v>81</v>
      </c>
      <c r="C2017" t="s">
        <v>45</v>
      </c>
      <c r="D2017" t="s">
        <v>33</v>
      </c>
      <c r="E2017" t="s">
        <v>96</v>
      </c>
      <c r="F2017" t="s">
        <v>96</v>
      </c>
      <c r="G2017" t="s">
        <v>96</v>
      </c>
      <c r="H2017">
        <v>2034</v>
      </c>
      <c r="I2017" t="s">
        <v>96</v>
      </c>
      <c r="J2017" t="s">
        <v>3112</v>
      </c>
      <c r="K2017" t="s">
        <v>96</v>
      </c>
      <c r="L2017" t="s">
        <v>96</v>
      </c>
      <c r="M2017">
        <v>4188.9092834511175</v>
      </c>
      <c r="O2017" s="12" t="str">
        <f t="shared" si="76"/>
        <v>URA</v>
      </c>
      <c r="P2017" s="12" t="str">
        <f t="shared" si="77"/>
        <v>EN_ZC</v>
      </c>
    </row>
    <row r="2018" spans="1:16" x14ac:dyDescent="0.35">
      <c r="A2018" t="s">
        <v>2383</v>
      </c>
      <c r="B2018" t="s">
        <v>81</v>
      </c>
      <c r="C2018" t="s">
        <v>45</v>
      </c>
      <c r="D2018" t="s">
        <v>33</v>
      </c>
      <c r="E2018" t="s">
        <v>96</v>
      </c>
      <c r="F2018" t="s">
        <v>96</v>
      </c>
      <c r="G2018" t="s">
        <v>96</v>
      </c>
      <c r="H2018">
        <v>2035</v>
      </c>
      <c r="I2018" t="s">
        <v>96</v>
      </c>
      <c r="J2018" t="s">
        <v>3112</v>
      </c>
      <c r="K2018" t="s">
        <v>96</v>
      </c>
      <c r="L2018" t="s">
        <v>96</v>
      </c>
      <c r="M2018">
        <v>4133.6199626496991</v>
      </c>
      <c r="O2018" s="12" t="str">
        <f t="shared" si="76"/>
        <v>URA</v>
      </c>
      <c r="P2018" s="12" t="str">
        <f t="shared" si="77"/>
        <v>EN_ZC</v>
      </c>
    </row>
    <row r="2019" spans="1:16" x14ac:dyDescent="0.35">
      <c r="A2019" t="s">
        <v>2383</v>
      </c>
      <c r="B2019" t="s">
        <v>81</v>
      </c>
      <c r="C2019" t="s">
        <v>45</v>
      </c>
      <c r="D2019" t="s">
        <v>33</v>
      </c>
      <c r="E2019" t="s">
        <v>96</v>
      </c>
      <c r="F2019" t="s">
        <v>96</v>
      </c>
      <c r="G2019" t="s">
        <v>96</v>
      </c>
      <c r="H2019">
        <v>2036</v>
      </c>
      <c r="I2019" t="s">
        <v>96</v>
      </c>
      <c r="J2019" t="s">
        <v>3112</v>
      </c>
      <c r="K2019" t="s">
        <v>96</v>
      </c>
      <c r="L2019" t="s">
        <v>96</v>
      </c>
      <c r="M2019">
        <v>4080.9917157851337</v>
      </c>
      <c r="O2019" s="12" t="str">
        <f t="shared" si="76"/>
        <v>URA</v>
      </c>
      <c r="P2019" s="12" t="str">
        <f t="shared" si="77"/>
        <v>EN_ZC</v>
      </c>
    </row>
    <row r="2020" spans="1:16" x14ac:dyDescent="0.35">
      <c r="A2020" t="s">
        <v>2383</v>
      </c>
      <c r="B2020" t="s">
        <v>81</v>
      </c>
      <c r="C2020" t="s">
        <v>45</v>
      </c>
      <c r="D2020" t="s">
        <v>33</v>
      </c>
      <c r="E2020" t="s">
        <v>96</v>
      </c>
      <c r="F2020" t="s">
        <v>96</v>
      </c>
      <c r="G2020" t="s">
        <v>96</v>
      </c>
      <c r="H2020">
        <v>2037</v>
      </c>
      <c r="I2020" t="s">
        <v>96</v>
      </c>
      <c r="J2020" t="s">
        <v>3112</v>
      </c>
      <c r="K2020" t="s">
        <v>96</v>
      </c>
      <c r="L2020" t="s">
        <v>96</v>
      </c>
      <c r="M2020">
        <v>4029.2280965600849</v>
      </c>
      <c r="O2020" s="12" t="str">
        <f t="shared" si="76"/>
        <v>URA</v>
      </c>
      <c r="P2020" s="12" t="str">
        <f t="shared" si="77"/>
        <v>EN_ZC</v>
      </c>
    </row>
    <row r="2021" spans="1:16" x14ac:dyDescent="0.35">
      <c r="A2021" t="s">
        <v>2383</v>
      </c>
      <c r="B2021" t="s">
        <v>81</v>
      </c>
      <c r="C2021" t="s">
        <v>45</v>
      </c>
      <c r="D2021" t="s">
        <v>33</v>
      </c>
      <c r="E2021" t="s">
        <v>96</v>
      </c>
      <c r="F2021" t="s">
        <v>96</v>
      </c>
      <c r="G2021" t="s">
        <v>96</v>
      </c>
      <c r="H2021">
        <v>2038</v>
      </c>
      <c r="I2021" t="s">
        <v>96</v>
      </c>
      <c r="J2021" t="s">
        <v>3112</v>
      </c>
      <c r="K2021" t="s">
        <v>96</v>
      </c>
      <c r="L2021" t="s">
        <v>96</v>
      </c>
      <c r="M2021">
        <v>3979.2755106558011</v>
      </c>
      <c r="O2021" s="12" t="str">
        <f t="shared" si="76"/>
        <v>URA</v>
      </c>
      <c r="P2021" s="12" t="str">
        <f t="shared" si="77"/>
        <v>EN_ZC</v>
      </c>
    </row>
    <row r="2022" spans="1:16" x14ac:dyDescent="0.35">
      <c r="A2022" t="s">
        <v>2383</v>
      </c>
      <c r="B2022" t="s">
        <v>81</v>
      </c>
      <c r="C2022" t="s">
        <v>45</v>
      </c>
      <c r="D2022" t="s">
        <v>33</v>
      </c>
      <c r="E2022" t="s">
        <v>96</v>
      </c>
      <c r="F2022" t="s">
        <v>96</v>
      </c>
      <c r="G2022" t="s">
        <v>96</v>
      </c>
      <c r="H2022">
        <v>2039</v>
      </c>
      <c r="I2022" t="s">
        <v>96</v>
      </c>
      <c r="J2022" t="s">
        <v>3112</v>
      </c>
      <c r="K2022" t="s">
        <v>96</v>
      </c>
      <c r="L2022" t="s">
        <v>96</v>
      </c>
      <c r="M2022">
        <v>3928.9127119063155</v>
      </c>
      <c r="O2022" s="12" t="str">
        <f t="shared" si="76"/>
        <v>URA</v>
      </c>
      <c r="P2022" s="12" t="str">
        <f t="shared" si="77"/>
        <v>EN_ZC</v>
      </c>
    </row>
    <row r="2023" spans="1:16" x14ac:dyDescent="0.35">
      <c r="A2023" t="s">
        <v>2383</v>
      </c>
      <c r="B2023" t="s">
        <v>81</v>
      </c>
      <c r="C2023" t="s">
        <v>45</v>
      </c>
      <c r="D2023" t="s">
        <v>33</v>
      </c>
      <c r="E2023" t="s">
        <v>96</v>
      </c>
      <c r="F2023" t="s">
        <v>96</v>
      </c>
      <c r="G2023" t="s">
        <v>96</v>
      </c>
      <c r="H2023">
        <v>2040</v>
      </c>
      <c r="I2023" t="s">
        <v>96</v>
      </c>
      <c r="J2023" t="s">
        <v>3112</v>
      </c>
      <c r="K2023" t="s">
        <v>96</v>
      </c>
      <c r="L2023" t="s">
        <v>96</v>
      </c>
      <c r="M2023">
        <v>3880.2455738319759</v>
      </c>
      <c r="O2023" s="12" t="str">
        <f t="shared" si="76"/>
        <v>URA</v>
      </c>
      <c r="P2023" s="12" t="str">
        <f t="shared" si="77"/>
        <v>EN_ZC</v>
      </c>
    </row>
    <row r="2024" spans="1:16" x14ac:dyDescent="0.35">
      <c r="A2024" t="s">
        <v>2383</v>
      </c>
      <c r="B2024" t="s">
        <v>81</v>
      </c>
      <c r="C2024" t="s">
        <v>45</v>
      </c>
      <c r="D2024" t="s">
        <v>33</v>
      </c>
      <c r="E2024" t="s">
        <v>96</v>
      </c>
      <c r="F2024" t="s">
        <v>96</v>
      </c>
      <c r="G2024" t="s">
        <v>96</v>
      </c>
      <c r="H2024">
        <v>2041</v>
      </c>
      <c r="I2024" t="s">
        <v>96</v>
      </c>
      <c r="J2024" t="s">
        <v>3112</v>
      </c>
      <c r="K2024" t="s">
        <v>96</v>
      </c>
      <c r="L2024" t="s">
        <v>96</v>
      </c>
      <c r="M2024">
        <v>3832.7440921955204</v>
      </c>
      <c r="O2024" s="12" t="str">
        <f t="shared" si="76"/>
        <v>URA</v>
      </c>
      <c r="P2024" s="12" t="str">
        <f t="shared" si="77"/>
        <v>EN_ZC</v>
      </c>
    </row>
    <row r="2025" spans="1:16" x14ac:dyDescent="0.35">
      <c r="A2025" t="s">
        <v>2383</v>
      </c>
      <c r="B2025" t="s">
        <v>81</v>
      </c>
      <c r="C2025" t="s">
        <v>45</v>
      </c>
      <c r="D2025" t="s">
        <v>33</v>
      </c>
      <c r="E2025" t="s">
        <v>96</v>
      </c>
      <c r="F2025" t="s">
        <v>96</v>
      </c>
      <c r="G2025" t="s">
        <v>96</v>
      </c>
      <c r="H2025">
        <v>2042</v>
      </c>
      <c r="I2025" t="s">
        <v>96</v>
      </c>
      <c r="J2025" t="s">
        <v>3112</v>
      </c>
      <c r="K2025" t="s">
        <v>96</v>
      </c>
      <c r="L2025" t="s">
        <v>96</v>
      </c>
      <c r="M2025">
        <v>3782.4767740376801</v>
      </c>
      <c r="O2025" s="12" t="str">
        <f t="shared" si="76"/>
        <v>URA</v>
      </c>
      <c r="P2025" s="12" t="str">
        <f t="shared" si="77"/>
        <v>EN_ZC</v>
      </c>
    </row>
    <row r="2026" spans="1:16" x14ac:dyDescent="0.35">
      <c r="A2026" t="s">
        <v>2383</v>
      </c>
      <c r="B2026" t="s">
        <v>81</v>
      </c>
      <c r="C2026" t="s">
        <v>45</v>
      </c>
      <c r="D2026" t="s">
        <v>33</v>
      </c>
      <c r="E2026" t="s">
        <v>96</v>
      </c>
      <c r="F2026" t="s">
        <v>96</v>
      </c>
      <c r="G2026" t="s">
        <v>96</v>
      </c>
      <c r="H2026">
        <v>2043</v>
      </c>
      <c r="I2026" t="s">
        <v>96</v>
      </c>
      <c r="J2026" t="s">
        <v>3112</v>
      </c>
      <c r="K2026" t="s">
        <v>96</v>
      </c>
      <c r="L2026" t="s">
        <v>96</v>
      </c>
      <c r="M2026">
        <v>3737.996185014254</v>
      </c>
      <c r="O2026" s="12" t="str">
        <f t="shared" si="76"/>
        <v>URA</v>
      </c>
      <c r="P2026" s="12" t="str">
        <f t="shared" si="77"/>
        <v>EN_ZC</v>
      </c>
    </row>
    <row r="2027" spans="1:16" x14ac:dyDescent="0.35">
      <c r="A2027" t="s">
        <v>2383</v>
      </c>
      <c r="B2027" t="s">
        <v>81</v>
      </c>
      <c r="C2027" t="s">
        <v>45</v>
      </c>
      <c r="D2027" t="s">
        <v>33</v>
      </c>
      <c r="E2027" t="s">
        <v>96</v>
      </c>
      <c r="F2027" t="s">
        <v>96</v>
      </c>
      <c r="G2027" t="s">
        <v>96</v>
      </c>
      <c r="H2027">
        <v>2044</v>
      </c>
      <c r="I2027" t="s">
        <v>96</v>
      </c>
      <c r="J2027" t="s">
        <v>3112</v>
      </c>
      <c r="K2027" t="s">
        <v>96</v>
      </c>
      <c r="L2027" t="s">
        <v>96</v>
      </c>
      <c r="M2027">
        <v>3688.82821765479</v>
      </c>
      <c r="O2027" s="12" t="str">
        <f t="shared" si="76"/>
        <v>URA</v>
      </c>
      <c r="P2027" s="12" t="str">
        <f t="shared" si="77"/>
        <v>EN_ZC</v>
      </c>
    </row>
    <row r="2028" spans="1:16" x14ac:dyDescent="0.35">
      <c r="A2028" t="s">
        <v>2383</v>
      </c>
      <c r="B2028" t="s">
        <v>81</v>
      </c>
      <c r="C2028" t="s">
        <v>45</v>
      </c>
      <c r="D2028" t="s">
        <v>33</v>
      </c>
      <c r="E2028" t="s">
        <v>96</v>
      </c>
      <c r="F2028" t="s">
        <v>96</v>
      </c>
      <c r="G2028" t="s">
        <v>96</v>
      </c>
      <c r="H2028">
        <v>2045</v>
      </c>
      <c r="I2028" t="s">
        <v>96</v>
      </c>
      <c r="J2028" t="s">
        <v>3112</v>
      </c>
      <c r="K2028" t="s">
        <v>96</v>
      </c>
      <c r="L2028" t="s">
        <v>96</v>
      </c>
      <c r="M2028">
        <v>3644.5465455498938</v>
      </c>
      <c r="O2028" s="12" t="str">
        <f t="shared" si="76"/>
        <v>URA</v>
      </c>
      <c r="P2028" s="12" t="str">
        <f t="shared" si="77"/>
        <v>EN_ZC</v>
      </c>
    </row>
    <row r="2029" spans="1:16" x14ac:dyDescent="0.35">
      <c r="A2029" t="s">
        <v>2383</v>
      </c>
      <c r="B2029" t="s">
        <v>81</v>
      </c>
      <c r="C2029" t="s">
        <v>45</v>
      </c>
      <c r="D2029" t="s">
        <v>33</v>
      </c>
      <c r="E2029" t="s">
        <v>96</v>
      </c>
      <c r="F2029" t="s">
        <v>96</v>
      </c>
      <c r="G2029" t="s">
        <v>96</v>
      </c>
      <c r="H2029">
        <v>2046</v>
      </c>
      <c r="I2029" t="s">
        <v>96</v>
      </c>
      <c r="J2029" t="s">
        <v>3112</v>
      </c>
      <c r="K2029" t="s">
        <v>96</v>
      </c>
      <c r="L2029" t="s">
        <v>96</v>
      </c>
      <c r="M2029">
        <v>3596.4827904246408</v>
      </c>
      <c r="O2029" s="12" t="str">
        <f t="shared" si="76"/>
        <v>URA</v>
      </c>
      <c r="P2029" s="12" t="str">
        <f t="shared" si="77"/>
        <v>EN_ZC</v>
      </c>
    </row>
    <row r="2030" spans="1:16" x14ac:dyDescent="0.35">
      <c r="A2030" t="s">
        <v>2383</v>
      </c>
      <c r="B2030" t="s">
        <v>81</v>
      </c>
      <c r="C2030" t="s">
        <v>45</v>
      </c>
      <c r="D2030" t="s">
        <v>33</v>
      </c>
      <c r="E2030" t="s">
        <v>96</v>
      </c>
      <c r="F2030" t="s">
        <v>96</v>
      </c>
      <c r="G2030" t="s">
        <v>96</v>
      </c>
      <c r="H2030">
        <v>2047</v>
      </c>
      <c r="I2030" t="s">
        <v>96</v>
      </c>
      <c r="J2030" t="s">
        <v>3112</v>
      </c>
      <c r="K2030" t="s">
        <v>96</v>
      </c>
      <c r="L2030" t="s">
        <v>96</v>
      </c>
      <c r="M2030">
        <v>3551.8099148655847</v>
      </c>
      <c r="O2030" s="12" t="str">
        <f t="shared" si="76"/>
        <v>URA</v>
      </c>
      <c r="P2030" s="12" t="str">
        <f t="shared" si="77"/>
        <v>EN_ZC</v>
      </c>
    </row>
    <row r="2031" spans="1:16" x14ac:dyDescent="0.35">
      <c r="A2031" t="s">
        <v>2383</v>
      </c>
      <c r="B2031" t="s">
        <v>81</v>
      </c>
      <c r="C2031" t="s">
        <v>45</v>
      </c>
      <c r="D2031" t="s">
        <v>33</v>
      </c>
      <c r="E2031" t="s">
        <v>96</v>
      </c>
      <c r="F2031" t="s">
        <v>96</v>
      </c>
      <c r="G2031" t="s">
        <v>96</v>
      </c>
      <c r="H2031">
        <v>2048</v>
      </c>
      <c r="I2031" t="s">
        <v>96</v>
      </c>
      <c r="J2031" t="s">
        <v>3112</v>
      </c>
      <c r="K2031" t="s">
        <v>96</v>
      </c>
      <c r="L2031" t="s">
        <v>96</v>
      </c>
      <c r="M2031">
        <v>3507.1522890061115</v>
      </c>
      <c r="O2031" s="12" t="str">
        <f t="shared" si="76"/>
        <v>URA</v>
      </c>
      <c r="P2031" s="12" t="str">
        <f t="shared" si="77"/>
        <v>EN_ZC</v>
      </c>
    </row>
    <row r="2032" spans="1:16" x14ac:dyDescent="0.35">
      <c r="A2032" t="s">
        <v>2383</v>
      </c>
      <c r="B2032" t="s">
        <v>81</v>
      </c>
      <c r="C2032" t="s">
        <v>45</v>
      </c>
      <c r="D2032" t="s">
        <v>33</v>
      </c>
      <c r="E2032" t="s">
        <v>96</v>
      </c>
      <c r="F2032" t="s">
        <v>96</v>
      </c>
      <c r="G2032" t="s">
        <v>96</v>
      </c>
      <c r="H2032">
        <v>2049</v>
      </c>
      <c r="I2032" t="s">
        <v>96</v>
      </c>
      <c r="J2032" t="s">
        <v>3112</v>
      </c>
      <c r="K2032" t="s">
        <v>96</v>
      </c>
      <c r="L2032" t="s">
        <v>96</v>
      </c>
      <c r="M2032">
        <v>3462.5775456486786</v>
      </c>
      <c r="O2032" s="12" t="str">
        <f t="shared" si="76"/>
        <v>URA</v>
      </c>
      <c r="P2032" s="12" t="str">
        <f t="shared" si="77"/>
        <v>EN_ZC</v>
      </c>
    </row>
    <row r="2033" spans="1:16" x14ac:dyDescent="0.35">
      <c r="A2033" t="s">
        <v>2383</v>
      </c>
      <c r="B2033" t="s">
        <v>81</v>
      </c>
      <c r="C2033" t="s">
        <v>45</v>
      </c>
      <c r="D2033" t="s">
        <v>33</v>
      </c>
      <c r="E2033" t="s">
        <v>96</v>
      </c>
      <c r="F2033" t="s">
        <v>96</v>
      </c>
      <c r="G2033" t="s">
        <v>96</v>
      </c>
      <c r="H2033">
        <v>2050</v>
      </c>
      <c r="I2033" t="s">
        <v>96</v>
      </c>
      <c r="J2033" t="s">
        <v>3112</v>
      </c>
      <c r="K2033" t="s">
        <v>96</v>
      </c>
      <c r="L2033" t="s">
        <v>96</v>
      </c>
      <c r="M2033">
        <v>3418.4017423991841</v>
      </c>
      <c r="O2033" s="12" t="str">
        <f t="shared" si="76"/>
        <v>URA</v>
      </c>
      <c r="P2033" s="12" t="str">
        <f t="shared" si="77"/>
        <v>EN_ZC</v>
      </c>
    </row>
    <row r="2034" spans="1:16" x14ac:dyDescent="0.35">
      <c r="A2034" t="s">
        <v>2383</v>
      </c>
      <c r="B2034" t="s">
        <v>82</v>
      </c>
      <c r="C2034" t="s">
        <v>45</v>
      </c>
      <c r="D2034" t="s">
        <v>32</v>
      </c>
      <c r="E2034" t="s">
        <v>96</v>
      </c>
      <c r="F2034" t="s">
        <v>96</v>
      </c>
      <c r="G2034" t="s">
        <v>96</v>
      </c>
      <c r="H2034">
        <v>2010</v>
      </c>
      <c r="I2034" t="s">
        <v>96</v>
      </c>
      <c r="J2034" t="s">
        <v>2382</v>
      </c>
      <c r="K2034" t="s">
        <v>96</v>
      </c>
      <c r="L2034" t="s">
        <v>96</v>
      </c>
      <c r="M2034">
        <v>3718.04794517343</v>
      </c>
      <c r="O2034" s="12" t="str">
        <f t="shared" si="76"/>
        <v>USA</v>
      </c>
      <c r="P2034" s="12" t="str">
        <f t="shared" si="77"/>
        <v>EN_CO</v>
      </c>
    </row>
    <row r="2035" spans="1:16" x14ac:dyDescent="0.35">
      <c r="A2035" t="s">
        <v>2383</v>
      </c>
      <c r="B2035" t="s">
        <v>82</v>
      </c>
      <c r="C2035" t="s">
        <v>45</v>
      </c>
      <c r="D2035" t="s">
        <v>31</v>
      </c>
      <c r="E2035" t="s">
        <v>96</v>
      </c>
      <c r="F2035" t="s">
        <v>96</v>
      </c>
      <c r="G2035" t="s">
        <v>96</v>
      </c>
      <c r="H2035">
        <v>2010</v>
      </c>
      <c r="I2035" t="s">
        <v>96</v>
      </c>
      <c r="J2035" t="s">
        <v>2382</v>
      </c>
      <c r="K2035" t="s">
        <v>96</v>
      </c>
      <c r="L2035" t="s">
        <v>96</v>
      </c>
      <c r="M2035">
        <v>2882.65777101602</v>
      </c>
      <c r="O2035" s="12" t="str">
        <f t="shared" si="76"/>
        <v>USA</v>
      </c>
      <c r="P2035" s="12" t="str">
        <f t="shared" si="77"/>
        <v>EN_CO</v>
      </c>
    </row>
    <row r="2036" spans="1:16" x14ac:dyDescent="0.35">
      <c r="A2036" t="s">
        <v>2383</v>
      </c>
      <c r="B2036" t="s">
        <v>82</v>
      </c>
      <c r="C2036" t="s">
        <v>45</v>
      </c>
      <c r="D2036" t="s">
        <v>33</v>
      </c>
      <c r="E2036" t="s">
        <v>96</v>
      </c>
      <c r="F2036" t="s">
        <v>96</v>
      </c>
      <c r="G2036" t="s">
        <v>96</v>
      </c>
      <c r="H2036">
        <v>2019</v>
      </c>
      <c r="I2036" t="s">
        <v>96</v>
      </c>
      <c r="J2036" t="s">
        <v>3112</v>
      </c>
      <c r="K2036" t="s">
        <v>96</v>
      </c>
      <c r="L2036" t="s">
        <v>96</v>
      </c>
      <c r="M2036">
        <v>5715.7879928716902</v>
      </c>
      <c r="O2036" s="12" t="str">
        <f t="shared" si="76"/>
        <v>USA</v>
      </c>
      <c r="P2036" s="12" t="str">
        <f t="shared" si="77"/>
        <v>EN_ZC</v>
      </c>
    </row>
    <row r="2037" spans="1:16" x14ac:dyDescent="0.35">
      <c r="A2037" t="s">
        <v>2383</v>
      </c>
      <c r="B2037" t="s">
        <v>82</v>
      </c>
      <c r="C2037" t="s">
        <v>45</v>
      </c>
      <c r="D2037" t="s">
        <v>33</v>
      </c>
      <c r="E2037" t="s">
        <v>96</v>
      </c>
      <c r="F2037" t="s">
        <v>96</v>
      </c>
      <c r="G2037" t="s">
        <v>96</v>
      </c>
      <c r="H2037">
        <v>2020</v>
      </c>
      <c r="I2037" t="s">
        <v>96</v>
      </c>
      <c r="J2037" t="s">
        <v>3112</v>
      </c>
      <c r="K2037" t="s">
        <v>96</v>
      </c>
      <c r="L2037" t="s">
        <v>96</v>
      </c>
      <c r="M2037">
        <v>5651.6864103869602</v>
      </c>
      <c r="O2037" s="12" t="str">
        <f t="shared" si="76"/>
        <v>USA</v>
      </c>
      <c r="P2037" s="12" t="str">
        <f t="shared" si="77"/>
        <v>EN_ZC</v>
      </c>
    </row>
    <row r="2038" spans="1:16" x14ac:dyDescent="0.35">
      <c r="A2038" t="s">
        <v>2383</v>
      </c>
      <c r="B2038" t="s">
        <v>82</v>
      </c>
      <c r="C2038" t="s">
        <v>45</v>
      </c>
      <c r="D2038" t="s">
        <v>33</v>
      </c>
      <c r="E2038" t="s">
        <v>96</v>
      </c>
      <c r="F2038" t="s">
        <v>96</v>
      </c>
      <c r="G2038" t="s">
        <v>96</v>
      </c>
      <c r="H2038">
        <v>2021</v>
      </c>
      <c r="I2038" t="s">
        <v>96</v>
      </c>
      <c r="J2038" t="s">
        <v>3112</v>
      </c>
      <c r="K2038" t="s">
        <v>96</v>
      </c>
      <c r="L2038" t="s">
        <v>96</v>
      </c>
      <c r="M2038">
        <v>5513.4993360488797</v>
      </c>
      <c r="O2038" s="12" t="str">
        <f t="shared" si="76"/>
        <v>USA</v>
      </c>
      <c r="P2038" s="12" t="str">
        <f t="shared" si="77"/>
        <v>EN_ZC</v>
      </c>
    </row>
    <row r="2039" spans="1:16" x14ac:dyDescent="0.35">
      <c r="A2039" t="s">
        <v>2383</v>
      </c>
      <c r="B2039" t="s">
        <v>82</v>
      </c>
      <c r="C2039" t="s">
        <v>45</v>
      </c>
      <c r="D2039" t="s">
        <v>33</v>
      </c>
      <c r="E2039" t="s">
        <v>96</v>
      </c>
      <c r="F2039" t="s">
        <v>96</v>
      </c>
      <c r="G2039" t="s">
        <v>96</v>
      </c>
      <c r="H2039">
        <v>2022</v>
      </c>
      <c r="I2039" t="s">
        <v>96</v>
      </c>
      <c r="J2039" t="s">
        <v>3112</v>
      </c>
      <c r="K2039" t="s">
        <v>96</v>
      </c>
      <c r="L2039" t="s">
        <v>96</v>
      </c>
      <c r="M2039">
        <v>5427.6274704684301</v>
      </c>
      <c r="O2039" s="12" t="str">
        <f t="shared" si="76"/>
        <v>USA</v>
      </c>
      <c r="P2039" s="12" t="str">
        <f t="shared" si="77"/>
        <v>EN_ZC</v>
      </c>
    </row>
    <row r="2040" spans="1:16" x14ac:dyDescent="0.35">
      <c r="A2040" t="s">
        <v>2383</v>
      </c>
      <c r="B2040" t="s">
        <v>82</v>
      </c>
      <c r="C2040" t="s">
        <v>45</v>
      </c>
      <c r="D2040" t="s">
        <v>33</v>
      </c>
      <c r="E2040" t="s">
        <v>96</v>
      </c>
      <c r="F2040" t="s">
        <v>96</v>
      </c>
      <c r="G2040" t="s">
        <v>96</v>
      </c>
      <c r="H2040">
        <v>2023</v>
      </c>
      <c r="I2040" t="s">
        <v>96</v>
      </c>
      <c r="J2040" t="s">
        <v>3112</v>
      </c>
      <c r="K2040" t="s">
        <v>96</v>
      </c>
      <c r="L2040" t="s">
        <v>96</v>
      </c>
      <c r="M2040">
        <v>5366.8807077393103</v>
      </c>
      <c r="O2040" s="12" t="str">
        <f t="shared" si="76"/>
        <v>USA</v>
      </c>
      <c r="P2040" s="12" t="str">
        <f t="shared" si="77"/>
        <v>EN_ZC</v>
      </c>
    </row>
    <row r="2041" spans="1:16" x14ac:dyDescent="0.35">
      <c r="A2041" t="s">
        <v>2383</v>
      </c>
      <c r="B2041" t="s">
        <v>82</v>
      </c>
      <c r="C2041" t="s">
        <v>45</v>
      </c>
      <c r="D2041" t="s">
        <v>33</v>
      </c>
      <c r="E2041" t="s">
        <v>96</v>
      </c>
      <c r="F2041" t="s">
        <v>96</v>
      </c>
      <c r="G2041" t="s">
        <v>96</v>
      </c>
      <c r="H2041">
        <v>2024</v>
      </c>
      <c r="I2041" t="s">
        <v>96</v>
      </c>
      <c r="J2041" t="s">
        <v>3112</v>
      </c>
      <c r="K2041" t="s">
        <v>96</v>
      </c>
      <c r="L2041" t="s">
        <v>96</v>
      </c>
      <c r="M2041">
        <v>5317.9441863543798</v>
      </c>
      <c r="O2041" s="12" t="str">
        <f t="shared" si="76"/>
        <v>USA</v>
      </c>
      <c r="P2041" s="12" t="str">
        <f t="shared" si="77"/>
        <v>EN_ZC</v>
      </c>
    </row>
    <row r="2042" spans="1:16" x14ac:dyDescent="0.35">
      <c r="A2042" t="s">
        <v>2383</v>
      </c>
      <c r="B2042" t="s">
        <v>82</v>
      </c>
      <c r="C2042" t="s">
        <v>45</v>
      </c>
      <c r="D2042" t="s">
        <v>33</v>
      </c>
      <c r="E2042" t="s">
        <v>96</v>
      </c>
      <c r="F2042" t="s">
        <v>96</v>
      </c>
      <c r="G2042" t="s">
        <v>96</v>
      </c>
      <c r="H2042">
        <v>2025</v>
      </c>
      <c r="I2042" t="s">
        <v>96</v>
      </c>
      <c r="J2042" t="s">
        <v>3112</v>
      </c>
      <c r="K2042" t="s">
        <v>96</v>
      </c>
      <c r="L2042" t="s">
        <v>96</v>
      </c>
      <c r="M2042">
        <v>5278.0965580448101</v>
      </c>
      <c r="O2042" s="12" t="str">
        <f t="shared" si="76"/>
        <v>USA</v>
      </c>
      <c r="P2042" s="12" t="str">
        <f t="shared" si="77"/>
        <v>EN_ZC</v>
      </c>
    </row>
    <row r="2043" spans="1:16" x14ac:dyDescent="0.35">
      <c r="A2043" t="s">
        <v>2383</v>
      </c>
      <c r="B2043" t="s">
        <v>82</v>
      </c>
      <c r="C2043" t="s">
        <v>45</v>
      </c>
      <c r="D2043" t="s">
        <v>33</v>
      </c>
      <c r="E2043" t="s">
        <v>96</v>
      </c>
      <c r="F2043" t="s">
        <v>96</v>
      </c>
      <c r="G2043" t="s">
        <v>96</v>
      </c>
      <c r="H2043">
        <v>2026</v>
      </c>
      <c r="I2043" t="s">
        <v>96</v>
      </c>
      <c r="J2043" t="s">
        <v>3112</v>
      </c>
      <c r="K2043" t="s">
        <v>96</v>
      </c>
      <c r="L2043" t="s">
        <v>96</v>
      </c>
      <c r="M2043">
        <v>5225.5754959266797</v>
      </c>
      <c r="O2043" s="12" t="str">
        <f t="shared" si="76"/>
        <v>USA</v>
      </c>
      <c r="P2043" s="12" t="str">
        <f t="shared" si="77"/>
        <v>EN_ZC</v>
      </c>
    </row>
    <row r="2044" spans="1:16" x14ac:dyDescent="0.35">
      <c r="A2044" t="s">
        <v>2383</v>
      </c>
      <c r="B2044" t="s">
        <v>82</v>
      </c>
      <c r="C2044" t="s">
        <v>45</v>
      </c>
      <c r="D2044" t="s">
        <v>33</v>
      </c>
      <c r="E2044" t="s">
        <v>96</v>
      </c>
      <c r="F2044" t="s">
        <v>96</v>
      </c>
      <c r="G2044" t="s">
        <v>96</v>
      </c>
      <c r="H2044">
        <v>2027</v>
      </c>
      <c r="I2044" t="s">
        <v>96</v>
      </c>
      <c r="J2044" t="s">
        <v>3112</v>
      </c>
      <c r="K2044" t="s">
        <v>96</v>
      </c>
      <c r="L2044" t="s">
        <v>96</v>
      </c>
      <c r="M2044">
        <v>5162.7493116089599</v>
      </c>
      <c r="O2044" s="12" t="str">
        <f t="shared" si="76"/>
        <v>USA</v>
      </c>
      <c r="P2044" s="12" t="str">
        <f t="shared" si="77"/>
        <v>EN_ZC</v>
      </c>
    </row>
    <row r="2045" spans="1:16" x14ac:dyDescent="0.35">
      <c r="A2045" t="s">
        <v>2383</v>
      </c>
      <c r="B2045" t="s">
        <v>82</v>
      </c>
      <c r="C2045" t="s">
        <v>45</v>
      </c>
      <c r="D2045" t="s">
        <v>33</v>
      </c>
      <c r="E2045" t="s">
        <v>96</v>
      </c>
      <c r="F2045" t="s">
        <v>96</v>
      </c>
      <c r="G2045" t="s">
        <v>96</v>
      </c>
      <c r="H2045">
        <v>2028</v>
      </c>
      <c r="I2045" t="s">
        <v>96</v>
      </c>
      <c r="J2045" t="s">
        <v>3112</v>
      </c>
      <c r="K2045" t="s">
        <v>96</v>
      </c>
      <c r="L2045" t="s">
        <v>96</v>
      </c>
      <c r="M2045">
        <v>5092.6073625254603</v>
      </c>
      <c r="O2045" s="12" t="str">
        <f t="shared" si="76"/>
        <v>USA</v>
      </c>
      <c r="P2045" s="12" t="str">
        <f t="shared" si="77"/>
        <v>EN_ZC</v>
      </c>
    </row>
    <row r="2046" spans="1:16" x14ac:dyDescent="0.35">
      <c r="A2046" t="s">
        <v>2383</v>
      </c>
      <c r="B2046" t="s">
        <v>82</v>
      </c>
      <c r="C2046" t="s">
        <v>45</v>
      </c>
      <c r="D2046" t="s">
        <v>33</v>
      </c>
      <c r="E2046" t="s">
        <v>96</v>
      </c>
      <c r="F2046" t="s">
        <v>96</v>
      </c>
      <c r="G2046" t="s">
        <v>96</v>
      </c>
      <c r="H2046">
        <v>2029</v>
      </c>
      <c r="I2046" t="s">
        <v>96</v>
      </c>
      <c r="J2046" t="s">
        <v>3112</v>
      </c>
      <c r="K2046" t="s">
        <v>96</v>
      </c>
      <c r="L2046" t="s">
        <v>96</v>
      </c>
      <c r="M2046">
        <v>5020.6420651731196</v>
      </c>
      <c r="O2046" s="12" t="str">
        <f t="shared" si="76"/>
        <v>USA</v>
      </c>
      <c r="P2046" s="12" t="str">
        <f t="shared" si="77"/>
        <v>EN_ZC</v>
      </c>
    </row>
    <row r="2047" spans="1:16" x14ac:dyDescent="0.35">
      <c r="A2047" t="s">
        <v>2383</v>
      </c>
      <c r="B2047" t="s">
        <v>82</v>
      </c>
      <c r="C2047" t="s">
        <v>45</v>
      </c>
      <c r="D2047" t="s">
        <v>33</v>
      </c>
      <c r="E2047" t="s">
        <v>96</v>
      </c>
      <c r="F2047" t="s">
        <v>96</v>
      </c>
      <c r="G2047" t="s">
        <v>96</v>
      </c>
      <c r="H2047">
        <v>2030</v>
      </c>
      <c r="I2047" t="s">
        <v>96</v>
      </c>
      <c r="J2047" t="s">
        <v>3112</v>
      </c>
      <c r="K2047" t="s">
        <v>96</v>
      </c>
      <c r="L2047" t="s">
        <v>96</v>
      </c>
      <c r="M2047">
        <v>4957.2380977596704</v>
      </c>
      <c r="O2047" s="12" t="str">
        <f t="shared" si="76"/>
        <v>USA</v>
      </c>
      <c r="P2047" s="12" t="str">
        <f t="shared" si="77"/>
        <v>EN_ZC</v>
      </c>
    </row>
    <row r="2048" spans="1:16" x14ac:dyDescent="0.35">
      <c r="A2048" t="s">
        <v>2383</v>
      </c>
      <c r="B2048" t="s">
        <v>82</v>
      </c>
      <c r="C2048" t="s">
        <v>45</v>
      </c>
      <c r="D2048" t="s">
        <v>33</v>
      </c>
      <c r="E2048" t="s">
        <v>96</v>
      </c>
      <c r="F2048" t="s">
        <v>96</v>
      </c>
      <c r="G2048" t="s">
        <v>96</v>
      </c>
      <c r="H2048">
        <v>2031</v>
      </c>
      <c r="I2048" t="s">
        <v>96</v>
      </c>
      <c r="J2048" t="s">
        <v>3112</v>
      </c>
      <c r="K2048" t="s">
        <v>96</v>
      </c>
      <c r="L2048" t="s">
        <v>96</v>
      </c>
      <c r="M2048">
        <v>4894.1573319755598</v>
      </c>
      <c r="O2048" s="12" t="str">
        <f t="shared" si="76"/>
        <v>USA</v>
      </c>
      <c r="P2048" s="12" t="str">
        <f t="shared" si="77"/>
        <v>EN_ZC</v>
      </c>
    </row>
    <row r="2049" spans="1:16" x14ac:dyDescent="0.35">
      <c r="A2049" t="s">
        <v>2383</v>
      </c>
      <c r="B2049" t="s">
        <v>82</v>
      </c>
      <c r="C2049" t="s">
        <v>45</v>
      </c>
      <c r="D2049" t="s">
        <v>33</v>
      </c>
      <c r="E2049" t="s">
        <v>96</v>
      </c>
      <c r="F2049" t="s">
        <v>96</v>
      </c>
      <c r="G2049" t="s">
        <v>96</v>
      </c>
      <c r="H2049">
        <v>2032</v>
      </c>
      <c r="I2049" t="s">
        <v>96</v>
      </c>
      <c r="J2049" t="s">
        <v>3112</v>
      </c>
      <c r="K2049" t="s">
        <v>96</v>
      </c>
      <c r="L2049" t="s">
        <v>96</v>
      </c>
      <c r="M2049">
        <v>4831.2734694500996</v>
      </c>
      <c r="O2049" s="12" t="str">
        <f t="shared" si="76"/>
        <v>USA</v>
      </c>
      <c r="P2049" s="12" t="str">
        <f t="shared" si="77"/>
        <v>EN_ZC</v>
      </c>
    </row>
    <row r="2050" spans="1:16" x14ac:dyDescent="0.35">
      <c r="A2050" t="s">
        <v>2383</v>
      </c>
      <c r="B2050" t="s">
        <v>82</v>
      </c>
      <c r="C2050" t="s">
        <v>45</v>
      </c>
      <c r="D2050" t="s">
        <v>33</v>
      </c>
      <c r="E2050" t="s">
        <v>96</v>
      </c>
      <c r="F2050" t="s">
        <v>96</v>
      </c>
      <c r="G2050" t="s">
        <v>96</v>
      </c>
      <c r="H2050">
        <v>2033</v>
      </c>
      <c r="I2050" t="s">
        <v>96</v>
      </c>
      <c r="J2050" t="s">
        <v>3112</v>
      </c>
      <c r="K2050" t="s">
        <v>96</v>
      </c>
      <c r="L2050" t="s">
        <v>96</v>
      </c>
      <c r="M2050">
        <v>4771.2183564154802</v>
      </c>
      <c r="O2050" s="12" t="str">
        <f t="shared" si="76"/>
        <v>USA</v>
      </c>
      <c r="P2050" s="12" t="str">
        <f t="shared" si="77"/>
        <v>EN_ZC</v>
      </c>
    </row>
    <row r="2051" spans="1:16" x14ac:dyDescent="0.35">
      <c r="A2051" t="s">
        <v>2383</v>
      </c>
      <c r="B2051" t="s">
        <v>82</v>
      </c>
      <c r="C2051" t="s">
        <v>45</v>
      </c>
      <c r="D2051" t="s">
        <v>33</v>
      </c>
      <c r="E2051" t="s">
        <v>96</v>
      </c>
      <c r="F2051" t="s">
        <v>96</v>
      </c>
      <c r="G2051" t="s">
        <v>96</v>
      </c>
      <c r="H2051">
        <v>2034</v>
      </c>
      <c r="I2051" t="s">
        <v>96</v>
      </c>
      <c r="J2051" t="s">
        <v>3112</v>
      </c>
      <c r="K2051" t="s">
        <v>96</v>
      </c>
      <c r="L2051" t="s">
        <v>96</v>
      </c>
      <c r="M2051">
        <v>4711.93395213849</v>
      </c>
      <c r="O2051" s="12" t="str">
        <f t="shared" ref="O2051:O2114" si="78">LEFT(B2051,3)</f>
        <v>USA</v>
      </c>
      <c r="P2051" s="12" t="str">
        <f t="shared" ref="P2051:P2114" si="79">LEFT(D2051,5)</f>
        <v>EN_ZC</v>
      </c>
    </row>
    <row r="2052" spans="1:16" x14ac:dyDescent="0.35">
      <c r="A2052" t="s">
        <v>2383</v>
      </c>
      <c r="B2052" t="s">
        <v>82</v>
      </c>
      <c r="C2052" t="s">
        <v>45</v>
      </c>
      <c r="D2052" t="s">
        <v>33</v>
      </c>
      <c r="E2052" t="s">
        <v>96</v>
      </c>
      <c r="F2052" t="s">
        <v>96</v>
      </c>
      <c r="G2052" t="s">
        <v>96</v>
      </c>
      <c r="H2052">
        <v>2035</v>
      </c>
      <c r="I2052" t="s">
        <v>96</v>
      </c>
      <c r="J2052" t="s">
        <v>3112</v>
      </c>
      <c r="K2052" t="s">
        <v>96</v>
      </c>
      <c r="L2052" t="s">
        <v>96</v>
      </c>
      <c r="M2052">
        <v>4649.7412403258704</v>
      </c>
      <c r="O2052" s="12" t="str">
        <f t="shared" si="78"/>
        <v>USA</v>
      </c>
      <c r="P2052" s="12" t="str">
        <f t="shared" si="79"/>
        <v>EN_ZC</v>
      </c>
    </row>
    <row r="2053" spans="1:16" x14ac:dyDescent="0.35">
      <c r="A2053" t="s">
        <v>2383</v>
      </c>
      <c r="B2053" t="s">
        <v>82</v>
      </c>
      <c r="C2053" t="s">
        <v>45</v>
      </c>
      <c r="D2053" t="s">
        <v>33</v>
      </c>
      <c r="E2053" t="s">
        <v>96</v>
      </c>
      <c r="F2053" t="s">
        <v>96</v>
      </c>
      <c r="G2053" t="s">
        <v>96</v>
      </c>
      <c r="H2053">
        <v>2036</v>
      </c>
      <c r="I2053" t="s">
        <v>96</v>
      </c>
      <c r="J2053" t="s">
        <v>3112</v>
      </c>
      <c r="K2053" t="s">
        <v>96</v>
      </c>
      <c r="L2053" t="s">
        <v>96</v>
      </c>
      <c r="M2053">
        <v>4590.5418625254597</v>
      </c>
      <c r="O2053" s="12" t="str">
        <f t="shared" si="78"/>
        <v>USA</v>
      </c>
      <c r="P2053" s="12" t="str">
        <f t="shared" si="79"/>
        <v>EN_ZC</v>
      </c>
    </row>
    <row r="2054" spans="1:16" x14ac:dyDescent="0.35">
      <c r="A2054" t="s">
        <v>2383</v>
      </c>
      <c r="B2054" t="s">
        <v>82</v>
      </c>
      <c r="C2054" t="s">
        <v>45</v>
      </c>
      <c r="D2054" t="s">
        <v>33</v>
      </c>
      <c r="E2054" t="s">
        <v>96</v>
      </c>
      <c r="F2054" t="s">
        <v>96</v>
      </c>
      <c r="G2054" t="s">
        <v>96</v>
      </c>
      <c r="H2054">
        <v>2037</v>
      </c>
      <c r="I2054" t="s">
        <v>96</v>
      </c>
      <c r="J2054" t="s">
        <v>3112</v>
      </c>
      <c r="K2054" t="s">
        <v>96</v>
      </c>
      <c r="L2054" t="s">
        <v>96</v>
      </c>
      <c r="M2054">
        <v>4532.3150692464396</v>
      </c>
      <c r="O2054" s="12" t="str">
        <f t="shared" si="78"/>
        <v>USA</v>
      </c>
      <c r="P2054" s="12" t="str">
        <f t="shared" si="79"/>
        <v>EN_ZC</v>
      </c>
    </row>
    <row r="2055" spans="1:16" x14ac:dyDescent="0.35">
      <c r="A2055" t="s">
        <v>2383</v>
      </c>
      <c r="B2055" t="s">
        <v>82</v>
      </c>
      <c r="C2055" t="s">
        <v>45</v>
      </c>
      <c r="D2055" t="s">
        <v>33</v>
      </c>
      <c r="E2055" t="s">
        <v>96</v>
      </c>
      <c r="F2055" t="s">
        <v>96</v>
      </c>
      <c r="G2055" t="s">
        <v>96</v>
      </c>
      <c r="H2055">
        <v>2038</v>
      </c>
      <c r="I2055" t="s">
        <v>96</v>
      </c>
      <c r="J2055" t="s">
        <v>3112</v>
      </c>
      <c r="K2055" t="s">
        <v>96</v>
      </c>
      <c r="L2055" t="s">
        <v>96</v>
      </c>
      <c r="M2055">
        <v>4476.12543380855</v>
      </c>
      <c r="O2055" s="12" t="str">
        <f t="shared" si="78"/>
        <v>USA</v>
      </c>
      <c r="P2055" s="12" t="str">
        <f t="shared" si="79"/>
        <v>EN_ZC</v>
      </c>
    </row>
    <row r="2056" spans="1:16" x14ac:dyDescent="0.35">
      <c r="A2056" t="s">
        <v>2383</v>
      </c>
      <c r="B2056" t="s">
        <v>82</v>
      </c>
      <c r="C2056" t="s">
        <v>45</v>
      </c>
      <c r="D2056" t="s">
        <v>33</v>
      </c>
      <c r="E2056" t="s">
        <v>96</v>
      </c>
      <c r="F2056" t="s">
        <v>96</v>
      </c>
      <c r="G2056" t="s">
        <v>96</v>
      </c>
      <c r="H2056">
        <v>2039</v>
      </c>
      <c r="I2056" t="s">
        <v>96</v>
      </c>
      <c r="J2056" t="s">
        <v>3112</v>
      </c>
      <c r="K2056" t="s">
        <v>96</v>
      </c>
      <c r="L2056" t="s">
        <v>96</v>
      </c>
      <c r="M2056">
        <v>4419.4743665987799</v>
      </c>
      <c r="O2056" s="12" t="str">
        <f t="shared" si="78"/>
        <v>USA</v>
      </c>
      <c r="P2056" s="12" t="str">
        <f t="shared" si="79"/>
        <v>EN_ZC</v>
      </c>
    </row>
    <row r="2057" spans="1:16" x14ac:dyDescent="0.35">
      <c r="A2057" t="s">
        <v>2383</v>
      </c>
      <c r="B2057" t="s">
        <v>82</v>
      </c>
      <c r="C2057" t="s">
        <v>45</v>
      </c>
      <c r="D2057" t="s">
        <v>33</v>
      </c>
      <c r="E2057" t="s">
        <v>96</v>
      </c>
      <c r="F2057" t="s">
        <v>96</v>
      </c>
      <c r="G2057" t="s">
        <v>96</v>
      </c>
      <c r="H2057">
        <v>2040</v>
      </c>
      <c r="I2057" t="s">
        <v>96</v>
      </c>
      <c r="J2057" t="s">
        <v>3112</v>
      </c>
      <c r="K2057" t="s">
        <v>96</v>
      </c>
      <c r="L2057" t="s">
        <v>96</v>
      </c>
      <c r="M2057">
        <v>4364.7306792260697</v>
      </c>
      <c r="O2057" s="12" t="str">
        <f t="shared" si="78"/>
        <v>USA</v>
      </c>
      <c r="P2057" s="12" t="str">
        <f t="shared" si="79"/>
        <v>EN_ZC</v>
      </c>
    </row>
    <row r="2058" spans="1:16" x14ac:dyDescent="0.35">
      <c r="A2058" t="s">
        <v>2383</v>
      </c>
      <c r="B2058" t="s">
        <v>82</v>
      </c>
      <c r="C2058" t="s">
        <v>45</v>
      </c>
      <c r="D2058" t="s">
        <v>33</v>
      </c>
      <c r="E2058" t="s">
        <v>96</v>
      </c>
      <c r="F2058" t="s">
        <v>96</v>
      </c>
      <c r="G2058" t="s">
        <v>96</v>
      </c>
      <c r="H2058">
        <v>2041</v>
      </c>
      <c r="I2058" t="s">
        <v>96</v>
      </c>
      <c r="J2058" t="s">
        <v>3112</v>
      </c>
      <c r="K2058" t="s">
        <v>96</v>
      </c>
      <c r="L2058" t="s">
        <v>96</v>
      </c>
      <c r="M2058">
        <v>4311.2981914460297</v>
      </c>
      <c r="O2058" s="12" t="str">
        <f t="shared" si="78"/>
        <v>USA</v>
      </c>
      <c r="P2058" s="12" t="str">
        <f t="shared" si="79"/>
        <v>EN_ZC</v>
      </c>
    </row>
    <row r="2059" spans="1:16" x14ac:dyDescent="0.35">
      <c r="A2059" t="s">
        <v>2383</v>
      </c>
      <c r="B2059" t="s">
        <v>82</v>
      </c>
      <c r="C2059" t="s">
        <v>45</v>
      </c>
      <c r="D2059" t="s">
        <v>33</v>
      </c>
      <c r="E2059" t="s">
        <v>96</v>
      </c>
      <c r="F2059" t="s">
        <v>96</v>
      </c>
      <c r="G2059" t="s">
        <v>96</v>
      </c>
      <c r="H2059">
        <v>2042</v>
      </c>
      <c r="I2059" t="s">
        <v>96</v>
      </c>
      <c r="J2059" t="s">
        <v>3112</v>
      </c>
      <c r="K2059" t="s">
        <v>96</v>
      </c>
      <c r="L2059" t="s">
        <v>96</v>
      </c>
      <c r="M2059">
        <v>4254.7545264765804</v>
      </c>
      <c r="O2059" s="12" t="str">
        <f t="shared" si="78"/>
        <v>USA</v>
      </c>
      <c r="P2059" s="12" t="str">
        <f t="shared" si="79"/>
        <v>EN_ZC</v>
      </c>
    </row>
    <row r="2060" spans="1:16" x14ac:dyDescent="0.35">
      <c r="A2060" t="s">
        <v>2383</v>
      </c>
      <c r="B2060" t="s">
        <v>82</v>
      </c>
      <c r="C2060" t="s">
        <v>45</v>
      </c>
      <c r="D2060" t="s">
        <v>33</v>
      </c>
      <c r="E2060" t="s">
        <v>96</v>
      </c>
      <c r="F2060" t="s">
        <v>96</v>
      </c>
      <c r="G2060" t="s">
        <v>96</v>
      </c>
      <c r="H2060">
        <v>2043</v>
      </c>
      <c r="I2060" t="s">
        <v>96</v>
      </c>
      <c r="J2060" t="s">
        <v>3112</v>
      </c>
      <c r="K2060" t="s">
        <v>96</v>
      </c>
      <c r="L2060" t="s">
        <v>96</v>
      </c>
      <c r="M2060">
        <v>4204.7201181262699</v>
      </c>
      <c r="O2060" s="12" t="str">
        <f t="shared" si="78"/>
        <v>USA</v>
      </c>
      <c r="P2060" s="12" t="str">
        <f t="shared" si="79"/>
        <v>EN_ZC</v>
      </c>
    </row>
    <row r="2061" spans="1:16" x14ac:dyDescent="0.35">
      <c r="A2061" t="s">
        <v>2383</v>
      </c>
      <c r="B2061" t="s">
        <v>82</v>
      </c>
      <c r="C2061" t="s">
        <v>45</v>
      </c>
      <c r="D2061" t="s">
        <v>33</v>
      </c>
      <c r="E2061" t="s">
        <v>96</v>
      </c>
      <c r="F2061" t="s">
        <v>96</v>
      </c>
      <c r="G2061" t="s">
        <v>96</v>
      </c>
      <c r="H2061">
        <v>2044</v>
      </c>
      <c r="I2061" t="s">
        <v>96</v>
      </c>
      <c r="J2061" t="s">
        <v>3112</v>
      </c>
      <c r="K2061" t="s">
        <v>96</v>
      </c>
      <c r="L2061" t="s">
        <v>96</v>
      </c>
      <c r="M2061">
        <v>4149.4130682281102</v>
      </c>
      <c r="O2061" s="12" t="str">
        <f t="shared" si="78"/>
        <v>USA</v>
      </c>
      <c r="P2061" s="12" t="str">
        <f t="shared" si="79"/>
        <v>EN_ZC</v>
      </c>
    </row>
    <row r="2062" spans="1:16" x14ac:dyDescent="0.35">
      <c r="A2062" t="s">
        <v>2383</v>
      </c>
      <c r="B2062" t="s">
        <v>82</v>
      </c>
      <c r="C2062" t="s">
        <v>45</v>
      </c>
      <c r="D2062" t="s">
        <v>33</v>
      </c>
      <c r="E2062" t="s">
        <v>96</v>
      </c>
      <c r="F2062" t="s">
        <v>96</v>
      </c>
      <c r="G2062" t="s">
        <v>96</v>
      </c>
      <c r="H2062">
        <v>2045</v>
      </c>
      <c r="I2062" t="s">
        <v>96</v>
      </c>
      <c r="J2062" t="s">
        <v>3112</v>
      </c>
      <c r="K2062" t="s">
        <v>96</v>
      </c>
      <c r="L2062" t="s">
        <v>96</v>
      </c>
      <c r="M2062">
        <v>4099.6024134419504</v>
      </c>
      <c r="O2062" s="12" t="str">
        <f t="shared" si="78"/>
        <v>USA</v>
      </c>
      <c r="P2062" s="12" t="str">
        <f t="shared" si="79"/>
        <v>EN_ZC</v>
      </c>
    </row>
    <row r="2063" spans="1:16" x14ac:dyDescent="0.35">
      <c r="A2063" t="s">
        <v>2383</v>
      </c>
      <c r="B2063" t="s">
        <v>82</v>
      </c>
      <c r="C2063" t="s">
        <v>45</v>
      </c>
      <c r="D2063" t="s">
        <v>33</v>
      </c>
      <c r="E2063" t="s">
        <v>96</v>
      </c>
      <c r="F2063" t="s">
        <v>96</v>
      </c>
      <c r="G2063" t="s">
        <v>96</v>
      </c>
      <c r="H2063">
        <v>2046</v>
      </c>
      <c r="I2063" t="s">
        <v>96</v>
      </c>
      <c r="J2063" t="s">
        <v>3112</v>
      </c>
      <c r="K2063" t="s">
        <v>96</v>
      </c>
      <c r="L2063" t="s">
        <v>96</v>
      </c>
      <c r="M2063">
        <v>4045.53744704684</v>
      </c>
      <c r="O2063" s="12" t="str">
        <f t="shared" si="78"/>
        <v>USA</v>
      </c>
      <c r="P2063" s="12" t="str">
        <f t="shared" si="79"/>
        <v>EN_ZC</v>
      </c>
    </row>
    <row r="2064" spans="1:16" x14ac:dyDescent="0.35">
      <c r="A2064" t="s">
        <v>2383</v>
      </c>
      <c r="B2064" t="s">
        <v>82</v>
      </c>
      <c r="C2064" t="s">
        <v>45</v>
      </c>
      <c r="D2064" t="s">
        <v>33</v>
      </c>
      <c r="E2064" t="s">
        <v>96</v>
      </c>
      <c r="F2064" t="s">
        <v>96</v>
      </c>
      <c r="G2064" t="s">
        <v>96</v>
      </c>
      <c r="H2064">
        <v>2047</v>
      </c>
      <c r="I2064" t="s">
        <v>96</v>
      </c>
      <c r="J2064" t="s">
        <v>3112</v>
      </c>
      <c r="K2064" t="s">
        <v>96</v>
      </c>
      <c r="L2064" t="s">
        <v>96</v>
      </c>
      <c r="M2064">
        <v>3995.2867433808601</v>
      </c>
      <c r="O2064" s="12" t="str">
        <f t="shared" si="78"/>
        <v>USA</v>
      </c>
      <c r="P2064" s="12" t="str">
        <f t="shared" si="79"/>
        <v>EN_ZC</v>
      </c>
    </row>
    <row r="2065" spans="1:16" x14ac:dyDescent="0.35">
      <c r="A2065" t="s">
        <v>2383</v>
      </c>
      <c r="B2065" t="s">
        <v>82</v>
      </c>
      <c r="C2065" t="s">
        <v>45</v>
      </c>
      <c r="D2065" t="s">
        <v>33</v>
      </c>
      <c r="E2065" t="s">
        <v>96</v>
      </c>
      <c r="F2065" t="s">
        <v>96</v>
      </c>
      <c r="G2065" t="s">
        <v>96</v>
      </c>
      <c r="H2065">
        <v>2048</v>
      </c>
      <c r="I2065" t="s">
        <v>96</v>
      </c>
      <c r="J2065" t="s">
        <v>3112</v>
      </c>
      <c r="K2065" t="s">
        <v>96</v>
      </c>
      <c r="L2065" t="s">
        <v>96</v>
      </c>
      <c r="M2065">
        <v>3945.0531934826899</v>
      </c>
      <c r="O2065" s="12" t="str">
        <f t="shared" si="78"/>
        <v>USA</v>
      </c>
      <c r="P2065" s="12" t="str">
        <f t="shared" si="79"/>
        <v>EN_ZC</v>
      </c>
    </row>
    <row r="2066" spans="1:16" x14ac:dyDescent="0.35">
      <c r="A2066" t="s">
        <v>2383</v>
      </c>
      <c r="B2066" t="s">
        <v>82</v>
      </c>
      <c r="C2066" t="s">
        <v>45</v>
      </c>
      <c r="D2066" t="s">
        <v>33</v>
      </c>
      <c r="E2066" t="s">
        <v>96</v>
      </c>
      <c r="F2066" t="s">
        <v>96</v>
      </c>
      <c r="G2066" t="s">
        <v>96</v>
      </c>
      <c r="H2066">
        <v>2049</v>
      </c>
      <c r="I2066" t="s">
        <v>96</v>
      </c>
      <c r="J2066" t="s">
        <v>3112</v>
      </c>
      <c r="K2066" t="s">
        <v>96</v>
      </c>
      <c r="L2066" t="s">
        <v>96</v>
      </c>
      <c r="M2066">
        <v>3894.9128747454201</v>
      </c>
      <c r="O2066" s="12" t="str">
        <f t="shared" si="78"/>
        <v>USA</v>
      </c>
      <c r="P2066" s="12" t="str">
        <f t="shared" si="79"/>
        <v>EN_ZC</v>
      </c>
    </row>
    <row r="2067" spans="1:16" x14ac:dyDescent="0.35">
      <c r="A2067" t="s">
        <v>2383</v>
      </c>
      <c r="B2067" t="s">
        <v>82</v>
      </c>
      <c r="C2067" t="s">
        <v>45</v>
      </c>
      <c r="D2067" t="s">
        <v>33</v>
      </c>
      <c r="E2067" t="s">
        <v>96</v>
      </c>
      <c r="F2067" t="s">
        <v>96</v>
      </c>
      <c r="G2067" t="s">
        <v>96</v>
      </c>
      <c r="H2067">
        <v>2050</v>
      </c>
      <c r="I2067" t="s">
        <v>96</v>
      </c>
      <c r="J2067" t="s">
        <v>3112</v>
      </c>
      <c r="K2067" t="s">
        <v>96</v>
      </c>
      <c r="L2067" t="s">
        <v>96</v>
      </c>
      <c r="M2067">
        <v>3845.2213075356399</v>
      </c>
      <c r="O2067" s="12" t="str">
        <f t="shared" si="78"/>
        <v>USA</v>
      </c>
      <c r="P2067" s="12" t="str">
        <f t="shared" si="79"/>
        <v>EN_ZC</v>
      </c>
    </row>
    <row r="2068" spans="1:16" x14ac:dyDescent="0.35">
      <c r="A2068" t="s">
        <v>2384</v>
      </c>
      <c r="B2068" t="s">
        <v>3110</v>
      </c>
      <c r="C2068" t="s">
        <v>45</v>
      </c>
      <c r="D2068" t="s">
        <v>2412</v>
      </c>
      <c r="E2068" t="s">
        <v>96</v>
      </c>
      <c r="F2068" t="s">
        <v>96</v>
      </c>
      <c r="G2068" t="s">
        <v>96</v>
      </c>
      <c r="H2068">
        <v>2017</v>
      </c>
      <c r="I2068" t="s">
        <v>96</v>
      </c>
      <c r="J2068" t="s">
        <v>97</v>
      </c>
      <c r="K2068" t="s">
        <v>96</v>
      </c>
      <c r="L2068" t="s">
        <v>96</v>
      </c>
      <c r="M2068">
        <v>6000</v>
      </c>
      <c r="O2068" s="12" t="str">
        <f t="shared" si="78"/>
        <v>AFR</v>
      </c>
      <c r="P2068" s="12" t="str">
        <f t="shared" si="79"/>
        <v>EN_Hy</v>
      </c>
    </row>
    <row r="2069" spans="1:16" x14ac:dyDescent="0.35">
      <c r="A2069" t="s">
        <v>2384</v>
      </c>
      <c r="B2069" t="s">
        <v>3110</v>
      </c>
      <c r="C2069" t="s">
        <v>45</v>
      </c>
      <c r="D2069" t="s">
        <v>2413</v>
      </c>
      <c r="E2069" t="s">
        <v>96</v>
      </c>
      <c r="F2069" t="s">
        <v>96</v>
      </c>
      <c r="G2069" t="s">
        <v>96</v>
      </c>
      <c r="H2069">
        <v>2017</v>
      </c>
      <c r="I2069" t="s">
        <v>96</v>
      </c>
      <c r="J2069" t="s">
        <v>97</v>
      </c>
      <c r="K2069" t="s">
        <v>96</v>
      </c>
      <c r="L2069" t="s">
        <v>96</v>
      </c>
      <c r="M2069">
        <v>8000</v>
      </c>
      <c r="O2069" s="12" t="str">
        <f t="shared" si="78"/>
        <v>AFR</v>
      </c>
      <c r="P2069" s="12" t="str">
        <f t="shared" si="79"/>
        <v>EN_Hy</v>
      </c>
    </row>
    <row r="2070" spans="1:16" x14ac:dyDescent="0.35">
      <c r="A2070" t="s">
        <v>2384</v>
      </c>
      <c r="B2070" t="s">
        <v>3110</v>
      </c>
      <c r="C2070" t="s">
        <v>45</v>
      </c>
      <c r="D2070" t="s">
        <v>2414</v>
      </c>
      <c r="E2070" t="s">
        <v>96</v>
      </c>
      <c r="F2070" t="s">
        <v>96</v>
      </c>
      <c r="G2070" t="s">
        <v>96</v>
      </c>
      <c r="H2070">
        <v>2017</v>
      </c>
      <c r="I2070" t="s">
        <v>96</v>
      </c>
      <c r="J2070" t="s">
        <v>97</v>
      </c>
      <c r="K2070" t="s">
        <v>96</v>
      </c>
      <c r="L2070" t="s">
        <v>96</v>
      </c>
      <c r="M2070">
        <v>10000</v>
      </c>
      <c r="O2070" s="12" t="str">
        <f t="shared" si="78"/>
        <v>AFR</v>
      </c>
      <c r="P2070" s="12" t="str">
        <f t="shared" si="79"/>
        <v>EN_Hy</v>
      </c>
    </row>
    <row r="2071" spans="1:16" x14ac:dyDescent="0.35">
      <c r="A2071" t="s">
        <v>2384</v>
      </c>
      <c r="B2071" t="s">
        <v>3110</v>
      </c>
      <c r="C2071" t="s">
        <v>45</v>
      </c>
      <c r="D2071" t="s">
        <v>2415</v>
      </c>
      <c r="E2071" t="s">
        <v>96</v>
      </c>
      <c r="F2071" t="s">
        <v>96</v>
      </c>
      <c r="G2071" t="s">
        <v>96</v>
      </c>
      <c r="H2071">
        <v>2017</v>
      </c>
      <c r="I2071" t="s">
        <v>96</v>
      </c>
      <c r="J2071" t="s">
        <v>97</v>
      </c>
      <c r="K2071" t="s">
        <v>96</v>
      </c>
      <c r="L2071" t="s">
        <v>96</v>
      </c>
      <c r="M2071">
        <v>6000</v>
      </c>
      <c r="O2071" s="12" t="str">
        <f t="shared" si="78"/>
        <v>AFR</v>
      </c>
      <c r="P2071" s="12" t="str">
        <f t="shared" si="79"/>
        <v>EN_Hy</v>
      </c>
    </row>
    <row r="2072" spans="1:16" x14ac:dyDescent="0.35">
      <c r="A2072" t="s">
        <v>2384</v>
      </c>
      <c r="B2072" t="s">
        <v>3110</v>
      </c>
      <c r="C2072" t="s">
        <v>45</v>
      </c>
      <c r="D2072" t="s">
        <v>2416</v>
      </c>
      <c r="E2072" t="s">
        <v>96</v>
      </c>
      <c r="F2072" t="s">
        <v>96</v>
      </c>
      <c r="G2072" t="s">
        <v>96</v>
      </c>
      <c r="H2072">
        <v>2017</v>
      </c>
      <c r="I2072" t="s">
        <v>96</v>
      </c>
      <c r="J2072" t="s">
        <v>97</v>
      </c>
      <c r="K2072" t="s">
        <v>96</v>
      </c>
      <c r="L2072" t="s">
        <v>96</v>
      </c>
      <c r="M2072">
        <v>8000</v>
      </c>
      <c r="O2072" s="12" t="str">
        <f t="shared" si="78"/>
        <v>AFR</v>
      </c>
      <c r="P2072" s="12" t="str">
        <f t="shared" si="79"/>
        <v>EN_Hy</v>
      </c>
    </row>
    <row r="2073" spans="1:16" x14ac:dyDescent="0.35">
      <c r="A2073" t="s">
        <v>2384</v>
      </c>
      <c r="B2073" t="s">
        <v>3110</v>
      </c>
      <c r="C2073" t="s">
        <v>45</v>
      </c>
      <c r="D2073" t="s">
        <v>2417</v>
      </c>
      <c r="E2073" t="s">
        <v>96</v>
      </c>
      <c r="F2073" t="s">
        <v>96</v>
      </c>
      <c r="G2073" t="s">
        <v>96</v>
      </c>
      <c r="H2073">
        <v>2017</v>
      </c>
      <c r="I2073" t="s">
        <v>96</v>
      </c>
      <c r="J2073" t="s">
        <v>97</v>
      </c>
      <c r="K2073" t="s">
        <v>96</v>
      </c>
      <c r="L2073" t="s">
        <v>96</v>
      </c>
      <c r="M2073">
        <v>10000</v>
      </c>
      <c r="O2073" s="12" t="str">
        <f t="shared" si="78"/>
        <v>AFR</v>
      </c>
      <c r="P2073" s="12" t="str">
        <f t="shared" si="79"/>
        <v>EN_Hy</v>
      </c>
    </row>
    <row r="2074" spans="1:16" x14ac:dyDescent="0.35">
      <c r="A2074" t="s">
        <v>2384</v>
      </c>
      <c r="B2074" t="s">
        <v>3110</v>
      </c>
      <c r="C2074" t="s">
        <v>45</v>
      </c>
      <c r="D2074" t="s">
        <v>2439</v>
      </c>
      <c r="E2074" t="s">
        <v>96</v>
      </c>
      <c r="F2074" t="s">
        <v>96</v>
      </c>
      <c r="G2074" t="s">
        <v>96</v>
      </c>
      <c r="H2074">
        <v>2017</v>
      </c>
      <c r="I2074" t="s">
        <v>96</v>
      </c>
      <c r="J2074" t="s">
        <v>97</v>
      </c>
      <c r="K2074" t="s">
        <v>96</v>
      </c>
      <c r="L2074" t="s">
        <v>96</v>
      </c>
      <c r="M2074">
        <v>6000</v>
      </c>
      <c r="O2074" s="12" t="str">
        <f t="shared" si="78"/>
        <v>AFR</v>
      </c>
      <c r="P2074" s="12" t="str">
        <f t="shared" si="79"/>
        <v>EN_Hy</v>
      </c>
    </row>
    <row r="2075" spans="1:16" x14ac:dyDescent="0.35">
      <c r="A2075" t="s">
        <v>2384</v>
      </c>
      <c r="B2075" t="s">
        <v>3110</v>
      </c>
      <c r="C2075" t="s">
        <v>45</v>
      </c>
      <c r="D2075" t="s">
        <v>2440</v>
      </c>
      <c r="E2075" t="s">
        <v>96</v>
      </c>
      <c r="F2075" t="s">
        <v>96</v>
      </c>
      <c r="G2075" t="s">
        <v>96</v>
      </c>
      <c r="H2075">
        <v>2017</v>
      </c>
      <c r="I2075" t="s">
        <v>96</v>
      </c>
      <c r="J2075" t="s">
        <v>97</v>
      </c>
      <c r="K2075" t="s">
        <v>96</v>
      </c>
      <c r="L2075" t="s">
        <v>96</v>
      </c>
      <c r="M2075">
        <v>8000</v>
      </c>
      <c r="O2075" s="12" t="str">
        <f t="shared" si="78"/>
        <v>AFR</v>
      </c>
      <c r="P2075" s="12" t="str">
        <f t="shared" si="79"/>
        <v>EN_Hy</v>
      </c>
    </row>
    <row r="2076" spans="1:16" x14ac:dyDescent="0.35">
      <c r="A2076" t="s">
        <v>2384</v>
      </c>
      <c r="B2076" t="s">
        <v>3110</v>
      </c>
      <c r="C2076" t="s">
        <v>45</v>
      </c>
      <c r="D2076" t="s">
        <v>2441</v>
      </c>
      <c r="E2076" t="s">
        <v>96</v>
      </c>
      <c r="F2076" t="s">
        <v>96</v>
      </c>
      <c r="G2076" t="s">
        <v>96</v>
      </c>
      <c r="H2076">
        <v>2017</v>
      </c>
      <c r="I2076" t="s">
        <v>96</v>
      </c>
      <c r="J2076" t="s">
        <v>97</v>
      </c>
      <c r="K2076" t="s">
        <v>96</v>
      </c>
      <c r="L2076" t="s">
        <v>96</v>
      </c>
      <c r="M2076">
        <v>10000</v>
      </c>
      <c r="O2076" s="12" t="str">
        <f t="shared" si="78"/>
        <v>AFR</v>
      </c>
      <c r="P2076" s="12" t="str">
        <f t="shared" si="79"/>
        <v>EN_Hy</v>
      </c>
    </row>
    <row r="2077" spans="1:16" x14ac:dyDescent="0.35">
      <c r="A2077" t="s">
        <v>2384</v>
      </c>
      <c r="B2077" t="s">
        <v>3110</v>
      </c>
      <c r="C2077" t="s">
        <v>45</v>
      </c>
      <c r="D2077" t="s">
        <v>2445</v>
      </c>
      <c r="E2077" t="s">
        <v>96</v>
      </c>
      <c r="F2077" t="s">
        <v>96</v>
      </c>
      <c r="G2077" t="s">
        <v>96</v>
      </c>
      <c r="H2077">
        <v>2017</v>
      </c>
      <c r="I2077" t="s">
        <v>96</v>
      </c>
      <c r="J2077" t="s">
        <v>97</v>
      </c>
      <c r="K2077" t="s">
        <v>96</v>
      </c>
      <c r="L2077" t="s">
        <v>96</v>
      </c>
      <c r="M2077">
        <v>6000</v>
      </c>
      <c r="O2077" s="12" t="str">
        <f t="shared" si="78"/>
        <v>AFR</v>
      </c>
      <c r="P2077" s="12" t="str">
        <f t="shared" si="79"/>
        <v>EN_Hy</v>
      </c>
    </row>
    <row r="2078" spans="1:16" x14ac:dyDescent="0.35">
      <c r="A2078" t="s">
        <v>2384</v>
      </c>
      <c r="B2078" t="s">
        <v>3110</v>
      </c>
      <c r="C2078" t="s">
        <v>45</v>
      </c>
      <c r="D2078" t="s">
        <v>2446</v>
      </c>
      <c r="E2078" t="s">
        <v>96</v>
      </c>
      <c r="F2078" t="s">
        <v>96</v>
      </c>
      <c r="G2078" t="s">
        <v>96</v>
      </c>
      <c r="H2078">
        <v>2017</v>
      </c>
      <c r="I2078" t="s">
        <v>96</v>
      </c>
      <c r="J2078" t="s">
        <v>97</v>
      </c>
      <c r="K2078" t="s">
        <v>96</v>
      </c>
      <c r="L2078" t="s">
        <v>96</v>
      </c>
      <c r="M2078">
        <v>8000</v>
      </c>
      <c r="O2078" s="12" t="str">
        <f t="shared" si="78"/>
        <v>AFR</v>
      </c>
      <c r="P2078" s="12" t="str">
        <f t="shared" si="79"/>
        <v>EN_Hy</v>
      </c>
    </row>
    <row r="2079" spans="1:16" x14ac:dyDescent="0.35">
      <c r="A2079" t="s">
        <v>2384</v>
      </c>
      <c r="B2079" t="s">
        <v>3110</v>
      </c>
      <c r="C2079" t="s">
        <v>45</v>
      </c>
      <c r="D2079" t="s">
        <v>2447</v>
      </c>
      <c r="E2079" t="s">
        <v>96</v>
      </c>
      <c r="F2079" t="s">
        <v>96</v>
      </c>
      <c r="G2079" t="s">
        <v>96</v>
      </c>
      <c r="H2079">
        <v>2017</v>
      </c>
      <c r="I2079" t="s">
        <v>96</v>
      </c>
      <c r="J2079" t="s">
        <v>97</v>
      </c>
      <c r="K2079" t="s">
        <v>96</v>
      </c>
      <c r="L2079" t="s">
        <v>96</v>
      </c>
      <c r="M2079">
        <v>10000</v>
      </c>
      <c r="O2079" s="12" t="str">
        <f t="shared" si="78"/>
        <v>AFR</v>
      </c>
      <c r="P2079" s="12" t="str">
        <f t="shared" si="79"/>
        <v>EN_Hy</v>
      </c>
    </row>
    <row r="2080" spans="1:16" x14ac:dyDescent="0.35">
      <c r="A2080" t="s">
        <v>2384</v>
      </c>
      <c r="B2080" t="s">
        <v>3110</v>
      </c>
      <c r="C2080" t="s">
        <v>45</v>
      </c>
      <c r="D2080" t="s">
        <v>2451</v>
      </c>
      <c r="E2080" t="s">
        <v>96</v>
      </c>
      <c r="F2080" t="s">
        <v>96</v>
      </c>
      <c r="G2080" t="s">
        <v>96</v>
      </c>
      <c r="H2080">
        <v>2017</v>
      </c>
      <c r="I2080" t="s">
        <v>96</v>
      </c>
      <c r="J2080" t="s">
        <v>97</v>
      </c>
      <c r="K2080" t="s">
        <v>96</v>
      </c>
      <c r="L2080" t="s">
        <v>96</v>
      </c>
      <c r="M2080">
        <v>6000</v>
      </c>
      <c r="O2080" s="12" t="str">
        <f t="shared" si="78"/>
        <v>AFR</v>
      </c>
      <c r="P2080" s="12" t="str">
        <f t="shared" si="79"/>
        <v>EN_Hy</v>
      </c>
    </row>
    <row r="2081" spans="1:16" x14ac:dyDescent="0.35">
      <c r="A2081" t="s">
        <v>2384</v>
      </c>
      <c r="B2081" t="s">
        <v>3110</v>
      </c>
      <c r="C2081" t="s">
        <v>45</v>
      </c>
      <c r="D2081" t="s">
        <v>2452</v>
      </c>
      <c r="E2081" t="s">
        <v>96</v>
      </c>
      <c r="F2081" t="s">
        <v>96</v>
      </c>
      <c r="G2081" t="s">
        <v>96</v>
      </c>
      <c r="H2081">
        <v>2017</v>
      </c>
      <c r="I2081" t="s">
        <v>96</v>
      </c>
      <c r="J2081" t="s">
        <v>97</v>
      </c>
      <c r="K2081" t="s">
        <v>96</v>
      </c>
      <c r="L2081" t="s">
        <v>96</v>
      </c>
      <c r="M2081">
        <v>8000</v>
      </c>
      <c r="O2081" s="12" t="str">
        <f t="shared" si="78"/>
        <v>AFR</v>
      </c>
      <c r="P2081" s="12" t="str">
        <f t="shared" si="79"/>
        <v>EN_Hy</v>
      </c>
    </row>
    <row r="2082" spans="1:16" x14ac:dyDescent="0.35">
      <c r="A2082" t="s">
        <v>2384</v>
      </c>
      <c r="B2082" t="s">
        <v>3110</v>
      </c>
      <c r="C2082" t="s">
        <v>45</v>
      </c>
      <c r="D2082" t="s">
        <v>2453</v>
      </c>
      <c r="E2082" t="s">
        <v>96</v>
      </c>
      <c r="F2082" t="s">
        <v>96</v>
      </c>
      <c r="G2082" t="s">
        <v>96</v>
      </c>
      <c r="H2082">
        <v>2017</v>
      </c>
      <c r="I2082" t="s">
        <v>96</v>
      </c>
      <c r="J2082" t="s">
        <v>97</v>
      </c>
      <c r="K2082" t="s">
        <v>96</v>
      </c>
      <c r="L2082" t="s">
        <v>96</v>
      </c>
      <c r="M2082">
        <v>10000</v>
      </c>
      <c r="O2082" s="12" t="str">
        <f t="shared" si="78"/>
        <v>AFR</v>
      </c>
      <c r="P2082" s="12" t="str">
        <f t="shared" si="79"/>
        <v>EN_Hy</v>
      </c>
    </row>
    <row r="2083" spans="1:16" x14ac:dyDescent="0.35">
      <c r="A2083" t="s">
        <v>2384</v>
      </c>
      <c r="B2083" t="s">
        <v>3110</v>
      </c>
      <c r="C2083" t="s">
        <v>45</v>
      </c>
      <c r="D2083" t="s">
        <v>2466</v>
      </c>
      <c r="E2083" t="s">
        <v>96</v>
      </c>
      <c r="F2083" t="s">
        <v>96</v>
      </c>
      <c r="G2083" t="s">
        <v>96</v>
      </c>
      <c r="H2083">
        <v>2017</v>
      </c>
      <c r="I2083" t="s">
        <v>96</v>
      </c>
      <c r="J2083" t="s">
        <v>97</v>
      </c>
      <c r="K2083" t="s">
        <v>96</v>
      </c>
      <c r="L2083" t="s">
        <v>96</v>
      </c>
      <c r="M2083">
        <v>1647.687668</v>
      </c>
      <c r="O2083" s="12" t="str">
        <f t="shared" si="78"/>
        <v>AFR</v>
      </c>
      <c r="P2083" s="12" t="str">
        <f t="shared" si="79"/>
        <v>EN_Hy</v>
      </c>
    </row>
    <row r="2084" spans="1:16" x14ac:dyDescent="0.35">
      <c r="A2084" t="s">
        <v>2384</v>
      </c>
      <c r="B2084" t="s">
        <v>3110</v>
      </c>
      <c r="C2084" t="s">
        <v>45</v>
      </c>
      <c r="D2084" t="s">
        <v>2467</v>
      </c>
      <c r="E2084" t="s">
        <v>96</v>
      </c>
      <c r="F2084" t="s">
        <v>96</v>
      </c>
      <c r="G2084" t="s">
        <v>96</v>
      </c>
      <c r="H2084">
        <v>2017</v>
      </c>
      <c r="I2084" t="s">
        <v>96</v>
      </c>
      <c r="J2084" t="s">
        <v>97</v>
      </c>
      <c r="K2084" t="s">
        <v>96</v>
      </c>
      <c r="L2084" t="s">
        <v>96</v>
      </c>
      <c r="M2084">
        <v>4504.5838400000002</v>
      </c>
      <c r="O2084" s="12" t="str">
        <f t="shared" si="78"/>
        <v>AFR</v>
      </c>
      <c r="P2084" s="12" t="str">
        <f t="shared" si="79"/>
        <v>EN_Hy</v>
      </c>
    </row>
    <row r="2085" spans="1:16" x14ac:dyDescent="0.35">
      <c r="A2085" t="s">
        <v>2384</v>
      </c>
      <c r="B2085" t="s">
        <v>3110</v>
      </c>
      <c r="C2085" t="s">
        <v>45</v>
      </c>
      <c r="D2085" t="s">
        <v>2468</v>
      </c>
      <c r="E2085" t="s">
        <v>96</v>
      </c>
      <c r="F2085" t="s">
        <v>96</v>
      </c>
      <c r="G2085" t="s">
        <v>96</v>
      </c>
      <c r="H2085">
        <v>2017</v>
      </c>
      <c r="I2085" t="s">
        <v>96</v>
      </c>
      <c r="J2085" t="s">
        <v>97</v>
      </c>
      <c r="K2085" t="s">
        <v>96</v>
      </c>
      <c r="L2085" t="s">
        <v>96</v>
      </c>
      <c r="M2085">
        <v>8463.1665200000007</v>
      </c>
      <c r="O2085" s="12" t="str">
        <f t="shared" si="78"/>
        <v>AFR</v>
      </c>
      <c r="P2085" s="12" t="str">
        <f t="shared" si="79"/>
        <v>EN_Hy</v>
      </c>
    </row>
    <row r="2086" spans="1:16" x14ac:dyDescent="0.35">
      <c r="A2086" t="s">
        <v>2384</v>
      </c>
      <c r="B2086" t="s">
        <v>3110</v>
      </c>
      <c r="C2086" t="s">
        <v>45</v>
      </c>
      <c r="D2086" t="s">
        <v>2481</v>
      </c>
      <c r="E2086" t="s">
        <v>96</v>
      </c>
      <c r="F2086" t="s">
        <v>96</v>
      </c>
      <c r="G2086" t="s">
        <v>96</v>
      </c>
      <c r="H2086">
        <v>2017</v>
      </c>
      <c r="I2086" t="s">
        <v>96</v>
      </c>
      <c r="J2086" t="s">
        <v>97</v>
      </c>
      <c r="K2086" t="s">
        <v>96</v>
      </c>
      <c r="L2086" t="s">
        <v>96</v>
      </c>
      <c r="M2086">
        <v>6000</v>
      </c>
      <c r="O2086" s="12" t="str">
        <f t="shared" si="78"/>
        <v>AFR</v>
      </c>
      <c r="P2086" s="12" t="str">
        <f t="shared" si="79"/>
        <v>EN_Hy</v>
      </c>
    </row>
    <row r="2087" spans="1:16" x14ac:dyDescent="0.35">
      <c r="A2087" t="s">
        <v>2384</v>
      </c>
      <c r="B2087" t="s">
        <v>3110</v>
      </c>
      <c r="C2087" t="s">
        <v>45</v>
      </c>
      <c r="D2087" t="s">
        <v>2482</v>
      </c>
      <c r="E2087" t="s">
        <v>96</v>
      </c>
      <c r="F2087" t="s">
        <v>96</v>
      </c>
      <c r="G2087" t="s">
        <v>96</v>
      </c>
      <c r="H2087">
        <v>2017</v>
      </c>
      <c r="I2087" t="s">
        <v>96</v>
      </c>
      <c r="J2087" t="s">
        <v>97</v>
      </c>
      <c r="K2087" t="s">
        <v>96</v>
      </c>
      <c r="L2087" t="s">
        <v>96</v>
      </c>
      <c r="M2087">
        <v>8000</v>
      </c>
      <c r="O2087" s="12" t="str">
        <f t="shared" si="78"/>
        <v>AFR</v>
      </c>
      <c r="P2087" s="12" t="str">
        <f t="shared" si="79"/>
        <v>EN_Hy</v>
      </c>
    </row>
    <row r="2088" spans="1:16" x14ac:dyDescent="0.35">
      <c r="A2088" t="s">
        <v>2384</v>
      </c>
      <c r="B2088" t="s">
        <v>3110</v>
      </c>
      <c r="C2088" t="s">
        <v>45</v>
      </c>
      <c r="D2088" t="s">
        <v>2483</v>
      </c>
      <c r="E2088" t="s">
        <v>96</v>
      </c>
      <c r="F2088" t="s">
        <v>96</v>
      </c>
      <c r="G2088" t="s">
        <v>96</v>
      </c>
      <c r="H2088">
        <v>2017</v>
      </c>
      <c r="I2088" t="s">
        <v>96</v>
      </c>
      <c r="J2088" t="s">
        <v>97</v>
      </c>
      <c r="K2088" t="s">
        <v>96</v>
      </c>
      <c r="L2088" t="s">
        <v>96</v>
      </c>
      <c r="M2088">
        <v>10000</v>
      </c>
      <c r="O2088" s="12" t="str">
        <f t="shared" si="78"/>
        <v>AFR</v>
      </c>
      <c r="P2088" s="12" t="str">
        <f t="shared" si="79"/>
        <v>EN_Hy</v>
      </c>
    </row>
    <row r="2089" spans="1:16" x14ac:dyDescent="0.35">
      <c r="A2089" t="s">
        <v>2384</v>
      </c>
      <c r="B2089" t="s">
        <v>3110</v>
      </c>
      <c r="C2089" t="s">
        <v>45</v>
      </c>
      <c r="D2089" t="s">
        <v>3113</v>
      </c>
      <c r="E2089" t="s">
        <v>96</v>
      </c>
      <c r="F2089" t="s">
        <v>96</v>
      </c>
      <c r="G2089" t="s">
        <v>96</v>
      </c>
      <c r="H2089">
        <v>2017</v>
      </c>
      <c r="I2089" t="s">
        <v>96</v>
      </c>
      <c r="J2089" t="s">
        <v>97</v>
      </c>
      <c r="K2089" t="s">
        <v>96</v>
      </c>
      <c r="L2089" t="s">
        <v>96</v>
      </c>
      <c r="M2089">
        <v>99999</v>
      </c>
      <c r="O2089" s="12" t="str">
        <f t="shared" si="78"/>
        <v>AFR</v>
      </c>
      <c r="P2089" s="12" t="str">
        <f t="shared" si="79"/>
        <v>EN_RE</v>
      </c>
    </row>
    <row r="2090" spans="1:16" x14ac:dyDescent="0.35">
      <c r="A2090" t="s">
        <v>2384</v>
      </c>
      <c r="B2090" t="s">
        <v>3110</v>
      </c>
      <c r="C2090" t="s">
        <v>45</v>
      </c>
      <c r="D2090" t="s">
        <v>3114</v>
      </c>
      <c r="E2090" t="s">
        <v>96</v>
      </c>
      <c r="F2090" t="s">
        <v>96</v>
      </c>
      <c r="G2090" t="s">
        <v>96</v>
      </c>
      <c r="H2090">
        <v>2017</v>
      </c>
      <c r="I2090" t="s">
        <v>96</v>
      </c>
      <c r="J2090" t="s">
        <v>97</v>
      </c>
      <c r="K2090" t="s">
        <v>96</v>
      </c>
      <c r="L2090" t="s">
        <v>96</v>
      </c>
      <c r="M2090">
        <v>99999</v>
      </c>
      <c r="O2090" s="12" t="str">
        <f t="shared" si="78"/>
        <v>AFR</v>
      </c>
      <c r="P2090" s="12" t="str">
        <f t="shared" si="79"/>
        <v>EN_RE</v>
      </c>
    </row>
    <row r="2091" spans="1:16" x14ac:dyDescent="0.35">
      <c r="A2091" t="s">
        <v>2384</v>
      </c>
      <c r="B2091" t="s">
        <v>3110</v>
      </c>
      <c r="C2091" t="s">
        <v>45</v>
      </c>
      <c r="D2091" t="s">
        <v>3115</v>
      </c>
      <c r="E2091" t="s">
        <v>96</v>
      </c>
      <c r="F2091" t="s">
        <v>96</v>
      </c>
      <c r="G2091" t="s">
        <v>96</v>
      </c>
      <c r="H2091">
        <v>2017</v>
      </c>
      <c r="I2091" t="s">
        <v>96</v>
      </c>
      <c r="J2091" t="s">
        <v>97</v>
      </c>
      <c r="K2091" t="s">
        <v>96</v>
      </c>
      <c r="L2091" t="s">
        <v>96</v>
      </c>
      <c r="M2091">
        <v>99999</v>
      </c>
      <c r="O2091" s="12" t="str">
        <f t="shared" si="78"/>
        <v>AFR</v>
      </c>
      <c r="P2091" s="12" t="str">
        <f t="shared" si="79"/>
        <v>EN_RE</v>
      </c>
    </row>
    <row r="2092" spans="1:16" x14ac:dyDescent="0.35">
      <c r="A2092" t="s">
        <v>2384</v>
      </c>
      <c r="B2092" t="s">
        <v>3110</v>
      </c>
      <c r="C2092" t="s">
        <v>45</v>
      </c>
      <c r="D2092" t="s">
        <v>3116</v>
      </c>
      <c r="E2092" t="s">
        <v>96</v>
      </c>
      <c r="F2092" t="s">
        <v>96</v>
      </c>
      <c r="G2092" t="s">
        <v>96</v>
      </c>
      <c r="H2092">
        <v>2017</v>
      </c>
      <c r="I2092" t="s">
        <v>96</v>
      </c>
      <c r="J2092" t="s">
        <v>97</v>
      </c>
      <c r="K2092" t="s">
        <v>96</v>
      </c>
      <c r="L2092" t="s">
        <v>96</v>
      </c>
      <c r="M2092">
        <v>99999</v>
      </c>
      <c r="O2092" s="12" t="str">
        <f t="shared" si="78"/>
        <v>AFR</v>
      </c>
      <c r="P2092" s="12" t="str">
        <f t="shared" si="79"/>
        <v>EN_RE</v>
      </c>
    </row>
    <row r="2093" spans="1:16" x14ac:dyDescent="0.35">
      <c r="A2093" t="s">
        <v>2384</v>
      </c>
      <c r="B2093" t="s">
        <v>3110</v>
      </c>
      <c r="C2093" t="s">
        <v>45</v>
      </c>
      <c r="D2093" t="s">
        <v>3117</v>
      </c>
      <c r="E2093" t="s">
        <v>96</v>
      </c>
      <c r="F2093" t="s">
        <v>96</v>
      </c>
      <c r="G2093" t="s">
        <v>96</v>
      </c>
      <c r="H2093">
        <v>2017</v>
      </c>
      <c r="I2093" t="s">
        <v>96</v>
      </c>
      <c r="J2093" t="s">
        <v>97</v>
      </c>
      <c r="K2093" t="s">
        <v>96</v>
      </c>
      <c r="L2093" t="s">
        <v>96</v>
      </c>
      <c r="M2093">
        <v>99999</v>
      </c>
      <c r="O2093" s="12" t="str">
        <f t="shared" si="78"/>
        <v>AFR</v>
      </c>
      <c r="P2093" s="12" t="str">
        <f t="shared" si="79"/>
        <v>EN_RE</v>
      </c>
    </row>
    <row r="2094" spans="1:16" x14ac:dyDescent="0.35">
      <c r="A2094" t="s">
        <v>2384</v>
      </c>
      <c r="B2094" t="s">
        <v>3110</v>
      </c>
      <c r="C2094" t="s">
        <v>45</v>
      </c>
      <c r="D2094" t="s">
        <v>3118</v>
      </c>
      <c r="E2094" t="s">
        <v>96</v>
      </c>
      <c r="F2094" t="s">
        <v>96</v>
      </c>
      <c r="G2094" t="s">
        <v>96</v>
      </c>
      <c r="H2094">
        <v>2017</v>
      </c>
      <c r="I2094" t="s">
        <v>96</v>
      </c>
      <c r="J2094" t="s">
        <v>97</v>
      </c>
      <c r="K2094" t="s">
        <v>96</v>
      </c>
      <c r="L2094" t="s">
        <v>96</v>
      </c>
      <c r="M2094">
        <v>99999</v>
      </c>
      <c r="O2094" s="12" t="str">
        <f t="shared" si="78"/>
        <v>AFR</v>
      </c>
      <c r="P2094" s="12" t="str">
        <f t="shared" si="79"/>
        <v>EN_RE</v>
      </c>
    </row>
    <row r="2095" spans="1:16" x14ac:dyDescent="0.35">
      <c r="A2095" t="s">
        <v>2384</v>
      </c>
      <c r="B2095" t="s">
        <v>3110</v>
      </c>
      <c r="C2095" t="s">
        <v>45</v>
      </c>
      <c r="D2095" t="s">
        <v>3119</v>
      </c>
      <c r="E2095" t="s">
        <v>96</v>
      </c>
      <c r="F2095" t="s">
        <v>96</v>
      </c>
      <c r="G2095" t="s">
        <v>96</v>
      </c>
      <c r="H2095">
        <v>2017</v>
      </c>
      <c r="I2095" t="s">
        <v>96</v>
      </c>
      <c r="J2095" t="s">
        <v>97</v>
      </c>
      <c r="K2095" t="s">
        <v>96</v>
      </c>
      <c r="L2095" t="s">
        <v>96</v>
      </c>
      <c r="M2095">
        <v>99999</v>
      </c>
      <c r="O2095" s="12" t="str">
        <f t="shared" si="78"/>
        <v>AFR</v>
      </c>
      <c r="P2095" s="12" t="str">
        <f t="shared" si="79"/>
        <v>EN_RE</v>
      </c>
    </row>
    <row r="2096" spans="1:16" x14ac:dyDescent="0.35">
      <c r="A2096" t="s">
        <v>2384</v>
      </c>
      <c r="B2096" t="s">
        <v>3110</v>
      </c>
      <c r="C2096" t="s">
        <v>45</v>
      </c>
      <c r="D2096" t="s">
        <v>3120</v>
      </c>
      <c r="E2096" t="s">
        <v>96</v>
      </c>
      <c r="F2096" t="s">
        <v>96</v>
      </c>
      <c r="G2096" t="s">
        <v>96</v>
      </c>
      <c r="H2096">
        <v>2017</v>
      </c>
      <c r="I2096" t="s">
        <v>96</v>
      </c>
      <c r="J2096" t="s">
        <v>97</v>
      </c>
      <c r="K2096" t="s">
        <v>96</v>
      </c>
      <c r="L2096" t="s">
        <v>96</v>
      </c>
      <c r="M2096">
        <v>99999</v>
      </c>
      <c r="O2096" s="12" t="str">
        <f t="shared" si="78"/>
        <v>AFR</v>
      </c>
      <c r="P2096" s="12" t="str">
        <f t="shared" si="79"/>
        <v>EN_RE</v>
      </c>
    </row>
    <row r="2097" spans="1:16" x14ac:dyDescent="0.35">
      <c r="A2097" t="s">
        <v>2384</v>
      </c>
      <c r="B2097" t="s">
        <v>3110</v>
      </c>
      <c r="C2097" t="s">
        <v>45</v>
      </c>
      <c r="D2097" t="s">
        <v>3121</v>
      </c>
      <c r="E2097" t="s">
        <v>96</v>
      </c>
      <c r="F2097" t="s">
        <v>96</v>
      </c>
      <c r="G2097" t="s">
        <v>96</v>
      </c>
      <c r="H2097">
        <v>2017</v>
      </c>
      <c r="I2097" t="s">
        <v>96</v>
      </c>
      <c r="J2097" t="s">
        <v>97</v>
      </c>
      <c r="K2097" t="s">
        <v>96</v>
      </c>
      <c r="L2097" t="s">
        <v>96</v>
      </c>
      <c r="M2097">
        <v>99999</v>
      </c>
      <c r="O2097" s="12" t="str">
        <f t="shared" si="78"/>
        <v>AFR</v>
      </c>
      <c r="P2097" s="12" t="str">
        <f t="shared" si="79"/>
        <v>EN_RE</v>
      </c>
    </row>
    <row r="2098" spans="1:16" x14ac:dyDescent="0.35">
      <c r="A2098" t="s">
        <v>2384</v>
      </c>
      <c r="B2098" t="s">
        <v>3110</v>
      </c>
      <c r="C2098" t="s">
        <v>45</v>
      </c>
      <c r="D2098" t="s">
        <v>3122</v>
      </c>
      <c r="E2098" t="s">
        <v>96</v>
      </c>
      <c r="F2098" t="s">
        <v>96</v>
      </c>
      <c r="G2098" t="s">
        <v>96</v>
      </c>
      <c r="H2098">
        <v>2017</v>
      </c>
      <c r="I2098" t="s">
        <v>96</v>
      </c>
      <c r="J2098" t="s">
        <v>97</v>
      </c>
      <c r="K2098" t="s">
        <v>96</v>
      </c>
      <c r="L2098" t="s">
        <v>96</v>
      </c>
      <c r="M2098">
        <v>99999</v>
      </c>
      <c r="O2098" s="12" t="str">
        <f t="shared" si="78"/>
        <v>AFR</v>
      </c>
      <c r="P2098" s="12" t="str">
        <f t="shared" si="79"/>
        <v>EN_RE</v>
      </c>
    </row>
    <row r="2099" spans="1:16" x14ac:dyDescent="0.35">
      <c r="A2099" t="s">
        <v>2384</v>
      </c>
      <c r="B2099" t="s">
        <v>3110</v>
      </c>
      <c r="C2099" t="s">
        <v>45</v>
      </c>
      <c r="D2099" t="s">
        <v>3123</v>
      </c>
      <c r="E2099" t="s">
        <v>96</v>
      </c>
      <c r="F2099" t="s">
        <v>96</v>
      </c>
      <c r="G2099" t="s">
        <v>96</v>
      </c>
      <c r="H2099">
        <v>2017</v>
      </c>
      <c r="I2099" t="s">
        <v>96</v>
      </c>
      <c r="J2099" t="s">
        <v>97</v>
      </c>
      <c r="K2099" t="s">
        <v>96</v>
      </c>
      <c r="L2099" t="s">
        <v>96</v>
      </c>
      <c r="M2099">
        <v>99999</v>
      </c>
      <c r="O2099" s="12" t="str">
        <f t="shared" si="78"/>
        <v>AFR</v>
      </c>
      <c r="P2099" s="12" t="str">
        <f t="shared" si="79"/>
        <v>EN_RE</v>
      </c>
    </row>
    <row r="2100" spans="1:16" x14ac:dyDescent="0.35">
      <c r="A2100" t="s">
        <v>2384</v>
      </c>
      <c r="B2100" t="s">
        <v>3111</v>
      </c>
      <c r="C2100" t="s">
        <v>45</v>
      </c>
      <c r="D2100" t="s">
        <v>2385</v>
      </c>
      <c r="E2100" t="s">
        <v>96</v>
      </c>
      <c r="F2100" t="s">
        <v>96</v>
      </c>
      <c r="G2100" t="s">
        <v>96</v>
      </c>
      <c r="H2100">
        <v>2017</v>
      </c>
      <c r="I2100" t="s">
        <v>96</v>
      </c>
      <c r="J2100" t="s">
        <v>97</v>
      </c>
      <c r="K2100" t="s">
        <v>96</v>
      </c>
      <c r="L2100" t="s">
        <v>96</v>
      </c>
      <c r="M2100">
        <v>1656.302252</v>
      </c>
      <c r="O2100" s="12" t="str">
        <f t="shared" si="78"/>
        <v>AFR</v>
      </c>
      <c r="P2100" s="12" t="str">
        <f t="shared" si="79"/>
        <v>EN_Hy</v>
      </c>
    </row>
    <row r="2101" spans="1:16" x14ac:dyDescent="0.35">
      <c r="A2101" t="s">
        <v>2384</v>
      </c>
      <c r="B2101" t="s">
        <v>3111</v>
      </c>
      <c r="C2101" t="s">
        <v>45</v>
      </c>
      <c r="D2101" t="s">
        <v>2386</v>
      </c>
      <c r="E2101" t="s">
        <v>96</v>
      </c>
      <c r="F2101" t="s">
        <v>96</v>
      </c>
      <c r="G2101" t="s">
        <v>96</v>
      </c>
      <c r="H2101">
        <v>2017</v>
      </c>
      <c r="I2101" t="s">
        <v>96</v>
      </c>
      <c r="J2101" t="s">
        <v>97</v>
      </c>
      <c r="K2101" t="s">
        <v>96</v>
      </c>
      <c r="L2101" t="s">
        <v>96</v>
      </c>
      <c r="M2101">
        <v>5735.8018400000001</v>
      </c>
      <c r="O2101" s="12" t="str">
        <f t="shared" si="78"/>
        <v>AFR</v>
      </c>
      <c r="P2101" s="12" t="str">
        <f t="shared" si="79"/>
        <v>EN_Hy</v>
      </c>
    </row>
    <row r="2102" spans="1:16" x14ac:dyDescent="0.35">
      <c r="A2102" t="s">
        <v>2384</v>
      </c>
      <c r="B2102" t="s">
        <v>3111</v>
      </c>
      <c r="C2102" t="s">
        <v>45</v>
      </c>
      <c r="D2102" t="s">
        <v>2387</v>
      </c>
      <c r="E2102" t="s">
        <v>96</v>
      </c>
      <c r="F2102" t="s">
        <v>96</v>
      </c>
      <c r="G2102" t="s">
        <v>96</v>
      </c>
      <c r="H2102">
        <v>2017</v>
      </c>
      <c r="I2102" t="s">
        <v>96</v>
      </c>
      <c r="J2102" t="s">
        <v>97</v>
      </c>
      <c r="K2102" t="s">
        <v>96</v>
      </c>
      <c r="L2102" t="s">
        <v>96</v>
      </c>
      <c r="M2102">
        <v>7947.7106000000003</v>
      </c>
      <c r="O2102" s="12" t="str">
        <f t="shared" si="78"/>
        <v>AFR</v>
      </c>
      <c r="P2102" s="12" t="str">
        <f t="shared" si="79"/>
        <v>EN_Hy</v>
      </c>
    </row>
    <row r="2103" spans="1:16" x14ac:dyDescent="0.35">
      <c r="A2103" t="s">
        <v>2384</v>
      </c>
      <c r="B2103" t="s">
        <v>3111</v>
      </c>
      <c r="C2103" t="s">
        <v>45</v>
      </c>
      <c r="D2103" t="s">
        <v>2388</v>
      </c>
      <c r="E2103" t="s">
        <v>96</v>
      </c>
      <c r="F2103" t="s">
        <v>96</v>
      </c>
      <c r="G2103" t="s">
        <v>96</v>
      </c>
      <c r="H2103">
        <v>2017</v>
      </c>
      <c r="I2103" t="s">
        <v>96</v>
      </c>
      <c r="J2103" t="s">
        <v>97</v>
      </c>
      <c r="K2103" t="s">
        <v>96</v>
      </c>
      <c r="L2103" t="s">
        <v>96</v>
      </c>
      <c r="M2103">
        <v>6000</v>
      </c>
      <c r="O2103" s="12" t="str">
        <f t="shared" si="78"/>
        <v>AFR</v>
      </c>
      <c r="P2103" s="12" t="str">
        <f t="shared" si="79"/>
        <v>EN_Hy</v>
      </c>
    </row>
    <row r="2104" spans="1:16" x14ac:dyDescent="0.35">
      <c r="A2104" t="s">
        <v>2384</v>
      </c>
      <c r="B2104" t="s">
        <v>3111</v>
      </c>
      <c r="C2104" t="s">
        <v>45</v>
      </c>
      <c r="D2104" t="s">
        <v>2389</v>
      </c>
      <c r="E2104" t="s">
        <v>96</v>
      </c>
      <c r="F2104" t="s">
        <v>96</v>
      </c>
      <c r="G2104" t="s">
        <v>96</v>
      </c>
      <c r="H2104">
        <v>2017</v>
      </c>
      <c r="I2104" t="s">
        <v>96</v>
      </c>
      <c r="J2104" t="s">
        <v>97</v>
      </c>
      <c r="K2104" t="s">
        <v>96</v>
      </c>
      <c r="L2104" t="s">
        <v>96</v>
      </c>
      <c r="M2104">
        <v>8000</v>
      </c>
      <c r="O2104" s="12" t="str">
        <f t="shared" si="78"/>
        <v>AFR</v>
      </c>
      <c r="P2104" s="12" t="str">
        <f t="shared" si="79"/>
        <v>EN_Hy</v>
      </c>
    </row>
    <row r="2105" spans="1:16" x14ac:dyDescent="0.35">
      <c r="A2105" t="s">
        <v>2384</v>
      </c>
      <c r="B2105" t="s">
        <v>3111</v>
      </c>
      <c r="C2105" t="s">
        <v>45</v>
      </c>
      <c r="D2105" t="s">
        <v>2390</v>
      </c>
      <c r="E2105" t="s">
        <v>96</v>
      </c>
      <c r="F2105" t="s">
        <v>96</v>
      </c>
      <c r="G2105" t="s">
        <v>96</v>
      </c>
      <c r="H2105">
        <v>2017</v>
      </c>
      <c r="I2105" t="s">
        <v>96</v>
      </c>
      <c r="J2105" t="s">
        <v>97</v>
      </c>
      <c r="K2105" t="s">
        <v>96</v>
      </c>
      <c r="L2105" t="s">
        <v>96</v>
      </c>
      <c r="M2105">
        <v>10000</v>
      </c>
      <c r="O2105" s="12" t="str">
        <f t="shared" si="78"/>
        <v>AFR</v>
      </c>
      <c r="P2105" s="12" t="str">
        <f t="shared" si="79"/>
        <v>EN_Hy</v>
      </c>
    </row>
    <row r="2106" spans="1:16" x14ac:dyDescent="0.35">
      <c r="A2106" t="s">
        <v>2384</v>
      </c>
      <c r="B2106" t="s">
        <v>3111</v>
      </c>
      <c r="C2106" t="s">
        <v>45</v>
      </c>
      <c r="D2106" t="s">
        <v>2391</v>
      </c>
      <c r="E2106" t="s">
        <v>96</v>
      </c>
      <c r="F2106" t="s">
        <v>96</v>
      </c>
      <c r="G2106" t="s">
        <v>96</v>
      </c>
      <c r="H2106">
        <v>2017</v>
      </c>
      <c r="I2106" t="s">
        <v>96</v>
      </c>
      <c r="J2106" t="s">
        <v>97</v>
      </c>
      <c r="K2106" t="s">
        <v>96</v>
      </c>
      <c r="L2106" t="s">
        <v>96</v>
      </c>
      <c r="M2106">
        <v>6000</v>
      </c>
      <c r="O2106" s="12" t="str">
        <f t="shared" si="78"/>
        <v>AFR</v>
      </c>
      <c r="P2106" s="12" t="str">
        <f t="shared" si="79"/>
        <v>EN_Hy</v>
      </c>
    </row>
    <row r="2107" spans="1:16" x14ac:dyDescent="0.35">
      <c r="A2107" t="s">
        <v>2384</v>
      </c>
      <c r="B2107" t="s">
        <v>3111</v>
      </c>
      <c r="C2107" t="s">
        <v>45</v>
      </c>
      <c r="D2107" t="s">
        <v>2392</v>
      </c>
      <c r="E2107" t="s">
        <v>96</v>
      </c>
      <c r="F2107" t="s">
        <v>96</v>
      </c>
      <c r="G2107" t="s">
        <v>96</v>
      </c>
      <c r="H2107">
        <v>2017</v>
      </c>
      <c r="I2107" t="s">
        <v>96</v>
      </c>
      <c r="J2107" t="s">
        <v>97</v>
      </c>
      <c r="K2107" t="s">
        <v>96</v>
      </c>
      <c r="L2107" t="s">
        <v>96</v>
      </c>
      <c r="M2107">
        <v>8000</v>
      </c>
      <c r="O2107" s="12" t="str">
        <f t="shared" si="78"/>
        <v>AFR</v>
      </c>
      <c r="P2107" s="12" t="str">
        <f t="shared" si="79"/>
        <v>EN_Hy</v>
      </c>
    </row>
    <row r="2108" spans="1:16" x14ac:dyDescent="0.35">
      <c r="A2108" t="s">
        <v>2384</v>
      </c>
      <c r="B2108" t="s">
        <v>3111</v>
      </c>
      <c r="C2108" t="s">
        <v>45</v>
      </c>
      <c r="D2108" t="s">
        <v>2393</v>
      </c>
      <c r="E2108" t="s">
        <v>96</v>
      </c>
      <c r="F2108" t="s">
        <v>96</v>
      </c>
      <c r="G2108" t="s">
        <v>96</v>
      </c>
      <c r="H2108">
        <v>2017</v>
      </c>
      <c r="I2108" t="s">
        <v>96</v>
      </c>
      <c r="J2108" t="s">
        <v>97</v>
      </c>
      <c r="K2108" t="s">
        <v>96</v>
      </c>
      <c r="L2108" t="s">
        <v>96</v>
      </c>
      <c r="M2108">
        <v>10000</v>
      </c>
      <c r="O2108" s="12" t="str">
        <f t="shared" si="78"/>
        <v>AFR</v>
      </c>
      <c r="P2108" s="12" t="str">
        <f t="shared" si="79"/>
        <v>EN_Hy</v>
      </c>
    </row>
    <row r="2109" spans="1:16" x14ac:dyDescent="0.35">
      <c r="A2109" t="s">
        <v>2384</v>
      </c>
      <c r="B2109" t="s">
        <v>3111</v>
      </c>
      <c r="C2109" t="s">
        <v>45</v>
      </c>
      <c r="D2109" t="s">
        <v>2394</v>
      </c>
      <c r="E2109" t="s">
        <v>96</v>
      </c>
      <c r="F2109" t="s">
        <v>96</v>
      </c>
      <c r="G2109" t="s">
        <v>96</v>
      </c>
      <c r="H2109">
        <v>2017</v>
      </c>
      <c r="I2109" t="s">
        <v>96</v>
      </c>
      <c r="J2109" t="s">
        <v>97</v>
      </c>
      <c r="K2109" t="s">
        <v>96</v>
      </c>
      <c r="L2109" t="s">
        <v>96</v>
      </c>
      <c r="M2109">
        <v>6000</v>
      </c>
      <c r="O2109" s="12" t="str">
        <f t="shared" si="78"/>
        <v>AFR</v>
      </c>
      <c r="P2109" s="12" t="str">
        <f t="shared" si="79"/>
        <v>EN_Hy</v>
      </c>
    </row>
    <row r="2110" spans="1:16" x14ac:dyDescent="0.35">
      <c r="A2110" t="s">
        <v>2384</v>
      </c>
      <c r="B2110" t="s">
        <v>3111</v>
      </c>
      <c r="C2110" t="s">
        <v>45</v>
      </c>
      <c r="D2110" t="s">
        <v>2395</v>
      </c>
      <c r="E2110" t="s">
        <v>96</v>
      </c>
      <c r="F2110" t="s">
        <v>96</v>
      </c>
      <c r="G2110" t="s">
        <v>96</v>
      </c>
      <c r="H2110">
        <v>2017</v>
      </c>
      <c r="I2110" t="s">
        <v>96</v>
      </c>
      <c r="J2110" t="s">
        <v>97</v>
      </c>
      <c r="K2110" t="s">
        <v>96</v>
      </c>
      <c r="L2110" t="s">
        <v>96</v>
      </c>
      <c r="M2110">
        <v>8000</v>
      </c>
      <c r="O2110" s="12" t="str">
        <f t="shared" si="78"/>
        <v>AFR</v>
      </c>
      <c r="P2110" s="12" t="str">
        <f t="shared" si="79"/>
        <v>EN_Hy</v>
      </c>
    </row>
    <row r="2111" spans="1:16" x14ac:dyDescent="0.35">
      <c r="A2111" t="s">
        <v>2384</v>
      </c>
      <c r="B2111" t="s">
        <v>3111</v>
      </c>
      <c r="C2111" t="s">
        <v>45</v>
      </c>
      <c r="D2111" t="s">
        <v>2396</v>
      </c>
      <c r="E2111" t="s">
        <v>96</v>
      </c>
      <c r="F2111" t="s">
        <v>96</v>
      </c>
      <c r="G2111" t="s">
        <v>96</v>
      </c>
      <c r="H2111">
        <v>2017</v>
      </c>
      <c r="I2111" t="s">
        <v>96</v>
      </c>
      <c r="J2111" t="s">
        <v>97</v>
      </c>
      <c r="K2111" t="s">
        <v>96</v>
      </c>
      <c r="L2111" t="s">
        <v>96</v>
      </c>
      <c r="M2111">
        <v>10000</v>
      </c>
      <c r="O2111" s="12" t="str">
        <f t="shared" si="78"/>
        <v>AFR</v>
      </c>
      <c r="P2111" s="12" t="str">
        <f t="shared" si="79"/>
        <v>EN_Hy</v>
      </c>
    </row>
    <row r="2112" spans="1:16" x14ac:dyDescent="0.35">
      <c r="A2112" t="s">
        <v>2384</v>
      </c>
      <c r="B2112" t="s">
        <v>3111</v>
      </c>
      <c r="C2112" t="s">
        <v>45</v>
      </c>
      <c r="D2112" t="s">
        <v>2397</v>
      </c>
      <c r="E2112" t="s">
        <v>96</v>
      </c>
      <c r="F2112" t="s">
        <v>96</v>
      </c>
      <c r="G2112" t="s">
        <v>96</v>
      </c>
      <c r="H2112">
        <v>2017</v>
      </c>
      <c r="I2112" t="s">
        <v>96</v>
      </c>
      <c r="J2112" t="s">
        <v>97</v>
      </c>
      <c r="K2112" t="s">
        <v>96</v>
      </c>
      <c r="L2112" t="s">
        <v>96</v>
      </c>
      <c r="M2112">
        <v>1892.0575040000001</v>
      </c>
      <c r="O2112" s="12" t="str">
        <f t="shared" si="78"/>
        <v>AFR</v>
      </c>
      <c r="P2112" s="12" t="str">
        <f t="shared" si="79"/>
        <v>EN_Hy</v>
      </c>
    </row>
    <row r="2113" spans="1:16" x14ac:dyDescent="0.35">
      <c r="A2113" t="s">
        <v>2384</v>
      </c>
      <c r="B2113" t="s">
        <v>3111</v>
      </c>
      <c r="C2113" t="s">
        <v>45</v>
      </c>
      <c r="D2113" t="s">
        <v>2398</v>
      </c>
      <c r="E2113" t="s">
        <v>96</v>
      </c>
      <c r="F2113" t="s">
        <v>96</v>
      </c>
      <c r="G2113" t="s">
        <v>96</v>
      </c>
      <c r="H2113">
        <v>2017</v>
      </c>
      <c r="I2113" t="s">
        <v>96</v>
      </c>
      <c r="J2113" t="s">
        <v>97</v>
      </c>
      <c r="K2113" t="s">
        <v>96</v>
      </c>
      <c r="L2113" t="s">
        <v>96</v>
      </c>
      <c r="M2113">
        <v>4699.6602800000001</v>
      </c>
      <c r="O2113" s="12" t="str">
        <f t="shared" si="78"/>
        <v>AFR</v>
      </c>
      <c r="P2113" s="12" t="str">
        <f t="shared" si="79"/>
        <v>EN_Hy</v>
      </c>
    </row>
    <row r="2114" spans="1:16" x14ac:dyDescent="0.35">
      <c r="A2114" t="s">
        <v>2384</v>
      </c>
      <c r="B2114" t="s">
        <v>3111</v>
      </c>
      <c r="C2114" t="s">
        <v>45</v>
      </c>
      <c r="D2114" t="s">
        <v>2399</v>
      </c>
      <c r="E2114" t="s">
        <v>96</v>
      </c>
      <c r="F2114" t="s">
        <v>96</v>
      </c>
      <c r="G2114" t="s">
        <v>96</v>
      </c>
      <c r="H2114">
        <v>2017</v>
      </c>
      <c r="I2114" t="s">
        <v>96</v>
      </c>
      <c r="J2114" t="s">
        <v>97</v>
      </c>
      <c r="K2114" t="s">
        <v>96</v>
      </c>
      <c r="L2114" t="s">
        <v>96</v>
      </c>
      <c r="M2114">
        <v>9462.2532800000008</v>
      </c>
      <c r="O2114" s="12" t="str">
        <f t="shared" si="78"/>
        <v>AFR</v>
      </c>
      <c r="P2114" s="12" t="str">
        <f t="shared" si="79"/>
        <v>EN_Hy</v>
      </c>
    </row>
    <row r="2115" spans="1:16" x14ac:dyDescent="0.35">
      <c r="A2115" t="s">
        <v>2384</v>
      </c>
      <c r="B2115" t="s">
        <v>3111</v>
      </c>
      <c r="C2115" t="s">
        <v>45</v>
      </c>
      <c r="D2115" t="s">
        <v>2400</v>
      </c>
      <c r="E2115" t="s">
        <v>96</v>
      </c>
      <c r="F2115" t="s">
        <v>96</v>
      </c>
      <c r="G2115" t="s">
        <v>96</v>
      </c>
      <c r="H2115">
        <v>2017</v>
      </c>
      <c r="I2115" t="s">
        <v>96</v>
      </c>
      <c r="J2115" t="s">
        <v>97</v>
      </c>
      <c r="K2115" t="s">
        <v>96</v>
      </c>
      <c r="L2115" t="s">
        <v>96</v>
      </c>
      <c r="M2115">
        <v>6000</v>
      </c>
      <c r="O2115" s="12" t="str">
        <f t="shared" ref="O2115:O2178" si="80">LEFT(B2115,3)</f>
        <v>AFR</v>
      </c>
      <c r="P2115" s="12" t="str">
        <f t="shared" ref="P2115:P2178" si="81">LEFT(D2115,5)</f>
        <v>EN_Hy</v>
      </c>
    </row>
    <row r="2116" spans="1:16" x14ac:dyDescent="0.35">
      <c r="A2116" t="s">
        <v>2384</v>
      </c>
      <c r="B2116" t="s">
        <v>3111</v>
      </c>
      <c r="C2116" t="s">
        <v>45</v>
      </c>
      <c r="D2116" t="s">
        <v>2401</v>
      </c>
      <c r="E2116" t="s">
        <v>96</v>
      </c>
      <c r="F2116" t="s">
        <v>96</v>
      </c>
      <c r="G2116" t="s">
        <v>96</v>
      </c>
      <c r="H2116">
        <v>2017</v>
      </c>
      <c r="I2116" t="s">
        <v>96</v>
      </c>
      <c r="J2116" t="s">
        <v>97</v>
      </c>
      <c r="K2116" t="s">
        <v>96</v>
      </c>
      <c r="L2116" t="s">
        <v>96</v>
      </c>
      <c r="M2116">
        <v>8000</v>
      </c>
      <c r="O2116" s="12" t="str">
        <f t="shared" si="80"/>
        <v>AFR</v>
      </c>
      <c r="P2116" s="12" t="str">
        <f t="shared" si="81"/>
        <v>EN_Hy</v>
      </c>
    </row>
    <row r="2117" spans="1:16" x14ac:dyDescent="0.35">
      <c r="A2117" t="s">
        <v>2384</v>
      </c>
      <c r="B2117" t="s">
        <v>3111</v>
      </c>
      <c r="C2117" t="s">
        <v>45</v>
      </c>
      <c r="D2117" t="s">
        <v>2402</v>
      </c>
      <c r="E2117" t="s">
        <v>96</v>
      </c>
      <c r="F2117" t="s">
        <v>96</v>
      </c>
      <c r="G2117" t="s">
        <v>96</v>
      </c>
      <c r="H2117">
        <v>2017</v>
      </c>
      <c r="I2117" t="s">
        <v>96</v>
      </c>
      <c r="J2117" t="s">
        <v>97</v>
      </c>
      <c r="K2117" t="s">
        <v>96</v>
      </c>
      <c r="L2117" t="s">
        <v>96</v>
      </c>
      <c r="M2117">
        <v>10000</v>
      </c>
      <c r="O2117" s="12" t="str">
        <f t="shared" si="80"/>
        <v>AFR</v>
      </c>
      <c r="P2117" s="12" t="str">
        <f t="shared" si="81"/>
        <v>EN_Hy</v>
      </c>
    </row>
    <row r="2118" spans="1:16" x14ac:dyDescent="0.35">
      <c r="A2118" t="s">
        <v>2384</v>
      </c>
      <c r="B2118" t="s">
        <v>3111</v>
      </c>
      <c r="C2118" t="s">
        <v>45</v>
      </c>
      <c r="D2118" t="s">
        <v>2403</v>
      </c>
      <c r="E2118" t="s">
        <v>96</v>
      </c>
      <c r="F2118" t="s">
        <v>96</v>
      </c>
      <c r="G2118" t="s">
        <v>96</v>
      </c>
      <c r="H2118">
        <v>2017</v>
      </c>
      <c r="I2118" t="s">
        <v>96</v>
      </c>
      <c r="J2118" t="s">
        <v>97</v>
      </c>
      <c r="K2118" t="s">
        <v>96</v>
      </c>
      <c r="L2118" t="s">
        <v>96</v>
      </c>
      <c r="M2118">
        <v>2410.9088000000002</v>
      </c>
      <c r="O2118" s="12" t="str">
        <f t="shared" si="80"/>
        <v>AFR</v>
      </c>
      <c r="P2118" s="12" t="str">
        <f t="shared" si="81"/>
        <v>EN_Hy</v>
      </c>
    </row>
    <row r="2119" spans="1:16" x14ac:dyDescent="0.35">
      <c r="A2119" t="s">
        <v>2384</v>
      </c>
      <c r="B2119" t="s">
        <v>3111</v>
      </c>
      <c r="C2119" t="s">
        <v>45</v>
      </c>
      <c r="D2119" t="s">
        <v>2404</v>
      </c>
      <c r="E2119" t="s">
        <v>96</v>
      </c>
      <c r="F2119" t="s">
        <v>96</v>
      </c>
      <c r="G2119" t="s">
        <v>96</v>
      </c>
      <c r="H2119">
        <v>2017</v>
      </c>
      <c r="I2119" t="s">
        <v>96</v>
      </c>
      <c r="J2119" t="s">
        <v>97</v>
      </c>
      <c r="K2119" t="s">
        <v>96</v>
      </c>
      <c r="L2119" t="s">
        <v>96</v>
      </c>
      <c r="M2119">
        <v>3417.17</v>
      </c>
      <c r="O2119" s="12" t="str">
        <f t="shared" si="80"/>
        <v>AFR</v>
      </c>
      <c r="P2119" s="12" t="str">
        <f t="shared" si="81"/>
        <v>EN_Hy</v>
      </c>
    </row>
    <row r="2120" spans="1:16" x14ac:dyDescent="0.35">
      <c r="A2120" t="s">
        <v>2384</v>
      </c>
      <c r="B2120" t="s">
        <v>3111</v>
      </c>
      <c r="C2120" t="s">
        <v>45</v>
      </c>
      <c r="D2120" t="s">
        <v>2405</v>
      </c>
      <c r="E2120" t="s">
        <v>96</v>
      </c>
      <c r="F2120" t="s">
        <v>96</v>
      </c>
      <c r="G2120" t="s">
        <v>96</v>
      </c>
      <c r="H2120">
        <v>2017</v>
      </c>
      <c r="I2120" t="s">
        <v>96</v>
      </c>
      <c r="J2120" t="s">
        <v>97</v>
      </c>
      <c r="K2120" t="s">
        <v>96</v>
      </c>
      <c r="L2120" t="s">
        <v>96</v>
      </c>
      <c r="M2120">
        <v>5291.1967999999997</v>
      </c>
      <c r="O2120" s="12" t="str">
        <f t="shared" si="80"/>
        <v>AFR</v>
      </c>
      <c r="P2120" s="12" t="str">
        <f t="shared" si="81"/>
        <v>EN_Hy</v>
      </c>
    </row>
    <row r="2121" spans="1:16" x14ac:dyDescent="0.35">
      <c r="A2121" t="s">
        <v>2384</v>
      </c>
      <c r="B2121" t="s">
        <v>3111</v>
      </c>
      <c r="C2121" t="s">
        <v>45</v>
      </c>
      <c r="D2121" t="s">
        <v>2406</v>
      </c>
      <c r="E2121" t="s">
        <v>96</v>
      </c>
      <c r="F2121" t="s">
        <v>96</v>
      </c>
      <c r="G2121" t="s">
        <v>96</v>
      </c>
      <c r="H2121">
        <v>2017</v>
      </c>
      <c r="I2121" t="s">
        <v>96</v>
      </c>
      <c r="J2121" t="s">
        <v>97</v>
      </c>
      <c r="K2121" t="s">
        <v>96</v>
      </c>
      <c r="L2121" t="s">
        <v>96</v>
      </c>
      <c r="M2121">
        <v>3838.6574000000001</v>
      </c>
      <c r="O2121" s="12" t="str">
        <f t="shared" si="80"/>
        <v>AFR</v>
      </c>
      <c r="P2121" s="12" t="str">
        <f t="shared" si="81"/>
        <v>EN_Hy</v>
      </c>
    </row>
    <row r="2122" spans="1:16" x14ac:dyDescent="0.35">
      <c r="A2122" t="s">
        <v>2384</v>
      </c>
      <c r="B2122" t="s">
        <v>3111</v>
      </c>
      <c r="C2122" t="s">
        <v>45</v>
      </c>
      <c r="D2122" t="s">
        <v>2407</v>
      </c>
      <c r="E2122" t="s">
        <v>96</v>
      </c>
      <c r="F2122" t="s">
        <v>96</v>
      </c>
      <c r="G2122" t="s">
        <v>96</v>
      </c>
      <c r="H2122">
        <v>2017</v>
      </c>
      <c r="I2122" t="s">
        <v>96</v>
      </c>
      <c r="J2122" t="s">
        <v>97</v>
      </c>
      <c r="K2122" t="s">
        <v>96</v>
      </c>
      <c r="L2122" t="s">
        <v>96</v>
      </c>
      <c r="M2122">
        <v>6853.6829600000001</v>
      </c>
      <c r="O2122" s="12" t="str">
        <f t="shared" si="80"/>
        <v>AFR</v>
      </c>
      <c r="P2122" s="12" t="str">
        <f t="shared" si="81"/>
        <v>EN_Hy</v>
      </c>
    </row>
    <row r="2123" spans="1:16" x14ac:dyDescent="0.35">
      <c r="A2123" t="s">
        <v>2384</v>
      </c>
      <c r="B2123" t="s">
        <v>3111</v>
      </c>
      <c r="C2123" t="s">
        <v>45</v>
      </c>
      <c r="D2123" t="s">
        <v>2408</v>
      </c>
      <c r="E2123" t="s">
        <v>96</v>
      </c>
      <c r="F2123" t="s">
        <v>96</v>
      </c>
      <c r="G2123" t="s">
        <v>96</v>
      </c>
      <c r="H2123">
        <v>2017</v>
      </c>
      <c r="I2123" t="s">
        <v>96</v>
      </c>
      <c r="J2123" t="s">
        <v>97</v>
      </c>
      <c r="K2123" t="s">
        <v>96</v>
      </c>
      <c r="L2123" t="s">
        <v>96</v>
      </c>
      <c r="M2123">
        <v>8383.2227600000006</v>
      </c>
      <c r="O2123" s="12" t="str">
        <f t="shared" si="80"/>
        <v>AFR</v>
      </c>
      <c r="P2123" s="12" t="str">
        <f t="shared" si="81"/>
        <v>EN_Hy</v>
      </c>
    </row>
    <row r="2124" spans="1:16" x14ac:dyDescent="0.35">
      <c r="A2124" t="s">
        <v>2384</v>
      </c>
      <c r="B2124" t="s">
        <v>3111</v>
      </c>
      <c r="C2124" t="s">
        <v>45</v>
      </c>
      <c r="D2124" t="s">
        <v>2409</v>
      </c>
      <c r="E2124" t="s">
        <v>96</v>
      </c>
      <c r="F2124" t="s">
        <v>96</v>
      </c>
      <c r="G2124" t="s">
        <v>96</v>
      </c>
      <c r="H2124">
        <v>2017</v>
      </c>
      <c r="I2124" t="s">
        <v>96</v>
      </c>
      <c r="J2124" t="s">
        <v>97</v>
      </c>
      <c r="K2124" t="s">
        <v>96</v>
      </c>
      <c r="L2124" t="s">
        <v>96</v>
      </c>
      <c r="M2124">
        <v>6000</v>
      </c>
      <c r="O2124" s="12" t="str">
        <f t="shared" si="80"/>
        <v>AFR</v>
      </c>
      <c r="P2124" s="12" t="str">
        <f t="shared" si="81"/>
        <v>EN_Hy</v>
      </c>
    </row>
    <row r="2125" spans="1:16" x14ac:dyDescent="0.35">
      <c r="A2125" t="s">
        <v>2384</v>
      </c>
      <c r="B2125" t="s">
        <v>3111</v>
      </c>
      <c r="C2125" t="s">
        <v>45</v>
      </c>
      <c r="D2125" t="s">
        <v>2410</v>
      </c>
      <c r="E2125" t="s">
        <v>96</v>
      </c>
      <c r="F2125" t="s">
        <v>96</v>
      </c>
      <c r="G2125" t="s">
        <v>96</v>
      </c>
      <c r="H2125">
        <v>2017</v>
      </c>
      <c r="I2125" t="s">
        <v>96</v>
      </c>
      <c r="J2125" t="s">
        <v>97</v>
      </c>
      <c r="K2125" t="s">
        <v>96</v>
      </c>
      <c r="L2125" t="s">
        <v>96</v>
      </c>
      <c r="M2125">
        <v>8000</v>
      </c>
      <c r="O2125" s="12" t="str">
        <f t="shared" si="80"/>
        <v>AFR</v>
      </c>
      <c r="P2125" s="12" t="str">
        <f t="shared" si="81"/>
        <v>EN_Hy</v>
      </c>
    </row>
    <row r="2126" spans="1:16" x14ac:dyDescent="0.35">
      <c r="A2126" t="s">
        <v>2384</v>
      </c>
      <c r="B2126" t="s">
        <v>3111</v>
      </c>
      <c r="C2126" t="s">
        <v>45</v>
      </c>
      <c r="D2126" t="s">
        <v>2411</v>
      </c>
      <c r="E2126" t="s">
        <v>96</v>
      </c>
      <c r="F2126" t="s">
        <v>96</v>
      </c>
      <c r="G2126" t="s">
        <v>96</v>
      </c>
      <c r="H2126">
        <v>2017</v>
      </c>
      <c r="I2126" t="s">
        <v>96</v>
      </c>
      <c r="J2126" t="s">
        <v>97</v>
      </c>
      <c r="K2126" t="s">
        <v>96</v>
      </c>
      <c r="L2126" t="s">
        <v>96</v>
      </c>
      <c r="M2126">
        <v>10000</v>
      </c>
      <c r="O2126" s="12" t="str">
        <f t="shared" si="80"/>
        <v>AFR</v>
      </c>
      <c r="P2126" s="12" t="str">
        <f t="shared" si="81"/>
        <v>EN_Hy</v>
      </c>
    </row>
    <row r="2127" spans="1:16" x14ac:dyDescent="0.35">
      <c r="A2127" t="s">
        <v>2384</v>
      </c>
      <c r="B2127" t="s">
        <v>3111</v>
      </c>
      <c r="C2127" t="s">
        <v>45</v>
      </c>
      <c r="D2127" t="s">
        <v>2418</v>
      </c>
      <c r="E2127" t="s">
        <v>96</v>
      </c>
      <c r="F2127" t="s">
        <v>96</v>
      </c>
      <c r="G2127" t="s">
        <v>96</v>
      </c>
      <c r="H2127">
        <v>2017</v>
      </c>
      <c r="I2127" t="s">
        <v>96</v>
      </c>
      <c r="J2127" t="s">
        <v>97</v>
      </c>
      <c r="K2127" t="s">
        <v>96</v>
      </c>
      <c r="L2127" t="s">
        <v>96</v>
      </c>
      <c r="M2127">
        <v>1655.844104</v>
      </c>
      <c r="O2127" s="12" t="str">
        <f t="shared" si="80"/>
        <v>AFR</v>
      </c>
      <c r="P2127" s="12" t="str">
        <f t="shared" si="81"/>
        <v>EN_Hy</v>
      </c>
    </row>
    <row r="2128" spans="1:16" x14ac:dyDescent="0.35">
      <c r="A2128" t="s">
        <v>2384</v>
      </c>
      <c r="B2128" t="s">
        <v>3111</v>
      </c>
      <c r="C2128" t="s">
        <v>45</v>
      </c>
      <c r="D2128" t="s">
        <v>2419</v>
      </c>
      <c r="E2128" t="s">
        <v>96</v>
      </c>
      <c r="F2128" t="s">
        <v>96</v>
      </c>
      <c r="G2128" t="s">
        <v>96</v>
      </c>
      <c r="H2128">
        <v>2017</v>
      </c>
      <c r="I2128" t="s">
        <v>96</v>
      </c>
      <c r="J2128" t="s">
        <v>97</v>
      </c>
      <c r="K2128" t="s">
        <v>96</v>
      </c>
      <c r="L2128" t="s">
        <v>96</v>
      </c>
      <c r="M2128">
        <v>3503.15816</v>
      </c>
      <c r="O2128" s="12" t="str">
        <f t="shared" si="80"/>
        <v>AFR</v>
      </c>
      <c r="P2128" s="12" t="str">
        <f t="shared" si="81"/>
        <v>EN_Hy</v>
      </c>
    </row>
    <row r="2129" spans="1:16" x14ac:dyDescent="0.35">
      <c r="A2129" t="s">
        <v>2384</v>
      </c>
      <c r="B2129" t="s">
        <v>3111</v>
      </c>
      <c r="C2129" t="s">
        <v>45</v>
      </c>
      <c r="D2129" t="s">
        <v>2420</v>
      </c>
      <c r="E2129" t="s">
        <v>96</v>
      </c>
      <c r="F2129" t="s">
        <v>96</v>
      </c>
      <c r="G2129" t="s">
        <v>96</v>
      </c>
      <c r="H2129">
        <v>2017</v>
      </c>
      <c r="I2129" t="s">
        <v>96</v>
      </c>
      <c r="J2129" t="s">
        <v>97</v>
      </c>
      <c r="K2129" t="s">
        <v>96</v>
      </c>
      <c r="L2129" t="s">
        <v>96</v>
      </c>
      <c r="M2129">
        <v>5588.0819600000004</v>
      </c>
      <c r="O2129" s="12" t="str">
        <f t="shared" si="80"/>
        <v>AFR</v>
      </c>
      <c r="P2129" s="12" t="str">
        <f t="shared" si="81"/>
        <v>EN_Hy</v>
      </c>
    </row>
    <row r="2130" spans="1:16" x14ac:dyDescent="0.35">
      <c r="A2130" t="s">
        <v>2384</v>
      </c>
      <c r="B2130" t="s">
        <v>3111</v>
      </c>
      <c r="C2130" t="s">
        <v>45</v>
      </c>
      <c r="D2130" t="s">
        <v>2421</v>
      </c>
      <c r="E2130" t="s">
        <v>96</v>
      </c>
      <c r="F2130" t="s">
        <v>96</v>
      </c>
      <c r="G2130" t="s">
        <v>96</v>
      </c>
      <c r="H2130">
        <v>2017</v>
      </c>
      <c r="I2130" t="s">
        <v>96</v>
      </c>
      <c r="J2130" t="s">
        <v>97</v>
      </c>
      <c r="K2130" t="s">
        <v>96</v>
      </c>
      <c r="L2130" t="s">
        <v>96</v>
      </c>
      <c r="M2130">
        <v>1568.3281999999999</v>
      </c>
      <c r="O2130" s="12" t="str">
        <f t="shared" si="80"/>
        <v>AFR</v>
      </c>
      <c r="P2130" s="12" t="str">
        <f t="shared" si="81"/>
        <v>EN_Hy</v>
      </c>
    </row>
    <row r="2131" spans="1:16" x14ac:dyDescent="0.35">
      <c r="A2131" t="s">
        <v>2384</v>
      </c>
      <c r="B2131" t="s">
        <v>3111</v>
      </c>
      <c r="C2131" t="s">
        <v>45</v>
      </c>
      <c r="D2131" t="s">
        <v>2422</v>
      </c>
      <c r="E2131" t="s">
        <v>96</v>
      </c>
      <c r="F2131" t="s">
        <v>96</v>
      </c>
      <c r="G2131" t="s">
        <v>96</v>
      </c>
      <c r="H2131">
        <v>2017</v>
      </c>
      <c r="I2131" t="s">
        <v>96</v>
      </c>
      <c r="J2131" t="s">
        <v>97</v>
      </c>
      <c r="K2131" t="s">
        <v>96</v>
      </c>
      <c r="L2131" t="s">
        <v>96</v>
      </c>
      <c r="M2131">
        <v>4135.9279999999999</v>
      </c>
      <c r="O2131" s="12" t="str">
        <f t="shared" si="80"/>
        <v>AFR</v>
      </c>
      <c r="P2131" s="12" t="str">
        <f t="shared" si="81"/>
        <v>EN_Hy</v>
      </c>
    </row>
    <row r="2132" spans="1:16" x14ac:dyDescent="0.35">
      <c r="A2132" t="s">
        <v>2384</v>
      </c>
      <c r="B2132" t="s">
        <v>3111</v>
      </c>
      <c r="C2132" t="s">
        <v>45</v>
      </c>
      <c r="D2132" t="s">
        <v>2423</v>
      </c>
      <c r="E2132" t="s">
        <v>96</v>
      </c>
      <c r="F2132" t="s">
        <v>96</v>
      </c>
      <c r="G2132" t="s">
        <v>96</v>
      </c>
      <c r="H2132">
        <v>2017</v>
      </c>
      <c r="I2132" t="s">
        <v>96</v>
      </c>
      <c r="J2132" t="s">
        <v>97</v>
      </c>
      <c r="K2132" t="s">
        <v>96</v>
      </c>
      <c r="L2132" t="s">
        <v>96</v>
      </c>
      <c r="M2132">
        <v>5253.2659999999996</v>
      </c>
      <c r="O2132" s="12" t="str">
        <f t="shared" si="80"/>
        <v>AFR</v>
      </c>
      <c r="P2132" s="12" t="str">
        <f t="shared" si="81"/>
        <v>EN_Hy</v>
      </c>
    </row>
    <row r="2133" spans="1:16" x14ac:dyDescent="0.35">
      <c r="A2133" t="s">
        <v>2384</v>
      </c>
      <c r="B2133" t="s">
        <v>3111</v>
      </c>
      <c r="C2133" t="s">
        <v>45</v>
      </c>
      <c r="D2133" t="s">
        <v>2424</v>
      </c>
      <c r="E2133" t="s">
        <v>96</v>
      </c>
      <c r="F2133" t="s">
        <v>96</v>
      </c>
      <c r="G2133" t="s">
        <v>96</v>
      </c>
      <c r="H2133">
        <v>2017</v>
      </c>
      <c r="I2133" t="s">
        <v>96</v>
      </c>
      <c r="J2133" t="s">
        <v>97</v>
      </c>
      <c r="K2133" t="s">
        <v>96</v>
      </c>
      <c r="L2133" t="s">
        <v>96</v>
      </c>
      <c r="M2133">
        <v>6000</v>
      </c>
      <c r="O2133" s="12" t="str">
        <f t="shared" si="80"/>
        <v>AFR</v>
      </c>
      <c r="P2133" s="12" t="str">
        <f t="shared" si="81"/>
        <v>EN_Hy</v>
      </c>
    </row>
    <row r="2134" spans="1:16" x14ac:dyDescent="0.35">
      <c r="A2134" t="s">
        <v>2384</v>
      </c>
      <c r="B2134" t="s">
        <v>3111</v>
      </c>
      <c r="C2134" t="s">
        <v>45</v>
      </c>
      <c r="D2134" t="s">
        <v>2425</v>
      </c>
      <c r="E2134" t="s">
        <v>96</v>
      </c>
      <c r="F2134" t="s">
        <v>96</v>
      </c>
      <c r="G2134" t="s">
        <v>96</v>
      </c>
      <c r="H2134">
        <v>2017</v>
      </c>
      <c r="I2134" t="s">
        <v>96</v>
      </c>
      <c r="J2134" t="s">
        <v>97</v>
      </c>
      <c r="K2134" t="s">
        <v>96</v>
      </c>
      <c r="L2134" t="s">
        <v>96</v>
      </c>
      <c r="M2134">
        <v>8000</v>
      </c>
      <c r="O2134" s="12" t="str">
        <f t="shared" si="80"/>
        <v>AFR</v>
      </c>
      <c r="P2134" s="12" t="str">
        <f t="shared" si="81"/>
        <v>EN_Hy</v>
      </c>
    </row>
    <row r="2135" spans="1:16" x14ac:dyDescent="0.35">
      <c r="A2135" t="s">
        <v>2384</v>
      </c>
      <c r="B2135" t="s">
        <v>3111</v>
      </c>
      <c r="C2135" t="s">
        <v>45</v>
      </c>
      <c r="D2135" t="s">
        <v>2426</v>
      </c>
      <c r="E2135" t="s">
        <v>96</v>
      </c>
      <c r="F2135" t="s">
        <v>96</v>
      </c>
      <c r="G2135" t="s">
        <v>96</v>
      </c>
      <c r="H2135">
        <v>2017</v>
      </c>
      <c r="I2135" t="s">
        <v>96</v>
      </c>
      <c r="J2135" t="s">
        <v>97</v>
      </c>
      <c r="K2135" t="s">
        <v>96</v>
      </c>
      <c r="L2135" t="s">
        <v>96</v>
      </c>
      <c r="M2135">
        <v>10000</v>
      </c>
      <c r="O2135" s="12" t="str">
        <f t="shared" si="80"/>
        <v>AFR</v>
      </c>
      <c r="P2135" s="12" t="str">
        <f t="shared" si="81"/>
        <v>EN_Hy</v>
      </c>
    </row>
    <row r="2136" spans="1:16" x14ac:dyDescent="0.35">
      <c r="A2136" t="s">
        <v>2384</v>
      </c>
      <c r="B2136" t="s">
        <v>3111</v>
      </c>
      <c r="C2136" t="s">
        <v>45</v>
      </c>
      <c r="D2136" t="s">
        <v>2427</v>
      </c>
      <c r="E2136" t="s">
        <v>96</v>
      </c>
      <c r="F2136" t="s">
        <v>96</v>
      </c>
      <c r="G2136" t="s">
        <v>96</v>
      </c>
      <c r="H2136">
        <v>2017</v>
      </c>
      <c r="I2136" t="s">
        <v>96</v>
      </c>
      <c r="J2136" t="s">
        <v>97</v>
      </c>
      <c r="K2136" t="s">
        <v>96</v>
      </c>
      <c r="L2136" t="s">
        <v>96</v>
      </c>
      <c r="M2136">
        <v>6000</v>
      </c>
      <c r="O2136" s="12" t="str">
        <f t="shared" si="80"/>
        <v>AFR</v>
      </c>
      <c r="P2136" s="12" t="str">
        <f t="shared" si="81"/>
        <v>EN_Hy</v>
      </c>
    </row>
    <row r="2137" spans="1:16" x14ac:dyDescent="0.35">
      <c r="A2137" t="s">
        <v>2384</v>
      </c>
      <c r="B2137" t="s">
        <v>3111</v>
      </c>
      <c r="C2137" t="s">
        <v>45</v>
      </c>
      <c r="D2137" t="s">
        <v>2428</v>
      </c>
      <c r="E2137" t="s">
        <v>96</v>
      </c>
      <c r="F2137" t="s">
        <v>96</v>
      </c>
      <c r="G2137" t="s">
        <v>96</v>
      </c>
      <c r="H2137">
        <v>2017</v>
      </c>
      <c r="I2137" t="s">
        <v>96</v>
      </c>
      <c r="J2137" t="s">
        <v>97</v>
      </c>
      <c r="K2137" t="s">
        <v>96</v>
      </c>
      <c r="L2137" t="s">
        <v>96</v>
      </c>
      <c r="M2137">
        <v>8000</v>
      </c>
      <c r="O2137" s="12" t="str">
        <f t="shared" si="80"/>
        <v>AFR</v>
      </c>
      <c r="P2137" s="12" t="str">
        <f t="shared" si="81"/>
        <v>EN_Hy</v>
      </c>
    </row>
    <row r="2138" spans="1:16" x14ac:dyDescent="0.35">
      <c r="A2138" t="s">
        <v>2384</v>
      </c>
      <c r="B2138" t="s">
        <v>3111</v>
      </c>
      <c r="C2138" t="s">
        <v>45</v>
      </c>
      <c r="D2138" t="s">
        <v>2429</v>
      </c>
      <c r="E2138" t="s">
        <v>96</v>
      </c>
      <c r="F2138" t="s">
        <v>96</v>
      </c>
      <c r="G2138" t="s">
        <v>96</v>
      </c>
      <c r="H2138">
        <v>2017</v>
      </c>
      <c r="I2138" t="s">
        <v>96</v>
      </c>
      <c r="J2138" t="s">
        <v>97</v>
      </c>
      <c r="K2138" t="s">
        <v>96</v>
      </c>
      <c r="L2138" t="s">
        <v>96</v>
      </c>
      <c r="M2138">
        <v>10000</v>
      </c>
      <c r="O2138" s="12" t="str">
        <f t="shared" si="80"/>
        <v>AFR</v>
      </c>
      <c r="P2138" s="12" t="str">
        <f t="shared" si="81"/>
        <v>EN_Hy</v>
      </c>
    </row>
    <row r="2139" spans="1:16" x14ac:dyDescent="0.35">
      <c r="A2139" t="s">
        <v>2384</v>
      </c>
      <c r="B2139" t="s">
        <v>3111</v>
      </c>
      <c r="C2139" t="s">
        <v>45</v>
      </c>
      <c r="D2139" t="s">
        <v>2430</v>
      </c>
      <c r="E2139" t="s">
        <v>96</v>
      </c>
      <c r="F2139" t="s">
        <v>96</v>
      </c>
      <c r="G2139" t="s">
        <v>96</v>
      </c>
      <c r="H2139">
        <v>2017</v>
      </c>
      <c r="I2139" t="s">
        <v>96</v>
      </c>
      <c r="J2139" t="s">
        <v>97</v>
      </c>
      <c r="K2139" t="s">
        <v>96</v>
      </c>
      <c r="L2139" t="s">
        <v>96</v>
      </c>
      <c r="M2139">
        <v>6000</v>
      </c>
      <c r="O2139" s="12" t="str">
        <f t="shared" si="80"/>
        <v>AFR</v>
      </c>
      <c r="P2139" s="12" t="str">
        <f t="shared" si="81"/>
        <v>EN_Hy</v>
      </c>
    </row>
    <row r="2140" spans="1:16" x14ac:dyDescent="0.35">
      <c r="A2140" t="s">
        <v>2384</v>
      </c>
      <c r="B2140" t="s">
        <v>3111</v>
      </c>
      <c r="C2140" t="s">
        <v>45</v>
      </c>
      <c r="D2140" t="s">
        <v>2431</v>
      </c>
      <c r="E2140" t="s">
        <v>96</v>
      </c>
      <c r="F2140" t="s">
        <v>96</v>
      </c>
      <c r="G2140" t="s">
        <v>96</v>
      </c>
      <c r="H2140">
        <v>2017</v>
      </c>
      <c r="I2140" t="s">
        <v>96</v>
      </c>
      <c r="J2140" t="s">
        <v>97</v>
      </c>
      <c r="K2140" t="s">
        <v>96</v>
      </c>
      <c r="L2140" t="s">
        <v>96</v>
      </c>
      <c r="M2140">
        <v>8000</v>
      </c>
      <c r="O2140" s="12" t="str">
        <f t="shared" si="80"/>
        <v>AFR</v>
      </c>
      <c r="P2140" s="12" t="str">
        <f t="shared" si="81"/>
        <v>EN_Hy</v>
      </c>
    </row>
    <row r="2141" spans="1:16" x14ac:dyDescent="0.35">
      <c r="A2141" t="s">
        <v>2384</v>
      </c>
      <c r="B2141" t="s">
        <v>3111</v>
      </c>
      <c r="C2141" t="s">
        <v>45</v>
      </c>
      <c r="D2141" t="s">
        <v>2432</v>
      </c>
      <c r="E2141" t="s">
        <v>96</v>
      </c>
      <c r="F2141" t="s">
        <v>96</v>
      </c>
      <c r="G2141" t="s">
        <v>96</v>
      </c>
      <c r="H2141">
        <v>2017</v>
      </c>
      <c r="I2141" t="s">
        <v>96</v>
      </c>
      <c r="J2141" t="s">
        <v>97</v>
      </c>
      <c r="K2141" t="s">
        <v>96</v>
      </c>
      <c r="L2141" t="s">
        <v>96</v>
      </c>
      <c r="M2141">
        <v>10000</v>
      </c>
      <c r="O2141" s="12" t="str">
        <f t="shared" si="80"/>
        <v>AFR</v>
      </c>
      <c r="P2141" s="12" t="str">
        <f t="shared" si="81"/>
        <v>EN_Hy</v>
      </c>
    </row>
    <row r="2142" spans="1:16" x14ac:dyDescent="0.35">
      <c r="A2142" t="s">
        <v>2384</v>
      </c>
      <c r="B2142" t="s">
        <v>3111</v>
      </c>
      <c r="C2142" t="s">
        <v>45</v>
      </c>
      <c r="D2142" t="s">
        <v>2433</v>
      </c>
      <c r="E2142" t="s">
        <v>96</v>
      </c>
      <c r="F2142" t="s">
        <v>96</v>
      </c>
      <c r="G2142" t="s">
        <v>96</v>
      </c>
      <c r="H2142">
        <v>2017</v>
      </c>
      <c r="I2142" t="s">
        <v>96</v>
      </c>
      <c r="J2142" t="s">
        <v>97</v>
      </c>
      <c r="K2142" t="s">
        <v>96</v>
      </c>
      <c r="L2142" t="s">
        <v>96</v>
      </c>
      <c r="M2142">
        <v>6000</v>
      </c>
      <c r="O2142" s="12" t="str">
        <f t="shared" si="80"/>
        <v>AFR</v>
      </c>
      <c r="P2142" s="12" t="str">
        <f t="shared" si="81"/>
        <v>EN_Hy</v>
      </c>
    </row>
    <row r="2143" spans="1:16" x14ac:dyDescent="0.35">
      <c r="A2143" t="s">
        <v>2384</v>
      </c>
      <c r="B2143" t="s">
        <v>3111</v>
      </c>
      <c r="C2143" t="s">
        <v>45</v>
      </c>
      <c r="D2143" t="s">
        <v>2434</v>
      </c>
      <c r="E2143" t="s">
        <v>96</v>
      </c>
      <c r="F2143" t="s">
        <v>96</v>
      </c>
      <c r="G2143" t="s">
        <v>96</v>
      </c>
      <c r="H2143">
        <v>2017</v>
      </c>
      <c r="I2143" t="s">
        <v>96</v>
      </c>
      <c r="J2143" t="s">
        <v>97</v>
      </c>
      <c r="K2143" t="s">
        <v>96</v>
      </c>
      <c r="L2143" t="s">
        <v>96</v>
      </c>
      <c r="M2143">
        <v>8000</v>
      </c>
      <c r="O2143" s="12" t="str">
        <f t="shared" si="80"/>
        <v>AFR</v>
      </c>
      <c r="P2143" s="12" t="str">
        <f t="shared" si="81"/>
        <v>EN_Hy</v>
      </c>
    </row>
    <row r="2144" spans="1:16" x14ac:dyDescent="0.35">
      <c r="A2144" t="s">
        <v>2384</v>
      </c>
      <c r="B2144" t="s">
        <v>3111</v>
      </c>
      <c r="C2144" t="s">
        <v>45</v>
      </c>
      <c r="D2144" t="s">
        <v>2435</v>
      </c>
      <c r="E2144" t="s">
        <v>96</v>
      </c>
      <c r="F2144" t="s">
        <v>96</v>
      </c>
      <c r="G2144" t="s">
        <v>96</v>
      </c>
      <c r="H2144">
        <v>2017</v>
      </c>
      <c r="I2144" t="s">
        <v>96</v>
      </c>
      <c r="J2144" t="s">
        <v>97</v>
      </c>
      <c r="K2144" t="s">
        <v>96</v>
      </c>
      <c r="L2144" t="s">
        <v>96</v>
      </c>
      <c r="M2144">
        <v>10000</v>
      </c>
      <c r="O2144" s="12" t="str">
        <f t="shared" si="80"/>
        <v>AFR</v>
      </c>
      <c r="P2144" s="12" t="str">
        <f t="shared" si="81"/>
        <v>EN_Hy</v>
      </c>
    </row>
    <row r="2145" spans="1:16" x14ac:dyDescent="0.35">
      <c r="A2145" t="s">
        <v>2384</v>
      </c>
      <c r="B2145" t="s">
        <v>3111</v>
      </c>
      <c r="C2145" t="s">
        <v>45</v>
      </c>
      <c r="D2145" t="s">
        <v>2436</v>
      </c>
      <c r="E2145" t="s">
        <v>96</v>
      </c>
      <c r="F2145" t="s">
        <v>96</v>
      </c>
      <c r="G2145" t="s">
        <v>96</v>
      </c>
      <c r="H2145">
        <v>2017</v>
      </c>
      <c r="I2145" t="s">
        <v>96</v>
      </c>
      <c r="J2145" t="s">
        <v>97</v>
      </c>
      <c r="K2145" t="s">
        <v>96</v>
      </c>
      <c r="L2145" t="s">
        <v>96</v>
      </c>
      <c r="M2145">
        <v>6000</v>
      </c>
      <c r="O2145" s="12" t="str">
        <f t="shared" si="80"/>
        <v>AFR</v>
      </c>
      <c r="P2145" s="12" t="str">
        <f t="shared" si="81"/>
        <v>EN_Hy</v>
      </c>
    </row>
    <row r="2146" spans="1:16" x14ac:dyDescent="0.35">
      <c r="A2146" t="s">
        <v>2384</v>
      </c>
      <c r="B2146" t="s">
        <v>3111</v>
      </c>
      <c r="C2146" t="s">
        <v>45</v>
      </c>
      <c r="D2146" t="s">
        <v>2437</v>
      </c>
      <c r="E2146" t="s">
        <v>96</v>
      </c>
      <c r="F2146" t="s">
        <v>96</v>
      </c>
      <c r="G2146" t="s">
        <v>96</v>
      </c>
      <c r="H2146">
        <v>2017</v>
      </c>
      <c r="I2146" t="s">
        <v>96</v>
      </c>
      <c r="J2146" t="s">
        <v>97</v>
      </c>
      <c r="K2146" t="s">
        <v>96</v>
      </c>
      <c r="L2146" t="s">
        <v>96</v>
      </c>
      <c r="M2146">
        <v>8000</v>
      </c>
      <c r="O2146" s="12" t="str">
        <f t="shared" si="80"/>
        <v>AFR</v>
      </c>
      <c r="P2146" s="12" t="str">
        <f t="shared" si="81"/>
        <v>EN_Hy</v>
      </c>
    </row>
    <row r="2147" spans="1:16" x14ac:dyDescent="0.35">
      <c r="A2147" t="s">
        <v>2384</v>
      </c>
      <c r="B2147" t="s">
        <v>3111</v>
      </c>
      <c r="C2147" t="s">
        <v>45</v>
      </c>
      <c r="D2147" t="s">
        <v>2438</v>
      </c>
      <c r="E2147" t="s">
        <v>96</v>
      </c>
      <c r="F2147" t="s">
        <v>96</v>
      </c>
      <c r="G2147" t="s">
        <v>96</v>
      </c>
      <c r="H2147">
        <v>2017</v>
      </c>
      <c r="I2147" t="s">
        <v>96</v>
      </c>
      <c r="J2147" t="s">
        <v>97</v>
      </c>
      <c r="K2147" t="s">
        <v>96</v>
      </c>
      <c r="L2147" t="s">
        <v>96</v>
      </c>
      <c r="M2147">
        <v>10000</v>
      </c>
      <c r="O2147" s="12" t="str">
        <f t="shared" si="80"/>
        <v>AFR</v>
      </c>
      <c r="P2147" s="12" t="str">
        <f t="shared" si="81"/>
        <v>EN_Hy</v>
      </c>
    </row>
    <row r="2148" spans="1:16" x14ac:dyDescent="0.35">
      <c r="A2148" t="s">
        <v>2384</v>
      </c>
      <c r="B2148" t="s">
        <v>3111</v>
      </c>
      <c r="C2148" t="s">
        <v>45</v>
      </c>
      <c r="D2148" t="s">
        <v>2442</v>
      </c>
      <c r="E2148" t="s">
        <v>96</v>
      </c>
      <c r="F2148" t="s">
        <v>96</v>
      </c>
      <c r="G2148" t="s">
        <v>96</v>
      </c>
      <c r="H2148">
        <v>2017</v>
      </c>
      <c r="I2148" t="s">
        <v>96</v>
      </c>
      <c r="J2148" t="s">
        <v>97</v>
      </c>
      <c r="K2148" t="s">
        <v>96</v>
      </c>
      <c r="L2148" t="s">
        <v>96</v>
      </c>
      <c r="M2148">
        <v>3102.7832360000002</v>
      </c>
      <c r="O2148" s="12" t="str">
        <f t="shared" si="80"/>
        <v>AFR</v>
      </c>
      <c r="P2148" s="12" t="str">
        <f t="shared" si="81"/>
        <v>EN_Hy</v>
      </c>
    </row>
    <row r="2149" spans="1:16" x14ac:dyDescent="0.35">
      <c r="A2149" t="s">
        <v>2384</v>
      </c>
      <c r="B2149" t="s">
        <v>3111</v>
      </c>
      <c r="C2149" t="s">
        <v>45</v>
      </c>
      <c r="D2149" t="s">
        <v>2443</v>
      </c>
      <c r="E2149" t="s">
        <v>96</v>
      </c>
      <c r="F2149" t="s">
        <v>96</v>
      </c>
      <c r="G2149" t="s">
        <v>96</v>
      </c>
      <c r="H2149">
        <v>2017</v>
      </c>
      <c r="I2149" t="s">
        <v>96</v>
      </c>
      <c r="J2149" t="s">
        <v>97</v>
      </c>
      <c r="K2149" t="s">
        <v>96</v>
      </c>
      <c r="L2149" t="s">
        <v>96</v>
      </c>
      <c r="M2149">
        <v>5343.8356400000002</v>
      </c>
      <c r="O2149" s="12" t="str">
        <f t="shared" si="80"/>
        <v>AFR</v>
      </c>
      <c r="P2149" s="12" t="str">
        <f t="shared" si="81"/>
        <v>EN_Hy</v>
      </c>
    </row>
    <row r="2150" spans="1:16" x14ac:dyDescent="0.35">
      <c r="A2150" t="s">
        <v>2384</v>
      </c>
      <c r="B2150" t="s">
        <v>3111</v>
      </c>
      <c r="C2150" t="s">
        <v>45</v>
      </c>
      <c r="D2150" t="s">
        <v>2444</v>
      </c>
      <c r="E2150" t="s">
        <v>96</v>
      </c>
      <c r="F2150" t="s">
        <v>96</v>
      </c>
      <c r="G2150" t="s">
        <v>96</v>
      </c>
      <c r="H2150">
        <v>2017</v>
      </c>
      <c r="I2150" t="s">
        <v>96</v>
      </c>
      <c r="J2150" t="s">
        <v>97</v>
      </c>
      <c r="K2150" t="s">
        <v>96</v>
      </c>
      <c r="L2150" t="s">
        <v>96</v>
      </c>
      <c r="M2150">
        <v>6159.8033599999999</v>
      </c>
      <c r="O2150" s="12" t="str">
        <f t="shared" si="80"/>
        <v>AFR</v>
      </c>
      <c r="P2150" s="12" t="str">
        <f t="shared" si="81"/>
        <v>EN_Hy</v>
      </c>
    </row>
    <row r="2151" spans="1:16" x14ac:dyDescent="0.35">
      <c r="A2151" t="s">
        <v>2384</v>
      </c>
      <c r="B2151" t="s">
        <v>3111</v>
      </c>
      <c r="C2151" t="s">
        <v>45</v>
      </c>
      <c r="D2151" t="s">
        <v>2448</v>
      </c>
      <c r="E2151" t="s">
        <v>96</v>
      </c>
      <c r="F2151" t="s">
        <v>96</v>
      </c>
      <c r="G2151" t="s">
        <v>96</v>
      </c>
      <c r="H2151">
        <v>2017</v>
      </c>
      <c r="I2151" t="s">
        <v>96</v>
      </c>
      <c r="J2151" t="s">
        <v>97</v>
      </c>
      <c r="K2151" t="s">
        <v>96</v>
      </c>
      <c r="L2151" t="s">
        <v>96</v>
      </c>
      <c r="M2151">
        <v>2232.1785199999999</v>
      </c>
      <c r="O2151" s="12" t="str">
        <f t="shared" si="80"/>
        <v>AFR</v>
      </c>
      <c r="P2151" s="12" t="str">
        <f t="shared" si="81"/>
        <v>EN_Hy</v>
      </c>
    </row>
    <row r="2152" spans="1:16" x14ac:dyDescent="0.35">
      <c r="A2152" t="s">
        <v>2384</v>
      </c>
      <c r="B2152" t="s">
        <v>3111</v>
      </c>
      <c r="C2152" t="s">
        <v>45</v>
      </c>
      <c r="D2152" t="s">
        <v>2449</v>
      </c>
      <c r="E2152" t="s">
        <v>96</v>
      </c>
      <c r="F2152" t="s">
        <v>96</v>
      </c>
      <c r="G2152" t="s">
        <v>96</v>
      </c>
      <c r="H2152">
        <v>2017</v>
      </c>
      <c r="I2152" t="s">
        <v>96</v>
      </c>
      <c r="J2152" t="s">
        <v>97</v>
      </c>
      <c r="K2152" t="s">
        <v>96</v>
      </c>
      <c r="L2152" t="s">
        <v>96</v>
      </c>
      <c r="M2152">
        <v>3976.9813039999999</v>
      </c>
      <c r="O2152" s="12" t="str">
        <f t="shared" si="80"/>
        <v>AFR</v>
      </c>
      <c r="P2152" s="12" t="str">
        <f t="shared" si="81"/>
        <v>EN_Hy</v>
      </c>
    </row>
    <row r="2153" spans="1:16" x14ac:dyDescent="0.35">
      <c r="A2153" t="s">
        <v>2384</v>
      </c>
      <c r="B2153" t="s">
        <v>3111</v>
      </c>
      <c r="C2153" t="s">
        <v>45</v>
      </c>
      <c r="D2153" t="s">
        <v>2450</v>
      </c>
      <c r="E2153" t="s">
        <v>96</v>
      </c>
      <c r="F2153" t="s">
        <v>96</v>
      </c>
      <c r="G2153" t="s">
        <v>96</v>
      </c>
      <c r="H2153">
        <v>2017</v>
      </c>
      <c r="I2153" t="s">
        <v>96</v>
      </c>
      <c r="J2153" t="s">
        <v>97</v>
      </c>
      <c r="K2153" t="s">
        <v>96</v>
      </c>
      <c r="L2153" t="s">
        <v>96</v>
      </c>
      <c r="M2153">
        <v>5544.5552719999996</v>
      </c>
      <c r="O2153" s="12" t="str">
        <f t="shared" si="80"/>
        <v>AFR</v>
      </c>
      <c r="P2153" s="12" t="str">
        <f t="shared" si="81"/>
        <v>EN_Hy</v>
      </c>
    </row>
    <row r="2154" spans="1:16" x14ac:dyDescent="0.35">
      <c r="A2154" t="s">
        <v>2384</v>
      </c>
      <c r="B2154" t="s">
        <v>3111</v>
      </c>
      <c r="C2154" t="s">
        <v>45</v>
      </c>
      <c r="D2154" t="s">
        <v>2454</v>
      </c>
      <c r="E2154" t="s">
        <v>96</v>
      </c>
      <c r="F2154" t="s">
        <v>96</v>
      </c>
      <c r="G2154" t="s">
        <v>96</v>
      </c>
      <c r="H2154">
        <v>2017</v>
      </c>
      <c r="I2154" t="s">
        <v>96</v>
      </c>
      <c r="J2154" t="s">
        <v>97</v>
      </c>
      <c r="K2154" t="s">
        <v>96</v>
      </c>
      <c r="L2154" t="s">
        <v>96</v>
      </c>
      <c r="M2154">
        <v>6000</v>
      </c>
      <c r="O2154" s="12" t="str">
        <f t="shared" si="80"/>
        <v>AFR</v>
      </c>
      <c r="P2154" s="12" t="str">
        <f t="shared" si="81"/>
        <v>EN_Hy</v>
      </c>
    </row>
    <row r="2155" spans="1:16" x14ac:dyDescent="0.35">
      <c r="A2155" t="s">
        <v>2384</v>
      </c>
      <c r="B2155" t="s">
        <v>3111</v>
      </c>
      <c r="C2155" t="s">
        <v>45</v>
      </c>
      <c r="D2155" t="s">
        <v>2455</v>
      </c>
      <c r="E2155" t="s">
        <v>96</v>
      </c>
      <c r="F2155" t="s">
        <v>96</v>
      </c>
      <c r="G2155" t="s">
        <v>96</v>
      </c>
      <c r="H2155">
        <v>2017</v>
      </c>
      <c r="I2155" t="s">
        <v>96</v>
      </c>
      <c r="J2155" t="s">
        <v>97</v>
      </c>
      <c r="K2155" t="s">
        <v>96</v>
      </c>
      <c r="L2155" t="s">
        <v>96</v>
      </c>
      <c r="M2155">
        <v>8000</v>
      </c>
      <c r="O2155" s="12" t="str">
        <f t="shared" si="80"/>
        <v>AFR</v>
      </c>
      <c r="P2155" s="12" t="str">
        <f t="shared" si="81"/>
        <v>EN_Hy</v>
      </c>
    </row>
    <row r="2156" spans="1:16" x14ac:dyDescent="0.35">
      <c r="A2156" t="s">
        <v>2384</v>
      </c>
      <c r="B2156" t="s">
        <v>3111</v>
      </c>
      <c r="C2156" t="s">
        <v>45</v>
      </c>
      <c r="D2156" t="s">
        <v>2456</v>
      </c>
      <c r="E2156" t="s">
        <v>96</v>
      </c>
      <c r="F2156" t="s">
        <v>96</v>
      </c>
      <c r="G2156" t="s">
        <v>96</v>
      </c>
      <c r="H2156">
        <v>2017</v>
      </c>
      <c r="I2156" t="s">
        <v>96</v>
      </c>
      <c r="J2156" t="s">
        <v>97</v>
      </c>
      <c r="K2156" t="s">
        <v>96</v>
      </c>
      <c r="L2156" t="s">
        <v>96</v>
      </c>
      <c r="M2156">
        <v>10000</v>
      </c>
      <c r="O2156" s="12" t="str">
        <f t="shared" si="80"/>
        <v>AFR</v>
      </c>
      <c r="P2156" s="12" t="str">
        <f t="shared" si="81"/>
        <v>EN_Hy</v>
      </c>
    </row>
    <row r="2157" spans="1:16" x14ac:dyDescent="0.35">
      <c r="A2157" t="s">
        <v>2384</v>
      </c>
      <c r="B2157" t="s">
        <v>3111</v>
      </c>
      <c r="C2157" t="s">
        <v>45</v>
      </c>
      <c r="D2157" t="s">
        <v>2457</v>
      </c>
      <c r="E2157" t="s">
        <v>96</v>
      </c>
      <c r="F2157" t="s">
        <v>96</v>
      </c>
      <c r="G2157" t="s">
        <v>96</v>
      </c>
      <c r="H2157">
        <v>2017</v>
      </c>
      <c r="I2157" t="s">
        <v>96</v>
      </c>
      <c r="J2157" t="s">
        <v>97</v>
      </c>
      <c r="K2157" t="s">
        <v>96</v>
      </c>
      <c r="L2157" t="s">
        <v>96</v>
      </c>
      <c r="M2157">
        <v>6000</v>
      </c>
      <c r="O2157" s="12" t="str">
        <f t="shared" si="80"/>
        <v>AFR</v>
      </c>
      <c r="P2157" s="12" t="str">
        <f t="shared" si="81"/>
        <v>EN_Hy</v>
      </c>
    </row>
    <row r="2158" spans="1:16" x14ac:dyDescent="0.35">
      <c r="A2158" t="s">
        <v>2384</v>
      </c>
      <c r="B2158" t="s">
        <v>3111</v>
      </c>
      <c r="C2158" t="s">
        <v>45</v>
      </c>
      <c r="D2158" t="s">
        <v>2458</v>
      </c>
      <c r="E2158" t="s">
        <v>96</v>
      </c>
      <c r="F2158" t="s">
        <v>96</v>
      </c>
      <c r="G2158" t="s">
        <v>96</v>
      </c>
      <c r="H2158">
        <v>2017</v>
      </c>
      <c r="I2158" t="s">
        <v>96</v>
      </c>
      <c r="J2158" t="s">
        <v>97</v>
      </c>
      <c r="K2158" t="s">
        <v>96</v>
      </c>
      <c r="L2158" t="s">
        <v>96</v>
      </c>
      <c r="M2158">
        <v>8000</v>
      </c>
      <c r="O2158" s="12" t="str">
        <f t="shared" si="80"/>
        <v>AFR</v>
      </c>
      <c r="P2158" s="12" t="str">
        <f t="shared" si="81"/>
        <v>EN_Hy</v>
      </c>
    </row>
    <row r="2159" spans="1:16" x14ac:dyDescent="0.35">
      <c r="A2159" t="s">
        <v>2384</v>
      </c>
      <c r="B2159" t="s">
        <v>3111</v>
      </c>
      <c r="C2159" t="s">
        <v>45</v>
      </c>
      <c r="D2159" t="s">
        <v>2459</v>
      </c>
      <c r="E2159" t="s">
        <v>96</v>
      </c>
      <c r="F2159" t="s">
        <v>96</v>
      </c>
      <c r="G2159" t="s">
        <v>96</v>
      </c>
      <c r="H2159">
        <v>2017</v>
      </c>
      <c r="I2159" t="s">
        <v>96</v>
      </c>
      <c r="J2159" t="s">
        <v>97</v>
      </c>
      <c r="K2159" t="s">
        <v>96</v>
      </c>
      <c r="L2159" t="s">
        <v>96</v>
      </c>
      <c r="M2159">
        <v>10000</v>
      </c>
      <c r="O2159" s="12" t="str">
        <f t="shared" si="80"/>
        <v>AFR</v>
      </c>
      <c r="P2159" s="12" t="str">
        <f t="shared" si="81"/>
        <v>EN_Hy</v>
      </c>
    </row>
    <row r="2160" spans="1:16" x14ac:dyDescent="0.35">
      <c r="A2160" t="s">
        <v>2384</v>
      </c>
      <c r="B2160" t="s">
        <v>3111</v>
      </c>
      <c r="C2160" t="s">
        <v>45</v>
      </c>
      <c r="D2160" t="s">
        <v>2460</v>
      </c>
      <c r="E2160" t="s">
        <v>96</v>
      </c>
      <c r="F2160" t="s">
        <v>96</v>
      </c>
      <c r="G2160" t="s">
        <v>96</v>
      </c>
      <c r="H2160">
        <v>2017</v>
      </c>
      <c r="I2160" t="s">
        <v>96</v>
      </c>
      <c r="J2160" t="s">
        <v>97</v>
      </c>
      <c r="K2160" t="s">
        <v>96</v>
      </c>
      <c r="L2160" t="s">
        <v>96</v>
      </c>
      <c r="M2160">
        <v>2201</v>
      </c>
      <c r="O2160" s="12" t="str">
        <f t="shared" si="80"/>
        <v>AFR</v>
      </c>
      <c r="P2160" s="12" t="str">
        <f t="shared" si="81"/>
        <v>EN_Hy</v>
      </c>
    </row>
    <row r="2161" spans="1:16" x14ac:dyDescent="0.35">
      <c r="A2161" t="s">
        <v>2384</v>
      </c>
      <c r="B2161" t="s">
        <v>3111</v>
      </c>
      <c r="C2161" t="s">
        <v>45</v>
      </c>
      <c r="D2161" t="s">
        <v>2461</v>
      </c>
      <c r="E2161" t="s">
        <v>96</v>
      </c>
      <c r="F2161" t="s">
        <v>96</v>
      </c>
      <c r="G2161" t="s">
        <v>96</v>
      </c>
      <c r="H2161">
        <v>2017</v>
      </c>
      <c r="I2161" t="s">
        <v>96</v>
      </c>
      <c r="J2161" t="s">
        <v>97</v>
      </c>
      <c r="K2161" t="s">
        <v>96</v>
      </c>
      <c r="L2161" t="s">
        <v>96</v>
      </c>
      <c r="M2161">
        <v>3710</v>
      </c>
      <c r="O2161" s="12" t="str">
        <f t="shared" si="80"/>
        <v>AFR</v>
      </c>
      <c r="P2161" s="12" t="str">
        <f t="shared" si="81"/>
        <v>EN_Hy</v>
      </c>
    </row>
    <row r="2162" spans="1:16" x14ac:dyDescent="0.35">
      <c r="A2162" t="s">
        <v>2384</v>
      </c>
      <c r="B2162" t="s">
        <v>3111</v>
      </c>
      <c r="C2162" t="s">
        <v>45</v>
      </c>
      <c r="D2162" t="s">
        <v>2462</v>
      </c>
      <c r="E2162" t="s">
        <v>96</v>
      </c>
      <c r="F2162" t="s">
        <v>96</v>
      </c>
      <c r="G2162" t="s">
        <v>96</v>
      </c>
      <c r="H2162">
        <v>2017</v>
      </c>
      <c r="I2162" t="s">
        <v>96</v>
      </c>
      <c r="J2162" t="s">
        <v>97</v>
      </c>
      <c r="K2162" t="s">
        <v>96</v>
      </c>
      <c r="L2162" t="s">
        <v>96</v>
      </c>
      <c r="M2162">
        <v>6939</v>
      </c>
      <c r="O2162" s="12" t="str">
        <f t="shared" si="80"/>
        <v>AFR</v>
      </c>
      <c r="P2162" s="12" t="str">
        <f t="shared" si="81"/>
        <v>EN_Hy</v>
      </c>
    </row>
    <row r="2163" spans="1:16" x14ac:dyDescent="0.35">
      <c r="A2163" t="s">
        <v>2384</v>
      </c>
      <c r="B2163" t="s">
        <v>3111</v>
      </c>
      <c r="C2163" t="s">
        <v>45</v>
      </c>
      <c r="D2163" t="s">
        <v>2463</v>
      </c>
      <c r="E2163" t="s">
        <v>96</v>
      </c>
      <c r="F2163" t="s">
        <v>96</v>
      </c>
      <c r="G2163" t="s">
        <v>96</v>
      </c>
      <c r="H2163">
        <v>2017</v>
      </c>
      <c r="I2163" t="s">
        <v>96</v>
      </c>
      <c r="J2163" t="s">
        <v>97</v>
      </c>
      <c r="K2163" t="s">
        <v>96</v>
      </c>
      <c r="L2163" t="s">
        <v>96</v>
      </c>
      <c r="M2163">
        <v>6000</v>
      </c>
      <c r="O2163" s="12" t="str">
        <f t="shared" si="80"/>
        <v>AFR</v>
      </c>
      <c r="P2163" s="12" t="str">
        <f t="shared" si="81"/>
        <v>EN_Hy</v>
      </c>
    </row>
    <row r="2164" spans="1:16" x14ac:dyDescent="0.35">
      <c r="A2164" t="s">
        <v>2384</v>
      </c>
      <c r="B2164" t="s">
        <v>3111</v>
      </c>
      <c r="C2164" t="s">
        <v>45</v>
      </c>
      <c r="D2164" t="s">
        <v>2464</v>
      </c>
      <c r="E2164" t="s">
        <v>96</v>
      </c>
      <c r="F2164" t="s">
        <v>96</v>
      </c>
      <c r="G2164" t="s">
        <v>96</v>
      </c>
      <c r="H2164">
        <v>2017</v>
      </c>
      <c r="I2164" t="s">
        <v>96</v>
      </c>
      <c r="J2164" t="s">
        <v>97</v>
      </c>
      <c r="K2164" t="s">
        <v>96</v>
      </c>
      <c r="L2164" t="s">
        <v>96</v>
      </c>
      <c r="M2164">
        <v>8000</v>
      </c>
      <c r="O2164" s="12" t="str">
        <f t="shared" si="80"/>
        <v>AFR</v>
      </c>
      <c r="P2164" s="12" t="str">
        <f t="shared" si="81"/>
        <v>EN_Hy</v>
      </c>
    </row>
    <row r="2165" spans="1:16" x14ac:dyDescent="0.35">
      <c r="A2165" t="s">
        <v>2384</v>
      </c>
      <c r="B2165" t="s">
        <v>3111</v>
      </c>
      <c r="C2165" t="s">
        <v>45</v>
      </c>
      <c r="D2165" t="s">
        <v>2465</v>
      </c>
      <c r="E2165" t="s">
        <v>96</v>
      </c>
      <c r="F2165" t="s">
        <v>96</v>
      </c>
      <c r="G2165" t="s">
        <v>96</v>
      </c>
      <c r="H2165">
        <v>2017</v>
      </c>
      <c r="I2165" t="s">
        <v>96</v>
      </c>
      <c r="J2165" t="s">
        <v>97</v>
      </c>
      <c r="K2165" t="s">
        <v>96</v>
      </c>
      <c r="L2165" t="s">
        <v>96</v>
      </c>
      <c r="M2165">
        <v>10000</v>
      </c>
      <c r="O2165" s="12" t="str">
        <f t="shared" si="80"/>
        <v>AFR</v>
      </c>
      <c r="P2165" s="12" t="str">
        <f t="shared" si="81"/>
        <v>EN_Hy</v>
      </c>
    </row>
    <row r="2166" spans="1:16" x14ac:dyDescent="0.35">
      <c r="A2166" t="s">
        <v>2384</v>
      </c>
      <c r="B2166" t="s">
        <v>3111</v>
      </c>
      <c r="C2166" t="s">
        <v>45</v>
      </c>
      <c r="D2166" t="s">
        <v>2469</v>
      </c>
      <c r="E2166" t="s">
        <v>96</v>
      </c>
      <c r="F2166" t="s">
        <v>96</v>
      </c>
      <c r="G2166" t="s">
        <v>96</v>
      </c>
      <c r="H2166">
        <v>2017</v>
      </c>
      <c r="I2166" t="s">
        <v>96</v>
      </c>
      <c r="J2166" t="s">
        <v>97</v>
      </c>
      <c r="K2166" t="s">
        <v>96</v>
      </c>
      <c r="L2166" t="s">
        <v>96</v>
      </c>
      <c r="M2166">
        <v>6000</v>
      </c>
      <c r="O2166" s="12" t="str">
        <f t="shared" si="80"/>
        <v>AFR</v>
      </c>
      <c r="P2166" s="12" t="str">
        <f t="shared" si="81"/>
        <v>EN_Hy</v>
      </c>
    </row>
    <row r="2167" spans="1:16" x14ac:dyDescent="0.35">
      <c r="A2167" t="s">
        <v>2384</v>
      </c>
      <c r="B2167" t="s">
        <v>3111</v>
      </c>
      <c r="C2167" t="s">
        <v>45</v>
      </c>
      <c r="D2167" t="s">
        <v>2470</v>
      </c>
      <c r="E2167" t="s">
        <v>96</v>
      </c>
      <c r="F2167" t="s">
        <v>96</v>
      </c>
      <c r="G2167" t="s">
        <v>96</v>
      </c>
      <c r="H2167">
        <v>2017</v>
      </c>
      <c r="I2167" t="s">
        <v>96</v>
      </c>
      <c r="J2167" t="s">
        <v>97</v>
      </c>
      <c r="K2167" t="s">
        <v>96</v>
      </c>
      <c r="L2167" t="s">
        <v>96</v>
      </c>
      <c r="M2167">
        <v>8000</v>
      </c>
      <c r="O2167" s="12" t="str">
        <f t="shared" si="80"/>
        <v>AFR</v>
      </c>
      <c r="P2167" s="12" t="str">
        <f t="shared" si="81"/>
        <v>EN_Hy</v>
      </c>
    </row>
    <row r="2168" spans="1:16" x14ac:dyDescent="0.35">
      <c r="A2168" t="s">
        <v>2384</v>
      </c>
      <c r="B2168" t="s">
        <v>3111</v>
      </c>
      <c r="C2168" t="s">
        <v>45</v>
      </c>
      <c r="D2168" t="s">
        <v>2471</v>
      </c>
      <c r="E2168" t="s">
        <v>96</v>
      </c>
      <c r="F2168" t="s">
        <v>96</v>
      </c>
      <c r="G2168" t="s">
        <v>96</v>
      </c>
      <c r="H2168">
        <v>2017</v>
      </c>
      <c r="I2168" t="s">
        <v>96</v>
      </c>
      <c r="J2168" t="s">
        <v>97</v>
      </c>
      <c r="K2168" t="s">
        <v>96</v>
      </c>
      <c r="L2168" t="s">
        <v>96</v>
      </c>
      <c r="M2168">
        <v>10000</v>
      </c>
      <c r="O2168" s="12" t="str">
        <f t="shared" si="80"/>
        <v>AFR</v>
      </c>
      <c r="P2168" s="12" t="str">
        <f t="shared" si="81"/>
        <v>EN_Hy</v>
      </c>
    </row>
    <row r="2169" spans="1:16" x14ac:dyDescent="0.35">
      <c r="A2169" t="s">
        <v>2384</v>
      </c>
      <c r="B2169" t="s">
        <v>3111</v>
      </c>
      <c r="C2169" t="s">
        <v>45</v>
      </c>
      <c r="D2169" t="s">
        <v>2472</v>
      </c>
      <c r="E2169" t="s">
        <v>96</v>
      </c>
      <c r="F2169" t="s">
        <v>96</v>
      </c>
      <c r="G2169" t="s">
        <v>96</v>
      </c>
      <c r="H2169">
        <v>2017</v>
      </c>
      <c r="I2169" t="s">
        <v>96</v>
      </c>
      <c r="J2169" t="s">
        <v>97</v>
      </c>
      <c r="K2169" t="s">
        <v>96</v>
      </c>
      <c r="L2169" t="s">
        <v>96</v>
      </c>
      <c r="M2169">
        <v>6000</v>
      </c>
      <c r="O2169" s="12" t="str">
        <f t="shared" si="80"/>
        <v>AFR</v>
      </c>
      <c r="P2169" s="12" t="str">
        <f t="shared" si="81"/>
        <v>EN_Hy</v>
      </c>
    </row>
    <row r="2170" spans="1:16" x14ac:dyDescent="0.35">
      <c r="A2170" t="s">
        <v>2384</v>
      </c>
      <c r="B2170" t="s">
        <v>3111</v>
      </c>
      <c r="C2170" t="s">
        <v>45</v>
      </c>
      <c r="D2170" t="s">
        <v>2473</v>
      </c>
      <c r="E2170" t="s">
        <v>96</v>
      </c>
      <c r="F2170" t="s">
        <v>96</v>
      </c>
      <c r="G2170" t="s">
        <v>96</v>
      </c>
      <c r="H2170">
        <v>2017</v>
      </c>
      <c r="I2170" t="s">
        <v>96</v>
      </c>
      <c r="J2170" t="s">
        <v>97</v>
      </c>
      <c r="K2170" t="s">
        <v>96</v>
      </c>
      <c r="L2170" t="s">
        <v>96</v>
      </c>
      <c r="M2170">
        <v>8000</v>
      </c>
      <c r="O2170" s="12" t="str">
        <f t="shared" si="80"/>
        <v>AFR</v>
      </c>
      <c r="P2170" s="12" t="str">
        <f t="shared" si="81"/>
        <v>EN_Hy</v>
      </c>
    </row>
    <row r="2171" spans="1:16" x14ac:dyDescent="0.35">
      <c r="A2171" t="s">
        <v>2384</v>
      </c>
      <c r="B2171" t="s">
        <v>3111</v>
      </c>
      <c r="C2171" t="s">
        <v>45</v>
      </c>
      <c r="D2171" t="s">
        <v>2474</v>
      </c>
      <c r="E2171" t="s">
        <v>96</v>
      </c>
      <c r="F2171" t="s">
        <v>96</v>
      </c>
      <c r="G2171" t="s">
        <v>96</v>
      </c>
      <c r="H2171">
        <v>2017</v>
      </c>
      <c r="I2171" t="s">
        <v>96</v>
      </c>
      <c r="J2171" t="s">
        <v>97</v>
      </c>
      <c r="K2171" t="s">
        <v>96</v>
      </c>
      <c r="L2171" t="s">
        <v>96</v>
      </c>
      <c r="M2171">
        <v>10000</v>
      </c>
      <c r="O2171" s="12" t="str">
        <f t="shared" si="80"/>
        <v>AFR</v>
      </c>
      <c r="P2171" s="12" t="str">
        <f t="shared" si="81"/>
        <v>EN_Hy</v>
      </c>
    </row>
    <row r="2172" spans="1:16" x14ac:dyDescent="0.35">
      <c r="A2172" t="s">
        <v>2384</v>
      </c>
      <c r="B2172" t="s">
        <v>3111</v>
      </c>
      <c r="C2172" t="s">
        <v>45</v>
      </c>
      <c r="D2172" t="s">
        <v>2475</v>
      </c>
      <c r="E2172" t="s">
        <v>96</v>
      </c>
      <c r="F2172" t="s">
        <v>96</v>
      </c>
      <c r="G2172" t="s">
        <v>96</v>
      </c>
      <c r="H2172">
        <v>2017</v>
      </c>
      <c r="I2172" t="s">
        <v>96</v>
      </c>
      <c r="J2172" t="s">
        <v>97</v>
      </c>
      <c r="K2172" t="s">
        <v>96</v>
      </c>
      <c r="L2172" t="s">
        <v>96</v>
      </c>
      <c r="M2172">
        <v>6000</v>
      </c>
      <c r="O2172" s="12" t="str">
        <f t="shared" si="80"/>
        <v>AFR</v>
      </c>
      <c r="P2172" s="12" t="str">
        <f t="shared" si="81"/>
        <v>EN_Hy</v>
      </c>
    </row>
    <row r="2173" spans="1:16" x14ac:dyDescent="0.35">
      <c r="A2173" t="s">
        <v>2384</v>
      </c>
      <c r="B2173" t="s">
        <v>3111</v>
      </c>
      <c r="C2173" t="s">
        <v>45</v>
      </c>
      <c r="D2173" t="s">
        <v>2476</v>
      </c>
      <c r="E2173" t="s">
        <v>96</v>
      </c>
      <c r="F2173" t="s">
        <v>96</v>
      </c>
      <c r="G2173" t="s">
        <v>96</v>
      </c>
      <c r="H2173">
        <v>2017</v>
      </c>
      <c r="I2173" t="s">
        <v>96</v>
      </c>
      <c r="J2173" t="s">
        <v>97</v>
      </c>
      <c r="K2173" t="s">
        <v>96</v>
      </c>
      <c r="L2173" t="s">
        <v>96</v>
      </c>
      <c r="M2173">
        <v>8000</v>
      </c>
      <c r="O2173" s="12" t="str">
        <f t="shared" si="80"/>
        <v>AFR</v>
      </c>
      <c r="P2173" s="12" t="str">
        <f t="shared" si="81"/>
        <v>EN_Hy</v>
      </c>
    </row>
    <row r="2174" spans="1:16" x14ac:dyDescent="0.35">
      <c r="A2174" t="s">
        <v>2384</v>
      </c>
      <c r="B2174" t="s">
        <v>3111</v>
      </c>
      <c r="C2174" t="s">
        <v>45</v>
      </c>
      <c r="D2174" t="s">
        <v>2477</v>
      </c>
      <c r="E2174" t="s">
        <v>96</v>
      </c>
      <c r="F2174" t="s">
        <v>96</v>
      </c>
      <c r="G2174" t="s">
        <v>96</v>
      </c>
      <c r="H2174">
        <v>2017</v>
      </c>
      <c r="I2174" t="s">
        <v>96</v>
      </c>
      <c r="J2174" t="s">
        <v>97</v>
      </c>
      <c r="K2174" t="s">
        <v>96</v>
      </c>
      <c r="L2174" t="s">
        <v>96</v>
      </c>
      <c r="M2174">
        <v>10000</v>
      </c>
      <c r="O2174" s="12" t="str">
        <f t="shared" si="80"/>
        <v>AFR</v>
      </c>
      <c r="P2174" s="12" t="str">
        <f t="shared" si="81"/>
        <v>EN_Hy</v>
      </c>
    </row>
    <row r="2175" spans="1:16" x14ac:dyDescent="0.35">
      <c r="A2175" t="s">
        <v>2384</v>
      </c>
      <c r="B2175" t="s">
        <v>3111</v>
      </c>
      <c r="C2175" t="s">
        <v>45</v>
      </c>
      <c r="D2175" t="s">
        <v>2478</v>
      </c>
      <c r="E2175" t="s">
        <v>96</v>
      </c>
      <c r="F2175" t="s">
        <v>96</v>
      </c>
      <c r="G2175" t="s">
        <v>96</v>
      </c>
      <c r="H2175">
        <v>2017</v>
      </c>
      <c r="I2175" t="s">
        <v>96</v>
      </c>
      <c r="J2175" t="s">
        <v>97</v>
      </c>
      <c r="K2175" t="s">
        <v>96</v>
      </c>
      <c r="L2175" t="s">
        <v>96</v>
      </c>
      <c r="M2175">
        <v>6000</v>
      </c>
      <c r="O2175" s="12" t="str">
        <f t="shared" si="80"/>
        <v>AFR</v>
      </c>
      <c r="P2175" s="12" t="str">
        <f t="shared" si="81"/>
        <v>EN_Hy</v>
      </c>
    </row>
    <row r="2176" spans="1:16" x14ac:dyDescent="0.35">
      <c r="A2176" t="s">
        <v>2384</v>
      </c>
      <c r="B2176" t="s">
        <v>3111</v>
      </c>
      <c r="C2176" t="s">
        <v>45</v>
      </c>
      <c r="D2176" t="s">
        <v>2479</v>
      </c>
      <c r="E2176" t="s">
        <v>96</v>
      </c>
      <c r="F2176" t="s">
        <v>96</v>
      </c>
      <c r="G2176" t="s">
        <v>96</v>
      </c>
      <c r="H2176">
        <v>2017</v>
      </c>
      <c r="I2176" t="s">
        <v>96</v>
      </c>
      <c r="J2176" t="s">
        <v>97</v>
      </c>
      <c r="K2176" t="s">
        <v>96</v>
      </c>
      <c r="L2176" t="s">
        <v>96</v>
      </c>
      <c r="M2176">
        <v>8000</v>
      </c>
      <c r="O2176" s="12" t="str">
        <f t="shared" si="80"/>
        <v>AFR</v>
      </c>
      <c r="P2176" s="12" t="str">
        <f t="shared" si="81"/>
        <v>EN_Hy</v>
      </c>
    </row>
    <row r="2177" spans="1:16" x14ac:dyDescent="0.35">
      <c r="A2177" t="s">
        <v>2384</v>
      </c>
      <c r="B2177" t="s">
        <v>3111</v>
      </c>
      <c r="C2177" t="s">
        <v>45</v>
      </c>
      <c r="D2177" t="s">
        <v>2480</v>
      </c>
      <c r="E2177" t="s">
        <v>96</v>
      </c>
      <c r="F2177" t="s">
        <v>96</v>
      </c>
      <c r="G2177" t="s">
        <v>96</v>
      </c>
      <c r="H2177">
        <v>2017</v>
      </c>
      <c r="I2177" t="s">
        <v>96</v>
      </c>
      <c r="J2177" t="s">
        <v>97</v>
      </c>
      <c r="K2177" t="s">
        <v>96</v>
      </c>
      <c r="L2177" t="s">
        <v>96</v>
      </c>
      <c r="M2177">
        <v>10000</v>
      </c>
      <c r="O2177" s="12" t="str">
        <f t="shared" si="80"/>
        <v>AFR</v>
      </c>
      <c r="P2177" s="12" t="str">
        <f t="shared" si="81"/>
        <v>EN_Hy</v>
      </c>
    </row>
    <row r="2178" spans="1:16" x14ac:dyDescent="0.35">
      <c r="A2178" t="s">
        <v>2384</v>
      </c>
      <c r="B2178" t="s">
        <v>3111</v>
      </c>
      <c r="C2178" t="s">
        <v>45</v>
      </c>
      <c r="D2178" t="s">
        <v>2484</v>
      </c>
      <c r="E2178" t="s">
        <v>96</v>
      </c>
      <c r="F2178" t="s">
        <v>96</v>
      </c>
      <c r="G2178" t="s">
        <v>96</v>
      </c>
      <c r="H2178">
        <v>2017</v>
      </c>
      <c r="I2178" t="s">
        <v>96</v>
      </c>
      <c r="J2178" t="s">
        <v>97</v>
      </c>
      <c r="K2178" t="s">
        <v>96</v>
      </c>
      <c r="L2178" t="s">
        <v>96</v>
      </c>
      <c r="M2178">
        <v>1262.8144400000001</v>
      </c>
      <c r="O2178" s="12" t="str">
        <f t="shared" si="80"/>
        <v>AFR</v>
      </c>
      <c r="P2178" s="12" t="str">
        <f t="shared" si="81"/>
        <v>EN_Hy</v>
      </c>
    </row>
    <row r="2179" spans="1:16" x14ac:dyDescent="0.35">
      <c r="A2179" t="s">
        <v>2384</v>
      </c>
      <c r="B2179" t="s">
        <v>3111</v>
      </c>
      <c r="C2179" t="s">
        <v>45</v>
      </c>
      <c r="D2179" t="s">
        <v>2485</v>
      </c>
      <c r="E2179" t="s">
        <v>96</v>
      </c>
      <c r="F2179" t="s">
        <v>96</v>
      </c>
      <c r="G2179" t="s">
        <v>96</v>
      </c>
      <c r="H2179">
        <v>2017</v>
      </c>
      <c r="I2179" t="s">
        <v>96</v>
      </c>
      <c r="J2179" t="s">
        <v>97</v>
      </c>
      <c r="K2179" t="s">
        <v>96</v>
      </c>
      <c r="L2179" t="s">
        <v>96</v>
      </c>
      <c r="M2179">
        <v>2798.6964800000001</v>
      </c>
      <c r="O2179" s="12" t="str">
        <f t="shared" ref="O2179:O2242" si="82">LEFT(B2179,3)</f>
        <v>AFR</v>
      </c>
      <c r="P2179" s="12" t="str">
        <f t="shared" ref="P2179:P2242" si="83">LEFT(D2179,5)</f>
        <v>EN_Hy</v>
      </c>
    </row>
    <row r="2180" spans="1:16" x14ac:dyDescent="0.35">
      <c r="A2180" t="s">
        <v>2384</v>
      </c>
      <c r="B2180" t="s">
        <v>3111</v>
      </c>
      <c r="C2180" t="s">
        <v>45</v>
      </c>
      <c r="D2180" t="s">
        <v>2486</v>
      </c>
      <c r="E2180" t="s">
        <v>96</v>
      </c>
      <c r="F2180" t="s">
        <v>96</v>
      </c>
      <c r="G2180" t="s">
        <v>96</v>
      </c>
      <c r="H2180">
        <v>2017</v>
      </c>
      <c r="I2180" t="s">
        <v>96</v>
      </c>
      <c r="J2180" t="s">
        <v>97</v>
      </c>
      <c r="K2180" t="s">
        <v>96</v>
      </c>
      <c r="L2180" t="s">
        <v>96</v>
      </c>
      <c r="M2180">
        <v>4713.9566000000004</v>
      </c>
      <c r="O2180" s="12" t="str">
        <f t="shared" si="82"/>
        <v>AFR</v>
      </c>
      <c r="P2180" s="12" t="str">
        <f t="shared" si="83"/>
        <v>EN_Hy</v>
      </c>
    </row>
    <row r="2181" spans="1:16" x14ac:dyDescent="0.35">
      <c r="A2181" t="s">
        <v>2384</v>
      </c>
      <c r="B2181" t="s">
        <v>3111</v>
      </c>
      <c r="C2181" t="s">
        <v>45</v>
      </c>
      <c r="D2181" t="s">
        <v>2487</v>
      </c>
      <c r="E2181" t="s">
        <v>96</v>
      </c>
      <c r="F2181" t="s">
        <v>96</v>
      </c>
      <c r="G2181" t="s">
        <v>96</v>
      </c>
      <c r="H2181">
        <v>2017</v>
      </c>
      <c r="I2181" t="s">
        <v>96</v>
      </c>
      <c r="J2181" t="s">
        <v>97</v>
      </c>
      <c r="K2181" t="s">
        <v>96</v>
      </c>
      <c r="L2181" t="s">
        <v>96</v>
      </c>
      <c r="M2181">
        <v>2436.4625959999998</v>
      </c>
      <c r="O2181" s="12" t="str">
        <f t="shared" si="82"/>
        <v>AFR</v>
      </c>
      <c r="P2181" s="12" t="str">
        <f t="shared" si="83"/>
        <v>EN_Hy</v>
      </c>
    </row>
    <row r="2182" spans="1:16" x14ac:dyDescent="0.35">
      <c r="A2182" t="s">
        <v>2384</v>
      </c>
      <c r="B2182" t="s">
        <v>3111</v>
      </c>
      <c r="C2182" t="s">
        <v>45</v>
      </c>
      <c r="D2182" t="s">
        <v>2488</v>
      </c>
      <c r="E2182" t="s">
        <v>96</v>
      </c>
      <c r="F2182" t="s">
        <v>96</v>
      </c>
      <c r="G2182" t="s">
        <v>96</v>
      </c>
      <c r="H2182">
        <v>2017</v>
      </c>
      <c r="I2182" t="s">
        <v>96</v>
      </c>
      <c r="J2182" t="s">
        <v>97</v>
      </c>
      <c r="K2182" t="s">
        <v>96</v>
      </c>
      <c r="L2182" t="s">
        <v>96</v>
      </c>
      <c r="M2182">
        <v>4070.0440400000002</v>
      </c>
      <c r="O2182" s="12" t="str">
        <f t="shared" si="82"/>
        <v>AFR</v>
      </c>
      <c r="P2182" s="12" t="str">
        <f t="shared" si="83"/>
        <v>EN_Hy</v>
      </c>
    </row>
    <row r="2183" spans="1:16" x14ac:dyDescent="0.35">
      <c r="A2183" t="s">
        <v>2384</v>
      </c>
      <c r="B2183" t="s">
        <v>3111</v>
      </c>
      <c r="C2183" t="s">
        <v>45</v>
      </c>
      <c r="D2183" t="s">
        <v>2489</v>
      </c>
      <c r="E2183" t="s">
        <v>96</v>
      </c>
      <c r="F2183" t="s">
        <v>96</v>
      </c>
      <c r="G2183" t="s">
        <v>96</v>
      </c>
      <c r="H2183">
        <v>2017</v>
      </c>
      <c r="I2183" t="s">
        <v>96</v>
      </c>
      <c r="J2183" t="s">
        <v>97</v>
      </c>
      <c r="K2183" t="s">
        <v>96</v>
      </c>
      <c r="L2183" t="s">
        <v>96</v>
      </c>
      <c r="M2183">
        <v>6072.6501200000002</v>
      </c>
      <c r="O2183" s="12" t="str">
        <f t="shared" si="82"/>
        <v>AFR</v>
      </c>
      <c r="P2183" s="12" t="str">
        <f t="shared" si="83"/>
        <v>EN_Hy</v>
      </c>
    </row>
    <row r="2184" spans="1:16" x14ac:dyDescent="0.35">
      <c r="A2184" t="s">
        <v>2384</v>
      </c>
      <c r="B2184" t="s">
        <v>3111</v>
      </c>
      <c r="C2184" t="s">
        <v>45</v>
      </c>
      <c r="D2184" t="s">
        <v>2490</v>
      </c>
      <c r="E2184" t="s">
        <v>96</v>
      </c>
      <c r="F2184" t="s">
        <v>96</v>
      </c>
      <c r="G2184" t="s">
        <v>96</v>
      </c>
      <c r="H2184">
        <v>2017</v>
      </c>
      <c r="I2184" t="s">
        <v>96</v>
      </c>
      <c r="J2184" t="s">
        <v>97</v>
      </c>
      <c r="K2184" t="s">
        <v>96</v>
      </c>
      <c r="L2184" t="s">
        <v>96</v>
      </c>
      <c r="M2184">
        <v>1907.079152</v>
      </c>
      <c r="O2184" s="12" t="str">
        <f t="shared" si="82"/>
        <v>AFR</v>
      </c>
      <c r="P2184" s="12" t="str">
        <f t="shared" si="83"/>
        <v>EN_Hy</v>
      </c>
    </row>
    <row r="2185" spans="1:16" x14ac:dyDescent="0.35">
      <c r="A2185" t="s">
        <v>2384</v>
      </c>
      <c r="B2185" t="s">
        <v>3111</v>
      </c>
      <c r="C2185" t="s">
        <v>45</v>
      </c>
      <c r="D2185" t="s">
        <v>2491</v>
      </c>
      <c r="E2185" t="s">
        <v>96</v>
      </c>
      <c r="F2185" t="s">
        <v>96</v>
      </c>
      <c r="G2185" t="s">
        <v>96</v>
      </c>
      <c r="H2185">
        <v>2017</v>
      </c>
      <c r="I2185" t="s">
        <v>96</v>
      </c>
      <c r="J2185" t="s">
        <v>97</v>
      </c>
      <c r="K2185" t="s">
        <v>96</v>
      </c>
      <c r="L2185" t="s">
        <v>96</v>
      </c>
      <c r="M2185">
        <v>4391.5325359999997</v>
      </c>
      <c r="O2185" s="12" t="str">
        <f t="shared" si="82"/>
        <v>AFR</v>
      </c>
      <c r="P2185" s="12" t="str">
        <f t="shared" si="83"/>
        <v>EN_Hy</v>
      </c>
    </row>
    <row r="2186" spans="1:16" x14ac:dyDescent="0.35">
      <c r="A2186" t="s">
        <v>2384</v>
      </c>
      <c r="B2186" t="s">
        <v>3111</v>
      </c>
      <c r="C2186" t="s">
        <v>45</v>
      </c>
      <c r="D2186" t="s">
        <v>2492</v>
      </c>
      <c r="E2186" t="s">
        <v>96</v>
      </c>
      <c r="F2186" t="s">
        <v>96</v>
      </c>
      <c r="G2186" t="s">
        <v>96</v>
      </c>
      <c r="H2186">
        <v>2017</v>
      </c>
      <c r="I2186" t="s">
        <v>96</v>
      </c>
      <c r="J2186" t="s">
        <v>97</v>
      </c>
      <c r="K2186" t="s">
        <v>96</v>
      </c>
      <c r="L2186" t="s">
        <v>96</v>
      </c>
      <c r="M2186">
        <v>9706.0265600000002</v>
      </c>
      <c r="O2186" s="12" t="str">
        <f t="shared" si="82"/>
        <v>AFR</v>
      </c>
      <c r="P2186" s="12" t="str">
        <f t="shared" si="83"/>
        <v>EN_Hy</v>
      </c>
    </row>
    <row r="2187" spans="1:16" x14ac:dyDescent="0.35">
      <c r="A2187" t="s">
        <v>2384</v>
      </c>
      <c r="B2187" t="s">
        <v>3111</v>
      </c>
      <c r="C2187" t="s">
        <v>45</v>
      </c>
      <c r="D2187" t="s">
        <v>2493</v>
      </c>
      <c r="E2187" t="s">
        <v>96</v>
      </c>
      <c r="F2187" t="s">
        <v>96</v>
      </c>
      <c r="G2187" t="s">
        <v>96</v>
      </c>
      <c r="H2187">
        <v>2017</v>
      </c>
      <c r="I2187" t="s">
        <v>96</v>
      </c>
      <c r="J2187" t="s">
        <v>97</v>
      </c>
      <c r="K2187" t="s">
        <v>96</v>
      </c>
      <c r="L2187" t="s">
        <v>96</v>
      </c>
      <c r="M2187">
        <v>953.32013600000005</v>
      </c>
      <c r="O2187" s="12" t="str">
        <f t="shared" si="82"/>
        <v>AFR</v>
      </c>
      <c r="P2187" s="12" t="str">
        <f t="shared" si="83"/>
        <v>EN_Hy</v>
      </c>
    </row>
    <row r="2188" spans="1:16" x14ac:dyDescent="0.35">
      <c r="A2188" t="s">
        <v>2384</v>
      </c>
      <c r="B2188" t="s">
        <v>3111</v>
      </c>
      <c r="C2188" t="s">
        <v>45</v>
      </c>
      <c r="D2188" t="s">
        <v>2494</v>
      </c>
      <c r="E2188" t="s">
        <v>96</v>
      </c>
      <c r="F2188" t="s">
        <v>96</v>
      </c>
      <c r="G2188" t="s">
        <v>96</v>
      </c>
      <c r="H2188">
        <v>2017</v>
      </c>
      <c r="I2188" t="s">
        <v>96</v>
      </c>
      <c r="J2188" t="s">
        <v>97</v>
      </c>
      <c r="K2188" t="s">
        <v>96</v>
      </c>
      <c r="L2188" t="s">
        <v>96</v>
      </c>
      <c r="M2188">
        <v>9169.0473199999997</v>
      </c>
      <c r="O2188" s="12" t="str">
        <f t="shared" si="82"/>
        <v>AFR</v>
      </c>
      <c r="P2188" s="12" t="str">
        <f t="shared" si="83"/>
        <v>EN_Hy</v>
      </c>
    </row>
    <row r="2189" spans="1:16" x14ac:dyDescent="0.35">
      <c r="A2189" t="s">
        <v>2384</v>
      </c>
      <c r="B2189" t="s">
        <v>3111</v>
      </c>
      <c r="C2189" t="s">
        <v>45</v>
      </c>
      <c r="D2189" t="s">
        <v>2495</v>
      </c>
      <c r="E2189" t="s">
        <v>96</v>
      </c>
      <c r="F2189" t="s">
        <v>96</v>
      </c>
      <c r="G2189" t="s">
        <v>96</v>
      </c>
      <c r="H2189">
        <v>2017</v>
      </c>
      <c r="I2189" t="s">
        <v>96</v>
      </c>
      <c r="J2189" t="s">
        <v>97</v>
      </c>
      <c r="K2189" t="s">
        <v>96</v>
      </c>
      <c r="L2189" t="s">
        <v>96</v>
      </c>
      <c r="M2189">
        <v>21909.749</v>
      </c>
      <c r="O2189" s="12" t="str">
        <f t="shared" si="82"/>
        <v>AFR</v>
      </c>
      <c r="P2189" s="12" t="str">
        <f t="shared" si="83"/>
        <v>EN_Hy</v>
      </c>
    </row>
    <row r="2190" spans="1:16" x14ac:dyDescent="0.35">
      <c r="A2190" t="s">
        <v>2384</v>
      </c>
      <c r="B2190" t="s">
        <v>3111</v>
      </c>
      <c r="C2190" t="s">
        <v>45</v>
      </c>
      <c r="D2190" t="s">
        <v>2496</v>
      </c>
      <c r="E2190" t="s">
        <v>96</v>
      </c>
      <c r="F2190" t="s">
        <v>96</v>
      </c>
      <c r="G2190" t="s">
        <v>96</v>
      </c>
      <c r="H2190">
        <v>2017</v>
      </c>
      <c r="I2190" t="s">
        <v>96</v>
      </c>
      <c r="J2190" t="s">
        <v>97</v>
      </c>
      <c r="K2190" t="s">
        <v>96</v>
      </c>
      <c r="L2190" t="s">
        <v>96</v>
      </c>
      <c r="M2190">
        <v>6000</v>
      </c>
      <c r="O2190" s="12" t="str">
        <f t="shared" si="82"/>
        <v>AFR</v>
      </c>
      <c r="P2190" s="12" t="str">
        <f t="shared" si="83"/>
        <v>EN_Hy</v>
      </c>
    </row>
    <row r="2191" spans="1:16" x14ac:dyDescent="0.35">
      <c r="A2191" t="s">
        <v>2384</v>
      </c>
      <c r="B2191" t="s">
        <v>3111</v>
      </c>
      <c r="C2191" t="s">
        <v>45</v>
      </c>
      <c r="D2191" t="s">
        <v>2497</v>
      </c>
      <c r="E2191" t="s">
        <v>96</v>
      </c>
      <c r="F2191" t="s">
        <v>96</v>
      </c>
      <c r="G2191" t="s">
        <v>96</v>
      </c>
      <c r="H2191">
        <v>2017</v>
      </c>
      <c r="I2191" t="s">
        <v>96</v>
      </c>
      <c r="J2191" t="s">
        <v>97</v>
      </c>
      <c r="K2191" t="s">
        <v>96</v>
      </c>
      <c r="L2191" t="s">
        <v>96</v>
      </c>
      <c r="M2191">
        <v>8000</v>
      </c>
      <c r="O2191" s="12" t="str">
        <f t="shared" si="82"/>
        <v>AFR</v>
      </c>
      <c r="P2191" s="12" t="str">
        <f t="shared" si="83"/>
        <v>EN_Hy</v>
      </c>
    </row>
    <row r="2192" spans="1:16" x14ac:dyDescent="0.35">
      <c r="A2192" t="s">
        <v>2384</v>
      </c>
      <c r="B2192" t="s">
        <v>3111</v>
      </c>
      <c r="C2192" t="s">
        <v>45</v>
      </c>
      <c r="D2192" t="s">
        <v>2498</v>
      </c>
      <c r="E2192" t="s">
        <v>96</v>
      </c>
      <c r="F2192" t="s">
        <v>96</v>
      </c>
      <c r="G2192" t="s">
        <v>96</v>
      </c>
      <c r="H2192">
        <v>2017</v>
      </c>
      <c r="I2192" t="s">
        <v>96</v>
      </c>
      <c r="J2192" t="s">
        <v>97</v>
      </c>
      <c r="K2192" t="s">
        <v>96</v>
      </c>
      <c r="L2192" t="s">
        <v>96</v>
      </c>
      <c r="M2192">
        <v>10000</v>
      </c>
      <c r="O2192" s="12" t="str">
        <f t="shared" si="82"/>
        <v>AFR</v>
      </c>
      <c r="P2192" s="12" t="str">
        <f t="shared" si="83"/>
        <v>EN_Hy</v>
      </c>
    </row>
    <row r="2193" spans="1:16" x14ac:dyDescent="0.35">
      <c r="A2193" t="s">
        <v>2384</v>
      </c>
      <c r="B2193" t="s">
        <v>3111</v>
      </c>
      <c r="C2193" t="s">
        <v>45</v>
      </c>
      <c r="D2193" t="s">
        <v>3124</v>
      </c>
      <c r="E2193" t="s">
        <v>96</v>
      </c>
      <c r="F2193" t="s">
        <v>96</v>
      </c>
      <c r="G2193" t="s">
        <v>96</v>
      </c>
      <c r="H2193">
        <v>2017</v>
      </c>
      <c r="I2193" t="s">
        <v>96</v>
      </c>
      <c r="J2193" t="s">
        <v>97</v>
      </c>
      <c r="K2193" t="s">
        <v>96</v>
      </c>
      <c r="L2193" t="s">
        <v>96</v>
      </c>
      <c r="M2193">
        <v>99999</v>
      </c>
      <c r="O2193" s="12" t="str">
        <f t="shared" si="82"/>
        <v>AFR</v>
      </c>
      <c r="P2193" s="12" t="str">
        <f t="shared" si="83"/>
        <v>EN_RE</v>
      </c>
    </row>
    <row r="2194" spans="1:16" x14ac:dyDescent="0.35">
      <c r="A2194" t="s">
        <v>2384</v>
      </c>
      <c r="B2194" t="s">
        <v>3111</v>
      </c>
      <c r="C2194" t="s">
        <v>45</v>
      </c>
      <c r="D2194" t="s">
        <v>3125</v>
      </c>
      <c r="E2194" t="s">
        <v>96</v>
      </c>
      <c r="F2194" t="s">
        <v>96</v>
      </c>
      <c r="G2194" t="s">
        <v>96</v>
      </c>
      <c r="H2194">
        <v>2017</v>
      </c>
      <c r="I2194" t="s">
        <v>96</v>
      </c>
      <c r="J2194" t="s">
        <v>97</v>
      </c>
      <c r="K2194" t="s">
        <v>96</v>
      </c>
      <c r="L2194" t="s">
        <v>96</v>
      </c>
      <c r="M2194">
        <v>99999</v>
      </c>
      <c r="O2194" s="12" t="str">
        <f t="shared" si="82"/>
        <v>AFR</v>
      </c>
      <c r="P2194" s="12" t="str">
        <f t="shared" si="83"/>
        <v>EN_RE</v>
      </c>
    </row>
    <row r="2195" spans="1:16" x14ac:dyDescent="0.35">
      <c r="A2195" t="s">
        <v>2384</v>
      </c>
      <c r="B2195" t="s">
        <v>3111</v>
      </c>
      <c r="C2195" t="s">
        <v>45</v>
      </c>
      <c r="D2195" t="s">
        <v>3126</v>
      </c>
      <c r="E2195" t="s">
        <v>96</v>
      </c>
      <c r="F2195" t="s">
        <v>96</v>
      </c>
      <c r="G2195" t="s">
        <v>96</v>
      </c>
      <c r="H2195">
        <v>2017</v>
      </c>
      <c r="I2195" t="s">
        <v>96</v>
      </c>
      <c r="J2195" t="s">
        <v>97</v>
      </c>
      <c r="K2195" t="s">
        <v>96</v>
      </c>
      <c r="L2195" t="s">
        <v>96</v>
      </c>
      <c r="M2195">
        <v>99999</v>
      </c>
      <c r="O2195" s="12" t="str">
        <f t="shared" si="82"/>
        <v>AFR</v>
      </c>
      <c r="P2195" s="12" t="str">
        <f t="shared" si="83"/>
        <v>EN_RE</v>
      </c>
    </row>
    <row r="2196" spans="1:16" x14ac:dyDescent="0.35">
      <c r="A2196" t="s">
        <v>2384</v>
      </c>
      <c r="B2196" t="s">
        <v>3111</v>
      </c>
      <c r="C2196" t="s">
        <v>45</v>
      </c>
      <c r="D2196" t="s">
        <v>3127</v>
      </c>
      <c r="E2196" t="s">
        <v>96</v>
      </c>
      <c r="F2196" t="s">
        <v>96</v>
      </c>
      <c r="G2196" t="s">
        <v>96</v>
      </c>
      <c r="H2196">
        <v>2017</v>
      </c>
      <c r="I2196" t="s">
        <v>96</v>
      </c>
      <c r="J2196" t="s">
        <v>97</v>
      </c>
      <c r="K2196" t="s">
        <v>96</v>
      </c>
      <c r="L2196" t="s">
        <v>96</v>
      </c>
      <c r="M2196">
        <v>99999</v>
      </c>
      <c r="O2196" s="12" t="str">
        <f t="shared" si="82"/>
        <v>AFR</v>
      </c>
      <c r="P2196" s="12" t="str">
        <f t="shared" si="83"/>
        <v>EN_RE</v>
      </c>
    </row>
    <row r="2197" spans="1:16" x14ac:dyDescent="0.35">
      <c r="A2197" t="s">
        <v>2384</v>
      </c>
      <c r="B2197" t="s">
        <v>3111</v>
      </c>
      <c r="C2197" t="s">
        <v>45</v>
      </c>
      <c r="D2197" t="s">
        <v>3128</v>
      </c>
      <c r="E2197" t="s">
        <v>96</v>
      </c>
      <c r="F2197" t="s">
        <v>96</v>
      </c>
      <c r="G2197" t="s">
        <v>96</v>
      </c>
      <c r="H2197">
        <v>2017</v>
      </c>
      <c r="I2197" t="s">
        <v>96</v>
      </c>
      <c r="J2197" t="s">
        <v>97</v>
      </c>
      <c r="K2197" t="s">
        <v>96</v>
      </c>
      <c r="L2197" t="s">
        <v>96</v>
      </c>
      <c r="M2197">
        <v>99999</v>
      </c>
      <c r="O2197" s="12" t="str">
        <f t="shared" si="82"/>
        <v>AFR</v>
      </c>
      <c r="P2197" s="12" t="str">
        <f t="shared" si="83"/>
        <v>EN_RE</v>
      </c>
    </row>
    <row r="2198" spans="1:16" x14ac:dyDescent="0.35">
      <c r="A2198" t="s">
        <v>2384</v>
      </c>
      <c r="B2198" t="s">
        <v>3111</v>
      </c>
      <c r="C2198" t="s">
        <v>45</v>
      </c>
      <c r="D2198" t="s">
        <v>3129</v>
      </c>
      <c r="E2198" t="s">
        <v>96</v>
      </c>
      <c r="F2198" t="s">
        <v>96</v>
      </c>
      <c r="G2198" t="s">
        <v>96</v>
      </c>
      <c r="H2198">
        <v>2017</v>
      </c>
      <c r="I2198" t="s">
        <v>96</v>
      </c>
      <c r="J2198" t="s">
        <v>97</v>
      </c>
      <c r="K2198" t="s">
        <v>96</v>
      </c>
      <c r="L2198" t="s">
        <v>96</v>
      </c>
      <c r="M2198">
        <v>99999</v>
      </c>
      <c r="O2198" s="12" t="str">
        <f t="shared" si="82"/>
        <v>AFR</v>
      </c>
      <c r="P2198" s="12" t="str">
        <f t="shared" si="83"/>
        <v>EN_RE</v>
      </c>
    </row>
    <row r="2199" spans="1:16" x14ac:dyDescent="0.35">
      <c r="A2199" t="s">
        <v>2384</v>
      </c>
      <c r="B2199" t="s">
        <v>3111</v>
      </c>
      <c r="C2199" t="s">
        <v>45</v>
      </c>
      <c r="D2199" t="s">
        <v>3130</v>
      </c>
      <c r="E2199" t="s">
        <v>96</v>
      </c>
      <c r="F2199" t="s">
        <v>96</v>
      </c>
      <c r="G2199" t="s">
        <v>96</v>
      </c>
      <c r="H2199">
        <v>2017</v>
      </c>
      <c r="I2199" t="s">
        <v>96</v>
      </c>
      <c r="J2199" t="s">
        <v>97</v>
      </c>
      <c r="K2199" t="s">
        <v>96</v>
      </c>
      <c r="L2199" t="s">
        <v>96</v>
      </c>
      <c r="M2199">
        <v>99999</v>
      </c>
      <c r="O2199" s="12" t="str">
        <f t="shared" si="82"/>
        <v>AFR</v>
      </c>
      <c r="P2199" s="12" t="str">
        <f t="shared" si="83"/>
        <v>EN_RE</v>
      </c>
    </row>
    <row r="2200" spans="1:16" x14ac:dyDescent="0.35">
      <c r="A2200" t="s">
        <v>2384</v>
      </c>
      <c r="B2200" t="s">
        <v>3111</v>
      </c>
      <c r="C2200" t="s">
        <v>45</v>
      </c>
      <c r="D2200" t="s">
        <v>3131</v>
      </c>
      <c r="E2200" t="s">
        <v>96</v>
      </c>
      <c r="F2200" t="s">
        <v>96</v>
      </c>
      <c r="G2200" t="s">
        <v>96</v>
      </c>
      <c r="H2200">
        <v>2017</v>
      </c>
      <c r="I2200" t="s">
        <v>96</v>
      </c>
      <c r="J2200" t="s">
        <v>97</v>
      </c>
      <c r="K2200" t="s">
        <v>96</v>
      </c>
      <c r="L2200" t="s">
        <v>96</v>
      </c>
      <c r="M2200">
        <v>99999</v>
      </c>
      <c r="O2200" s="12" t="str">
        <f t="shared" si="82"/>
        <v>AFR</v>
      </c>
      <c r="P2200" s="12" t="str">
        <f t="shared" si="83"/>
        <v>EN_RE</v>
      </c>
    </row>
    <row r="2201" spans="1:16" x14ac:dyDescent="0.35">
      <c r="A2201" t="s">
        <v>2384</v>
      </c>
      <c r="B2201" t="s">
        <v>3111</v>
      </c>
      <c r="C2201" t="s">
        <v>45</v>
      </c>
      <c r="D2201" t="s">
        <v>3132</v>
      </c>
      <c r="E2201" t="s">
        <v>96</v>
      </c>
      <c r="F2201" t="s">
        <v>96</v>
      </c>
      <c r="G2201" t="s">
        <v>96</v>
      </c>
      <c r="H2201">
        <v>2017</v>
      </c>
      <c r="I2201" t="s">
        <v>96</v>
      </c>
      <c r="J2201" t="s">
        <v>97</v>
      </c>
      <c r="K2201" t="s">
        <v>96</v>
      </c>
      <c r="L2201" t="s">
        <v>96</v>
      </c>
      <c r="M2201">
        <v>99999</v>
      </c>
      <c r="O2201" s="12" t="str">
        <f t="shared" si="82"/>
        <v>AFR</v>
      </c>
      <c r="P2201" s="12" t="str">
        <f t="shared" si="83"/>
        <v>EN_RE</v>
      </c>
    </row>
    <row r="2202" spans="1:16" x14ac:dyDescent="0.35">
      <c r="A2202" t="s">
        <v>2384</v>
      </c>
      <c r="B2202" t="s">
        <v>3111</v>
      </c>
      <c r="C2202" t="s">
        <v>45</v>
      </c>
      <c r="D2202" t="s">
        <v>3133</v>
      </c>
      <c r="E2202" t="s">
        <v>96</v>
      </c>
      <c r="F2202" t="s">
        <v>96</v>
      </c>
      <c r="G2202" t="s">
        <v>96</v>
      </c>
      <c r="H2202">
        <v>2017</v>
      </c>
      <c r="I2202" t="s">
        <v>96</v>
      </c>
      <c r="J2202" t="s">
        <v>97</v>
      </c>
      <c r="K2202" t="s">
        <v>96</v>
      </c>
      <c r="L2202" t="s">
        <v>96</v>
      </c>
      <c r="M2202">
        <v>99999</v>
      </c>
      <c r="O2202" s="12" t="str">
        <f t="shared" si="82"/>
        <v>AFR</v>
      </c>
      <c r="P2202" s="12" t="str">
        <f t="shared" si="83"/>
        <v>EN_RE</v>
      </c>
    </row>
    <row r="2203" spans="1:16" x14ac:dyDescent="0.35">
      <c r="A2203" t="s">
        <v>2384</v>
      </c>
      <c r="B2203" t="s">
        <v>3111</v>
      </c>
      <c r="C2203" t="s">
        <v>45</v>
      </c>
      <c r="D2203" t="s">
        <v>3134</v>
      </c>
      <c r="E2203" t="s">
        <v>96</v>
      </c>
      <c r="F2203" t="s">
        <v>96</v>
      </c>
      <c r="G2203" t="s">
        <v>96</v>
      </c>
      <c r="H2203">
        <v>2017</v>
      </c>
      <c r="I2203" t="s">
        <v>96</v>
      </c>
      <c r="J2203" t="s">
        <v>97</v>
      </c>
      <c r="K2203" t="s">
        <v>96</v>
      </c>
      <c r="L2203" t="s">
        <v>96</v>
      </c>
      <c r="M2203">
        <v>99999</v>
      </c>
      <c r="O2203" s="12" t="str">
        <f t="shared" si="82"/>
        <v>AFR</v>
      </c>
      <c r="P2203" s="12" t="str">
        <f t="shared" si="83"/>
        <v>EN_RE</v>
      </c>
    </row>
    <row r="2204" spans="1:16" x14ac:dyDescent="0.35">
      <c r="A2204" t="s">
        <v>2384</v>
      </c>
      <c r="B2204" t="s">
        <v>3111</v>
      </c>
      <c r="C2204" t="s">
        <v>45</v>
      </c>
      <c r="D2204" t="s">
        <v>3135</v>
      </c>
      <c r="E2204" t="s">
        <v>96</v>
      </c>
      <c r="F2204" t="s">
        <v>96</v>
      </c>
      <c r="G2204" t="s">
        <v>96</v>
      </c>
      <c r="H2204">
        <v>2017</v>
      </c>
      <c r="I2204" t="s">
        <v>96</v>
      </c>
      <c r="J2204" t="s">
        <v>97</v>
      </c>
      <c r="K2204" t="s">
        <v>96</v>
      </c>
      <c r="L2204" t="s">
        <v>96</v>
      </c>
      <c r="M2204">
        <v>99999</v>
      </c>
      <c r="O2204" s="12" t="str">
        <f t="shared" si="82"/>
        <v>AFR</v>
      </c>
      <c r="P2204" s="12" t="str">
        <f t="shared" si="83"/>
        <v>EN_RE</v>
      </c>
    </row>
    <row r="2205" spans="1:16" x14ac:dyDescent="0.35">
      <c r="A2205" t="s">
        <v>2384</v>
      </c>
      <c r="B2205" t="s">
        <v>3111</v>
      </c>
      <c r="C2205" t="s">
        <v>45</v>
      </c>
      <c r="D2205" t="s">
        <v>3136</v>
      </c>
      <c r="E2205" t="s">
        <v>96</v>
      </c>
      <c r="F2205" t="s">
        <v>96</v>
      </c>
      <c r="G2205" t="s">
        <v>96</v>
      </c>
      <c r="H2205">
        <v>2017</v>
      </c>
      <c r="I2205" t="s">
        <v>96</v>
      </c>
      <c r="J2205" t="s">
        <v>97</v>
      </c>
      <c r="K2205" t="s">
        <v>96</v>
      </c>
      <c r="L2205" t="s">
        <v>96</v>
      </c>
      <c r="M2205">
        <v>99999</v>
      </c>
      <c r="O2205" s="12" t="str">
        <f t="shared" si="82"/>
        <v>AFR</v>
      </c>
      <c r="P2205" s="12" t="str">
        <f t="shared" si="83"/>
        <v>EN_RE</v>
      </c>
    </row>
    <row r="2206" spans="1:16" x14ac:dyDescent="0.35">
      <c r="A2206" t="s">
        <v>2384</v>
      </c>
      <c r="B2206" t="s">
        <v>3111</v>
      </c>
      <c r="C2206" t="s">
        <v>45</v>
      </c>
      <c r="D2206" t="s">
        <v>3137</v>
      </c>
      <c r="E2206" t="s">
        <v>96</v>
      </c>
      <c r="F2206" t="s">
        <v>96</v>
      </c>
      <c r="G2206" t="s">
        <v>96</v>
      </c>
      <c r="H2206">
        <v>2017</v>
      </c>
      <c r="I2206" t="s">
        <v>96</v>
      </c>
      <c r="J2206" t="s">
        <v>97</v>
      </c>
      <c r="K2206" t="s">
        <v>96</v>
      </c>
      <c r="L2206" t="s">
        <v>96</v>
      </c>
      <c r="M2206">
        <v>99999</v>
      </c>
      <c r="O2206" s="12" t="str">
        <f t="shared" si="82"/>
        <v>AFR</v>
      </c>
      <c r="P2206" s="12" t="str">
        <f t="shared" si="83"/>
        <v>EN_RE</v>
      </c>
    </row>
    <row r="2207" spans="1:16" x14ac:dyDescent="0.35">
      <c r="A2207" t="s">
        <v>2384</v>
      </c>
      <c r="B2207" t="s">
        <v>3111</v>
      </c>
      <c r="C2207" t="s">
        <v>45</v>
      </c>
      <c r="D2207" t="s">
        <v>3138</v>
      </c>
      <c r="E2207" t="s">
        <v>96</v>
      </c>
      <c r="F2207" t="s">
        <v>96</v>
      </c>
      <c r="G2207" t="s">
        <v>96</v>
      </c>
      <c r="H2207">
        <v>2017</v>
      </c>
      <c r="I2207" t="s">
        <v>96</v>
      </c>
      <c r="J2207" t="s">
        <v>97</v>
      </c>
      <c r="K2207" t="s">
        <v>96</v>
      </c>
      <c r="L2207" t="s">
        <v>96</v>
      </c>
      <c r="M2207">
        <v>99999</v>
      </c>
      <c r="O2207" s="12" t="str">
        <f t="shared" si="82"/>
        <v>AFR</v>
      </c>
      <c r="P2207" s="12" t="str">
        <f t="shared" si="83"/>
        <v>EN_RE</v>
      </c>
    </row>
    <row r="2208" spans="1:16" x14ac:dyDescent="0.35">
      <c r="A2208" t="s">
        <v>2384</v>
      </c>
      <c r="B2208" t="s">
        <v>3111</v>
      </c>
      <c r="C2208" t="s">
        <v>45</v>
      </c>
      <c r="D2208" t="s">
        <v>3139</v>
      </c>
      <c r="E2208" t="s">
        <v>96</v>
      </c>
      <c r="F2208" t="s">
        <v>96</v>
      </c>
      <c r="G2208" t="s">
        <v>96</v>
      </c>
      <c r="H2208">
        <v>2017</v>
      </c>
      <c r="I2208" t="s">
        <v>96</v>
      </c>
      <c r="J2208" t="s">
        <v>97</v>
      </c>
      <c r="K2208" t="s">
        <v>96</v>
      </c>
      <c r="L2208" t="s">
        <v>96</v>
      </c>
      <c r="M2208">
        <v>99999</v>
      </c>
      <c r="O2208" s="12" t="str">
        <f t="shared" si="82"/>
        <v>AFR</v>
      </c>
      <c r="P2208" s="12" t="str">
        <f t="shared" si="83"/>
        <v>EN_RE</v>
      </c>
    </row>
    <row r="2209" spans="1:16" x14ac:dyDescent="0.35">
      <c r="A2209" t="s">
        <v>2384</v>
      </c>
      <c r="B2209" t="s">
        <v>3111</v>
      </c>
      <c r="C2209" t="s">
        <v>45</v>
      </c>
      <c r="D2209" t="s">
        <v>3140</v>
      </c>
      <c r="E2209" t="s">
        <v>96</v>
      </c>
      <c r="F2209" t="s">
        <v>96</v>
      </c>
      <c r="G2209" t="s">
        <v>96</v>
      </c>
      <c r="H2209">
        <v>2017</v>
      </c>
      <c r="I2209" t="s">
        <v>96</v>
      </c>
      <c r="J2209" t="s">
        <v>97</v>
      </c>
      <c r="K2209" t="s">
        <v>96</v>
      </c>
      <c r="L2209" t="s">
        <v>96</v>
      </c>
      <c r="M2209">
        <v>99999</v>
      </c>
      <c r="O2209" s="12" t="str">
        <f t="shared" si="82"/>
        <v>AFR</v>
      </c>
      <c r="P2209" s="12" t="str">
        <f t="shared" si="83"/>
        <v>EN_RE</v>
      </c>
    </row>
    <row r="2210" spans="1:16" x14ac:dyDescent="0.35">
      <c r="A2210" t="s">
        <v>2384</v>
      </c>
      <c r="B2210" t="s">
        <v>3111</v>
      </c>
      <c r="C2210" t="s">
        <v>45</v>
      </c>
      <c r="D2210" t="s">
        <v>3141</v>
      </c>
      <c r="E2210" t="s">
        <v>96</v>
      </c>
      <c r="F2210" t="s">
        <v>96</v>
      </c>
      <c r="G2210" t="s">
        <v>96</v>
      </c>
      <c r="H2210">
        <v>2017</v>
      </c>
      <c r="I2210" t="s">
        <v>96</v>
      </c>
      <c r="J2210" t="s">
        <v>97</v>
      </c>
      <c r="K2210" t="s">
        <v>96</v>
      </c>
      <c r="L2210" t="s">
        <v>96</v>
      </c>
      <c r="M2210">
        <v>99999</v>
      </c>
      <c r="O2210" s="12" t="str">
        <f t="shared" si="82"/>
        <v>AFR</v>
      </c>
      <c r="P2210" s="12" t="str">
        <f t="shared" si="83"/>
        <v>EN_RE</v>
      </c>
    </row>
    <row r="2211" spans="1:16" x14ac:dyDescent="0.35">
      <c r="A2211" t="s">
        <v>2384</v>
      </c>
      <c r="B2211" t="s">
        <v>3111</v>
      </c>
      <c r="C2211" t="s">
        <v>45</v>
      </c>
      <c r="D2211" t="s">
        <v>3142</v>
      </c>
      <c r="E2211" t="s">
        <v>96</v>
      </c>
      <c r="F2211" t="s">
        <v>96</v>
      </c>
      <c r="G2211" t="s">
        <v>96</v>
      </c>
      <c r="H2211">
        <v>2017</v>
      </c>
      <c r="I2211" t="s">
        <v>96</v>
      </c>
      <c r="J2211" t="s">
        <v>97</v>
      </c>
      <c r="K2211" t="s">
        <v>96</v>
      </c>
      <c r="L2211" t="s">
        <v>96</v>
      </c>
      <c r="M2211">
        <v>99999</v>
      </c>
      <c r="O2211" s="12" t="str">
        <f t="shared" si="82"/>
        <v>AFR</v>
      </c>
      <c r="P2211" s="12" t="str">
        <f t="shared" si="83"/>
        <v>EN_RE</v>
      </c>
    </row>
    <row r="2212" spans="1:16" x14ac:dyDescent="0.35">
      <c r="A2212" t="s">
        <v>2384</v>
      </c>
      <c r="B2212" t="s">
        <v>3111</v>
      </c>
      <c r="C2212" t="s">
        <v>45</v>
      </c>
      <c r="D2212" t="s">
        <v>3143</v>
      </c>
      <c r="E2212" t="s">
        <v>96</v>
      </c>
      <c r="F2212" t="s">
        <v>96</v>
      </c>
      <c r="G2212" t="s">
        <v>96</v>
      </c>
      <c r="H2212">
        <v>2017</v>
      </c>
      <c r="I2212" t="s">
        <v>96</v>
      </c>
      <c r="J2212" t="s">
        <v>97</v>
      </c>
      <c r="K2212" t="s">
        <v>96</v>
      </c>
      <c r="L2212" t="s">
        <v>96</v>
      </c>
      <c r="M2212">
        <v>99999</v>
      </c>
      <c r="O2212" s="12" t="str">
        <f t="shared" si="82"/>
        <v>AFR</v>
      </c>
      <c r="P2212" s="12" t="str">
        <f t="shared" si="83"/>
        <v>EN_RE</v>
      </c>
    </row>
    <row r="2213" spans="1:16" x14ac:dyDescent="0.35">
      <c r="A2213" t="s">
        <v>2384</v>
      </c>
      <c r="B2213" t="s">
        <v>3111</v>
      </c>
      <c r="C2213" t="s">
        <v>45</v>
      </c>
      <c r="D2213" t="s">
        <v>3144</v>
      </c>
      <c r="E2213" t="s">
        <v>96</v>
      </c>
      <c r="F2213" t="s">
        <v>96</v>
      </c>
      <c r="G2213" t="s">
        <v>96</v>
      </c>
      <c r="H2213">
        <v>2017</v>
      </c>
      <c r="I2213" t="s">
        <v>96</v>
      </c>
      <c r="J2213" t="s">
        <v>97</v>
      </c>
      <c r="K2213" t="s">
        <v>96</v>
      </c>
      <c r="L2213" t="s">
        <v>96</v>
      </c>
      <c r="M2213">
        <v>99999</v>
      </c>
      <c r="O2213" s="12" t="str">
        <f t="shared" si="82"/>
        <v>AFR</v>
      </c>
      <c r="P2213" s="12" t="str">
        <f t="shared" si="83"/>
        <v>EN_RE</v>
      </c>
    </row>
    <row r="2214" spans="1:16" x14ac:dyDescent="0.35">
      <c r="A2214" t="s">
        <v>2384</v>
      </c>
      <c r="B2214" t="s">
        <v>3111</v>
      </c>
      <c r="C2214" t="s">
        <v>45</v>
      </c>
      <c r="D2214" t="s">
        <v>3145</v>
      </c>
      <c r="E2214" t="s">
        <v>96</v>
      </c>
      <c r="F2214" t="s">
        <v>96</v>
      </c>
      <c r="G2214" t="s">
        <v>96</v>
      </c>
      <c r="H2214">
        <v>2017</v>
      </c>
      <c r="I2214" t="s">
        <v>96</v>
      </c>
      <c r="J2214" t="s">
        <v>97</v>
      </c>
      <c r="K2214" t="s">
        <v>96</v>
      </c>
      <c r="L2214" t="s">
        <v>96</v>
      </c>
      <c r="M2214">
        <v>99999</v>
      </c>
      <c r="O2214" s="12" t="str">
        <f t="shared" si="82"/>
        <v>AFR</v>
      </c>
      <c r="P2214" s="12" t="str">
        <f t="shared" si="83"/>
        <v>EN_RE</v>
      </c>
    </row>
    <row r="2215" spans="1:16" x14ac:dyDescent="0.35">
      <c r="A2215" t="s">
        <v>2384</v>
      </c>
      <c r="B2215" t="s">
        <v>3111</v>
      </c>
      <c r="C2215" t="s">
        <v>45</v>
      </c>
      <c r="D2215" t="s">
        <v>3146</v>
      </c>
      <c r="E2215" t="s">
        <v>96</v>
      </c>
      <c r="F2215" t="s">
        <v>96</v>
      </c>
      <c r="G2215" t="s">
        <v>96</v>
      </c>
      <c r="H2215">
        <v>2017</v>
      </c>
      <c r="I2215" t="s">
        <v>96</v>
      </c>
      <c r="J2215" t="s">
        <v>97</v>
      </c>
      <c r="K2215" t="s">
        <v>96</v>
      </c>
      <c r="L2215" t="s">
        <v>96</v>
      </c>
      <c r="M2215">
        <v>99999</v>
      </c>
      <c r="O2215" s="12" t="str">
        <f t="shared" si="82"/>
        <v>AFR</v>
      </c>
      <c r="P2215" s="12" t="str">
        <f t="shared" si="83"/>
        <v>EN_RE</v>
      </c>
    </row>
    <row r="2216" spans="1:16" x14ac:dyDescent="0.35">
      <c r="A2216" t="s">
        <v>2384</v>
      </c>
      <c r="B2216" t="s">
        <v>3111</v>
      </c>
      <c r="C2216" t="s">
        <v>45</v>
      </c>
      <c r="D2216" t="s">
        <v>3147</v>
      </c>
      <c r="E2216" t="s">
        <v>96</v>
      </c>
      <c r="F2216" t="s">
        <v>96</v>
      </c>
      <c r="G2216" t="s">
        <v>96</v>
      </c>
      <c r="H2216">
        <v>2017</v>
      </c>
      <c r="I2216" t="s">
        <v>96</v>
      </c>
      <c r="J2216" t="s">
        <v>97</v>
      </c>
      <c r="K2216" t="s">
        <v>96</v>
      </c>
      <c r="L2216" t="s">
        <v>96</v>
      </c>
      <c r="M2216">
        <v>99999</v>
      </c>
      <c r="O2216" s="12" t="str">
        <f t="shared" si="82"/>
        <v>AFR</v>
      </c>
      <c r="P2216" s="12" t="str">
        <f t="shared" si="83"/>
        <v>EN_RE</v>
      </c>
    </row>
    <row r="2217" spans="1:16" x14ac:dyDescent="0.35">
      <c r="A2217" t="s">
        <v>2384</v>
      </c>
      <c r="B2217" t="s">
        <v>3111</v>
      </c>
      <c r="C2217" t="s">
        <v>45</v>
      </c>
      <c r="D2217" t="s">
        <v>3148</v>
      </c>
      <c r="E2217" t="s">
        <v>96</v>
      </c>
      <c r="F2217" t="s">
        <v>96</v>
      </c>
      <c r="G2217" t="s">
        <v>96</v>
      </c>
      <c r="H2217">
        <v>2017</v>
      </c>
      <c r="I2217" t="s">
        <v>96</v>
      </c>
      <c r="J2217" t="s">
        <v>97</v>
      </c>
      <c r="K2217" t="s">
        <v>96</v>
      </c>
      <c r="L2217" t="s">
        <v>96</v>
      </c>
      <c r="M2217">
        <v>99999</v>
      </c>
      <c r="O2217" s="12" t="str">
        <f t="shared" si="82"/>
        <v>AFR</v>
      </c>
      <c r="P2217" s="12" t="str">
        <f t="shared" si="83"/>
        <v>EN_RE</v>
      </c>
    </row>
    <row r="2218" spans="1:16" x14ac:dyDescent="0.35">
      <c r="A2218" t="s">
        <v>2384</v>
      </c>
      <c r="B2218" t="s">
        <v>3111</v>
      </c>
      <c r="C2218" t="s">
        <v>45</v>
      </c>
      <c r="D2218" t="s">
        <v>3149</v>
      </c>
      <c r="E2218" t="s">
        <v>96</v>
      </c>
      <c r="F2218" t="s">
        <v>96</v>
      </c>
      <c r="G2218" t="s">
        <v>96</v>
      </c>
      <c r="H2218">
        <v>2017</v>
      </c>
      <c r="I2218" t="s">
        <v>96</v>
      </c>
      <c r="J2218" t="s">
        <v>97</v>
      </c>
      <c r="K2218" t="s">
        <v>96</v>
      </c>
      <c r="L2218" t="s">
        <v>96</v>
      </c>
      <c r="M2218">
        <v>99999</v>
      </c>
      <c r="O2218" s="12" t="str">
        <f t="shared" si="82"/>
        <v>AFR</v>
      </c>
      <c r="P2218" s="12" t="str">
        <f t="shared" si="83"/>
        <v>EN_RE</v>
      </c>
    </row>
    <row r="2219" spans="1:16" x14ac:dyDescent="0.35">
      <c r="A2219" t="s">
        <v>2384</v>
      </c>
      <c r="B2219" t="s">
        <v>3111</v>
      </c>
      <c r="C2219" t="s">
        <v>45</v>
      </c>
      <c r="D2219" t="s">
        <v>3150</v>
      </c>
      <c r="E2219" t="s">
        <v>96</v>
      </c>
      <c r="F2219" t="s">
        <v>96</v>
      </c>
      <c r="G2219" t="s">
        <v>96</v>
      </c>
      <c r="H2219">
        <v>2017</v>
      </c>
      <c r="I2219" t="s">
        <v>96</v>
      </c>
      <c r="J2219" t="s">
        <v>97</v>
      </c>
      <c r="K2219" t="s">
        <v>96</v>
      </c>
      <c r="L2219" t="s">
        <v>96</v>
      </c>
      <c r="M2219">
        <v>99999</v>
      </c>
      <c r="O2219" s="12" t="str">
        <f t="shared" si="82"/>
        <v>AFR</v>
      </c>
      <c r="P2219" s="12" t="str">
        <f t="shared" si="83"/>
        <v>EN_RE</v>
      </c>
    </row>
    <row r="2220" spans="1:16" x14ac:dyDescent="0.35">
      <c r="A2220" t="s">
        <v>2384</v>
      </c>
      <c r="B2220" t="s">
        <v>3111</v>
      </c>
      <c r="C2220" t="s">
        <v>45</v>
      </c>
      <c r="D2220" t="s">
        <v>3151</v>
      </c>
      <c r="E2220" t="s">
        <v>96</v>
      </c>
      <c r="F2220" t="s">
        <v>96</v>
      </c>
      <c r="G2220" t="s">
        <v>96</v>
      </c>
      <c r="H2220">
        <v>2017</v>
      </c>
      <c r="I2220" t="s">
        <v>96</v>
      </c>
      <c r="J2220" t="s">
        <v>97</v>
      </c>
      <c r="K2220" t="s">
        <v>96</v>
      </c>
      <c r="L2220" t="s">
        <v>96</v>
      </c>
      <c r="M2220">
        <v>99999</v>
      </c>
      <c r="O2220" s="12" t="str">
        <f t="shared" si="82"/>
        <v>AFR</v>
      </c>
      <c r="P2220" s="12" t="str">
        <f t="shared" si="83"/>
        <v>EN_RE</v>
      </c>
    </row>
    <row r="2221" spans="1:16" x14ac:dyDescent="0.35">
      <c r="A2221" t="s">
        <v>2384</v>
      </c>
      <c r="B2221" t="s">
        <v>3111</v>
      </c>
      <c r="C2221" t="s">
        <v>45</v>
      </c>
      <c r="D2221" t="s">
        <v>3152</v>
      </c>
      <c r="E2221" t="s">
        <v>96</v>
      </c>
      <c r="F2221" t="s">
        <v>96</v>
      </c>
      <c r="G2221" t="s">
        <v>96</v>
      </c>
      <c r="H2221">
        <v>2017</v>
      </c>
      <c r="I2221" t="s">
        <v>96</v>
      </c>
      <c r="J2221" t="s">
        <v>97</v>
      </c>
      <c r="K2221" t="s">
        <v>96</v>
      </c>
      <c r="L2221" t="s">
        <v>96</v>
      </c>
      <c r="M2221">
        <v>99999</v>
      </c>
      <c r="O2221" s="12" t="str">
        <f t="shared" si="82"/>
        <v>AFR</v>
      </c>
      <c r="P2221" s="12" t="str">
        <f t="shared" si="83"/>
        <v>EN_RE</v>
      </c>
    </row>
    <row r="2222" spans="1:16" x14ac:dyDescent="0.35">
      <c r="A2222" t="s">
        <v>2384</v>
      </c>
      <c r="B2222" t="s">
        <v>3111</v>
      </c>
      <c r="C2222" t="s">
        <v>45</v>
      </c>
      <c r="D2222" t="s">
        <v>3153</v>
      </c>
      <c r="E2222" t="s">
        <v>96</v>
      </c>
      <c r="F2222" t="s">
        <v>96</v>
      </c>
      <c r="G2222" t="s">
        <v>96</v>
      </c>
      <c r="H2222">
        <v>2017</v>
      </c>
      <c r="I2222" t="s">
        <v>96</v>
      </c>
      <c r="J2222" t="s">
        <v>97</v>
      </c>
      <c r="K2222" t="s">
        <v>96</v>
      </c>
      <c r="L2222" t="s">
        <v>96</v>
      </c>
      <c r="M2222">
        <v>99999</v>
      </c>
      <c r="O2222" s="12" t="str">
        <f t="shared" si="82"/>
        <v>AFR</v>
      </c>
      <c r="P2222" s="12" t="str">
        <f t="shared" si="83"/>
        <v>EN_RE</v>
      </c>
    </row>
    <row r="2223" spans="1:16" x14ac:dyDescent="0.35">
      <c r="A2223" t="s">
        <v>2384</v>
      </c>
      <c r="B2223" t="s">
        <v>3111</v>
      </c>
      <c r="C2223" t="s">
        <v>45</v>
      </c>
      <c r="D2223" t="s">
        <v>3154</v>
      </c>
      <c r="E2223" t="s">
        <v>96</v>
      </c>
      <c r="F2223" t="s">
        <v>96</v>
      </c>
      <c r="G2223" t="s">
        <v>96</v>
      </c>
      <c r="H2223">
        <v>2017</v>
      </c>
      <c r="I2223" t="s">
        <v>96</v>
      </c>
      <c r="J2223" t="s">
        <v>97</v>
      </c>
      <c r="K2223" t="s">
        <v>96</v>
      </c>
      <c r="L2223" t="s">
        <v>96</v>
      </c>
      <c r="M2223">
        <v>99999</v>
      </c>
      <c r="O2223" s="12" t="str">
        <f t="shared" si="82"/>
        <v>AFR</v>
      </c>
      <c r="P2223" s="12" t="str">
        <f t="shared" si="83"/>
        <v>EN_RE</v>
      </c>
    </row>
    <row r="2224" spans="1:16" x14ac:dyDescent="0.35">
      <c r="A2224" t="s">
        <v>2384</v>
      </c>
      <c r="B2224" t="s">
        <v>3111</v>
      </c>
      <c r="C2224" t="s">
        <v>45</v>
      </c>
      <c r="D2224" t="s">
        <v>3155</v>
      </c>
      <c r="E2224" t="s">
        <v>96</v>
      </c>
      <c r="F2224" t="s">
        <v>96</v>
      </c>
      <c r="G2224" t="s">
        <v>96</v>
      </c>
      <c r="H2224">
        <v>2017</v>
      </c>
      <c r="I2224" t="s">
        <v>96</v>
      </c>
      <c r="J2224" t="s">
        <v>97</v>
      </c>
      <c r="K2224" t="s">
        <v>96</v>
      </c>
      <c r="L2224" t="s">
        <v>96</v>
      </c>
      <c r="M2224">
        <v>99999</v>
      </c>
      <c r="O2224" s="12" t="str">
        <f t="shared" si="82"/>
        <v>AFR</v>
      </c>
      <c r="P2224" s="12" t="str">
        <f t="shared" si="83"/>
        <v>EN_RE</v>
      </c>
    </row>
    <row r="2225" spans="1:16" x14ac:dyDescent="0.35">
      <c r="A2225" t="s">
        <v>2384</v>
      </c>
      <c r="B2225" t="s">
        <v>3111</v>
      </c>
      <c r="C2225" t="s">
        <v>45</v>
      </c>
      <c r="D2225" t="s">
        <v>3156</v>
      </c>
      <c r="E2225" t="s">
        <v>96</v>
      </c>
      <c r="F2225" t="s">
        <v>96</v>
      </c>
      <c r="G2225" t="s">
        <v>96</v>
      </c>
      <c r="H2225">
        <v>2017</v>
      </c>
      <c r="I2225" t="s">
        <v>96</v>
      </c>
      <c r="J2225" t="s">
        <v>97</v>
      </c>
      <c r="K2225" t="s">
        <v>96</v>
      </c>
      <c r="L2225" t="s">
        <v>96</v>
      </c>
      <c r="M2225">
        <v>99999</v>
      </c>
      <c r="O2225" s="12" t="str">
        <f t="shared" si="82"/>
        <v>AFR</v>
      </c>
      <c r="P2225" s="12" t="str">
        <f t="shared" si="83"/>
        <v>EN_RE</v>
      </c>
    </row>
    <row r="2226" spans="1:16" x14ac:dyDescent="0.35">
      <c r="A2226" t="s">
        <v>2384</v>
      </c>
      <c r="B2226" t="s">
        <v>3111</v>
      </c>
      <c r="C2226" t="s">
        <v>45</v>
      </c>
      <c r="D2226" t="s">
        <v>3157</v>
      </c>
      <c r="E2226" t="s">
        <v>96</v>
      </c>
      <c r="F2226" t="s">
        <v>96</v>
      </c>
      <c r="G2226" t="s">
        <v>96</v>
      </c>
      <c r="H2226">
        <v>2017</v>
      </c>
      <c r="I2226" t="s">
        <v>96</v>
      </c>
      <c r="J2226" t="s">
        <v>97</v>
      </c>
      <c r="K2226" t="s">
        <v>96</v>
      </c>
      <c r="L2226" t="s">
        <v>96</v>
      </c>
      <c r="M2226">
        <v>99999</v>
      </c>
      <c r="O2226" s="12" t="str">
        <f t="shared" si="82"/>
        <v>AFR</v>
      </c>
      <c r="P2226" s="12" t="str">
        <f t="shared" si="83"/>
        <v>EN_RE</v>
      </c>
    </row>
    <row r="2227" spans="1:16" x14ac:dyDescent="0.35">
      <c r="A2227" t="s">
        <v>2384</v>
      </c>
      <c r="B2227" t="s">
        <v>3111</v>
      </c>
      <c r="C2227" t="s">
        <v>45</v>
      </c>
      <c r="D2227" t="s">
        <v>3158</v>
      </c>
      <c r="E2227" t="s">
        <v>96</v>
      </c>
      <c r="F2227" t="s">
        <v>96</v>
      </c>
      <c r="G2227" t="s">
        <v>96</v>
      </c>
      <c r="H2227">
        <v>2017</v>
      </c>
      <c r="I2227" t="s">
        <v>96</v>
      </c>
      <c r="J2227" t="s">
        <v>97</v>
      </c>
      <c r="K2227" t="s">
        <v>96</v>
      </c>
      <c r="L2227" t="s">
        <v>96</v>
      </c>
      <c r="M2227">
        <v>99999</v>
      </c>
      <c r="O2227" s="12" t="str">
        <f t="shared" si="82"/>
        <v>AFR</v>
      </c>
      <c r="P2227" s="12" t="str">
        <f t="shared" si="83"/>
        <v>EN_RE</v>
      </c>
    </row>
    <row r="2228" spans="1:16" x14ac:dyDescent="0.35">
      <c r="A2228" t="s">
        <v>2384</v>
      </c>
      <c r="B2228" t="s">
        <v>68</v>
      </c>
      <c r="C2228" t="s">
        <v>45</v>
      </c>
      <c r="D2228" t="s">
        <v>2499</v>
      </c>
      <c r="E2228" t="s">
        <v>96</v>
      </c>
      <c r="F2228" t="s">
        <v>96</v>
      </c>
      <c r="G2228" t="s">
        <v>96</v>
      </c>
      <c r="H2228">
        <v>2017</v>
      </c>
      <c r="I2228" t="s">
        <v>96</v>
      </c>
      <c r="J2228" t="s">
        <v>97</v>
      </c>
      <c r="K2228" t="s">
        <v>96</v>
      </c>
      <c r="L2228" t="s">
        <v>96</v>
      </c>
      <c r="M2228">
        <v>2358.0159199999998</v>
      </c>
      <c r="O2228" s="12" t="str">
        <f t="shared" si="82"/>
        <v>ANZ</v>
      </c>
      <c r="P2228" s="12" t="str">
        <f t="shared" si="83"/>
        <v>EN_Hy</v>
      </c>
    </row>
    <row r="2229" spans="1:16" x14ac:dyDescent="0.35">
      <c r="A2229" t="s">
        <v>2384</v>
      </c>
      <c r="B2229" t="s">
        <v>68</v>
      </c>
      <c r="C2229" t="s">
        <v>45</v>
      </c>
      <c r="D2229" t="s">
        <v>2500</v>
      </c>
      <c r="E2229" t="s">
        <v>96</v>
      </c>
      <c r="F2229" t="s">
        <v>96</v>
      </c>
      <c r="G2229" t="s">
        <v>96</v>
      </c>
      <c r="H2229">
        <v>2017</v>
      </c>
      <c r="I2229" t="s">
        <v>96</v>
      </c>
      <c r="J2229" t="s">
        <v>97</v>
      </c>
      <c r="K2229" t="s">
        <v>96</v>
      </c>
      <c r="L2229" t="s">
        <v>96</v>
      </c>
      <c r="M2229">
        <v>3633.6296000000002</v>
      </c>
      <c r="O2229" s="12" t="str">
        <f t="shared" si="82"/>
        <v>ANZ</v>
      </c>
      <c r="P2229" s="12" t="str">
        <f t="shared" si="83"/>
        <v>EN_Hy</v>
      </c>
    </row>
    <row r="2230" spans="1:16" x14ac:dyDescent="0.35">
      <c r="A2230" t="s">
        <v>2384</v>
      </c>
      <c r="B2230" t="s">
        <v>68</v>
      </c>
      <c r="C2230" t="s">
        <v>45</v>
      </c>
      <c r="D2230" t="s">
        <v>2501</v>
      </c>
      <c r="E2230" t="s">
        <v>96</v>
      </c>
      <c r="F2230" t="s">
        <v>96</v>
      </c>
      <c r="G2230" t="s">
        <v>96</v>
      </c>
      <c r="H2230">
        <v>2017</v>
      </c>
      <c r="I2230" t="s">
        <v>96</v>
      </c>
      <c r="J2230" t="s">
        <v>97</v>
      </c>
      <c r="K2230" t="s">
        <v>96</v>
      </c>
      <c r="L2230" t="s">
        <v>96</v>
      </c>
      <c r="M2230">
        <v>3959.9045599999999</v>
      </c>
      <c r="O2230" s="12" t="str">
        <f t="shared" si="82"/>
        <v>ANZ</v>
      </c>
      <c r="P2230" s="12" t="str">
        <f t="shared" si="83"/>
        <v>EN_Hy</v>
      </c>
    </row>
    <row r="2231" spans="1:16" x14ac:dyDescent="0.35">
      <c r="A2231" t="s">
        <v>2384</v>
      </c>
      <c r="B2231" t="s">
        <v>68</v>
      </c>
      <c r="C2231" t="s">
        <v>45</v>
      </c>
      <c r="D2231" t="s">
        <v>2502</v>
      </c>
      <c r="E2231" t="s">
        <v>96</v>
      </c>
      <c r="F2231" t="s">
        <v>96</v>
      </c>
      <c r="G2231" t="s">
        <v>96</v>
      </c>
      <c r="H2231">
        <v>2017</v>
      </c>
      <c r="I2231" t="s">
        <v>96</v>
      </c>
      <c r="J2231" t="s">
        <v>97</v>
      </c>
      <c r="K2231" t="s">
        <v>96</v>
      </c>
      <c r="L2231" t="s">
        <v>96</v>
      </c>
      <c r="M2231">
        <v>2757.7890320000001</v>
      </c>
      <c r="O2231" s="12" t="str">
        <f t="shared" si="82"/>
        <v>ANZ</v>
      </c>
      <c r="P2231" s="12" t="str">
        <f t="shared" si="83"/>
        <v>EN_Hy</v>
      </c>
    </row>
    <row r="2232" spans="1:16" x14ac:dyDescent="0.35">
      <c r="A2232" t="s">
        <v>2384</v>
      </c>
      <c r="B2232" t="s">
        <v>68</v>
      </c>
      <c r="C2232" t="s">
        <v>45</v>
      </c>
      <c r="D2232" t="s">
        <v>2503</v>
      </c>
      <c r="E2232" t="s">
        <v>96</v>
      </c>
      <c r="F2232" t="s">
        <v>96</v>
      </c>
      <c r="G2232" t="s">
        <v>96</v>
      </c>
      <c r="H2232">
        <v>2017</v>
      </c>
      <c r="I2232" t="s">
        <v>96</v>
      </c>
      <c r="J2232" t="s">
        <v>97</v>
      </c>
      <c r="K2232" t="s">
        <v>96</v>
      </c>
      <c r="L2232" t="s">
        <v>96</v>
      </c>
      <c r="M2232">
        <v>3816.610232</v>
      </c>
      <c r="O2232" s="12" t="str">
        <f t="shared" si="82"/>
        <v>ANZ</v>
      </c>
      <c r="P2232" s="12" t="str">
        <f t="shared" si="83"/>
        <v>EN_Hy</v>
      </c>
    </row>
    <row r="2233" spans="1:16" x14ac:dyDescent="0.35">
      <c r="A2233" t="s">
        <v>2384</v>
      </c>
      <c r="B2233" t="s">
        <v>68</v>
      </c>
      <c r="C2233" t="s">
        <v>45</v>
      </c>
      <c r="D2233" t="s">
        <v>2504</v>
      </c>
      <c r="E2233" t="s">
        <v>96</v>
      </c>
      <c r="F2233" t="s">
        <v>96</v>
      </c>
      <c r="G2233" t="s">
        <v>96</v>
      </c>
      <c r="H2233">
        <v>2017</v>
      </c>
      <c r="I2233" t="s">
        <v>96</v>
      </c>
      <c r="J2233" t="s">
        <v>97</v>
      </c>
      <c r="K2233" t="s">
        <v>96</v>
      </c>
      <c r="L2233" t="s">
        <v>96</v>
      </c>
      <c r="M2233">
        <v>4337.8897999999999</v>
      </c>
      <c r="O2233" s="12" t="str">
        <f t="shared" si="82"/>
        <v>ANZ</v>
      </c>
      <c r="P2233" s="12" t="str">
        <f t="shared" si="83"/>
        <v>EN_Hy</v>
      </c>
    </row>
    <row r="2234" spans="1:16" x14ac:dyDescent="0.35">
      <c r="A2234" t="s">
        <v>2384</v>
      </c>
      <c r="B2234" t="s">
        <v>68</v>
      </c>
      <c r="C2234" t="s">
        <v>45</v>
      </c>
      <c r="D2234" t="s">
        <v>3159</v>
      </c>
      <c r="E2234" t="s">
        <v>96</v>
      </c>
      <c r="F2234" t="s">
        <v>96</v>
      </c>
      <c r="G2234" t="s">
        <v>96</v>
      </c>
      <c r="H2234">
        <v>2017</v>
      </c>
      <c r="I2234" t="s">
        <v>96</v>
      </c>
      <c r="J2234" t="s">
        <v>97</v>
      </c>
      <c r="K2234" t="s">
        <v>96</v>
      </c>
      <c r="L2234" t="s">
        <v>96</v>
      </c>
      <c r="M2234">
        <v>99999</v>
      </c>
      <c r="O2234" s="12" t="str">
        <f t="shared" si="82"/>
        <v>ANZ</v>
      </c>
      <c r="P2234" s="12" t="str">
        <f t="shared" si="83"/>
        <v>EN_RE</v>
      </c>
    </row>
    <row r="2235" spans="1:16" x14ac:dyDescent="0.35">
      <c r="A2235" t="s">
        <v>2384</v>
      </c>
      <c r="B2235" t="s">
        <v>69</v>
      </c>
      <c r="C2235" t="s">
        <v>45</v>
      </c>
      <c r="D2235" t="s">
        <v>2505</v>
      </c>
      <c r="E2235" t="s">
        <v>96</v>
      </c>
      <c r="F2235" t="s">
        <v>96</v>
      </c>
      <c r="G2235" t="s">
        <v>96</v>
      </c>
      <c r="H2235">
        <v>2017</v>
      </c>
      <c r="I2235" t="s">
        <v>96</v>
      </c>
      <c r="J2235" t="s">
        <v>97</v>
      </c>
      <c r="K2235" t="s">
        <v>96</v>
      </c>
      <c r="L2235" t="s">
        <v>96</v>
      </c>
      <c r="M2235">
        <v>1443</v>
      </c>
      <c r="O2235" s="12" t="str">
        <f t="shared" si="82"/>
        <v>BRZ</v>
      </c>
      <c r="P2235" s="12" t="str">
        <f t="shared" si="83"/>
        <v>EN_Hy</v>
      </c>
    </row>
    <row r="2236" spans="1:16" x14ac:dyDescent="0.35">
      <c r="A2236" t="s">
        <v>2384</v>
      </c>
      <c r="B2236" t="s">
        <v>69</v>
      </c>
      <c r="C2236" t="s">
        <v>45</v>
      </c>
      <c r="D2236" t="s">
        <v>2506</v>
      </c>
      <c r="E2236" t="s">
        <v>96</v>
      </c>
      <c r="F2236" t="s">
        <v>96</v>
      </c>
      <c r="G2236" t="s">
        <v>96</v>
      </c>
      <c r="H2236">
        <v>2017</v>
      </c>
      <c r="I2236" t="s">
        <v>96</v>
      </c>
      <c r="J2236" t="s">
        <v>97</v>
      </c>
      <c r="K2236" t="s">
        <v>96</v>
      </c>
      <c r="L2236" t="s">
        <v>96</v>
      </c>
      <c r="M2236">
        <v>4310.5848800000003</v>
      </c>
      <c r="O2236" s="12" t="str">
        <f t="shared" si="82"/>
        <v>BRZ</v>
      </c>
      <c r="P2236" s="12" t="str">
        <f t="shared" si="83"/>
        <v>EN_Hy</v>
      </c>
    </row>
    <row r="2237" spans="1:16" x14ac:dyDescent="0.35">
      <c r="A2237" t="s">
        <v>2384</v>
      </c>
      <c r="B2237" t="s">
        <v>69</v>
      </c>
      <c r="C2237" t="s">
        <v>45</v>
      </c>
      <c r="D2237" t="s">
        <v>2507</v>
      </c>
      <c r="E2237" t="s">
        <v>96</v>
      </c>
      <c r="F2237" t="s">
        <v>96</v>
      </c>
      <c r="G2237" t="s">
        <v>96</v>
      </c>
      <c r="H2237">
        <v>2017</v>
      </c>
      <c r="I2237" t="s">
        <v>96</v>
      </c>
      <c r="J2237" t="s">
        <v>97</v>
      </c>
      <c r="K2237" t="s">
        <v>96</v>
      </c>
      <c r="L2237" t="s">
        <v>96</v>
      </c>
      <c r="M2237">
        <v>6852.5178800000003</v>
      </c>
      <c r="O2237" s="12" t="str">
        <f t="shared" si="82"/>
        <v>BRZ</v>
      </c>
      <c r="P2237" s="12" t="str">
        <f t="shared" si="83"/>
        <v>EN_Hy</v>
      </c>
    </row>
    <row r="2238" spans="1:16" x14ac:dyDescent="0.35">
      <c r="A2238" t="s">
        <v>2384</v>
      </c>
      <c r="B2238" t="s">
        <v>69</v>
      </c>
      <c r="C2238" t="s">
        <v>45</v>
      </c>
      <c r="D2238" t="s">
        <v>3160</v>
      </c>
      <c r="E2238" t="s">
        <v>96</v>
      </c>
      <c r="F2238" t="s">
        <v>96</v>
      </c>
      <c r="G2238" t="s">
        <v>96</v>
      </c>
      <c r="H2238">
        <v>2017</v>
      </c>
      <c r="I2238" t="s">
        <v>96</v>
      </c>
      <c r="J2238" t="s">
        <v>97</v>
      </c>
      <c r="K2238" t="s">
        <v>96</v>
      </c>
      <c r="L2238" t="s">
        <v>96</v>
      </c>
      <c r="M2238">
        <v>99999</v>
      </c>
      <c r="O2238" s="12" t="str">
        <f t="shared" si="82"/>
        <v>BRZ</v>
      </c>
      <c r="P2238" s="12" t="str">
        <f t="shared" si="83"/>
        <v>EN_RE</v>
      </c>
    </row>
    <row r="2239" spans="1:16" x14ac:dyDescent="0.35">
      <c r="A2239" t="s">
        <v>2384</v>
      </c>
      <c r="B2239" t="s">
        <v>70</v>
      </c>
      <c r="C2239" t="s">
        <v>45</v>
      </c>
      <c r="D2239" t="s">
        <v>2508</v>
      </c>
      <c r="E2239" t="s">
        <v>96</v>
      </c>
      <c r="F2239" t="s">
        <v>96</v>
      </c>
      <c r="G2239" t="s">
        <v>96</v>
      </c>
      <c r="H2239">
        <v>2017</v>
      </c>
      <c r="I2239" t="s">
        <v>96</v>
      </c>
      <c r="J2239" t="s">
        <v>97</v>
      </c>
      <c r="K2239" t="s">
        <v>96</v>
      </c>
      <c r="L2239" t="s">
        <v>96</v>
      </c>
      <c r="M2239">
        <v>6006.2230399999999</v>
      </c>
      <c r="O2239" s="12" t="str">
        <f t="shared" si="82"/>
        <v>CAN</v>
      </c>
      <c r="P2239" s="12" t="str">
        <f t="shared" si="83"/>
        <v>EN_Hy</v>
      </c>
    </row>
    <row r="2240" spans="1:16" x14ac:dyDescent="0.35">
      <c r="A2240" t="s">
        <v>2384</v>
      </c>
      <c r="B2240" t="s">
        <v>70</v>
      </c>
      <c r="C2240" t="s">
        <v>45</v>
      </c>
      <c r="D2240" t="s">
        <v>2509</v>
      </c>
      <c r="E2240" t="s">
        <v>96</v>
      </c>
      <c r="F2240" t="s">
        <v>96</v>
      </c>
      <c r="G2240" t="s">
        <v>96</v>
      </c>
      <c r="H2240">
        <v>2017</v>
      </c>
      <c r="I2240" t="s">
        <v>96</v>
      </c>
      <c r="J2240" t="s">
        <v>97</v>
      </c>
      <c r="K2240" t="s">
        <v>96</v>
      </c>
      <c r="L2240" t="s">
        <v>96</v>
      </c>
      <c r="M2240">
        <v>8253.4784</v>
      </c>
      <c r="O2240" s="12" t="str">
        <f t="shared" si="82"/>
        <v>CAN</v>
      </c>
      <c r="P2240" s="12" t="str">
        <f t="shared" si="83"/>
        <v>EN_Hy</v>
      </c>
    </row>
    <row r="2241" spans="1:16" x14ac:dyDescent="0.35">
      <c r="A2241" t="s">
        <v>2384</v>
      </c>
      <c r="B2241" t="s">
        <v>70</v>
      </c>
      <c r="C2241" t="s">
        <v>45</v>
      </c>
      <c r="D2241" t="s">
        <v>2510</v>
      </c>
      <c r="E2241" t="s">
        <v>96</v>
      </c>
      <c r="F2241" t="s">
        <v>96</v>
      </c>
      <c r="G2241" t="s">
        <v>96</v>
      </c>
      <c r="H2241">
        <v>2017</v>
      </c>
      <c r="I2241" t="s">
        <v>96</v>
      </c>
      <c r="J2241" t="s">
        <v>97</v>
      </c>
      <c r="K2241" t="s">
        <v>96</v>
      </c>
      <c r="L2241" t="s">
        <v>96</v>
      </c>
      <c r="M2241">
        <v>11624.11616</v>
      </c>
      <c r="O2241" s="12" t="str">
        <f t="shared" si="82"/>
        <v>CAN</v>
      </c>
      <c r="P2241" s="12" t="str">
        <f t="shared" si="83"/>
        <v>EN_Hy</v>
      </c>
    </row>
    <row r="2242" spans="1:16" x14ac:dyDescent="0.35">
      <c r="A2242" t="s">
        <v>2384</v>
      </c>
      <c r="B2242" t="s">
        <v>70</v>
      </c>
      <c r="C2242" t="s">
        <v>45</v>
      </c>
      <c r="D2242" t="s">
        <v>3161</v>
      </c>
      <c r="E2242" t="s">
        <v>96</v>
      </c>
      <c r="F2242" t="s">
        <v>96</v>
      </c>
      <c r="G2242" t="s">
        <v>96</v>
      </c>
      <c r="H2242">
        <v>2017</v>
      </c>
      <c r="I2242" t="s">
        <v>96</v>
      </c>
      <c r="J2242" t="s">
        <v>97</v>
      </c>
      <c r="K2242" t="s">
        <v>96</v>
      </c>
      <c r="L2242" t="s">
        <v>96</v>
      </c>
      <c r="M2242">
        <v>99999</v>
      </c>
      <c r="O2242" s="12" t="str">
        <f t="shared" si="82"/>
        <v>CAN</v>
      </c>
      <c r="P2242" s="12" t="str">
        <f t="shared" si="83"/>
        <v>EN_RE</v>
      </c>
    </row>
    <row r="2243" spans="1:16" x14ac:dyDescent="0.35">
      <c r="A2243" t="s">
        <v>2384</v>
      </c>
      <c r="B2243" t="s">
        <v>71</v>
      </c>
      <c r="C2243" t="s">
        <v>45</v>
      </c>
      <c r="D2243" t="s">
        <v>2511</v>
      </c>
      <c r="E2243" t="s">
        <v>96</v>
      </c>
      <c r="F2243" t="s">
        <v>96</v>
      </c>
      <c r="G2243" t="s">
        <v>96</v>
      </c>
      <c r="H2243">
        <v>2017</v>
      </c>
      <c r="I2243" t="s">
        <v>96</v>
      </c>
      <c r="J2243" t="s">
        <v>97</v>
      </c>
      <c r="K2243" t="s">
        <v>96</v>
      </c>
      <c r="L2243" t="s">
        <v>96</v>
      </c>
      <c r="M2243">
        <v>1372.4983999999999</v>
      </c>
      <c r="O2243" s="12" t="str">
        <f t="shared" ref="O2243:O2306" si="84">LEFT(B2243,3)</f>
        <v>CHI</v>
      </c>
      <c r="P2243" s="12" t="str">
        <f t="shared" ref="P2243:P2306" si="85">LEFT(D2243,5)</f>
        <v>EN_Hy</v>
      </c>
    </row>
    <row r="2244" spans="1:16" x14ac:dyDescent="0.35">
      <c r="A2244" t="s">
        <v>2384</v>
      </c>
      <c r="B2244" t="s">
        <v>71</v>
      </c>
      <c r="C2244" t="s">
        <v>45</v>
      </c>
      <c r="D2244" t="s">
        <v>2512</v>
      </c>
      <c r="E2244" t="s">
        <v>96</v>
      </c>
      <c r="F2244" t="s">
        <v>96</v>
      </c>
      <c r="G2244" t="s">
        <v>96</v>
      </c>
      <c r="H2244">
        <v>2017</v>
      </c>
      <c r="I2244" t="s">
        <v>96</v>
      </c>
      <c r="J2244" t="s">
        <v>97</v>
      </c>
      <c r="K2244" t="s">
        <v>96</v>
      </c>
      <c r="L2244" t="s">
        <v>96</v>
      </c>
      <c r="M2244">
        <v>2155.7825600000001</v>
      </c>
      <c r="O2244" s="12" t="str">
        <f t="shared" si="84"/>
        <v>CHI</v>
      </c>
      <c r="P2244" s="12" t="str">
        <f t="shared" si="85"/>
        <v>EN_Hy</v>
      </c>
    </row>
    <row r="2245" spans="1:16" x14ac:dyDescent="0.35">
      <c r="A2245" t="s">
        <v>2384</v>
      </c>
      <c r="B2245" t="s">
        <v>71</v>
      </c>
      <c r="C2245" t="s">
        <v>45</v>
      </c>
      <c r="D2245" t="s">
        <v>2513</v>
      </c>
      <c r="E2245" t="s">
        <v>96</v>
      </c>
      <c r="F2245" t="s">
        <v>96</v>
      </c>
      <c r="G2245" t="s">
        <v>96</v>
      </c>
      <c r="H2245">
        <v>2017</v>
      </c>
      <c r="I2245" t="s">
        <v>96</v>
      </c>
      <c r="J2245" t="s">
        <v>97</v>
      </c>
      <c r="K2245" t="s">
        <v>96</v>
      </c>
      <c r="L2245" t="s">
        <v>96</v>
      </c>
      <c r="M2245">
        <v>5463.5936000000002</v>
      </c>
      <c r="O2245" s="12" t="str">
        <f t="shared" si="84"/>
        <v>CHI</v>
      </c>
      <c r="P2245" s="12" t="str">
        <f t="shared" si="85"/>
        <v>EN_Hy</v>
      </c>
    </row>
    <row r="2246" spans="1:16" x14ac:dyDescent="0.35">
      <c r="A2246" t="s">
        <v>2384</v>
      </c>
      <c r="B2246" t="s">
        <v>71</v>
      </c>
      <c r="C2246" t="s">
        <v>45</v>
      </c>
      <c r="D2246" t="s">
        <v>3162</v>
      </c>
      <c r="E2246" t="s">
        <v>96</v>
      </c>
      <c r="F2246" t="s">
        <v>96</v>
      </c>
      <c r="G2246" t="s">
        <v>96</v>
      </c>
      <c r="H2246">
        <v>2017</v>
      </c>
      <c r="I2246" t="s">
        <v>96</v>
      </c>
      <c r="J2246" t="s">
        <v>97</v>
      </c>
      <c r="K2246" t="s">
        <v>96</v>
      </c>
      <c r="L2246" t="s">
        <v>96</v>
      </c>
      <c r="M2246">
        <v>99999</v>
      </c>
      <c r="O2246" s="12" t="str">
        <f t="shared" si="84"/>
        <v>CHI</v>
      </c>
      <c r="P2246" s="12" t="str">
        <f t="shared" si="85"/>
        <v>EN_RE</v>
      </c>
    </row>
    <row r="2247" spans="1:16" x14ac:dyDescent="0.35">
      <c r="A2247" t="s">
        <v>2384</v>
      </c>
      <c r="B2247" t="s">
        <v>72</v>
      </c>
      <c r="C2247" t="s">
        <v>45</v>
      </c>
      <c r="D2247" t="s">
        <v>2514</v>
      </c>
      <c r="E2247" t="s">
        <v>96</v>
      </c>
      <c r="F2247" t="s">
        <v>96</v>
      </c>
      <c r="G2247" t="s">
        <v>96</v>
      </c>
      <c r="H2247">
        <v>2017</v>
      </c>
      <c r="I2247" t="s">
        <v>96</v>
      </c>
      <c r="J2247" t="s">
        <v>97</v>
      </c>
      <c r="K2247" t="s">
        <v>96</v>
      </c>
      <c r="L2247" t="s">
        <v>96</v>
      </c>
      <c r="M2247">
        <v>2798.586104</v>
      </c>
      <c r="O2247" s="12" t="str">
        <f t="shared" si="84"/>
        <v>CSA</v>
      </c>
      <c r="P2247" s="12" t="str">
        <f t="shared" si="85"/>
        <v>EN_Hy</v>
      </c>
    </row>
    <row r="2248" spans="1:16" x14ac:dyDescent="0.35">
      <c r="A2248" t="s">
        <v>2384</v>
      </c>
      <c r="B2248" t="s">
        <v>72</v>
      </c>
      <c r="C2248" t="s">
        <v>45</v>
      </c>
      <c r="D2248" t="s">
        <v>2515</v>
      </c>
      <c r="E2248" t="s">
        <v>96</v>
      </c>
      <c r="F2248" t="s">
        <v>96</v>
      </c>
      <c r="G2248" t="s">
        <v>96</v>
      </c>
      <c r="H2248">
        <v>2017</v>
      </c>
      <c r="I2248" t="s">
        <v>96</v>
      </c>
      <c r="J2248" t="s">
        <v>97</v>
      </c>
      <c r="K2248" t="s">
        <v>96</v>
      </c>
      <c r="L2248" t="s">
        <v>96</v>
      </c>
      <c r="M2248">
        <v>4434.8367200000002</v>
      </c>
      <c r="O2248" s="12" t="str">
        <f t="shared" si="84"/>
        <v>CSA</v>
      </c>
      <c r="P2248" s="12" t="str">
        <f t="shared" si="85"/>
        <v>EN_Hy</v>
      </c>
    </row>
    <row r="2249" spans="1:16" x14ac:dyDescent="0.35">
      <c r="A2249" t="s">
        <v>2384</v>
      </c>
      <c r="B2249" t="s">
        <v>72</v>
      </c>
      <c r="C2249" t="s">
        <v>45</v>
      </c>
      <c r="D2249" t="s">
        <v>2516</v>
      </c>
      <c r="E2249" t="s">
        <v>96</v>
      </c>
      <c r="F2249" t="s">
        <v>96</v>
      </c>
      <c r="G2249" t="s">
        <v>96</v>
      </c>
      <c r="H2249">
        <v>2017</v>
      </c>
      <c r="I2249" t="s">
        <v>96</v>
      </c>
      <c r="J2249" t="s">
        <v>97</v>
      </c>
      <c r="K2249" t="s">
        <v>96</v>
      </c>
      <c r="L2249" t="s">
        <v>96</v>
      </c>
      <c r="M2249">
        <v>6606.6684800000003</v>
      </c>
      <c r="O2249" s="12" t="str">
        <f t="shared" si="84"/>
        <v>CSA</v>
      </c>
      <c r="P2249" s="12" t="str">
        <f t="shared" si="85"/>
        <v>EN_Hy</v>
      </c>
    </row>
    <row r="2250" spans="1:16" x14ac:dyDescent="0.35">
      <c r="A2250" t="s">
        <v>2384</v>
      </c>
      <c r="B2250" t="s">
        <v>72</v>
      </c>
      <c r="C2250" t="s">
        <v>45</v>
      </c>
      <c r="D2250" t="s">
        <v>2517</v>
      </c>
      <c r="E2250" t="s">
        <v>96</v>
      </c>
      <c r="F2250" t="s">
        <v>96</v>
      </c>
      <c r="G2250" t="s">
        <v>96</v>
      </c>
      <c r="H2250">
        <v>2017</v>
      </c>
      <c r="I2250" t="s">
        <v>96</v>
      </c>
      <c r="J2250" t="s">
        <v>97</v>
      </c>
      <c r="K2250" t="s">
        <v>96</v>
      </c>
      <c r="L2250" t="s">
        <v>96</v>
      </c>
      <c r="M2250">
        <v>1742.3033768</v>
      </c>
      <c r="O2250" s="12" t="str">
        <f t="shared" si="84"/>
        <v>CSA</v>
      </c>
      <c r="P2250" s="12" t="str">
        <f t="shared" si="85"/>
        <v>EN_Hy</v>
      </c>
    </row>
    <row r="2251" spans="1:16" x14ac:dyDescent="0.35">
      <c r="A2251" t="s">
        <v>2384</v>
      </c>
      <c r="B2251" t="s">
        <v>72</v>
      </c>
      <c r="C2251" t="s">
        <v>45</v>
      </c>
      <c r="D2251" t="s">
        <v>2518</v>
      </c>
      <c r="E2251" t="s">
        <v>96</v>
      </c>
      <c r="F2251" t="s">
        <v>96</v>
      </c>
      <c r="G2251" t="s">
        <v>96</v>
      </c>
      <c r="H2251">
        <v>2017</v>
      </c>
      <c r="I2251" t="s">
        <v>96</v>
      </c>
      <c r="J2251" t="s">
        <v>97</v>
      </c>
      <c r="K2251" t="s">
        <v>96</v>
      </c>
      <c r="L2251" t="s">
        <v>96</v>
      </c>
      <c r="M2251">
        <v>3269.3852959999999</v>
      </c>
      <c r="O2251" s="12" t="str">
        <f t="shared" si="84"/>
        <v>CSA</v>
      </c>
      <c r="P2251" s="12" t="str">
        <f t="shared" si="85"/>
        <v>EN_Hy</v>
      </c>
    </row>
    <row r="2252" spans="1:16" x14ac:dyDescent="0.35">
      <c r="A2252" t="s">
        <v>2384</v>
      </c>
      <c r="B2252" t="s">
        <v>72</v>
      </c>
      <c r="C2252" t="s">
        <v>45</v>
      </c>
      <c r="D2252" t="s">
        <v>2519</v>
      </c>
      <c r="E2252" t="s">
        <v>96</v>
      </c>
      <c r="F2252" t="s">
        <v>96</v>
      </c>
      <c r="G2252" t="s">
        <v>96</v>
      </c>
      <c r="H2252">
        <v>2017</v>
      </c>
      <c r="I2252" t="s">
        <v>96</v>
      </c>
      <c r="J2252" t="s">
        <v>97</v>
      </c>
      <c r="K2252" t="s">
        <v>96</v>
      </c>
      <c r="L2252" t="s">
        <v>96</v>
      </c>
      <c r="M2252">
        <v>4759.8582992000001</v>
      </c>
      <c r="O2252" s="12" t="str">
        <f t="shared" si="84"/>
        <v>CSA</v>
      </c>
      <c r="P2252" s="12" t="str">
        <f t="shared" si="85"/>
        <v>EN_Hy</v>
      </c>
    </row>
    <row r="2253" spans="1:16" x14ac:dyDescent="0.35">
      <c r="A2253" t="s">
        <v>2384</v>
      </c>
      <c r="B2253" t="s">
        <v>72</v>
      </c>
      <c r="C2253" t="s">
        <v>45</v>
      </c>
      <c r="D2253" t="s">
        <v>2520</v>
      </c>
      <c r="E2253" t="s">
        <v>96</v>
      </c>
      <c r="F2253" t="s">
        <v>96</v>
      </c>
      <c r="G2253" t="s">
        <v>96</v>
      </c>
      <c r="H2253">
        <v>2017</v>
      </c>
      <c r="I2253" t="s">
        <v>96</v>
      </c>
      <c r="J2253" t="s">
        <v>97</v>
      </c>
      <c r="K2253" t="s">
        <v>96</v>
      </c>
      <c r="L2253" t="s">
        <v>96</v>
      </c>
      <c r="M2253">
        <v>1632.369056</v>
      </c>
      <c r="O2253" s="12" t="str">
        <f t="shared" si="84"/>
        <v>CSA</v>
      </c>
      <c r="P2253" s="12" t="str">
        <f t="shared" si="85"/>
        <v>EN_Hy</v>
      </c>
    </row>
    <row r="2254" spans="1:16" x14ac:dyDescent="0.35">
      <c r="A2254" t="s">
        <v>2384</v>
      </c>
      <c r="B2254" t="s">
        <v>72</v>
      </c>
      <c r="C2254" t="s">
        <v>45</v>
      </c>
      <c r="D2254" t="s">
        <v>2521</v>
      </c>
      <c r="E2254" t="s">
        <v>96</v>
      </c>
      <c r="F2254" t="s">
        <v>96</v>
      </c>
      <c r="G2254" t="s">
        <v>96</v>
      </c>
      <c r="H2254">
        <v>2017</v>
      </c>
      <c r="I2254" t="s">
        <v>96</v>
      </c>
      <c r="J2254" t="s">
        <v>97</v>
      </c>
      <c r="K2254" t="s">
        <v>96</v>
      </c>
      <c r="L2254" t="s">
        <v>96</v>
      </c>
      <c r="M2254">
        <v>3491.2270400000002</v>
      </c>
      <c r="O2254" s="12" t="str">
        <f t="shared" si="84"/>
        <v>CSA</v>
      </c>
      <c r="P2254" s="12" t="str">
        <f t="shared" si="85"/>
        <v>EN_Hy</v>
      </c>
    </row>
    <row r="2255" spans="1:16" x14ac:dyDescent="0.35">
      <c r="A2255" t="s">
        <v>2384</v>
      </c>
      <c r="B2255" t="s">
        <v>72</v>
      </c>
      <c r="C2255" t="s">
        <v>45</v>
      </c>
      <c r="D2255" t="s">
        <v>2522</v>
      </c>
      <c r="E2255" t="s">
        <v>96</v>
      </c>
      <c r="F2255" t="s">
        <v>96</v>
      </c>
      <c r="G2255" t="s">
        <v>96</v>
      </c>
      <c r="H2255">
        <v>2017</v>
      </c>
      <c r="I2255" t="s">
        <v>96</v>
      </c>
      <c r="J2255" t="s">
        <v>97</v>
      </c>
      <c r="K2255" t="s">
        <v>96</v>
      </c>
      <c r="L2255" t="s">
        <v>96</v>
      </c>
      <c r="M2255">
        <v>4577.3268799999996</v>
      </c>
      <c r="O2255" s="12" t="str">
        <f t="shared" si="84"/>
        <v>CSA</v>
      </c>
      <c r="P2255" s="12" t="str">
        <f t="shared" si="85"/>
        <v>EN_Hy</v>
      </c>
    </row>
    <row r="2256" spans="1:16" x14ac:dyDescent="0.35">
      <c r="A2256" t="s">
        <v>2384</v>
      </c>
      <c r="B2256" t="s">
        <v>72</v>
      </c>
      <c r="C2256" t="s">
        <v>45</v>
      </c>
      <c r="D2256" t="s">
        <v>2526</v>
      </c>
      <c r="E2256" t="s">
        <v>96</v>
      </c>
      <c r="F2256" t="s">
        <v>96</v>
      </c>
      <c r="G2256" t="s">
        <v>96</v>
      </c>
      <c r="H2256">
        <v>2017</v>
      </c>
      <c r="I2256" t="s">
        <v>96</v>
      </c>
      <c r="J2256" t="s">
        <v>97</v>
      </c>
      <c r="K2256" t="s">
        <v>96</v>
      </c>
      <c r="L2256" t="s">
        <v>96</v>
      </c>
      <c r="M2256">
        <v>1742.3033768</v>
      </c>
      <c r="O2256" s="12" t="str">
        <f t="shared" si="84"/>
        <v>CSA</v>
      </c>
      <c r="P2256" s="12" t="str">
        <f t="shared" si="85"/>
        <v>EN_Hy</v>
      </c>
    </row>
    <row r="2257" spans="1:16" x14ac:dyDescent="0.35">
      <c r="A2257" t="s">
        <v>2384</v>
      </c>
      <c r="B2257" t="s">
        <v>72</v>
      </c>
      <c r="C2257" t="s">
        <v>45</v>
      </c>
      <c r="D2257" t="s">
        <v>2527</v>
      </c>
      <c r="E2257" t="s">
        <v>96</v>
      </c>
      <c r="F2257" t="s">
        <v>96</v>
      </c>
      <c r="G2257" t="s">
        <v>96</v>
      </c>
      <c r="H2257">
        <v>2017</v>
      </c>
      <c r="I2257" t="s">
        <v>96</v>
      </c>
      <c r="J2257" t="s">
        <v>97</v>
      </c>
      <c r="K2257" t="s">
        <v>96</v>
      </c>
      <c r="L2257" t="s">
        <v>96</v>
      </c>
      <c r="M2257">
        <v>3269.3852959999999</v>
      </c>
      <c r="O2257" s="12" t="str">
        <f t="shared" si="84"/>
        <v>CSA</v>
      </c>
      <c r="P2257" s="12" t="str">
        <f t="shared" si="85"/>
        <v>EN_Hy</v>
      </c>
    </row>
    <row r="2258" spans="1:16" x14ac:dyDescent="0.35">
      <c r="A2258" t="s">
        <v>2384</v>
      </c>
      <c r="B2258" t="s">
        <v>72</v>
      </c>
      <c r="C2258" t="s">
        <v>45</v>
      </c>
      <c r="D2258" t="s">
        <v>2528</v>
      </c>
      <c r="E2258" t="s">
        <v>96</v>
      </c>
      <c r="F2258" t="s">
        <v>96</v>
      </c>
      <c r="G2258" t="s">
        <v>96</v>
      </c>
      <c r="H2258">
        <v>2017</v>
      </c>
      <c r="I2258" t="s">
        <v>96</v>
      </c>
      <c r="J2258" t="s">
        <v>97</v>
      </c>
      <c r="K2258" t="s">
        <v>96</v>
      </c>
      <c r="L2258" t="s">
        <v>96</v>
      </c>
      <c r="M2258">
        <v>4759.8582992000001</v>
      </c>
      <c r="O2258" s="12" t="str">
        <f t="shared" si="84"/>
        <v>CSA</v>
      </c>
      <c r="P2258" s="12" t="str">
        <f t="shared" si="85"/>
        <v>EN_Hy</v>
      </c>
    </row>
    <row r="2259" spans="1:16" x14ac:dyDescent="0.35">
      <c r="A2259" t="s">
        <v>2384</v>
      </c>
      <c r="B2259" t="s">
        <v>72</v>
      </c>
      <c r="C2259" t="s">
        <v>45</v>
      </c>
      <c r="D2259" t="s">
        <v>2529</v>
      </c>
      <c r="E2259" t="s">
        <v>96</v>
      </c>
      <c r="F2259" t="s">
        <v>96</v>
      </c>
      <c r="G2259" t="s">
        <v>96</v>
      </c>
      <c r="H2259">
        <v>2017</v>
      </c>
      <c r="I2259" t="s">
        <v>96</v>
      </c>
      <c r="J2259" t="s">
        <v>97</v>
      </c>
      <c r="K2259" t="s">
        <v>96</v>
      </c>
      <c r="L2259" t="s">
        <v>96</v>
      </c>
      <c r="M2259">
        <v>1742.3033768</v>
      </c>
      <c r="O2259" s="12" t="str">
        <f t="shared" si="84"/>
        <v>CSA</v>
      </c>
      <c r="P2259" s="12" t="str">
        <f t="shared" si="85"/>
        <v>EN_Hy</v>
      </c>
    </row>
    <row r="2260" spans="1:16" x14ac:dyDescent="0.35">
      <c r="A2260" t="s">
        <v>2384</v>
      </c>
      <c r="B2260" t="s">
        <v>72</v>
      </c>
      <c r="C2260" t="s">
        <v>45</v>
      </c>
      <c r="D2260" t="s">
        <v>2530</v>
      </c>
      <c r="E2260" t="s">
        <v>96</v>
      </c>
      <c r="F2260" t="s">
        <v>96</v>
      </c>
      <c r="G2260" t="s">
        <v>96</v>
      </c>
      <c r="H2260">
        <v>2017</v>
      </c>
      <c r="I2260" t="s">
        <v>96</v>
      </c>
      <c r="J2260" t="s">
        <v>97</v>
      </c>
      <c r="K2260" t="s">
        <v>96</v>
      </c>
      <c r="L2260" t="s">
        <v>96</v>
      </c>
      <c r="M2260">
        <v>3269.3852959999999</v>
      </c>
      <c r="O2260" s="12" t="str">
        <f t="shared" si="84"/>
        <v>CSA</v>
      </c>
      <c r="P2260" s="12" t="str">
        <f t="shared" si="85"/>
        <v>EN_Hy</v>
      </c>
    </row>
    <row r="2261" spans="1:16" x14ac:dyDescent="0.35">
      <c r="A2261" t="s">
        <v>2384</v>
      </c>
      <c r="B2261" t="s">
        <v>72</v>
      </c>
      <c r="C2261" t="s">
        <v>45</v>
      </c>
      <c r="D2261" t="s">
        <v>2531</v>
      </c>
      <c r="E2261" t="s">
        <v>96</v>
      </c>
      <c r="F2261" t="s">
        <v>96</v>
      </c>
      <c r="G2261" t="s">
        <v>96</v>
      </c>
      <c r="H2261">
        <v>2017</v>
      </c>
      <c r="I2261" t="s">
        <v>96</v>
      </c>
      <c r="J2261" t="s">
        <v>97</v>
      </c>
      <c r="K2261" t="s">
        <v>96</v>
      </c>
      <c r="L2261" t="s">
        <v>96</v>
      </c>
      <c r="M2261">
        <v>4759.8582992000001</v>
      </c>
      <c r="O2261" s="12" t="str">
        <f t="shared" si="84"/>
        <v>CSA</v>
      </c>
      <c r="P2261" s="12" t="str">
        <f t="shared" si="85"/>
        <v>EN_Hy</v>
      </c>
    </row>
    <row r="2262" spans="1:16" x14ac:dyDescent="0.35">
      <c r="A2262" t="s">
        <v>2384</v>
      </c>
      <c r="B2262" t="s">
        <v>72</v>
      </c>
      <c r="C2262" t="s">
        <v>45</v>
      </c>
      <c r="D2262" t="s">
        <v>2532</v>
      </c>
      <c r="E2262" t="s">
        <v>96</v>
      </c>
      <c r="F2262" t="s">
        <v>96</v>
      </c>
      <c r="G2262" t="s">
        <v>96</v>
      </c>
      <c r="H2262">
        <v>2017</v>
      </c>
      <c r="I2262" t="s">
        <v>96</v>
      </c>
      <c r="J2262" t="s">
        <v>97</v>
      </c>
      <c r="K2262" t="s">
        <v>96</v>
      </c>
      <c r="L2262" t="s">
        <v>96</v>
      </c>
      <c r="M2262">
        <v>1742.3033768</v>
      </c>
      <c r="O2262" s="12" t="str">
        <f t="shared" si="84"/>
        <v>CSA</v>
      </c>
      <c r="P2262" s="12" t="str">
        <f t="shared" si="85"/>
        <v>EN_Hy</v>
      </c>
    </row>
    <row r="2263" spans="1:16" x14ac:dyDescent="0.35">
      <c r="A2263" t="s">
        <v>2384</v>
      </c>
      <c r="B2263" t="s">
        <v>72</v>
      </c>
      <c r="C2263" t="s">
        <v>45</v>
      </c>
      <c r="D2263" t="s">
        <v>2533</v>
      </c>
      <c r="E2263" t="s">
        <v>96</v>
      </c>
      <c r="F2263" t="s">
        <v>96</v>
      </c>
      <c r="G2263" t="s">
        <v>96</v>
      </c>
      <c r="H2263">
        <v>2017</v>
      </c>
      <c r="I2263" t="s">
        <v>96</v>
      </c>
      <c r="J2263" t="s">
        <v>97</v>
      </c>
      <c r="K2263" t="s">
        <v>96</v>
      </c>
      <c r="L2263" t="s">
        <v>96</v>
      </c>
      <c r="M2263">
        <v>3269.3852959999999</v>
      </c>
      <c r="O2263" s="12" t="str">
        <f t="shared" si="84"/>
        <v>CSA</v>
      </c>
      <c r="P2263" s="12" t="str">
        <f t="shared" si="85"/>
        <v>EN_Hy</v>
      </c>
    </row>
    <row r="2264" spans="1:16" x14ac:dyDescent="0.35">
      <c r="A2264" t="s">
        <v>2384</v>
      </c>
      <c r="B2264" t="s">
        <v>72</v>
      </c>
      <c r="C2264" t="s">
        <v>45</v>
      </c>
      <c r="D2264" t="s">
        <v>2534</v>
      </c>
      <c r="E2264" t="s">
        <v>96</v>
      </c>
      <c r="F2264" t="s">
        <v>96</v>
      </c>
      <c r="G2264" t="s">
        <v>96</v>
      </c>
      <c r="H2264">
        <v>2017</v>
      </c>
      <c r="I2264" t="s">
        <v>96</v>
      </c>
      <c r="J2264" t="s">
        <v>97</v>
      </c>
      <c r="K2264" t="s">
        <v>96</v>
      </c>
      <c r="L2264" t="s">
        <v>96</v>
      </c>
      <c r="M2264">
        <v>4759.8582992000001</v>
      </c>
      <c r="O2264" s="12" t="str">
        <f t="shared" si="84"/>
        <v>CSA</v>
      </c>
      <c r="P2264" s="12" t="str">
        <f t="shared" si="85"/>
        <v>EN_Hy</v>
      </c>
    </row>
    <row r="2265" spans="1:16" x14ac:dyDescent="0.35">
      <c r="A2265" t="s">
        <v>2384</v>
      </c>
      <c r="B2265" t="s">
        <v>72</v>
      </c>
      <c r="C2265" t="s">
        <v>45</v>
      </c>
      <c r="D2265" t="s">
        <v>2535</v>
      </c>
      <c r="E2265" t="s">
        <v>96</v>
      </c>
      <c r="F2265" t="s">
        <v>96</v>
      </c>
      <c r="G2265" t="s">
        <v>96</v>
      </c>
      <c r="H2265">
        <v>2017</v>
      </c>
      <c r="I2265" t="s">
        <v>96</v>
      </c>
      <c r="J2265" t="s">
        <v>97</v>
      </c>
      <c r="K2265" t="s">
        <v>96</v>
      </c>
      <c r="L2265" t="s">
        <v>96</v>
      </c>
      <c r="M2265">
        <v>1742.3033768</v>
      </c>
      <c r="O2265" s="12" t="str">
        <f t="shared" si="84"/>
        <v>CSA</v>
      </c>
      <c r="P2265" s="12" t="str">
        <f t="shared" si="85"/>
        <v>EN_Hy</v>
      </c>
    </row>
    <row r="2266" spans="1:16" x14ac:dyDescent="0.35">
      <c r="A2266" t="s">
        <v>2384</v>
      </c>
      <c r="B2266" t="s">
        <v>72</v>
      </c>
      <c r="C2266" t="s">
        <v>45</v>
      </c>
      <c r="D2266" t="s">
        <v>2536</v>
      </c>
      <c r="E2266" t="s">
        <v>96</v>
      </c>
      <c r="F2266" t="s">
        <v>96</v>
      </c>
      <c r="G2266" t="s">
        <v>96</v>
      </c>
      <c r="H2266">
        <v>2017</v>
      </c>
      <c r="I2266" t="s">
        <v>96</v>
      </c>
      <c r="J2266" t="s">
        <v>97</v>
      </c>
      <c r="K2266" t="s">
        <v>96</v>
      </c>
      <c r="L2266" t="s">
        <v>96</v>
      </c>
      <c r="M2266">
        <v>3269.3852959999999</v>
      </c>
      <c r="O2266" s="12" t="str">
        <f t="shared" si="84"/>
        <v>CSA</v>
      </c>
      <c r="P2266" s="12" t="str">
        <f t="shared" si="85"/>
        <v>EN_Hy</v>
      </c>
    </row>
    <row r="2267" spans="1:16" x14ac:dyDescent="0.35">
      <c r="A2267" t="s">
        <v>2384</v>
      </c>
      <c r="B2267" t="s">
        <v>72</v>
      </c>
      <c r="C2267" t="s">
        <v>45</v>
      </c>
      <c r="D2267" t="s">
        <v>2537</v>
      </c>
      <c r="E2267" t="s">
        <v>96</v>
      </c>
      <c r="F2267" t="s">
        <v>96</v>
      </c>
      <c r="G2267" t="s">
        <v>96</v>
      </c>
      <c r="H2267">
        <v>2017</v>
      </c>
      <c r="I2267" t="s">
        <v>96</v>
      </c>
      <c r="J2267" t="s">
        <v>97</v>
      </c>
      <c r="K2267" t="s">
        <v>96</v>
      </c>
      <c r="L2267" t="s">
        <v>96</v>
      </c>
      <c r="M2267">
        <v>4759.8582992000001</v>
      </c>
      <c r="O2267" s="12" t="str">
        <f t="shared" si="84"/>
        <v>CSA</v>
      </c>
      <c r="P2267" s="12" t="str">
        <f t="shared" si="85"/>
        <v>EN_Hy</v>
      </c>
    </row>
    <row r="2268" spans="1:16" x14ac:dyDescent="0.35">
      <c r="A2268" t="s">
        <v>2384</v>
      </c>
      <c r="B2268" t="s">
        <v>72</v>
      </c>
      <c r="C2268" t="s">
        <v>45</v>
      </c>
      <c r="D2268" t="s">
        <v>2538</v>
      </c>
      <c r="E2268" t="s">
        <v>96</v>
      </c>
      <c r="F2268" t="s">
        <v>96</v>
      </c>
      <c r="G2268" t="s">
        <v>96</v>
      </c>
      <c r="H2268">
        <v>2017</v>
      </c>
      <c r="I2268" t="s">
        <v>96</v>
      </c>
      <c r="J2268" t="s">
        <v>97</v>
      </c>
      <c r="K2268" t="s">
        <v>96</v>
      </c>
      <c r="L2268" t="s">
        <v>96</v>
      </c>
      <c r="M2268">
        <v>1742.3033768</v>
      </c>
      <c r="O2268" s="12" t="str">
        <f t="shared" si="84"/>
        <v>CSA</v>
      </c>
      <c r="P2268" s="12" t="str">
        <f t="shared" si="85"/>
        <v>EN_Hy</v>
      </c>
    </row>
    <row r="2269" spans="1:16" x14ac:dyDescent="0.35">
      <c r="A2269" t="s">
        <v>2384</v>
      </c>
      <c r="B2269" t="s">
        <v>72</v>
      </c>
      <c r="C2269" t="s">
        <v>45</v>
      </c>
      <c r="D2269" t="s">
        <v>2539</v>
      </c>
      <c r="E2269" t="s">
        <v>96</v>
      </c>
      <c r="F2269" t="s">
        <v>96</v>
      </c>
      <c r="G2269" t="s">
        <v>96</v>
      </c>
      <c r="H2269">
        <v>2017</v>
      </c>
      <c r="I2269" t="s">
        <v>96</v>
      </c>
      <c r="J2269" t="s">
        <v>97</v>
      </c>
      <c r="K2269" t="s">
        <v>96</v>
      </c>
      <c r="L2269" t="s">
        <v>96</v>
      </c>
      <c r="M2269">
        <v>3269.3852959999999</v>
      </c>
      <c r="O2269" s="12" t="str">
        <f t="shared" si="84"/>
        <v>CSA</v>
      </c>
      <c r="P2269" s="12" t="str">
        <f t="shared" si="85"/>
        <v>EN_Hy</v>
      </c>
    </row>
    <row r="2270" spans="1:16" x14ac:dyDescent="0.35">
      <c r="A2270" t="s">
        <v>2384</v>
      </c>
      <c r="B2270" t="s">
        <v>72</v>
      </c>
      <c r="C2270" t="s">
        <v>45</v>
      </c>
      <c r="D2270" t="s">
        <v>2540</v>
      </c>
      <c r="E2270" t="s">
        <v>96</v>
      </c>
      <c r="F2270" t="s">
        <v>96</v>
      </c>
      <c r="G2270" t="s">
        <v>96</v>
      </c>
      <c r="H2270">
        <v>2017</v>
      </c>
      <c r="I2270" t="s">
        <v>96</v>
      </c>
      <c r="J2270" t="s">
        <v>97</v>
      </c>
      <c r="K2270" t="s">
        <v>96</v>
      </c>
      <c r="L2270" t="s">
        <v>96</v>
      </c>
      <c r="M2270">
        <v>4759.8582992000001</v>
      </c>
      <c r="O2270" s="12" t="str">
        <f t="shared" si="84"/>
        <v>CSA</v>
      </c>
      <c r="P2270" s="12" t="str">
        <f t="shared" si="85"/>
        <v>EN_Hy</v>
      </c>
    </row>
    <row r="2271" spans="1:16" x14ac:dyDescent="0.35">
      <c r="A2271" t="s">
        <v>2384</v>
      </c>
      <c r="B2271" t="s">
        <v>72</v>
      </c>
      <c r="C2271" t="s">
        <v>45</v>
      </c>
      <c r="D2271" t="s">
        <v>2541</v>
      </c>
      <c r="E2271" t="s">
        <v>96</v>
      </c>
      <c r="F2271" t="s">
        <v>96</v>
      </c>
      <c r="G2271" t="s">
        <v>96</v>
      </c>
      <c r="H2271">
        <v>2017</v>
      </c>
      <c r="I2271" t="s">
        <v>96</v>
      </c>
      <c r="J2271" t="s">
        <v>97</v>
      </c>
      <c r="K2271" t="s">
        <v>96</v>
      </c>
      <c r="L2271" t="s">
        <v>96</v>
      </c>
      <c r="M2271">
        <v>1742.3033768</v>
      </c>
      <c r="O2271" s="12" t="str">
        <f t="shared" si="84"/>
        <v>CSA</v>
      </c>
      <c r="P2271" s="12" t="str">
        <f t="shared" si="85"/>
        <v>EN_Hy</v>
      </c>
    </row>
    <row r="2272" spans="1:16" x14ac:dyDescent="0.35">
      <c r="A2272" t="s">
        <v>2384</v>
      </c>
      <c r="B2272" t="s">
        <v>72</v>
      </c>
      <c r="C2272" t="s">
        <v>45</v>
      </c>
      <c r="D2272" t="s">
        <v>2542</v>
      </c>
      <c r="E2272" t="s">
        <v>96</v>
      </c>
      <c r="F2272" t="s">
        <v>96</v>
      </c>
      <c r="G2272" t="s">
        <v>96</v>
      </c>
      <c r="H2272">
        <v>2017</v>
      </c>
      <c r="I2272" t="s">
        <v>96</v>
      </c>
      <c r="J2272" t="s">
        <v>97</v>
      </c>
      <c r="K2272" t="s">
        <v>96</v>
      </c>
      <c r="L2272" t="s">
        <v>96</v>
      </c>
      <c r="M2272">
        <v>3269.3852959999999</v>
      </c>
      <c r="O2272" s="12" t="str">
        <f t="shared" si="84"/>
        <v>CSA</v>
      </c>
      <c r="P2272" s="12" t="str">
        <f t="shared" si="85"/>
        <v>EN_Hy</v>
      </c>
    </row>
    <row r="2273" spans="1:16" x14ac:dyDescent="0.35">
      <c r="A2273" t="s">
        <v>2384</v>
      </c>
      <c r="B2273" t="s">
        <v>72</v>
      </c>
      <c r="C2273" t="s">
        <v>45</v>
      </c>
      <c r="D2273" t="s">
        <v>2543</v>
      </c>
      <c r="E2273" t="s">
        <v>96</v>
      </c>
      <c r="F2273" t="s">
        <v>96</v>
      </c>
      <c r="G2273" t="s">
        <v>96</v>
      </c>
      <c r="H2273">
        <v>2017</v>
      </c>
      <c r="I2273" t="s">
        <v>96</v>
      </c>
      <c r="J2273" t="s">
        <v>97</v>
      </c>
      <c r="K2273" t="s">
        <v>96</v>
      </c>
      <c r="L2273" t="s">
        <v>96</v>
      </c>
      <c r="M2273">
        <v>4759.8582992000001</v>
      </c>
      <c r="O2273" s="12" t="str">
        <f t="shared" si="84"/>
        <v>CSA</v>
      </c>
      <c r="P2273" s="12" t="str">
        <f t="shared" si="85"/>
        <v>EN_Hy</v>
      </c>
    </row>
    <row r="2274" spans="1:16" x14ac:dyDescent="0.35">
      <c r="A2274" t="s">
        <v>2384</v>
      </c>
      <c r="B2274" t="s">
        <v>72</v>
      </c>
      <c r="C2274" t="s">
        <v>45</v>
      </c>
      <c r="D2274" t="s">
        <v>2544</v>
      </c>
      <c r="E2274" t="s">
        <v>96</v>
      </c>
      <c r="F2274" t="s">
        <v>96</v>
      </c>
      <c r="G2274" t="s">
        <v>96</v>
      </c>
      <c r="H2274">
        <v>2017</v>
      </c>
      <c r="I2274" t="s">
        <v>96</v>
      </c>
      <c r="J2274" t="s">
        <v>97</v>
      </c>
      <c r="K2274" t="s">
        <v>96</v>
      </c>
      <c r="L2274" t="s">
        <v>96</v>
      </c>
      <c r="M2274">
        <v>1742.3033768</v>
      </c>
      <c r="O2274" s="12" t="str">
        <f t="shared" si="84"/>
        <v>CSA</v>
      </c>
      <c r="P2274" s="12" t="str">
        <f t="shared" si="85"/>
        <v>EN_Hy</v>
      </c>
    </row>
    <row r="2275" spans="1:16" x14ac:dyDescent="0.35">
      <c r="A2275" t="s">
        <v>2384</v>
      </c>
      <c r="B2275" t="s">
        <v>72</v>
      </c>
      <c r="C2275" t="s">
        <v>45</v>
      </c>
      <c r="D2275" t="s">
        <v>2545</v>
      </c>
      <c r="E2275" t="s">
        <v>96</v>
      </c>
      <c r="F2275" t="s">
        <v>96</v>
      </c>
      <c r="G2275" t="s">
        <v>96</v>
      </c>
      <c r="H2275">
        <v>2017</v>
      </c>
      <c r="I2275" t="s">
        <v>96</v>
      </c>
      <c r="J2275" t="s">
        <v>97</v>
      </c>
      <c r="K2275" t="s">
        <v>96</v>
      </c>
      <c r="L2275" t="s">
        <v>96</v>
      </c>
      <c r="M2275">
        <v>3269.3852959999999</v>
      </c>
      <c r="O2275" s="12" t="str">
        <f t="shared" si="84"/>
        <v>CSA</v>
      </c>
      <c r="P2275" s="12" t="str">
        <f t="shared" si="85"/>
        <v>EN_Hy</v>
      </c>
    </row>
    <row r="2276" spans="1:16" x14ac:dyDescent="0.35">
      <c r="A2276" t="s">
        <v>2384</v>
      </c>
      <c r="B2276" t="s">
        <v>72</v>
      </c>
      <c r="C2276" t="s">
        <v>45</v>
      </c>
      <c r="D2276" t="s">
        <v>2546</v>
      </c>
      <c r="E2276" t="s">
        <v>96</v>
      </c>
      <c r="F2276" t="s">
        <v>96</v>
      </c>
      <c r="G2276" t="s">
        <v>96</v>
      </c>
      <c r="H2276">
        <v>2017</v>
      </c>
      <c r="I2276" t="s">
        <v>96</v>
      </c>
      <c r="J2276" t="s">
        <v>97</v>
      </c>
      <c r="K2276" t="s">
        <v>96</v>
      </c>
      <c r="L2276" t="s">
        <v>96</v>
      </c>
      <c r="M2276">
        <v>4759.8582992000001</v>
      </c>
      <c r="O2276" s="12" t="str">
        <f t="shared" si="84"/>
        <v>CSA</v>
      </c>
      <c r="P2276" s="12" t="str">
        <f t="shared" si="85"/>
        <v>EN_Hy</v>
      </c>
    </row>
    <row r="2277" spans="1:16" x14ac:dyDescent="0.35">
      <c r="A2277" t="s">
        <v>2384</v>
      </c>
      <c r="B2277" t="s">
        <v>72</v>
      </c>
      <c r="C2277" t="s">
        <v>45</v>
      </c>
      <c r="D2277" t="s">
        <v>2547</v>
      </c>
      <c r="E2277" t="s">
        <v>96</v>
      </c>
      <c r="F2277" t="s">
        <v>96</v>
      </c>
      <c r="G2277" t="s">
        <v>96</v>
      </c>
      <c r="H2277">
        <v>2017</v>
      </c>
      <c r="I2277" t="s">
        <v>96</v>
      </c>
      <c r="J2277" t="s">
        <v>97</v>
      </c>
      <c r="K2277" t="s">
        <v>96</v>
      </c>
      <c r="L2277" t="s">
        <v>96</v>
      </c>
      <c r="M2277">
        <v>1742.3033768</v>
      </c>
      <c r="O2277" s="12" t="str">
        <f t="shared" si="84"/>
        <v>CSA</v>
      </c>
      <c r="P2277" s="12" t="str">
        <f t="shared" si="85"/>
        <v>EN_Hy</v>
      </c>
    </row>
    <row r="2278" spans="1:16" x14ac:dyDescent="0.35">
      <c r="A2278" t="s">
        <v>2384</v>
      </c>
      <c r="B2278" t="s">
        <v>72</v>
      </c>
      <c r="C2278" t="s">
        <v>45</v>
      </c>
      <c r="D2278" t="s">
        <v>2548</v>
      </c>
      <c r="E2278" t="s">
        <v>96</v>
      </c>
      <c r="F2278" t="s">
        <v>96</v>
      </c>
      <c r="G2278" t="s">
        <v>96</v>
      </c>
      <c r="H2278">
        <v>2017</v>
      </c>
      <c r="I2278" t="s">
        <v>96</v>
      </c>
      <c r="J2278" t="s">
        <v>97</v>
      </c>
      <c r="K2278" t="s">
        <v>96</v>
      </c>
      <c r="L2278" t="s">
        <v>96</v>
      </c>
      <c r="M2278">
        <v>3269.3852959999999</v>
      </c>
      <c r="O2278" s="12" t="str">
        <f t="shared" si="84"/>
        <v>CSA</v>
      </c>
      <c r="P2278" s="12" t="str">
        <f t="shared" si="85"/>
        <v>EN_Hy</v>
      </c>
    </row>
    <row r="2279" spans="1:16" x14ac:dyDescent="0.35">
      <c r="A2279" t="s">
        <v>2384</v>
      </c>
      <c r="B2279" t="s">
        <v>72</v>
      </c>
      <c r="C2279" t="s">
        <v>45</v>
      </c>
      <c r="D2279" t="s">
        <v>2549</v>
      </c>
      <c r="E2279" t="s">
        <v>96</v>
      </c>
      <c r="F2279" t="s">
        <v>96</v>
      </c>
      <c r="G2279" t="s">
        <v>96</v>
      </c>
      <c r="H2279">
        <v>2017</v>
      </c>
      <c r="I2279" t="s">
        <v>96</v>
      </c>
      <c r="J2279" t="s">
        <v>97</v>
      </c>
      <c r="K2279" t="s">
        <v>96</v>
      </c>
      <c r="L2279" t="s">
        <v>96</v>
      </c>
      <c r="M2279">
        <v>4759.8582992000001</v>
      </c>
      <c r="O2279" s="12" t="str">
        <f t="shared" si="84"/>
        <v>CSA</v>
      </c>
      <c r="P2279" s="12" t="str">
        <f t="shared" si="85"/>
        <v>EN_Hy</v>
      </c>
    </row>
    <row r="2280" spans="1:16" x14ac:dyDescent="0.35">
      <c r="A2280" t="s">
        <v>2384</v>
      </c>
      <c r="B2280" t="s">
        <v>72</v>
      </c>
      <c r="C2280" t="s">
        <v>45</v>
      </c>
      <c r="D2280" t="s">
        <v>2550</v>
      </c>
      <c r="E2280" t="s">
        <v>96</v>
      </c>
      <c r="F2280" t="s">
        <v>96</v>
      </c>
      <c r="G2280" t="s">
        <v>96</v>
      </c>
      <c r="H2280">
        <v>2017</v>
      </c>
      <c r="I2280" t="s">
        <v>96</v>
      </c>
      <c r="J2280" t="s">
        <v>97</v>
      </c>
      <c r="K2280" t="s">
        <v>96</v>
      </c>
      <c r="L2280" t="s">
        <v>96</v>
      </c>
      <c r="M2280">
        <v>1742.3033768</v>
      </c>
      <c r="O2280" s="12" t="str">
        <f t="shared" si="84"/>
        <v>CSA</v>
      </c>
      <c r="P2280" s="12" t="str">
        <f t="shared" si="85"/>
        <v>EN_Hy</v>
      </c>
    </row>
    <row r="2281" spans="1:16" x14ac:dyDescent="0.35">
      <c r="A2281" t="s">
        <v>2384</v>
      </c>
      <c r="B2281" t="s">
        <v>72</v>
      </c>
      <c r="C2281" t="s">
        <v>45</v>
      </c>
      <c r="D2281" t="s">
        <v>2551</v>
      </c>
      <c r="E2281" t="s">
        <v>96</v>
      </c>
      <c r="F2281" t="s">
        <v>96</v>
      </c>
      <c r="G2281" t="s">
        <v>96</v>
      </c>
      <c r="H2281">
        <v>2017</v>
      </c>
      <c r="I2281" t="s">
        <v>96</v>
      </c>
      <c r="J2281" t="s">
        <v>97</v>
      </c>
      <c r="K2281" t="s">
        <v>96</v>
      </c>
      <c r="L2281" t="s">
        <v>96</v>
      </c>
      <c r="M2281">
        <v>3269.3852959999999</v>
      </c>
      <c r="O2281" s="12" t="str">
        <f t="shared" si="84"/>
        <v>CSA</v>
      </c>
      <c r="P2281" s="12" t="str">
        <f t="shared" si="85"/>
        <v>EN_Hy</v>
      </c>
    </row>
    <row r="2282" spans="1:16" x14ac:dyDescent="0.35">
      <c r="A2282" t="s">
        <v>2384</v>
      </c>
      <c r="B2282" t="s">
        <v>72</v>
      </c>
      <c r="C2282" t="s">
        <v>45</v>
      </c>
      <c r="D2282" t="s">
        <v>2552</v>
      </c>
      <c r="E2282" t="s">
        <v>96</v>
      </c>
      <c r="F2282" t="s">
        <v>96</v>
      </c>
      <c r="G2282" t="s">
        <v>96</v>
      </c>
      <c r="H2282">
        <v>2017</v>
      </c>
      <c r="I2282" t="s">
        <v>96</v>
      </c>
      <c r="J2282" t="s">
        <v>97</v>
      </c>
      <c r="K2282" t="s">
        <v>96</v>
      </c>
      <c r="L2282" t="s">
        <v>96</v>
      </c>
      <c r="M2282">
        <v>4759.8582992000001</v>
      </c>
      <c r="O2282" s="12" t="str">
        <f t="shared" si="84"/>
        <v>CSA</v>
      </c>
      <c r="P2282" s="12" t="str">
        <f t="shared" si="85"/>
        <v>EN_Hy</v>
      </c>
    </row>
    <row r="2283" spans="1:16" x14ac:dyDescent="0.35">
      <c r="A2283" t="s">
        <v>2384</v>
      </c>
      <c r="B2283" t="s">
        <v>72</v>
      </c>
      <c r="C2283" t="s">
        <v>45</v>
      </c>
      <c r="D2283" t="s">
        <v>2553</v>
      </c>
      <c r="E2283" t="s">
        <v>96</v>
      </c>
      <c r="F2283" t="s">
        <v>96</v>
      </c>
      <c r="G2283" t="s">
        <v>96</v>
      </c>
      <c r="H2283">
        <v>2017</v>
      </c>
      <c r="I2283" t="s">
        <v>96</v>
      </c>
      <c r="J2283" t="s">
        <v>97</v>
      </c>
      <c r="K2283" t="s">
        <v>96</v>
      </c>
      <c r="L2283" t="s">
        <v>96</v>
      </c>
      <c r="M2283">
        <v>1742.3033768</v>
      </c>
      <c r="O2283" s="12" t="str">
        <f t="shared" si="84"/>
        <v>CSA</v>
      </c>
      <c r="P2283" s="12" t="str">
        <f t="shared" si="85"/>
        <v>EN_Hy</v>
      </c>
    </row>
    <row r="2284" spans="1:16" x14ac:dyDescent="0.35">
      <c r="A2284" t="s">
        <v>2384</v>
      </c>
      <c r="B2284" t="s">
        <v>72</v>
      </c>
      <c r="C2284" t="s">
        <v>45</v>
      </c>
      <c r="D2284" t="s">
        <v>2554</v>
      </c>
      <c r="E2284" t="s">
        <v>96</v>
      </c>
      <c r="F2284" t="s">
        <v>96</v>
      </c>
      <c r="G2284" t="s">
        <v>96</v>
      </c>
      <c r="H2284">
        <v>2017</v>
      </c>
      <c r="I2284" t="s">
        <v>96</v>
      </c>
      <c r="J2284" t="s">
        <v>97</v>
      </c>
      <c r="K2284" t="s">
        <v>96</v>
      </c>
      <c r="L2284" t="s">
        <v>96</v>
      </c>
      <c r="M2284">
        <v>3269.3852959999999</v>
      </c>
      <c r="O2284" s="12" t="str">
        <f t="shared" si="84"/>
        <v>CSA</v>
      </c>
      <c r="P2284" s="12" t="str">
        <f t="shared" si="85"/>
        <v>EN_Hy</v>
      </c>
    </row>
    <row r="2285" spans="1:16" x14ac:dyDescent="0.35">
      <c r="A2285" t="s">
        <v>2384</v>
      </c>
      <c r="B2285" t="s">
        <v>72</v>
      </c>
      <c r="C2285" t="s">
        <v>45</v>
      </c>
      <c r="D2285" t="s">
        <v>2555</v>
      </c>
      <c r="E2285" t="s">
        <v>96</v>
      </c>
      <c r="F2285" t="s">
        <v>96</v>
      </c>
      <c r="G2285" t="s">
        <v>96</v>
      </c>
      <c r="H2285">
        <v>2017</v>
      </c>
      <c r="I2285" t="s">
        <v>96</v>
      </c>
      <c r="J2285" t="s">
        <v>97</v>
      </c>
      <c r="K2285" t="s">
        <v>96</v>
      </c>
      <c r="L2285" t="s">
        <v>96</v>
      </c>
      <c r="M2285">
        <v>4759.8582992000001</v>
      </c>
      <c r="O2285" s="12" t="str">
        <f t="shared" si="84"/>
        <v>CSA</v>
      </c>
      <c r="P2285" s="12" t="str">
        <f t="shared" si="85"/>
        <v>EN_Hy</v>
      </c>
    </row>
    <row r="2286" spans="1:16" x14ac:dyDescent="0.35">
      <c r="A2286" t="s">
        <v>2384</v>
      </c>
      <c r="B2286" t="s">
        <v>72</v>
      </c>
      <c r="C2286" t="s">
        <v>45</v>
      </c>
      <c r="D2286" t="s">
        <v>2556</v>
      </c>
      <c r="E2286" t="s">
        <v>96</v>
      </c>
      <c r="F2286" t="s">
        <v>96</v>
      </c>
      <c r="G2286" t="s">
        <v>96</v>
      </c>
      <c r="H2286">
        <v>2017</v>
      </c>
      <c r="I2286" t="s">
        <v>96</v>
      </c>
      <c r="J2286" t="s">
        <v>97</v>
      </c>
      <c r="K2286" t="s">
        <v>96</v>
      </c>
      <c r="L2286" t="s">
        <v>96</v>
      </c>
      <c r="M2286">
        <v>1742.3033768</v>
      </c>
      <c r="O2286" s="12" t="str">
        <f t="shared" si="84"/>
        <v>CSA</v>
      </c>
      <c r="P2286" s="12" t="str">
        <f t="shared" si="85"/>
        <v>EN_Hy</v>
      </c>
    </row>
    <row r="2287" spans="1:16" x14ac:dyDescent="0.35">
      <c r="A2287" t="s">
        <v>2384</v>
      </c>
      <c r="B2287" t="s">
        <v>72</v>
      </c>
      <c r="C2287" t="s">
        <v>45</v>
      </c>
      <c r="D2287" t="s">
        <v>2557</v>
      </c>
      <c r="E2287" t="s">
        <v>96</v>
      </c>
      <c r="F2287" t="s">
        <v>96</v>
      </c>
      <c r="G2287" t="s">
        <v>96</v>
      </c>
      <c r="H2287">
        <v>2017</v>
      </c>
      <c r="I2287" t="s">
        <v>96</v>
      </c>
      <c r="J2287" t="s">
        <v>97</v>
      </c>
      <c r="K2287" t="s">
        <v>96</v>
      </c>
      <c r="L2287" t="s">
        <v>96</v>
      </c>
      <c r="M2287">
        <v>3269.3852959999999</v>
      </c>
      <c r="O2287" s="12" t="str">
        <f t="shared" si="84"/>
        <v>CSA</v>
      </c>
      <c r="P2287" s="12" t="str">
        <f t="shared" si="85"/>
        <v>EN_Hy</v>
      </c>
    </row>
    <row r="2288" spans="1:16" x14ac:dyDescent="0.35">
      <c r="A2288" t="s">
        <v>2384</v>
      </c>
      <c r="B2288" t="s">
        <v>72</v>
      </c>
      <c r="C2288" t="s">
        <v>45</v>
      </c>
      <c r="D2288" t="s">
        <v>2558</v>
      </c>
      <c r="E2288" t="s">
        <v>96</v>
      </c>
      <c r="F2288" t="s">
        <v>96</v>
      </c>
      <c r="G2288" t="s">
        <v>96</v>
      </c>
      <c r="H2288">
        <v>2017</v>
      </c>
      <c r="I2288" t="s">
        <v>96</v>
      </c>
      <c r="J2288" t="s">
        <v>97</v>
      </c>
      <c r="K2288" t="s">
        <v>96</v>
      </c>
      <c r="L2288" t="s">
        <v>96</v>
      </c>
      <c r="M2288">
        <v>4759.8582992000001</v>
      </c>
      <c r="O2288" s="12" t="str">
        <f t="shared" si="84"/>
        <v>CSA</v>
      </c>
      <c r="P2288" s="12" t="str">
        <f t="shared" si="85"/>
        <v>EN_Hy</v>
      </c>
    </row>
    <row r="2289" spans="1:16" x14ac:dyDescent="0.35">
      <c r="A2289" t="s">
        <v>2384</v>
      </c>
      <c r="B2289" t="s">
        <v>72</v>
      </c>
      <c r="C2289" t="s">
        <v>45</v>
      </c>
      <c r="D2289" t="s">
        <v>2559</v>
      </c>
      <c r="E2289" t="s">
        <v>96</v>
      </c>
      <c r="F2289" t="s">
        <v>96</v>
      </c>
      <c r="G2289" t="s">
        <v>96</v>
      </c>
      <c r="H2289">
        <v>2017</v>
      </c>
      <c r="I2289" t="s">
        <v>96</v>
      </c>
      <c r="J2289" t="s">
        <v>97</v>
      </c>
      <c r="K2289" t="s">
        <v>96</v>
      </c>
      <c r="L2289" t="s">
        <v>96</v>
      </c>
      <c r="M2289">
        <v>1742.3033768</v>
      </c>
      <c r="O2289" s="12" t="str">
        <f t="shared" si="84"/>
        <v>CSA</v>
      </c>
      <c r="P2289" s="12" t="str">
        <f t="shared" si="85"/>
        <v>EN_Hy</v>
      </c>
    </row>
    <row r="2290" spans="1:16" x14ac:dyDescent="0.35">
      <c r="A2290" t="s">
        <v>2384</v>
      </c>
      <c r="B2290" t="s">
        <v>72</v>
      </c>
      <c r="C2290" t="s">
        <v>45</v>
      </c>
      <c r="D2290" t="s">
        <v>2560</v>
      </c>
      <c r="E2290" t="s">
        <v>96</v>
      </c>
      <c r="F2290" t="s">
        <v>96</v>
      </c>
      <c r="G2290" t="s">
        <v>96</v>
      </c>
      <c r="H2290">
        <v>2017</v>
      </c>
      <c r="I2290" t="s">
        <v>96</v>
      </c>
      <c r="J2290" t="s">
        <v>97</v>
      </c>
      <c r="K2290" t="s">
        <v>96</v>
      </c>
      <c r="L2290" t="s">
        <v>96</v>
      </c>
      <c r="M2290">
        <v>3269.3852959999999</v>
      </c>
      <c r="O2290" s="12" t="str">
        <f t="shared" si="84"/>
        <v>CSA</v>
      </c>
      <c r="P2290" s="12" t="str">
        <f t="shared" si="85"/>
        <v>EN_Hy</v>
      </c>
    </row>
    <row r="2291" spans="1:16" x14ac:dyDescent="0.35">
      <c r="A2291" t="s">
        <v>2384</v>
      </c>
      <c r="B2291" t="s">
        <v>72</v>
      </c>
      <c r="C2291" t="s">
        <v>45</v>
      </c>
      <c r="D2291" t="s">
        <v>2561</v>
      </c>
      <c r="E2291" t="s">
        <v>96</v>
      </c>
      <c r="F2291" t="s">
        <v>96</v>
      </c>
      <c r="G2291" t="s">
        <v>96</v>
      </c>
      <c r="H2291">
        <v>2017</v>
      </c>
      <c r="I2291" t="s">
        <v>96</v>
      </c>
      <c r="J2291" t="s">
        <v>97</v>
      </c>
      <c r="K2291" t="s">
        <v>96</v>
      </c>
      <c r="L2291" t="s">
        <v>96</v>
      </c>
      <c r="M2291">
        <v>4759.8582992000001</v>
      </c>
      <c r="O2291" s="12" t="str">
        <f t="shared" si="84"/>
        <v>CSA</v>
      </c>
      <c r="P2291" s="12" t="str">
        <f t="shared" si="85"/>
        <v>EN_Hy</v>
      </c>
    </row>
    <row r="2292" spans="1:16" x14ac:dyDescent="0.35">
      <c r="A2292" t="s">
        <v>2384</v>
      </c>
      <c r="B2292" t="s">
        <v>72</v>
      </c>
      <c r="C2292" t="s">
        <v>45</v>
      </c>
      <c r="D2292" t="s">
        <v>2562</v>
      </c>
      <c r="E2292" t="s">
        <v>96</v>
      </c>
      <c r="F2292" t="s">
        <v>96</v>
      </c>
      <c r="G2292" t="s">
        <v>96</v>
      </c>
      <c r="H2292">
        <v>2017</v>
      </c>
      <c r="I2292" t="s">
        <v>96</v>
      </c>
      <c r="J2292" t="s">
        <v>97</v>
      </c>
      <c r="K2292" t="s">
        <v>96</v>
      </c>
      <c r="L2292" t="s">
        <v>96</v>
      </c>
      <c r="M2292">
        <v>1918.2166159999999</v>
      </c>
      <c r="O2292" s="12" t="str">
        <f t="shared" si="84"/>
        <v>CSA</v>
      </c>
      <c r="P2292" s="12" t="str">
        <f t="shared" si="85"/>
        <v>EN_Hy</v>
      </c>
    </row>
    <row r="2293" spans="1:16" x14ac:dyDescent="0.35">
      <c r="A2293" t="s">
        <v>2384</v>
      </c>
      <c r="B2293" t="s">
        <v>72</v>
      </c>
      <c r="C2293" t="s">
        <v>45</v>
      </c>
      <c r="D2293" t="s">
        <v>2563</v>
      </c>
      <c r="E2293" t="s">
        <v>96</v>
      </c>
      <c r="F2293" t="s">
        <v>96</v>
      </c>
      <c r="G2293" t="s">
        <v>96</v>
      </c>
      <c r="H2293">
        <v>2017</v>
      </c>
      <c r="I2293" t="s">
        <v>96</v>
      </c>
      <c r="J2293" t="s">
        <v>97</v>
      </c>
      <c r="K2293" t="s">
        <v>96</v>
      </c>
      <c r="L2293" t="s">
        <v>96</v>
      </c>
      <c r="M2293">
        <v>3336.9196400000001</v>
      </c>
      <c r="O2293" s="12" t="str">
        <f t="shared" si="84"/>
        <v>CSA</v>
      </c>
      <c r="P2293" s="12" t="str">
        <f t="shared" si="85"/>
        <v>EN_Hy</v>
      </c>
    </row>
    <row r="2294" spans="1:16" x14ac:dyDescent="0.35">
      <c r="A2294" t="s">
        <v>2384</v>
      </c>
      <c r="B2294" t="s">
        <v>72</v>
      </c>
      <c r="C2294" t="s">
        <v>45</v>
      </c>
      <c r="D2294" t="s">
        <v>2564</v>
      </c>
      <c r="E2294" t="s">
        <v>96</v>
      </c>
      <c r="F2294" t="s">
        <v>96</v>
      </c>
      <c r="G2294" t="s">
        <v>96</v>
      </c>
      <c r="H2294">
        <v>2017</v>
      </c>
      <c r="I2294" t="s">
        <v>96</v>
      </c>
      <c r="J2294" t="s">
        <v>97</v>
      </c>
      <c r="K2294" t="s">
        <v>96</v>
      </c>
      <c r="L2294" t="s">
        <v>96</v>
      </c>
      <c r="M2294">
        <v>4420.3739599999999</v>
      </c>
      <c r="O2294" s="12" t="str">
        <f t="shared" si="84"/>
        <v>CSA</v>
      </c>
      <c r="P2294" s="12" t="str">
        <f t="shared" si="85"/>
        <v>EN_Hy</v>
      </c>
    </row>
    <row r="2295" spans="1:16" x14ac:dyDescent="0.35">
      <c r="A2295" t="s">
        <v>2384</v>
      </c>
      <c r="B2295" t="s">
        <v>72</v>
      </c>
      <c r="C2295" t="s">
        <v>45</v>
      </c>
      <c r="D2295" t="s">
        <v>2568</v>
      </c>
      <c r="E2295" t="s">
        <v>96</v>
      </c>
      <c r="F2295" t="s">
        <v>96</v>
      </c>
      <c r="G2295" t="s">
        <v>96</v>
      </c>
      <c r="H2295">
        <v>2017</v>
      </c>
      <c r="I2295" t="s">
        <v>96</v>
      </c>
      <c r="J2295" t="s">
        <v>97</v>
      </c>
      <c r="K2295" t="s">
        <v>96</v>
      </c>
      <c r="L2295" t="s">
        <v>96</v>
      </c>
      <c r="M2295">
        <v>1742.3033768</v>
      </c>
      <c r="O2295" s="12" t="str">
        <f t="shared" si="84"/>
        <v>CSA</v>
      </c>
      <c r="P2295" s="12" t="str">
        <f t="shared" si="85"/>
        <v>EN_Hy</v>
      </c>
    </row>
    <row r="2296" spans="1:16" x14ac:dyDescent="0.35">
      <c r="A2296" t="s">
        <v>2384</v>
      </c>
      <c r="B2296" t="s">
        <v>72</v>
      </c>
      <c r="C2296" t="s">
        <v>45</v>
      </c>
      <c r="D2296" t="s">
        <v>2569</v>
      </c>
      <c r="E2296" t="s">
        <v>96</v>
      </c>
      <c r="F2296" t="s">
        <v>96</v>
      </c>
      <c r="G2296" t="s">
        <v>96</v>
      </c>
      <c r="H2296">
        <v>2017</v>
      </c>
      <c r="I2296" t="s">
        <v>96</v>
      </c>
      <c r="J2296" t="s">
        <v>97</v>
      </c>
      <c r="K2296" t="s">
        <v>96</v>
      </c>
      <c r="L2296" t="s">
        <v>96</v>
      </c>
      <c r="M2296">
        <v>3269.3852959999999</v>
      </c>
      <c r="O2296" s="12" t="str">
        <f t="shared" si="84"/>
        <v>CSA</v>
      </c>
      <c r="P2296" s="12" t="str">
        <f t="shared" si="85"/>
        <v>EN_Hy</v>
      </c>
    </row>
    <row r="2297" spans="1:16" x14ac:dyDescent="0.35">
      <c r="A2297" t="s">
        <v>2384</v>
      </c>
      <c r="B2297" t="s">
        <v>72</v>
      </c>
      <c r="C2297" t="s">
        <v>45</v>
      </c>
      <c r="D2297" t="s">
        <v>2570</v>
      </c>
      <c r="E2297" t="s">
        <v>96</v>
      </c>
      <c r="F2297" t="s">
        <v>96</v>
      </c>
      <c r="G2297" t="s">
        <v>96</v>
      </c>
      <c r="H2297">
        <v>2017</v>
      </c>
      <c r="I2297" t="s">
        <v>96</v>
      </c>
      <c r="J2297" t="s">
        <v>97</v>
      </c>
      <c r="K2297" t="s">
        <v>96</v>
      </c>
      <c r="L2297" t="s">
        <v>96</v>
      </c>
      <c r="M2297">
        <v>4759.8582992000001</v>
      </c>
      <c r="O2297" s="12" t="str">
        <f t="shared" si="84"/>
        <v>CSA</v>
      </c>
      <c r="P2297" s="12" t="str">
        <f t="shared" si="85"/>
        <v>EN_Hy</v>
      </c>
    </row>
    <row r="2298" spans="1:16" x14ac:dyDescent="0.35">
      <c r="A2298" t="s">
        <v>2384</v>
      </c>
      <c r="B2298" t="s">
        <v>72</v>
      </c>
      <c r="C2298" t="s">
        <v>45</v>
      </c>
      <c r="D2298" t="s">
        <v>2571</v>
      </c>
      <c r="E2298" t="s">
        <v>96</v>
      </c>
      <c r="F2298" t="s">
        <v>96</v>
      </c>
      <c r="G2298" t="s">
        <v>96</v>
      </c>
      <c r="H2298">
        <v>2017</v>
      </c>
      <c r="I2298" t="s">
        <v>96</v>
      </c>
      <c r="J2298" t="s">
        <v>97</v>
      </c>
      <c r="K2298" t="s">
        <v>96</v>
      </c>
      <c r="L2298" t="s">
        <v>96</v>
      </c>
      <c r="M2298">
        <v>1742.3033768</v>
      </c>
      <c r="O2298" s="12" t="str">
        <f t="shared" si="84"/>
        <v>CSA</v>
      </c>
      <c r="P2298" s="12" t="str">
        <f t="shared" si="85"/>
        <v>EN_Hy</v>
      </c>
    </row>
    <row r="2299" spans="1:16" x14ac:dyDescent="0.35">
      <c r="A2299" t="s">
        <v>2384</v>
      </c>
      <c r="B2299" t="s">
        <v>72</v>
      </c>
      <c r="C2299" t="s">
        <v>45</v>
      </c>
      <c r="D2299" t="s">
        <v>2572</v>
      </c>
      <c r="E2299" t="s">
        <v>96</v>
      </c>
      <c r="F2299" t="s">
        <v>96</v>
      </c>
      <c r="G2299" t="s">
        <v>96</v>
      </c>
      <c r="H2299">
        <v>2017</v>
      </c>
      <c r="I2299" t="s">
        <v>96</v>
      </c>
      <c r="J2299" t="s">
        <v>97</v>
      </c>
      <c r="K2299" t="s">
        <v>96</v>
      </c>
      <c r="L2299" t="s">
        <v>96</v>
      </c>
      <c r="M2299">
        <v>3269.3852959999999</v>
      </c>
      <c r="O2299" s="12" t="str">
        <f t="shared" si="84"/>
        <v>CSA</v>
      </c>
      <c r="P2299" s="12" t="str">
        <f t="shared" si="85"/>
        <v>EN_Hy</v>
      </c>
    </row>
    <row r="2300" spans="1:16" x14ac:dyDescent="0.35">
      <c r="A2300" t="s">
        <v>2384</v>
      </c>
      <c r="B2300" t="s">
        <v>72</v>
      </c>
      <c r="C2300" t="s">
        <v>45</v>
      </c>
      <c r="D2300" t="s">
        <v>2573</v>
      </c>
      <c r="E2300" t="s">
        <v>96</v>
      </c>
      <c r="F2300" t="s">
        <v>96</v>
      </c>
      <c r="G2300" t="s">
        <v>96</v>
      </c>
      <c r="H2300">
        <v>2017</v>
      </c>
      <c r="I2300" t="s">
        <v>96</v>
      </c>
      <c r="J2300" t="s">
        <v>97</v>
      </c>
      <c r="K2300" t="s">
        <v>96</v>
      </c>
      <c r="L2300" t="s">
        <v>96</v>
      </c>
      <c r="M2300">
        <v>4759.8582992000001</v>
      </c>
      <c r="O2300" s="12" t="str">
        <f t="shared" si="84"/>
        <v>CSA</v>
      </c>
      <c r="P2300" s="12" t="str">
        <f t="shared" si="85"/>
        <v>EN_Hy</v>
      </c>
    </row>
    <row r="2301" spans="1:16" x14ac:dyDescent="0.35">
      <c r="A2301" t="s">
        <v>2384</v>
      </c>
      <c r="B2301" t="s">
        <v>72</v>
      </c>
      <c r="C2301" t="s">
        <v>45</v>
      </c>
      <c r="D2301" t="s">
        <v>2574</v>
      </c>
      <c r="E2301" t="s">
        <v>96</v>
      </c>
      <c r="F2301" t="s">
        <v>96</v>
      </c>
      <c r="G2301" t="s">
        <v>96</v>
      </c>
      <c r="H2301">
        <v>2017</v>
      </c>
      <c r="I2301" t="s">
        <v>96</v>
      </c>
      <c r="J2301" t="s">
        <v>97</v>
      </c>
      <c r="K2301" t="s">
        <v>96</v>
      </c>
      <c r="L2301" t="s">
        <v>96</v>
      </c>
      <c r="M2301">
        <v>1742.3033768</v>
      </c>
      <c r="O2301" s="12" t="str">
        <f t="shared" si="84"/>
        <v>CSA</v>
      </c>
      <c r="P2301" s="12" t="str">
        <f t="shared" si="85"/>
        <v>EN_Hy</v>
      </c>
    </row>
    <row r="2302" spans="1:16" x14ac:dyDescent="0.35">
      <c r="A2302" t="s">
        <v>2384</v>
      </c>
      <c r="B2302" t="s">
        <v>72</v>
      </c>
      <c r="C2302" t="s">
        <v>45</v>
      </c>
      <c r="D2302" t="s">
        <v>2575</v>
      </c>
      <c r="E2302" t="s">
        <v>96</v>
      </c>
      <c r="F2302" t="s">
        <v>96</v>
      </c>
      <c r="G2302" t="s">
        <v>96</v>
      </c>
      <c r="H2302">
        <v>2017</v>
      </c>
      <c r="I2302" t="s">
        <v>96</v>
      </c>
      <c r="J2302" t="s">
        <v>97</v>
      </c>
      <c r="K2302" t="s">
        <v>96</v>
      </c>
      <c r="L2302" t="s">
        <v>96</v>
      </c>
      <c r="M2302">
        <v>3269.3852959999999</v>
      </c>
      <c r="O2302" s="12" t="str">
        <f t="shared" si="84"/>
        <v>CSA</v>
      </c>
      <c r="P2302" s="12" t="str">
        <f t="shared" si="85"/>
        <v>EN_Hy</v>
      </c>
    </row>
    <row r="2303" spans="1:16" x14ac:dyDescent="0.35">
      <c r="A2303" t="s">
        <v>2384</v>
      </c>
      <c r="B2303" t="s">
        <v>72</v>
      </c>
      <c r="C2303" t="s">
        <v>45</v>
      </c>
      <c r="D2303" t="s">
        <v>2576</v>
      </c>
      <c r="E2303" t="s">
        <v>96</v>
      </c>
      <c r="F2303" t="s">
        <v>96</v>
      </c>
      <c r="G2303" t="s">
        <v>96</v>
      </c>
      <c r="H2303">
        <v>2017</v>
      </c>
      <c r="I2303" t="s">
        <v>96</v>
      </c>
      <c r="J2303" t="s">
        <v>97</v>
      </c>
      <c r="K2303" t="s">
        <v>96</v>
      </c>
      <c r="L2303" t="s">
        <v>96</v>
      </c>
      <c r="M2303">
        <v>4759.8582992000001</v>
      </c>
      <c r="O2303" s="12" t="str">
        <f t="shared" si="84"/>
        <v>CSA</v>
      </c>
      <c r="P2303" s="12" t="str">
        <f t="shared" si="85"/>
        <v>EN_Hy</v>
      </c>
    </row>
    <row r="2304" spans="1:16" x14ac:dyDescent="0.35">
      <c r="A2304" t="s">
        <v>2384</v>
      </c>
      <c r="B2304" t="s">
        <v>72</v>
      </c>
      <c r="C2304" t="s">
        <v>45</v>
      </c>
      <c r="D2304" t="s">
        <v>2577</v>
      </c>
      <c r="E2304" t="s">
        <v>96</v>
      </c>
      <c r="F2304" t="s">
        <v>96</v>
      </c>
      <c r="G2304" t="s">
        <v>96</v>
      </c>
      <c r="H2304">
        <v>2017</v>
      </c>
      <c r="I2304" t="s">
        <v>96</v>
      </c>
      <c r="J2304" t="s">
        <v>97</v>
      </c>
      <c r="K2304" t="s">
        <v>96</v>
      </c>
      <c r="L2304" t="s">
        <v>96</v>
      </c>
      <c r="M2304">
        <v>1742.3033768</v>
      </c>
      <c r="O2304" s="12" t="str">
        <f t="shared" si="84"/>
        <v>CSA</v>
      </c>
      <c r="P2304" s="12" t="str">
        <f t="shared" si="85"/>
        <v>EN_Hy</v>
      </c>
    </row>
    <row r="2305" spans="1:16" x14ac:dyDescent="0.35">
      <c r="A2305" t="s">
        <v>2384</v>
      </c>
      <c r="B2305" t="s">
        <v>72</v>
      </c>
      <c r="C2305" t="s">
        <v>45</v>
      </c>
      <c r="D2305" t="s">
        <v>2578</v>
      </c>
      <c r="E2305" t="s">
        <v>96</v>
      </c>
      <c r="F2305" t="s">
        <v>96</v>
      </c>
      <c r="G2305" t="s">
        <v>96</v>
      </c>
      <c r="H2305">
        <v>2017</v>
      </c>
      <c r="I2305" t="s">
        <v>96</v>
      </c>
      <c r="J2305" t="s">
        <v>97</v>
      </c>
      <c r="K2305" t="s">
        <v>96</v>
      </c>
      <c r="L2305" t="s">
        <v>96</v>
      </c>
      <c r="M2305">
        <v>3269.3852959999999</v>
      </c>
      <c r="O2305" s="12" t="str">
        <f t="shared" si="84"/>
        <v>CSA</v>
      </c>
      <c r="P2305" s="12" t="str">
        <f t="shared" si="85"/>
        <v>EN_Hy</v>
      </c>
    </row>
    <row r="2306" spans="1:16" x14ac:dyDescent="0.35">
      <c r="A2306" t="s">
        <v>2384</v>
      </c>
      <c r="B2306" t="s">
        <v>72</v>
      </c>
      <c r="C2306" t="s">
        <v>45</v>
      </c>
      <c r="D2306" t="s">
        <v>2579</v>
      </c>
      <c r="E2306" t="s">
        <v>96</v>
      </c>
      <c r="F2306" t="s">
        <v>96</v>
      </c>
      <c r="G2306" t="s">
        <v>96</v>
      </c>
      <c r="H2306">
        <v>2017</v>
      </c>
      <c r="I2306" t="s">
        <v>96</v>
      </c>
      <c r="J2306" t="s">
        <v>97</v>
      </c>
      <c r="K2306" t="s">
        <v>96</v>
      </c>
      <c r="L2306" t="s">
        <v>96</v>
      </c>
      <c r="M2306">
        <v>4759.8582992000001</v>
      </c>
      <c r="O2306" s="12" t="str">
        <f t="shared" si="84"/>
        <v>CSA</v>
      </c>
      <c r="P2306" s="12" t="str">
        <f t="shared" si="85"/>
        <v>EN_Hy</v>
      </c>
    </row>
    <row r="2307" spans="1:16" x14ac:dyDescent="0.35">
      <c r="A2307" t="s">
        <v>2384</v>
      </c>
      <c r="B2307" t="s">
        <v>72</v>
      </c>
      <c r="C2307" t="s">
        <v>45</v>
      </c>
      <c r="D2307" t="s">
        <v>2580</v>
      </c>
      <c r="E2307" t="s">
        <v>96</v>
      </c>
      <c r="F2307" t="s">
        <v>96</v>
      </c>
      <c r="G2307" t="s">
        <v>96</v>
      </c>
      <c r="H2307">
        <v>2017</v>
      </c>
      <c r="I2307" t="s">
        <v>96</v>
      </c>
      <c r="J2307" t="s">
        <v>97</v>
      </c>
      <c r="K2307" t="s">
        <v>96</v>
      </c>
      <c r="L2307" t="s">
        <v>96</v>
      </c>
      <c r="M2307">
        <v>1025.5656080000001</v>
      </c>
      <c r="O2307" s="12" t="str">
        <f t="shared" ref="O2307:O2370" si="86">LEFT(B2307,3)</f>
        <v>CSA</v>
      </c>
      <c r="P2307" s="12" t="str">
        <f t="shared" ref="P2307:P2370" si="87">LEFT(D2307,5)</f>
        <v>EN_Hy</v>
      </c>
    </row>
    <row r="2308" spans="1:16" x14ac:dyDescent="0.35">
      <c r="A2308" t="s">
        <v>2384</v>
      </c>
      <c r="B2308" t="s">
        <v>72</v>
      </c>
      <c r="C2308" t="s">
        <v>45</v>
      </c>
      <c r="D2308" t="s">
        <v>2581</v>
      </c>
      <c r="E2308" t="s">
        <v>96</v>
      </c>
      <c r="F2308" t="s">
        <v>96</v>
      </c>
      <c r="G2308" t="s">
        <v>96</v>
      </c>
      <c r="H2308">
        <v>2017</v>
      </c>
      <c r="I2308" t="s">
        <v>96</v>
      </c>
      <c r="J2308" t="s">
        <v>97</v>
      </c>
      <c r="K2308" t="s">
        <v>96</v>
      </c>
      <c r="L2308" t="s">
        <v>96</v>
      </c>
      <c r="M2308">
        <v>2178.7679240000002</v>
      </c>
      <c r="O2308" s="12" t="str">
        <f t="shared" si="86"/>
        <v>CSA</v>
      </c>
      <c r="P2308" s="12" t="str">
        <f t="shared" si="87"/>
        <v>EN_Hy</v>
      </c>
    </row>
    <row r="2309" spans="1:16" x14ac:dyDescent="0.35">
      <c r="A2309" t="s">
        <v>2384</v>
      </c>
      <c r="B2309" t="s">
        <v>72</v>
      </c>
      <c r="C2309" t="s">
        <v>45</v>
      </c>
      <c r="D2309" t="s">
        <v>2582</v>
      </c>
      <c r="E2309" t="s">
        <v>96</v>
      </c>
      <c r="F2309" t="s">
        <v>96</v>
      </c>
      <c r="G2309" t="s">
        <v>96</v>
      </c>
      <c r="H2309">
        <v>2017</v>
      </c>
      <c r="I2309" t="s">
        <v>96</v>
      </c>
      <c r="J2309" t="s">
        <v>97</v>
      </c>
      <c r="K2309" t="s">
        <v>96</v>
      </c>
      <c r="L2309" t="s">
        <v>96</v>
      </c>
      <c r="M2309">
        <v>3857.0323760000001</v>
      </c>
      <c r="O2309" s="12" t="str">
        <f t="shared" si="86"/>
        <v>CSA</v>
      </c>
      <c r="P2309" s="12" t="str">
        <f t="shared" si="87"/>
        <v>EN_Hy</v>
      </c>
    </row>
    <row r="2310" spans="1:16" x14ac:dyDescent="0.35">
      <c r="A2310" t="s">
        <v>2384</v>
      </c>
      <c r="B2310" t="s">
        <v>72</v>
      </c>
      <c r="C2310" t="s">
        <v>45</v>
      </c>
      <c r="D2310" t="s">
        <v>3163</v>
      </c>
      <c r="E2310" t="s">
        <v>96</v>
      </c>
      <c r="F2310" t="s">
        <v>96</v>
      </c>
      <c r="G2310" t="s">
        <v>96</v>
      </c>
      <c r="H2310">
        <v>2017</v>
      </c>
      <c r="I2310" t="s">
        <v>96</v>
      </c>
      <c r="J2310" t="s">
        <v>97</v>
      </c>
      <c r="K2310" t="s">
        <v>96</v>
      </c>
      <c r="L2310" t="s">
        <v>96</v>
      </c>
      <c r="M2310">
        <v>99999</v>
      </c>
      <c r="O2310" s="12" t="str">
        <f t="shared" si="86"/>
        <v>CSA</v>
      </c>
      <c r="P2310" s="12" t="str">
        <f t="shared" si="87"/>
        <v>EN_RE</v>
      </c>
    </row>
    <row r="2311" spans="1:16" x14ac:dyDescent="0.35">
      <c r="A2311" t="s">
        <v>2384</v>
      </c>
      <c r="B2311" t="s">
        <v>72</v>
      </c>
      <c r="C2311" t="s">
        <v>45</v>
      </c>
      <c r="D2311" t="s">
        <v>3164</v>
      </c>
      <c r="E2311" t="s">
        <v>96</v>
      </c>
      <c r="F2311" t="s">
        <v>96</v>
      </c>
      <c r="G2311" t="s">
        <v>96</v>
      </c>
      <c r="H2311">
        <v>2017</v>
      </c>
      <c r="I2311" t="s">
        <v>96</v>
      </c>
      <c r="J2311" t="s">
        <v>97</v>
      </c>
      <c r="K2311" t="s">
        <v>96</v>
      </c>
      <c r="L2311" t="s">
        <v>96</v>
      </c>
      <c r="M2311">
        <v>99999</v>
      </c>
      <c r="O2311" s="12" t="str">
        <f t="shared" si="86"/>
        <v>CSA</v>
      </c>
      <c r="P2311" s="12" t="str">
        <f t="shared" si="87"/>
        <v>EN_RE</v>
      </c>
    </row>
    <row r="2312" spans="1:16" x14ac:dyDescent="0.35">
      <c r="A2312" t="s">
        <v>2384</v>
      </c>
      <c r="B2312" t="s">
        <v>72</v>
      </c>
      <c r="C2312" t="s">
        <v>45</v>
      </c>
      <c r="D2312" t="s">
        <v>3165</v>
      </c>
      <c r="E2312" t="s">
        <v>96</v>
      </c>
      <c r="F2312" t="s">
        <v>96</v>
      </c>
      <c r="G2312" t="s">
        <v>96</v>
      </c>
      <c r="H2312">
        <v>2017</v>
      </c>
      <c r="I2312" t="s">
        <v>96</v>
      </c>
      <c r="J2312" t="s">
        <v>97</v>
      </c>
      <c r="K2312" t="s">
        <v>96</v>
      </c>
      <c r="L2312" t="s">
        <v>96</v>
      </c>
      <c r="M2312">
        <v>99999</v>
      </c>
      <c r="O2312" s="12" t="str">
        <f t="shared" si="86"/>
        <v>CSA</v>
      </c>
      <c r="P2312" s="12" t="str">
        <f t="shared" si="87"/>
        <v>EN_RE</v>
      </c>
    </row>
    <row r="2313" spans="1:16" x14ac:dyDescent="0.35">
      <c r="A2313" t="s">
        <v>2384</v>
      </c>
      <c r="B2313" t="s">
        <v>72</v>
      </c>
      <c r="C2313" t="s">
        <v>45</v>
      </c>
      <c r="D2313" t="s">
        <v>3166</v>
      </c>
      <c r="E2313" t="s">
        <v>96</v>
      </c>
      <c r="F2313" t="s">
        <v>96</v>
      </c>
      <c r="G2313" t="s">
        <v>96</v>
      </c>
      <c r="H2313">
        <v>2017</v>
      </c>
      <c r="I2313" t="s">
        <v>96</v>
      </c>
      <c r="J2313" t="s">
        <v>97</v>
      </c>
      <c r="K2313" t="s">
        <v>96</v>
      </c>
      <c r="L2313" t="s">
        <v>96</v>
      </c>
      <c r="M2313">
        <v>99999</v>
      </c>
      <c r="O2313" s="12" t="str">
        <f t="shared" si="86"/>
        <v>CSA</v>
      </c>
      <c r="P2313" s="12" t="str">
        <f t="shared" si="87"/>
        <v>EN_RE</v>
      </c>
    </row>
    <row r="2314" spans="1:16" x14ac:dyDescent="0.35">
      <c r="A2314" t="s">
        <v>2384</v>
      </c>
      <c r="B2314" t="s">
        <v>72</v>
      </c>
      <c r="C2314" t="s">
        <v>45</v>
      </c>
      <c r="D2314" t="s">
        <v>3167</v>
      </c>
      <c r="E2314" t="s">
        <v>96</v>
      </c>
      <c r="F2314" t="s">
        <v>96</v>
      </c>
      <c r="G2314" t="s">
        <v>96</v>
      </c>
      <c r="H2314">
        <v>2017</v>
      </c>
      <c r="I2314" t="s">
        <v>96</v>
      </c>
      <c r="J2314" t="s">
        <v>97</v>
      </c>
      <c r="K2314" t="s">
        <v>96</v>
      </c>
      <c r="L2314" t="s">
        <v>96</v>
      </c>
      <c r="M2314">
        <v>99999</v>
      </c>
      <c r="O2314" s="12" t="str">
        <f t="shared" si="86"/>
        <v>CSA</v>
      </c>
      <c r="P2314" s="12" t="str">
        <f t="shared" si="87"/>
        <v>EN_RE</v>
      </c>
    </row>
    <row r="2315" spans="1:16" x14ac:dyDescent="0.35">
      <c r="A2315" t="s">
        <v>2384</v>
      </c>
      <c r="B2315" t="s">
        <v>72</v>
      </c>
      <c r="C2315" t="s">
        <v>45</v>
      </c>
      <c r="D2315" t="s">
        <v>3168</v>
      </c>
      <c r="E2315" t="s">
        <v>96</v>
      </c>
      <c r="F2315" t="s">
        <v>96</v>
      </c>
      <c r="G2315" t="s">
        <v>96</v>
      </c>
      <c r="H2315">
        <v>2017</v>
      </c>
      <c r="I2315" t="s">
        <v>96</v>
      </c>
      <c r="J2315" t="s">
        <v>97</v>
      </c>
      <c r="K2315" t="s">
        <v>96</v>
      </c>
      <c r="L2315" t="s">
        <v>96</v>
      </c>
      <c r="M2315">
        <v>99999</v>
      </c>
      <c r="O2315" s="12" t="str">
        <f t="shared" si="86"/>
        <v>CSA</v>
      </c>
      <c r="P2315" s="12" t="str">
        <f t="shared" si="87"/>
        <v>EN_RE</v>
      </c>
    </row>
    <row r="2316" spans="1:16" x14ac:dyDescent="0.35">
      <c r="A2316" t="s">
        <v>2384</v>
      </c>
      <c r="B2316" t="s">
        <v>72</v>
      </c>
      <c r="C2316" t="s">
        <v>45</v>
      </c>
      <c r="D2316" t="s">
        <v>3169</v>
      </c>
      <c r="E2316" t="s">
        <v>96</v>
      </c>
      <c r="F2316" t="s">
        <v>96</v>
      </c>
      <c r="G2316" t="s">
        <v>96</v>
      </c>
      <c r="H2316">
        <v>2017</v>
      </c>
      <c r="I2316" t="s">
        <v>96</v>
      </c>
      <c r="J2316" t="s">
        <v>97</v>
      </c>
      <c r="K2316" t="s">
        <v>96</v>
      </c>
      <c r="L2316" t="s">
        <v>96</v>
      </c>
      <c r="M2316">
        <v>99999</v>
      </c>
      <c r="O2316" s="12" t="str">
        <f t="shared" si="86"/>
        <v>CSA</v>
      </c>
      <c r="P2316" s="12" t="str">
        <f t="shared" si="87"/>
        <v>EN_RE</v>
      </c>
    </row>
    <row r="2317" spans="1:16" x14ac:dyDescent="0.35">
      <c r="A2317" t="s">
        <v>2384</v>
      </c>
      <c r="B2317" t="s">
        <v>72</v>
      </c>
      <c r="C2317" t="s">
        <v>45</v>
      </c>
      <c r="D2317" t="s">
        <v>3170</v>
      </c>
      <c r="E2317" t="s">
        <v>96</v>
      </c>
      <c r="F2317" t="s">
        <v>96</v>
      </c>
      <c r="G2317" t="s">
        <v>96</v>
      </c>
      <c r="H2317">
        <v>2017</v>
      </c>
      <c r="I2317" t="s">
        <v>96</v>
      </c>
      <c r="J2317" t="s">
        <v>97</v>
      </c>
      <c r="K2317" t="s">
        <v>96</v>
      </c>
      <c r="L2317" t="s">
        <v>96</v>
      </c>
      <c r="M2317">
        <v>99999</v>
      </c>
      <c r="O2317" s="12" t="str">
        <f t="shared" si="86"/>
        <v>CSA</v>
      </c>
      <c r="P2317" s="12" t="str">
        <f t="shared" si="87"/>
        <v>EN_RE</v>
      </c>
    </row>
    <row r="2318" spans="1:16" x14ac:dyDescent="0.35">
      <c r="A2318" t="s">
        <v>2384</v>
      </c>
      <c r="B2318" t="s">
        <v>72</v>
      </c>
      <c r="C2318" t="s">
        <v>45</v>
      </c>
      <c r="D2318" t="s">
        <v>3172</v>
      </c>
      <c r="E2318" t="s">
        <v>96</v>
      </c>
      <c r="F2318" t="s">
        <v>96</v>
      </c>
      <c r="G2318" t="s">
        <v>96</v>
      </c>
      <c r="H2318">
        <v>2017</v>
      </c>
      <c r="I2318" t="s">
        <v>96</v>
      </c>
      <c r="J2318" t="s">
        <v>97</v>
      </c>
      <c r="K2318" t="s">
        <v>96</v>
      </c>
      <c r="L2318" t="s">
        <v>96</v>
      </c>
      <c r="M2318">
        <v>99999</v>
      </c>
      <c r="O2318" s="12" t="str">
        <f t="shared" si="86"/>
        <v>CSA</v>
      </c>
      <c r="P2318" s="12" t="str">
        <f t="shared" si="87"/>
        <v>EN_RE</v>
      </c>
    </row>
    <row r="2319" spans="1:16" x14ac:dyDescent="0.35">
      <c r="A2319" t="s">
        <v>2384</v>
      </c>
      <c r="B2319" t="s">
        <v>72</v>
      </c>
      <c r="C2319" t="s">
        <v>45</v>
      </c>
      <c r="D2319" t="s">
        <v>3173</v>
      </c>
      <c r="E2319" t="s">
        <v>96</v>
      </c>
      <c r="F2319" t="s">
        <v>96</v>
      </c>
      <c r="G2319" t="s">
        <v>96</v>
      </c>
      <c r="H2319">
        <v>2017</v>
      </c>
      <c r="I2319" t="s">
        <v>96</v>
      </c>
      <c r="J2319" t="s">
        <v>97</v>
      </c>
      <c r="K2319" t="s">
        <v>96</v>
      </c>
      <c r="L2319" t="s">
        <v>96</v>
      </c>
      <c r="M2319">
        <v>99999</v>
      </c>
      <c r="O2319" s="12" t="str">
        <f t="shared" si="86"/>
        <v>CSA</v>
      </c>
      <c r="P2319" s="12" t="str">
        <f t="shared" si="87"/>
        <v>EN_RE</v>
      </c>
    </row>
    <row r="2320" spans="1:16" x14ac:dyDescent="0.35">
      <c r="A2320" t="s">
        <v>2384</v>
      </c>
      <c r="B2320" t="s">
        <v>72</v>
      </c>
      <c r="C2320" t="s">
        <v>45</v>
      </c>
      <c r="D2320" t="s">
        <v>3174</v>
      </c>
      <c r="E2320" t="s">
        <v>96</v>
      </c>
      <c r="F2320" t="s">
        <v>96</v>
      </c>
      <c r="G2320" t="s">
        <v>96</v>
      </c>
      <c r="H2320">
        <v>2017</v>
      </c>
      <c r="I2320" t="s">
        <v>96</v>
      </c>
      <c r="J2320" t="s">
        <v>97</v>
      </c>
      <c r="K2320" t="s">
        <v>96</v>
      </c>
      <c r="L2320" t="s">
        <v>96</v>
      </c>
      <c r="M2320">
        <v>99999</v>
      </c>
      <c r="O2320" s="12" t="str">
        <f t="shared" si="86"/>
        <v>CSA</v>
      </c>
      <c r="P2320" s="12" t="str">
        <f t="shared" si="87"/>
        <v>EN_RE</v>
      </c>
    </row>
    <row r="2321" spans="1:16" x14ac:dyDescent="0.35">
      <c r="A2321" t="s">
        <v>2384</v>
      </c>
      <c r="B2321" t="s">
        <v>72</v>
      </c>
      <c r="C2321" t="s">
        <v>45</v>
      </c>
      <c r="D2321" t="s">
        <v>3175</v>
      </c>
      <c r="E2321" t="s">
        <v>96</v>
      </c>
      <c r="F2321" t="s">
        <v>96</v>
      </c>
      <c r="G2321" t="s">
        <v>96</v>
      </c>
      <c r="H2321">
        <v>2017</v>
      </c>
      <c r="I2321" t="s">
        <v>96</v>
      </c>
      <c r="J2321" t="s">
        <v>97</v>
      </c>
      <c r="K2321" t="s">
        <v>96</v>
      </c>
      <c r="L2321" t="s">
        <v>96</v>
      </c>
      <c r="M2321">
        <v>99999</v>
      </c>
      <c r="O2321" s="12" t="str">
        <f t="shared" si="86"/>
        <v>CSA</v>
      </c>
      <c r="P2321" s="12" t="str">
        <f t="shared" si="87"/>
        <v>EN_RE</v>
      </c>
    </row>
    <row r="2322" spans="1:16" x14ac:dyDescent="0.35">
      <c r="A2322" t="s">
        <v>2384</v>
      </c>
      <c r="B2322" t="s">
        <v>72</v>
      </c>
      <c r="C2322" t="s">
        <v>45</v>
      </c>
      <c r="D2322" t="s">
        <v>3176</v>
      </c>
      <c r="E2322" t="s">
        <v>96</v>
      </c>
      <c r="F2322" t="s">
        <v>96</v>
      </c>
      <c r="G2322" t="s">
        <v>96</v>
      </c>
      <c r="H2322">
        <v>2017</v>
      </c>
      <c r="I2322" t="s">
        <v>96</v>
      </c>
      <c r="J2322" t="s">
        <v>97</v>
      </c>
      <c r="K2322" t="s">
        <v>96</v>
      </c>
      <c r="L2322" t="s">
        <v>96</v>
      </c>
      <c r="M2322">
        <v>99999</v>
      </c>
      <c r="O2322" s="12" t="str">
        <f t="shared" si="86"/>
        <v>CSA</v>
      </c>
      <c r="P2322" s="12" t="str">
        <f t="shared" si="87"/>
        <v>EN_RE</v>
      </c>
    </row>
    <row r="2323" spans="1:16" x14ac:dyDescent="0.35">
      <c r="A2323" t="s">
        <v>2384</v>
      </c>
      <c r="B2323" t="s">
        <v>72</v>
      </c>
      <c r="C2323" t="s">
        <v>45</v>
      </c>
      <c r="D2323" t="s">
        <v>3177</v>
      </c>
      <c r="E2323" t="s">
        <v>96</v>
      </c>
      <c r="F2323" t="s">
        <v>96</v>
      </c>
      <c r="G2323" t="s">
        <v>96</v>
      </c>
      <c r="H2323">
        <v>2017</v>
      </c>
      <c r="I2323" t="s">
        <v>96</v>
      </c>
      <c r="J2323" t="s">
        <v>97</v>
      </c>
      <c r="K2323" t="s">
        <v>96</v>
      </c>
      <c r="L2323" t="s">
        <v>96</v>
      </c>
      <c r="M2323">
        <v>99999</v>
      </c>
      <c r="O2323" s="12" t="str">
        <f t="shared" si="86"/>
        <v>CSA</v>
      </c>
      <c r="P2323" s="12" t="str">
        <f t="shared" si="87"/>
        <v>EN_RE</v>
      </c>
    </row>
    <row r="2324" spans="1:16" x14ac:dyDescent="0.35">
      <c r="A2324" t="s">
        <v>2384</v>
      </c>
      <c r="B2324" t="s">
        <v>72</v>
      </c>
      <c r="C2324" t="s">
        <v>45</v>
      </c>
      <c r="D2324" t="s">
        <v>3178</v>
      </c>
      <c r="E2324" t="s">
        <v>96</v>
      </c>
      <c r="F2324" t="s">
        <v>96</v>
      </c>
      <c r="G2324" t="s">
        <v>96</v>
      </c>
      <c r="H2324">
        <v>2017</v>
      </c>
      <c r="I2324" t="s">
        <v>96</v>
      </c>
      <c r="J2324" t="s">
        <v>97</v>
      </c>
      <c r="K2324" t="s">
        <v>96</v>
      </c>
      <c r="L2324" t="s">
        <v>96</v>
      </c>
      <c r="M2324">
        <v>99999</v>
      </c>
      <c r="O2324" s="12" t="str">
        <f t="shared" si="86"/>
        <v>CSA</v>
      </c>
      <c r="P2324" s="12" t="str">
        <f t="shared" si="87"/>
        <v>EN_RE</v>
      </c>
    </row>
    <row r="2325" spans="1:16" x14ac:dyDescent="0.35">
      <c r="A2325" t="s">
        <v>2384</v>
      </c>
      <c r="B2325" t="s">
        <v>72</v>
      </c>
      <c r="C2325" t="s">
        <v>45</v>
      </c>
      <c r="D2325" t="s">
        <v>3179</v>
      </c>
      <c r="E2325" t="s">
        <v>96</v>
      </c>
      <c r="F2325" t="s">
        <v>96</v>
      </c>
      <c r="G2325" t="s">
        <v>96</v>
      </c>
      <c r="H2325">
        <v>2017</v>
      </c>
      <c r="I2325" t="s">
        <v>96</v>
      </c>
      <c r="J2325" t="s">
        <v>97</v>
      </c>
      <c r="K2325" t="s">
        <v>96</v>
      </c>
      <c r="L2325" t="s">
        <v>96</v>
      </c>
      <c r="M2325">
        <v>99999</v>
      </c>
      <c r="O2325" s="12" t="str">
        <f t="shared" si="86"/>
        <v>CSA</v>
      </c>
      <c r="P2325" s="12" t="str">
        <f t="shared" si="87"/>
        <v>EN_RE</v>
      </c>
    </row>
    <row r="2326" spans="1:16" x14ac:dyDescent="0.35">
      <c r="A2326" t="s">
        <v>2384</v>
      </c>
      <c r="B2326" t="s">
        <v>72</v>
      </c>
      <c r="C2326" t="s">
        <v>45</v>
      </c>
      <c r="D2326" t="s">
        <v>3180</v>
      </c>
      <c r="E2326" t="s">
        <v>96</v>
      </c>
      <c r="F2326" t="s">
        <v>96</v>
      </c>
      <c r="G2326" t="s">
        <v>96</v>
      </c>
      <c r="H2326">
        <v>2017</v>
      </c>
      <c r="I2326" t="s">
        <v>96</v>
      </c>
      <c r="J2326" t="s">
        <v>97</v>
      </c>
      <c r="K2326" t="s">
        <v>96</v>
      </c>
      <c r="L2326" t="s">
        <v>96</v>
      </c>
      <c r="M2326">
        <v>99999</v>
      </c>
      <c r="O2326" s="12" t="str">
        <f t="shared" si="86"/>
        <v>CSA</v>
      </c>
      <c r="P2326" s="12" t="str">
        <f t="shared" si="87"/>
        <v>EN_RE</v>
      </c>
    </row>
    <row r="2327" spans="1:16" x14ac:dyDescent="0.35">
      <c r="A2327" t="s">
        <v>2384</v>
      </c>
      <c r="B2327" t="s">
        <v>72</v>
      </c>
      <c r="C2327" t="s">
        <v>45</v>
      </c>
      <c r="D2327" t="s">
        <v>3181</v>
      </c>
      <c r="E2327" t="s">
        <v>96</v>
      </c>
      <c r="F2327" t="s">
        <v>96</v>
      </c>
      <c r="G2327" t="s">
        <v>96</v>
      </c>
      <c r="H2327">
        <v>2017</v>
      </c>
      <c r="I2327" t="s">
        <v>96</v>
      </c>
      <c r="J2327" t="s">
        <v>97</v>
      </c>
      <c r="K2327" t="s">
        <v>96</v>
      </c>
      <c r="L2327" t="s">
        <v>96</v>
      </c>
      <c r="M2327">
        <v>99999</v>
      </c>
      <c r="O2327" s="12" t="str">
        <f t="shared" si="86"/>
        <v>CSA</v>
      </c>
      <c r="P2327" s="12" t="str">
        <f t="shared" si="87"/>
        <v>EN_RE</v>
      </c>
    </row>
    <row r="2328" spans="1:16" x14ac:dyDescent="0.35">
      <c r="A2328" t="s">
        <v>2384</v>
      </c>
      <c r="B2328" t="s">
        <v>72</v>
      </c>
      <c r="C2328" t="s">
        <v>45</v>
      </c>
      <c r="D2328" t="s">
        <v>3182</v>
      </c>
      <c r="E2328" t="s">
        <v>96</v>
      </c>
      <c r="F2328" t="s">
        <v>96</v>
      </c>
      <c r="G2328" t="s">
        <v>96</v>
      </c>
      <c r="H2328">
        <v>2017</v>
      </c>
      <c r="I2328" t="s">
        <v>96</v>
      </c>
      <c r="J2328" t="s">
        <v>97</v>
      </c>
      <c r="K2328" t="s">
        <v>96</v>
      </c>
      <c r="L2328" t="s">
        <v>96</v>
      </c>
      <c r="M2328">
        <v>99999</v>
      </c>
      <c r="O2328" s="12" t="str">
        <f t="shared" si="86"/>
        <v>CSA</v>
      </c>
      <c r="P2328" s="12" t="str">
        <f t="shared" si="87"/>
        <v>EN_RE</v>
      </c>
    </row>
    <row r="2329" spans="1:16" x14ac:dyDescent="0.35">
      <c r="A2329" t="s">
        <v>2384</v>
      </c>
      <c r="B2329" t="s">
        <v>72</v>
      </c>
      <c r="C2329" t="s">
        <v>45</v>
      </c>
      <c r="D2329" t="s">
        <v>3183</v>
      </c>
      <c r="E2329" t="s">
        <v>96</v>
      </c>
      <c r="F2329" t="s">
        <v>96</v>
      </c>
      <c r="G2329" t="s">
        <v>96</v>
      </c>
      <c r="H2329">
        <v>2017</v>
      </c>
      <c r="I2329" t="s">
        <v>96</v>
      </c>
      <c r="J2329" t="s">
        <v>97</v>
      </c>
      <c r="K2329" t="s">
        <v>96</v>
      </c>
      <c r="L2329" t="s">
        <v>96</v>
      </c>
      <c r="M2329">
        <v>99999</v>
      </c>
      <c r="O2329" s="12" t="str">
        <f t="shared" si="86"/>
        <v>CSA</v>
      </c>
      <c r="P2329" s="12" t="str">
        <f t="shared" si="87"/>
        <v>EN_RE</v>
      </c>
    </row>
    <row r="2330" spans="1:16" x14ac:dyDescent="0.35">
      <c r="A2330" t="s">
        <v>2384</v>
      </c>
      <c r="B2330" t="s">
        <v>72</v>
      </c>
      <c r="C2330" t="s">
        <v>45</v>
      </c>
      <c r="D2330" t="s">
        <v>3184</v>
      </c>
      <c r="E2330" t="s">
        <v>96</v>
      </c>
      <c r="F2330" t="s">
        <v>96</v>
      </c>
      <c r="G2330" t="s">
        <v>96</v>
      </c>
      <c r="H2330">
        <v>2017</v>
      </c>
      <c r="I2330" t="s">
        <v>96</v>
      </c>
      <c r="J2330" t="s">
        <v>97</v>
      </c>
      <c r="K2330" t="s">
        <v>96</v>
      </c>
      <c r="L2330" t="s">
        <v>96</v>
      </c>
      <c r="M2330">
        <v>99999</v>
      </c>
      <c r="O2330" s="12" t="str">
        <f t="shared" si="86"/>
        <v>CSA</v>
      </c>
      <c r="P2330" s="12" t="str">
        <f t="shared" si="87"/>
        <v>EN_RE</v>
      </c>
    </row>
    <row r="2331" spans="1:16" x14ac:dyDescent="0.35">
      <c r="A2331" t="s">
        <v>2384</v>
      </c>
      <c r="B2331" t="s">
        <v>72</v>
      </c>
      <c r="C2331" t="s">
        <v>45</v>
      </c>
      <c r="D2331" t="s">
        <v>3185</v>
      </c>
      <c r="E2331" t="s">
        <v>96</v>
      </c>
      <c r="F2331" t="s">
        <v>96</v>
      </c>
      <c r="G2331" t="s">
        <v>96</v>
      </c>
      <c r="H2331">
        <v>2017</v>
      </c>
      <c r="I2331" t="s">
        <v>96</v>
      </c>
      <c r="J2331" t="s">
        <v>97</v>
      </c>
      <c r="K2331" t="s">
        <v>96</v>
      </c>
      <c r="L2331" t="s">
        <v>96</v>
      </c>
      <c r="M2331">
        <v>99999</v>
      </c>
      <c r="O2331" s="12" t="str">
        <f t="shared" si="86"/>
        <v>CSA</v>
      </c>
      <c r="P2331" s="12" t="str">
        <f t="shared" si="87"/>
        <v>EN_RE</v>
      </c>
    </row>
    <row r="2332" spans="1:16" x14ac:dyDescent="0.35">
      <c r="A2332" t="s">
        <v>2384</v>
      </c>
      <c r="B2332" t="s">
        <v>72</v>
      </c>
      <c r="C2332" t="s">
        <v>45</v>
      </c>
      <c r="D2332" t="s">
        <v>3186</v>
      </c>
      <c r="E2332" t="s">
        <v>96</v>
      </c>
      <c r="F2332" t="s">
        <v>96</v>
      </c>
      <c r="G2332" t="s">
        <v>96</v>
      </c>
      <c r="H2332">
        <v>2017</v>
      </c>
      <c r="I2332" t="s">
        <v>96</v>
      </c>
      <c r="J2332" t="s">
        <v>97</v>
      </c>
      <c r="K2332" t="s">
        <v>96</v>
      </c>
      <c r="L2332" t="s">
        <v>96</v>
      </c>
      <c r="M2332">
        <v>99999</v>
      </c>
      <c r="O2332" s="12" t="str">
        <f t="shared" si="86"/>
        <v>CSA</v>
      </c>
      <c r="P2332" s="12" t="str">
        <f t="shared" si="87"/>
        <v>EN_RE</v>
      </c>
    </row>
    <row r="2333" spans="1:16" x14ac:dyDescent="0.35">
      <c r="A2333" t="s">
        <v>2384</v>
      </c>
      <c r="B2333" t="s">
        <v>72</v>
      </c>
      <c r="C2333" t="s">
        <v>45</v>
      </c>
      <c r="D2333" t="s">
        <v>3187</v>
      </c>
      <c r="E2333" t="s">
        <v>96</v>
      </c>
      <c r="F2333" t="s">
        <v>96</v>
      </c>
      <c r="G2333" t="s">
        <v>96</v>
      </c>
      <c r="H2333">
        <v>2017</v>
      </c>
      <c r="I2333" t="s">
        <v>96</v>
      </c>
      <c r="J2333" t="s">
        <v>97</v>
      </c>
      <c r="K2333" t="s">
        <v>96</v>
      </c>
      <c r="L2333" t="s">
        <v>96</v>
      </c>
      <c r="M2333">
        <v>99999</v>
      </c>
      <c r="O2333" s="12" t="str">
        <f t="shared" si="86"/>
        <v>CSA</v>
      </c>
      <c r="P2333" s="12" t="str">
        <f t="shared" si="87"/>
        <v>EN_RE</v>
      </c>
    </row>
    <row r="2334" spans="1:16" x14ac:dyDescent="0.35">
      <c r="A2334" t="s">
        <v>2384</v>
      </c>
      <c r="B2334" t="s">
        <v>72</v>
      </c>
      <c r="C2334" t="s">
        <v>45</v>
      </c>
      <c r="D2334" t="s">
        <v>3188</v>
      </c>
      <c r="E2334" t="s">
        <v>96</v>
      </c>
      <c r="F2334" t="s">
        <v>96</v>
      </c>
      <c r="G2334" t="s">
        <v>96</v>
      </c>
      <c r="H2334">
        <v>2017</v>
      </c>
      <c r="I2334" t="s">
        <v>96</v>
      </c>
      <c r="J2334" t="s">
        <v>97</v>
      </c>
      <c r="K2334" t="s">
        <v>96</v>
      </c>
      <c r="L2334" t="s">
        <v>96</v>
      </c>
      <c r="M2334">
        <v>99999</v>
      </c>
      <c r="O2334" s="12" t="str">
        <f t="shared" si="86"/>
        <v>CSA</v>
      </c>
      <c r="P2334" s="12" t="str">
        <f t="shared" si="87"/>
        <v>EN_RE</v>
      </c>
    </row>
    <row r="2335" spans="1:16" x14ac:dyDescent="0.35">
      <c r="A2335" t="s">
        <v>2384</v>
      </c>
      <c r="B2335" t="s">
        <v>72</v>
      </c>
      <c r="C2335" t="s">
        <v>45</v>
      </c>
      <c r="D2335" t="s">
        <v>3189</v>
      </c>
      <c r="E2335" t="s">
        <v>96</v>
      </c>
      <c r="F2335" t="s">
        <v>96</v>
      </c>
      <c r="G2335" t="s">
        <v>96</v>
      </c>
      <c r="H2335">
        <v>2017</v>
      </c>
      <c r="I2335" t="s">
        <v>96</v>
      </c>
      <c r="J2335" t="s">
        <v>97</v>
      </c>
      <c r="K2335" t="s">
        <v>96</v>
      </c>
      <c r="L2335" t="s">
        <v>96</v>
      </c>
      <c r="M2335">
        <v>99999</v>
      </c>
      <c r="O2335" s="12" t="str">
        <f t="shared" si="86"/>
        <v>CSA</v>
      </c>
      <c r="P2335" s="12" t="str">
        <f t="shared" si="87"/>
        <v>EN_RE</v>
      </c>
    </row>
    <row r="2336" spans="1:16" x14ac:dyDescent="0.35">
      <c r="A2336" t="s">
        <v>2384</v>
      </c>
      <c r="B2336" t="s">
        <v>72</v>
      </c>
      <c r="C2336" t="s">
        <v>45</v>
      </c>
      <c r="D2336" t="s">
        <v>3190</v>
      </c>
      <c r="E2336" t="s">
        <v>96</v>
      </c>
      <c r="F2336" t="s">
        <v>96</v>
      </c>
      <c r="G2336" t="s">
        <v>96</v>
      </c>
      <c r="H2336">
        <v>2017</v>
      </c>
      <c r="I2336" t="s">
        <v>96</v>
      </c>
      <c r="J2336" t="s">
        <v>97</v>
      </c>
      <c r="K2336" t="s">
        <v>96</v>
      </c>
      <c r="L2336" t="s">
        <v>96</v>
      </c>
      <c r="M2336">
        <v>99999</v>
      </c>
      <c r="O2336" s="12" t="str">
        <f t="shared" si="86"/>
        <v>CSA</v>
      </c>
      <c r="P2336" s="12" t="str">
        <f t="shared" si="87"/>
        <v>EN_RE</v>
      </c>
    </row>
    <row r="2337" spans="1:16" x14ac:dyDescent="0.35">
      <c r="A2337" t="s">
        <v>2384</v>
      </c>
      <c r="B2337" t="s">
        <v>72</v>
      </c>
      <c r="C2337" t="s">
        <v>45</v>
      </c>
      <c r="D2337" t="s">
        <v>3191</v>
      </c>
      <c r="E2337" t="s">
        <v>96</v>
      </c>
      <c r="F2337" t="s">
        <v>96</v>
      </c>
      <c r="G2337" t="s">
        <v>96</v>
      </c>
      <c r="H2337">
        <v>2017</v>
      </c>
      <c r="I2337" t="s">
        <v>96</v>
      </c>
      <c r="J2337" t="s">
        <v>97</v>
      </c>
      <c r="K2337" t="s">
        <v>96</v>
      </c>
      <c r="L2337" t="s">
        <v>96</v>
      </c>
      <c r="M2337">
        <v>99999</v>
      </c>
      <c r="O2337" s="12" t="str">
        <f t="shared" si="86"/>
        <v>CSA</v>
      </c>
      <c r="P2337" s="12" t="str">
        <f t="shared" si="87"/>
        <v>EN_RE</v>
      </c>
    </row>
    <row r="2338" spans="1:16" x14ac:dyDescent="0.35">
      <c r="A2338" t="s">
        <v>2384</v>
      </c>
      <c r="B2338" t="s">
        <v>72</v>
      </c>
      <c r="C2338" t="s">
        <v>45</v>
      </c>
      <c r="D2338" t="s">
        <v>3192</v>
      </c>
      <c r="E2338" t="s">
        <v>96</v>
      </c>
      <c r="F2338" t="s">
        <v>96</v>
      </c>
      <c r="G2338" t="s">
        <v>96</v>
      </c>
      <c r="H2338">
        <v>2017</v>
      </c>
      <c r="I2338" t="s">
        <v>96</v>
      </c>
      <c r="J2338" t="s">
        <v>97</v>
      </c>
      <c r="K2338" t="s">
        <v>96</v>
      </c>
      <c r="L2338" t="s">
        <v>96</v>
      </c>
      <c r="M2338">
        <v>99999</v>
      </c>
      <c r="O2338" s="12" t="str">
        <f t="shared" si="86"/>
        <v>CSA</v>
      </c>
      <c r="P2338" s="12" t="str">
        <f t="shared" si="87"/>
        <v>EN_RE</v>
      </c>
    </row>
    <row r="2339" spans="1:16" x14ac:dyDescent="0.35">
      <c r="A2339" t="s">
        <v>2384</v>
      </c>
      <c r="B2339" t="s">
        <v>72</v>
      </c>
      <c r="C2339" t="s">
        <v>45</v>
      </c>
      <c r="D2339" t="s">
        <v>3193</v>
      </c>
      <c r="E2339" t="s">
        <v>96</v>
      </c>
      <c r="F2339" t="s">
        <v>96</v>
      </c>
      <c r="G2339" t="s">
        <v>96</v>
      </c>
      <c r="H2339">
        <v>2017</v>
      </c>
      <c r="I2339" t="s">
        <v>96</v>
      </c>
      <c r="J2339" t="s">
        <v>97</v>
      </c>
      <c r="K2339" t="s">
        <v>96</v>
      </c>
      <c r="L2339" t="s">
        <v>96</v>
      </c>
      <c r="M2339">
        <v>99999</v>
      </c>
      <c r="O2339" s="12" t="str">
        <f t="shared" si="86"/>
        <v>CSA</v>
      </c>
      <c r="P2339" s="12" t="str">
        <f t="shared" si="87"/>
        <v>EN_RE</v>
      </c>
    </row>
    <row r="2340" spans="1:16" x14ac:dyDescent="0.35">
      <c r="A2340" t="s">
        <v>2384</v>
      </c>
      <c r="B2340" t="s">
        <v>72</v>
      </c>
      <c r="C2340" t="s">
        <v>45</v>
      </c>
      <c r="D2340" t="s">
        <v>3194</v>
      </c>
      <c r="E2340" t="s">
        <v>96</v>
      </c>
      <c r="F2340" t="s">
        <v>96</v>
      </c>
      <c r="G2340" t="s">
        <v>96</v>
      </c>
      <c r="H2340">
        <v>2017</v>
      </c>
      <c r="I2340" t="s">
        <v>96</v>
      </c>
      <c r="J2340" t="s">
        <v>97</v>
      </c>
      <c r="K2340" t="s">
        <v>96</v>
      </c>
      <c r="L2340" t="s">
        <v>96</v>
      </c>
      <c r="M2340">
        <v>99999</v>
      </c>
      <c r="O2340" s="12" t="str">
        <f t="shared" si="86"/>
        <v>CSA</v>
      </c>
      <c r="P2340" s="12" t="str">
        <f t="shared" si="87"/>
        <v>EN_RE</v>
      </c>
    </row>
    <row r="2341" spans="1:16" x14ac:dyDescent="0.35">
      <c r="A2341" t="s">
        <v>2384</v>
      </c>
      <c r="B2341" t="s">
        <v>72</v>
      </c>
      <c r="C2341" t="s">
        <v>45</v>
      </c>
      <c r="D2341" t="s">
        <v>3195</v>
      </c>
      <c r="E2341" t="s">
        <v>96</v>
      </c>
      <c r="F2341" t="s">
        <v>96</v>
      </c>
      <c r="G2341" t="s">
        <v>96</v>
      </c>
      <c r="H2341">
        <v>2017</v>
      </c>
      <c r="I2341" t="s">
        <v>96</v>
      </c>
      <c r="J2341" t="s">
        <v>97</v>
      </c>
      <c r="K2341" t="s">
        <v>96</v>
      </c>
      <c r="L2341" t="s">
        <v>96</v>
      </c>
      <c r="M2341">
        <v>99999</v>
      </c>
      <c r="O2341" s="12" t="str">
        <f t="shared" si="86"/>
        <v>CSA</v>
      </c>
      <c r="P2341" s="12" t="str">
        <f t="shared" si="87"/>
        <v>EN_RE</v>
      </c>
    </row>
    <row r="2342" spans="1:16" x14ac:dyDescent="0.35">
      <c r="A2342" t="s">
        <v>2384</v>
      </c>
      <c r="B2342" t="s">
        <v>72</v>
      </c>
      <c r="C2342" t="s">
        <v>45</v>
      </c>
      <c r="D2342" t="s">
        <v>3196</v>
      </c>
      <c r="E2342" t="s">
        <v>96</v>
      </c>
      <c r="F2342" t="s">
        <v>96</v>
      </c>
      <c r="G2342" t="s">
        <v>96</v>
      </c>
      <c r="H2342">
        <v>2017</v>
      </c>
      <c r="I2342" t="s">
        <v>96</v>
      </c>
      <c r="J2342" t="s">
        <v>97</v>
      </c>
      <c r="K2342" t="s">
        <v>96</v>
      </c>
      <c r="L2342" t="s">
        <v>96</v>
      </c>
      <c r="M2342">
        <v>99999</v>
      </c>
      <c r="O2342" s="12" t="str">
        <f t="shared" si="86"/>
        <v>CSA</v>
      </c>
      <c r="P2342" s="12" t="str">
        <f t="shared" si="87"/>
        <v>EN_RE</v>
      </c>
    </row>
    <row r="2343" spans="1:16" x14ac:dyDescent="0.35">
      <c r="A2343" t="s">
        <v>2384</v>
      </c>
      <c r="B2343" t="s">
        <v>73</v>
      </c>
      <c r="C2343" t="s">
        <v>45</v>
      </c>
      <c r="D2343" t="s">
        <v>2583</v>
      </c>
      <c r="E2343" t="s">
        <v>96</v>
      </c>
      <c r="F2343" t="s">
        <v>96</v>
      </c>
      <c r="G2343" t="s">
        <v>96</v>
      </c>
      <c r="H2343">
        <v>2017</v>
      </c>
      <c r="I2343" t="s">
        <v>96</v>
      </c>
      <c r="J2343" t="s">
        <v>97</v>
      </c>
      <c r="K2343" t="s">
        <v>96</v>
      </c>
      <c r="L2343" t="s">
        <v>96</v>
      </c>
      <c r="M2343">
        <v>2413.9677919999999</v>
      </c>
      <c r="O2343" s="12" t="str">
        <f t="shared" si="86"/>
        <v>EUR</v>
      </c>
      <c r="P2343" s="12" t="str">
        <f t="shared" si="87"/>
        <v>EN_Hy</v>
      </c>
    </row>
    <row r="2344" spans="1:16" x14ac:dyDescent="0.35">
      <c r="A2344" t="s">
        <v>2384</v>
      </c>
      <c r="B2344" t="s">
        <v>73</v>
      </c>
      <c r="C2344" t="s">
        <v>45</v>
      </c>
      <c r="D2344" t="s">
        <v>2584</v>
      </c>
      <c r="E2344" t="s">
        <v>96</v>
      </c>
      <c r="F2344" t="s">
        <v>96</v>
      </c>
      <c r="G2344" t="s">
        <v>96</v>
      </c>
      <c r="H2344">
        <v>2017</v>
      </c>
      <c r="I2344" t="s">
        <v>96</v>
      </c>
      <c r="J2344" t="s">
        <v>97</v>
      </c>
      <c r="K2344" t="s">
        <v>96</v>
      </c>
      <c r="L2344" t="s">
        <v>96</v>
      </c>
      <c r="M2344">
        <v>4896.1207999999997</v>
      </c>
      <c r="O2344" s="12" t="str">
        <f t="shared" si="86"/>
        <v>EUR</v>
      </c>
      <c r="P2344" s="12" t="str">
        <f t="shared" si="87"/>
        <v>EN_Hy</v>
      </c>
    </row>
    <row r="2345" spans="1:16" x14ac:dyDescent="0.35">
      <c r="A2345" t="s">
        <v>2384</v>
      </c>
      <c r="B2345" t="s">
        <v>73</v>
      </c>
      <c r="C2345" t="s">
        <v>45</v>
      </c>
      <c r="D2345" t="s">
        <v>2585</v>
      </c>
      <c r="E2345" t="s">
        <v>96</v>
      </c>
      <c r="F2345" t="s">
        <v>96</v>
      </c>
      <c r="G2345" t="s">
        <v>96</v>
      </c>
      <c r="H2345">
        <v>2017</v>
      </c>
      <c r="I2345" t="s">
        <v>96</v>
      </c>
      <c r="J2345" t="s">
        <v>97</v>
      </c>
      <c r="K2345" t="s">
        <v>96</v>
      </c>
      <c r="L2345" t="s">
        <v>96</v>
      </c>
      <c r="M2345">
        <v>6919.0325599999996</v>
      </c>
      <c r="O2345" s="12" t="str">
        <f t="shared" si="86"/>
        <v>EUR</v>
      </c>
      <c r="P2345" s="12" t="str">
        <f t="shared" si="87"/>
        <v>EN_Hy</v>
      </c>
    </row>
    <row r="2346" spans="1:16" x14ac:dyDescent="0.35">
      <c r="A2346" t="s">
        <v>2384</v>
      </c>
      <c r="B2346" t="s">
        <v>73</v>
      </c>
      <c r="C2346" t="s">
        <v>45</v>
      </c>
      <c r="D2346" t="s">
        <v>2586</v>
      </c>
      <c r="E2346" t="s">
        <v>96</v>
      </c>
      <c r="F2346" t="s">
        <v>96</v>
      </c>
      <c r="G2346" t="s">
        <v>96</v>
      </c>
      <c r="H2346">
        <v>2017</v>
      </c>
      <c r="I2346" t="s">
        <v>96</v>
      </c>
      <c r="J2346" t="s">
        <v>97</v>
      </c>
      <c r="K2346" t="s">
        <v>96</v>
      </c>
      <c r="L2346" t="s">
        <v>96</v>
      </c>
      <c r="M2346">
        <v>2413.9677919999999</v>
      </c>
      <c r="O2346" s="12" t="str">
        <f t="shared" si="86"/>
        <v>EUR</v>
      </c>
      <c r="P2346" s="12" t="str">
        <f t="shared" si="87"/>
        <v>EN_Hy</v>
      </c>
    </row>
    <row r="2347" spans="1:16" x14ac:dyDescent="0.35">
      <c r="A2347" t="s">
        <v>2384</v>
      </c>
      <c r="B2347" t="s">
        <v>73</v>
      </c>
      <c r="C2347" t="s">
        <v>45</v>
      </c>
      <c r="D2347" t="s">
        <v>2587</v>
      </c>
      <c r="E2347" t="s">
        <v>96</v>
      </c>
      <c r="F2347" t="s">
        <v>96</v>
      </c>
      <c r="G2347" t="s">
        <v>96</v>
      </c>
      <c r="H2347">
        <v>2017</v>
      </c>
      <c r="I2347" t="s">
        <v>96</v>
      </c>
      <c r="J2347" t="s">
        <v>97</v>
      </c>
      <c r="K2347" t="s">
        <v>96</v>
      </c>
      <c r="L2347" t="s">
        <v>96</v>
      </c>
      <c r="M2347">
        <v>4896.1207999999997</v>
      </c>
      <c r="O2347" s="12" t="str">
        <f t="shared" si="86"/>
        <v>EUR</v>
      </c>
      <c r="P2347" s="12" t="str">
        <f t="shared" si="87"/>
        <v>EN_Hy</v>
      </c>
    </row>
    <row r="2348" spans="1:16" x14ac:dyDescent="0.35">
      <c r="A2348" t="s">
        <v>2384</v>
      </c>
      <c r="B2348" t="s">
        <v>73</v>
      </c>
      <c r="C2348" t="s">
        <v>45</v>
      </c>
      <c r="D2348" t="s">
        <v>2588</v>
      </c>
      <c r="E2348" t="s">
        <v>96</v>
      </c>
      <c r="F2348" t="s">
        <v>96</v>
      </c>
      <c r="G2348" t="s">
        <v>96</v>
      </c>
      <c r="H2348">
        <v>2017</v>
      </c>
      <c r="I2348" t="s">
        <v>96</v>
      </c>
      <c r="J2348" t="s">
        <v>97</v>
      </c>
      <c r="K2348" t="s">
        <v>96</v>
      </c>
      <c r="L2348" t="s">
        <v>96</v>
      </c>
      <c r="M2348">
        <v>6919.0325599999996</v>
      </c>
      <c r="O2348" s="12" t="str">
        <f t="shared" si="86"/>
        <v>EUR</v>
      </c>
      <c r="P2348" s="12" t="str">
        <f t="shared" si="87"/>
        <v>EN_Hy</v>
      </c>
    </row>
    <row r="2349" spans="1:16" x14ac:dyDescent="0.35">
      <c r="A2349" t="s">
        <v>2384</v>
      </c>
      <c r="B2349" t="s">
        <v>73</v>
      </c>
      <c r="C2349" t="s">
        <v>45</v>
      </c>
      <c r="D2349" t="s">
        <v>2589</v>
      </c>
      <c r="E2349" t="s">
        <v>96</v>
      </c>
      <c r="F2349" t="s">
        <v>96</v>
      </c>
      <c r="G2349" t="s">
        <v>96</v>
      </c>
      <c r="H2349">
        <v>2017</v>
      </c>
      <c r="I2349" t="s">
        <v>96</v>
      </c>
      <c r="J2349" t="s">
        <v>97</v>
      </c>
      <c r="K2349" t="s">
        <v>96</v>
      </c>
      <c r="L2349" t="s">
        <v>96</v>
      </c>
      <c r="M2349">
        <v>2413.9677919999999</v>
      </c>
      <c r="O2349" s="12" t="str">
        <f t="shared" si="86"/>
        <v>EUR</v>
      </c>
      <c r="P2349" s="12" t="str">
        <f t="shared" si="87"/>
        <v>EN_Hy</v>
      </c>
    </row>
    <row r="2350" spans="1:16" x14ac:dyDescent="0.35">
      <c r="A2350" t="s">
        <v>2384</v>
      </c>
      <c r="B2350" t="s">
        <v>73</v>
      </c>
      <c r="C2350" t="s">
        <v>45</v>
      </c>
      <c r="D2350" t="s">
        <v>2590</v>
      </c>
      <c r="E2350" t="s">
        <v>96</v>
      </c>
      <c r="F2350" t="s">
        <v>96</v>
      </c>
      <c r="G2350" t="s">
        <v>96</v>
      </c>
      <c r="H2350">
        <v>2017</v>
      </c>
      <c r="I2350" t="s">
        <v>96</v>
      </c>
      <c r="J2350" t="s">
        <v>97</v>
      </c>
      <c r="K2350" t="s">
        <v>96</v>
      </c>
      <c r="L2350" t="s">
        <v>96</v>
      </c>
      <c r="M2350">
        <v>4896.1207999999997</v>
      </c>
      <c r="O2350" s="12" t="str">
        <f t="shared" si="86"/>
        <v>EUR</v>
      </c>
      <c r="P2350" s="12" t="str">
        <f t="shared" si="87"/>
        <v>EN_Hy</v>
      </c>
    </row>
    <row r="2351" spans="1:16" x14ac:dyDescent="0.35">
      <c r="A2351" t="s">
        <v>2384</v>
      </c>
      <c r="B2351" t="s">
        <v>73</v>
      </c>
      <c r="C2351" t="s">
        <v>45</v>
      </c>
      <c r="D2351" t="s">
        <v>2591</v>
      </c>
      <c r="E2351" t="s">
        <v>96</v>
      </c>
      <c r="F2351" t="s">
        <v>96</v>
      </c>
      <c r="G2351" t="s">
        <v>96</v>
      </c>
      <c r="H2351">
        <v>2017</v>
      </c>
      <c r="I2351" t="s">
        <v>96</v>
      </c>
      <c r="J2351" t="s">
        <v>97</v>
      </c>
      <c r="K2351" t="s">
        <v>96</v>
      </c>
      <c r="L2351" t="s">
        <v>96</v>
      </c>
      <c r="M2351">
        <v>6919.0325599999996</v>
      </c>
      <c r="O2351" s="12" t="str">
        <f t="shared" si="86"/>
        <v>EUR</v>
      </c>
      <c r="P2351" s="12" t="str">
        <f t="shared" si="87"/>
        <v>EN_Hy</v>
      </c>
    </row>
    <row r="2352" spans="1:16" x14ac:dyDescent="0.35">
      <c r="A2352" t="s">
        <v>2384</v>
      </c>
      <c r="B2352" t="s">
        <v>73</v>
      </c>
      <c r="C2352" t="s">
        <v>45</v>
      </c>
      <c r="D2352" t="s">
        <v>2592</v>
      </c>
      <c r="E2352" t="s">
        <v>96</v>
      </c>
      <c r="F2352" t="s">
        <v>96</v>
      </c>
      <c r="G2352" t="s">
        <v>96</v>
      </c>
      <c r="H2352">
        <v>2017</v>
      </c>
      <c r="I2352" t="s">
        <v>96</v>
      </c>
      <c r="J2352" t="s">
        <v>97</v>
      </c>
      <c r="K2352" t="s">
        <v>96</v>
      </c>
      <c r="L2352" t="s">
        <v>96</v>
      </c>
      <c r="M2352">
        <v>2413.9677919999999</v>
      </c>
      <c r="O2352" s="12" t="str">
        <f t="shared" si="86"/>
        <v>EUR</v>
      </c>
      <c r="P2352" s="12" t="str">
        <f t="shared" si="87"/>
        <v>EN_Hy</v>
      </c>
    </row>
    <row r="2353" spans="1:16" x14ac:dyDescent="0.35">
      <c r="A2353" t="s">
        <v>2384</v>
      </c>
      <c r="B2353" t="s">
        <v>73</v>
      </c>
      <c r="C2353" t="s">
        <v>45</v>
      </c>
      <c r="D2353" t="s">
        <v>2593</v>
      </c>
      <c r="E2353" t="s">
        <v>96</v>
      </c>
      <c r="F2353" t="s">
        <v>96</v>
      </c>
      <c r="G2353" t="s">
        <v>96</v>
      </c>
      <c r="H2353">
        <v>2017</v>
      </c>
      <c r="I2353" t="s">
        <v>96</v>
      </c>
      <c r="J2353" t="s">
        <v>97</v>
      </c>
      <c r="K2353" t="s">
        <v>96</v>
      </c>
      <c r="L2353" t="s">
        <v>96</v>
      </c>
      <c r="M2353">
        <v>4896.1207999999997</v>
      </c>
      <c r="O2353" s="12" t="str">
        <f t="shared" si="86"/>
        <v>EUR</v>
      </c>
      <c r="P2353" s="12" t="str">
        <f t="shared" si="87"/>
        <v>EN_Hy</v>
      </c>
    </row>
    <row r="2354" spans="1:16" x14ac:dyDescent="0.35">
      <c r="A2354" t="s">
        <v>2384</v>
      </c>
      <c r="B2354" t="s">
        <v>73</v>
      </c>
      <c r="C2354" t="s">
        <v>45</v>
      </c>
      <c r="D2354" t="s">
        <v>2594</v>
      </c>
      <c r="E2354" t="s">
        <v>96</v>
      </c>
      <c r="F2354" t="s">
        <v>96</v>
      </c>
      <c r="G2354" t="s">
        <v>96</v>
      </c>
      <c r="H2354">
        <v>2017</v>
      </c>
      <c r="I2354" t="s">
        <v>96</v>
      </c>
      <c r="J2354" t="s">
        <v>97</v>
      </c>
      <c r="K2354" t="s">
        <v>96</v>
      </c>
      <c r="L2354" t="s">
        <v>96</v>
      </c>
      <c r="M2354">
        <v>6919.0325599999996</v>
      </c>
      <c r="O2354" s="12" t="str">
        <f t="shared" si="86"/>
        <v>EUR</v>
      </c>
      <c r="P2354" s="12" t="str">
        <f t="shared" si="87"/>
        <v>EN_Hy</v>
      </c>
    </row>
    <row r="2355" spans="1:16" x14ac:dyDescent="0.35">
      <c r="A2355" t="s">
        <v>2384</v>
      </c>
      <c r="B2355" t="s">
        <v>73</v>
      </c>
      <c r="C2355" t="s">
        <v>45</v>
      </c>
      <c r="D2355" t="s">
        <v>2595</v>
      </c>
      <c r="E2355" t="s">
        <v>96</v>
      </c>
      <c r="F2355" t="s">
        <v>96</v>
      </c>
      <c r="G2355" t="s">
        <v>96</v>
      </c>
      <c r="H2355">
        <v>2017</v>
      </c>
      <c r="I2355" t="s">
        <v>96</v>
      </c>
      <c r="J2355" t="s">
        <v>97</v>
      </c>
      <c r="K2355" t="s">
        <v>96</v>
      </c>
      <c r="L2355" t="s">
        <v>96</v>
      </c>
      <c r="M2355">
        <v>2413.9677919999999</v>
      </c>
      <c r="O2355" s="12" t="str">
        <f t="shared" si="86"/>
        <v>EUR</v>
      </c>
      <c r="P2355" s="12" t="str">
        <f t="shared" si="87"/>
        <v>EN_Hy</v>
      </c>
    </row>
    <row r="2356" spans="1:16" x14ac:dyDescent="0.35">
      <c r="A2356" t="s">
        <v>2384</v>
      </c>
      <c r="B2356" t="s">
        <v>73</v>
      </c>
      <c r="C2356" t="s">
        <v>45</v>
      </c>
      <c r="D2356" t="s">
        <v>2596</v>
      </c>
      <c r="E2356" t="s">
        <v>96</v>
      </c>
      <c r="F2356" t="s">
        <v>96</v>
      </c>
      <c r="G2356" t="s">
        <v>96</v>
      </c>
      <c r="H2356">
        <v>2017</v>
      </c>
      <c r="I2356" t="s">
        <v>96</v>
      </c>
      <c r="J2356" t="s">
        <v>97</v>
      </c>
      <c r="K2356" t="s">
        <v>96</v>
      </c>
      <c r="L2356" t="s">
        <v>96</v>
      </c>
      <c r="M2356">
        <v>4896.1207999999997</v>
      </c>
      <c r="O2356" s="12" t="str">
        <f t="shared" si="86"/>
        <v>EUR</v>
      </c>
      <c r="P2356" s="12" t="str">
        <f t="shared" si="87"/>
        <v>EN_Hy</v>
      </c>
    </row>
    <row r="2357" spans="1:16" x14ac:dyDescent="0.35">
      <c r="A2357" t="s">
        <v>2384</v>
      </c>
      <c r="B2357" t="s">
        <v>73</v>
      </c>
      <c r="C2357" t="s">
        <v>45</v>
      </c>
      <c r="D2357" t="s">
        <v>2597</v>
      </c>
      <c r="E2357" t="s">
        <v>96</v>
      </c>
      <c r="F2357" t="s">
        <v>96</v>
      </c>
      <c r="G2357" t="s">
        <v>96</v>
      </c>
      <c r="H2357">
        <v>2017</v>
      </c>
      <c r="I2357" t="s">
        <v>96</v>
      </c>
      <c r="J2357" t="s">
        <v>97</v>
      </c>
      <c r="K2357" t="s">
        <v>96</v>
      </c>
      <c r="L2357" t="s">
        <v>96</v>
      </c>
      <c r="M2357">
        <v>6919.0325599999996</v>
      </c>
      <c r="O2357" s="12" t="str">
        <f t="shared" si="86"/>
        <v>EUR</v>
      </c>
      <c r="P2357" s="12" t="str">
        <f t="shared" si="87"/>
        <v>EN_Hy</v>
      </c>
    </row>
    <row r="2358" spans="1:16" x14ac:dyDescent="0.35">
      <c r="A2358" t="s">
        <v>2384</v>
      </c>
      <c r="B2358" t="s">
        <v>73</v>
      </c>
      <c r="C2358" t="s">
        <v>45</v>
      </c>
      <c r="D2358" t="s">
        <v>2598</v>
      </c>
      <c r="E2358" t="s">
        <v>96</v>
      </c>
      <c r="F2358" t="s">
        <v>96</v>
      </c>
      <c r="G2358" t="s">
        <v>96</v>
      </c>
      <c r="H2358">
        <v>2017</v>
      </c>
      <c r="I2358" t="s">
        <v>96</v>
      </c>
      <c r="J2358" t="s">
        <v>97</v>
      </c>
      <c r="K2358" t="s">
        <v>96</v>
      </c>
      <c r="L2358" t="s">
        <v>96</v>
      </c>
      <c r="M2358">
        <v>2413.9677919999999</v>
      </c>
      <c r="O2358" s="12" t="str">
        <f t="shared" si="86"/>
        <v>EUR</v>
      </c>
      <c r="P2358" s="12" t="str">
        <f t="shared" si="87"/>
        <v>EN_Hy</v>
      </c>
    </row>
    <row r="2359" spans="1:16" x14ac:dyDescent="0.35">
      <c r="A2359" t="s">
        <v>2384</v>
      </c>
      <c r="B2359" t="s">
        <v>73</v>
      </c>
      <c r="C2359" t="s">
        <v>45</v>
      </c>
      <c r="D2359" t="s">
        <v>2599</v>
      </c>
      <c r="E2359" t="s">
        <v>96</v>
      </c>
      <c r="F2359" t="s">
        <v>96</v>
      </c>
      <c r="G2359" t="s">
        <v>96</v>
      </c>
      <c r="H2359">
        <v>2017</v>
      </c>
      <c r="I2359" t="s">
        <v>96</v>
      </c>
      <c r="J2359" t="s">
        <v>97</v>
      </c>
      <c r="K2359" t="s">
        <v>96</v>
      </c>
      <c r="L2359" t="s">
        <v>96</v>
      </c>
      <c r="M2359">
        <v>4896.1207999999997</v>
      </c>
      <c r="O2359" s="12" t="str">
        <f t="shared" si="86"/>
        <v>EUR</v>
      </c>
      <c r="P2359" s="12" t="str">
        <f t="shared" si="87"/>
        <v>EN_Hy</v>
      </c>
    </row>
    <row r="2360" spans="1:16" x14ac:dyDescent="0.35">
      <c r="A2360" t="s">
        <v>2384</v>
      </c>
      <c r="B2360" t="s">
        <v>73</v>
      </c>
      <c r="C2360" t="s">
        <v>45</v>
      </c>
      <c r="D2360" t="s">
        <v>2600</v>
      </c>
      <c r="E2360" t="s">
        <v>96</v>
      </c>
      <c r="F2360" t="s">
        <v>96</v>
      </c>
      <c r="G2360" t="s">
        <v>96</v>
      </c>
      <c r="H2360">
        <v>2017</v>
      </c>
      <c r="I2360" t="s">
        <v>96</v>
      </c>
      <c r="J2360" t="s">
        <v>97</v>
      </c>
      <c r="K2360" t="s">
        <v>96</v>
      </c>
      <c r="L2360" t="s">
        <v>96</v>
      </c>
      <c r="M2360">
        <v>6919.0325599999996</v>
      </c>
      <c r="O2360" s="12" t="str">
        <f t="shared" si="86"/>
        <v>EUR</v>
      </c>
      <c r="P2360" s="12" t="str">
        <f t="shared" si="87"/>
        <v>EN_Hy</v>
      </c>
    </row>
    <row r="2361" spans="1:16" x14ac:dyDescent="0.35">
      <c r="A2361" t="s">
        <v>2384</v>
      </c>
      <c r="B2361" t="s">
        <v>73</v>
      </c>
      <c r="C2361" t="s">
        <v>45</v>
      </c>
      <c r="D2361" t="s">
        <v>2601</v>
      </c>
      <c r="E2361" t="s">
        <v>96</v>
      </c>
      <c r="F2361" t="s">
        <v>96</v>
      </c>
      <c r="G2361" t="s">
        <v>96</v>
      </c>
      <c r="H2361">
        <v>2017</v>
      </c>
      <c r="I2361" t="s">
        <v>96</v>
      </c>
      <c r="J2361" t="s">
        <v>97</v>
      </c>
      <c r="K2361" t="s">
        <v>96</v>
      </c>
      <c r="L2361" t="s">
        <v>96</v>
      </c>
      <c r="M2361">
        <v>2413.9677919999999</v>
      </c>
      <c r="O2361" s="12" t="str">
        <f t="shared" si="86"/>
        <v>EUR</v>
      </c>
      <c r="P2361" s="12" t="str">
        <f t="shared" si="87"/>
        <v>EN_Hy</v>
      </c>
    </row>
    <row r="2362" spans="1:16" x14ac:dyDescent="0.35">
      <c r="A2362" t="s">
        <v>2384</v>
      </c>
      <c r="B2362" t="s">
        <v>73</v>
      </c>
      <c r="C2362" t="s">
        <v>45</v>
      </c>
      <c r="D2362" t="s">
        <v>2602</v>
      </c>
      <c r="E2362" t="s">
        <v>96</v>
      </c>
      <c r="F2362" t="s">
        <v>96</v>
      </c>
      <c r="G2362" t="s">
        <v>96</v>
      </c>
      <c r="H2362">
        <v>2017</v>
      </c>
      <c r="I2362" t="s">
        <v>96</v>
      </c>
      <c r="J2362" t="s">
        <v>97</v>
      </c>
      <c r="K2362" t="s">
        <v>96</v>
      </c>
      <c r="L2362" t="s">
        <v>96</v>
      </c>
      <c r="M2362">
        <v>4896.1207999999997</v>
      </c>
      <c r="O2362" s="12" t="str">
        <f t="shared" si="86"/>
        <v>EUR</v>
      </c>
      <c r="P2362" s="12" t="str">
        <f t="shared" si="87"/>
        <v>EN_Hy</v>
      </c>
    </row>
    <row r="2363" spans="1:16" x14ac:dyDescent="0.35">
      <c r="A2363" t="s">
        <v>2384</v>
      </c>
      <c r="B2363" t="s">
        <v>73</v>
      </c>
      <c r="C2363" t="s">
        <v>45</v>
      </c>
      <c r="D2363" t="s">
        <v>2603</v>
      </c>
      <c r="E2363" t="s">
        <v>96</v>
      </c>
      <c r="F2363" t="s">
        <v>96</v>
      </c>
      <c r="G2363" t="s">
        <v>96</v>
      </c>
      <c r="H2363">
        <v>2017</v>
      </c>
      <c r="I2363" t="s">
        <v>96</v>
      </c>
      <c r="J2363" t="s">
        <v>97</v>
      </c>
      <c r="K2363" t="s">
        <v>96</v>
      </c>
      <c r="L2363" t="s">
        <v>96</v>
      </c>
      <c r="M2363">
        <v>6919.0325599999996</v>
      </c>
      <c r="O2363" s="12" t="str">
        <f t="shared" si="86"/>
        <v>EUR</v>
      </c>
      <c r="P2363" s="12" t="str">
        <f t="shared" si="87"/>
        <v>EN_Hy</v>
      </c>
    </row>
    <row r="2364" spans="1:16" x14ac:dyDescent="0.35">
      <c r="A2364" t="s">
        <v>2384</v>
      </c>
      <c r="B2364" t="s">
        <v>73</v>
      </c>
      <c r="C2364" t="s">
        <v>45</v>
      </c>
      <c r="D2364" t="s">
        <v>2604</v>
      </c>
      <c r="E2364" t="s">
        <v>96</v>
      </c>
      <c r="F2364" t="s">
        <v>96</v>
      </c>
      <c r="G2364" t="s">
        <v>96</v>
      </c>
      <c r="H2364">
        <v>2017</v>
      </c>
      <c r="I2364" t="s">
        <v>96</v>
      </c>
      <c r="J2364" t="s">
        <v>97</v>
      </c>
      <c r="K2364" t="s">
        <v>96</v>
      </c>
      <c r="L2364" t="s">
        <v>96</v>
      </c>
      <c r="M2364">
        <v>2413.9677919999999</v>
      </c>
      <c r="O2364" s="12" t="str">
        <f t="shared" si="86"/>
        <v>EUR</v>
      </c>
      <c r="P2364" s="12" t="str">
        <f t="shared" si="87"/>
        <v>EN_Hy</v>
      </c>
    </row>
    <row r="2365" spans="1:16" x14ac:dyDescent="0.35">
      <c r="A2365" t="s">
        <v>2384</v>
      </c>
      <c r="B2365" t="s">
        <v>73</v>
      </c>
      <c r="C2365" t="s">
        <v>45</v>
      </c>
      <c r="D2365" t="s">
        <v>2605</v>
      </c>
      <c r="E2365" t="s">
        <v>96</v>
      </c>
      <c r="F2365" t="s">
        <v>96</v>
      </c>
      <c r="G2365" t="s">
        <v>96</v>
      </c>
      <c r="H2365">
        <v>2017</v>
      </c>
      <c r="I2365" t="s">
        <v>96</v>
      </c>
      <c r="J2365" t="s">
        <v>97</v>
      </c>
      <c r="K2365" t="s">
        <v>96</v>
      </c>
      <c r="L2365" t="s">
        <v>96</v>
      </c>
      <c r="M2365">
        <v>4896.1207999999997</v>
      </c>
      <c r="O2365" s="12" t="str">
        <f t="shared" si="86"/>
        <v>EUR</v>
      </c>
      <c r="P2365" s="12" t="str">
        <f t="shared" si="87"/>
        <v>EN_Hy</v>
      </c>
    </row>
    <row r="2366" spans="1:16" x14ac:dyDescent="0.35">
      <c r="A2366" t="s">
        <v>2384</v>
      </c>
      <c r="B2366" t="s">
        <v>73</v>
      </c>
      <c r="C2366" t="s">
        <v>45</v>
      </c>
      <c r="D2366" t="s">
        <v>2606</v>
      </c>
      <c r="E2366" t="s">
        <v>96</v>
      </c>
      <c r="F2366" t="s">
        <v>96</v>
      </c>
      <c r="G2366" t="s">
        <v>96</v>
      </c>
      <c r="H2366">
        <v>2017</v>
      </c>
      <c r="I2366" t="s">
        <v>96</v>
      </c>
      <c r="J2366" t="s">
        <v>97</v>
      </c>
      <c r="K2366" t="s">
        <v>96</v>
      </c>
      <c r="L2366" t="s">
        <v>96</v>
      </c>
      <c r="M2366">
        <v>6919.0325599999996</v>
      </c>
      <c r="O2366" s="12" t="str">
        <f t="shared" si="86"/>
        <v>EUR</v>
      </c>
      <c r="P2366" s="12" t="str">
        <f t="shared" si="87"/>
        <v>EN_Hy</v>
      </c>
    </row>
    <row r="2367" spans="1:16" x14ac:dyDescent="0.35">
      <c r="A2367" t="s">
        <v>2384</v>
      </c>
      <c r="B2367" t="s">
        <v>73</v>
      </c>
      <c r="C2367" t="s">
        <v>45</v>
      </c>
      <c r="D2367" t="s">
        <v>2607</v>
      </c>
      <c r="E2367" t="s">
        <v>96</v>
      </c>
      <c r="F2367" t="s">
        <v>96</v>
      </c>
      <c r="G2367" t="s">
        <v>96</v>
      </c>
      <c r="H2367">
        <v>2017</v>
      </c>
      <c r="I2367" t="s">
        <v>96</v>
      </c>
      <c r="J2367" t="s">
        <v>97</v>
      </c>
      <c r="K2367" t="s">
        <v>96</v>
      </c>
      <c r="L2367" t="s">
        <v>96</v>
      </c>
      <c r="M2367">
        <v>2413.9677919999999</v>
      </c>
      <c r="O2367" s="12" t="str">
        <f t="shared" si="86"/>
        <v>EUR</v>
      </c>
      <c r="P2367" s="12" t="str">
        <f t="shared" si="87"/>
        <v>EN_Hy</v>
      </c>
    </row>
    <row r="2368" spans="1:16" x14ac:dyDescent="0.35">
      <c r="A2368" t="s">
        <v>2384</v>
      </c>
      <c r="B2368" t="s">
        <v>73</v>
      </c>
      <c r="C2368" t="s">
        <v>45</v>
      </c>
      <c r="D2368" t="s">
        <v>2608</v>
      </c>
      <c r="E2368" t="s">
        <v>96</v>
      </c>
      <c r="F2368" t="s">
        <v>96</v>
      </c>
      <c r="G2368" t="s">
        <v>96</v>
      </c>
      <c r="H2368">
        <v>2017</v>
      </c>
      <c r="I2368" t="s">
        <v>96</v>
      </c>
      <c r="J2368" t="s">
        <v>97</v>
      </c>
      <c r="K2368" t="s">
        <v>96</v>
      </c>
      <c r="L2368" t="s">
        <v>96</v>
      </c>
      <c r="M2368">
        <v>4896.1207999999997</v>
      </c>
      <c r="O2368" s="12" t="str">
        <f t="shared" si="86"/>
        <v>EUR</v>
      </c>
      <c r="P2368" s="12" t="str">
        <f t="shared" si="87"/>
        <v>EN_Hy</v>
      </c>
    </row>
    <row r="2369" spans="1:16" x14ac:dyDescent="0.35">
      <c r="A2369" t="s">
        <v>2384</v>
      </c>
      <c r="B2369" t="s">
        <v>73</v>
      </c>
      <c r="C2369" t="s">
        <v>45</v>
      </c>
      <c r="D2369" t="s">
        <v>2609</v>
      </c>
      <c r="E2369" t="s">
        <v>96</v>
      </c>
      <c r="F2369" t="s">
        <v>96</v>
      </c>
      <c r="G2369" t="s">
        <v>96</v>
      </c>
      <c r="H2369">
        <v>2017</v>
      </c>
      <c r="I2369" t="s">
        <v>96</v>
      </c>
      <c r="J2369" t="s">
        <v>97</v>
      </c>
      <c r="K2369" t="s">
        <v>96</v>
      </c>
      <c r="L2369" t="s">
        <v>96</v>
      </c>
      <c r="M2369">
        <v>6919.0325599999996</v>
      </c>
      <c r="O2369" s="12" t="str">
        <f t="shared" si="86"/>
        <v>EUR</v>
      </c>
      <c r="P2369" s="12" t="str">
        <f t="shared" si="87"/>
        <v>EN_Hy</v>
      </c>
    </row>
    <row r="2370" spans="1:16" x14ac:dyDescent="0.35">
      <c r="A2370" t="s">
        <v>2384</v>
      </c>
      <c r="B2370" t="s">
        <v>73</v>
      </c>
      <c r="C2370" t="s">
        <v>45</v>
      </c>
      <c r="D2370" t="s">
        <v>2610</v>
      </c>
      <c r="E2370" t="s">
        <v>96</v>
      </c>
      <c r="F2370" t="s">
        <v>96</v>
      </c>
      <c r="G2370" t="s">
        <v>96</v>
      </c>
      <c r="H2370">
        <v>2017</v>
      </c>
      <c r="I2370" t="s">
        <v>96</v>
      </c>
      <c r="J2370" t="s">
        <v>97</v>
      </c>
      <c r="K2370" t="s">
        <v>96</v>
      </c>
      <c r="L2370" t="s">
        <v>96</v>
      </c>
      <c r="M2370">
        <v>2413.9677919999999</v>
      </c>
      <c r="O2370" s="12" t="str">
        <f t="shared" si="86"/>
        <v>EUR</v>
      </c>
      <c r="P2370" s="12" t="str">
        <f t="shared" si="87"/>
        <v>EN_Hy</v>
      </c>
    </row>
    <row r="2371" spans="1:16" x14ac:dyDescent="0.35">
      <c r="A2371" t="s">
        <v>2384</v>
      </c>
      <c r="B2371" t="s">
        <v>73</v>
      </c>
      <c r="C2371" t="s">
        <v>45</v>
      </c>
      <c r="D2371" t="s">
        <v>2611</v>
      </c>
      <c r="E2371" t="s">
        <v>96</v>
      </c>
      <c r="F2371" t="s">
        <v>96</v>
      </c>
      <c r="G2371" t="s">
        <v>96</v>
      </c>
      <c r="H2371">
        <v>2017</v>
      </c>
      <c r="I2371" t="s">
        <v>96</v>
      </c>
      <c r="J2371" t="s">
        <v>97</v>
      </c>
      <c r="K2371" t="s">
        <v>96</v>
      </c>
      <c r="L2371" t="s">
        <v>96</v>
      </c>
      <c r="M2371">
        <v>4896.1207999999997</v>
      </c>
      <c r="O2371" s="12" t="str">
        <f t="shared" ref="O2371:O2434" si="88">LEFT(B2371,3)</f>
        <v>EUR</v>
      </c>
      <c r="P2371" s="12" t="str">
        <f t="shared" ref="P2371:P2434" si="89">LEFT(D2371,5)</f>
        <v>EN_Hy</v>
      </c>
    </row>
    <row r="2372" spans="1:16" x14ac:dyDescent="0.35">
      <c r="A2372" t="s">
        <v>2384</v>
      </c>
      <c r="B2372" t="s">
        <v>73</v>
      </c>
      <c r="C2372" t="s">
        <v>45</v>
      </c>
      <c r="D2372" t="s">
        <v>2612</v>
      </c>
      <c r="E2372" t="s">
        <v>96</v>
      </c>
      <c r="F2372" t="s">
        <v>96</v>
      </c>
      <c r="G2372" t="s">
        <v>96</v>
      </c>
      <c r="H2372">
        <v>2017</v>
      </c>
      <c r="I2372" t="s">
        <v>96</v>
      </c>
      <c r="J2372" t="s">
        <v>97</v>
      </c>
      <c r="K2372" t="s">
        <v>96</v>
      </c>
      <c r="L2372" t="s">
        <v>96</v>
      </c>
      <c r="M2372">
        <v>6919.0325599999996</v>
      </c>
      <c r="O2372" s="12" t="str">
        <f t="shared" si="88"/>
        <v>EUR</v>
      </c>
      <c r="P2372" s="12" t="str">
        <f t="shared" si="89"/>
        <v>EN_Hy</v>
      </c>
    </row>
    <row r="2373" spans="1:16" x14ac:dyDescent="0.35">
      <c r="A2373" t="s">
        <v>2384</v>
      </c>
      <c r="B2373" t="s">
        <v>73</v>
      </c>
      <c r="C2373" t="s">
        <v>45</v>
      </c>
      <c r="D2373" t="s">
        <v>2613</v>
      </c>
      <c r="E2373" t="s">
        <v>96</v>
      </c>
      <c r="F2373" t="s">
        <v>96</v>
      </c>
      <c r="G2373" t="s">
        <v>96</v>
      </c>
      <c r="H2373">
        <v>2017</v>
      </c>
      <c r="I2373" t="s">
        <v>96</v>
      </c>
      <c r="J2373" t="s">
        <v>97</v>
      </c>
      <c r="K2373" t="s">
        <v>96</v>
      </c>
      <c r="L2373" t="s">
        <v>96</v>
      </c>
      <c r="M2373">
        <v>4521.9636799999998</v>
      </c>
      <c r="O2373" s="12" t="str">
        <f t="shared" si="88"/>
        <v>EUR</v>
      </c>
      <c r="P2373" s="12" t="str">
        <f t="shared" si="89"/>
        <v>EN_Hy</v>
      </c>
    </row>
    <row r="2374" spans="1:16" x14ac:dyDescent="0.35">
      <c r="A2374" t="s">
        <v>2384</v>
      </c>
      <c r="B2374" t="s">
        <v>73</v>
      </c>
      <c r="C2374" t="s">
        <v>45</v>
      </c>
      <c r="D2374" t="s">
        <v>2614</v>
      </c>
      <c r="E2374" t="s">
        <v>96</v>
      </c>
      <c r="F2374" t="s">
        <v>96</v>
      </c>
      <c r="G2374" t="s">
        <v>96</v>
      </c>
      <c r="H2374">
        <v>2017</v>
      </c>
      <c r="I2374" t="s">
        <v>96</v>
      </c>
      <c r="J2374" t="s">
        <v>97</v>
      </c>
      <c r="K2374" t="s">
        <v>96</v>
      </c>
      <c r="L2374" t="s">
        <v>96</v>
      </c>
      <c r="M2374">
        <v>8653.0044799999996</v>
      </c>
      <c r="O2374" s="12" t="str">
        <f t="shared" si="88"/>
        <v>EUR</v>
      </c>
      <c r="P2374" s="12" t="str">
        <f t="shared" si="89"/>
        <v>EN_Hy</v>
      </c>
    </row>
    <row r="2375" spans="1:16" x14ac:dyDescent="0.35">
      <c r="A2375" t="s">
        <v>2384</v>
      </c>
      <c r="B2375" t="s">
        <v>73</v>
      </c>
      <c r="C2375" t="s">
        <v>45</v>
      </c>
      <c r="D2375" t="s">
        <v>2615</v>
      </c>
      <c r="E2375" t="s">
        <v>96</v>
      </c>
      <c r="F2375" t="s">
        <v>96</v>
      </c>
      <c r="G2375" t="s">
        <v>96</v>
      </c>
      <c r="H2375">
        <v>2017</v>
      </c>
      <c r="I2375" t="s">
        <v>96</v>
      </c>
      <c r="J2375" t="s">
        <v>97</v>
      </c>
      <c r="K2375" t="s">
        <v>96</v>
      </c>
      <c r="L2375" t="s">
        <v>96</v>
      </c>
      <c r="M2375">
        <v>15939.4148</v>
      </c>
      <c r="O2375" s="12" t="str">
        <f t="shared" si="88"/>
        <v>EUR</v>
      </c>
      <c r="P2375" s="12" t="str">
        <f t="shared" si="89"/>
        <v>EN_Hy</v>
      </c>
    </row>
    <row r="2376" spans="1:16" x14ac:dyDescent="0.35">
      <c r="A2376" t="s">
        <v>2384</v>
      </c>
      <c r="B2376" t="s">
        <v>73</v>
      </c>
      <c r="C2376" t="s">
        <v>45</v>
      </c>
      <c r="D2376" t="s">
        <v>2616</v>
      </c>
      <c r="E2376" t="s">
        <v>96</v>
      </c>
      <c r="F2376" t="s">
        <v>96</v>
      </c>
      <c r="G2376" t="s">
        <v>96</v>
      </c>
      <c r="H2376">
        <v>2017</v>
      </c>
      <c r="I2376" t="s">
        <v>96</v>
      </c>
      <c r="J2376" t="s">
        <v>97</v>
      </c>
      <c r="K2376" t="s">
        <v>96</v>
      </c>
      <c r="L2376" t="s">
        <v>96</v>
      </c>
      <c r="M2376">
        <v>2413.9677919999999</v>
      </c>
      <c r="O2376" s="12" t="str">
        <f t="shared" si="88"/>
        <v>EUR</v>
      </c>
      <c r="P2376" s="12" t="str">
        <f t="shared" si="89"/>
        <v>EN_Hy</v>
      </c>
    </row>
    <row r="2377" spans="1:16" x14ac:dyDescent="0.35">
      <c r="A2377" t="s">
        <v>2384</v>
      </c>
      <c r="B2377" t="s">
        <v>73</v>
      </c>
      <c r="C2377" t="s">
        <v>45</v>
      </c>
      <c r="D2377" t="s">
        <v>2617</v>
      </c>
      <c r="E2377" t="s">
        <v>96</v>
      </c>
      <c r="F2377" t="s">
        <v>96</v>
      </c>
      <c r="G2377" t="s">
        <v>96</v>
      </c>
      <c r="H2377">
        <v>2017</v>
      </c>
      <c r="I2377" t="s">
        <v>96</v>
      </c>
      <c r="J2377" t="s">
        <v>97</v>
      </c>
      <c r="K2377" t="s">
        <v>96</v>
      </c>
      <c r="L2377" t="s">
        <v>96</v>
      </c>
      <c r="M2377">
        <v>4896.1207999999997</v>
      </c>
      <c r="O2377" s="12" t="str">
        <f t="shared" si="88"/>
        <v>EUR</v>
      </c>
      <c r="P2377" s="12" t="str">
        <f t="shared" si="89"/>
        <v>EN_Hy</v>
      </c>
    </row>
    <row r="2378" spans="1:16" x14ac:dyDescent="0.35">
      <c r="A2378" t="s">
        <v>2384</v>
      </c>
      <c r="B2378" t="s">
        <v>73</v>
      </c>
      <c r="C2378" t="s">
        <v>45</v>
      </c>
      <c r="D2378" t="s">
        <v>2618</v>
      </c>
      <c r="E2378" t="s">
        <v>96</v>
      </c>
      <c r="F2378" t="s">
        <v>96</v>
      </c>
      <c r="G2378" t="s">
        <v>96</v>
      </c>
      <c r="H2378">
        <v>2017</v>
      </c>
      <c r="I2378" t="s">
        <v>96</v>
      </c>
      <c r="J2378" t="s">
        <v>97</v>
      </c>
      <c r="K2378" t="s">
        <v>96</v>
      </c>
      <c r="L2378" t="s">
        <v>96</v>
      </c>
      <c r="M2378">
        <v>6919.0325599999996</v>
      </c>
      <c r="O2378" s="12" t="str">
        <f t="shared" si="88"/>
        <v>EUR</v>
      </c>
      <c r="P2378" s="12" t="str">
        <f t="shared" si="89"/>
        <v>EN_Hy</v>
      </c>
    </row>
    <row r="2379" spans="1:16" x14ac:dyDescent="0.35">
      <c r="A2379" t="s">
        <v>2384</v>
      </c>
      <c r="B2379" t="s">
        <v>73</v>
      </c>
      <c r="C2379" t="s">
        <v>45</v>
      </c>
      <c r="D2379" t="s">
        <v>2619</v>
      </c>
      <c r="E2379" t="s">
        <v>96</v>
      </c>
      <c r="F2379" t="s">
        <v>96</v>
      </c>
      <c r="G2379" t="s">
        <v>96</v>
      </c>
      <c r="H2379">
        <v>2017</v>
      </c>
      <c r="I2379" t="s">
        <v>96</v>
      </c>
      <c r="J2379" t="s">
        <v>97</v>
      </c>
      <c r="K2379" t="s">
        <v>96</v>
      </c>
      <c r="L2379" t="s">
        <v>96</v>
      </c>
      <c r="M2379">
        <v>2413.9677919999999</v>
      </c>
      <c r="O2379" s="12" t="str">
        <f t="shared" si="88"/>
        <v>EUR</v>
      </c>
      <c r="P2379" s="12" t="str">
        <f t="shared" si="89"/>
        <v>EN_Hy</v>
      </c>
    </row>
    <row r="2380" spans="1:16" x14ac:dyDescent="0.35">
      <c r="A2380" t="s">
        <v>2384</v>
      </c>
      <c r="B2380" t="s">
        <v>73</v>
      </c>
      <c r="C2380" t="s">
        <v>45</v>
      </c>
      <c r="D2380" t="s">
        <v>2620</v>
      </c>
      <c r="E2380" t="s">
        <v>96</v>
      </c>
      <c r="F2380" t="s">
        <v>96</v>
      </c>
      <c r="G2380" t="s">
        <v>96</v>
      </c>
      <c r="H2380">
        <v>2017</v>
      </c>
      <c r="I2380" t="s">
        <v>96</v>
      </c>
      <c r="J2380" t="s">
        <v>97</v>
      </c>
      <c r="K2380" t="s">
        <v>96</v>
      </c>
      <c r="L2380" t="s">
        <v>96</v>
      </c>
      <c r="M2380">
        <v>4896.1207999999997</v>
      </c>
      <c r="O2380" s="12" t="str">
        <f t="shared" si="88"/>
        <v>EUR</v>
      </c>
      <c r="P2380" s="12" t="str">
        <f t="shared" si="89"/>
        <v>EN_Hy</v>
      </c>
    </row>
    <row r="2381" spans="1:16" x14ac:dyDescent="0.35">
      <c r="A2381" t="s">
        <v>2384</v>
      </c>
      <c r="B2381" t="s">
        <v>73</v>
      </c>
      <c r="C2381" t="s">
        <v>45</v>
      </c>
      <c r="D2381" t="s">
        <v>2621</v>
      </c>
      <c r="E2381" t="s">
        <v>96</v>
      </c>
      <c r="F2381" t="s">
        <v>96</v>
      </c>
      <c r="G2381" t="s">
        <v>96</v>
      </c>
      <c r="H2381">
        <v>2017</v>
      </c>
      <c r="I2381" t="s">
        <v>96</v>
      </c>
      <c r="J2381" t="s">
        <v>97</v>
      </c>
      <c r="K2381" t="s">
        <v>96</v>
      </c>
      <c r="L2381" t="s">
        <v>96</v>
      </c>
      <c r="M2381">
        <v>6919.0325599999996</v>
      </c>
      <c r="O2381" s="12" t="str">
        <f t="shared" si="88"/>
        <v>EUR</v>
      </c>
      <c r="P2381" s="12" t="str">
        <f t="shared" si="89"/>
        <v>EN_Hy</v>
      </c>
    </row>
    <row r="2382" spans="1:16" x14ac:dyDescent="0.35">
      <c r="A2382" t="s">
        <v>2384</v>
      </c>
      <c r="B2382" t="s">
        <v>73</v>
      </c>
      <c r="C2382" t="s">
        <v>45</v>
      </c>
      <c r="D2382" t="s">
        <v>2622</v>
      </c>
      <c r="E2382" t="s">
        <v>96</v>
      </c>
      <c r="F2382" t="s">
        <v>96</v>
      </c>
      <c r="G2382" t="s">
        <v>96</v>
      </c>
      <c r="H2382">
        <v>2017</v>
      </c>
      <c r="I2382" t="s">
        <v>96</v>
      </c>
      <c r="J2382" t="s">
        <v>97</v>
      </c>
      <c r="K2382" t="s">
        <v>96</v>
      </c>
      <c r="L2382" t="s">
        <v>96</v>
      </c>
      <c r="M2382">
        <v>2413.9677919999999</v>
      </c>
      <c r="O2382" s="12" t="str">
        <f t="shared" si="88"/>
        <v>EUR</v>
      </c>
      <c r="P2382" s="12" t="str">
        <f t="shared" si="89"/>
        <v>EN_Hy</v>
      </c>
    </row>
    <row r="2383" spans="1:16" x14ac:dyDescent="0.35">
      <c r="A2383" t="s">
        <v>2384</v>
      </c>
      <c r="B2383" t="s">
        <v>73</v>
      </c>
      <c r="C2383" t="s">
        <v>45</v>
      </c>
      <c r="D2383" t="s">
        <v>2623</v>
      </c>
      <c r="E2383" t="s">
        <v>96</v>
      </c>
      <c r="F2383" t="s">
        <v>96</v>
      </c>
      <c r="G2383" t="s">
        <v>96</v>
      </c>
      <c r="H2383">
        <v>2017</v>
      </c>
      <c r="I2383" t="s">
        <v>96</v>
      </c>
      <c r="J2383" t="s">
        <v>97</v>
      </c>
      <c r="K2383" t="s">
        <v>96</v>
      </c>
      <c r="L2383" t="s">
        <v>96</v>
      </c>
      <c r="M2383">
        <v>4896.1207999999997</v>
      </c>
      <c r="O2383" s="12" t="str">
        <f t="shared" si="88"/>
        <v>EUR</v>
      </c>
      <c r="P2383" s="12" t="str">
        <f t="shared" si="89"/>
        <v>EN_Hy</v>
      </c>
    </row>
    <row r="2384" spans="1:16" x14ac:dyDescent="0.35">
      <c r="A2384" t="s">
        <v>2384</v>
      </c>
      <c r="B2384" t="s">
        <v>73</v>
      </c>
      <c r="C2384" t="s">
        <v>45</v>
      </c>
      <c r="D2384" t="s">
        <v>2624</v>
      </c>
      <c r="E2384" t="s">
        <v>96</v>
      </c>
      <c r="F2384" t="s">
        <v>96</v>
      </c>
      <c r="G2384" t="s">
        <v>96</v>
      </c>
      <c r="H2384">
        <v>2017</v>
      </c>
      <c r="I2384" t="s">
        <v>96</v>
      </c>
      <c r="J2384" t="s">
        <v>97</v>
      </c>
      <c r="K2384" t="s">
        <v>96</v>
      </c>
      <c r="L2384" t="s">
        <v>96</v>
      </c>
      <c r="M2384">
        <v>6919.0325599999996</v>
      </c>
      <c r="O2384" s="12" t="str">
        <f t="shared" si="88"/>
        <v>EUR</v>
      </c>
      <c r="P2384" s="12" t="str">
        <f t="shared" si="89"/>
        <v>EN_Hy</v>
      </c>
    </row>
    <row r="2385" spans="1:16" x14ac:dyDescent="0.35">
      <c r="A2385" t="s">
        <v>2384</v>
      </c>
      <c r="B2385" t="s">
        <v>73</v>
      </c>
      <c r="C2385" t="s">
        <v>45</v>
      </c>
      <c r="D2385" t="s">
        <v>2625</v>
      </c>
      <c r="E2385" t="s">
        <v>96</v>
      </c>
      <c r="F2385" t="s">
        <v>96</v>
      </c>
      <c r="G2385" t="s">
        <v>96</v>
      </c>
      <c r="H2385">
        <v>2017</v>
      </c>
      <c r="I2385" t="s">
        <v>96</v>
      </c>
      <c r="J2385" t="s">
        <v>97</v>
      </c>
      <c r="K2385" t="s">
        <v>96</v>
      </c>
      <c r="L2385" t="s">
        <v>96</v>
      </c>
      <c r="M2385">
        <v>2413.9677919999999</v>
      </c>
      <c r="O2385" s="12" t="str">
        <f t="shared" si="88"/>
        <v>EUR</v>
      </c>
      <c r="P2385" s="12" t="str">
        <f t="shared" si="89"/>
        <v>EN_Hy</v>
      </c>
    </row>
    <row r="2386" spans="1:16" x14ac:dyDescent="0.35">
      <c r="A2386" t="s">
        <v>2384</v>
      </c>
      <c r="B2386" t="s">
        <v>73</v>
      </c>
      <c r="C2386" t="s">
        <v>45</v>
      </c>
      <c r="D2386" t="s">
        <v>2626</v>
      </c>
      <c r="E2386" t="s">
        <v>96</v>
      </c>
      <c r="F2386" t="s">
        <v>96</v>
      </c>
      <c r="G2386" t="s">
        <v>96</v>
      </c>
      <c r="H2386">
        <v>2017</v>
      </c>
      <c r="I2386" t="s">
        <v>96</v>
      </c>
      <c r="J2386" t="s">
        <v>97</v>
      </c>
      <c r="K2386" t="s">
        <v>96</v>
      </c>
      <c r="L2386" t="s">
        <v>96</v>
      </c>
      <c r="M2386">
        <v>4896.1207999999997</v>
      </c>
      <c r="O2386" s="12" t="str">
        <f t="shared" si="88"/>
        <v>EUR</v>
      </c>
      <c r="P2386" s="12" t="str">
        <f t="shared" si="89"/>
        <v>EN_Hy</v>
      </c>
    </row>
    <row r="2387" spans="1:16" x14ac:dyDescent="0.35">
      <c r="A2387" t="s">
        <v>2384</v>
      </c>
      <c r="B2387" t="s">
        <v>73</v>
      </c>
      <c r="C2387" t="s">
        <v>45</v>
      </c>
      <c r="D2387" t="s">
        <v>2627</v>
      </c>
      <c r="E2387" t="s">
        <v>96</v>
      </c>
      <c r="F2387" t="s">
        <v>96</v>
      </c>
      <c r="G2387" t="s">
        <v>96</v>
      </c>
      <c r="H2387">
        <v>2017</v>
      </c>
      <c r="I2387" t="s">
        <v>96</v>
      </c>
      <c r="J2387" t="s">
        <v>97</v>
      </c>
      <c r="K2387" t="s">
        <v>96</v>
      </c>
      <c r="L2387" t="s">
        <v>96</v>
      </c>
      <c r="M2387">
        <v>6919.0325599999996</v>
      </c>
      <c r="O2387" s="12" t="str">
        <f t="shared" si="88"/>
        <v>EUR</v>
      </c>
      <c r="P2387" s="12" t="str">
        <f t="shared" si="89"/>
        <v>EN_Hy</v>
      </c>
    </row>
    <row r="2388" spans="1:16" x14ac:dyDescent="0.35">
      <c r="A2388" t="s">
        <v>2384</v>
      </c>
      <c r="B2388" t="s">
        <v>73</v>
      </c>
      <c r="C2388" t="s">
        <v>45</v>
      </c>
      <c r="D2388" t="s">
        <v>2628</v>
      </c>
      <c r="E2388" t="s">
        <v>96</v>
      </c>
      <c r="F2388" t="s">
        <v>96</v>
      </c>
      <c r="G2388" t="s">
        <v>96</v>
      </c>
      <c r="H2388">
        <v>2017</v>
      </c>
      <c r="I2388" t="s">
        <v>96</v>
      </c>
      <c r="J2388" t="s">
        <v>97</v>
      </c>
      <c r="K2388" t="s">
        <v>96</v>
      </c>
      <c r="L2388" t="s">
        <v>96</v>
      </c>
      <c r="M2388">
        <v>2413.9677919999999</v>
      </c>
      <c r="O2388" s="12" t="str">
        <f t="shared" si="88"/>
        <v>EUR</v>
      </c>
      <c r="P2388" s="12" t="str">
        <f t="shared" si="89"/>
        <v>EN_Hy</v>
      </c>
    </row>
    <row r="2389" spans="1:16" x14ac:dyDescent="0.35">
      <c r="A2389" t="s">
        <v>2384</v>
      </c>
      <c r="B2389" t="s">
        <v>73</v>
      </c>
      <c r="C2389" t="s">
        <v>45</v>
      </c>
      <c r="D2389" t="s">
        <v>2629</v>
      </c>
      <c r="E2389" t="s">
        <v>96</v>
      </c>
      <c r="F2389" t="s">
        <v>96</v>
      </c>
      <c r="G2389" t="s">
        <v>96</v>
      </c>
      <c r="H2389">
        <v>2017</v>
      </c>
      <c r="I2389" t="s">
        <v>96</v>
      </c>
      <c r="J2389" t="s">
        <v>97</v>
      </c>
      <c r="K2389" t="s">
        <v>96</v>
      </c>
      <c r="L2389" t="s">
        <v>96</v>
      </c>
      <c r="M2389">
        <v>4896.1207999999997</v>
      </c>
      <c r="O2389" s="12" t="str">
        <f t="shared" si="88"/>
        <v>EUR</v>
      </c>
      <c r="P2389" s="12" t="str">
        <f t="shared" si="89"/>
        <v>EN_Hy</v>
      </c>
    </row>
    <row r="2390" spans="1:16" x14ac:dyDescent="0.35">
      <c r="A2390" t="s">
        <v>2384</v>
      </c>
      <c r="B2390" t="s">
        <v>73</v>
      </c>
      <c r="C2390" t="s">
        <v>45</v>
      </c>
      <c r="D2390" t="s">
        <v>2630</v>
      </c>
      <c r="E2390" t="s">
        <v>96</v>
      </c>
      <c r="F2390" t="s">
        <v>96</v>
      </c>
      <c r="G2390" t="s">
        <v>96</v>
      </c>
      <c r="H2390">
        <v>2017</v>
      </c>
      <c r="I2390" t="s">
        <v>96</v>
      </c>
      <c r="J2390" t="s">
        <v>97</v>
      </c>
      <c r="K2390" t="s">
        <v>96</v>
      </c>
      <c r="L2390" t="s">
        <v>96</v>
      </c>
      <c r="M2390">
        <v>6919.0325599999996</v>
      </c>
      <c r="O2390" s="12" t="str">
        <f t="shared" si="88"/>
        <v>EUR</v>
      </c>
      <c r="P2390" s="12" t="str">
        <f t="shared" si="89"/>
        <v>EN_Hy</v>
      </c>
    </row>
    <row r="2391" spans="1:16" x14ac:dyDescent="0.35">
      <c r="A2391" t="s">
        <v>2384</v>
      </c>
      <c r="B2391" t="s">
        <v>73</v>
      </c>
      <c r="C2391" t="s">
        <v>45</v>
      </c>
      <c r="D2391" t="s">
        <v>2631</v>
      </c>
      <c r="E2391" t="s">
        <v>96</v>
      </c>
      <c r="F2391" t="s">
        <v>96</v>
      </c>
      <c r="G2391" t="s">
        <v>96</v>
      </c>
      <c r="H2391">
        <v>2017</v>
      </c>
      <c r="I2391" t="s">
        <v>96</v>
      </c>
      <c r="J2391" t="s">
        <v>97</v>
      </c>
      <c r="K2391" t="s">
        <v>96</v>
      </c>
      <c r="L2391" t="s">
        <v>96</v>
      </c>
      <c r="M2391">
        <v>2413.9677919999999</v>
      </c>
      <c r="O2391" s="12" t="str">
        <f t="shared" si="88"/>
        <v>EUR</v>
      </c>
      <c r="P2391" s="12" t="str">
        <f t="shared" si="89"/>
        <v>EN_Hy</v>
      </c>
    </row>
    <row r="2392" spans="1:16" x14ac:dyDescent="0.35">
      <c r="A2392" t="s">
        <v>2384</v>
      </c>
      <c r="B2392" t="s">
        <v>73</v>
      </c>
      <c r="C2392" t="s">
        <v>45</v>
      </c>
      <c r="D2392" t="s">
        <v>2632</v>
      </c>
      <c r="E2392" t="s">
        <v>96</v>
      </c>
      <c r="F2392" t="s">
        <v>96</v>
      </c>
      <c r="G2392" t="s">
        <v>96</v>
      </c>
      <c r="H2392">
        <v>2017</v>
      </c>
      <c r="I2392" t="s">
        <v>96</v>
      </c>
      <c r="J2392" t="s">
        <v>97</v>
      </c>
      <c r="K2392" t="s">
        <v>96</v>
      </c>
      <c r="L2392" t="s">
        <v>96</v>
      </c>
      <c r="M2392">
        <v>4896.1207999999997</v>
      </c>
      <c r="O2392" s="12" t="str">
        <f t="shared" si="88"/>
        <v>EUR</v>
      </c>
      <c r="P2392" s="12" t="str">
        <f t="shared" si="89"/>
        <v>EN_Hy</v>
      </c>
    </row>
    <row r="2393" spans="1:16" x14ac:dyDescent="0.35">
      <c r="A2393" t="s">
        <v>2384</v>
      </c>
      <c r="B2393" t="s">
        <v>73</v>
      </c>
      <c r="C2393" t="s">
        <v>45</v>
      </c>
      <c r="D2393" t="s">
        <v>2633</v>
      </c>
      <c r="E2393" t="s">
        <v>96</v>
      </c>
      <c r="F2393" t="s">
        <v>96</v>
      </c>
      <c r="G2393" t="s">
        <v>96</v>
      </c>
      <c r="H2393">
        <v>2017</v>
      </c>
      <c r="I2393" t="s">
        <v>96</v>
      </c>
      <c r="J2393" t="s">
        <v>97</v>
      </c>
      <c r="K2393" t="s">
        <v>96</v>
      </c>
      <c r="L2393" t="s">
        <v>96</v>
      </c>
      <c r="M2393">
        <v>6919.0325599999996</v>
      </c>
      <c r="O2393" s="12" t="str">
        <f t="shared" si="88"/>
        <v>EUR</v>
      </c>
      <c r="P2393" s="12" t="str">
        <f t="shared" si="89"/>
        <v>EN_Hy</v>
      </c>
    </row>
    <row r="2394" spans="1:16" x14ac:dyDescent="0.35">
      <c r="A2394" t="s">
        <v>2384</v>
      </c>
      <c r="B2394" t="s">
        <v>73</v>
      </c>
      <c r="C2394" t="s">
        <v>45</v>
      </c>
      <c r="D2394" t="s">
        <v>2634</v>
      </c>
      <c r="E2394" t="s">
        <v>96</v>
      </c>
      <c r="F2394" t="s">
        <v>96</v>
      </c>
      <c r="G2394" t="s">
        <v>96</v>
      </c>
      <c r="H2394">
        <v>2017</v>
      </c>
      <c r="I2394" t="s">
        <v>96</v>
      </c>
      <c r="J2394" t="s">
        <v>97</v>
      </c>
      <c r="K2394" t="s">
        <v>96</v>
      </c>
      <c r="L2394" t="s">
        <v>96</v>
      </c>
      <c r="M2394">
        <v>2413.9677919999999</v>
      </c>
      <c r="O2394" s="12" t="str">
        <f t="shared" si="88"/>
        <v>EUR</v>
      </c>
      <c r="P2394" s="12" t="str">
        <f t="shared" si="89"/>
        <v>EN_Hy</v>
      </c>
    </row>
    <row r="2395" spans="1:16" x14ac:dyDescent="0.35">
      <c r="A2395" t="s">
        <v>2384</v>
      </c>
      <c r="B2395" t="s">
        <v>73</v>
      </c>
      <c r="C2395" t="s">
        <v>45</v>
      </c>
      <c r="D2395" t="s">
        <v>2635</v>
      </c>
      <c r="E2395" t="s">
        <v>96</v>
      </c>
      <c r="F2395" t="s">
        <v>96</v>
      </c>
      <c r="G2395" t="s">
        <v>96</v>
      </c>
      <c r="H2395">
        <v>2017</v>
      </c>
      <c r="I2395" t="s">
        <v>96</v>
      </c>
      <c r="J2395" t="s">
        <v>97</v>
      </c>
      <c r="K2395" t="s">
        <v>96</v>
      </c>
      <c r="L2395" t="s">
        <v>96</v>
      </c>
      <c r="M2395">
        <v>4896.1207999999997</v>
      </c>
      <c r="O2395" s="12" t="str">
        <f t="shared" si="88"/>
        <v>EUR</v>
      </c>
      <c r="P2395" s="12" t="str">
        <f t="shared" si="89"/>
        <v>EN_Hy</v>
      </c>
    </row>
    <row r="2396" spans="1:16" x14ac:dyDescent="0.35">
      <c r="A2396" t="s">
        <v>2384</v>
      </c>
      <c r="B2396" t="s">
        <v>73</v>
      </c>
      <c r="C2396" t="s">
        <v>45</v>
      </c>
      <c r="D2396" t="s">
        <v>2636</v>
      </c>
      <c r="E2396" t="s">
        <v>96</v>
      </c>
      <c r="F2396" t="s">
        <v>96</v>
      </c>
      <c r="G2396" t="s">
        <v>96</v>
      </c>
      <c r="H2396">
        <v>2017</v>
      </c>
      <c r="I2396" t="s">
        <v>96</v>
      </c>
      <c r="J2396" t="s">
        <v>97</v>
      </c>
      <c r="K2396" t="s">
        <v>96</v>
      </c>
      <c r="L2396" t="s">
        <v>96</v>
      </c>
      <c r="M2396">
        <v>6919.0325599999996</v>
      </c>
      <c r="O2396" s="12" t="str">
        <f t="shared" si="88"/>
        <v>EUR</v>
      </c>
      <c r="P2396" s="12" t="str">
        <f t="shared" si="89"/>
        <v>EN_Hy</v>
      </c>
    </row>
    <row r="2397" spans="1:16" x14ac:dyDescent="0.35">
      <c r="A2397" t="s">
        <v>2384</v>
      </c>
      <c r="B2397" t="s">
        <v>73</v>
      </c>
      <c r="C2397" t="s">
        <v>45</v>
      </c>
      <c r="D2397" t="s">
        <v>2637</v>
      </c>
      <c r="E2397" t="s">
        <v>96</v>
      </c>
      <c r="F2397" t="s">
        <v>96</v>
      </c>
      <c r="G2397" t="s">
        <v>96</v>
      </c>
      <c r="H2397">
        <v>2017</v>
      </c>
      <c r="I2397" t="s">
        <v>96</v>
      </c>
      <c r="J2397" t="s">
        <v>97</v>
      </c>
      <c r="K2397" t="s">
        <v>96</v>
      </c>
      <c r="L2397" t="s">
        <v>96</v>
      </c>
      <c r="M2397">
        <v>2552.6499800000001</v>
      </c>
      <c r="O2397" s="12" t="str">
        <f t="shared" si="88"/>
        <v>EUR</v>
      </c>
      <c r="P2397" s="12" t="str">
        <f t="shared" si="89"/>
        <v>EN_Hy</v>
      </c>
    </row>
    <row r="2398" spans="1:16" x14ac:dyDescent="0.35">
      <c r="A2398" t="s">
        <v>2384</v>
      </c>
      <c r="B2398" t="s">
        <v>73</v>
      </c>
      <c r="C2398" t="s">
        <v>45</v>
      </c>
      <c r="D2398" t="s">
        <v>2638</v>
      </c>
      <c r="E2398" t="s">
        <v>96</v>
      </c>
      <c r="F2398" t="s">
        <v>96</v>
      </c>
      <c r="G2398" t="s">
        <v>96</v>
      </c>
      <c r="H2398">
        <v>2017</v>
      </c>
      <c r="I2398" t="s">
        <v>96</v>
      </c>
      <c r="J2398" t="s">
        <v>97</v>
      </c>
      <c r="K2398" t="s">
        <v>96</v>
      </c>
      <c r="L2398" t="s">
        <v>96</v>
      </c>
      <c r="M2398">
        <v>4197.4669999999996</v>
      </c>
      <c r="O2398" s="12" t="str">
        <f t="shared" si="88"/>
        <v>EUR</v>
      </c>
      <c r="P2398" s="12" t="str">
        <f t="shared" si="89"/>
        <v>EN_Hy</v>
      </c>
    </row>
    <row r="2399" spans="1:16" x14ac:dyDescent="0.35">
      <c r="A2399" t="s">
        <v>2384</v>
      </c>
      <c r="B2399" t="s">
        <v>73</v>
      </c>
      <c r="C2399" t="s">
        <v>45</v>
      </c>
      <c r="D2399" t="s">
        <v>2639</v>
      </c>
      <c r="E2399" t="s">
        <v>96</v>
      </c>
      <c r="F2399" t="s">
        <v>96</v>
      </c>
      <c r="G2399" t="s">
        <v>96</v>
      </c>
      <c r="H2399">
        <v>2017</v>
      </c>
      <c r="I2399" t="s">
        <v>96</v>
      </c>
      <c r="J2399" t="s">
        <v>97</v>
      </c>
      <c r="K2399" t="s">
        <v>96</v>
      </c>
      <c r="L2399" t="s">
        <v>96</v>
      </c>
      <c r="M2399">
        <v>7395.9182000000001</v>
      </c>
      <c r="O2399" s="12" t="str">
        <f t="shared" si="88"/>
        <v>EUR</v>
      </c>
      <c r="P2399" s="12" t="str">
        <f t="shared" si="89"/>
        <v>EN_Hy</v>
      </c>
    </row>
    <row r="2400" spans="1:16" x14ac:dyDescent="0.35">
      <c r="A2400" t="s">
        <v>2384</v>
      </c>
      <c r="B2400" t="s">
        <v>73</v>
      </c>
      <c r="C2400" t="s">
        <v>45</v>
      </c>
      <c r="D2400" t="s">
        <v>2640</v>
      </c>
      <c r="E2400" t="s">
        <v>96</v>
      </c>
      <c r="F2400" t="s">
        <v>96</v>
      </c>
      <c r="G2400" t="s">
        <v>96</v>
      </c>
      <c r="H2400">
        <v>2017</v>
      </c>
      <c r="I2400" t="s">
        <v>96</v>
      </c>
      <c r="J2400" t="s">
        <v>97</v>
      </c>
      <c r="K2400" t="s">
        <v>96</v>
      </c>
      <c r="L2400" t="s">
        <v>96</v>
      </c>
      <c r="M2400">
        <v>2413.9677919999999</v>
      </c>
      <c r="O2400" s="12" t="str">
        <f t="shared" si="88"/>
        <v>EUR</v>
      </c>
      <c r="P2400" s="12" t="str">
        <f t="shared" si="89"/>
        <v>EN_Hy</v>
      </c>
    </row>
    <row r="2401" spans="1:16" x14ac:dyDescent="0.35">
      <c r="A2401" t="s">
        <v>2384</v>
      </c>
      <c r="B2401" t="s">
        <v>73</v>
      </c>
      <c r="C2401" t="s">
        <v>45</v>
      </c>
      <c r="D2401" t="s">
        <v>2641</v>
      </c>
      <c r="E2401" t="s">
        <v>96</v>
      </c>
      <c r="F2401" t="s">
        <v>96</v>
      </c>
      <c r="G2401" t="s">
        <v>96</v>
      </c>
      <c r="H2401">
        <v>2017</v>
      </c>
      <c r="I2401" t="s">
        <v>96</v>
      </c>
      <c r="J2401" t="s">
        <v>97</v>
      </c>
      <c r="K2401" t="s">
        <v>96</v>
      </c>
      <c r="L2401" t="s">
        <v>96</v>
      </c>
      <c r="M2401">
        <v>4896.1207999999997</v>
      </c>
      <c r="O2401" s="12" t="str">
        <f t="shared" si="88"/>
        <v>EUR</v>
      </c>
      <c r="P2401" s="12" t="str">
        <f t="shared" si="89"/>
        <v>EN_Hy</v>
      </c>
    </row>
    <row r="2402" spans="1:16" x14ac:dyDescent="0.35">
      <c r="A2402" t="s">
        <v>2384</v>
      </c>
      <c r="B2402" t="s">
        <v>73</v>
      </c>
      <c r="C2402" t="s">
        <v>45</v>
      </c>
      <c r="D2402" t="s">
        <v>2642</v>
      </c>
      <c r="E2402" t="s">
        <v>96</v>
      </c>
      <c r="F2402" t="s">
        <v>96</v>
      </c>
      <c r="G2402" t="s">
        <v>96</v>
      </c>
      <c r="H2402">
        <v>2017</v>
      </c>
      <c r="I2402" t="s">
        <v>96</v>
      </c>
      <c r="J2402" t="s">
        <v>97</v>
      </c>
      <c r="K2402" t="s">
        <v>96</v>
      </c>
      <c r="L2402" t="s">
        <v>96</v>
      </c>
      <c r="M2402">
        <v>6919.0325599999996</v>
      </c>
      <c r="O2402" s="12" t="str">
        <f t="shared" si="88"/>
        <v>EUR</v>
      </c>
      <c r="P2402" s="12" t="str">
        <f t="shared" si="89"/>
        <v>EN_Hy</v>
      </c>
    </row>
    <row r="2403" spans="1:16" x14ac:dyDescent="0.35">
      <c r="A2403" t="s">
        <v>2384</v>
      </c>
      <c r="B2403" t="s">
        <v>73</v>
      </c>
      <c r="C2403" t="s">
        <v>45</v>
      </c>
      <c r="D2403" t="s">
        <v>2643</v>
      </c>
      <c r="E2403" t="s">
        <v>96</v>
      </c>
      <c r="F2403" t="s">
        <v>96</v>
      </c>
      <c r="G2403" t="s">
        <v>96</v>
      </c>
      <c r="H2403">
        <v>2017</v>
      </c>
      <c r="I2403" t="s">
        <v>96</v>
      </c>
      <c r="J2403" t="s">
        <v>97</v>
      </c>
      <c r="K2403" t="s">
        <v>96</v>
      </c>
      <c r="L2403" t="s">
        <v>96</v>
      </c>
      <c r="M2403">
        <v>2413.9677919999999</v>
      </c>
      <c r="O2403" s="12" t="str">
        <f t="shared" si="88"/>
        <v>EUR</v>
      </c>
      <c r="P2403" s="12" t="str">
        <f t="shared" si="89"/>
        <v>EN_Hy</v>
      </c>
    </row>
    <row r="2404" spans="1:16" x14ac:dyDescent="0.35">
      <c r="A2404" t="s">
        <v>2384</v>
      </c>
      <c r="B2404" t="s">
        <v>73</v>
      </c>
      <c r="C2404" t="s">
        <v>45</v>
      </c>
      <c r="D2404" t="s">
        <v>2644</v>
      </c>
      <c r="E2404" t="s">
        <v>96</v>
      </c>
      <c r="F2404" t="s">
        <v>96</v>
      </c>
      <c r="G2404" t="s">
        <v>96</v>
      </c>
      <c r="H2404">
        <v>2017</v>
      </c>
      <c r="I2404" t="s">
        <v>96</v>
      </c>
      <c r="J2404" t="s">
        <v>97</v>
      </c>
      <c r="K2404" t="s">
        <v>96</v>
      </c>
      <c r="L2404" t="s">
        <v>96</v>
      </c>
      <c r="M2404">
        <v>4896.1207999999997</v>
      </c>
      <c r="O2404" s="12" t="str">
        <f t="shared" si="88"/>
        <v>EUR</v>
      </c>
      <c r="P2404" s="12" t="str">
        <f t="shared" si="89"/>
        <v>EN_Hy</v>
      </c>
    </row>
    <row r="2405" spans="1:16" x14ac:dyDescent="0.35">
      <c r="A2405" t="s">
        <v>2384</v>
      </c>
      <c r="B2405" t="s">
        <v>73</v>
      </c>
      <c r="C2405" t="s">
        <v>45</v>
      </c>
      <c r="D2405" t="s">
        <v>2645</v>
      </c>
      <c r="E2405" t="s">
        <v>96</v>
      </c>
      <c r="F2405" t="s">
        <v>96</v>
      </c>
      <c r="G2405" t="s">
        <v>96</v>
      </c>
      <c r="H2405">
        <v>2017</v>
      </c>
      <c r="I2405" t="s">
        <v>96</v>
      </c>
      <c r="J2405" t="s">
        <v>97</v>
      </c>
      <c r="K2405" t="s">
        <v>96</v>
      </c>
      <c r="L2405" t="s">
        <v>96</v>
      </c>
      <c r="M2405">
        <v>6919.0325599999996</v>
      </c>
      <c r="O2405" s="12" t="str">
        <f t="shared" si="88"/>
        <v>EUR</v>
      </c>
      <c r="P2405" s="12" t="str">
        <f t="shared" si="89"/>
        <v>EN_Hy</v>
      </c>
    </row>
    <row r="2406" spans="1:16" x14ac:dyDescent="0.35">
      <c r="A2406" t="s">
        <v>2384</v>
      </c>
      <c r="B2406" t="s">
        <v>73</v>
      </c>
      <c r="C2406" t="s">
        <v>45</v>
      </c>
      <c r="D2406" t="s">
        <v>2646</v>
      </c>
      <c r="E2406" t="s">
        <v>96</v>
      </c>
      <c r="F2406" t="s">
        <v>96</v>
      </c>
      <c r="G2406" t="s">
        <v>96</v>
      </c>
      <c r="H2406">
        <v>2017</v>
      </c>
      <c r="I2406" t="s">
        <v>96</v>
      </c>
      <c r="J2406" t="s">
        <v>97</v>
      </c>
      <c r="K2406" t="s">
        <v>96</v>
      </c>
      <c r="L2406" t="s">
        <v>96</v>
      </c>
      <c r="M2406">
        <v>2413.9677919999999</v>
      </c>
      <c r="O2406" s="12" t="str">
        <f t="shared" si="88"/>
        <v>EUR</v>
      </c>
      <c r="P2406" s="12" t="str">
        <f t="shared" si="89"/>
        <v>EN_Hy</v>
      </c>
    </row>
    <row r="2407" spans="1:16" x14ac:dyDescent="0.35">
      <c r="A2407" t="s">
        <v>2384</v>
      </c>
      <c r="B2407" t="s">
        <v>73</v>
      </c>
      <c r="C2407" t="s">
        <v>45</v>
      </c>
      <c r="D2407" t="s">
        <v>2647</v>
      </c>
      <c r="E2407" t="s">
        <v>96</v>
      </c>
      <c r="F2407" t="s">
        <v>96</v>
      </c>
      <c r="G2407" t="s">
        <v>96</v>
      </c>
      <c r="H2407">
        <v>2017</v>
      </c>
      <c r="I2407" t="s">
        <v>96</v>
      </c>
      <c r="J2407" t="s">
        <v>97</v>
      </c>
      <c r="K2407" t="s">
        <v>96</v>
      </c>
      <c r="L2407" t="s">
        <v>96</v>
      </c>
      <c r="M2407">
        <v>4896.1207999999997</v>
      </c>
      <c r="O2407" s="12" t="str">
        <f t="shared" si="88"/>
        <v>EUR</v>
      </c>
      <c r="P2407" s="12" t="str">
        <f t="shared" si="89"/>
        <v>EN_Hy</v>
      </c>
    </row>
    <row r="2408" spans="1:16" x14ac:dyDescent="0.35">
      <c r="A2408" t="s">
        <v>2384</v>
      </c>
      <c r="B2408" t="s">
        <v>73</v>
      </c>
      <c r="C2408" t="s">
        <v>45</v>
      </c>
      <c r="D2408" t="s">
        <v>2648</v>
      </c>
      <c r="E2408" t="s">
        <v>96</v>
      </c>
      <c r="F2408" t="s">
        <v>96</v>
      </c>
      <c r="G2408" t="s">
        <v>96</v>
      </c>
      <c r="H2408">
        <v>2017</v>
      </c>
      <c r="I2408" t="s">
        <v>96</v>
      </c>
      <c r="J2408" t="s">
        <v>97</v>
      </c>
      <c r="K2408" t="s">
        <v>96</v>
      </c>
      <c r="L2408" t="s">
        <v>96</v>
      </c>
      <c r="M2408">
        <v>6919.0325599999996</v>
      </c>
      <c r="O2408" s="12" t="str">
        <f t="shared" si="88"/>
        <v>EUR</v>
      </c>
      <c r="P2408" s="12" t="str">
        <f t="shared" si="89"/>
        <v>EN_Hy</v>
      </c>
    </row>
    <row r="2409" spans="1:16" x14ac:dyDescent="0.35">
      <c r="A2409" t="s">
        <v>2384</v>
      </c>
      <c r="B2409" t="s">
        <v>73</v>
      </c>
      <c r="C2409" t="s">
        <v>45</v>
      </c>
      <c r="D2409" t="s">
        <v>2649</v>
      </c>
      <c r="E2409" t="s">
        <v>96</v>
      </c>
      <c r="F2409" t="s">
        <v>96</v>
      </c>
      <c r="G2409" t="s">
        <v>96</v>
      </c>
      <c r="H2409">
        <v>2017</v>
      </c>
      <c r="I2409" t="s">
        <v>96</v>
      </c>
      <c r="J2409" t="s">
        <v>97</v>
      </c>
      <c r="K2409" t="s">
        <v>96</v>
      </c>
      <c r="L2409" t="s">
        <v>96</v>
      </c>
      <c r="M2409">
        <v>2413.9677919999999</v>
      </c>
      <c r="O2409" s="12" t="str">
        <f t="shared" si="88"/>
        <v>EUR</v>
      </c>
      <c r="P2409" s="12" t="str">
        <f t="shared" si="89"/>
        <v>EN_Hy</v>
      </c>
    </row>
    <row r="2410" spans="1:16" x14ac:dyDescent="0.35">
      <c r="A2410" t="s">
        <v>2384</v>
      </c>
      <c r="B2410" t="s">
        <v>73</v>
      </c>
      <c r="C2410" t="s">
        <v>45</v>
      </c>
      <c r="D2410" t="s">
        <v>2650</v>
      </c>
      <c r="E2410" t="s">
        <v>96</v>
      </c>
      <c r="F2410" t="s">
        <v>96</v>
      </c>
      <c r="G2410" t="s">
        <v>96</v>
      </c>
      <c r="H2410">
        <v>2017</v>
      </c>
      <c r="I2410" t="s">
        <v>96</v>
      </c>
      <c r="J2410" t="s">
        <v>97</v>
      </c>
      <c r="K2410" t="s">
        <v>96</v>
      </c>
      <c r="L2410" t="s">
        <v>96</v>
      </c>
      <c r="M2410">
        <v>4896.1207999999997</v>
      </c>
      <c r="O2410" s="12" t="str">
        <f t="shared" si="88"/>
        <v>EUR</v>
      </c>
      <c r="P2410" s="12" t="str">
        <f t="shared" si="89"/>
        <v>EN_Hy</v>
      </c>
    </row>
    <row r="2411" spans="1:16" x14ac:dyDescent="0.35">
      <c r="A2411" t="s">
        <v>2384</v>
      </c>
      <c r="B2411" t="s">
        <v>73</v>
      </c>
      <c r="C2411" t="s">
        <v>45</v>
      </c>
      <c r="D2411" t="s">
        <v>2651</v>
      </c>
      <c r="E2411" t="s">
        <v>96</v>
      </c>
      <c r="F2411" t="s">
        <v>96</v>
      </c>
      <c r="G2411" t="s">
        <v>96</v>
      </c>
      <c r="H2411">
        <v>2017</v>
      </c>
      <c r="I2411" t="s">
        <v>96</v>
      </c>
      <c r="J2411" t="s">
        <v>97</v>
      </c>
      <c r="K2411" t="s">
        <v>96</v>
      </c>
      <c r="L2411" t="s">
        <v>96</v>
      </c>
      <c r="M2411">
        <v>6919.0325599999996</v>
      </c>
      <c r="O2411" s="12" t="str">
        <f t="shared" si="88"/>
        <v>EUR</v>
      </c>
      <c r="P2411" s="12" t="str">
        <f t="shared" si="89"/>
        <v>EN_Hy</v>
      </c>
    </row>
    <row r="2412" spans="1:16" x14ac:dyDescent="0.35">
      <c r="A2412" t="s">
        <v>2384</v>
      </c>
      <c r="B2412" t="s">
        <v>73</v>
      </c>
      <c r="C2412" t="s">
        <v>45</v>
      </c>
      <c r="D2412" t="s">
        <v>2652</v>
      </c>
      <c r="E2412" t="s">
        <v>96</v>
      </c>
      <c r="F2412" t="s">
        <v>96</v>
      </c>
      <c r="G2412" t="s">
        <v>96</v>
      </c>
      <c r="H2412">
        <v>2017</v>
      </c>
      <c r="I2412" t="s">
        <v>96</v>
      </c>
      <c r="J2412" t="s">
        <v>97</v>
      </c>
      <c r="K2412" t="s">
        <v>96</v>
      </c>
      <c r="L2412" t="s">
        <v>96</v>
      </c>
      <c r="M2412">
        <v>2413.9677919999999</v>
      </c>
      <c r="O2412" s="12" t="str">
        <f t="shared" si="88"/>
        <v>EUR</v>
      </c>
      <c r="P2412" s="12" t="str">
        <f t="shared" si="89"/>
        <v>EN_Hy</v>
      </c>
    </row>
    <row r="2413" spans="1:16" x14ac:dyDescent="0.35">
      <c r="A2413" t="s">
        <v>2384</v>
      </c>
      <c r="B2413" t="s">
        <v>73</v>
      </c>
      <c r="C2413" t="s">
        <v>45</v>
      </c>
      <c r="D2413" t="s">
        <v>2653</v>
      </c>
      <c r="E2413" t="s">
        <v>96</v>
      </c>
      <c r="F2413" t="s">
        <v>96</v>
      </c>
      <c r="G2413" t="s">
        <v>96</v>
      </c>
      <c r="H2413">
        <v>2017</v>
      </c>
      <c r="I2413" t="s">
        <v>96</v>
      </c>
      <c r="J2413" t="s">
        <v>97</v>
      </c>
      <c r="K2413" t="s">
        <v>96</v>
      </c>
      <c r="L2413" t="s">
        <v>96</v>
      </c>
      <c r="M2413">
        <v>4896.1207999999997</v>
      </c>
      <c r="O2413" s="12" t="str">
        <f t="shared" si="88"/>
        <v>EUR</v>
      </c>
      <c r="P2413" s="12" t="str">
        <f t="shared" si="89"/>
        <v>EN_Hy</v>
      </c>
    </row>
    <row r="2414" spans="1:16" x14ac:dyDescent="0.35">
      <c r="A2414" t="s">
        <v>2384</v>
      </c>
      <c r="B2414" t="s">
        <v>73</v>
      </c>
      <c r="C2414" t="s">
        <v>45</v>
      </c>
      <c r="D2414" t="s">
        <v>2654</v>
      </c>
      <c r="E2414" t="s">
        <v>96</v>
      </c>
      <c r="F2414" t="s">
        <v>96</v>
      </c>
      <c r="G2414" t="s">
        <v>96</v>
      </c>
      <c r="H2414">
        <v>2017</v>
      </c>
      <c r="I2414" t="s">
        <v>96</v>
      </c>
      <c r="J2414" t="s">
        <v>97</v>
      </c>
      <c r="K2414" t="s">
        <v>96</v>
      </c>
      <c r="L2414" t="s">
        <v>96</v>
      </c>
      <c r="M2414">
        <v>6919.0325599999996</v>
      </c>
      <c r="O2414" s="12" t="str">
        <f t="shared" si="88"/>
        <v>EUR</v>
      </c>
      <c r="P2414" s="12" t="str">
        <f t="shared" si="89"/>
        <v>EN_Hy</v>
      </c>
    </row>
    <row r="2415" spans="1:16" x14ac:dyDescent="0.35">
      <c r="A2415" t="s">
        <v>2384</v>
      </c>
      <c r="B2415" t="s">
        <v>73</v>
      </c>
      <c r="C2415" t="s">
        <v>45</v>
      </c>
      <c r="D2415" t="s">
        <v>2655</v>
      </c>
      <c r="E2415" t="s">
        <v>96</v>
      </c>
      <c r="F2415" t="s">
        <v>96</v>
      </c>
      <c r="G2415" t="s">
        <v>96</v>
      </c>
      <c r="H2415">
        <v>2017</v>
      </c>
      <c r="I2415" t="s">
        <v>96</v>
      </c>
      <c r="J2415" t="s">
        <v>97</v>
      </c>
      <c r="K2415" t="s">
        <v>96</v>
      </c>
      <c r="L2415" t="s">
        <v>96</v>
      </c>
      <c r="M2415">
        <v>2413.9677919999999</v>
      </c>
      <c r="O2415" s="12" t="str">
        <f t="shared" si="88"/>
        <v>EUR</v>
      </c>
      <c r="P2415" s="12" t="str">
        <f t="shared" si="89"/>
        <v>EN_Hy</v>
      </c>
    </row>
    <row r="2416" spans="1:16" x14ac:dyDescent="0.35">
      <c r="A2416" t="s">
        <v>2384</v>
      </c>
      <c r="B2416" t="s">
        <v>73</v>
      </c>
      <c r="C2416" t="s">
        <v>45</v>
      </c>
      <c r="D2416" t="s">
        <v>2656</v>
      </c>
      <c r="E2416" t="s">
        <v>96</v>
      </c>
      <c r="F2416" t="s">
        <v>96</v>
      </c>
      <c r="G2416" t="s">
        <v>96</v>
      </c>
      <c r="H2416">
        <v>2017</v>
      </c>
      <c r="I2416" t="s">
        <v>96</v>
      </c>
      <c r="J2416" t="s">
        <v>97</v>
      </c>
      <c r="K2416" t="s">
        <v>96</v>
      </c>
      <c r="L2416" t="s">
        <v>96</v>
      </c>
      <c r="M2416">
        <v>4896.1207999999997</v>
      </c>
      <c r="O2416" s="12" t="str">
        <f t="shared" si="88"/>
        <v>EUR</v>
      </c>
      <c r="P2416" s="12" t="str">
        <f t="shared" si="89"/>
        <v>EN_Hy</v>
      </c>
    </row>
    <row r="2417" spans="1:16" x14ac:dyDescent="0.35">
      <c r="A2417" t="s">
        <v>2384</v>
      </c>
      <c r="B2417" t="s">
        <v>73</v>
      </c>
      <c r="C2417" t="s">
        <v>45</v>
      </c>
      <c r="D2417" t="s">
        <v>2657</v>
      </c>
      <c r="E2417" t="s">
        <v>96</v>
      </c>
      <c r="F2417" t="s">
        <v>96</v>
      </c>
      <c r="G2417" t="s">
        <v>96</v>
      </c>
      <c r="H2417">
        <v>2017</v>
      </c>
      <c r="I2417" t="s">
        <v>96</v>
      </c>
      <c r="J2417" t="s">
        <v>97</v>
      </c>
      <c r="K2417" t="s">
        <v>96</v>
      </c>
      <c r="L2417" t="s">
        <v>96</v>
      </c>
      <c r="M2417">
        <v>6919.0325599999996</v>
      </c>
      <c r="O2417" s="12" t="str">
        <f t="shared" si="88"/>
        <v>EUR</v>
      </c>
      <c r="P2417" s="12" t="str">
        <f t="shared" si="89"/>
        <v>EN_Hy</v>
      </c>
    </row>
    <row r="2418" spans="1:16" x14ac:dyDescent="0.35">
      <c r="A2418" t="s">
        <v>2384</v>
      </c>
      <c r="B2418" t="s">
        <v>73</v>
      </c>
      <c r="C2418" t="s">
        <v>45</v>
      </c>
      <c r="D2418" t="s">
        <v>2658</v>
      </c>
      <c r="E2418" t="s">
        <v>96</v>
      </c>
      <c r="F2418" t="s">
        <v>96</v>
      </c>
      <c r="G2418" t="s">
        <v>96</v>
      </c>
      <c r="H2418">
        <v>2017</v>
      </c>
      <c r="I2418" t="s">
        <v>96</v>
      </c>
      <c r="J2418" t="s">
        <v>97</v>
      </c>
      <c r="K2418" t="s">
        <v>96</v>
      </c>
      <c r="L2418" t="s">
        <v>96</v>
      </c>
      <c r="M2418">
        <v>2413.9677919999999</v>
      </c>
      <c r="O2418" s="12" t="str">
        <f t="shared" si="88"/>
        <v>EUR</v>
      </c>
      <c r="P2418" s="12" t="str">
        <f t="shared" si="89"/>
        <v>EN_Hy</v>
      </c>
    </row>
    <row r="2419" spans="1:16" x14ac:dyDescent="0.35">
      <c r="A2419" t="s">
        <v>2384</v>
      </c>
      <c r="B2419" t="s">
        <v>73</v>
      </c>
      <c r="C2419" t="s">
        <v>45</v>
      </c>
      <c r="D2419" t="s">
        <v>2659</v>
      </c>
      <c r="E2419" t="s">
        <v>96</v>
      </c>
      <c r="F2419" t="s">
        <v>96</v>
      </c>
      <c r="G2419" t="s">
        <v>96</v>
      </c>
      <c r="H2419">
        <v>2017</v>
      </c>
      <c r="I2419" t="s">
        <v>96</v>
      </c>
      <c r="J2419" t="s">
        <v>97</v>
      </c>
      <c r="K2419" t="s">
        <v>96</v>
      </c>
      <c r="L2419" t="s">
        <v>96</v>
      </c>
      <c r="M2419">
        <v>4896.1207999999997</v>
      </c>
      <c r="O2419" s="12" t="str">
        <f t="shared" si="88"/>
        <v>EUR</v>
      </c>
      <c r="P2419" s="12" t="str">
        <f t="shared" si="89"/>
        <v>EN_Hy</v>
      </c>
    </row>
    <row r="2420" spans="1:16" x14ac:dyDescent="0.35">
      <c r="A2420" t="s">
        <v>2384</v>
      </c>
      <c r="B2420" t="s">
        <v>73</v>
      </c>
      <c r="C2420" t="s">
        <v>45</v>
      </c>
      <c r="D2420" t="s">
        <v>2660</v>
      </c>
      <c r="E2420" t="s">
        <v>96</v>
      </c>
      <c r="F2420" t="s">
        <v>96</v>
      </c>
      <c r="G2420" t="s">
        <v>96</v>
      </c>
      <c r="H2420">
        <v>2017</v>
      </c>
      <c r="I2420" t="s">
        <v>96</v>
      </c>
      <c r="J2420" t="s">
        <v>97</v>
      </c>
      <c r="K2420" t="s">
        <v>96</v>
      </c>
      <c r="L2420" t="s">
        <v>96</v>
      </c>
      <c r="M2420">
        <v>6919.0325599999996</v>
      </c>
      <c r="O2420" s="12" t="str">
        <f t="shared" si="88"/>
        <v>EUR</v>
      </c>
      <c r="P2420" s="12" t="str">
        <f t="shared" si="89"/>
        <v>EN_Hy</v>
      </c>
    </row>
    <row r="2421" spans="1:16" x14ac:dyDescent="0.35">
      <c r="A2421" t="s">
        <v>2384</v>
      </c>
      <c r="B2421" t="s">
        <v>73</v>
      </c>
      <c r="C2421" t="s">
        <v>45</v>
      </c>
      <c r="D2421" t="s">
        <v>2661</v>
      </c>
      <c r="E2421" t="s">
        <v>96</v>
      </c>
      <c r="F2421" t="s">
        <v>96</v>
      </c>
      <c r="G2421" t="s">
        <v>96</v>
      </c>
      <c r="H2421">
        <v>2017</v>
      </c>
      <c r="I2421" t="s">
        <v>96</v>
      </c>
      <c r="J2421" t="s">
        <v>97</v>
      </c>
      <c r="K2421" t="s">
        <v>96</v>
      </c>
      <c r="L2421" t="s">
        <v>96</v>
      </c>
      <c r="M2421">
        <v>2413.9677919999999</v>
      </c>
      <c r="O2421" s="12" t="str">
        <f t="shared" si="88"/>
        <v>EUR</v>
      </c>
      <c r="P2421" s="12" t="str">
        <f t="shared" si="89"/>
        <v>EN_Hy</v>
      </c>
    </row>
    <row r="2422" spans="1:16" x14ac:dyDescent="0.35">
      <c r="A2422" t="s">
        <v>2384</v>
      </c>
      <c r="B2422" t="s">
        <v>73</v>
      </c>
      <c r="C2422" t="s">
        <v>45</v>
      </c>
      <c r="D2422" t="s">
        <v>2662</v>
      </c>
      <c r="E2422" t="s">
        <v>96</v>
      </c>
      <c r="F2422" t="s">
        <v>96</v>
      </c>
      <c r="G2422" t="s">
        <v>96</v>
      </c>
      <c r="H2422">
        <v>2017</v>
      </c>
      <c r="I2422" t="s">
        <v>96</v>
      </c>
      <c r="J2422" t="s">
        <v>97</v>
      </c>
      <c r="K2422" t="s">
        <v>96</v>
      </c>
      <c r="L2422" t="s">
        <v>96</v>
      </c>
      <c r="M2422">
        <v>4896.1207999999997</v>
      </c>
      <c r="O2422" s="12" t="str">
        <f t="shared" si="88"/>
        <v>EUR</v>
      </c>
      <c r="P2422" s="12" t="str">
        <f t="shared" si="89"/>
        <v>EN_Hy</v>
      </c>
    </row>
    <row r="2423" spans="1:16" x14ac:dyDescent="0.35">
      <c r="A2423" t="s">
        <v>2384</v>
      </c>
      <c r="B2423" t="s">
        <v>73</v>
      </c>
      <c r="C2423" t="s">
        <v>45</v>
      </c>
      <c r="D2423" t="s">
        <v>2663</v>
      </c>
      <c r="E2423" t="s">
        <v>96</v>
      </c>
      <c r="F2423" t="s">
        <v>96</v>
      </c>
      <c r="G2423" t="s">
        <v>96</v>
      </c>
      <c r="H2423">
        <v>2017</v>
      </c>
      <c r="I2423" t="s">
        <v>96</v>
      </c>
      <c r="J2423" t="s">
        <v>97</v>
      </c>
      <c r="K2423" t="s">
        <v>96</v>
      </c>
      <c r="L2423" t="s">
        <v>96</v>
      </c>
      <c r="M2423">
        <v>6919.0325599999996</v>
      </c>
      <c r="O2423" s="12" t="str">
        <f t="shared" si="88"/>
        <v>EUR</v>
      </c>
      <c r="P2423" s="12" t="str">
        <f t="shared" si="89"/>
        <v>EN_Hy</v>
      </c>
    </row>
    <row r="2424" spans="1:16" x14ac:dyDescent="0.35">
      <c r="A2424" t="s">
        <v>2384</v>
      </c>
      <c r="B2424" t="s">
        <v>73</v>
      </c>
      <c r="C2424" t="s">
        <v>45</v>
      </c>
      <c r="D2424" t="s">
        <v>2664</v>
      </c>
      <c r="E2424" t="s">
        <v>96</v>
      </c>
      <c r="F2424" t="s">
        <v>96</v>
      </c>
      <c r="G2424" t="s">
        <v>96</v>
      </c>
      <c r="H2424">
        <v>2017</v>
      </c>
      <c r="I2424" t="s">
        <v>96</v>
      </c>
      <c r="J2424" t="s">
        <v>97</v>
      </c>
      <c r="K2424" t="s">
        <v>96</v>
      </c>
      <c r="L2424" t="s">
        <v>96</v>
      </c>
      <c r="M2424">
        <v>1266</v>
      </c>
      <c r="O2424" s="12" t="str">
        <f t="shared" si="88"/>
        <v>EUR</v>
      </c>
      <c r="P2424" s="12" t="str">
        <f t="shared" si="89"/>
        <v>EN_Hy</v>
      </c>
    </row>
    <row r="2425" spans="1:16" x14ac:dyDescent="0.35">
      <c r="A2425" t="s">
        <v>2384</v>
      </c>
      <c r="B2425" t="s">
        <v>73</v>
      </c>
      <c r="C2425" t="s">
        <v>45</v>
      </c>
      <c r="D2425" t="s">
        <v>2665</v>
      </c>
      <c r="E2425" t="s">
        <v>96</v>
      </c>
      <c r="F2425" t="s">
        <v>96</v>
      </c>
      <c r="G2425" t="s">
        <v>96</v>
      </c>
      <c r="H2425">
        <v>2017</v>
      </c>
      <c r="I2425" t="s">
        <v>96</v>
      </c>
      <c r="J2425" t="s">
        <v>97</v>
      </c>
      <c r="K2425" t="s">
        <v>96</v>
      </c>
      <c r="L2425" t="s">
        <v>96</v>
      </c>
      <c r="M2425">
        <v>4359</v>
      </c>
      <c r="O2425" s="12" t="str">
        <f t="shared" si="88"/>
        <v>EUR</v>
      </c>
      <c r="P2425" s="12" t="str">
        <f t="shared" si="89"/>
        <v>EN_Hy</v>
      </c>
    </row>
    <row r="2426" spans="1:16" x14ac:dyDescent="0.35">
      <c r="A2426" t="s">
        <v>2384</v>
      </c>
      <c r="B2426" t="s">
        <v>73</v>
      </c>
      <c r="C2426" t="s">
        <v>45</v>
      </c>
      <c r="D2426" t="s">
        <v>2666</v>
      </c>
      <c r="E2426" t="s">
        <v>96</v>
      </c>
      <c r="F2426" t="s">
        <v>96</v>
      </c>
      <c r="G2426" t="s">
        <v>96</v>
      </c>
      <c r="H2426">
        <v>2017</v>
      </c>
      <c r="I2426" t="s">
        <v>96</v>
      </c>
      <c r="J2426" t="s">
        <v>97</v>
      </c>
      <c r="K2426" t="s">
        <v>96</v>
      </c>
      <c r="L2426" t="s">
        <v>96</v>
      </c>
      <c r="M2426">
        <v>10126</v>
      </c>
      <c r="O2426" s="12" t="str">
        <f t="shared" si="88"/>
        <v>EUR</v>
      </c>
      <c r="P2426" s="12" t="str">
        <f t="shared" si="89"/>
        <v>EN_Hy</v>
      </c>
    </row>
    <row r="2427" spans="1:16" x14ac:dyDescent="0.35">
      <c r="A2427" t="s">
        <v>2384</v>
      </c>
      <c r="B2427" t="s">
        <v>73</v>
      </c>
      <c r="C2427" t="s">
        <v>45</v>
      </c>
      <c r="D2427" t="s">
        <v>3197</v>
      </c>
      <c r="E2427" t="s">
        <v>96</v>
      </c>
      <c r="F2427" t="s">
        <v>96</v>
      </c>
      <c r="G2427" t="s">
        <v>96</v>
      </c>
      <c r="H2427">
        <v>2017</v>
      </c>
      <c r="I2427" t="s">
        <v>96</v>
      </c>
      <c r="J2427" t="s">
        <v>97</v>
      </c>
      <c r="K2427" t="s">
        <v>96</v>
      </c>
      <c r="L2427" t="s">
        <v>96</v>
      </c>
      <c r="M2427">
        <v>99999</v>
      </c>
      <c r="O2427" s="12" t="str">
        <f t="shared" si="88"/>
        <v>EUR</v>
      </c>
      <c r="P2427" s="12" t="str">
        <f t="shared" si="89"/>
        <v>EN_RE</v>
      </c>
    </row>
    <row r="2428" spans="1:16" x14ac:dyDescent="0.35">
      <c r="A2428" t="s">
        <v>2384</v>
      </c>
      <c r="B2428" t="s">
        <v>73</v>
      </c>
      <c r="C2428" t="s">
        <v>45</v>
      </c>
      <c r="D2428" t="s">
        <v>3198</v>
      </c>
      <c r="E2428" t="s">
        <v>96</v>
      </c>
      <c r="F2428" t="s">
        <v>96</v>
      </c>
      <c r="G2428" t="s">
        <v>96</v>
      </c>
      <c r="H2428">
        <v>2017</v>
      </c>
      <c r="I2428" t="s">
        <v>96</v>
      </c>
      <c r="J2428" t="s">
        <v>97</v>
      </c>
      <c r="K2428" t="s">
        <v>96</v>
      </c>
      <c r="L2428" t="s">
        <v>96</v>
      </c>
      <c r="M2428">
        <v>99999</v>
      </c>
      <c r="O2428" s="12" t="str">
        <f t="shared" si="88"/>
        <v>EUR</v>
      </c>
      <c r="P2428" s="12" t="str">
        <f t="shared" si="89"/>
        <v>EN_RE</v>
      </c>
    </row>
    <row r="2429" spans="1:16" x14ac:dyDescent="0.35">
      <c r="A2429" t="s">
        <v>2384</v>
      </c>
      <c r="B2429" t="s">
        <v>73</v>
      </c>
      <c r="C2429" t="s">
        <v>45</v>
      </c>
      <c r="D2429" t="s">
        <v>3199</v>
      </c>
      <c r="E2429" t="s">
        <v>96</v>
      </c>
      <c r="F2429" t="s">
        <v>96</v>
      </c>
      <c r="G2429" t="s">
        <v>96</v>
      </c>
      <c r="H2429">
        <v>2017</v>
      </c>
      <c r="I2429" t="s">
        <v>96</v>
      </c>
      <c r="J2429" t="s">
        <v>97</v>
      </c>
      <c r="K2429" t="s">
        <v>96</v>
      </c>
      <c r="L2429" t="s">
        <v>96</v>
      </c>
      <c r="M2429">
        <v>99999</v>
      </c>
      <c r="O2429" s="12" t="str">
        <f t="shared" si="88"/>
        <v>EUR</v>
      </c>
      <c r="P2429" s="12" t="str">
        <f t="shared" si="89"/>
        <v>EN_RE</v>
      </c>
    </row>
    <row r="2430" spans="1:16" x14ac:dyDescent="0.35">
      <c r="A2430" t="s">
        <v>2384</v>
      </c>
      <c r="B2430" t="s">
        <v>73</v>
      </c>
      <c r="C2430" t="s">
        <v>45</v>
      </c>
      <c r="D2430" t="s">
        <v>3200</v>
      </c>
      <c r="E2430" t="s">
        <v>96</v>
      </c>
      <c r="F2430" t="s">
        <v>96</v>
      </c>
      <c r="G2430" t="s">
        <v>96</v>
      </c>
      <c r="H2430">
        <v>2017</v>
      </c>
      <c r="I2430" t="s">
        <v>96</v>
      </c>
      <c r="J2430" t="s">
        <v>97</v>
      </c>
      <c r="K2430" t="s">
        <v>96</v>
      </c>
      <c r="L2430" t="s">
        <v>96</v>
      </c>
      <c r="M2430">
        <v>99999</v>
      </c>
      <c r="O2430" s="12" t="str">
        <f t="shared" si="88"/>
        <v>EUR</v>
      </c>
      <c r="P2430" s="12" t="str">
        <f t="shared" si="89"/>
        <v>EN_RE</v>
      </c>
    </row>
    <row r="2431" spans="1:16" x14ac:dyDescent="0.35">
      <c r="A2431" t="s">
        <v>2384</v>
      </c>
      <c r="B2431" t="s">
        <v>73</v>
      </c>
      <c r="C2431" t="s">
        <v>45</v>
      </c>
      <c r="D2431" t="s">
        <v>3201</v>
      </c>
      <c r="E2431" t="s">
        <v>96</v>
      </c>
      <c r="F2431" t="s">
        <v>96</v>
      </c>
      <c r="G2431" t="s">
        <v>96</v>
      </c>
      <c r="H2431">
        <v>2017</v>
      </c>
      <c r="I2431" t="s">
        <v>96</v>
      </c>
      <c r="J2431" t="s">
        <v>97</v>
      </c>
      <c r="K2431" t="s">
        <v>96</v>
      </c>
      <c r="L2431" t="s">
        <v>96</v>
      </c>
      <c r="M2431">
        <v>99999</v>
      </c>
      <c r="O2431" s="12" t="str">
        <f t="shared" si="88"/>
        <v>EUR</v>
      </c>
      <c r="P2431" s="12" t="str">
        <f t="shared" si="89"/>
        <v>EN_RE</v>
      </c>
    </row>
    <row r="2432" spans="1:16" x14ac:dyDescent="0.35">
      <c r="A2432" t="s">
        <v>2384</v>
      </c>
      <c r="B2432" t="s">
        <v>73</v>
      </c>
      <c r="C2432" t="s">
        <v>45</v>
      </c>
      <c r="D2432" t="s">
        <v>3202</v>
      </c>
      <c r="E2432" t="s">
        <v>96</v>
      </c>
      <c r="F2432" t="s">
        <v>96</v>
      </c>
      <c r="G2432" t="s">
        <v>96</v>
      </c>
      <c r="H2432">
        <v>2017</v>
      </c>
      <c r="I2432" t="s">
        <v>96</v>
      </c>
      <c r="J2432" t="s">
        <v>97</v>
      </c>
      <c r="K2432" t="s">
        <v>96</v>
      </c>
      <c r="L2432" t="s">
        <v>96</v>
      </c>
      <c r="M2432">
        <v>99999</v>
      </c>
      <c r="O2432" s="12" t="str">
        <f t="shared" si="88"/>
        <v>EUR</v>
      </c>
      <c r="P2432" s="12" t="str">
        <f t="shared" si="89"/>
        <v>EN_RE</v>
      </c>
    </row>
    <row r="2433" spans="1:16" x14ac:dyDescent="0.35">
      <c r="A2433" t="s">
        <v>2384</v>
      </c>
      <c r="B2433" t="s">
        <v>73</v>
      </c>
      <c r="C2433" t="s">
        <v>45</v>
      </c>
      <c r="D2433" t="s">
        <v>3203</v>
      </c>
      <c r="E2433" t="s">
        <v>96</v>
      </c>
      <c r="F2433" t="s">
        <v>96</v>
      </c>
      <c r="G2433" t="s">
        <v>96</v>
      </c>
      <c r="H2433">
        <v>2017</v>
      </c>
      <c r="I2433" t="s">
        <v>96</v>
      </c>
      <c r="J2433" t="s">
        <v>97</v>
      </c>
      <c r="K2433" t="s">
        <v>96</v>
      </c>
      <c r="L2433" t="s">
        <v>96</v>
      </c>
      <c r="M2433">
        <v>99999</v>
      </c>
      <c r="O2433" s="12" t="str">
        <f t="shared" si="88"/>
        <v>EUR</v>
      </c>
      <c r="P2433" s="12" t="str">
        <f t="shared" si="89"/>
        <v>EN_RE</v>
      </c>
    </row>
    <row r="2434" spans="1:16" x14ac:dyDescent="0.35">
      <c r="A2434" t="s">
        <v>2384</v>
      </c>
      <c r="B2434" t="s">
        <v>73</v>
      </c>
      <c r="C2434" t="s">
        <v>45</v>
      </c>
      <c r="D2434" t="s">
        <v>3204</v>
      </c>
      <c r="E2434" t="s">
        <v>96</v>
      </c>
      <c r="F2434" t="s">
        <v>96</v>
      </c>
      <c r="G2434" t="s">
        <v>96</v>
      </c>
      <c r="H2434">
        <v>2017</v>
      </c>
      <c r="I2434" t="s">
        <v>96</v>
      </c>
      <c r="J2434" t="s">
        <v>97</v>
      </c>
      <c r="K2434" t="s">
        <v>96</v>
      </c>
      <c r="L2434" t="s">
        <v>96</v>
      </c>
      <c r="M2434">
        <v>99999</v>
      </c>
      <c r="O2434" s="12" t="str">
        <f t="shared" si="88"/>
        <v>EUR</v>
      </c>
      <c r="P2434" s="12" t="str">
        <f t="shared" si="89"/>
        <v>EN_RE</v>
      </c>
    </row>
    <row r="2435" spans="1:16" x14ac:dyDescent="0.35">
      <c r="A2435" t="s">
        <v>2384</v>
      </c>
      <c r="B2435" t="s">
        <v>73</v>
      </c>
      <c r="C2435" t="s">
        <v>45</v>
      </c>
      <c r="D2435" t="s">
        <v>3205</v>
      </c>
      <c r="E2435" t="s">
        <v>96</v>
      </c>
      <c r="F2435" t="s">
        <v>96</v>
      </c>
      <c r="G2435" t="s">
        <v>96</v>
      </c>
      <c r="H2435">
        <v>2017</v>
      </c>
      <c r="I2435" t="s">
        <v>96</v>
      </c>
      <c r="J2435" t="s">
        <v>97</v>
      </c>
      <c r="K2435" t="s">
        <v>96</v>
      </c>
      <c r="L2435" t="s">
        <v>96</v>
      </c>
      <c r="M2435">
        <v>99999</v>
      </c>
      <c r="O2435" s="12" t="str">
        <f t="shared" ref="O2435:O2498" si="90">LEFT(B2435,3)</f>
        <v>EUR</v>
      </c>
      <c r="P2435" s="12" t="str">
        <f t="shared" ref="P2435:P2498" si="91">LEFT(D2435,5)</f>
        <v>EN_RE</v>
      </c>
    </row>
    <row r="2436" spans="1:16" x14ac:dyDescent="0.35">
      <c r="A2436" t="s">
        <v>2384</v>
      </c>
      <c r="B2436" t="s">
        <v>73</v>
      </c>
      <c r="C2436" t="s">
        <v>45</v>
      </c>
      <c r="D2436" t="s">
        <v>3206</v>
      </c>
      <c r="E2436" t="s">
        <v>96</v>
      </c>
      <c r="F2436" t="s">
        <v>96</v>
      </c>
      <c r="G2436" t="s">
        <v>96</v>
      </c>
      <c r="H2436">
        <v>2017</v>
      </c>
      <c r="I2436" t="s">
        <v>96</v>
      </c>
      <c r="J2436" t="s">
        <v>97</v>
      </c>
      <c r="K2436" t="s">
        <v>96</v>
      </c>
      <c r="L2436" t="s">
        <v>96</v>
      </c>
      <c r="M2436">
        <v>99999</v>
      </c>
      <c r="O2436" s="12" t="str">
        <f t="shared" si="90"/>
        <v>EUR</v>
      </c>
      <c r="P2436" s="12" t="str">
        <f t="shared" si="91"/>
        <v>EN_RE</v>
      </c>
    </row>
    <row r="2437" spans="1:16" x14ac:dyDescent="0.35">
      <c r="A2437" t="s">
        <v>2384</v>
      </c>
      <c r="B2437" t="s">
        <v>73</v>
      </c>
      <c r="C2437" t="s">
        <v>45</v>
      </c>
      <c r="D2437" t="s">
        <v>3207</v>
      </c>
      <c r="E2437" t="s">
        <v>96</v>
      </c>
      <c r="F2437" t="s">
        <v>96</v>
      </c>
      <c r="G2437" t="s">
        <v>96</v>
      </c>
      <c r="H2437">
        <v>2017</v>
      </c>
      <c r="I2437" t="s">
        <v>96</v>
      </c>
      <c r="J2437" t="s">
        <v>97</v>
      </c>
      <c r="K2437" t="s">
        <v>96</v>
      </c>
      <c r="L2437" t="s">
        <v>96</v>
      </c>
      <c r="M2437">
        <v>99999</v>
      </c>
      <c r="O2437" s="12" t="str">
        <f t="shared" si="90"/>
        <v>EUR</v>
      </c>
      <c r="P2437" s="12" t="str">
        <f t="shared" si="91"/>
        <v>EN_RE</v>
      </c>
    </row>
    <row r="2438" spans="1:16" x14ac:dyDescent="0.35">
      <c r="A2438" t="s">
        <v>2384</v>
      </c>
      <c r="B2438" t="s">
        <v>73</v>
      </c>
      <c r="C2438" t="s">
        <v>45</v>
      </c>
      <c r="D2438" t="s">
        <v>3208</v>
      </c>
      <c r="E2438" t="s">
        <v>96</v>
      </c>
      <c r="F2438" t="s">
        <v>96</v>
      </c>
      <c r="G2438" t="s">
        <v>96</v>
      </c>
      <c r="H2438">
        <v>2017</v>
      </c>
      <c r="I2438" t="s">
        <v>96</v>
      </c>
      <c r="J2438" t="s">
        <v>97</v>
      </c>
      <c r="K2438" t="s">
        <v>96</v>
      </c>
      <c r="L2438" t="s">
        <v>96</v>
      </c>
      <c r="M2438">
        <v>99999</v>
      </c>
      <c r="O2438" s="12" t="str">
        <f t="shared" si="90"/>
        <v>EUR</v>
      </c>
      <c r="P2438" s="12" t="str">
        <f t="shared" si="91"/>
        <v>EN_RE</v>
      </c>
    </row>
    <row r="2439" spans="1:16" x14ac:dyDescent="0.35">
      <c r="A2439" t="s">
        <v>2384</v>
      </c>
      <c r="B2439" t="s">
        <v>73</v>
      </c>
      <c r="C2439" t="s">
        <v>45</v>
      </c>
      <c r="D2439" t="s">
        <v>3209</v>
      </c>
      <c r="E2439" t="s">
        <v>96</v>
      </c>
      <c r="F2439" t="s">
        <v>96</v>
      </c>
      <c r="G2439" t="s">
        <v>96</v>
      </c>
      <c r="H2439">
        <v>2017</v>
      </c>
      <c r="I2439" t="s">
        <v>96</v>
      </c>
      <c r="J2439" t="s">
        <v>97</v>
      </c>
      <c r="K2439" t="s">
        <v>96</v>
      </c>
      <c r="L2439" t="s">
        <v>96</v>
      </c>
      <c r="M2439">
        <v>99999</v>
      </c>
      <c r="O2439" s="12" t="str">
        <f t="shared" si="90"/>
        <v>EUR</v>
      </c>
      <c r="P2439" s="12" t="str">
        <f t="shared" si="91"/>
        <v>EN_RE</v>
      </c>
    </row>
    <row r="2440" spans="1:16" x14ac:dyDescent="0.35">
      <c r="A2440" t="s">
        <v>2384</v>
      </c>
      <c r="B2440" t="s">
        <v>73</v>
      </c>
      <c r="C2440" t="s">
        <v>45</v>
      </c>
      <c r="D2440" t="s">
        <v>3210</v>
      </c>
      <c r="E2440" t="s">
        <v>96</v>
      </c>
      <c r="F2440" t="s">
        <v>96</v>
      </c>
      <c r="G2440" t="s">
        <v>96</v>
      </c>
      <c r="H2440">
        <v>2017</v>
      </c>
      <c r="I2440" t="s">
        <v>96</v>
      </c>
      <c r="J2440" t="s">
        <v>97</v>
      </c>
      <c r="K2440" t="s">
        <v>96</v>
      </c>
      <c r="L2440" t="s">
        <v>96</v>
      </c>
      <c r="M2440">
        <v>99999</v>
      </c>
      <c r="O2440" s="12" t="str">
        <f t="shared" si="90"/>
        <v>EUR</v>
      </c>
      <c r="P2440" s="12" t="str">
        <f t="shared" si="91"/>
        <v>EN_RE</v>
      </c>
    </row>
    <row r="2441" spans="1:16" x14ac:dyDescent="0.35">
      <c r="A2441" t="s">
        <v>2384</v>
      </c>
      <c r="B2441" t="s">
        <v>73</v>
      </c>
      <c r="C2441" t="s">
        <v>45</v>
      </c>
      <c r="D2441" t="s">
        <v>3211</v>
      </c>
      <c r="E2441" t="s">
        <v>96</v>
      </c>
      <c r="F2441" t="s">
        <v>96</v>
      </c>
      <c r="G2441" t="s">
        <v>96</v>
      </c>
      <c r="H2441">
        <v>2017</v>
      </c>
      <c r="I2441" t="s">
        <v>96</v>
      </c>
      <c r="J2441" t="s">
        <v>97</v>
      </c>
      <c r="K2441" t="s">
        <v>96</v>
      </c>
      <c r="L2441" t="s">
        <v>96</v>
      </c>
      <c r="M2441">
        <v>99999</v>
      </c>
      <c r="O2441" s="12" t="str">
        <f t="shared" si="90"/>
        <v>EUR</v>
      </c>
      <c r="P2441" s="12" t="str">
        <f t="shared" si="91"/>
        <v>EN_RE</v>
      </c>
    </row>
    <row r="2442" spans="1:16" x14ac:dyDescent="0.35">
      <c r="A2442" t="s">
        <v>2384</v>
      </c>
      <c r="B2442" t="s">
        <v>73</v>
      </c>
      <c r="C2442" t="s">
        <v>45</v>
      </c>
      <c r="D2442" t="s">
        <v>3212</v>
      </c>
      <c r="E2442" t="s">
        <v>96</v>
      </c>
      <c r="F2442" t="s">
        <v>96</v>
      </c>
      <c r="G2442" t="s">
        <v>96</v>
      </c>
      <c r="H2442">
        <v>2017</v>
      </c>
      <c r="I2442" t="s">
        <v>96</v>
      </c>
      <c r="J2442" t="s">
        <v>97</v>
      </c>
      <c r="K2442" t="s">
        <v>96</v>
      </c>
      <c r="L2442" t="s">
        <v>96</v>
      </c>
      <c r="M2442">
        <v>99999</v>
      </c>
      <c r="O2442" s="12" t="str">
        <f t="shared" si="90"/>
        <v>EUR</v>
      </c>
      <c r="P2442" s="12" t="str">
        <f t="shared" si="91"/>
        <v>EN_RE</v>
      </c>
    </row>
    <row r="2443" spans="1:16" x14ac:dyDescent="0.35">
      <c r="A2443" t="s">
        <v>2384</v>
      </c>
      <c r="B2443" t="s">
        <v>73</v>
      </c>
      <c r="C2443" t="s">
        <v>45</v>
      </c>
      <c r="D2443" t="s">
        <v>3213</v>
      </c>
      <c r="E2443" t="s">
        <v>96</v>
      </c>
      <c r="F2443" t="s">
        <v>96</v>
      </c>
      <c r="G2443" t="s">
        <v>96</v>
      </c>
      <c r="H2443">
        <v>2017</v>
      </c>
      <c r="I2443" t="s">
        <v>96</v>
      </c>
      <c r="J2443" t="s">
        <v>97</v>
      </c>
      <c r="K2443" t="s">
        <v>96</v>
      </c>
      <c r="L2443" t="s">
        <v>96</v>
      </c>
      <c r="M2443">
        <v>99999</v>
      </c>
      <c r="O2443" s="12" t="str">
        <f t="shared" si="90"/>
        <v>EUR</v>
      </c>
      <c r="P2443" s="12" t="str">
        <f t="shared" si="91"/>
        <v>EN_RE</v>
      </c>
    </row>
    <row r="2444" spans="1:16" x14ac:dyDescent="0.35">
      <c r="A2444" t="s">
        <v>2384</v>
      </c>
      <c r="B2444" t="s">
        <v>73</v>
      </c>
      <c r="C2444" t="s">
        <v>45</v>
      </c>
      <c r="D2444" t="s">
        <v>3214</v>
      </c>
      <c r="E2444" t="s">
        <v>96</v>
      </c>
      <c r="F2444" t="s">
        <v>96</v>
      </c>
      <c r="G2444" t="s">
        <v>96</v>
      </c>
      <c r="H2444">
        <v>2017</v>
      </c>
      <c r="I2444" t="s">
        <v>96</v>
      </c>
      <c r="J2444" t="s">
        <v>97</v>
      </c>
      <c r="K2444" t="s">
        <v>96</v>
      </c>
      <c r="L2444" t="s">
        <v>96</v>
      </c>
      <c r="M2444">
        <v>99999</v>
      </c>
      <c r="O2444" s="12" t="str">
        <f t="shared" si="90"/>
        <v>EUR</v>
      </c>
      <c r="P2444" s="12" t="str">
        <f t="shared" si="91"/>
        <v>EN_RE</v>
      </c>
    </row>
    <row r="2445" spans="1:16" x14ac:dyDescent="0.35">
      <c r="A2445" t="s">
        <v>2384</v>
      </c>
      <c r="B2445" t="s">
        <v>73</v>
      </c>
      <c r="C2445" t="s">
        <v>45</v>
      </c>
      <c r="D2445" t="s">
        <v>3215</v>
      </c>
      <c r="E2445" t="s">
        <v>96</v>
      </c>
      <c r="F2445" t="s">
        <v>96</v>
      </c>
      <c r="G2445" t="s">
        <v>96</v>
      </c>
      <c r="H2445">
        <v>2017</v>
      </c>
      <c r="I2445" t="s">
        <v>96</v>
      </c>
      <c r="J2445" t="s">
        <v>97</v>
      </c>
      <c r="K2445" t="s">
        <v>96</v>
      </c>
      <c r="L2445" t="s">
        <v>96</v>
      </c>
      <c r="M2445">
        <v>99999</v>
      </c>
      <c r="O2445" s="12" t="str">
        <f t="shared" si="90"/>
        <v>EUR</v>
      </c>
      <c r="P2445" s="12" t="str">
        <f t="shared" si="91"/>
        <v>EN_RE</v>
      </c>
    </row>
    <row r="2446" spans="1:16" x14ac:dyDescent="0.35">
      <c r="A2446" t="s">
        <v>2384</v>
      </c>
      <c r="B2446" t="s">
        <v>73</v>
      </c>
      <c r="C2446" t="s">
        <v>45</v>
      </c>
      <c r="D2446" t="s">
        <v>3216</v>
      </c>
      <c r="E2446" t="s">
        <v>96</v>
      </c>
      <c r="F2446" t="s">
        <v>96</v>
      </c>
      <c r="G2446" t="s">
        <v>96</v>
      </c>
      <c r="H2446">
        <v>2017</v>
      </c>
      <c r="I2446" t="s">
        <v>96</v>
      </c>
      <c r="J2446" t="s">
        <v>97</v>
      </c>
      <c r="K2446" t="s">
        <v>96</v>
      </c>
      <c r="L2446" t="s">
        <v>96</v>
      </c>
      <c r="M2446">
        <v>99999</v>
      </c>
      <c r="O2446" s="12" t="str">
        <f t="shared" si="90"/>
        <v>EUR</v>
      </c>
      <c r="P2446" s="12" t="str">
        <f t="shared" si="91"/>
        <v>EN_RE</v>
      </c>
    </row>
    <row r="2447" spans="1:16" x14ac:dyDescent="0.35">
      <c r="A2447" t="s">
        <v>2384</v>
      </c>
      <c r="B2447" t="s">
        <v>73</v>
      </c>
      <c r="C2447" t="s">
        <v>45</v>
      </c>
      <c r="D2447" t="s">
        <v>3217</v>
      </c>
      <c r="E2447" t="s">
        <v>96</v>
      </c>
      <c r="F2447" t="s">
        <v>96</v>
      </c>
      <c r="G2447" t="s">
        <v>96</v>
      </c>
      <c r="H2447">
        <v>2017</v>
      </c>
      <c r="I2447" t="s">
        <v>96</v>
      </c>
      <c r="J2447" t="s">
        <v>97</v>
      </c>
      <c r="K2447" t="s">
        <v>96</v>
      </c>
      <c r="L2447" t="s">
        <v>96</v>
      </c>
      <c r="M2447">
        <v>99999</v>
      </c>
      <c r="O2447" s="12" t="str">
        <f t="shared" si="90"/>
        <v>EUR</v>
      </c>
      <c r="P2447" s="12" t="str">
        <f t="shared" si="91"/>
        <v>EN_RE</v>
      </c>
    </row>
    <row r="2448" spans="1:16" x14ac:dyDescent="0.35">
      <c r="A2448" t="s">
        <v>2384</v>
      </c>
      <c r="B2448" t="s">
        <v>73</v>
      </c>
      <c r="C2448" t="s">
        <v>45</v>
      </c>
      <c r="D2448" t="s">
        <v>3218</v>
      </c>
      <c r="E2448" t="s">
        <v>96</v>
      </c>
      <c r="F2448" t="s">
        <v>96</v>
      </c>
      <c r="G2448" t="s">
        <v>96</v>
      </c>
      <c r="H2448">
        <v>2017</v>
      </c>
      <c r="I2448" t="s">
        <v>96</v>
      </c>
      <c r="J2448" t="s">
        <v>97</v>
      </c>
      <c r="K2448" t="s">
        <v>96</v>
      </c>
      <c r="L2448" t="s">
        <v>96</v>
      </c>
      <c r="M2448">
        <v>99999</v>
      </c>
      <c r="O2448" s="12" t="str">
        <f t="shared" si="90"/>
        <v>EUR</v>
      </c>
      <c r="P2448" s="12" t="str">
        <f t="shared" si="91"/>
        <v>EN_RE</v>
      </c>
    </row>
    <row r="2449" spans="1:16" x14ac:dyDescent="0.35">
      <c r="A2449" t="s">
        <v>2384</v>
      </c>
      <c r="B2449" t="s">
        <v>73</v>
      </c>
      <c r="C2449" t="s">
        <v>45</v>
      </c>
      <c r="D2449" t="s">
        <v>3219</v>
      </c>
      <c r="E2449" t="s">
        <v>96</v>
      </c>
      <c r="F2449" t="s">
        <v>96</v>
      </c>
      <c r="G2449" t="s">
        <v>96</v>
      </c>
      <c r="H2449">
        <v>2017</v>
      </c>
      <c r="I2449" t="s">
        <v>96</v>
      </c>
      <c r="J2449" t="s">
        <v>97</v>
      </c>
      <c r="K2449" t="s">
        <v>96</v>
      </c>
      <c r="L2449" t="s">
        <v>96</v>
      </c>
      <c r="M2449">
        <v>99999</v>
      </c>
      <c r="O2449" s="12" t="str">
        <f t="shared" si="90"/>
        <v>EUR</v>
      </c>
      <c r="P2449" s="12" t="str">
        <f t="shared" si="91"/>
        <v>EN_RE</v>
      </c>
    </row>
    <row r="2450" spans="1:16" x14ac:dyDescent="0.35">
      <c r="A2450" t="s">
        <v>2384</v>
      </c>
      <c r="B2450" t="s">
        <v>73</v>
      </c>
      <c r="C2450" t="s">
        <v>45</v>
      </c>
      <c r="D2450" t="s">
        <v>3220</v>
      </c>
      <c r="E2450" t="s">
        <v>96</v>
      </c>
      <c r="F2450" t="s">
        <v>96</v>
      </c>
      <c r="G2450" t="s">
        <v>96</v>
      </c>
      <c r="H2450">
        <v>2017</v>
      </c>
      <c r="I2450" t="s">
        <v>96</v>
      </c>
      <c r="J2450" t="s">
        <v>97</v>
      </c>
      <c r="K2450" t="s">
        <v>96</v>
      </c>
      <c r="L2450" t="s">
        <v>96</v>
      </c>
      <c r="M2450">
        <v>99999</v>
      </c>
      <c r="O2450" s="12" t="str">
        <f t="shared" si="90"/>
        <v>EUR</v>
      </c>
      <c r="P2450" s="12" t="str">
        <f t="shared" si="91"/>
        <v>EN_RE</v>
      </c>
    </row>
    <row r="2451" spans="1:16" x14ac:dyDescent="0.35">
      <c r="A2451" t="s">
        <v>2384</v>
      </c>
      <c r="B2451" t="s">
        <v>74</v>
      </c>
      <c r="C2451" t="s">
        <v>45</v>
      </c>
      <c r="D2451" t="s">
        <v>2667</v>
      </c>
      <c r="E2451" t="s">
        <v>96</v>
      </c>
      <c r="F2451" t="s">
        <v>96</v>
      </c>
      <c r="G2451" t="s">
        <v>96</v>
      </c>
      <c r="H2451">
        <v>2017</v>
      </c>
      <c r="I2451" t="s">
        <v>96</v>
      </c>
      <c r="J2451" t="s">
        <v>97</v>
      </c>
      <c r="K2451" t="s">
        <v>96</v>
      </c>
      <c r="L2451" t="s">
        <v>96</v>
      </c>
      <c r="M2451">
        <v>1401.633284</v>
      </c>
      <c r="O2451" s="12" t="str">
        <f t="shared" si="90"/>
        <v>IND</v>
      </c>
      <c r="P2451" s="12" t="str">
        <f t="shared" si="91"/>
        <v>EN_Hy</v>
      </c>
    </row>
    <row r="2452" spans="1:16" x14ac:dyDescent="0.35">
      <c r="A2452" t="s">
        <v>2384</v>
      </c>
      <c r="B2452" t="s">
        <v>74</v>
      </c>
      <c r="C2452" t="s">
        <v>45</v>
      </c>
      <c r="D2452" t="s">
        <v>2668</v>
      </c>
      <c r="E2452" t="s">
        <v>96</v>
      </c>
      <c r="F2452" t="s">
        <v>96</v>
      </c>
      <c r="G2452" t="s">
        <v>96</v>
      </c>
      <c r="H2452">
        <v>2017</v>
      </c>
      <c r="I2452" t="s">
        <v>96</v>
      </c>
      <c r="J2452" t="s">
        <v>97</v>
      </c>
      <c r="K2452" t="s">
        <v>96</v>
      </c>
      <c r="L2452" t="s">
        <v>96</v>
      </c>
      <c r="M2452">
        <v>1795.071164</v>
      </c>
      <c r="O2452" s="12" t="str">
        <f t="shared" si="90"/>
        <v>IND</v>
      </c>
      <c r="P2452" s="12" t="str">
        <f t="shared" si="91"/>
        <v>EN_Hy</v>
      </c>
    </row>
    <row r="2453" spans="1:16" x14ac:dyDescent="0.35">
      <c r="A2453" t="s">
        <v>2384</v>
      </c>
      <c r="B2453" t="s">
        <v>74</v>
      </c>
      <c r="C2453" t="s">
        <v>45</v>
      </c>
      <c r="D2453" t="s">
        <v>2669</v>
      </c>
      <c r="E2453" t="s">
        <v>96</v>
      </c>
      <c r="F2453" t="s">
        <v>96</v>
      </c>
      <c r="G2453" t="s">
        <v>96</v>
      </c>
      <c r="H2453">
        <v>2017</v>
      </c>
      <c r="I2453" t="s">
        <v>96</v>
      </c>
      <c r="J2453" t="s">
        <v>97</v>
      </c>
      <c r="K2453" t="s">
        <v>96</v>
      </c>
      <c r="L2453" t="s">
        <v>96</v>
      </c>
      <c r="M2453">
        <v>2848.6810399999999</v>
      </c>
      <c r="O2453" s="12" t="str">
        <f t="shared" si="90"/>
        <v>IND</v>
      </c>
      <c r="P2453" s="12" t="str">
        <f t="shared" si="91"/>
        <v>EN_Hy</v>
      </c>
    </row>
    <row r="2454" spans="1:16" x14ac:dyDescent="0.35">
      <c r="A2454" t="s">
        <v>2384</v>
      </c>
      <c r="B2454" t="s">
        <v>74</v>
      </c>
      <c r="C2454" t="s">
        <v>45</v>
      </c>
      <c r="D2454" t="s">
        <v>3221</v>
      </c>
      <c r="E2454" t="s">
        <v>96</v>
      </c>
      <c r="F2454" t="s">
        <v>96</v>
      </c>
      <c r="G2454" t="s">
        <v>96</v>
      </c>
      <c r="H2454">
        <v>2017</v>
      </c>
      <c r="I2454" t="s">
        <v>96</v>
      </c>
      <c r="J2454" t="s">
        <v>97</v>
      </c>
      <c r="K2454" t="s">
        <v>96</v>
      </c>
      <c r="L2454" t="s">
        <v>96</v>
      </c>
      <c r="M2454">
        <v>99999</v>
      </c>
      <c r="O2454" s="12" t="str">
        <f t="shared" si="90"/>
        <v>IND</v>
      </c>
      <c r="P2454" s="12" t="str">
        <f t="shared" si="91"/>
        <v>EN_RE</v>
      </c>
    </row>
    <row r="2455" spans="1:16" x14ac:dyDescent="0.35">
      <c r="A2455" t="s">
        <v>2384</v>
      </c>
      <c r="B2455" t="s">
        <v>75</v>
      </c>
      <c r="C2455" t="s">
        <v>45</v>
      </c>
      <c r="D2455" t="s">
        <v>2670</v>
      </c>
      <c r="E2455" t="s">
        <v>96</v>
      </c>
      <c r="F2455" t="s">
        <v>96</v>
      </c>
      <c r="G2455" t="s">
        <v>96</v>
      </c>
      <c r="H2455">
        <v>2017</v>
      </c>
      <c r="I2455" t="s">
        <v>96</v>
      </c>
      <c r="J2455" t="s">
        <v>97</v>
      </c>
      <c r="K2455" t="s">
        <v>96</v>
      </c>
      <c r="L2455" t="s">
        <v>96</v>
      </c>
      <c r="M2455">
        <v>6018.7323200000001</v>
      </c>
      <c r="O2455" s="12" t="str">
        <f t="shared" si="90"/>
        <v>JPN</v>
      </c>
      <c r="P2455" s="12" t="str">
        <f t="shared" si="91"/>
        <v>EN_Hy</v>
      </c>
    </row>
    <row r="2456" spans="1:16" x14ac:dyDescent="0.35">
      <c r="A2456" t="s">
        <v>2384</v>
      </c>
      <c r="B2456" t="s">
        <v>75</v>
      </c>
      <c r="C2456" t="s">
        <v>45</v>
      </c>
      <c r="D2456" t="s">
        <v>2671</v>
      </c>
      <c r="E2456" t="s">
        <v>96</v>
      </c>
      <c r="F2456" t="s">
        <v>96</v>
      </c>
      <c r="G2456" t="s">
        <v>96</v>
      </c>
      <c r="H2456">
        <v>2017</v>
      </c>
      <c r="I2456" t="s">
        <v>96</v>
      </c>
      <c r="J2456" t="s">
        <v>97</v>
      </c>
      <c r="K2456" t="s">
        <v>96</v>
      </c>
      <c r="L2456" t="s">
        <v>96</v>
      </c>
      <c r="M2456">
        <v>9449.9542399999991</v>
      </c>
      <c r="O2456" s="12" t="str">
        <f t="shared" si="90"/>
        <v>JPN</v>
      </c>
      <c r="P2456" s="12" t="str">
        <f t="shared" si="91"/>
        <v>EN_Hy</v>
      </c>
    </row>
    <row r="2457" spans="1:16" x14ac:dyDescent="0.35">
      <c r="A2457" t="s">
        <v>2384</v>
      </c>
      <c r="B2457" t="s">
        <v>75</v>
      </c>
      <c r="C2457" t="s">
        <v>45</v>
      </c>
      <c r="D2457" t="s">
        <v>2672</v>
      </c>
      <c r="E2457" t="s">
        <v>96</v>
      </c>
      <c r="F2457" t="s">
        <v>96</v>
      </c>
      <c r="G2457" t="s">
        <v>96</v>
      </c>
      <c r="H2457">
        <v>2017</v>
      </c>
      <c r="I2457" t="s">
        <v>96</v>
      </c>
      <c r="J2457" t="s">
        <v>97</v>
      </c>
      <c r="K2457" t="s">
        <v>96</v>
      </c>
      <c r="L2457" t="s">
        <v>96</v>
      </c>
      <c r="M2457">
        <v>10827.814640000001</v>
      </c>
      <c r="O2457" s="12" t="str">
        <f t="shared" si="90"/>
        <v>JPN</v>
      </c>
      <c r="P2457" s="12" t="str">
        <f t="shared" si="91"/>
        <v>EN_Hy</v>
      </c>
    </row>
    <row r="2458" spans="1:16" x14ac:dyDescent="0.35">
      <c r="A2458" t="s">
        <v>2384</v>
      </c>
      <c r="B2458" t="s">
        <v>75</v>
      </c>
      <c r="C2458" t="s">
        <v>45</v>
      </c>
      <c r="D2458" t="s">
        <v>3222</v>
      </c>
      <c r="E2458" t="s">
        <v>96</v>
      </c>
      <c r="F2458" t="s">
        <v>96</v>
      </c>
      <c r="G2458" t="s">
        <v>96</v>
      </c>
      <c r="H2458">
        <v>2017</v>
      </c>
      <c r="I2458" t="s">
        <v>96</v>
      </c>
      <c r="J2458" t="s">
        <v>97</v>
      </c>
      <c r="K2458" t="s">
        <v>96</v>
      </c>
      <c r="L2458" t="s">
        <v>96</v>
      </c>
      <c r="M2458">
        <v>99999</v>
      </c>
      <c r="O2458" s="12" t="str">
        <f t="shared" si="90"/>
        <v>JPN</v>
      </c>
      <c r="P2458" s="12" t="str">
        <f t="shared" si="91"/>
        <v>EN_RE</v>
      </c>
    </row>
    <row r="2459" spans="1:16" x14ac:dyDescent="0.35">
      <c r="A2459" t="s">
        <v>2384</v>
      </c>
      <c r="B2459" t="s">
        <v>76</v>
      </c>
      <c r="C2459" t="s">
        <v>45</v>
      </c>
      <c r="D2459" t="s">
        <v>2673</v>
      </c>
      <c r="E2459" t="s">
        <v>96</v>
      </c>
      <c r="F2459" t="s">
        <v>96</v>
      </c>
      <c r="G2459" t="s">
        <v>96</v>
      </c>
      <c r="H2459">
        <v>2017</v>
      </c>
      <c r="I2459" t="s">
        <v>96</v>
      </c>
      <c r="J2459" t="s">
        <v>97</v>
      </c>
      <c r="K2459" t="s">
        <v>96</v>
      </c>
      <c r="L2459" t="s">
        <v>96</v>
      </c>
      <c r="M2459">
        <v>1280.0271509859999</v>
      </c>
      <c r="O2459" s="12" t="str">
        <f t="shared" si="90"/>
        <v>MID</v>
      </c>
      <c r="P2459" s="12" t="str">
        <f t="shared" si="91"/>
        <v>EN_Hy</v>
      </c>
    </row>
    <row r="2460" spans="1:16" x14ac:dyDescent="0.35">
      <c r="A2460" t="s">
        <v>2384</v>
      </c>
      <c r="B2460" t="s">
        <v>76</v>
      </c>
      <c r="C2460" t="s">
        <v>45</v>
      </c>
      <c r="D2460" t="s">
        <v>2674</v>
      </c>
      <c r="E2460" t="s">
        <v>96</v>
      </c>
      <c r="F2460" t="s">
        <v>96</v>
      </c>
      <c r="G2460" t="s">
        <v>96</v>
      </c>
      <c r="H2460">
        <v>2017</v>
      </c>
      <c r="I2460" t="s">
        <v>96</v>
      </c>
      <c r="J2460" t="s">
        <v>97</v>
      </c>
      <c r="K2460" t="s">
        <v>96</v>
      </c>
      <c r="L2460" t="s">
        <v>96</v>
      </c>
      <c r="M2460">
        <v>1705.4665410560001</v>
      </c>
      <c r="O2460" s="12" t="str">
        <f t="shared" si="90"/>
        <v>MID</v>
      </c>
      <c r="P2460" s="12" t="str">
        <f t="shared" si="91"/>
        <v>EN_Hy</v>
      </c>
    </row>
    <row r="2461" spans="1:16" x14ac:dyDescent="0.35">
      <c r="A2461" t="s">
        <v>2384</v>
      </c>
      <c r="B2461" t="s">
        <v>76</v>
      </c>
      <c r="C2461" t="s">
        <v>45</v>
      </c>
      <c r="D2461" t="s">
        <v>2675</v>
      </c>
      <c r="E2461" t="s">
        <v>96</v>
      </c>
      <c r="F2461" t="s">
        <v>96</v>
      </c>
      <c r="G2461" t="s">
        <v>96</v>
      </c>
      <c r="H2461">
        <v>2017</v>
      </c>
      <c r="I2461" t="s">
        <v>96</v>
      </c>
      <c r="J2461" t="s">
        <v>97</v>
      </c>
      <c r="K2461" t="s">
        <v>96</v>
      </c>
      <c r="L2461" t="s">
        <v>96</v>
      </c>
      <c r="M2461">
        <v>2132.6443129029999</v>
      </c>
      <c r="O2461" s="12" t="str">
        <f t="shared" si="90"/>
        <v>MID</v>
      </c>
      <c r="P2461" s="12" t="str">
        <f t="shared" si="91"/>
        <v>EN_Hy</v>
      </c>
    </row>
    <row r="2462" spans="1:16" x14ac:dyDescent="0.35">
      <c r="A2462" t="s">
        <v>2384</v>
      </c>
      <c r="B2462" t="s">
        <v>76</v>
      </c>
      <c r="C2462" t="s">
        <v>45</v>
      </c>
      <c r="D2462" t="s">
        <v>2676</v>
      </c>
      <c r="E2462" t="s">
        <v>96</v>
      </c>
      <c r="F2462" t="s">
        <v>96</v>
      </c>
      <c r="G2462" t="s">
        <v>96</v>
      </c>
      <c r="H2462">
        <v>2017</v>
      </c>
      <c r="I2462" t="s">
        <v>96</v>
      </c>
      <c r="J2462" t="s">
        <v>97</v>
      </c>
      <c r="K2462" t="s">
        <v>96</v>
      </c>
      <c r="L2462" t="s">
        <v>96</v>
      </c>
      <c r="M2462">
        <v>1280.0271509859999</v>
      </c>
      <c r="O2462" s="12" t="str">
        <f t="shared" si="90"/>
        <v>MID</v>
      </c>
      <c r="P2462" s="12" t="str">
        <f t="shared" si="91"/>
        <v>EN_Hy</v>
      </c>
    </row>
    <row r="2463" spans="1:16" x14ac:dyDescent="0.35">
      <c r="A2463" t="s">
        <v>2384</v>
      </c>
      <c r="B2463" t="s">
        <v>76</v>
      </c>
      <c r="C2463" t="s">
        <v>45</v>
      </c>
      <c r="D2463" t="s">
        <v>2677</v>
      </c>
      <c r="E2463" t="s">
        <v>96</v>
      </c>
      <c r="F2463" t="s">
        <v>96</v>
      </c>
      <c r="G2463" t="s">
        <v>96</v>
      </c>
      <c r="H2463">
        <v>2017</v>
      </c>
      <c r="I2463" t="s">
        <v>96</v>
      </c>
      <c r="J2463" t="s">
        <v>97</v>
      </c>
      <c r="K2463" t="s">
        <v>96</v>
      </c>
      <c r="L2463" t="s">
        <v>96</v>
      </c>
      <c r="M2463">
        <v>1705.4665410560001</v>
      </c>
      <c r="O2463" s="12" t="str">
        <f t="shared" si="90"/>
        <v>MID</v>
      </c>
      <c r="P2463" s="12" t="str">
        <f t="shared" si="91"/>
        <v>EN_Hy</v>
      </c>
    </row>
    <row r="2464" spans="1:16" x14ac:dyDescent="0.35">
      <c r="A2464" t="s">
        <v>2384</v>
      </c>
      <c r="B2464" t="s">
        <v>76</v>
      </c>
      <c r="C2464" t="s">
        <v>45</v>
      </c>
      <c r="D2464" t="s">
        <v>2678</v>
      </c>
      <c r="E2464" t="s">
        <v>96</v>
      </c>
      <c r="F2464" t="s">
        <v>96</v>
      </c>
      <c r="G2464" t="s">
        <v>96</v>
      </c>
      <c r="H2464">
        <v>2017</v>
      </c>
      <c r="I2464" t="s">
        <v>96</v>
      </c>
      <c r="J2464" t="s">
        <v>97</v>
      </c>
      <c r="K2464" t="s">
        <v>96</v>
      </c>
      <c r="L2464" t="s">
        <v>96</v>
      </c>
      <c r="M2464">
        <v>2132.6443129029999</v>
      </c>
      <c r="O2464" s="12" t="str">
        <f t="shared" si="90"/>
        <v>MID</v>
      </c>
      <c r="P2464" s="12" t="str">
        <f t="shared" si="91"/>
        <v>EN_Hy</v>
      </c>
    </row>
    <row r="2465" spans="1:16" x14ac:dyDescent="0.35">
      <c r="A2465" t="s">
        <v>2384</v>
      </c>
      <c r="B2465" t="s">
        <v>76</v>
      </c>
      <c r="C2465" t="s">
        <v>45</v>
      </c>
      <c r="D2465" t="s">
        <v>2679</v>
      </c>
      <c r="E2465" t="s">
        <v>96</v>
      </c>
      <c r="F2465" t="s">
        <v>96</v>
      </c>
      <c r="G2465" t="s">
        <v>96</v>
      </c>
      <c r="H2465">
        <v>2017</v>
      </c>
      <c r="I2465" t="s">
        <v>96</v>
      </c>
      <c r="J2465" t="s">
        <v>97</v>
      </c>
      <c r="K2465" t="s">
        <v>96</v>
      </c>
      <c r="L2465" t="s">
        <v>96</v>
      </c>
      <c r="M2465">
        <v>1280.0271509859999</v>
      </c>
      <c r="O2465" s="12" t="str">
        <f t="shared" si="90"/>
        <v>MID</v>
      </c>
      <c r="P2465" s="12" t="str">
        <f t="shared" si="91"/>
        <v>EN_Hy</v>
      </c>
    </row>
    <row r="2466" spans="1:16" x14ac:dyDescent="0.35">
      <c r="A2466" t="s">
        <v>2384</v>
      </c>
      <c r="B2466" t="s">
        <v>76</v>
      </c>
      <c r="C2466" t="s">
        <v>45</v>
      </c>
      <c r="D2466" t="s">
        <v>2680</v>
      </c>
      <c r="E2466" t="s">
        <v>96</v>
      </c>
      <c r="F2466" t="s">
        <v>96</v>
      </c>
      <c r="G2466" t="s">
        <v>96</v>
      </c>
      <c r="H2466">
        <v>2017</v>
      </c>
      <c r="I2466" t="s">
        <v>96</v>
      </c>
      <c r="J2466" t="s">
        <v>97</v>
      </c>
      <c r="K2466" t="s">
        <v>96</v>
      </c>
      <c r="L2466" t="s">
        <v>96</v>
      </c>
      <c r="M2466">
        <v>1705.4665410560001</v>
      </c>
      <c r="O2466" s="12" t="str">
        <f t="shared" si="90"/>
        <v>MID</v>
      </c>
      <c r="P2466" s="12" t="str">
        <f t="shared" si="91"/>
        <v>EN_Hy</v>
      </c>
    </row>
    <row r="2467" spans="1:16" x14ac:dyDescent="0.35">
      <c r="A2467" t="s">
        <v>2384</v>
      </c>
      <c r="B2467" t="s">
        <v>76</v>
      </c>
      <c r="C2467" t="s">
        <v>45</v>
      </c>
      <c r="D2467" t="s">
        <v>2681</v>
      </c>
      <c r="E2467" t="s">
        <v>96</v>
      </c>
      <c r="F2467" t="s">
        <v>96</v>
      </c>
      <c r="G2467" t="s">
        <v>96</v>
      </c>
      <c r="H2467">
        <v>2017</v>
      </c>
      <c r="I2467" t="s">
        <v>96</v>
      </c>
      <c r="J2467" t="s">
        <v>97</v>
      </c>
      <c r="K2467" t="s">
        <v>96</v>
      </c>
      <c r="L2467" t="s">
        <v>96</v>
      </c>
      <c r="M2467">
        <v>2132.6443129029999</v>
      </c>
      <c r="O2467" s="12" t="str">
        <f t="shared" si="90"/>
        <v>MID</v>
      </c>
      <c r="P2467" s="12" t="str">
        <f t="shared" si="91"/>
        <v>EN_Hy</v>
      </c>
    </row>
    <row r="2468" spans="1:16" x14ac:dyDescent="0.35">
      <c r="A2468" t="s">
        <v>2384</v>
      </c>
      <c r="B2468" t="s">
        <v>76</v>
      </c>
      <c r="C2468" t="s">
        <v>45</v>
      </c>
      <c r="D2468" t="s">
        <v>2682</v>
      </c>
      <c r="E2468" t="s">
        <v>96</v>
      </c>
      <c r="F2468" t="s">
        <v>96</v>
      </c>
      <c r="G2468" t="s">
        <v>96</v>
      </c>
      <c r="H2468">
        <v>2017</v>
      </c>
      <c r="I2468" t="s">
        <v>96</v>
      </c>
      <c r="J2468" t="s">
        <v>97</v>
      </c>
      <c r="K2468" t="s">
        <v>96</v>
      </c>
      <c r="L2468" t="s">
        <v>96</v>
      </c>
      <c r="M2468">
        <v>1280.0271509859999</v>
      </c>
      <c r="O2468" s="12" t="str">
        <f t="shared" si="90"/>
        <v>MID</v>
      </c>
      <c r="P2468" s="12" t="str">
        <f t="shared" si="91"/>
        <v>EN_Hy</v>
      </c>
    </row>
    <row r="2469" spans="1:16" x14ac:dyDescent="0.35">
      <c r="A2469" t="s">
        <v>2384</v>
      </c>
      <c r="B2469" t="s">
        <v>76</v>
      </c>
      <c r="C2469" t="s">
        <v>45</v>
      </c>
      <c r="D2469" t="s">
        <v>2683</v>
      </c>
      <c r="E2469" t="s">
        <v>96</v>
      </c>
      <c r="F2469" t="s">
        <v>96</v>
      </c>
      <c r="G2469" t="s">
        <v>96</v>
      </c>
      <c r="H2469">
        <v>2017</v>
      </c>
      <c r="I2469" t="s">
        <v>96</v>
      </c>
      <c r="J2469" t="s">
        <v>97</v>
      </c>
      <c r="K2469" t="s">
        <v>96</v>
      </c>
      <c r="L2469" t="s">
        <v>96</v>
      </c>
      <c r="M2469">
        <v>1705.4665410560001</v>
      </c>
      <c r="O2469" s="12" t="str">
        <f t="shared" si="90"/>
        <v>MID</v>
      </c>
      <c r="P2469" s="12" t="str">
        <f t="shared" si="91"/>
        <v>EN_Hy</v>
      </c>
    </row>
    <row r="2470" spans="1:16" x14ac:dyDescent="0.35">
      <c r="A2470" t="s">
        <v>2384</v>
      </c>
      <c r="B2470" t="s">
        <v>76</v>
      </c>
      <c r="C2470" t="s">
        <v>45</v>
      </c>
      <c r="D2470" t="s">
        <v>2684</v>
      </c>
      <c r="E2470" t="s">
        <v>96</v>
      </c>
      <c r="F2470" t="s">
        <v>96</v>
      </c>
      <c r="G2470" t="s">
        <v>96</v>
      </c>
      <c r="H2470">
        <v>2017</v>
      </c>
      <c r="I2470" t="s">
        <v>96</v>
      </c>
      <c r="J2470" t="s">
        <v>97</v>
      </c>
      <c r="K2470" t="s">
        <v>96</v>
      </c>
      <c r="L2470" t="s">
        <v>96</v>
      </c>
      <c r="M2470">
        <v>2132.6443129029999</v>
      </c>
      <c r="O2470" s="12" t="str">
        <f t="shared" si="90"/>
        <v>MID</v>
      </c>
      <c r="P2470" s="12" t="str">
        <f t="shared" si="91"/>
        <v>EN_Hy</v>
      </c>
    </row>
    <row r="2471" spans="1:16" x14ac:dyDescent="0.35">
      <c r="A2471" t="s">
        <v>2384</v>
      </c>
      <c r="B2471" t="s">
        <v>76</v>
      </c>
      <c r="C2471" t="s">
        <v>45</v>
      </c>
      <c r="D2471" t="s">
        <v>2685</v>
      </c>
      <c r="E2471" t="s">
        <v>96</v>
      </c>
      <c r="F2471" t="s">
        <v>96</v>
      </c>
      <c r="G2471" t="s">
        <v>96</v>
      </c>
      <c r="H2471">
        <v>2017</v>
      </c>
      <c r="I2471" t="s">
        <v>96</v>
      </c>
      <c r="J2471" t="s">
        <v>97</v>
      </c>
      <c r="K2471" t="s">
        <v>96</v>
      </c>
      <c r="L2471" t="s">
        <v>96</v>
      </c>
      <c r="M2471">
        <v>1280.0271509859999</v>
      </c>
      <c r="O2471" s="12" t="str">
        <f t="shared" si="90"/>
        <v>MID</v>
      </c>
      <c r="P2471" s="12" t="str">
        <f t="shared" si="91"/>
        <v>EN_Hy</v>
      </c>
    </row>
    <row r="2472" spans="1:16" x14ac:dyDescent="0.35">
      <c r="A2472" t="s">
        <v>2384</v>
      </c>
      <c r="B2472" t="s">
        <v>76</v>
      </c>
      <c r="C2472" t="s">
        <v>45</v>
      </c>
      <c r="D2472" t="s">
        <v>2686</v>
      </c>
      <c r="E2472" t="s">
        <v>96</v>
      </c>
      <c r="F2472" t="s">
        <v>96</v>
      </c>
      <c r="G2472" t="s">
        <v>96</v>
      </c>
      <c r="H2472">
        <v>2017</v>
      </c>
      <c r="I2472" t="s">
        <v>96</v>
      </c>
      <c r="J2472" t="s">
        <v>97</v>
      </c>
      <c r="K2472" t="s">
        <v>96</v>
      </c>
      <c r="L2472" t="s">
        <v>96</v>
      </c>
      <c r="M2472">
        <v>1705.4665410560001</v>
      </c>
      <c r="O2472" s="12" t="str">
        <f t="shared" si="90"/>
        <v>MID</v>
      </c>
      <c r="P2472" s="12" t="str">
        <f t="shared" si="91"/>
        <v>EN_Hy</v>
      </c>
    </row>
    <row r="2473" spans="1:16" x14ac:dyDescent="0.35">
      <c r="A2473" t="s">
        <v>2384</v>
      </c>
      <c r="B2473" t="s">
        <v>76</v>
      </c>
      <c r="C2473" t="s">
        <v>45</v>
      </c>
      <c r="D2473" t="s">
        <v>2687</v>
      </c>
      <c r="E2473" t="s">
        <v>96</v>
      </c>
      <c r="F2473" t="s">
        <v>96</v>
      </c>
      <c r="G2473" t="s">
        <v>96</v>
      </c>
      <c r="H2473">
        <v>2017</v>
      </c>
      <c r="I2473" t="s">
        <v>96</v>
      </c>
      <c r="J2473" t="s">
        <v>97</v>
      </c>
      <c r="K2473" t="s">
        <v>96</v>
      </c>
      <c r="L2473" t="s">
        <v>96</v>
      </c>
      <c r="M2473">
        <v>2132.6443129029999</v>
      </c>
      <c r="O2473" s="12" t="str">
        <f t="shared" si="90"/>
        <v>MID</v>
      </c>
      <c r="P2473" s="12" t="str">
        <f t="shared" si="91"/>
        <v>EN_Hy</v>
      </c>
    </row>
    <row r="2474" spans="1:16" x14ac:dyDescent="0.35">
      <c r="A2474" t="s">
        <v>2384</v>
      </c>
      <c r="B2474" t="s">
        <v>76</v>
      </c>
      <c r="C2474" t="s">
        <v>45</v>
      </c>
      <c r="D2474" t="s">
        <v>3223</v>
      </c>
      <c r="E2474" t="s">
        <v>96</v>
      </c>
      <c r="F2474" t="s">
        <v>96</v>
      </c>
      <c r="G2474" t="s">
        <v>96</v>
      </c>
      <c r="H2474">
        <v>2017</v>
      </c>
      <c r="I2474" t="s">
        <v>96</v>
      </c>
      <c r="J2474" t="s">
        <v>97</v>
      </c>
      <c r="K2474" t="s">
        <v>96</v>
      </c>
      <c r="L2474" t="s">
        <v>96</v>
      </c>
      <c r="M2474">
        <v>99999</v>
      </c>
      <c r="O2474" s="12" t="str">
        <f t="shared" si="90"/>
        <v>MID</v>
      </c>
      <c r="P2474" s="12" t="str">
        <f t="shared" si="91"/>
        <v>EN_RE</v>
      </c>
    </row>
    <row r="2475" spans="1:16" x14ac:dyDescent="0.35">
      <c r="A2475" t="s">
        <v>2384</v>
      </c>
      <c r="B2475" t="s">
        <v>76</v>
      </c>
      <c r="C2475" t="s">
        <v>45</v>
      </c>
      <c r="D2475" t="s">
        <v>3224</v>
      </c>
      <c r="E2475" t="s">
        <v>96</v>
      </c>
      <c r="F2475" t="s">
        <v>96</v>
      </c>
      <c r="G2475" t="s">
        <v>96</v>
      </c>
      <c r="H2475">
        <v>2017</v>
      </c>
      <c r="I2475" t="s">
        <v>96</v>
      </c>
      <c r="J2475" t="s">
        <v>97</v>
      </c>
      <c r="K2475" t="s">
        <v>96</v>
      </c>
      <c r="L2475" t="s">
        <v>96</v>
      </c>
      <c r="M2475">
        <v>99999</v>
      </c>
      <c r="O2475" s="12" t="str">
        <f t="shared" si="90"/>
        <v>MID</v>
      </c>
      <c r="P2475" s="12" t="str">
        <f t="shared" si="91"/>
        <v>EN_RE</v>
      </c>
    </row>
    <row r="2476" spans="1:16" x14ac:dyDescent="0.35">
      <c r="A2476" t="s">
        <v>2384</v>
      </c>
      <c r="B2476" t="s">
        <v>76</v>
      </c>
      <c r="C2476" t="s">
        <v>45</v>
      </c>
      <c r="D2476" t="s">
        <v>3225</v>
      </c>
      <c r="E2476" t="s">
        <v>96</v>
      </c>
      <c r="F2476" t="s">
        <v>96</v>
      </c>
      <c r="G2476" t="s">
        <v>96</v>
      </c>
      <c r="H2476">
        <v>2017</v>
      </c>
      <c r="I2476" t="s">
        <v>96</v>
      </c>
      <c r="J2476" t="s">
        <v>97</v>
      </c>
      <c r="K2476" t="s">
        <v>96</v>
      </c>
      <c r="L2476" t="s">
        <v>96</v>
      </c>
      <c r="M2476">
        <v>99999</v>
      </c>
      <c r="O2476" s="12" t="str">
        <f t="shared" si="90"/>
        <v>MID</v>
      </c>
      <c r="P2476" s="12" t="str">
        <f t="shared" si="91"/>
        <v>EN_RE</v>
      </c>
    </row>
    <row r="2477" spans="1:16" x14ac:dyDescent="0.35">
      <c r="A2477" t="s">
        <v>2384</v>
      </c>
      <c r="B2477" t="s">
        <v>76</v>
      </c>
      <c r="C2477" t="s">
        <v>45</v>
      </c>
      <c r="D2477" t="s">
        <v>3226</v>
      </c>
      <c r="E2477" t="s">
        <v>96</v>
      </c>
      <c r="F2477" t="s">
        <v>96</v>
      </c>
      <c r="G2477" t="s">
        <v>96</v>
      </c>
      <c r="H2477">
        <v>2017</v>
      </c>
      <c r="I2477" t="s">
        <v>96</v>
      </c>
      <c r="J2477" t="s">
        <v>97</v>
      </c>
      <c r="K2477" t="s">
        <v>96</v>
      </c>
      <c r="L2477" t="s">
        <v>96</v>
      </c>
      <c r="M2477">
        <v>99999</v>
      </c>
      <c r="O2477" s="12" t="str">
        <f t="shared" si="90"/>
        <v>MID</v>
      </c>
      <c r="P2477" s="12" t="str">
        <f t="shared" si="91"/>
        <v>EN_RE</v>
      </c>
    </row>
    <row r="2478" spans="1:16" x14ac:dyDescent="0.35">
      <c r="A2478" t="s">
        <v>2384</v>
      </c>
      <c r="B2478" t="s">
        <v>76</v>
      </c>
      <c r="C2478" t="s">
        <v>45</v>
      </c>
      <c r="D2478" t="s">
        <v>3227</v>
      </c>
      <c r="E2478" t="s">
        <v>96</v>
      </c>
      <c r="F2478" t="s">
        <v>96</v>
      </c>
      <c r="G2478" t="s">
        <v>96</v>
      </c>
      <c r="H2478">
        <v>2017</v>
      </c>
      <c r="I2478" t="s">
        <v>96</v>
      </c>
      <c r="J2478" t="s">
        <v>97</v>
      </c>
      <c r="K2478" t="s">
        <v>96</v>
      </c>
      <c r="L2478" t="s">
        <v>96</v>
      </c>
      <c r="M2478">
        <v>99999</v>
      </c>
      <c r="O2478" s="12" t="str">
        <f t="shared" si="90"/>
        <v>MID</v>
      </c>
      <c r="P2478" s="12" t="str">
        <f t="shared" si="91"/>
        <v>EN_RE</v>
      </c>
    </row>
    <row r="2479" spans="1:16" x14ac:dyDescent="0.35">
      <c r="A2479" t="s">
        <v>2384</v>
      </c>
      <c r="B2479" t="s">
        <v>76</v>
      </c>
      <c r="C2479" t="s">
        <v>45</v>
      </c>
      <c r="D2479" t="s">
        <v>3228</v>
      </c>
      <c r="E2479" t="s">
        <v>96</v>
      </c>
      <c r="F2479" t="s">
        <v>96</v>
      </c>
      <c r="G2479" t="s">
        <v>96</v>
      </c>
      <c r="H2479">
        <v>2017</v>
      </c>
      <c r="I2479" t="s">
        <v>96</v>
      </c>
      <c r="J2479" t="s">
        <v>97</v>
      </c>
      <c r="K2479" t="s">
        <v>96</v>
      </c>
      <c r="L2479" t="s">
        <v>96</v>
      </c>
      <c r="M2479">
        <v>99999</v>
      </c>
      <c r="O2479" s="12" t="str">
        <f t="shared" si="90"/>
        <v>MID</v>
      </c>
      <c r="P2479" s="12" t="str">
        <f t="shared" si="91"/>
        <v>EN_RE</v>
      </c>
    </row>
    <row r="2480" spans="1:16" x14ac:dyDescent="0.35">
      <c r="A2480" t="s">
        <v>2384</v>
      </c>
      <c r="B2480" t="s">
        <v>76</v>
      </c>
      <c r="C2480" t="s">
        <v>45</v>
      </c>
      <c r="D2480" t="s">
        <v>3229</v>
      </c>
      <c r="E2480" t="s">
        <v>96</v>
      </c>
      <c r="F2480" t="s">
        <v>96</v>
      </c>
      <c r="G2480" t="s">
        <v>96</v>
      </c>
      <c r="H2480">
        <v>2017</v>
      </c>
      <c r="I2480" t="s">
        <v>96</v>
      </c>
      <c r="J2480" t="s">
        <v>97</v>
      </c>
      <c r="K2480" t="s">
        <v>96</v>
      </c>
      <c r="L2480" t="s">
        <v>96</v>
      </c>
      <c r="M2480">
        <v>99999</v>
      </c>
      <c r="O2480" s="12" t="str">
        <f t="shared" si="90"/>
        <v>MID</v>
      </c>
      <c r="P2480" s="12" t="str">
        <f t="shared" si="91"/>
        <v>EN_RE</v>
      </c>
    </row>
    <row r="2481" spans="1:16" x14ac:dyDescent="0.35">
      <c r="A2481" t="s">
        <v>2384</v>
      </c>
      <c r="B2481" t="s">
        <v>76</v>
      </c>
      <c r="C2481" t="s">
        <v>45</v>
      </c>
      <c r="D2481" t="s">
        <v>3230</v>
      </c>
      <c r="E2481" t="s">
        <v>96</v>
      </c>
      <c r="F2481" t="s">
        <v>96</v>
      </c>
      <c r="G2481" t="s">
        <v>96</v>
      </c>
      <c r="H2481">
        <v>2017</v>
      </c>
      <c r="I2481" t="s">
        <v>96</v>
      </c>
      <c r="J2481" t="s">
        <v>97</v>
      </c>
      <c r="K2481" t="s">
        <v>96</v>
      </c>
      <c r="L2481" t="s">
        <v>96</v>
      </c>
      <c r="M2481">
        <v>99999</v>
      </c>
      <c r="O2481" s="12" t="str">
        <f t="shared" si="90"/>
        <v>MID</v>
      </c>
      <c r="P2481" s="12" t="str">
        <f t="shared" si="91"/>
        <v>EN_RE</v>
      </c>
    </row>
    <row r="2482" spans="1:16" x14ac:dyDescent="0.35">
      <c r="A2482" t="s">
        <v>2384</v>
      </c>
      <c r="B2482" t="s">
        <v>76</v>
      </c>
      <c r="C2482" t="s">
        <v>45</v>
      </c>
      <c r="D2482" t="s">
        <v>3231</v>
      </c>
      <c r="E2482" t="s">
        <v>96</v>
      </c>
      <c r="F2482" t="s">
        <v>96</v>
      </c>
      <c r="G2482" t="s">
        <v>96</v>
      </c>
      <c r="H2482">
        <v>2017</v>
      </c>
      <c r="I2482" t="s">
        <v>96</v>
      </c>
      <c r="J2482" t="s">
        <v>97</v>
      </c>
      <c r="K2482" t="s">
        <v>96</v>
      </c>
      <c r="L2482" t="s">
        <v>96</v>
      </c>
      <c r="M2482">
        <v>99999</v>
      </c>
      <c r="O2482" s="12" t="str">
        <f t="shared" si="90"/>
        <v>MID</v>
      </c>
      <c r="P2482" s="12" t="str">
        <f t="shared" si="91"/>
        <v>EN_RE</v>
      </c>
    </row>
    <row r="2483" spans="1:16" x14ac:dyDescent="0.35">
      <c r="A2483" t="s">
        <v>2384</v>
      </c>
      <c r="B2483" t="s">
        <v>76</v>
      </c>
      <c r="C2483" t="s">
        <v>45</v>
      </c>
      <c r="D2483" t="s">
        <v>3232</v>
      </c>
      <c r="E2483" t="s">
        <v>96</v>
      </c>
      <c r="F2483" t="s">
        <v>96</v>
      </c>
      <c r="G2483" t="s">
        <v>96</v>
      </c>
      <c r="H2483">
        <v>2017</v>
      </c>
      <c r="I2483" t="s">
        <v>96</v>
      </c>
      <c r="J2483" t="s">
        <v>97</v>
      </c>
      <c r="K2483" t="s">
        <v>96</v>
      </c>
      <c r="L2483" t="s">
        <v>96</v>
      </c>
      <c r="M2483">
        <v>99999</v>
      </c>
      <c r="O2483" s="12" t="str">
        <f t="shared" si="90"/>
        <v>MID</v>
      </c>
      <c r="P2483" s="12" t="str">
        <f t="shared" si="91"/>
        <v>EN_RE</v>
      </c>
    </row>
    <row r="2484" spans="1:16" x14ac:dyDescent="0.35">
      <c r="A2484" t="s">
        <v>2384</v>
      </c>
      <c r="B2484" t="s">
        <v>76</v>
      </c>
      <c r="C2484" t="s">
        <v>45</v>
      </c>
      <c r="D2484" t="s">
        <v>3233</v>
      </c>
      <c r="E2484" t="s">
        <v>96</v>
      </c>
      <c r="F2484" t="s">
        <v>96</v>
      </c>
      <c r="G2484" t="s">
        <v>96</v>
      </c>
      <c r="H2484">
        <v>2017</v>
      </c>
      <c r="I2484" t="s">
        <v>96</v>
      </c>
      <c r="J2484" t="s">
        <v>97</v>
      </c>
      <c r="K2484" t="s">
        <v>96</v>
      </c>
      <c r="L2484" t="s">
        <v>96</v>
      </c>
      <c r="M2484">
        <v>99999</v>
      </c>
      <c r="O2484" s="12" t="str">
        <f t="shared" si="90"/>
        <v>MID</v>
      </c>
      <c r="P2484" s="12" t="str">
        <f t="shared" si="91"/>
        <v>EN_RE</v>
      </c>
    </row>
    <row r="2485" spans="1:16" x14ac:dyDescent="0.35">
      <c r="A2485" t="s">
        <v>2384</v>
      </c>
      <c r="B2485" t="s">
        <v>76</v>
      </c>
      <c r="C2485" t="s">
        <v>45</v>
      </c>
      <c r="D2485" t="s">
        <v>3234</v>
      </c>
      <c r="E2485" t="s">
        <v>96</v>
      </c>
      <c r="F2485" t="s">
        <v>96</v>
      </c>
      <c r="G2485" t="s">
        <v>96</v>
      </c>
      <c r="H2485">
        <v>2017</v>
      </c>
      <c r="I2485" t="s">
        <v>96</v>
      </c>
      <c r="J2485" t="s">
        <v>97</v>
      </c>
      <c r="K2485" t="s">
        <v>96</v>
      </c>
      <c r="L2485" t="s">
        <v>96</v>
      </c>
      <c r="M2485">
        <v>99999</v>
      </c>
      <c r="O2485" s="12" t="str">
        <f t="shared" si="90"/>
        <v>MID</v>
      </c>
      <c r="P2485" s="12" t="str">
        <f t="shared" si="91"/>
        <v>EN_RE</v>
      </c>
    </row>
    <row r="2486" spans="1:16" x14ac:dyDescent="0.35">
      <c r="A2486" t="s">
        <v>2384</v>
      </c>
      <c r="B2486" t="s">
        <v>76</v>
      </c>
      <c r="C2486" t="s">
        <v>45</v>
      </c>
      <c r="D2486" t="s">
        <v>3235</v>
      </c>
      <c r="E2486" t="s">
        <v>96</v>
      </c>
      <c r="F2486" t="s">
        <v>96</v>
      </c>
      <c r="G2486" t="s">
        <v>96</v>
      </c>
      <c r="H2486">
        <v>2017</v>
      </c>
      <c r="I2486" t="s">
        <v>96</v>
      </c>
      <c r="J2486" t="s">
        <v>97</v>
      </c>
      <c r="K2486" t="s">
        <v>96</v>
      </c>
      <c r="L2486" t="s">
        <v>96</v>
      </c>
      <c r="M2486">
        <v>99999</v>
      </c>
      <c r="O2486" s="12" t="str">
        <f t="shared" si="90"/>
        <v>MID</v>
      </c>
      <c r="P2486" s="12" t="str">
        <f t="shared" si="91"/>
        <v>EN_RE</v>
      </c>
    </row>
    <row r="2487" spans="1:16" x14ac:dyDescent="0.35">
      <c r="A2487" t="s">
        <v>2384</v>
      </c>
      <c r="B2487" t="s">
        <v>76</v>
      </c>
      <c r="C2487" t="s">
        <v>45</v>
      </c>
      <c r="D2487" t="s">
        <v>3236</v>
      </c>
      <c r="E2487" t="s">
        <v>96</v>
      </c>
      <c r="F2487" t="s">
        <v>96</v>
      </c>
      <c r="G2487" t="s">
        <v>96</v>
      </c>
      <c r="H2487">
        <v>2017</v>
      </c>
      <c r="I2487" t="s">
        <v>96</v>
      </c>
      <c r="J2487" t="s">
        <v>97</v>
      </c>
      <c r="K2487" t="s">
        <v>96</v>
      </c>
      <c r="L2487" t="s">
        <v>96</v>
      </c>
      <c r="M2487">
        <v>99999</v>
      </c>
      <c r="O2487" s="12" t="str">
        <f t="shared" si="90"/>
        <v>MID</v>
      </c>
      <c r="P2487" s="12" t="str">
        <f t="shared" si="91"/>
        <v>EN_RE</v>
      </c>
    </row>
    <row r="2488" spans="1:16" x14ac:dyDescent="0.35">
      <c r="A2488" t="s">
        <v>2384</v>
      </c>
      <c r="B2488" t="s">
        <v>77</v>
      </c>
      <c r="C2488" t="s">
        <v>45</v>
      </c>
      <c r="D2488" t="s">
        <v>2688</v>
      </c>
      <c r="E2488" t="s">
        <v>96</v>
      </c>
      <c r="F2488" t="s">
        <v>96</v>
      </c>
      <c r="G2488" t="s">
        <v>96</v>
      </c>
      <c r="H2488">
        <v>2017</v>
      </c>
      <c r="I2488" t="s">
        <v>96</v>
      </c>
      <c r="J2488" t="s">
        <v>97</v>
      </c>
      <c r="K2488" t="s">
        <v>96</v>
      </c>
      <c r="L2488" t="s">
        <v>96</v>
      </c>
      <c r="M2488">
        <v>2229.6398720000002</v>
      </c>
      <c r="O2488" s="12" t="str">
        <f t="shared" si="90"/>
        <v>MXC</v>
      </c>
      <c r="P2488" s="12" t="str">
        <f t="shared" si="91"/>
        <v>EN_Hy</v>
      </c>
    </row>
    <row r="2489" spans="1:16" x14ac:dyDescent="0.35">
      <c r="A2489" t="s">
        <v>2384</v>
      </c>
      <c r="B2489" t="s">
        <v>77</v>
      </c>
      <c r="C2489" t="s">
        <v>45</v>
      </c>
      <c r="D2489" t="s">
        <v>2689</v>
      </c>
      <c r="E2489" t="s">
        <v>96</v>
      </c>
      <c r="F2489" t="s">
        <v>96</v>
      </c>
      <c r="G2489" t="s">
        <v>96</v>
      </c>
      <c r="H2489">
        <v>2017</v>
      </c>
      <c r="I2489" t="s">
        <v>96</v>
      </c>
      <c r="J2489" t="s">
        <v>97</v>
      </c>
      <c r="K2489" t="s">
        <v>96</v>
      </c>
      <c r="L2489" t="s">
        <v>96</v>
      </c>
      <c r="M2489">
        <v>4274.4761600000002</v>
      </c>
      <c r="O2489" s="12" t="str">
        <f t="shared" si="90"/>
        <v>MXC</v>
      </c>
      <c r="P2489" s="12" t="str">
        <f t="shared" si="91"/>
        <v>EN_Hy</v>
      </c>
    </row>
    <row r="2490" spans="1:16" x14ac:dyDescent="0.35">
      <c r="A2490" t="s">
        <v>2384</v>
      </c>
      <c r="B2490" t="s">
        <v>77</v>
      </c>
      <c r="C2490" t="s">
        <v>45</v>
      </c>
      <c r="D2490" t="s">
        <v>2690</v>
      </c>
      <c r="E2490" t="s">
        <v>96</v>
      </c>
      <c r="F2490" t="s">
        <v>96</v>
      </c>
      <c r="G2490" t="s">
        <v>96</v>
      </c>
      <c r="H2490">
        <v>2017</v>
      </c>
      <c r="I2490" t="s">
        <v>96</v>
      </c>
      <c r="J2490" t="s">
        <v>97</v>
      </c>
      <c r="K2490" t="s">
        <v>96</v>
      </c>
      <c r="L2490" t="s">
        <v>96</v>
      </c>
      <c r="M2490">
        <v>6767.5020800000002</v>
      </c>
      <c r="O2490" s="12" t="str">
        <f t="shared" si="90"/>
        <v>MXC</v>
      </c>
      <c r="P2490" s="12" t="str">
        <f t="shared" si="91"/>
        <v>EN_Hy</v>
      </c>
    </row>
    <row r="2491" spans="1:16" x14ac:dyDescent="0.35">
      <c r="A2491" t="s">
        <v>2384</v>
      </c>
      <c r="B2491" t="s">
        <v>77</v>
      </c>
      <c r="C2491" t="s">
        <v>45</v>
      </c>
      <c r="D2491" t="s">
        <v>2523</v>
      </c>
      <c r="E2491" t="s">
        <v>96</v>
      </c>
      <c r="F2491" t="s">
        <v>96</v>
      </c>
      <c r="G2491" t="s">
        <v>96</v>
      </c>
      <c r="H2491">
        <v>2017</v>
      </c>
      <c r="I2491" t="s">
        <v>96</v>
      </c>
      <c r="J2491" t="s">
        <v>97</v>
      </c>
      <c r="K2491" t="s">
        <v>96</v>
      </c>
      <c r="L2491" t="s">
        <v>96</v>
      </c>
      <c r="M2491">
        <v>1336.7795000000001</v>
      </c>
      <c r="O2491" s="12" t="str">
        <f t="shared" si="90"/>
        <v>MXC</v>
      </c>
      <c r="P2491" s="12" t="str">
        <f t="shared" si="91"/>
        <v>EN_Hy</v>
      </c>
    </row>
    <row r="2492" spans="1:16" x14ac:dyDescent="0.35">
      <c r="A2492" t="s">
        <v>2384</v>
      </c>
      <c r="B2492" t="s">
        <v>77</v>
      </c>
      <c r="C2492" t="s">
        <v>45</v>
      </c>
      <c r="D2492" t="s">
        <v>2524</v>
      </c>
      <c r="E2492" t="s">
        <v>96</v>
      </c>
      <c r="F2492" t="s">
        <v>96</v>
      </c>
      <c r="G2492" t="s">
        <v>96</v>
      </c>
      <c r="H2492">
        <v>2017</v>
      </c>
      <c r="I2492" t="s">
        <v>96</v>
      </c>
      <c r="J2492" t="s">
        <v>97</v>
      </c>
      <c r="K2492" t="s">
        <v>96</v>
      </c>
      <c r="L2492" t="s">
        <v>96</v>
      </c>
      <c r="M2492">
        <v>2905.1751559999998</v>
      </c>
      <c r="O2492" s="12" t="str">
        <f t="shared" si="90"/>
        <v>MXC</v>
      </c>
      <c r="P2492" s="12" t="str">
        <f t="shared" si="91"/>
        <v>EN_Hy</v>
      </c>
    </row>
    <row r="2493" spans="1:16" x14ac:dyDescent="0.35">
      <c r="A2493" t="s">
        <v>2384</v>
      </c>
      <c r="B2493" t="s">
        <v>77</v>
      </c>
      <c r="C2493" t="s">
        <v>45</v>
      </c>
      <c r="D2493" t="s">
        <v>2525</v>
      </c>
      <c r="E2493" t="s">
        <v>96</v>
      </c>
      <c r="F2493" t="s">
        <v>96</v>
      </c>
      <c r="G2493" t="s">
        <v>96</v>
      </c>
      <c r="H2493">
        <v>2017</v>
      </c>
      <c r="I2493" t="s">
        <v>96</v>
      </c>
      <c r="J2493" t="s">
        <v>97</v>
      </c>
      <c r="K2493" t="s">
        <v>96</v>
      </c>
      <c r="L2493" t="s">
        <v>96</v>
      </c>
      <c r="M2493">
        <v>4337.8897999999999</v>
      </c>
      <c r="O2493" s="12" t="str">
        <f t="shared" si="90"/>
        <v>MXC</v>
      </c>
      <c r="P2493" s="12" t="str">
        <f t="shared" si="91"/>
        <v>EN_Hy</v>
      </c>
    </row>
    <row r="2494" spans="1:16" x14ac:dyDescent="0.35">
      <c r="A2494" t="s">
        <v>2384</v>
      </c>
      <c r="B2494" t="s">
        <v>77</v>
      </c>
      <c r="C2494" t="s">
        <v>45</v>
      </c>
      <c r="D2494" t="s">
        <v>2691</v>
      </c>
      <c r="E2494" t="s">
        <v>96</v>
      </c>
      <c r="F2494" t="s">
        <v>96</v>
      </c>
      <c r="G2494" t="s">
        <v>96</v>
      </c>
      <c r="H2494">
        <v>2017</v>
      </c>
      <c r="I2494" t="s">
        <v>96</v>
      </c>
      <c r="J2494" t="s">
        <v>97</v>
      </c>
      <c r="K2494" t="s">
        <v>96</v>
      </c>
      <c r="L2494" t="s">
        <v>96</v>
      </c>
      <c r="M2494">
        <v>1259.340224</v>
      </c>
      <c r="O2494" s="12" t="str">
        <f t="shared" si="90"/>
        <v>MXC</v>
      </c>
      <c r="P2494" s="12" t="str">
        <f t="shared" si="91"/>
        <v>EN_Hy</v>
      </c>
    </row>
    <row r="2495" spans="1:16" x14ac:dyDescent="0.35">
      <c r="A2495" t="s">
        <v>2384</v>
      </c>
      <c r="B2495" t="s">
        <v>77</v>
      </c>
      <c r="C2495" t="s">
        <v>45</v>
      </c>
      <c r="D2495" t="s">
        <v>2692</v>
      </c>
      <c r="E2495" t="s">
        <v>96</v>
      </c>
      <c r="F2495" t="s">
        <v>96</v>
      </c>
      <c r="G2495" t="s">
        <v>96</v>
      </c>
      <c r="H2495">
        <v>2017</v>
      </c>
      <c r="I2495" t="s">
        <v>96</v>
      </c>
      <c r="J2495" t="s">
        <v>97</v>
      </c>
      <c r="K2495" t="s">
        <v>96</v>
      </c>
      <c r="L2495" t="s">
        <v>96</v>
      </c>
      <c r="M2495">
        <v>2196.548096</v>
      </c>
      <c r="O2495" s="12" t="str">
        <f t="shared" si="90"/>
        <v>MXC</v>
      </c>
      <c r="P2495" s="12" t="str">
        <f t="shared" si="91"/>
        <v>EN_Hy</v>
      </c>
    </row>
    <row r="2496" spans="1:16" x14ac:dyDescent="0.35">
      <c r="A2496" t="s">
        <v>2384</v>
      </c>
      <c r="B2496" t="s">
        <v>77</v>
      </c>
      <c r="C2496" t="s">
        <v>45</v>
      </c>
      <c r="D2496" t="s">
        <v>2693</v>
      </c>
      <c r="E2496" t="s">
        <v>96</v>
      </c>
      <c r="F2496" t="s">
        <v>96</v>
      </c>
      <c r="G2496" t="s">
        <v>96</v>
      </c>
      <c r="H2496">
        <v>2017</v>
      </c>
      <c r="I2496" t="s">
        <v>96</v>
      </c>
      <c r="J2496" t="s">
        <v>97</v>
      </c>
      <c r="K2496" t="s">
        <v>96</v>
      </c>
      <c r="L2496" t="s">
        <v>96</v>
      </c>
      <c r="M2496">
        <v>3058.5881599999998</v>
      </c>
      <c r="O2496" s="12" t="str">
        <f t="shared" si="90"/>
        <v>MXC</v>
      </c>
      <c r="P2496" s="12" t="str">
        <f t="shared" si="91"/>
        <v>EN_Hy</v>
      </c>
    </row>
    <row r="2497" spans="1:16" x14ac:dyDescent="0.35">
      <c r="A2497" t="s">
        <v>2384</v>
      </c>
      <c r="B2497" t="s">
        <v>77</v>
      </c>
      <c r="C2497" t="s">
        <v>45</v>
      </c>
      <c r="D2497" t="s">
        <v>2565</v>
      </c>
      <c r="E2497" t="s">
        <v>96</v>
      </c>
      <c r="F2497" t="s">
        <v>96</v>
      </c>
      <c r="G2497" t="s">
        <v>96</v>
      </c>
      <c r="H2497">
        <v>2017</v>
      </c>
      <c r="I2497" t="s">
        <v>96</v>
      </c>
      <c r="J2497" t="s">
        <v>97</v>
      </c>
      <c r="K2497" t="s">
        <v>96</v>
      </c>
      <c r="L2497" t="s">
        <v>96</v>
      </c>
      <c r="M2497">
        <v>1744.4900479999999</v>
      </c>
      <c r="O2497" s="12" t="str">
        <f t="shared" si="90"/>
        <v>MXC</v>
      </c>
      <c r="P2497" s="12" t="str">
        <f t="shared" si="91"/>
        <v>EN_Hy</v>
      </c>
    </row>
    <row r="2498" spans="1:16" x14ac:dyDescent="0.35">
      <c r="A2498" t="s">
        <v>2384</v>
      </c>
      <c r="B2498" t="s">
        <v>77</v>
      </c>
      <c r="C2498" t="s">
        <v>45</v>
      </c>
      <c r="D2498" t="s">
        <v>2566</v>
      </c>
      <c r="E2498" t="s">
        <v>96</v>
      </c>
      <c r="F2498" t="s">
        <v>96</v>
      </c>
      <c r="G2498" t="s">
        <v>96</v>
      </c>
      <c r="H2498">
        <v>2017</v>
      </c>
      <c r="I2498" t="s">
        <v>96</v>
      </c>
      <c r="J2498" t="s">
        <v>97</v>
      </c>
      <c r="K2498" t="s">
        <v>96</v>
      </c>
      <c r="L2498" t="s">
        <v>96</v>
      </c>
      <c r="M2498">
        <v>3235.5121279999998</v>
      </c>
      <c r="O2498" s="12" t="str">
        <f t="shared" si="90"/>
        <v>MXC</v>
      </c>
      <c r="P2498" s="12" t="str">
        <f t="shared" si="91"/>
        <v>EN_Hy</v>
      </c>
    </row>
    <row r="2499" spans="1:16" x14ac:dyDescent="0.35">
      <c r="A2499" t="s">
        <v>2384</v>
      </c>
      <c r="B2499" t="s">
        <v>77</v>
      </c>
      <c r="C2499" t="s">
        <v>45</v>
      </c>
      <c r="D2499" t="s">
        <v>2567</v>
      </c>
      <c r="E2499" t="s">
        <v>96</v>
      </c>
      <c r="F2499" t="s">
        <v>96</v>
      </c>
      <c r="G2499" t="s">
        <v>96</v>
      </c>
      <c r="H2499">
        <v>2017</v>
      </c>
      <c r="I2499" t="s">
        <v>96</v>
      </c>
      <c r="J2499" t="s">
        <v>97</v>
      </c>
      <c r="K2499" t="s">
        <v>96</v>
      </c>
      <c r="L2499" t="s">
        <v>96</v>
      </c>
      <c r="M2499">
        <v>4913.0451199999998</v>
      </c>
      <c r="O2499" s="12" t="str">
        <f t="shared" ref="O2499:O2562" si="92">LEFT(B2499,3)</f>
        <v>MXC</v>
      </c>
      <c r="P2499" s="12" t="str">
        <f t="shared" ref="P2499:P2562" si="93">LEFT(D2499,5)</f>
        <v>EN_Hy</v>
      </c>
    </row>
    <row r="2500" spans="1:16" x14ac:dyDescent="0.35">
      <c r="A2500" t="s">
        <v>2384</v>
      </c>
      <c r="B2500" t="s">
        <v>77</v>
      </c>
      <c r="C2500" t="s">
        <v>45</v>
      </c>
      <c r="D2500" t="s">
        <v>3237</v>
      </c>
      <c r="E2500" t="s">
        <v>96</v>
      </c>
      <c r="F2500" t="s">
        <v>96</v>
      </c>
      <c r="G2500" t="s">
        <v>96</v>
      </c>
      <c r="H2500">
        <v>2017</v>
      </c>
      <c r="I2500" t="s">
        <v>96</v>
      </c>
      <c r="J2500" t="s">
        <v>97</v>
      </c>
      <c r="K2500" t="s">
        <v>96</v>
      </c>
      <c r="L2500" t="s">
        <v>96</v>
      </c>
      <c r="M2500">
        <v>99999</v>
      </c>
      <c r="O2500" s="12" t="str">
        <f t="shared" si="92"/>
        <v>MXC</v>
      </c>
      <c r="P2500" s="12" t="str">
        <f t="shared" si="93"/>
        <v>EN_RE</v>
      </c>
    </row>
    <row r="2501" spans="1:16" x14ac:dyDescent="0.35">
      <c r="A2501" t="s">
        <v>2384</v>
      </c>
      <c r="B2501" t="s">
        <v>77</v>
      </c>
      <c r="C2501" t="s">
        <v>45</v>
      </c>
      <c r="D2501" t="s">
        <v>3171</v>
      </c>
      <c r="E2501" t="s">
        <v>96</v>
      </c>
      <c r="F2501" t="s">
        <v>96</v>
      </c>
      <c r="G2501" t="s">
        <v>96</v>
      </c>
      <c r="H2501">
        <v>2017</v>
      </c>
      <c r="I2501" t="s">
        <v>96</v>
      </c>
      <c r="J2501" t="s">
        <v>97</v>
      </c>
      <c r="K2501" t="s">
        <v>96</v>
      </c>
      <c r="L2501" t="s">
        <v>96</v>
      </c>
      <c r="M2501">
        <v>99999</v>
      </c>
      <c r="O2501" s="12" t="str">
        <f t="shared" si="92"/>
        <v>MXC</v>
      </c>
      <c r="P2501" s="12" t="str">
        <f t="shared" si="93"/>
        <v>EN_RE</v>
      </c>
    </row>
    <row r="2502" spans="1:16" x14ac:dyDescent="0.35">
      <c r="A2502" t="s">
        <v>2384</v>
      </c>
      <c r="B2502" t="s">
        <v>77</v>
      </c>
      <c r="C2502" t="s">
        <v>45</v>
      </c>
      <c r="D2502" t="s">
        <v>3238</v>
      </c>
      <c r="E2502" t="s">
        <v>96</v>
      </c>
      <c r="F2502" t="s">
        <v>96</v>
      </c>
      <c r="G2502" t="s">
        <v>96</v>
      </c>
      <c r="H2502">
        <v>2017</v>
      </c>
      <c r="I2502" t="s">
        <v>96</v>
      </c>
      <c r="J2502" t="s">
        <v>97</v>
      </c>
      <c r="K2502" t="s">
        <v>96</v>
      </c>
      <c r="L2502" t="s">
        <v>96</v>
      </c>
      <c r="M2502">
        <v>99999</v>
      </c>
      <c r="O2502" s="12" t="str">
        <f t="shared" si="92"/>
        <v>MXC</v>
      </c>
      <c r="P2502" s="12" t="str">
        <f t="shared" si="93"/>
        <v>EN_RE</v>
      </c>
    </row>
    <row r="2503" spans="1:16" x14ac:dyDescent="0.35">
      <c r="A2503" t="s">
        <v>2384</v>
      </c>
      <c r="B2503" t="s">
        <v>78</v>
      </c>
      <c r="C2503" t="s">
        <v>45</v>
      </c>
      <c r="D2503" t="s">
        <v>2694</v>
      </c>
      <c r="E2503" t="s">
        <v>96</v>
      </c>
      <c r="F2503" t="s">
        <v>96</v>
      </c>
      <c r="G2503" t="s">
        <v>96</v>
      </c>
      <c r="H2503">
        <v>2017</v>
      </c>
      <c r="I2503" t="s">
        <v>96</v>
      </c>
      <c r="J2503" t="s">
        <v>97</v>
      </c>
      <c r="K2503" t="s">
        <v>96</v>
      </c>
      <c r="L2503" t="s">
        <v>96</v>
      </c>
      <c r="M2503">
        <v>1784.73861885714</v>
      </c>
      <c r="O2503" s="12" t="str">
        <f t="shared" si="92"/>
        <v>OAS</v>
      </c>
      <c r="P2503" s="12" t="str">
        <f t="shared" si="93"/>
        <v>EN_Hy</v>
      </c>
    </row>
    <row r="2504" spans="1:16" x14ac:dyDescent="0.35">
      <c r="A2504" t="s">
        <v>2384</v>
      </c>
      <c r="B2504" t="s">
        <v>78</v>
      </c>
      <c r="C2504" t="s">
        <v>45</v>
      </c>
      <c r="D2504" t="s">
        <v>2695</v>
      </c>
      <c r="E2504" t="s">
        <v>96</v>
      </c>
      <c r="F2504" t="s">
        <v>96</v>
      </c>
      <c r="G2504" t="s">
        <v>96</v>
      </c>
      <c r="H2504">
        <v>2017</v>
      </c>
      <c r="I2504" t="s">
        <v>96</v>
      </c>
      <c r="J2504" t="s">
        <v>97</v>
      </c>
      <c r="K2504" t="s">
        <v>96</v>
      </c>
      <c r="L2504" t="s">
        <v>96</v>
      </c>
      <c r="M2504">
        <v>2737.07813942857</v>
      </c>
      <c r="O2504" s="12" t="str">
        <f t="shared" si="92"/>
        <v>OAS</v>
      </c>
      <c r="P2504" s="12" t="str">
        <f t="shared" si="93"/>
        <v>EN_Hy</v>
      </c>
    </row>
    <row r="2505" spans="1:16" x14ac:dyDescent="0.35">
      <c r="A2505" t="s">
        <v>2384</v>
      </c>
      <c r="B2505" t="s">
        <v>78</v>
      </c>
      <c r="C2505" t="s">
        <v>45</v>
      </c>
      <c r="D2505" t="s">
        <v>2696</v>
      </c>
      <c r="E2505" t="s">
        <v>96</v>
      </c>
      <c r="F2505" t="s">
        <v>96</v>
      </c>
      <c r="G2505" t="s">
        <v>96</v>
      </c>
      <c r="H2505">
        <v>2017</v>
      </c>
      <c r="I2505" t="s">
        <v>96</v>
      </c>
      <c r="J2505" t="s">
        <v>97</v>
      </c>
      <c r="K2505" t="s">
        <v>96</v>
      </c>
      <c r="L2505" t="s">
        <v>96</v>
      </c>
      <c r="M2505">
        <v>4905.3295622857104</v>
      </c>
      <c r="O2505" s="12" t="str">
        <f t="shared" si="92"/>
        <v>OAS</v>
      </c>
      <c r="P2505" s="12" t="str">
        <f t="shared" si="93"/>
        <v>EN_Hy</v>
      </c>
    </row>
    <row r="2506" spans="1:16" x14ac:dyDescent="0.35">
      <c r="A2506" t="s">
        <v>2384</v>
      </c>
      <c r="B2506" t="s">
        <v>78</v>
      </c>
      <c r="C2506" t="s">
        <v>45</v>
      </c>
      <c r="D2506" t="s">
        <v>2697</v>
      </c>
      <c r="E2506" t="s">
        <v>96</v>
      </c>
      <c r="F2506" t="s">
        <v>96</v>
      </c>
      <c r="G2506" t="s">
        <v>96</v>
      </c>
      <c r="H2506">
        <v>2017</v>
      </c>
      <c r="I2506" t="s">
        <v>96</v>
      </c>
      <c r="J2506" t="s">
        <v>97</v>
      </c>
      <c r="K2506" t="s">
        <v>96</v>
      </c>
      <c r="L2506" t="s">
        <v>96</v>
      </c>
      <c r="M2506">
        <v>1784.73861885714</v>
      </c>
      <c r="O2506" s="12" t="str">
        <f t="shared" si="92"/>
        <v>OAS</v>
      </c>
      <c r="P2506" s="12" t="str">
        <f t="shared" si="93"/>
        <v>EN_Hy</v>
      </c>
    </row>
    <row r="2507" spans="1:16" x14ac:dyDescent="0.35">
      <c r="A2507" t="s">
        <v>2384</v>
      </c>
      <c r="B2507" t="s">
        <v>78</v>
      </c>
      <c r="C2507" t="s">
        <v>45</v>
      </c>
      <c r="D2507" t="s">
        <v>2698</v>
      </c>
      <c r="E2507" t="s">
        <v>96</v>
      </c>
      <c r="F2507" t="s">
        <v>96</v>
      </c>
      <c r="G2507" t="s">
        <v>96</v>
      </c>
      <c r="H2507">
        <v>2017</v>
      </c>
      <c r="I2507" t="s">
        <v>96</v>
      </c>
      <c r="J2507" t="s">
        <v>97</v>
      </c>
      <c r="K2507" t="s">
        <v>96</v>
      </c>
      <c r="L2507" t="s">
        <v>96</v>
      </c>
      <c r="M2507">
        <v>2737.07813942857</v>
      </c>
      <c r="O2507" s="12" t="str">
        <f t="shared" si="92"/>
        <v>OAS</v>
      </c>
      <c r="P2507" s="12" t="str">
        <f t="shared" si="93"/>
        <v>EN_Hy</v>
      </c>
    </row>
    <row r="2508" spans="1:16" x14ac:dyDescent="0.35">
      <c r="A2508" t="s">
        <v>2384</v>
      </c>
      <c r="B2508" t="s">
        <v>78</v>
      </c>
      <c r="C2508" t="s">
        <v>45</v>
      </c>
      <c r="D2508" t="s">
        <v>2699</v>
      </c>
      <c r="E2508" t="s">
        <v>96</v>
      </c>
      <c r="F2508" t="s">
        <v>96</v>
      </c>
      <c r="G2508" t="s">
        <v>96</v>
      </c>
      <c r="H2508">
        <v>2017</v>
      </c>
      <c r="I2508" t="s">
        <v>96</v>
      </c>
      <c r="J2508" t="s">
        <v>97</v>
      </c>
      <c r="K2508" t="s">
        <v>96</v>
      </c>
      <c r="L2508" t="s">
        <v>96</v>
      </c>
      <c r="M2508">
        <v>4905.3295622857104</v>
      </c>
      <c r="O2508" s="12" t="str">
        <f t="shared" si="92"/>
        <v>OAS</v>
      </c>
      <c r="P2508" s="12" t="str">
        <f t="shared" si="93"/>
        <v>EN_Hy</v>
      </c>
    </row>
    <row r="2509" spans="1:16" x14ac:dyDescent="0.35">
      <c r="A2509" t="s">
        <v>2384</v>
      </c>
      <c r="B2509" t="s">
        <v>78</v>
      </c>
      <c r="C2509" t="s">
        <v>45</v>
      </c>
      <c r="D2509" t="s">
        <v>2700</v>
      </c>
      <c r="E2509" t="s">
        <v>96</v>
      </c>
      <c r="F2509" t="s">
        <v>96</v>
      </c>
      <c r="G2509" t="s">
        <v>96</v>
      </c>
      <c r="H2509">
        <v>2017</v>
      </c>
      <c r="I2509" t="s">
        <v>96</v>
      </c>
      <c r="J2509" t="s">
        <v>97</v>
      </c>
      <c r="K2509" t="s">
        <v>96</v>
      </c>
      <c r="L2509" t="s">
        <v>96</v>
      </c>
      <c r="M2509">
        <v>1964.7514880000001</v>
      </c>
      <c r="O2509" s="12" t="str">
        <f t="shared" si="92"/>
        <v>OAS</v>
      </c>
      <c r="P2509" s="12" t="str">
        <f t="shared" si="93"/>
        <v>EN_Hy</v>
      </c>
    </row>
    <row r="2510" spans="1:16" x14ac:dyDescent="0.35">
      <c r="A2510" t="s">
        <v>2384</v>
      </c>
      <c r="B2510" t="s">
        <v>78</v>
      </c>
      <c r="C2510" t="s">
        <v>45</v>
      </c>
      <c r="D2510" t="s">
        <v>2701</v>
      </c>
      <c r="E2510" t="s">
        <v>96</v>
      </c>
      <c r="F2510" t="s">
        <v>96</v>
      </c>
      <c r="G2510" t="s">
        <v>96</v>
      </c>
      <c r="H2510">
        <v>2017</v>
      </c>
      <c r="I2510" t="s">
        <v>96</v>
      </c>
      <c r="J2510" t="s">
        <v>97</v>
      </c>
      <c r="K2510" t="s">
        <v>96</v>
      </c>
      <c r="L2510" t="s">
        <v>96</v>
      </c>
      <c r="M2510">
        <v>2353.5448160000001</v>
      </c>
      <c r="O2510" s="12" t="str">
        <f t="shared" si="92"/>
        <v>OAS</v>
      </c>
      <c r="P2510" s="12" t="str">
        <f t="shared" si="93"/>
        <v>EN_Hy</v>
      </c>
    </row>
    <row r="2511" spans="1:16" x14ac:dyDescent="0.35">
      <c r="A2511" t="s">
        <v>2384</v>
      </c>
      <c r="B2511" t="s">
        <v>78</v>
      </c>
      <c r="C2511" t="s">
        <v>45</v>
      </c>
      <c r="D2511" t="s">
        <v>2702</v>
      </c>
      <c r="E2511" t="s">
        <v>96</v>
      </c>
      <c r="F2511" t="s">
        <v>96</v>
      </c>
      <c r="G2511" t="s">
        <v>96</v>
      </c>
      <c r="H2511">
        <v>2017</v>
      </c>
      <c r="I2511" t="s">
        <v>96</v>
      </c>
      <c r="J2511" t="s">
        <v>97</v>
      </c>
      <c r="K2511" t="s">
        <v>96</v>
      </c>
      <c r="L2511" t="s">
        <v>96</v>
      </c>
      <c r="M2511">
        <v>5593.5919999999996</v>
      </c>
      <c r="O2511" s="12" t="str">
        <f t="shared" si="92"/>
        <v>OAS</v>
      </c>
      <c r="P2511" s="12" t="str">
        <f t="shared" si="93"/>
        <v>EN_Hy</v>
      </c>
    </row>
    <row r="2512" spans="1:16" x14ac:dyDescent="0.35">
      <c r="A2512" t="s">
        <v>2384</v>
      </c>
      <c r="B2512" t="s">
        <v>78</v>
      </c>
      <c r="C2512" t="s">
        <v>45</v>
      </c>
      <c r="D2512" t="s">
        <v>2703</v>
      </c>
      <c r="E2512" t="s">
        <v>96</v>
      </c>
      <c r="F2512" t="s">
        <v>96</v>
      </c>
      <c r="G2512" t="s">
        <v>96</v>
      </c>
      <c r="H2512">
        <v>2017</v>
      </c>
      <c r="I2512" t="s">
        <v>96</v>
      </c>
      <c r="J2512" t="s">
        <v>97</v>
      </c>
      <c r="K2512" t="s">
        <v>96</v>
      </c>
      <c r="L2512" t="s">
        <v>96</v>
      </c>
      <c r="M2512">
        <v>1784.73861885714</v>
      </c>
      <c r="O2512" s="12" t="str">
        <f t="shared" si="92"/>
        <v>OAS</v>
      </c>
      <c r="P2512" s="12" t="str">
        <f t="shared" si="93"/>
        <v>EN_Hy</v>
      </c>
    </row>
    <row r="2513" spans="1:16" x14ac:dyDescent="0.35">
      <c r="A2513" t="s">
        <v>2384</v>
      </c>
      <c r="B2513" t="s">
        <v>78</v>
      </c>
      <c r="C2513" t="s">
        <v>45</v>
      </c>
      <c r="D2513" t="s">
        <v>2704</v>
      </c>
      <c r="E2513" t="s">
        <v>96</v>
      </c>
      <c r="F2513" t="s">
        <v>96</v>
      </c>
      <c r="G2513" t="s">
        <v>96</v>
      </c>
      <c r="H2513">
        <v>2017</v>
      </c>
      <c r="I2513" t="s">
        <v>96</v>
      </c>
      <c r="J2513" t="s">
        <v>97</v>
      </c>
      <c r="K2513" t="s">
        <v>96</v>
      </c>
      <c r="L2513" t="s">
        <v>96</v>
      </c>
      <c r="M2513">
        <v>2737.07813942857</v>
      </c>
      <c r="O2513" s="12" t="str">
        <f t="shared" si="92"/>
        <v>OAS</v>
      </c>
      <c r="P2513" s="12" t="str">
        <f t="shared" si="93"/>
        <v>EN_Hy</v>
      </c>
    </row>
    <row r="2514" spans="1:16" x14ac:dyDescent="0.35">
      <c r="A2514" t="s">
        <v>2384</v>
      </c>
      <c r="B2514" t="s">
        <v>78</v>
      </c>
      <c r="C2514" t="s">
        <v>45</v>
      </c>
      <c r="D2514" t="s">
        <v>2705</v>
      </c>
      <c r="E2514" t="s">
        <v>96</v>
      </c>
      <c r="F2514" t="s">
        <v>96</v>
      </c>
      <c r="G2514" t="s">
        <v>96</v>
      </c>
      <c r="H2514">
        <v>2017</v>
      </c>
      <c r="I2514" t="s">
        <v>96</v>
      </c>
      <c r="J2514" t="s">
        <v>97</v>
      </c>
      <c r="K2514" t="s">
        <v>96</v>
      </c>
      <c r="L2514" t="s">
        <v>96</v>
      </c>
      <c r="M2514">
        <v>4905.3295622857104</v>
      </c>
      <c r="O2514" s="12" t="str">
        <f t="shared" si="92"/>
        <v>OAS</v>
      </c>
      <c r="P2514" s="12" t="str">
        <f t="shared" si="93"/>
        <v>EN_Hy</v>
      </c>
    </row>
    <row r="2515" spans="1:16" x14ac:dyDescent="0.35">
      <c r="A2515" t="s">
        <v>2384</v>
      </c>
      <c r="B2515" t="s">
        <v>78</v>
      </c>
      <c r="C2515" t="s">
        <v>45</v>
      </c>
      <c r="D2515" t="s">
        <v>2706</v>
      </c>
      <c r="E2515" t="s">
        <v>96</v>
      </c>
      <c r="F2515" t="s">
        <v>96</v>
      </c>
      <c r="G2515" t="s">
        <v>96</v>
      </c>
      <c r="H2515">
        <v>2017</v>
      </c>
      <c r="I2515" t="s">
        <v>96</v>
      </c>
      <c r="J2515" t="s">
        <v>97</v>
      </c>
      <c r="K2515" t="s">
        <v>96</v>
      </c>
      <c r="L2515" t="s">
        <v>96</v>
      </c>
      <c r="M2515">
        <v>1703.5274119999999</v>
      </c>
      <c r="O2515" s="12" t="str">
        <f t="shared" si="92"/>
        <v>OAS</v>
      </c>
      <c r="P2515" s="12" t="str">
        <f t="shared" si="93"/>
        <v>EN_Hy</v>
      </c>
    </row>
    <row r="2516" spans="1:16" x14ac:dyDescent="0.35">
      <c r="A2516" t="s">
        <v>2384</v>
      </c>
      <c r="B2516" t="s">
        <v>78</v>
      </c>
      <c r="C2516" t="s">
        <v>45</v>
      </c>
      <c r="D2516" t="s">
        <v>2707</v>
      </c>
      <c r="E2516" t="s">
        <v>96</v>
      </c>
      <c r="F2516" t="s">
        <v>96</v>
      </c>
      <c r="G2516" t="s">
        <v>96</v>
      </c>
      <c r="H2516">
        <v>2017</v>
      </c>
      <c r="I2516" t="s">
        <v>96</v>
      </c>
      <c r="J2516" t="s">
        <v>97</v>
      </c>
      <c r="K2516" t="s">
        <v>96</v>
      </c>
      <c r="L2516" t="s">
        <v>96</v>
      </c>
      <c r="M2516">
        <v>2798.1095599999999</v>
      </c>
      <c r="O2516" s="12" t="str">
        <f t="shared" si="92"/>
        <v>OAS</v>
      </c>
      <c r="P2516" s="12" t="str">
        <f t="shared" si="93"/>
        <v>EN_Hy</v>
      </c>
    </row>
    <row r="2517" spans="1:16" x14ac:dyDescent="0.35">
      <c r="A2517" t="s">
        <v>2384</v>
      </c>
      <c r="B2517" t="s">
        <v>78</v>
      </c>
      <c r="C2517" t="s">
        <v>45</v>
      </c>
      <c r="D2517" t="s">
        <v>2708</v>
      </c>
      <c r="E2517" t="s">
        <v>96</v>
      </c>
      <c r="F2517" t="s">
        <v>96</v>
      </c>
      <c r="G2517" t="s">
        <v>96</v>
      </c>
      <c r="H2517">
        <v>2017</v>
      </c>
      <c r="I2517" t="s">
        <v>96</v>
      </c>
      <c r="J2517" t="s">
        <v>97</v>
      </c>
      <c r="K2517" t="s">
        <v>96</v>
      </c>
      <c r="L2517" t="s">
        <v>96</v>
      </c>
      <c r="M2517">
        <v>5268.14048</v>
      </c>
      <c r="O2517" s="12" t="str">
        <f t="shared" si="92"/>
        <v>OAS</v>
      </c>
      <c r="P2517" s="12" t="str">
        <f t="shared" si="93"/>
        <v>EN_Hy</v>
      </c>
    </row>
    <row r="2518" spans="1:16" x14ac:dyDescent="0.35">
      <c r="A2518" t="s">
        <v>2384</v>
      </c>
      <c r="B2518" t="s">
        <v>78</v>
      </c>
      <c r="C2518" t="s">
        <v>45</v>
      </c>
      <c r="D2518" t="s">
        <v>2709</v>
      </c>
      <c r="E2518" t="s">
        <v>96</v>
      </c>
      <c r="F2518" t="s">
        <v>96</v>
      </c>
      <c r="G2518" t="s">
        <v>96</v>
      </c>
      <c r="H2518">
        <v>2017</v>
      </c>
      <c r="I2518" t="s">
        <v>96</v>
      </c>
      <c r="J2518" t="s">
        <v>97</v>
      </c>
      <c r="K2518" t="s">
        <v>96</v>
      </c>
      <c r="L2518" t="s">
        <v>96</v>
      </c>
      <c r="M2518">
        <v>1784.73861885714</v>
      </c>
      <c r="O2518" s="12" t="str">
        <f t="shared" si="92"/>
        <v>OAS</v>
      </c>
      <c r="P2518" s="12" t="str">
        <f t="shared" si="93"/>
        <v>EN_Hy</v>
      </c>
    </row>
    <row r="2519" spans="1:16" x14ac:dyDescent="0.35">
      <c r="A2519" t="s">
        <v>2384</v>
      </c>
      <c r="B2519" t="s">
        <v>78</v>
      </c>
      <c r="C2519" t="s">
        <v>45</v>
      </c>
      <c r="D2519" t="s">
        <v>2710</v>
      </c>
      <c r="E2519" t="s">
        <v>96</v>
      </c>
      <c r="F2519" t="s">
        <v>96</v>
      </c>
      <c r="G2519" t="s">
        <v>96</v>
      </c>
      <c r="H2519">
        <v>2017</v>
      </c>
      <c r="I2519" t="s">
        <v>96</v>
      </c>
      <c r="J2519" t="s">
        <v>97</v>
      </c>
      <c r="K2519" t="s">
        <v>96</v>
      </c>
      <c r="L2519" t="s">
        <v>96</v>
      </c>
      <c r="M2519">
        <v>2737.07813942857</v>
      </c>
      <c r="O2519" s="12" t="str">
        <f t="shared" si="92"/>
        <v>OAS</v>
      </c>
      <c r="P2519" s="12" t="str">
        <f t="shared" si="93"/>
        <v>EN_Hy</v>
      </c>
    </row>
    <row r="2520" spans="1:16" x14ac:dyDescent="0.35">
      <c r="A2520" t="s">
        <v>2384</v>
      </c>
      <c r="B2520" t="s">
        <v>78</v>
      </c>
      <c r="C2520" t="s">
        <v>45</v>
      </c>
      <c r="D2520" t="s">
        <v>2711</v>
      </c>
      <c r="E2520" t="s">
        <v>96</v>
      </c>
      <c r="F2520" t="s">
        <v>96</v>
      </c>
      <c r="G2520" t="s">
        <v>96</v>
      </c>
      <c r="H2520">
        <v>2017</v>
      </c>
      <c r="I2520" t="s">
        <v>96</v>
      </c>
      <c r="J2520" t="s">
        <v>97</v>
      </c>
      <c r="K2520" t="s">
        <v>96</v>
      </c>
      <c r="L2520" t="s">
        <v>96</v>
      </c>
      <c r="M2520">
        <v>4905.3295622857104</v>
      </c>
      <c r="O2520" s="12" t="str">
        <f t="shared" si="92"/>
        <v>OAS</v>
      </c>
      <c r="P2520" s="12" t="str">
        <f t="shared" si="93"/>
        <v>EN_Hy</v>
      </c>
    </row>
    <row r="2521" spans="1:16" x14ac:dyDescent="0.35">
      <c r="A2521" t="s">
        <v>2384</v>
      </c>
      <c r="B2521" t="s">
        <v>78</v>
      </c>
      <c r="C2521" t="s">
        <v>45</v>
      </c>
      <c r="D2521" t="s">
        <v>2712</v>
      </c>
      <c r="E2521" t="s">
        <v>96</v>
      </c>
      <c r="F2521" t="s">
        <v>96</v>
      </c>
      <c r="G2521" t="s">
        <v>96</v>
      </c>
      <c r="H2521">
        <v>2017</v>
      </c>
      <c r="I2521" t="s">
        <v>96</v>
      </c>
      <c r="J2521" t="s">
        <v>97</v>
      </c>
      <c r="K2521" t="s">
        <v>96</v>
      </c>
      <c r="L2521" t="s">
        <v>96</v>
      </c>
      <c r="M2521">
        <v>4907</v>
      </c>
      <c r="O2521" s="12" t="str">
        <f t="shared" si="92"/>
        <v>OAS</v>
      </c>
      <c r="P2521" s="12" t="str">
        <f t="shared" si="93"/>
        <v>EN_Hy</v>
      </c>
    </row>
    <row r="2522" spans="1:16" x14ac:dyDescent="0.35">
      <c r="A2522" t="s">
        <v>2384</v>
      </c>
      <c r="B2522" t="s">
        <v>78</v>
      </c>
      <c r="C2522" t="s">
        <v>45</v>
      </c>
      <c r="D2522" t="s">
        <v>2713</v>
      </c>
      <c r="E2522" t="s">
        <v>96</v>
      </c>
      <c r="F2522" t="s">
        <v>96</v>
      </c>
      <c r="G2522" t="s">
        <v>96</v>
      </c>
      <c r="H2522">
        <v>2017</v>
      </c>
      <c r="I2522" t="s">
        <v>96</v>
      </c>
      <c r="J2522" t="s">
        <v>97</v>
      </c>
      <c r="K2522" t="s">
        <v>96</v>
      </c>
      <c r="L2522" t="s">
        <v>96</v>
      </c>
      <c r="M2522">
        <v>8386</v>
      </c>
      <c r="O2522" s="12" t="str">
        <f t="shared" si="92"/>
        <v>OAS</v>
      </c>
      <c r="P2522" s="12" t="str">
        <f t="shared" si="93"/>
        <v>EN_Hy</v>
      </c>
    </row>
    <row r="2523" spans="1:16" x14ac:dyDescent="0.35">
      <c r="A2523" t="s">
        <v>2384</v>
      </c>
      <c r="B2523" t="s">
        <v>78</v>
      </c>
      <c r="C2523" t="s">
        <v>45</v>
      </c>
      <c r="D2523" t="s">
        <v>2714</v>
      </c>
      <c r="E2523" t="s">
        <v>96</v>
      </c>
      <c r="F2523" t="s">
        <v>96</v>
      </c>
      <c r="G2523" t="s">
        <v>96</v>
      </c>
      <c r="H2523">
        <v>2017</v>
      </c>
      <c r="I2523" t="s">
        <v>96</v>
      </c>
      <c r="J2523" t="s">
        <v>97</v>
      </c>
      <c r="K2523" t="s">
        <v>96</v>
      </c>
      <c r="L2523" t="s">
        <v>96</v>
      </c>
      <c r="M2523">
        <v>10660</v>
      </c>
      <c r="O2523" s="12" t="str">
        <f t="shared" si="92"/>
        <v>OAS</v>
      </c>
      <c r="P2523" s="12" t="str">
        <f t="shared" si="93"/>
        <v>EN_Hy</v>
      </c>
    </row>
    <row r="2524" spans="1:16" x14ac:dyDescent="0.35">
      <c r="A2524" t="s">
        <v>2384</v>
      </c>
      <c r="B2524" t="s">
        <v>78</v>
      </c>
      <c r="C2524" t="s">
        <v>45</v>
      </c>
      <c r="D2524" t="s">
        <v>2715</v>
      </c>
      <c r="E2524" t="s">
        <v>96</v>
      </c>
      <c r="F2524" t="s">
        <v>96</v>
      </c>
      <c r="G2524" t="s">
        <v>96</v>
      </c>
      <c r="H2524">
        <v>2017</v>
      </c>
      <c r="I2524" t="s">
        <v>96</v>
      </c>
      <c r="J2524" t="s">
        <v>97</v>
      </c>
      <c r="K2524" t="s">
        <v>96</v>
      </c>
      <c r="L2524" t="s">
        <v>96</v>
      </c>
      <c r="M2524">
        <v>1784.73861885714</v>
      </c>
      <c r="O2524" s="12" t="str">
        <f t="shared" si="92"/>
        <v>OAS</v>
      </c>
      <c r="P2524" s="12" t="str">
        <f t="shared" si="93"/>
        <v>EN_Hy</v>
      </c>
    </row>
    <row r="2525" spans="1:16" x14ac:dyDescent="0.35">
      <c r="A2525" t="s">
        <v>2384</v>
      </c>
      <c r="B2525" t="s">
        <v>78</v>
      </c>
      <c r="C2525" t="s">
        <v>45</v>
      </c>
      <c r="D2525" t="s">
        <v>2716</v>
      </c>
      <c r="E2525" t="s">
        <v>96</v>
      </c>
      <c r="F2525" t="s">
        <v>96</v>
      </c>
      <c r="G2525" t="s">
        <v>96</v>
      </c>
      <c r="H2525">
        <v>2017</v>
      </c>
      <c r="I2525" t="s">
        <v>96</v>
      </c>
      <c r="J2525" t="s">
        <v>97</v>
      </c>
      <c r="K2525" t="s">
        <v>96</v>
      </c>
      <c r="L2525" t="s">
        <v>96</v>
      </c>
      <c r="M2525">
        <v>2737.07813942857</v>
      </c>
      <c r="O2525" s="12" t="str">
        <f t="shared" si="92"/>
        <v>OAS</v>
      </c>
      <c r="P2525" s="12" t="str">
        <f t="shared" si="93"/>
        <v>EN_Hy</v>
      </c>
    </row>
    <row r="2526" spans="1:16" x14ac:dyDescent="0.35">
      <c r="A2526" t="s">
        <v>2384</v>
      </c>
      <c r="B2526" t="s">
        <v>78</v>
      </c>
      <c r="C2526" t="s">
        <v>45</v>
      </c>
      <c r="D2526" t="s">
        <v>2717</v>
      </c>
      <c r="E2526" t="s">
        <v>96</v>
      </c>
      <c r="F2526" t="s">
        <v>96</v>
      </c>
      <c r="G2526" t="s">
        <v>96</v>
      </c>
      <c r="H2526">
        <v>2017</v>
      </c>
      <c r="I2526" t="s">
        <v>96</v>
      </c>
      <c r="J2526" t="s">
        <v>97</v>
      </c>
      <c r="K2526" t="s">
        <v>96</v>
      </c>
      <c r="L2526" t="s">
        <v>96</v>
      </c>
      <c r="M2526">
        <v>4905.3295622857104</v>
      </c>
      <c r="O2526" s="12" t="str">
        <f t="shared" si="92"/>
        <v>OAS</v>
      </c>
      <c r="P2526" s="12" t="str">
        <f t="shared" si="93"/>
        <v>EN_Hy</v>
      </c>
    </row>
    <row r="2527" spans="1:16" x14ac:dyDescent="0.35">
      <c r="A2527" t="s">
        <v>2384</v>
      </c>
      <c r="B2527" t="s">
        <v>78</v>
      </c>
      <c r="C2527" t="s">
        <v>45</v>
      </c>
      <c r="D2527" t="s">
        <v>2718</v>
      </c>
      <c r="E2527" t="s">
        <v>96</v>
      </c>
      <c r="F2527" t="s">
        <v>96</v>
      </c>
      <c r="G2527" t="s">
        <v>96</v>
      </c>
      <c r="H2527">
        <v>2017</v>
      </c>
      <c r="I2527" t="s">
        <v>96</v>
      </c>
      <c r="J2527" t="s">
        <v>97</v>
      </c>
      <c r="K2527" t="s">
        <v>96</v>
      </c>
      <c r="L2527" t="s">
        <v>96</v>
      </c>
      <c r="M2527">
        <v>927.06992000000002</v>
      </c>
      <c r="O2527" s="12" t="str">
        <f t="shared" si="92"/>
        <v>OAS</v>
      </c>
      <c r="P2527" s="12" t="str">
        <f t="shared" si="93"/>
        <v>EN_Hy</v>
      </c>
    </row>
    <row r="2528" spans="1:16" x14ac:dyDescent="0.35">
      <c r="A2528" t="s">
        <v>2384</v>
      </c>
      <c r="B2528" t="s">
        <v>78</v>
      </c>
      <c r="C2528" t="s">
        <v>45</v>
      </c>
      <c r="D2528" t="s">
        <v>2719</v>
      </c>
      <c r="E2528" t="s">
        <v>96</v>
      </c>
      <c r="F2528" t="s">
        <v>96</v>
      </c>
      <c r="G2528" t="s">
        <v>96</v>
      </c>
      <c r="H2528">
        <v>2017</v>
      </c>
      <c r="I2528" t="s">
        <v>96</v>
      </c>
      <c r="J2528" t="s">
        <v>97</v>
      </c>
      <c r="K2528" t="s">
        <v>96</v>
      </c>
      <c r="L2528" t="s">
        <v>96</v>
      </c>
      <c r="M2528">
        <v>1550.3649439999999</v>
      </c>
      <c r="O2528" s="12" t="str">
        <f t="shared" si="92"/>
        <v>OAS</v>
      </c>
      <c r="P2528" s="12" t="str">
        <f t="shared" si="93"/>
        <v>EN_Hy</v>
      </c>
    </row>
    <row r="2529" spans="1:16" x14ac:dyDescent="0.35">
      <c r="A2529" t="s">
        <v>2384</v>
      </c>
      <c r="B2529" t="s">
        <v>78</v>
      </c>
      <c r="C2529" t="s">
        <v>45</v>
      </c>
      <c r="D2529" t="s">
        <v>2720</v>
      </c>
      <c r="E2529" t="s">
        <v>96</v>
      </c>
      <c r="F2529" t="s">
        <v>96</v>
      </c>
      <c r="G2529" t="s">
        <v>96</v>
      </c>
      <c r="H2529">
        <v>2017</v>
      </c>
      <c r="I2529" t="s">
        <v>96</v>
      </c>
      <c r="J2529" t="s">
        <v>97</v>
      </c>
      <c r="K2529" t="s">
        <v>96</v>
      </c>
      <c r="L2529" t="s">
        <v>96</v>
      </c>
      <c r="M2529">
        <v>2828.214176</v>
      </c>
      <c r="O2529" s="12" t="str">
        <f t="shared" si="92"/>
        <v>OAS</v>
      </c>
      <c r="P2529" s="12" t="str">
        <f t="shared" si="93"/>
        <v>EN_Hy</v>
      </c>
    </row>
    <row r="2530" spans="1:16" x14ac:dyDescent="0.35">
      <c r="A2530" t="s">
        <v>2384</v>
      </c>
      <c r="B2530" t="s">
        <v>78</v>
      </c>
      <c r="C2530" t="s">
        <v>45</v>
      </c>
      <c r="D2530" t="s">
        <v>2721</v>
      </c>
      <c r="E2530" t="s">
        <v>96</v>
      </c>
      <c r="F2530" t="s">
        <v>96</v>
      </c>
      <c r="G2530" t="s">
        <v>96</v>
      </c>
      <c r="H2530">
        <v>2017</v>
      </c>
      <c r="I2530" t="s">
        <v>96</v>
      </c>
      <c r="J2530" t="s">
        <v>97</v>
      </c>
      <c r="K2530" t="s">
        <v>96</v>
      </c>
      <c r="L2530" t="s">
        <v>96</v>
      </c>
      <c r="M2530">
        <v>1029.9920360000001</v>
      </c>
      <c r="O2530" s="12" t="str">
        <f t="shared" si="92"/>
        <v>OAS</v>
      </c>
      <c r="P2530" s="12" t="str">
        <f t="shared" si="93"/>
        <v>EN_Hy</v>
      </c>
    </row>
    <row r="2531" spans="1:16" x14ac:dyDescent="0.35">
      <c r="A2531" t="s">
        <v>2384</v>
      </c>
      <c r="B2531" t="s">
        <v>78</v>
      </c>
      <c r="C2531" t="s">
        <v>45</v>
      </c>
      <c r="D2531" t="s">
        <v>2722</v>
      </c>
      <c r="E2531" t="s">
        <v>96</v>
      </c>
      <c r="F2531" t="s">
        <v>96</v>
      </c>
      <c r="G2531" t="s">
        <v>96</v>
      </c>
      <c r="H2531">
        <v>2017</v>
      </c>
      <c r="I2531" t="s">
        <v>96</v>
      </c>
      <c r="J2531" t="s">
        <v>97</v>
      </c>
      <c r="K2531" t="s">
        <v>96</v>
      </c>
      <c r="L2531" t="s">
        <v>96</v>
      </c>
      <c r="M2531">
        <v>1641.454052</v>
      </c>
      <c r="O2531" s="12" t="str">
        <f t="shared" si="92"/>
        <v>OAS</v>
      </c>
      <c r="P2531" s="12" t="str">
        <f t="shared" si="93"/>
        <v>EN_Hy</v>
      </c>
    </row>
    <row r="2532" spans="1:16" x14ac:dyDescent="0.35">
      <c r="A2532" t="s">
        <v>2384</v>
      </c>
      <c r="B2532" t="s">
        <v>78</v>
      </c>
      <c r="C2532" t="s">
        <v>45</v>
      </c>
      <c r="D2532" t="s">
        <v>2723</v>
      </c>
      <c r="E2532" t="s">
        <v>96</v>
      </c>
      <c r="F2532" t="s">
        <v>96</v>
      </c>
      <c r="G2532" t="s">
        <v>96</v>
      </c>
      <c r="H2532">
        <v>2017</v>
      </c>
      <c r="I2532" t="s">
        <v>96</v>
      </c>
      <c r="J2532" t="s">
        <v>97</v>
      </c>
      <c r="K2532" t="s">
        <v>96</v>
      </c>
      <c r="L2532" t="s">
        <v>96</v>
      </c>
      <c r="M2532">
        <v>3099.3134</v>
      </c>
      <c r="O2532" s="12" t="str">
        <f t="shared" si="92"/>
        <v>OAS</v>
      </c>
      <c r="P2532" s="12" t="str">
        <f t="shared" si="93"/>
        <v>EN_Hy</v>
      </c>
    </row>
    <row r="2533" spans="1:16" x14ac:dyDescent="0.35">
      <c r="A2533" t="s">
        <v>2384</v>
      </c>
      <c r="B2533" t="s">
        <v>78</v>
      </c>
      <c r="C2533" t="s">
        <v>45</v>
      </c>
      <c r="D2533" t="s">
        <v>2724</v>
      </c>
      <c r="E2533" t="s">
        <v>96</v>
      </c>
      <c r="F2533" t="s">
        <v>96</v>
      </c>
      <c r="G2533" t="s">
        <v>96</v>
      </c>
      <c r="H2533">
        <v>2017</v>
      </c>
      <c r="I2533" t="s">
        <v>96</v>
      </c>
      <c r="J2533" t="s">
        <v>97</v>
      </c>
      <c r="K2533" t="s">
        <v>96</v>
      </c>
      <c r="L2533" t="s">
        <v>96</v>
      </c>
      <c r="M2533">
        <v>1784.73861885714</v>
      </c>
      <c r="O2533" s="12" t="str">
        <f t="shared" si="92"/>
        <v>OAS</v>
      </c>
      <c r="P2533" s="12" t="str">
        <f t="shared" si="93"/>
        <v>EN_Hy</v>
      </c>
    </row>
    <row r="2534" spans="1:16" x14ac:dyDescent="0.35">
      <c r="A2534" t="s">
        <v>2384</v>
      </c>
      <c r="B2534" t="s">
        <v>78</v>
      </c>
      <c r="C2534" t="s">
        <v>45</v>
      </c>
      <c r="D2534" t="s">
        <v>2725</v>
      </c>
      <c r="E2534" t="s">
        <v>96</v>
      </c>
      <c r="F2534" t="s">
        <v>96</v>
      </c>
      <c r="G2534" t="s">
        <v>96</v>
      </c>
      <c r="H2534">
        <v>2017</v>
      </c>
      <c r="I2534" t="s">
        <v>96</v>
      </c>
      <c r="J2534" t="s">
        <v>97</v>
      </c>
      <c r="K2534" t="s">
        <v>96</v>
      </c>
      <c r="L2534" t="s">
        <v>96</v>
      </c>
      <c r="M2534">
        <v>2737.07813942857</v>
      </c>
      <c r="O2534" s="12" t="str">
        <f t="shared" si="92"/>
        <v>OAS</v>
      </c>
      <c r="P2534" s="12" t="str">
        <f t="shared" si="93"/>
        <v>EN_Hy</v>
      </c>
    </row>
    <row r="2535" spans="1:16" x14ac:dyDescent="0.35">
      <c r="A2535" t="s">
        <v>2384</v>
      </c>
      <c r="B2535" t="s">
        <v>78</v>
      </c>
      <c r="C2535" t="s">
        <v>45</v>
      </c>
      <c r="D2535" t="s">
        <v>2726</v>
      </c>
      <c r="E2535" t="s">
        <v>96</v>
      </c>
      <c r="F2535" t="s">
        <v>96</v>
      </c>
      <c r="G2535" t="s">
        <v>96</v>
      </c>
      <c r="H2535">
        <v>2017</v>
      </c>
      <c r="I2535" t="s">
        <v>96</v>
      </c>
      <c r="J2535" t="s">
        <v>97</v>
      </c>
      <c r="K2535" t="s">
        <v>96</v>
      </c>
      <c r="L2535" t="s">
        <v>96</v>
      </c>
      <c r="M2535">
        <v>4905.3295622857104</v>
      </c>
      <c r="O2535" s="12" t="str">
        <f t="shared" si="92"/>
        <v>OAS</v>
      </c>
      <c r="P2535" s="12" t="str">
        <f t="shared" si="93"/>
        <v>EN_Hy</v>
      </c>
    </row>
    <row r="2536" spans="1:16" x14ac:dyDescent="0.35">
      <c r="A2536" t="s">
        <v>2384</v>
      </c>
      <c r="B2536" t="s">
        <v>78</v>
      </c>
      <c r="C2536" t="s">
        <v>45</v>
      </c>
      <c r="D2536" t="s">
        <v>2727</v>
      </c>
      <c r="E2536" t="s">
        <v>96</v>
      </c>
      <c r="F2536" t="s">
        <v>96</v>
      </c>
      <c r="G2536" t="s">
        <v>96</v>
      </c>
      <c r="H2536">
        <v>2017</v>
      </c>
      <c r="I2536" t="s">
        <v>96</v>
      </c>
      <c r="J2536" t="s">
        <v>97</v>
      </c>
      <c r="K2536" t="s">
        <v>96</v>
      </c>
      <c r="L2536" t="s">
        <v>96</v>
      </c>
      <c r="M2536">
        <v>1595.4290120000001</v>
      </c>
      <c r="O2536" s="12" t="str">
        <f t="shared" si="92"/>
        <v>OAS</v>
      </c>
      <c r="P2536" s="12" t="str">
        <f t="shared" si="93"/>
        <v>EN_Hy</v>
      </c>
    </row>
    <row r="2537" spans="1:16" x14ac:dyDescent="0.35">
      <c r="A2537" t="s">
        <v>2384</v>
      </c>
      <c r="B2537" t="s">
        <v>78</v>
      </c>
      <c r="C2537" t="s">
        <v>45</v>
      </c>
      <c r="D2537" t="s">
        <v>2728</v>
      </c>
      <c r="E2537" t="s">
        <v>96</v>
      </c>
      <c r="F2537" t="s">
        <v>96</v>
      </c>
      <c r="G2537" t="s">
        <v>96</v>
      </c>
      <c r="H2537">
        <v>2017</v>
      </c>
      <c r="I2537" t="s">
        <v>96</v>
      </c>
      <c r="J2537" t="s">
        <v>97</v>
      </c>
      <c r="K2537" t="s">
        <v>96</v>
      </c>
      <c r="L2537" t="s">
        <v>96</v>
      </c>
      <c r="M2537">
        <v>2050.8876919999998</v>
      </c>
      <c r="O2537" s="12" t="str">
        <f t="shared" si="92"/>
        <v>OAS</v>
      </c>
      <c r="P2537" s="12" t="str">
        <f t="shared" si="93"/>
        <v>EN_Hy</v>
      </c>
    </row>
    <row r="2538" spans="1:16" x14ac:dyDescent="0.35">
      <c r="A2538" t="s">
        <v>2384</v>
      </c>
      <c r="B2538" t="s">
        <v>78</v>
      </c>
      <c r="C2538" t="s">
        <v>45</v>
      </c>
      <c r="D2538" t="s">
        <v>2729</v>
      </c>
      <c r="E2538" t="s">
        <v>96</v>
      </c>
      <c r="F2538" t="s">
        <v>96</v>
      </c>
      <c r="G2538" t="s">
        <v>96</v>
      </c>
      <c r="H2538">
        <v>2017</v>
      </c>
      <c r="I2538" t="s">
        <v>96</v>
      </c>
      <c r="J2538" t="s">
        <v>97</v>
      </c>
      <c r="K2538" t="s">
        <v>96</v>
      </c>
      <c r="L2538" t="s">
        <v>96</v>
      </c>
      <c r="M2538">
        <v>3073.2786799999999</v>
      </c>
      <c r="O2538" s="12" t="str">
        <f t="shared" si="92"/>
        <v>OAS</v>
      </c>
      <c r="P2538" s="12" t="str">
        <f t="shared" si="93"/>
        <v>EN_Hy</v>
      </c>
    </row>
    <row r="2539" spans="1:16" x14ac:dyDescent="0.35">
      <c r="A2539" t="s">
        <v>2384</v>
      </c>
      <c r="B2539" t="s">
        <v>78</v>
      </c>
      <c r="C2539" t="s">
        <v>45</v>
      </c>
      <c r="D2539" t="s">
        <v>2730</v>
      </c>
      <c r="E2539" t="s">
        <v>96</v>
      </c>
      <c r="F2539" t="s">
        <v>96</v>
      </c>
      <c r="G2539" t="s">
        <v>96</v>
      </c>
      <c r="H2539">
        <v>2017</v>
      </c>
      <c r="I2539" t="s">
        <v>96</v>
      </c>
      <c r="J2539" t="s">
        <v>97</v>
      </c>
      <c r="K2539" t="s">
        <v>96</v>
      </c>
      <c r="L2539" t="s">
        <v>96</v>
      </c>
      <c r="M2539">
        <v>1699.19822</v>
      </c>
      <c r="O2539" s="12" t="str">
        <f t="shared" si="92"/>
        <v>OAS</v>
      </c>
      <c r="P2539" s="12" t="str">
        <f t="shared" si="93"/>
        <v>EN_Hy</v>
      </c>
    </row>
    <row r="2540" spans="1:16" x14ac:dyDescent="0.35">
      <c r="A2540" t="s">
        <v>2384</v>
      </c>
      <c r="B2540" t="s">
        <v>78</v>
      </c>
      <c r="C2540" t="s">
        <v>45</v>
      </c>
      <c r="D2540" t="s">
        <v>2731</v>
      </c>
      <c r="E2540" t="s">
        <v>96</v>
      </c>
      <c r="F2540" t="s">
        <v>96</v>
      </c>
      <c r="G2540" t="s">
        <v>96</v>
      </c>
      <c r="H2540">
        <v>2017</v>
      </c>
      <c r="I2540" t="s">
        <v>96</v>
      </c>
      <c r="J2540" t="s">
        <v>97</v>
      </c>
      <c r="K2540" t="s">
        <v>96</v>
      </c>
      <c r="L2540" t="s">
        <v>96</v>
      </c>
      <c r="M2540">
        <v>2357.6953039999999</v>
      </c>
      <c r="O2540" s="12" t="str">
        <f t="shared" si="92"/>
        <v>OAS</v>
      </c>
      <c r="P2540" s="12" t="str">
        <f t="shared" si="93"/>
        <v>EN_Hy</v>
      </c>
    </row>
    <row r="2541" spans="1:16" x14ac:dyDescent="0.35">
      <c r="A2541" t="s">
        <v>2384</v>
      </c>
      <c r="B2541" t="s">
        <v>78</v>
      </c>
      <c r="C2541" t="s">
        <v>45</v>
      </c>
      <c r="D2541" t="s">
        <v>2732</v>
      </c>
      <c r="E2541" t="s">
        <v>96</v>
      </c>
      <c r="F2541" t="s">
        <v>96</v>
      </c>
      <c r="G2541" t="s">
        <v>96</v>
      </c>
      <c r="H2541">
        <v>2017</v>
      </c>
      <c r="I2541" t="s">
        <v>96</v>
      </c>
      <c r="J2541" t="s">
        <v>97</v>
      </c>
      <c r="K2541" t="s">
        <v>96</v>
      </c>
      <c r="L2541" t="s">
        <v>96</v>
      </c>
      <c r="M2541">
        <v>4710.1022000000003</v>
      </c>
      <c r="O2541" s="12" t="str">
        <f t="shared" si="92"/>
        <v>OAS</v>
      </c>
      <c r="P2541" s="12" t="str">
        <f t="shared" si="93"/>
        <v>EN_Hy</v>
      </c>
    </row>
    <row r="2542" spans="1:16" x14ac:dyDescent="0.35">
      <c r="A2542" t="s">
        <v>2384</v>
      </c>
      <c r="B2542" t="s">
        <v>78</v>
      </c>
      <c r="C2542" t="s">
        <v>45</v>
      </c>
      <c r="D2542" t="s">
        <v>2733</v>
      </c>
      <c r="E2542" t="s">
        <v>96</v>
      </c>
      <c r="F2542" t="s">
        <v>96</v>
      </c>
      <c r="G2542" t="s">
        <v>96</v>
      </c>
      <c r="H2542">
        <v>2017</v>
      </c>
      <c r="I2542" t="s">
        <v>96</v>
      </c>
      <c r="J2542" t="s">
        <v>97</v>
      </c>
      <c r="K2542" t="s">
        <v>96</v>
      </c>
      <c r="L2542" t="s">
        <v>96</v>
      </c>
      <c r="M2542">
        <v>1784.73861885714</v>
      </c>
      <c r="O2542" s="12" t="str">
        <f t="shared" si="92"/>
        <v>OAS</v>
      </c>
      <c r="P2542" s="12" t="str">
        <f t="shared" si="93"/>
        <v>EN_Hy</v>
      </c>
    </row>
    <row r="2543" spans="1:16" x14ac:dyDescent="0.35">
      <c r="A2543" t="s">
        <v>2384</v>
      </c>
      <c r="B2543" t="s">
        <v>78</v>
      </c>
      <c r="C2543" t="s">
        <v>45</v>
      </c>
      <c r="D2543" t="s">
        <v>2734</v>
      </c>
      <c r="E2543" t="s">
        <v>96</v>
      </c>
      <c r="F2543" t="s">
        <v>96</v>
      </c>
      <c r="G2543" t="s">
        <v>96</v>
      </c>
      <c r="H2543">
        <v>2017</v>
      </c>
      <c r="I2543" t="s">
        <v>96</v>
      </c>
      <c r="J2543" t="s">
        <v>97</v>
      </c>
      <c r="K2543" t="s">
        <v>96</v>
      </c>
      <c r="L2543" t="s">
        <v>96</v>
      </c>
      <c r="M2543">
        <v>2737.07813942857</v>
      </c>
      <c r="O2543" s="12" t="str">
        <f t="shared" si="92"/>
        <v>OAS</v>
      </c>
      <c r="P2543" s="12" t="str">
        <f t="shared" si="93"/>
        <v>EN_Hy</v>
      </c>
    </row>
    <row r="2544" spans="1:16" x14ac:dyDescent="0.35">
      <c r="A2544" t="s">
        <v>2384</v>
      </c>
      <c r="B2544" t="s">
        <v>78</v>
      </c>
      <c r="C2544" t="s">
        <v>45</v>
      </c>
      <c r="D2544" t="s">
        <v>2735</v>
      </c>
      <c r="E2544" t="s">
        <v>96</v>
      </c>
      <c r="F2544" t="s">
        <v>96</v>
      </c>
      <c r="G2544" t="s">
        <v>96</v>
      </c>
      <c r="H2544">
        <v>2017</v>
      </c>
      <c r="I2544" t="s">
        <v>96</v>
      </c>
      <c r="J2544" t="s">
        <v>97</v>
      </c>
      <c r="K2544" t="s">
        <v>96</v>
      </c>
      <c r="L2544" t="s">
        <v>96</v>
      </c>
      <c r="M2544">
        <v>4905.3295622857104</v>
      </c>
      <c r="O2544" s="12" t="str">
        <f t="shared" si="92"/>
        <v>OAS</v>
      </c>
      <c r="P2544" s="12" t="str">
        <f t="shared" si="93"/>
        <v>EN_Hy</v>
      </c>
    </row>
    <row r="2545" spans="1:16" x14ac:dyDescent="0.35">
      <c r="A2545" t="s">
        <v>2384</v>
      </c>
      <c r="B2545" t="s">
        <v>78</v>
      </c>
      <c r="C2545" t="s">
        <v>45</v>
      </c>
      <c r="D2545" t="s">
        <v>2736</v>
      </c>
      <c r="E2545" t="s">
        <v>96</v>
      </c>
      <c r="F2545" t="s">
        <v>96</v>
      </c>
      <c r="G2545" t="s">
        <v>96</v>
      </c>
      <c r="H2545">
        <v>2017</v>
      </c>
      <c r="I2545" t="s">
        <v>96</v>
      </c>
      <c r="J2545" t="s">
        <v>97</v>
      </c>
      <c r="K2545" t="s">
        <v>96</v>
      </c>
      <c r="L2545" t="s">
        <v>96</v>
      </c>
      <c r="M2545">
        <v>1811.539088</v>
      </c>
      <c r="O2545" s="12" t="str">
        <f t="shared" si="92"/>
        <v>OAS</v>
      </c>
      <c r="P2545" s="12" t="str">
        <f t="shared" si="93"/>
        <v>EN_Hy</v>
      </c>
    </row>
    <row r="2546" spans="1:16" x14ac:dyDescent="0.35">
      <c r="A2546" t="s">
        <v>2384</v>
      </c>
      <c r="B2546" t="s">
        <v>78</v>
      </c>
      <c r="C2546" t="s">
        <v>45</v>
      </c>
      <c r="D2546" t="s">
        <v>2737</v>
      </c>
      <c r="E2546" t="s">
        <v>96</v>
      </c>
      <c r="F2546" t="s">
        <v>96</v>
      </c>
      <c r="G2546" t="s">
        <v>96</v>
      </c>
      <c r="H2546">
        <v>2017</v>
      </c>
      <c r="I2546" t="s">
        <v>96</v>
      </c>
      <c r="J2546" t="s">
        <v>97</v>
      </c>
      <c r="K2546" t="s">
        <v>96</v>
      </c>
      <c r="L2546" t="s">
        <v>96</v>
      </c>
      <c r="M2546">
        <v>3103.6110560000002</v>
      </c>
      <c r="O2546" s="12" t="str">
        <f t="shared" si="92"/>
        <v>OAS</v>
      </c>
      <c r="P2546" s="12" t="str">
        <f t="shared" si="93"/>
        <v>EN_Hy</v>
      </c>
    </row>
    <row r="2547" spans="1:16" x14ac:dyDescent="0.35">
      <c r="A2547" t="s">
        <v>2384</v>
      </c>
      <c r="B2547" t="s">
        <v>78</v>
      </c>
      <c r="C2547" t="s">
        <v>45</v>
      </c>
      <c r="D2547" t="s">
        <v>2738</v>
      </c>
      <c r="E2547" t="s">
        <v>96</v>
      </c>
      <c r="F2547" t="s">
        <v>96</v>
      </c>
      <c r="G2547" t="s">
        <v>96</v>
      </c>
      <c r="H2547">
        <v>2017</v>
      </c>
      <c r="I2547" t="s">
        <v>96</v>
      </c>
      <c r="J2547" t="s">
        <v>97</v>
      </c>
      <c r="K2547" t="s">
        <v>96</v>
      </c>
      <c r="L2547" t="s">
        <v>96</v>
      </c>
      <c r="M2547">
        <v>5831.4084800000001</v>
      </c>
      <c r="O2547" s="12" t="str">
        <f t="shared" si="92"/>
        <v>OAS</v>
      </c>
      <c r="P2547" s="12" t="str">
        <f t="shared" si="93"/>
        <v>EN_Hy</v>
      </c>
    </row>
    <row r="2548" spans="1:16" x14ac:dyDescent="0.35">
      <c r="A2548" t="s">
        <v>2384</v>
      </c>
      <c r="B2548" t="s">
        <v>78</v>
      </c>
      <c r="C2548" t="s">
        <v>45</v>
      </c>
      <c r="D2548" t="s">
        <v>2739</v>
      </c>
      <c r="E2548" t="s">
        <v>96</v>
      </c>
      <c r="F2548" t="s">
        <v>96</v>
      </c>
      <c r="G2548" t="s">
        <v>96</v>
      </c>
      <c r="H2548">
        <v>2017</v>
      </c>
      <c r="I2548" t="s">
        <v>96</v>
      </c>
      <c r="J2548" t="s">
        <v>97</v>
      </c>
      <c r="K2548" t="s">
        <v>96</v>
      </c>
      <c r="L2548" t="s">
        <v>96</v>
      </c>
      <c r="M2548">
        <v>1784.73861885714</v>
      </c>
      <c r="O2548" s="12" t="str">
        <f t="shared" si="92"/>
        <v>OAS</v>
      </c>
      <c r="P2548" s="12" t="str">
        <f t="shared" si="93"/>
        <v>EN_Hy</v>
      </c>
    </row>
    <row r="2549" spans="1:16" x14ac:dyDescent="0.35">
      <c r="A2549" t="s">
        <v>2384</v>
      </c>
      <c r="B2549" t="s">
        <v>78</v>
      </c>
      <c r="C2549" t="s">
        <v>45</v>
      </c>
      <c r="D2549" t="s">
        <v>2740</v>
      </c>
      <c r="E2549" t="s">
        <v>96</v>
      </c>
      <c r="F2549" t="s">
        <v>96</v>
      </c>
      <c r="G2549" t="s">
        <v>96</v>
      </c>
      <c r="H2549">
        <v>2017</v>
      </c>
      <c r="I2549" t="s">
        <v>96</v>
      </c>
      <c r="J2549" t="s">
        <v>97</v>
      </c>
      <c r="K2549" t="s">
        <v>96</v>
      </c>
      <c r="L2549" t="s">
        <v>96</v>
      </c>
      <c r="M2549">
        <v>2737.07813942857</v>
      </c>
      <c r="O2549" s="12" t="str">
        <f t="shared" si="92"/>
        <v>OAS</v>
      </c>
      <c r="P2549" s="12" t="str">
        <f t="shared" si="93"/>
        <v>EN_Hy</v>
      </c>
    </row>
    <row r="2550" spans="1:16" x14ac:dyDescent="0.35">
      <c r="A2550" t="s">
        <v>2384</v>
      </c>
      <c r="B2550" t="s">
        <v>78</v>
      </c>
      <c r="C2550" t="s">
        <v>45</v>
      </c>
      <c r="D2550" t="s">
        <v>2741</v>
      </c>
      <c r="E2550" t="s">
        <v>96</v>
      </c>
      <c r="F2550" t="s">
        <v>96</v>
      </c>
      <c r="G2550" t="s">
        <v>96</v>
      </c>
      <c r="H2550">
        <v>2017</v>
      </c>
      <c r="I2550" t="s">
        <v>96</v>
      </c>
      <c r="J2550" t="s">
        <v>97</v>
      </c>
      <c r="K2550" t="s">
        <v>96</v>
      </c>
      <c r="L2550" t="s">
        <v>96</v>
      </c>
      <c r="M2550">
        <v>4905.3295622857104</v>
      </c>
      <c r="O2550" s="12" t="str">
        <f t="shared" si="92"/>
        <v>OAS</v>
      </c>
      <c r="P2550" s="12" t="str">
        <f t="shared" si="93"/>
        <v>EN_Hy</v>
      </c>
    </row>
    <row r="2551" spans="1:16" x14ac:dyDescent="0.35">
      <c r="A2551" t="s">
        <v>2384</v>
      </c>
      <c r="B2551" t="s">
        <v>78</v>
      </c>
      <c r="C2551" t="s">
        <v>45</v>
      </c>
      <c r="D2551" t="s">
        <v>2742</v>
      </c>
      <c r="E2551" t="s">
        <v>96</v>
      </c>
      <c r="F2551" t="s">
        <v>96</v>
      </c>
      <c r="G2551" t="s">
        <v>96</v>
      </c>
      <c r="H2551">
        <v>2017</v>
      </c>
      <c r="I2551" t="s">
        <v>96</v>
      </c>
      <c r="J2551" t="s">
        <v>97</v>
      </c>
      <c r="K2551" t="s">
        <v>96</v>
      </c>
      <c r="L2551" t="s">
        <v>96</v>
      </c>
      <c r="M2551">
        <v>1784.73861885714</v>
      </c>
      <c r="O2551" s="12" t="str">
        <f t="shared" si="92"/>
        <v>OAS</v>
      </c>
      <c r="P2551" s="12" t="str">
        <f t="shared" si="93"/>
        <v>EN_Hy</v>
      </c>
    </row>
    <row r="2552" spans="1:16" x14ac:dyDescent="0.35">
      <c r="A2552" t="s">
        <v>2384</v>
      </c>
      <c r="B2552" t="s">
        <v>78</v>
      </c>
      <c r="C2552" t="s">
        <v>45</v>
      </c>
      <c r="D2552" t="s">
        <v>2743</v>
      </c>
      <c r="E2552" t="s">
        <v>96</v>
      </c>
      <c r="F2552" t="s">
        <v>96</v>
      </c>
      <c r="G2552" t="s">
        <v>96</v>
      </c>
      <c r="H2552">
        <v>2017</v>
      </c>
      <c r="I2552" t="s">
        <v>96</v>
      </c>
      <c r="J2552" t="s">
        <v>97</v>
      </c>
      <c r="K2552" t="s">
        <v>96</v>
      </c>
      <c r="L2552" t="s">
        <v>96</v>
      </c>
      <c r="M2552">
        <v>2737.07813942857</v>
      </c>
      <c r="O2552" s="12" t="str">
        <f t="shared" si="92"/>
        <v>OAS</v>
      </c>
      <c r="P2552" s="12" t="str">
        <f t="shared" si="93"/>
        <v>EN_Hy</v>
      </c>
    </row>
    <row r="2553" spans="1:16" x14ac:dyDescent="0.35">
      <c r="A2553" t="s">
        <v>2384</v>
      </c>
      <c r="B2553" t="s">
        <v>78</v>
      </c>
      <c r="C2553" t="s">
        <v>45</v>
      </c>
      <c r="D2553" t="s">
        <v>2744</v>
      </c>
      <c r="E2553" t="s">
        <v>96</v>
      </c>
      <c r="F2553" t="s">
        <v>96</v>
      </c>
      <c r="G2553" t="s">
        <v>96</v>
      </c>
      <c r="H2553">
        <v>2017</v>
      </c>
      <c r="I2553" t="s">
        <v>96</v>
      </c>
      <c r="J2553" t="s">
        <v>97</v>
      </c>
      <c r="K2553" t="s">
        <v>96</v>
      </c>
      <c r="L2553" t="s">
        <v>96</v>
      </c>
      <c r="M2553">
        <v>4905.3295622857104</v>
      </c>
      <c r="O2553" s="12" t="str">
        <f t="shared" si="92"/>
        <v>OAS</v>
      </c>
      <c r="P2553" s="12" t="str">
        <f t="shared" si="93"/>
        <v>EN_Hy</v>
      </c>
    </row>
    <row r="2554" spans="1:16" x14ac:dyDescent="0.35">
      <c r="A2554" t="s">
        <v>2384</v>
      </c>
      <c r="B2554" t="s">
        <v>78</v>
      </c>
      <c r="C2554" t="s">
        <v>45</v>
      </c>
      <c r="D2554" t="s">
        <v>2745</v>
      </c>
      <c r="E2554" t="s">
        <v>96</v>
      </c>
      <c r="F2554" t="s">
        <v>96</v>
      </c>
      <c r="G2554" t="s">
        <v>96</v>
      </c>
      <c r="H2554">
        <v>2017</v>
      </c>
      <c r="I2554" t="s">
        <v>96</v>
      </c>
      <c r="J2554" t="s">
        <v>97</v>
      </c>
      <c r="K2554" t="s">
        <v>96</v>
      </c>
      <c r="L2554" t="s">
        <v>96</v>
      </c>
      <c r="M2554">
        <v>1784.73861885714</v>
      </c>
      <c r="O2554" s="12" t="str">
        <f t="shared" si="92"/>
        <v>OAS</v>
      </c>
      <c r="P2554" s="12" t="str">
        <f t="shared" si="93"/>
        <v>EN_Hy</v>
      </c>
    </row>
    <row r="2555" spans="1:16" x14ac:dyDescent="0.35">
      <c r="A2555" t="s">
        <v>2384</v>
      </c>
      <c r="B2555" t="s">
        <v>78</v>
      </c>
      <c r="C2555" t="s">
        <v>45</v>
      </c>
      <c r="D2555" t="s">
        <v>2746</v>
      </c>
      <c r="E2555" t="s">
        <v>96</v>
      </c>
      <c r="F2555" t="s">
        <v>96</v>
      </c>
      <c r="G2555" t="s">
        <v>96</v>
      </c>
      <c r="H2555">
        <v>2017</v>
      </c>
      <c r="I2555" t="s">
        <v>96</v>
      </c>
      <c r="J2555" t="s">
        <v>97</v>
      </c>
      <c r="K2555" t="s">
        <v>96</v>
      </c>
      <c r="L2555" t="s">
        <v>96</v>
      </c>
      <c r="M2555">
        <v>2737.07813942857</v>
      </c>
      <c r="O2555" s="12" t="str">
        <f t="shared" si="92"/>
        <v>OAS</v>
      </c>
      <c r="P2555" s="12" t="str">
        <f t="shared" si="93"/>
        <v>EN_Hy</v>
      </c>
    </row>
    <row r="2556" spans="1:16" x14ac:dyDescent="0.35">
      <c r="A2556" t="s">
        <v>2384</v>
      </c>
      <c r="B2556" t="s">
        <v>78</v>
      </c>
      <c r="C2556" t="s">
        <v>45</v>
      </c>
      <c r="D2556" t="s">
        <v>2747</v>
      </c>
      <c r="E2556" t="s">
        <v>96</v>
      </c>
      <c r="F2556" t="s">
        <v>96</v>
      </c>
      <c r="G2556" t="s">
        <v>96</v>
      </c>
      <c r="H2556">
        <v>2017</v>
      </c>
      <c r="I2556" t="s">
        <v>96</v>
      </c>
      <c r="J2556" t="s">
        <v>97</v>
      </c>
      <c r="K2556" t="s">
        <v>96</v>
      </c>
      <c r="L2556" t="s">
        <v>96</v>
      </c>
      <c r="M2556">
        <v>4905.3295622857104</v>
      </c>
      <c r="O2556" s="12" t="str">
        <f t="shared" si="92"/>
        <v>OAS</v>
      </c>
      <c r="P2556" s="12" t="str">
        <f t="shared" si="93"/>
        <v>EN_Hy</v>
      </c>
    </row>
    <row r="2557" spans="1:16" x14ac:dyDescent="0.35">
      <c r="A2557" t="s">
        <v>2384</v>
      </c>
      <c r="B2557" t="s">
        <v>78</v>
      </c>
      <c r="C2557" t="s">
        <v>45</v>
      </c>
      <c r="D2557" t="s">
        <v>2748</v>
      </c>
      <c r="E2557" t="s">
        <v>96</v>
      </c>
      <c r="F2557" t="s">
        <v>96</v>
      </c>
      <c r="G2557" t="s">
        <v>96</v>
      </c>
      <c r="H2557">
        <v>2017</v>
      </c>
      <c r="I2557" t="s">
        <v>96</v>
      </c>
      <c r="J2557" t="s">
        <v>97</v>
      </c>
      <c r="K2557" t="s">
        <v>96</v>
      </c>
      <c r="L2557" t="s">
        <v>96</v>
      </c>
      <c r="M2557">
        <v>1784.73861885714</v>
      </c>
      <c r="O2557" s="12" t="str">
        <f t="shared" si="92"/>
        <v>OAS</v>
      </c>
      <c r="P2557" s="12" t="str">
        <f t="shared" si="93"/>
        <v>EN_Hy</v>
      </c>
    </row>
    <row r="2558" spans="1:16" x14ac:dyDescent="0.35">
      <c r="A2558" t="s">
        <v>2384</v>
      </c>
      <c r="B2558" t="s">
        <v>78</v>
      </c>
      <c r="C2558" t="s">
        <v>45</v>
      </c>
      <c r="D2558" t="s">
        <v>2749</v>
      </c>
      <c r="E2558" t="s">
        <v>96</v>
      </c>
      <c r="F2558" t="s">
        <v>96</v>
      </c>
      <c r="G2558" t="s">
        <v>96</v>
      </c>
      <c r="H2558">
        <v>2017</v>
      </c>
      <c r="I2558" t="s">
        <v>96</v>
      </c>
      <c r="J2558" t="s">
        <v>97</v>
      </c>
      <c r="K2558" t="s">
        <v>96</v>
      </c>
      <c r="L2558" t="s">
        <v>96</v>
      </c>
      <c r="M2558">
        <v>2737.07813942857</v>
      </c>
      <c r="O2558" s="12" t="str">
        <f t="shared" si="92"/>
        <v>OAS</v>
      </c>
      <c r="P2558" s="12" t="str">
        <f t="shared" si="93"/>
        <v>EN_Hy</v>
      </c>
    </row>
    <row r="2559" spans="1:16" x14ac:dyDescent="0.35">
      <c r="A2559" t="s">
        <v>2384</v>
      </c>
      <c r="B2559" t="s">
        <v>78</v>
      </c>
      <c r="C2559" t="s">
        <v>45</v>
      </c>
      <c r="D2559" t="s">
        <v>2750</v>
      </c>
      <c r="E2559" t="s">
        <v>96</v>
      </c>
      <c r="F2559" t="s">
        <v>96</v>
      </c>
      <c r="G2559" t="s">
        <v>96</v>
      </c>
      <c r="H2559">
        <v>2017</v>
      </c>
      <c r="I2559" t="s">
        <v>96</v>
      </c>
      <c r="J2559" t="s">
        <v>97</v>
      </c>
      <c r="K2559" t="s">
        <v>96</v>
      </c>
      <c r="L2559" t="s">
        <v>96</v>
      </c>
      <c r="M2559">
        <v>4905.3295622857104</v>
      </c>
      <c r="O2559" s="12" t="str">
        <f t="shared" si="92"/>
        <v>OAS</v>
      </c>
      <c r="P2559" s="12" t="str">
        <f t="shared" si="93"/>
        <v>EN_Hy</v>
      </c>
    </row>
    <row r="2560" spans="1:16" x14ac:dyDescent="0.35">
      <c r="A2560" t="s">
        <v>2384</v>
      </c>
      <c r="B2560" t="s">
        <v>78</v>
      </c>
      <c r="C2560" t="s">
        <v>45</v>
      </c>
      <c r="D2560" t="s">
        <v>2751</v>
      </c>
      <c r="E2560" t="s">
        <v>96</v>
      </c>
      <c r="F2560" t="s">
        <v>96</v>
      </c>
      <c r="G2560" t="s">
        <v>96</v>
      </c>
      <c r="H2560">
        <v>2017</v>
      </c>
      <c r="I2560" t="s">
        <v>96</v>
      </c>
      <c r="J2560" t="s">
        <v>97</v>
      </c>
      <c r="K2560" t="s">
        <v>96</v>
      </c>
      <c r="L2560" t="s">
        <v>96</v>
      </c>
      <c r="M2560">
        <v>2457.7134799999999</v>
      </c>
      <c r="O2560" s="12" t="str">
        <f t="shared" si="92"/>
        <v>OAS</v>
      </c>
      <c r="P2560" s="12" t="str">
        <f t="shared" si="93"/>
        <v>EN_Hy</v>
      </c>
    </row>
    <row r="2561" spans="1:16" x14ac:dyDescent="0.35">
      <c r="A2561" t="s">
        <v>2384</v>
      </c>
      <c r="B2561" t="s">
        <v>78</v>
      </c>
      <c r="C2561" t="s">
        <v>45</v>
      </c>
      <c r="D2561" t="s">
        <v>2752</v>
      </c>
      <c r="E2561" t="s">
        <v>96</v>
      </c>
      <c r="F2561" t="s">
        <v>96</v>
      </c>
      <c r="G2561" t="s">
        <v>96</v>
      </c>
      <c r="H2561">
        <v>2017</v>
      </c>
      <c r="I2561" t="s">
        <v>96</v>
      </c>
      <c r="J2561" t="s">
        <v>97</v>
      </c>
      <c r="K2561" t="s">
        <v>96</v>
      </c>
      <c r="L2561" t="s">
        <v>96</v>
      </c>
      <c r="M2561">
        <v>4958.7547999999997</v>
      </c>
      <c r="O2561" s="12" t="str">
        <f t="shared" si="92"/>
        <v>OAS</v>
      </c>
      <c r="P2561" s="12" t="str">
        <f t="shared" si="93"/>
        <v>EN_Hy</v>
      </c>
    </row>
    <row r="2562" spans="1:16" x14ac:dyDescent="0.35">
      <c r="A2562" t="s">
        <v>2384</v>
      </c>
      <c r="B2562" t="s">
        <v>78</v>
      </c>
      <c r="C2562" t="s">
        <v>45</v>
      </c>
      <c r="D2562" t="s">
        <v>2753</v>
      </c>
      <c r="E2562" t="s">
        <v>96</v>
      </c>
      <c r="F2562" t="s">
        <v>96</v>
      </c>
      <c r="G2562" t="s">
        <v>96</v>
      </c>
      <c r="H2562">
        <v>2017</v>
      </c>
      <c r="I2562" t="s">
        <v>96</v>
      </c>
      <c r="J2562" t="s">
        <v>97</v>
      </c>
      <c r="K2562" t="s">
        <v>96</v>
      </c>
      <c r="L2562" t="s">
        <v>96</v>
      </c>
      <c r="M2562">
        <v>9044.6378000000004</v>
      </c>
      <c r="O2562" s="12" t="str">
        <f t="shared" si="92"/>
        <v>OAS</v>
      </c>
      <c r="P2562" s="12" t="str">
        <f t="shared" si="93"/>
        <v>EN_Hy</v>
      </c>
    </row>
    <row r="2563" spans="1:16" x14ac:dyDescent="0.35">
      <c r="A2563" t="s">
        <v>2384</v>
      </c>
      <c r="B2563" t="s">
        <v>78</v>
      </c>
      <c r="C2563" t="s">
        <v>45</v>
      </c>
      <c r="D2563" t="s">
        <v>2754</v>
      </c>
      <c r="E2563" t="s">
        <v>96</v>
      </c>
      <c r="F2563" t="s">
        <v>96</v>
      </c>
      <c r="G2563" t="s">
        <v>96</v>
      </c>
      <c r="H2563">
        <v>2017</v>
      </c>
      <c r="I2563" t="s">
        <v>96</v>
      </c>
      <c r="J2563" t="s">
        <v>97</v>
      </c>
      <c r="K2563" t="s">
        <v>96</v>
      </c>
      <c r="L2563" t="s">
        <v>96</v>
      </c>
      <c r="M2563">
        <v>1784.73861885714</v>
      </c>
      <c r="O2563" s="12" t="str">
        <f t="shared" ref="O2563:O2626" si="94">LEFT(B2563,3)</f>
        <v>OAS</v>
      </c>
      <c r="P2563" s="12" t="str">
        <f t="shared" ref="P2563:P2626" si="95">LEFT(D2563,5)</f>
        <v>EN_Hy</v>
      </c>
    </row>
    <row r="2564" spans="1:16" x14ac:dyDescent="0.35">
      <c r="A2564" t="s">
        <v>2384</v>
      </c>
      <c r="B2564" t="s">
        <v>78</v>
      </c>
      <c r="C2564" t="s">
        <v>45</v>
      </c>
      <c r="D2564" t="s">
        <v>2755</v>
      </c>
      <c r="E2564" t="s">
        <v>96</v>
      </c>
      <c r="F2564" t="s">
        <v>96</v>
      </c>
      <c r="G2564" t="s">
        <v>96</v>
      </c>
      <c r="H2564">
        <v>2017</v>
      </c>
      <c r="I2564" t="s">
        <v>96</v>
      </c>
      <c r="J2564" t="s">
        <v>97</v>
      </c>
      <c r="K2564" t="s">
        <v>96</v>
      </c>
      <c r="L2564" t="s">
        <v>96</v>
      </c>
      <c r="M2564">
        <v>2737.07813942857</v>
      </c>
      <c r="O2564" s="12" t="str">
        <f t="shared" si="94"/>
        <v>OAS</v>
      </c>
      <c r="P2564" s="12" t="str">
        <f t="shared" si="95"/>
        <v>EN_Hy</v>
      </c>
    </row>
    <row r="2565" spans="1:16" x14ac:dyDescent="0.35">
      <c r="A2565" t="s">
        <v>2384</v>
      </c>
      <c r="B2565" t="s">
        <v>78</v>
      </c>
      <c r="C2565" t="s">
        <v>45</v>
      </c>
      <c r="D2565" t="s">
        <v>2756</v>
      </c>
      <c r="E2565" t="s">
        <v>96</v>
      </c>
      <c r="F2565" t="s">
        <v>96</v>
      </c>
      <c r="G2565" t="s">
        <v>96</v>
      </c>
      <c r="H2565">
        <v>2017</v>
      </c>
      <c r="I2565" t="s">
        <v>96</v>
      </c>
      <c r="J2565" t="s">
        <v>97</v>
      </c>
      <c r="K2565" t="s">
        <v>96</v>
      </c>
      <c r="L2565" t="s">
        <v>96</v>
      </c>
      <c r="M2565">
        <v>4905.3295622857104</v>
      </c>
      <c r="O2565" s="12" t="str">
        <f t="shared" si="94"/>
        <v>OAS</v>
      </c>
      <c r="P2565" s="12" t="str">
        <f t="shared" si="95"/>
        <v>EN_Hy</v>
      </c>
    </row>
    <row r="2566" spans="1:16" x14ac:dyDescent="0.35">
      <c r="A2566" t="s">
        <v>2384</v>
      </c>
      <c r="B2566" t="s">
        <v>78</v>
      </c>
      <c r="C2566" t="s">
        <v>45</v>
      </c>
      <c r="D2566" t="s">
        <v>3239</v>
      </c>
      <c r="E2566" t="s">
        <v>96</v>
      </c>
      <c r="F2566" t="s">
        <v>96</v>
      </c>
      <c r="G2566" t="s">
        <v>96</v>
      </c>
      <c r="H2566">
        <v>2017</v>
      </c>
      <c r="I2566" t="s">
        <v>96</v>
      </c>
      <c r="J2566" t="s">
        <v>97</v>
      </c>
      <c r="K2566" t="s">
        <v>96</v>
      </c>
      <c r="L2566" t="s">
        <v>96</v>
      </c>
      <c r="M2566">
        <v>99999</v>
      </c>
      <c r="O2566" s="12" t="str">
        <f t="shared" si="94"/>
        <v>OAS</v>
      </c>
      <c r="P2566" s="12" t="str">
        <f t="shared" si="95"/>
        <v>EN_RE</v>
      </c>
    </row>
    <row r="2567" spans="1:16" x14ac:dyDescent="0.35">
      <c r="A2567" t="s">
        <v>2384</v>
      </c>
      <c r="B2567" t="s">
        <v>78</v>
      </c>
      <c r="C2567" t="s">
        <v>45</v>
      </c>
      <c r="D2567" t="s">
        <v>3240</v>
      </c>
      <c r="E2567" t="s">
        <v>96</v>
      </c>
      <c r="F2567" t="s">
        <v>96</v>
      </c>
      <c r="G2567" t="s">
        <v>96</v>
      </c>
      <c r="H2567">
        <v>2017</v>
      </c>
      <c r="I2567" t="s">
        <v>96</v>
      </c>
      <c r="J2567" t="s">
        <v>97</v>
      </c>
      <c r="K2567" t="s">
        <v>96</v>
      </c>
      <c r="L2567" t="s">
        <v>96</v>
      </c>
      <c r="M2567">
        <v>99999</v>
      </c>
      <c r="O2567" s="12" t="str">
        <f t="shared" si="94"/>
        <v>OAS</v>
      </c>
      <c r="P2567" s="12" t="str">
        <f t="shared" si="95"/>
        <v>EN_RE</v>
      </c>
    </row>
    <row r="2568" spans="1:16" x14ac:dyDescent="0.35">
      <c r="A2568" t="s">
        <v>2384</v>
      </c>
      <c r="B2568" t="s">
        <v>78</v>
      </c>
      <c r="C2568" t="s">
        <v>45</v>
      </c>
      <c r="D2568" t="s">
        <v>3241</v>
      </c>
      <c r="E2568" t="s">
        <v>96</v>
      </c>
      <c r="F2568" t="s">
        <v>96</v>
      </c>
      <c r="G2568" t="s">
        <v>96</v>
      </c>
      <c r="H2568">
        <v>2017</v>
      </c>
      <c r="I2568" t="s">
        <v>96</v>
      </c>
      <c r="J2568" t="s">
        <v>97</v>
      </c>
      <c r="K2568" t="s">
        <v>96</v>
      </c>
      <c r="L2568" t="s">
        <v>96</v>
      </c>
      <c r="M2568">
        <v>99999</v>
      </c>
      <c r="O2568" s="12" t="str">
        <f t="shared" si="94"/>
        <v>OAS</v>
      </c>
      <c r="P2568" s="12" t="str">
        <f t="shared" si="95"/>
        <v>EN_RE</v>
      </c>
    </row>
    <row r="2569" spans="1:16" x14ac:dyDescent="0.35">
      <c r="A2569" t="s">
        <v>2384</v>
      </c>
      <c r="B2569" t="s">
        <v>78</v>
      </c>
      <c r="C2569" t="s">
        <v>45</v>
      </c>
      <c r="D2569" t="s">
        <v>3242</v>
      </c>
      <c r="E2569" t="s">
        <v>96</v>
      </c>
      <c r="F2569" t="s">
        <v>96</v>
      </c>
      <c r="G2569" t="s">
        <v>96</v>
      </c>
      <c r="H2569">
        <v>2017</v>
      </c>
      <c r="I2569" t="s">
        <v>96</v>
      </c>
      <c r="J2569" t="s">
        <v>97</v>
      </c>
      <c r="K2569" t="s">
        <v>96</v>
      </c>
      <c r="L2569" t="s">
        <v>96</v>
      </c>
      <c r="M2569">
        <v>99999</v>
      </c>
      <c r="O2569" s="12" t="str">
        <f t="shared" si="94"/>
        <v>OAS</v>
      </c>
      <c r="P2569" s="12" t="str">
        <f t="shared" si="95"/>
        <v>EN_RE</v>
      </c>
    </row>
    <row r="2570" spans="1:16" x14ac:dyDescent="0.35">
      <c r="A2570" t="s">
        <v>2384</v>
      </c>
      <c r="B2570" t="s">
        <v>78</v>
      </c>
      <c r="C2570" t="s">
        <v>45</v>
      </c>
      <c r="D2570" t="s">
        <v>3243</v>
      </c>
      <c r="E2570" t="s">
        <v>96</v>
      </c>
      <c r="F2570" t="s">
        <v>96</v>
      </c>
      <c r="G2570" t="s">
        <v>96</v>
      </c>
      <c r="H2570">
        <v>2017</v>
      </c>
      <c r="I2570" t="s">
        <v>96</v>
      </c>
      <c r="J2570" t="s">
        <v>97</v>
      </c>
      <c r="K2570" t="s">
        <v>96</v>
      </c>
      <c r="L2570" t="s">
        <v>96</v>
      </c>
      <c r="M2570">
        <v>99999</v>
      </c>
      <c r="O2570" s="12" t="str">
        <f t="shared" si="94"/>
        <v>OAS</v>
      </c>
      <c r="P2570" s="12" t="str">
        <f t="shared" si="95"/>
        <v>EN_RE</v>
      </c>
    </row>
    <row r="2571" spans="1:16" x14ac:dyDescent="0.35">
      <c r="A2571" t="s">
        <v>2384</v>
      </c>
      <c r="B2571" t="s">
        <v>78</v>
      </c>
      <c r="C2571" t="s">
        <v>45</v>
      </c>
      <c r="D2571" t="s">
        <v>3244</v>
      </c>
      <c r="E2571" t="s">
        <v>96</v>
      </c>
      <c r="F2571" t="s">
        <v>96</v>
      </c>
      <c r="G2571" t="s">
        <v>96</v>
      </c>
      <c r="H2571">
        <v>2017</v>
      </c>
      <c r="I2571" t="s">
        <v>96</v>
      </c>
      <c r="J2571" t="s">
        <v>97</v>
      </c>
      <c r="K2571" t="s">
        <v>96</v>
      </c>
      <c r="L2571" t="s">
        <v>96</v>
      </c>
      <c r="M2571">
        <v>99999</v>
      </c>
      <c r="O2571" s="12" t="str">
        <f t="shared" si="94"/>
        <v>OAS</v>
      </c>
      <c r="P2571" s="12" t="str">
        <f t="shared" si="95"/>
        <v>EN_RE</v>
      </c>
    </row>
    <row r="2572" spans="1:16" x14ac:dyDescent="0.35">
      <c r="A2572" t="s">
        <v>2384</v>
      </c>
      <c r="B2572" t="s">
        <v>78</v>
      </c>
      <c r="C2572" t="s">
        <v>45</v>
      </c>
      <c r="D2572" t="s">
        <v>3246</v>
      </c>
      <c r="E2572" t="s">
        <v>96</v>
      </c>
      <c r="F2572" t="s">
        <v>96</v>
      </c>
      <c r="G2572" t="s">
        <v>96</v>
      </c>
      <c r="H2572">
        <v>2017</v>
      </c>
      <c r="I2572" t="s">
        <v>96</v>
      </c>
      <c r="J2572" t="s">
        <v>97</v>
      </c>
      <c r="K2572" t="s">
        <v>96</v>
      </c>
      <c r="L2572" t="s">
        <v>96</v>
      </c>
      <c r="M2572">
        <v>99999</v>
      </c>
      <c r="O2572" s="12" t="str">
        <f t="shared" si="94"/>
        <v>OAS</v>
      </c>
      <c r="P2572" s="12" t="str">
        <f t="shared" si="95"/>
        <v>EN_RE</v>
      </c>
    </row>
    <row r="2573" spans="1:16" x14ac:dyDescent="0.35">
      <c r="A2573" t="s">
        <v>2384</v>
      </c>
      <c r="B2573" t="s">
        <v>78</v>
      </c>
      <c r="C2573" t="s">
        <v>45</v>
      </c>
      <c r="D2573" t="s">
        <v>3247</v>
      </c>
      <c r="E2573" t="s">
        <v>96</v>
      </c>
      <c r="F2573" t="s">
        <v>96</v>
      </c>
      <c r="G2573" t="s">
        <v>96</v>
      </c>
      <c r="H2573">
        <v>2017</v>
      </c>
      <c r="I2573" t="s">
        <v>96</v>
      </c>
      <c r="J2573" t="s">
        <v>97</v>
      </c>
      <c r="K2573" t="s">
        <v>96</v>
      </c>
      <c r="L2573" t="s">
        <v>96</v>
      </c>
      <c r="M2573">
        <v>99999</v>
      </c>
      <c r="O2573" s="12" t="str">
        <f t="shared" si="94"/>
        <v>OAS</v>
      </c>
      <c r="P2573" s="12" t="str">
        <f t="shared" si="95"/>
        <v>EN_RE</v>
      </c>
    </row>
    <row r="2574" spans="1:16" x14ac:dyDescent="0.35">
      <c r="A2574" t="s">
        <v>2384</v>
      </c>
      <c r="B2574" t="s">
        <v>78</v>
      </c>
      <c r="C2574" t="s">
        <v>45</v>
      </c>
      <c r="D2574" t="s">
        <v>3248</v>
      </c>
      <c r="E2574" t="s">
        <v>96</v>
      </c>
      <c r="F2574" t="s">
        <v>96</v>
      </c>
      <c r="G2574" t="s">
        <v>96</v>
      </c>
      <c r="H2574">
        <v>2017</v>
      </c>
      <c r="I2574" t="s">
        <v>96</v>
      </c>
      <c r="J2574" t="s">
        <v>97</v>
      </c>
      <c r="K2574" t="s">
        <v>96</v>
      </c>
      <c r="L2574" t="s">
        <v>96</v>
      </c>
      <c r="M2574">
        <v>99999</v>
      </c>
      <c r="O2574" s="12" t="str">
        <f t="shared" si="94"/>
        <v>OAS</v>
      </c>
      <c r="P2574" s="12" t="str">
        <f t="shared" si="95"/>
        <v>EN_RE</v>
      </c>
    </row>
    <row r="2575" spans="1:16" x14ac:dyDescent="0.35">
      <c r="A2575" t="s">
        <v>2384</v>
      </c>
      <c r="B2575" t="s">
        <v>78</v>
      </c>
      <c r="C2575" t="s">
        <v>45</v>
      </c>
      <c r="D2575" t="s">
        <v>3249</v>
      </c>
      <c r="E2575" t="s">
        <v>96</v>
      </c>
      <c r="F2575" t="s">
        <v>96</v>
      </c>
      <c r="G2575" t="s">
        <v>96</v>
      </c>
      <c r="H2575">
        <v>2017</v>
      </c>
      <c r="I2575" t="s">
        <v>96</v>
      </c>
      <c r="J2575" t="s">
        <v>97</v>
      </c>
      <c r="K2575" t="s">
        <v>96</v>
      </c>
      <c r="L2575" t="s">
        <v>96</v>
      </c>
      <c r="M2575">
        <v>99999</v>
      </c>
      <c r="O2575" s="12" t="str">
        <f t="shared" si="94"/>
        <v>OAS</v>
      </c>
      <c r="P2575" s="12" t="str">
        <f t="shared" si="95"/>
        <v>EN_RE</v>
      </c>
    </row>
    <row r="2576" spans="1:16" x14ac:dyDescent="0.35">
      <c r="A2576" t="s">
        <v>2384</v>
      </c>
      <c r="B2576" t="s">
        <v>78</v>
      </c>
      <c r="C2576" t="s">
        <v>45</v>
      </c>
      <c r="D2576" t="s">
        <v>3250</v>
      </c>
      <c r="E2576" t="s">
        <v>96</v>
      </c>
      <c r="F2576" t="s">
        <v>96</v>
      </c>
      <c r="G2576" t="s">
        <v>96</v>
      </c>
      <c r="H2576">
        <v>2017</v>
      </c>
      <c r="I2576" t="s">
        <v>96</v>
      </c>
      <c r="J2576" t="s">
        <v>97</v>
      </c>
      <c r="K2576" t="s">
        <v>96</v>
      </c>
      <c r="L2576" t="s">
        <v>96</v>
      </c>
      <c r="M2576">
        <v>99999</v>
      </c>
      <c r="O2576" s="12" t="str">
        <f t="shared" si="94"/>
        <v>OAS</v>
      </c>
      <c r="P2576" s="12" t="str">
        <f t="shared" si="95"/>
        <v>EN_RE</v>
      </c>
    </row>
    <row r="2577" spans="1:16" x14ac:dyDescent="0.35">
      <c r="A2577" t="s">
        <v>2384</v>
      </c>
      <c r="B2577" t="s">
        <v>78</v>
      </c>
      <c r="C2577" t="s">
        <v>45</v>
      </c>
      <c r="D2577" t="s">
        <v>3251</v>
      </c>
      <c r="E2577" t="s">
        <v>96</v>
      </c>
      <c r="F2577" t="s">
        <v>96</v>
      </c>
      <c r="G2577" t="s">
        <v>96</v>
      </c>
      <c r="H2577">
        <v>2017</v>
      </c>
      <c r="I2577" t="s">
        <v>96</v>
      </c>
      <c r="J2577" t="s">
        <v>97</v>
      </c>
      <c r="K2577" t="s">
        <v>96</v>
      </c>
      <c r="L2577" t="s">
        <v>96</v>
      </c>
      <c r="M2577">
        <v>99999</v>
      </c>
      <c r="O2577" s="12" t="str">
        <f t="shared" si="94"/>
        <v>OAS</v>
      </c>
      <c r="P2577" s="12" t="str">
        <f t="shared" si="95"/>
        <v>EN_RE</v>
      </c>
    </row>
    <row r="2578" spans="1:16" x14ac:dyDescent="0.35">
      <c r="A2578" t="s">
        <v>2384</v>
      </c>
      <c r="B2578" t="s">
        <v>78</v>
      </c>
      <c r="C2578" t="s">
        <v>45</v>
      </c>
      <c r="D2578" t="s">
        <v>3252</v>
      </c>
      <c r="E2578" t="s">
        <v>96</v>
      </c>
      <c r="F2578" t="s">
        <v>96</v>
      </c>
      <c r="G2578" t="s">
        <v>96</v>
      </c>
      <c r="H2578">
        <v>2017</v>
      </c>
      <c r="I2578" t="s">
        <v>96</v>
      </c>
      <c r="J2578" t="s">
        <v>97</v>
      </c>
      <c r="K2578" t="s">
        <v>96</v>
      </c>
      <c r="L2578" t="s">
        <v>96</v>
      </c>
      <c r="M2578">
        <v>99999</v>
      </c>
      <c r="O2578" s="12" t="str">
        <f t="shared" si="94"/>
        <v>OAS</v>
      </c>
      <c r="P2578" s="12" t="str">
        <f t="shared" si="95"/>
        <v>EN_RE</v>
      </c>
    </row>
    <row r="2579" spans="1:16" x14ac:dyDescent="0.35">
      <c r="A2579" t="s">
        <v>2384</v>
      </c>
      <c r="B2579" t="s">
        <v>78</v>
      </c>
      <c r="C2579" t="s">
        <v>45</v>
      </c>
      <c r="D2579" t="s">
        <v>3253</v>
      </c>
      <c r="E2579" t="s">
        <v>96</v>
      </c>
      <c r="F2579" t="s">
        <v>96</v>
      </c>
      <c r="G2579" t="s">
        <v>96</v>
      </c>
      <c r="H2579">
        <v>2017</v>
      </c>
      <c r="I2579" t="s">
        <v>96</v>
      </c>
      <c r="J2579" t="s">
        <v>97</v>
      </c>
      <c r="K2579" t="s">
        <v>96</v>
      </c>
      <c r="L2579" t="s">
        <v>96</v>
      </c>
      <c r="M2579">
        <v>99999</v>
      </c>
      <c r="O2579" s="12" t="str">
        <f t="shared" si="94"/>
        <v>OAS</v>
      </c>
      <c r="P2579" s="12" t="str">
        <f t="shared" si="95"/>
        <v>EN_RE</v>
      </c>
    </row>
    <row r="2580" spans="1:16" x14ac:dyDescent="0.35">
      <c r="A2580" t="s">
        <v>2384</v>
      </c>
      <c r="B2580" t="s">
        <v>78</v>
      </c>
      <c r="C2580" t="s">
        <v>45</v>
      </c>
      <c r="D2580" t="s">
        <v>3254</v>
      </c>
      <c r="E2580" t="s">
        <v>96</v>
      </c>
      <c r="F2580" t="s">
        <v>96</v>
      </c>
      <c r="G2580" t="s">
        <v>96</v>
      </c>
      <c r="H2580">
        <v>2017</v>
      </c>
      <c r="I2580" t="s">
        <v>96</v>
      </c>
      <c r="J2580" t="s">
        <v>97</v>
      </c>
      <c r="K2580" t="s">
        <v>96</v>
      </c>
      <c r="L2580" t="s">
        <v>96</v>
      </c>
      <c r="M2580">
        <v>99999</v>
      </c>
      <c r="O2580" s="12" t="str">
        <f t="shared" si="94"/>
        <v>OAS</v>
      </c>
      <c r="P2580" s="12" t="str">
        <f t="shared" si="95"/>
        <v>EN_RE</v>
      </c>
    </row>
    <row r="2581" spans="1:16" x14ac:dyDescent="0.35">
      <c r="A2581" t="s">
        <v>2384</v>
      </c>
      <c r="B2581" t="s">
        <v>78</v>
      </c>
      <c r="C2581" t="s">
        <v>45</v>
      </c>
      <c r="D2581" t="s">
        <v>3255</v>
      </c>
      <c r="E2581" t="s">
        <v>96</v>
      </c>
      <c r="F2581" t="s">
        <v>96</v>
      </c>
      <c r="G2581" t="s">
        <v>96</v>
      </c>
      <c r="H2581">
        <v>2017</v>
      </c>
      <c r="I2581" t="s">
        <v>96</v>
      </c>
      <c r="J2581" t="s">
        <v>97</v>
      </c>
      <c r="K2581" t="s">
        <v>96</v>
      </c>
      <c r="L2581" t="s">
        <v>96</v>
      </c>
      <c r="M2581">
        <v>99999</v>
      </c>
      <c r="O2581" s="12" t="str">
        <f t="shared" si="94"/>
        <v>OAS</v>
      </c>
      <c r="P2581" s="12" t="str">
        <f t="shared" si="95"/>
        <v>EN_RE</v>
      </c>
    </row>
    <row r="2582" spans="1:16" x14ac:dyDescent="0.35">
      <c r="A2582" t="s">
        <v>2384</v>
      </c>
      <c r="B2582" t="s">
        <v>78</v>
      </c>
      <c r="C2582" t="s">
        <v>45</v>
      </c>
      <c r="D2582" t="s">
        <v>3256</v>
      </c>
      <c r="E2582" t="s">
        <v>96</v>
      </c>
      <c r="F2582" t="s">
        <v>96</v>
      </c>
      <c r="G2582" t="s">
        <v>96</v>
      </c>
      <c r="H2582">
        <v>2017</v>
      </c>
      <c r="I2582" t="s">
        <v>96</v>
      </c>
      <c r="J2582" t="s">
        <v>97</v>
      </c>
      <c r="K2582" t="s">
        <v>96</v>
      </c>
      <c r="L2582" t="s">
        <v>96</v>
      </c>
      <c r="M2582">
        <v>99999</v>
      </c>
      <c r="O2582" s="12" t="str">
        <f t="shared" si="94"/>
        <v>OAS</v>
      </c>
      <c r="P2582" s="12" t="str">
        <f t="shared" si="95"/>
        <v>EN_RE</v>
      </c>
    </row>
    <row r="2583" spans="1:16" x14ac:dyDescent="0.35">
      <c r="A2583" t="s">
        <v>2384</v>
      </c>
      <c r="B2583" t="s">
        <v>78</v>
      </c>
      <c r="C2583" t="s">
        <v>45</v>
      </c>
      <c r="D2583" t="s">
        <v>3257</v>
      </c>
      <c r="E2583" t="s">
        <v>96</v>
      </c>
      <c r="F2583" t="s">
        <v>96</v>
      </c>
      <c r="G2583" t="s">
        <v>96</v>
      </c>
      <c r="H2583">
        <v>2017</v>
      </c>
      <c r="I2583" t="s">
        <v>96</v>
      </c>
      <c r="J2583" t="s">
        <v>97</v>
      </c>
      <c r="K2583" t="s">
        <v>96</v>
      </c>
      <c r="L2583" t="s">
        <v>96</v>
      </c>
      <c r="M2583">
        <v>99999</v>
      </c>
      <c r="O2583" s="12" t="str">
        <f t="shared" si="94"/>
        <v>OAS</v>
      </c>
      <c r="P2583" s="12" t="str">
        <f t="shared" si="95"/>
        <v>EN_RE</v>
      </c>
    </row>
    <row r="2584" spans="1:16" x14ac:dyDescent="0.35">
      <c r="A2584" t="s">
        <v>2384</v>
      </c>
      <c r="B2584" t="s">
        <v>78</v>
      </c>
      <c r="C2584" t="s">
        <v>45</v>
      </c>
      <c r="D2584" t="s">
        <v>3258</v>
      </c>
      <c r="E2584" t="s">
        <v>96</v>
      </c>
      <c r="F2584" t="s">
        <v>96</v>
      </c>
      <c r="G2584" t="s">
        <v>96</v>
      </c>
      <c r="H2584">
        <v>2017</v>
      </c>
      <c r="I2584" t="s">
        <v>96</v>
      </c>
      <c r="J2584" t="s">
        <v>97</v>
      </c>
      <c r="K2584" t="s">
        <v>96</v>
      </c>
      <c r="L2584" t="s">
        <v>96</v>
      </c>
      <c r="M2584">
        <v>99999</v>
      </c>
      <c r="O2584" s="12" t="str">
        <f t="shared" si="94"/>
        <v>OAS</v>
      </c>
      <c r="P2584" s="12" t="str">
        <f t="shared" si="95"/>
        <v>EN_RE</v>
      </c>
    </row>
    <row r="2585" spans="1:16" x14ac:dyDescent="0.35">
      <c r="A2585" t="s">
        <v>2384</v>
      </c>
      <c r="B2585" t="s">
        <v>78</v>
      </c>
      <c r="C2585" t="s">
        <v>45</v>
      </c>
      <c r="D2585" t="s">
        <v>3259</v>
      </c>
      <c r="E2585" t="s">
        <v>96</v>
      </c>
      <c r="F2585" t="s">
        <v>96</v>
      </c>
      <c r="G2585" t="s">
        <v>96</v>
      </c>
      <c r="H2585">
        <v>2017</v>
      </c>
      <c r="I2585" t="s">
        <v>96</v>
      </c>
      <c r="J2585" t="s">
        <v>97</v>
      </c>
      <c r="K2585" t="s">
        <v>96</v>
      </c>
      <c r="L2585" t="s">
        <v>96</v>
      </c>
      <c r="M2585">
        <v>99999</v>
      </c>
      <c r="O2585" s="12" t="str">
        <f t="shared" si="94"/>
        <v>OAS</v>
      </c>
      <c r="P2585" s="12" t="str">
        <f t="shared" si="95"/>
        <v>EN_RE</v>
      </c>
    </row>
    <row r="2586" spans="1:16" x14ac:dyDescent="0.35">
      <c r="A2586" t="s">
        <v>2384</v>
      </c>
      <c r="B2586" t="s">
        <v>78</v>
      </c>
      <c r="C2586" t="s">
        <v>45</v>
      </c>
      <c r="D2586" t="s">
        <v>3260</v>
      </c>
      <c r="E2586" t="s">
        <v>96</v>
      </c>
      <c r="F2586" t="s">
        <v>96</v>
      </c>
      <c r="G2586" t="s">
        <v>96</v>
      </c>
      <c r="H2586">
        <v>2017</v>
      </c>
      <c r="I2586" t="s">
        <v>96</v>
      </c>
      <c r="J2586" t="s">
        <v>97</v>
      </c>
      <c r="K2586" t="s">
        <v>96</v>
      </c>
      <c r="L2586" t="s">
        <v>96</v>
      </c>
      <c r="M2586">
        <v>99999</v>
      </c>
      <c r="O2586" s="12" t="str">
        <f t="shared" si="94"/>
        <v>OAS</v>
      </c>
      <c r="P2586" s="12" t="str">
        <f t="shared" si="95"/>
        <v>EN_RE</v>
      </c>
    </row>
    <row r="2587" spans="1:16" x14ac:dyDescent="0.35">
      <c r="A2587" t="s">
        <v>2384</v>
      </c>
      <c r="B2587" t="s">
        <v>78</v>
      </c>
      <c r="C2587" t="s">
        <v>45</v>
      </c>
      <c r="D2587" t="s">
        <v>3261</v>
      </c>
      <c r="E2587" t="s">
        <v>96</v>
      </c>
      <c r="F2587" t="s">
        <v>96</v>
      </c>
      <c r="G2587" t="s">
        <v>96</v>
      </c>
      <c r="H2587">
        <v>2017</v>
      </c>
      <c r="I2587" t="s">
        <v>96</v>
      </c>
      <c r="J2587" t="s">
        <v>97</v>
      </c>
      <c r="K2587" t="s">
        <v>96</v>
      </c>
      <c r="L2587" t="s">
        <v>96</v>
      </c>
      <c r="M2587">
        <v>99999</v>
      </c>
      <c r="O2587" s="12" t="str">
        <f t="shared" si="94"/>
        <v>OAS</v>
      </c>
      <c r="P2587" s="12" t="str">
        <f t="shared" si="95"/>
        <v>EN_RE</v>
      </c>
    </row>
    <row r="2588" spans="1:16" x14ac:dyDescent="0.35">
      <c r="A2588" t="s">
        <v>2384</v>
      </c>
      <c r="B2588" t="s">
        <v>78</v>
      </c>
      <c r="C2588" t="s">
        <v>45</v>
      </c>
      <c r="D2588" t="s">
        <v>3262</v>
      </c>
      <c r="E2588" t="s">
        <v>96</v>
      </c>
      <c r="F2588" t="s">
        <v>96</v>
      </c>
      <c r="G2588" t="s">
        <v>96</v>
      </c>
      <c r="H2588">
        <v>2017</v>
      </c>
      <c r="I2588" t="s">
        <v>96</v>
      </c>
      <c r="J2588" t="s">
        <v>97</v>
      </c>
      <c r="K2588" t="s">
        <v>96</v>
      </c>
      <c r="L2588" t="s">
        <v>96</v>
      </c>
      <c r="M2588">
        <v>99999</v>
      </c>
      <c r="O2588" s="12" t="str">
        <f t="shared" si="94"/>
        <v>OAS</v>
      </c>
      <c r="P2588" s="12" t="str">
        <f t="shared" si="95"/>
        <v>EN_RE</v>
      </c>
    </row>
    <row r="2589" spans="1:16" x14ac:dyDescent="0.35">
      <c r="A2589" t="s">
        <v>2384</v>
      </c>
      <c r="B2589" t="s">
        <v>78</v>
      </c>
      <c r="C2589" t="s">
        <v>45</v>
      </c>
      <c r="D2589" t="s">
        <v>3263</v>
      </c>
      <c r="E2589" t="s">
        <v>96</v>
      </c>
      <c r="F2589" t="s">
        <v>96</v>
      </c>
      <c r="G2589" t="s">
        <v>96</v>
      </c>
      <c r="H2589">
        <v>2017</v>
      </c>
      <c r="I2589" t="s">
        <v>96</v>
      </c>
      <c r="J2589" t="s">
        <v>97</v>
      </c>
      <c r="K2589" t="s">
        <v>96</v>
      </c>
      <c r="L2589" t="s">
        <v>96</v>
      </c>
      <c r="M2589">
        <v>99999</v>
      </c>
      <c r="O2589" s="12" t="str">
        <f t="shared" si="94"/>
        <v>OAS</v>
      </c>
      <c r="P2589" s="12" t="str">
        <f t="shared" si="95"/>
        <v>EN_RE</v>
      </c>
    </row>
    <row r="2590" spans="1:16" x14ac:dyDescent="0.35">
      <c r="A2590" t="s">
        <v>2384</v>
      </c>
      <c r="B2590" t="s">
        <v>78</v>
      </c>
      <c r="C2590" t="s">
        <v>45</v>
      </c>
      <c r="D2590" t="s">
        <v>3264</v>
      </c>
      <c r="E2590" t="s">
        <v>96</v>
      </c>
      <c r="F2590" t="s">
        <v>96</v>
      </c>
      <c r="G2590" t="s">
        <v>96</v>
      </c>
      <c r="H2590">
        <v>2017</v>
      </c>
      <c r="I2590" t="s">
        <v>96</v>
      </c>
      <c r="J2590" t="s">
        <v>97</v>
      </c>
      <c r="K2590" t="s">
        <v>96</v>
      </c>
      <c r="L2590" t="s">
        <v>96</v>
      </c>
      <c r="M2590">
        <v>99999</v>
      </c>
      <c r="O2590" s="12" t="str">
        <f t="shared" si="94"/>
        <v>OAS</v>
      </c>
      <c r="P2590" s="12" t="str">
        <f t="shared" si="95"/>
        <v>EN_RE</v>
      </c>
    </row>
    <row r="2591" spans="1:16" x14ac:dyDescent="0.35">
      <c r="A2591" t="s">
        <v>2384</v>
      </c>
      <c r="B2591" t="s">
        <v>78</v>
      </c>
      <c r="C2591" t="s">
        <v>45</v>
      </c>
      <c r="D2591" t="s">
        <v>3265</v>
      </c>
      <c r="E2591" t="s">
        <v>96</v>
      </c>
      <c r="F2591" t="s">
        <v>96</v>
      </c>
      <c r="G2591" t="s">
        <v>96</v>
      </c>
      <c r="H2591">
        <v>2017</v>
      </c>
      <c r="I2591" t="s">
        <v>96</v>
      </c>
      <c r="J2591" t="s">
        <v>97</v>
      </c>
      <c r="K2591" t="s">
        <v>96</v>
      </c>
      <c r="L2591" t="s">
        <v>96</v>
      </c>
      <c r="M2591">
        <v>99999</v>
      </c>
      <c r="O2591" s="12" t="str">
        <f t="shared" si="94"/>
        <v>OAS</v>
      </c>
      <c r="P2591" s="12" t="str">
        <f t="shared" si="95"/>
        <v>EN_RE</v>
      </c>
    </row>
    <row r="2592" spans="1:16" x14ac:dyDescent="0.35">
      <c r="A2592" t="s">
        <v>2384</v>
      </c>
      <c r="B2592" t="s">
        <v>78</v>
      </c>
      <c r="C2592" t="s">
        <v>45</v>
      </c>
      <c r="D2592" t="s">
        <v>3266</v>
      </c>
      <c r="E2592" t="s">
        <v>96</v>
      </c>
      <c r="F2592" t="s">
        <v>96</v>
      </c>
      <c r="G2592" t="s">
        <v>96</v>
      </c>
      <c r="H2592">
        <v>2017</v>
      </c>
      <c r="I2592" t="s">
        <v>96</v>
      </c>
      <c r="J2592" t="s">
        <v>97</v>
      </c>
      <c r="K2592" t="s">
        <v>96</v>
      </c>
      <c r="L2592" t="s">
        <v>96</v>
      </c>
      <c r="M2592">
        <v>99999</v>
      </c>
      <c r="O2592" s="12" t="str">
        <f t="shared" si="94"/>
        <v>OAS</v>
      </c>
      <c r="P2592" s="12" t="str">
        <f t="shared" si="95"/>
        <v>EN_RE</v>
      </c>
    </row>
    <row r="2593" spans="1:16" x14ac:dyDescent="0.35">
      <c r="A2593" t="s">
        <v>2384</v>
      </c>
      <c r="B2593" t="s">
        <v>78</v>
      </c>
      <c r="C2593" t="s">
        <v>45</v>
      </c>
      <c r="D2593" t="s">
        <v>3267</v>
      </c>
      <c r="E2593" t="s">
        <v>96</v>
      </c>
      <c r="F2593" t="s">
        <v>96</v>
      </c>
      <c r="G2593" t="s">
        <v>96</v>
      </c>
      <c r="H2593">
        <v>2017</v>
      </c>
      <c r="I2593" t="s">
        <v>96</v>
      </c>
      <c r="J2593" t="s">
        <v>97</v>
      </c>
      <c r="K2593" t="s">
        <v>96</v>
      </c>
      <c r="L2593" t="s">
        <v>96</v>
      </c>
      <c r="M2593">
        <v>99999</v>
      </c>
      <c r="O2593" s="12" t="str">
        <f t="shared" si="94"/>
        <v>OAS</v>
      </c>
      <c r="P2593" s="12" t="str">
        <f t="shared" si="95"/>
        <v>EN_RE</v>
      </c>
    </row>
    <row r="2594" spans="1:16" x14ac:dyDescent="0.35">
      <c r="A2594" t="s">
        <v>2384</v>
      </c>
      <c r="B2594" t="s">
        <v>78</v>
      </c>
      <c r="C2594" t="s">
        <v>45</v>
      </c>
      <c r="D2594" t="s">
        <v>3268</v>
      </c>
      <c r="E2594" t="s">
        <v>96</v>
      </c>
      <c r="F2594" t="s">
        <v>96</v>
      </c>
      <c r="G2594" t="s">
        <v>96</v>
      </c>
      <c r="H2594">
        <v>2017</v>
      </c>
      <c r="I2594" t="s">
        <v>96</v>
      </c>
      <c r="J2594" t="s">
        <v>97</v>
      </c>
      <c r="K2594" t="s">
        <v>96</v>
      </c>
      <c r="L2594" t="s">
        <v>96</v>
      </c>
      <c r="M2594">
        <v>99999</v>
      </c>
      <c r="O2594" s="12" t="str">
        <f t="shared" si="94"/>
        <v>OAS</v>
      </c>
      <c r="P2594" s="12" t="str">
        <f t="shared" si="95"/>
        <v>EN_RE</v>
      </c>
    </row>
    <row r="2595" spans="1:16" x14ac:dyDescent="0.35">
      <c r="A2595" t="s">
        <v>2384</v>
      </c>
      <c r="B2595" t="s">
        <v>78</v>
      </c>
      <c r="C2595" t="s">
        <v>45</v>
      </c>
      <c r="D2595" t="s">
        <v>3269</v>
      </c>
      <c r="E2595" t="s">
        <v>96</v>
      </c>
      <c r="F2595" t="s">
        <v>96</v>
      </c>
      <c r="G2595" t="s">
        <v>96</v>
      </c>
      <c r="H2595">
        <v>2017</v>
      </c>
      <c r="I2595" t="s">
        <v>96</v>
      </c>
      <c r="J2595" t="s">
        <v>97</v>
      </c>
      <c r="K2595" t="s">
        <v>96</v>
      </c>
      <c r="L2595" t="s">
        <v>96</v>
      </c>
      <c r="M2595">
        <v>99999</v>
      </c>
      <c r="O2595" s="12" t="str">
        <f t="shared" si="94"/>
        <v>OAS</v>
      </c>
      <c r="P2595" s="12" t="str">
        <f t="shared" si="95"/>
        <v>EN_RE</v>
      </c>
    </row>
    <row r="2596" spans="1:16" x14ac:dyDescent="0.35">
      <c r="A2596" t="s">
        <v>2384</v>
      </c>
      <c r="B2596" t="s">
        <v>78</v>
      </c>
      <c r="C2596" t="s">
        <v>45</v>
      </c>
      <c r="D2596" t="s">
        <v>3270</v>
      </c>
      <c r="E2596" t="s">
        <v>96</v>
      </c>
      <c r="F2596" t="s">
        <v>96</v>
      </c>
      <c r="G2596" t="s">
        <v>96</v>
      </c>
      <c r="H2596">
        <v>2017</v>
      </c>
      <c r="I2596" t="s">
        <v>96</v>
      </c>
      <c r="J2596" t="s">
        <v>97</v>
      </c>
      <c r="K2596" t="s">
        <v>96</v>
      </c>
      <c r="L2596" t="s">
        <v>96</v>
      </c>
      <c r="M2596">
        <v>99999</v>
      </c>
      <c r="O2596" s="12" t="str">
        <f t="shared" si="94"/>
        <v>OAS</v>
      </c>
      <c r="P2596" s="12" t="str">
        <f t="shared" si="95"/>
        <v>EN_RE</v>
      </c>
    </row>
    <row r="2597" spans="1:16" x14ac:dyDescent="0.35">
      <c r="A2597" t="s">
        <v>2384</v>
      </c>
      <c r="B2597" t="s">
        <v>78</v>
      </c>
      <c r="C2597" t="s">
        <v>45</v>
      </c>
      <c r="D2597" t="s">
        <v>3271</v>
      </c>
      <c r="E2597" t="s">
        <v>96</v>
      </c>
      <c r="F2597" t="s">
        <v>96</v>
      </c>
      <c r="G2597" t="s">
        <v>96</v>
      </c>
      <c r="H2597">
        <v>2017</v>
      </c>
      <c r="I2597" t="s">
        <v>96</v>
      </c>
      <c r="J2597" t="s">
        <v>97</v>
      </c>
      <c r="K2597" t="s">
        <v>96</v>
      </c>
      <c r="L2597" t="s">
        <v>96</v>
      </c>
      <c r="M2597">
        <v>99999</v>
      </c>
      <c r="O2597" s="12" t="str">
        <f t="shared" si="94"/>
        <v>OAS</v>
      </c>
      <c r="P2597" s="12" t="str">
        <f t="shared" si="95"/>
        <v>EN_RE</v>
      </c>
    </row>
    <row r="2598" spans="1:16" x14ac:dyDescent="0.35">
      <c r="A2598" t="s">
        <v>2384</v>
      </c>
      <c r="B2598" t="s">
        <v>78</v>
      </c>
      <c r="C2598" t="s">
        <v>45</v>
      </c>
      <c r="D2598" t="s">
        <v>3272</v>
      </c>
      <c r="E2598" t="s">
        <v>96</v>
      </c>
      <c r="F2598" t="s">
        <v>96</v>
      </c>
      <c r="G2598" t="s">
        <v>96</v>
      </c>
      <c r="H2598">
        <v>2017</v>
      </c>
      <c r="I2598" t="s">
        <v>96</v>
      </c>
      <c r="J2598" t="s">
        <v>97</v>
      </c>
      <c r="K2598" t="s">
        <v>96</v>
      </c>
      <c r="L2598" t="s">
        <v>96</v>
      </c>
      <c r="M2598">
        <v>99999</v>
      </c>
      <c r="O2598" s="12" t="str">
        <f t="shared" si="94"/>
        <v>OAS</v>
      </c>
      <c r="P2598" s="12" t="str">
        <f t="shared" si="95"/>
        <v>EN_RE</v>
      </c>
    </row>
    <row r="2599" spans="1:16" x14ac:dyDescent="0.35">
      <c r="A2599" t="s">
        <v>2384</v>
      </c>
      <c r="B2599" t="s">
        <v>78</v>
      </c>
      <c r="C2599" t="s">
        <v>45</v>
      </c>
      <c r="D2599" t="s">
        <v>3273</v>
      </c>
      <c r="E2599" t="s">
        <v>96</v>
      </c>
      <c r="F2599" t="s">
        <v>96</v>
      </c>
      <c r="G2599" t="s">
        <v>96</v>
      </c>
      <c r="H2599">
        <v>2017</v>
      </c>
      <c r="I2599" t="s">
        <v>96</v>
      </c>
      <c r="J2599" t="s">
        <v>97</v>
      </c>
      <c r="K2599" t="s">
        <v>96</v>
      </c>
      <c r="L2599" t="s">
        <v>96</v>
      </c>
      <c r="M2599">
        <v>99999</v>
      </c>
      <c r="O2599" s="12" t="str">
        <f t="shared" si="94"/>
        <v>OAS</v>
      </c>
      <c r="P2599" s="12" t="str">
        <f t="shared" si="95"/>
        <v>EN_RE</v>
      </c>
    </row>
    <row r="2600" spans="1:16" x14ac:dyDescent="0.35">
      <c r="A2600" t="s">
        <v>2384</v>
      </c>
      <c r="B2600" t="s">
        <v>79</v>
      </c>
      <c r="C2600" t="s">
        <v>45</v>
      </c>
      <c r="D2600" t="s">
        <v>2757</v>
      </c>
      <c r="E2600" t="s">
        <v>96</v>
      </c>
      <c r="F2600" t="s">
        <v>96</v>
      </c>
      <c r="G2600" t="s">
        <v>96</v>
      </c>
      <c r="H2600">
        <v>2017</v>
      </c>
      <c r="I2600" t="s">
        <v>96</v>
      </c>
      <c r="J2600" t="s">
        <v>97</v>
      </c>
      <c r="K2600" t="s">
        <v>96</v>
      </c>
      <c r="L2600" t="s">
        <v>96</v>
      </c>
      <c r="M2600">
        <v>3237.2133199999998</v>
      </c>
      <c r="O2600" s="12" t="str">
        <f t="shared" si="94"/>
        <v>RUS</v>
      </c>
      <c r="P2600" s="12" t="str">
        <f t="shared" si="95"/>
        <v>EN_Hy</v>
      </c>
    </row>
    <row r="2601" spans="1:16" x14ac:dyDescent="0.35">
      <c r="A2601" t="s">
        <v>2384</v>
      </c>
      <c r="B2601" t="s">
        <v>79</v>
      </c>
      <c r="C2601" t="s">
        <v>45</v>
      </c>
      <c r="D2601" t="s">
        <v>2758</v>
      </c>
      <c r="E2601" t="s">
        <v>96</v>
      </c>
      <c r="F2601" t="s">
        <v>96</v>
      </c>
      <c r="G2601" t="s">
        <v>96</v>
      </c>
      <c r="H2601">
        <v>2017</v>
      </c>
      <c r="I2601" t="s">
        <v>96</v>
      </c>
      <c r="J2601" t="s">
        <v>97</v>
      </c>
      <c r="K2601" t="s">
        <v>96</v>
      </c>
      <c r="L2601" t="s">
        <v>96</v>
      </c>
      <c r="M2601">
        <v>6313.0595599999997</v>
      </c>
      <c r="O2601" s="12" t="str">
        <f t="shared" si="94"/>
        <v>RUS</v>
      </c>
      <c r="P2601" s="12" t="str">
        <f t="shared" si="95"/>
        <v>EN_Hy</v>
      </c>
    </row>
    <row r="2602" spans="1:16" x14ac:dyDescent="0.35">
      <c r="A2602" t="s">
        <v>2384</v>
      </c>
      <c r="B2602" t="s">
        <v>79</v>
      </c>
      <c r="C2602" t="s">
        <v>45</v>
      </c>
      <c r="D2602" t="s">
        <v>2759</v>
      </c>
      <c r="E2602" t="s">
        <v>96</v>
      </c>
      <c r="F2602" t="s">
        <v>96</v>
      </c>
      <c r="G2602" t="s">
        <v>96</v>
      </c>
      <c r="H2602">
        <v>2017</v>
      </c>
      <c r="I2602" t="s">
        <v>96</v>
      </c>
      <c r="J2602" t="s">
        <v>97</v>
      </c>
      <c r="K2602" t="s">
        <v>96</v>
      </c>
      <c r="L2602" t="s">
        <v>96</v>
      </c>
      <c r="M2602">
        <v>9425.5401199999997</v>
      </c>
      <c r="O2602" s="12" t="str">
        <f t="shared" si="94"/>
        <v>RUS</v>
      </c>
      <c r="P2602" s="12" t="str">
        <f t="shared" si="95"/>
        <v>EN_Hy</v>
      </c>
    </row>
    <row r="2603" spans="1:16" x14ac:dyDescent="0.35">
      <c r="A2603" t="s">
        <v>2384</v>
      </c>
      <c r="B2603" t="s">
        <v>79</v>
      </c>
      <c r="C2603" t="s">
        <v>45</v>
      </c>
      <c r="D2603" t="s">
        <v>3274</v>
      </c>
      <c r="E2603" t="s">
        <v>96</v>
      </c>
      <c r="F2603" t="s">
        <v>96</v>
      </c>
      <c r="G2603" t="s">
        <v>96</v>
      </c>
      <c r="H2603">
        <v>2017</v>
      </c>
      <c r="I2603" t="s">
        <v>96</v>
      </c>
      <c r="J2603" t="s">
        <v>97</v>
      </c>
      <c r="K2603" t="s">
        <v>96</v>
      </c>
      <c r="L2603" t="s">
        <v>96</v>
      </c>
      <c r="M2603">
        <v>99999</v>
      </c>
      <c r="O2603" s="12" t="str">
        <f t="shared" si="94"/>
        <v>RUS</v>
      </c>
      <c r="P2603" s="12" t="str">
        <f t="shared" si="95"/>
        <v>EN_RE</v>
      </c>
    </row>
    <row r="2604" spans="1:16" x14ac:dyDescent="0.35">
      <c r="A2604" t="s">
        <v>2384</v>
      </c>
      <c r="B2604" t="s">
        <v>80</v>
      </c>
      <c r="C2604" t="s">
        <v>45</v>
      </c>
      <c r="D2604" t="s">
        <v>2760</v>
      </c>
      <c r="E2604" t="s">
        <v>96</v>
      </c>
      <c r="F2604" t="s">
        <v>96</v>
      </c>
      <c r="G2604" t="s">
        <v>96</v>
      </c>
      <c r="H2604">
        <v>2017</v>
      </c>
      <c r="I2604" t="s">
        <v>96</v>
      </c>
      <c r="J2604" t="s">
        <v>97</v>
      </c>
      <c r="K2604" t="s">
        <v>96</v>
      </c>
      <c r="L2604" t="s">
        <v>96</v>
      </c>
      <c r="M2604">
        <v>6018.7323200000001</v>
      </c>
      <c r="O2604" s="12" t="str">
        <f t="shared" si="94"/>
        <v>SKO</v>
      </c>
      <c r="P2604" s="12" t="str">
        <f t="shared" si="95"/>
        <v>EN_Hy</v>
      </c>
    </row>
    <row r="2605" spans="1:16" x14ac:dyDescent="0.35">
      <c r="A2605" t="s">
        <v>2384</v>
      </c>
      <c r="B2605" t="s">
        <v>80</v>
      </c>
      <c r="C2605" t="s">
        <v>45</v>
      </c>
      <c r="D2605" t="s">
        <v>2761</v>
      </c>
      <c r="E2605" t="s">
        <v>96</v>
      </c>
      <c r="F2605" t="s">
        <v>96</v>
      </c>
      <c r="G2605" t="s">
        <v>96</v>
      </c>
      <c r="H2605">
        <v>2017</v>
      </c>
      <c r="I2605" t="s">
        <v>96</v>
      </c>
      <c r="J2605" t="s">
        <v>97</v>
      </c>
      <c r="K2605" t="s">
        <v>96</v>
      </c>
      <c r="L2605" t="s">
        <v>96</v>
      </c>
      <c r="M2605">
        <v>9449.9542399999991</v>
      </c>
      <c r="O2605" s="12" t="str">
        <f t="shared" si="94"/>
        <v>SKO</v>
      </c>
      <c r="P2605" s="12" t="str">
        <f t="shared" si="95"/>
        <v>EN_Hy</v>
      </c>
    </row>
    <row r="2606" spans="1:16" x14ac:dyDescent="0.35">
      <c r="A2606" t="s">
        <v>2384</v>
      </c>
      <c r="B2606" t="s">
        <v>80</v>
      </c>
      <c r="C2606" t="s">
        <v>45</v>
      </c>
      <c r="D2606" t="s">
        <v>2762</v>
      </c>
      <c r="E2606" t="s">
        <v>96</v>
      </c>
      <c r="F2606" t="s">
        <v>96</v>
      </c>
      <c r="G2606" t="s">
        <v>96</v>
      </c>
      <c r="H2606">
        <v>2017</v>
      </c>
      <c r="I2606" t="s">
        <v>96</v>
      </c>
      <c r="J2606" t="s">
        <v>97</v>
      </c>
      <c r="K2606" t="s">
        <v>96</v>
      </c>
      <c r="L2606" t="s">
        <v>96</v>
      </c>
      <c r="M2606">
        <v>10827.814640000001</v>
      </c>
      <c r="O2606" s="12" t="str">
        <f t="shared" si="94"/>
        <v>SKO</v>
      </c>
      <c r="P2606" s="12" t="str">
        <f t="shared" si="95"/>
        <v>EN_Hy</v>
      </c>
    </row>
    <row r="2607" spans="1:16" x14ac:dyDescent="0.35">
      <c r="A2607" t="s">
        <v>2384</v>
      </c>
      <c r="B2607" t="s">
        <v>80</v>
      </c>
      <c r="C2607" t="s">
        <v>45</v>
      </c>
      <c r="D2607" t="s">
        <v>3245</v>
      </c>
      <c r="E2607" t="s">
        <v>96</v>
      </c>
      <c r="F2607" t="s">
        <v>96</v>
      </c>
      <c r="G2607" t="s">
        <v>96</v>
      </c>
      <c r="H2607">
        <v>2017</v>
      </c>
      <c r="I2607" t="s">
        <v>96</v>
      </c>
      <c r="J2607" t="s">
        <v>97</v>
      </c>
      <c r="K2607" t="s">
        <v>96</v>
      </c>
      <c r="L2607" t="s">
        <v>96</v>
      </c>
      <c r="M2607">
        <v>99999</v>
      </c>
      <c r="O2607" s="12" t="str">
        <f t="shared" si="94"/>
        <v>SKO</v>
      </c>
      <c r="P2607" s="12" t="str">
        <f t="shared" si="95"/>
        <v>EN_RE</v>
      </c>
    </row>
    <row r="2608" spans="1:16" x14ac:dyDescent="0.35">
      <c r="A2608" t="s">
        <v>2384</v>
      </c>
      <c r="B2608" t="s">
        <v>80</v>
      </c>
      <c r="C2608" t="s">
        <v>45</v>
      </c>
      <c r="D2608" t="s">
        <v>3275</v>
      </c>
      <c r="E2608" t="s">
        <v>96</v>
      </c>
      <c r="F2608" t="s">
        <v>96</v>
      </c>
      <c r="G2608" t="s">
        <v>96</v>
      </c>
      <c r="H2608">
        <v>2017</v>
      </c>
      <c r="I2608" t="s">
        <v>96</v>
      </c>
      <c r="J2608" t="s">
        <v>97</v>
      </c>
      <c r="K2608" t="s">
        <v>96</v>
      </c>
      <c r="L2608" t="s">
        <v>96</v>
      </c>
      <c r="M2608">
        <v>99999</v>
      </c>
      <c r="O2608" s="12" t="str">
        <f t="shared" si="94"/>
        <v>SKO</v>
      </c>
      <c r="P2608" s="12" t="str">
        <f t="shared" si="95"/>
        <v>EN_RE</v>
      </c>
    </row>
    <row r="2609" spans="1:16" x14ac:dyDescent="0.35">
      <c r="A2609" t="s">
        <v>2384</v>
      </c>
      <c r="B2609" t="s">
        <v>81</v>
      </c>
      <c r="C2609" t="s">
        <v>45</v>
      </c>
      <c r="D2609" t="s">
        <v>2763</v>
      </c>
      <c r="E2609" t="s">
        <v>96</v>
      </c>
      <c r="F2609" t="s">
        <v>96</v>
      </c>
      <c r="G2609" t="s">
        <v>96</v>
      </c>
      <c r="H2609">
        <v>2017</v>
      </c>
      <c r="I2609" t="s">
        <v>96</v>
      </c>
      <c r="J2609" t="s">
        <v>97</v>
      </c>
      <c r="K2609" t="s">
        <v>96</v>
      </c>
      <c r="L2609" t="s">
        <v>96</v>
      </c>
      <c r="M2609">
        <v>2570.8006999999998</v>
      </c>
      <c r="O2609" s="12" t="str">
        <f t="shared" si="94"/>
        <v>URA</v>
      </c>
      <c r="P2609" s="12" t="str">
        <f t="shared" si="95"/>
        <v>EN_Hy</v>
      </c>
    </row>
    <row r="2610" spans="1:16" x14ac:dyDescent="0.35">
      <c r="A2610" t="s">
        <v>2384</v>
      </c>
      <c r="B2610" t="s">
        <v>81</v>
      </c>
      <c r="C2610" t="s">
        <v>45</v>
      </c>
      <c r="D2610" t="s">
        <v>2764</v>
      </c>
      <c r="E2610" t="s">
        <v>96</v>
      </c>
      <c r="F2610" t="s">
        <v>96</v>
      </c>
      <c r="G2610" t="s">
        <v>96</v>
      </c>
      <c r="H2610">
        <v>2017</v>
      </c>
      <c r="I2610" t="s">
        <v>96</v>
      </c>
      <c r="J2610" t="s">
        <v>97</v>
      </c>
      <c r="K2610" t="s">
        <v>96</v>
      </c>
      <c r="L2610" t="s">
        <v>96</v>
      </c>
      <c r="M2610">
        <v>4508.6660000000002</v>
      </c>
      <c r="O2610" s="12" t="str">
        <f t="shared" si="94"/>
        <v>URA</v>
      </c>
      <c r="P2610" s="12" t="str">
        <f t="shared" si="95"/>
        <v>EN_Hy</v>
      </c>
    </row>
    <row r="2611" spans="1:16" x14ac:dyDescent="0.35">
      <c r="A2611" t="s">
        <v>2384</v>
      </c>
      <c r="B2611" t="s">
        <v>81</v>
      </c>
      <c r="C2611" t="s">
        <v>45</v>
      </c>
      <c r="D2611" t="s">
        <v>2765</v>
      </c>
      <c r="E2611" t="s">
        <v>96</v>
      </c>
      <c r="F2611" t="s">
        <v>96</v>
      </c>
      <c r="G2611" t="s">
        <v>96</v>
      </c>
      <c r="H2611">
        <v>2017</v>
      </c>
      <c r="I2611" t="s">
        <v>96</v>
      </c>
      <c r="J2611" t="s">
        <v>97</v>
      </c>
      <c r="K2611" t="s">
        <v>96</v>
      </c>
      <c r="L2611" t="s">
        <v>96</v>
      </c>
      <c r="M2611">
        <v>9958.4809999999998</v>
      </c>
      <c r="O2611" s="12" t="str">
        <f t="shared" si="94"/>
        <v>URA</v>
      </c>
      <c r="P2611" s="12" t="str">
        <f t="shared" si="95"/>
        <v>EN_Hy</v>
      </c>
    </row>
    <row r="2612" spans="1:16" x14ac:dyDescent="0.35">
      <c r="A2612" t="s">
        <v>2384</v>
      </c>
      <c r="B2612" t="s">
        <v>81</v>
      </c>
      <c r="C2612" t="s">
        <v>45</v>
      </c>
      <c r="D2612" t="s">
        <v>2766</v>
      </c>
      <c r="E2612" t="s">
        <v>96</v>
      </c>
      <c r="F2612" t="s">
        <v>96</v>
      </c>
      <c r="G2612" t="s">
        <v>96</v>
      </c>
      <c r="H2612">
        <v>2017</v>
      </c>
      <c r="I2612" t="s">
        <v>96</v>
      </c>
      <c r="J2612" t="s">
        <v>97</v>
      </c>
      <c r="K2612" t="s">
        <v>96</v>
      </c>
      <c r="L2612" t="s">
        <v>96</v>
      </c>
      <c r="M2612">
        <v>2570.8006999999998</v>
      </c>
      <c r="O2612" s="12" t="str">
        <f t="shared" si="94"/>
        <v>URA</v>
      </c>
      <c r="P2612" s="12" t="str">
        <f t="shared" si="95"/>
        <v>EN_Hy</v>
      </c>
    </row>
    <row r="2613" spans="1:16" x14ac:dyDescent="0.35">
      <c r="A2613" t="s">
        <v>2384</v>
      </c>
      <c r="B2613" t="s">
        <v>81</v>
      </c>
      <c r="C2613" t="s">
        <v>45</v>
      </c>
      <c r="D2613" t="s">
        <v>2767</v>
      </c>
      <c r="E2613" t="s">
        <v>96</v>
      </c>
      <c r="F2613" t="s">
        <v>96</v>
      </c>
      <c r="G2613" t="s">
        <v>96</v>
      </c>
      <c r="H2613">
        <v>2017</v>
      </c>
      <c r="I2613" t="s">
        <v>96</v>
      </c>
      <c r="J2613" t="s">
        <v>97</v>
      </c>
      <c r="K2613" t="s">
        <v>96</v>
      </c>
      <c r="L2613" t="s">
        <v>96</v>
      </c>
      <c r="M2613">
        <v>4508.6660000000002</v>
      </c>
      <c r="O2613" s="12" t="str">
        <f t="shared" si="94"/>
        <v>URA</v>
      </c>
      <c r="P2613" s="12" t="str">
        <f t="shared" si="95"/>
        <v>EN_Hy</v>
      </c>
    </row>
    <row r="2614" spans="1:16" x14ac:dyDescent="0.35">
      <c r="A2614" t="s">
        <v>2384</v>
      </c>
      <c r="B2614" t="s">
        <v>81</v>
      </c>
      <c r="C2614" t="s">
        <v>45</v>
      </c>
      <c r="D2614" t="s">
        <v>2768</v>
      </c>
      <c r="E2614" t="s">
        <v>96</v>
      </c>
      <c r="F2614" t="s">
        <v>96</v>
      </c>
      <c r="G2614" t="s">
        <v>96</v>
      </c>
      <c r="H2614">
        <v>2017</v>
      </c>
      <c r="I2614" t="s">
        <v>96</v>
      </c>
      <c r="J2614" t="s">
        <v>97</v>
      </c>
      <c r="K2614" t="s">
        <v>96</v>
      </c>
      <c r="L2614" t="s">
        <v>96</v>
      </c>
      <c r="M2614">
        <v>9958.4809999999998</v>
      </c>
      <c r="O2614" s="12" t="str">
        <f t="shared" si="94"/>
        <v>URA</v>
      </c>
      <c r="P2614" s="12" t="str">
        <f t="shared" si="95"/>
        <v>EN_Hy</v>
      </c>
    </row>
    <row r="2615" spans="1:16" x14ac:dyDescent="0.35">
      <c r="A2615" t="s">
        <v>2384</v>
      </c>
      <c r="B2615" t="s">
        <v>81</v>
      </c>
      <c r="C2615" t="s">
        <v>45</v>
      </c>
      <c r="D2615" t="s">
        <v>2769</v>
      </c>
      <c r="E2615" t="s">
        <v>96</v>
      </c>
      <c r="F2615" t="s">
        <v>96</v>
      </c>
      <c r="G2615" t="s">
        <v>96</v>
      </c>
      <c r="H2615">
        <v>2017</v>
      </c>
      <c r="I2615" t="s">
        <v>96</v>
      </c>
      <c r="J2615" t="s">
        <v>97</v>
      </c>
      <c r="K2615" t="s">
        <v>96</v>
      </c>
      <c r="L2615" t="s">
        <v>96</v>
      </c>
      <c r="M2615">
        <v>2570.8006999999998</v>
      </c>
      <c r="O2615" s="12" t="str">
        <f t="shared" si="94"/>
        <v>URA</v>
      </c>
      <c r="P2615" s="12" t="str">
        <f t="shared" si="95"/>
        <v>EN_Hy</v>
      </c>
    </row>
    <row r="2616" spans="1:16" x14ac:dyDescent="0.35">
      <c r="A2616" t="s">
        <v>2384</v>
      </c>
      <c r="B2616" t="s">
        <v>81</v>
      </c>
      <c r="C2616" t="s">
        <v>45</v>
      </c>
      <c r="D2616" t="s">
        <v>2770</v>
      </c>
      <c r="E2616" t="s">
        <v>96</v>
      </c>
      <c r="F2616" t="s">
        <v>96</v>
      </c>
      <c r="G2616" t="s">
        <v>96</v>
      </c>
      <c r="H2616">
        <v>2017</v>
      </c>
      <c r="I2616" t="s">
        <v>96</v>
      </c>
      <c r="J2616" t="s">
        <v>97</v>
      </c>
      <c r="K2616" t="s">
        <v>96</v>
      </c>
      <c r="L2616" t="s">
        <v>96</v>
      </c>
      <c r="M2616">
        <v>4508.6660000000002</v>
      </c>
      <c r="O2616" s="12" t="str">
        <f t="shared" si="94"/>
        <v>URA</v>
      </c>
      <c r="P2616" s="12" t="str">
        <f t="shared" si="95"/>
        <v>EN_Hy</v>
      </c>
    </row>
    <row r="2617" spans="1:16" x14ac:dyDescent="0.35">
      <c r="A2617" t="s">
        <v>2384</v>
      </c>
      <c r="B2617" t="s">
        <v>81</v>
      </c>
      <c r="C2617" t="s">
        <v>45</v>
      </c>
      <c r="D2617" t="s">
        <v>2771</v>
      </c>
      <c r="E2617" t="s">
        <v>96</v>
      </c>
      <c r="F2617" t="s">
        <v>96</v>
      </c>
      <c r="G2617" t="s">
        <v>96</v>
      </c>
      <c r="H2617">
        <v>2017</v>
      </c>
      <c r="I2617" t="s">
        <v>96</v>
      </c>
      <c r="J2617" t="s">
        <v>97</v>
      </c>
      <c r="K2617" t="s">
        <v>96</v>
      </c>
      <c r="L2617" t="s">
        <v>96</v>
      </c>
      <c r="M2617">
        <v>9958.4809999999998</v>
      </c>
      <c r="O2617" s="12" t="str">
        <f t="shared" si="94"/>
        <v>URA</v>
      </c>
      <c r="P2617" s="12" t="str">
        <f t="shared" si="95"/>
        <v>EN_Hy</v>
      </c>
    </row>
    <row r="2618" spans="1:16" x14ac:dyDescent="0.35">
      <c r="A2618" t="s">
        <v>2384</v>
      </c>
      <c r="B2618" t="s">
        <v>81</v>
      </c>
      <c r="C2618" t="s">
        <v>45</v>
      </c>
      <c r="D2618" t="s">
        <v>2772</v>
      </c>
      <c r="E2618" t="s">
        <v>96</v>
      </c>
      <c r="F2618" t="s">
        <v>96</v>
      </c>
      <c r="G2618" t="s">
        <v>96</v>
      </c>
      <c r="H2618">
        <v>2017</v>
      </c>
      <c r="I2618" t="s">
        <v>96</v>
      </c>
      <c r="J2618" t="s">
        <v>97</v>
      </c>
      <c r="K2618" t="s">
        <v>96</v>
      </c>
      <c r="L2618" t="s">
        <v>96</v>
      </c>
      <c r="M2618">
        <v>2570.8006999999998</v>
      </c>
      <c r="O2618" s="12" t="str">
        <f t="shared" si="94"/>
        <v>URA</v>
      </c>
      <c r="P2618" s="12" t="str">
        <f t="shared" si="95"/>
        <v>EN_Hy</v>
      </c>
    </row>
    <row r="2619" spans="1:16" x14ac:dyDescent="0.35">
      <c r="A2619" t="s">
        <v>2384</v>
      </c>
      <c r="B2619" t="s">
        <v>81</v>
      </c>
      <c r="C2619" t="s">
        <v>45</v>
      </c>
      <c r="D2619" t="s">
        <v>2773</v>
      </c>
      <c r="E2619" t="s">
        <v>96</v>
      </c>
      <c r="F2619" t="s">
        <v>96</v>
      </c>
      <c r="G2619" t="s">
        <v>96</v>
      </c>
      <c r="H2619">
        <v>2017</v>
      </c>
      <c r="I2619" t="s">
        <v>96</v>
      </c>
      <c r="J2619" t="s">
        <v>97</v>
      </c>
      <c r="K2619" t="s">
        <v>96</v>
      </c>
      <c r="L2619" t="s">
        <v>96</v>
      </c>
      <c r="M2619">
        <v>4508.6660000000002</v>
      </c>
      <c r="O2619" s="12" t="str">
        <f t="shared" si="94"/>
        <v>URA</v>
      </c>
      <c r="P2619" s="12" t="str">
        <f t="shared" si="95"/>
        <v>EN_Hy</v>
      </c>
    </row>
    <row r="2620" spans="1:16" x14ac:dyDescent="0.35">
      <c r="A2620" t="s">
        <v>2384</v>
      </c>
      <c r="B2620" t="s">
        <v>81</v>
      </c>
      <c r="C2620" t="s">
        <v>45</v>
      </c>
      <c r="D2620" t="s">
        <v>2774</v>
      </c>
      <c r="E2620" t="s">
        <v>96</v>
      </c>
      <c r="F2620" t="s">
        <v>96</v>
      </c>
      <c r="G2620" t="s">
        <v>96</v>
      </c>
      <c r="H2620">
        <v>2017</v>
      </c>
      <c r="I2620" t="s">
        <v>96</v>
      </c>
      <c r="J2620" t="s">
        <v>97</v>
      </c>
      <c r="K2620" t="s">
        <v>96</v>
      </c>
      <c r="L2620" t="s">
        <v>96</v>
      </c>
      <c r="M2620">
        <v>9958.4809999999998</v>
      </c>
      <c r="O2620" s="12" t="str">
        <f t="shared" si="94"/>
        <v>URA</v>
      </c>
      <c r="P2620" s="12" t="str">
        <f t="shared" si="95"/>
        <v>EN_Hy</v>
      </c>
    </row>
    <row r="2621" spans="1:16" x14ac:dyDescent="0.35">
      <c r="A2621" t="s">
        <v>2384</v>
      </c>
      <c r="B2621" t="s">
        <v>81</v>
      </c>
      <c r="C2621" t="s">
        <v>45</v>
      </c>
      <c r="D2621" t="s">
        <v>2775</v>
      </c>
      <c r="E2621" t="s">
        <v>96</v>
      </c>
      <c r="F2621" t="s">
        <v>96</v>
      </c>
      <c r="G2621" t="s">
        <v>96</v>
      </c>
      <c r="H2621">
        <v>2017</v>
      </c>
      <c r="I2621" t="s">
        <v>96</v>
      </c>
      <c r="J2621" t="s">
        <v>97</v>
      </c>
      <c r="K2621" t="s">
        <v>96</v>
      </c>
      <c r="L2621" t="s">
        <v>96</v>
      </c>
      <c r="M2621">
        <v>2570.8006999999998</v>
      </c>
      <c r="O2621" s="12" t="str">
        <f t="shared" si="94"/>
        <v>URA</v>
      </c>
      <c r="P2621" s="12" t="str">
        <f t="shared" si="95"/>
        <v>EN_Hy</v>
      </c>
    </row>
    <row r="2622" spans="1:16" x14ac:dyDescent="0.35">
      <c r="A2622" t="s">
        <v>2384</v>
      </c>
      <c r="B2622" t="s">
        <v>81</v>
      </c>
      <c r="C2622" t="s">
        <v>45</v>
      </c>
      <c r="D2622" t="s">
        <v>2776</v>
      </c>
      <c r="E2622" t="s">
        <v>96</v>
      </c>
      <c r="F2622" t="s">
        <v>96</v>
      </c>
      <c r="G2622" t="s">
        <v>96</v>
      </c>
      <c r="H2622">
        <v>2017</v>
      </c>
      <c r="I2622" t="s">
        <v>96</v>
      </c>
      <c r="J2622" t="s">
        <v>97</v>
      </c>
      <c r="K2622" t="s">
        <v>96</v>
      </c>
      <c r="L2622" t="s">
        <v>96</v>
      </c>
      <c r="M2622">
        <v>4508.6660000000002</v>
      </c>
      <c r="O2622" s="12" t="str">
        <f t="shared" si="94"/>
        <v>URA</v>
      </c>
      <c r="P2622" s="12" t="str">
        <f t="shared" si="95"/>
        <v>EN_Hy</v>
      </c>
    </row>
    <row r="2623" spans="1:16" x14ac:dyDescent="0.35">
      <c r="A2623" t="s">
        <v>2384</v>
      </c>
      <c r="B2623" t="s">
        <v>81</v>
      </c>
      <c r="C2623" t="s">
        <v>45</v>
      </c>
      <c r="D2623" t="s">
        <v>2777</v>
      </c>
      <c r="E2623" t="s">
        <v>96</v>
      </c>
      <c r="F2623" t="s">
        <v>96</v>
      </c>
      <c r="G2623" t="s">
        <v>96</v>
      </c>
      <c r="H2623">
        <v>2017</v>
      </c>
      <c r="I2623" t="s">
        <v>96</v>
      </c>
      <c r="J2623" t="s">
        <v>97</v>
      </c>
      <c r="K2623" t="s">
        <v>96</v>
      </c>
      <c r="L2623" t="s">
        <v>96</v>
      </c>
      <c r="M2623">
        <v>9958.4809999999998</v>
      </c>
      <c r="O2623" s="12" t="str">
        <f t="shared" si="94"/>
        <v>URA</v>
      </c>
      <c r="P2623" s="12" t="str">
        <f t="shared" si="95"/>
        <v>EN_Hy</v>
      </c>
    </row>
    <row r="2624" spans="1:16" x14ac:dyDescent="0.35">
      <c r="A2624" t="s">
        <v>2384</v>
      </c>
      <c r="B2624" t="s">
        <v>81</v>
      </c>
      <c r="C2624" t="s">
        <v>45</v>
      </c>
      <c r="D2624" t="s">
        <v>2778</v>
      </c>
      <c r="E2624" t="s">
        <v>96</v>
      </c>
      <c r="F2624" t="s">
        <v>96</v>
      </c>
      <c r="G2624" t="s">
        <v>96</v>
      </c>
      <c r="H2624">
        <v>2017</v>
      </c>
      <c r="I2624" t="s">
        <v>96</v>
      </c>
      <c r="J2624" t="s">
        <v>97</v>
      </c>
      <c r="K2624" t="s">
        <v>96</v>
      </c>
      <c r="L2624" t="s">
        <v>96</v>
      </c>
      <c r="M2624">
        <v>2570.8006999999998</v>
      </c>
      <c r="O2624" s="12" t="str">
        <f t="shared" si="94"/>
        <v>URA</v>
      </c>
      <c r="P2624" s="12" t="str">
        <f t="shared" si="95"/>
        <v>EN_Hy</v>
      </c>
    </row>
    <row r="2625" spans="1:16" x14ac:dyDescent="0.35">
      <c r="A2625" t="s">
        <v>2384</v>
      </c>
      <c r="B2625" t="s">
        <v>81</v>
      </c>
      <c r="C2625" t="s">
        <v>45</v>
      </c>
      <c r="D2625" t="s">
        <v>2779</v>
      </c>
      <c r="E2625" t="s">
        <v>96</v>
      </c>
      <c r="F2625" t="s">
        <v>96</v>
      </c>
      <c r="G2625" t="s">
        <v>96</v>
      </c>
      <c r="H2625">
        <v>2017</v>
      </c>
      <c r="I2625" t="s">
        <v>96</v>
      </c>
      <c r="J2625" t="s">
        <v>97</v>
      </c>
      <c r="K2625" t="s">
        <v>96</v>
      </c>
      <c r="L2625" t="s">
        <v>96</v>
      </c>
      <c r="M2625">
        <v>4508.6660000000002</v>
      </c>
      <c r="O2625" s="12" t="str">
        <f t="shared" si="94"/>
        <v>URA</v>
      </c>
      <c r="P2625" s="12" t="str">
        <f t="shared" si="95"/>
        <v>EN_Hy</v>
      </c>
    </row>
    <row r="2626" spans="1:16" x14ac:dyDescent="0.35">
      <c r="A2626" t="s">
        <v>2384</v>
      </c>
      <c r="B2626" t="s">
        <v>81</v>
      </c>
      <c r="C2626" t="s">
        <v>45</v>
      </c>
      <c r="D2626" t="s">
        <v>2780</v>
      </c>
      <c r="E2626" t="s">
        <v>96</v>
      </c>
      <c r="F2626" t="s">
        <v>96</v>
      </c>
      <c r="G2626" t="s">
        <v>96</v>
      </c>
      <c r="H2626">
        <v>2017</v>
      </c>
      <c r="I2626" t="s">
        <v>96</v>
      </c>
      <c r="J2626" t="s">
        <v>97</v>
      </c>
      <c r="K2626" t="s">
        <v>96</v>
      </c>
      <c r="L2626" t="s">
        <v>96</v>
      </c>
      <c r="M2626">
        <v>9958.4809999999998</v>
      </c>
      <c r="O2626" s="12" t="str">
        <f t="shared" si="94"/>
        <v>URA</v>
      </c>
      <c r="P2626" s="12" t="str">
        <f t="shared" si="95"/>
        <v>EN_Hy</v>
      </c>
    </row>
    <row r="2627" spans="1:16" x14ac:dyDescent="0.35">
      <c r="A2627" t="s">
        <v>2384</v>
      </c>
      <c r="B2627" t="s">
        <v>81</v>
      </c>
      <c r="C2627" t="s">
        <v>45</v>
      </c>
      <c r="D2627" t="s">
        <v>2781</v>
      </c>
      <c r="E2627" t="s">
        <v>96</v>
      </c>
      <c r="F2627" t="s">
        <v>96</v>
      </c>
      <c r="G2627" t="s">
        <v>96</v>
      </c>
      <c r="H2627">
        <v>2017</v>
      </c>
      <c r="I2627" t="s">
        <v>96</v>
      </c>
      <c r="J2627" t="s">
        <v>97</v>
      </c>
      <c r="K2627" t="s">
        <v>96</v>
      </c>
      <c r="L2627" t="s">
        <v>96</v>
      </c>
      <c r="M2627">
        <v>2570.8006999999998</v>
      </c>
      <c r="O2627" s="12" t="str">
        <f t="shared" ref="O2627:O2690" si="96">LEFT(B2627,3)</f>
        <v>URA</v>
      </c>
      <c r="P2627" s="12" t="str">
        <f t="shared" ref="P2627:P2690" si="97">LEFT(D2627,5)</f>
        <v>EN_Hy</v>
      </c>
    </row>
    <row r="2628" spans="1:16" x14ac:dyDescent="0.35">
      <c r="A2628" t="s">
        <v>2384</v>
      </c>
      <c r="B2628" t="s">
        <v>81</v>
      </c>
      <c r="C2628" t="s">
        <v>45</v>
      </c>
      <c r="D2628" t="s">
        <v>2782</v>
      </c>
      <c r="E2628" t="s">
        <v>96</v>
      </c>
      <c r="F2628" t="s">
        <v>96</v>
      </c>
      <c r="G2628" t="s">
        <v>96</v>
      </c>
      <c r="H2628">
        <v>2017</v>
      </c>
      <c r="I2628" t="s">
        <v>96</v>
      </c>
      <c r="J2628" t="s">
        <v>97</v>
      </c>
      <c r="K2628" t="s">
        <v>96</v>
      </c>
      <c r="L2628" t="s">
        <v>96</v>
      </c>
      <c r="M2628">
        <v>4508.6660000000002</v>
      </c>
      <c r="O2628" s="12" t="str">
        <f t="shared" si="96"/>
        <v>URA</v>
      </c>
      <c r="P2628" s="12" t="str">
        <f t="shared" si="97"/>
        <v>EN_Hy</v>
      </c>
    </row>
    <row r="2629" spans="1:16" x14ac:dyDescent="0.35">
      <c r="A2629" t="s">
        <v>2384</v>
      </c>
      <c r="B2629" t="s">
        <v>81</v>
      </c>
      <c r="C2629" t="s">
        <v>45</v>
      </c>
      <c r="D2629" t="s">
        <v>2783</v>
      </c>
      <c r="E2629" t="s">
        <v>96</v>
      </c>
      <c r="F2629" t="s">
        <v>96</v>
      </c>
      <c r="G2629" t="s">
        <v>96</v>
      </c>
      <c r="H2629">
        <v>2017</v>
      </c>
      <c r="I2629" t="s">
        <v>96</v>
      </c>
      <c r="J2629" t="s">
        <v>97</v>
      </c>
      <c r="K2629" t="s">
        <v>96</v>
      </c>
      <c r="L2629" t="s">
        <v>96</v>
      </c>
      <c r="M2629">
        <v>9958.4809999999998</v>
      </c>
      <c r="O2629" s="12" t="str">
        <f t="shared" si="96"/>
        <v>URA</v>
      </c>
      <c r="P2629" s="12" t="str">
        <f t="shared" si="97"/>
        <v>EN_Hy</v>
      </c>
    </row>
    <row r="2630" spans="1:16" x14ac:dyDescent="0.35">
      <c r="A2630" t="s">
        <v>2384</v>
      </c>
      <c r="B2630" t="s">
        <v>81</v>
      </c>
      <c r="C2630" t="s">
        <v>45</v>
      </c>
      <c r="D2630" t="s">
        <v>2784</v>
      </c>
      <c r="E2630" t="s">
        <v>96</v>
      </c>
      <c r="F2630" t="s">
        <v>96</v>
      </c>
      <c r="G2630" t="s">
        <v>96</v>
      </c>
      <c r="H2630">
        <v>2017</v>
      </c>
      <c r="I2630" t="s">
        <v>96</v>
      </c>
      <c r="J2630" t="s">
        <v>97</v>
      </c>
      <c r="K2630" t="s">
        <v>96</v>
      </c>
      <c r="L2630" t="s">
        <v>96</v>
      </c>
      <c r="M2630">
        <v>2570.8006999999998</v>
      </c>
      <c r="O2630" s="12" t="str">
        <f t="shared" si="96"/>
        <v>URA</v>
      </c>
      <c r="P2630" s="12" t="str">
        <f t="shared" si="97"/>
        <v>EN_Hy</v>
      </c>
    </row>
    <row r="2631" spans="1:16" x14ac:dyDescent="0.35">
      <c r="A2631" t="s">
        <v>2384</v>
      </c>
      <c r="B2631" t="s">
        <v>81</v>
      </c>
      <c r="C2631" t="s">
        <v>45</v>
      </c>
      <c r="D2631" t="s">
        <v>2785</v>
      </c>
      <c r="E2631" t="s">
        <v>96</v>
      </c>
      <c r="F2631" t="s">
        <v>96</v>
      </c>
      <c r="G2631" t="s">
        <v>96</v>
      </c>
      <c r="H2631">
        <v>2017</v>
      </c>
      <c r="I2631" t="s">
        <v>96</v>
      </c>
      <c r="J2631" t="s">
        <v>97</v>
      </c>
      <c r="K2631" t="s">
        <v>96</v>
      </c>
      <c r="L2631" t="s">
        <v>96</v>
      </c>
      <c r="M2631">
        <v>4508.6660000000002</v>
      </c>
      <c r="O2631" s="12" t="str">
        <f t="shared" si="96"/>
        <v>URA</v>
      </c>
      <c r="P2631" s="12" t="str">
        <f t="shared" si="97"/>
        <v>EN_Hy</v>
      </c>
    </row>
    <row r="2632" spans="1:16" x14ac:dyDescent="0.35">
      <c r="A2632" t="s">
        <v>2384</v>
      </c>
      <c r="B2632" t="s">
        <v>81</v>
      </c>
      <c r="C2632" t="s">
        <v>45</v>
      </c>
      <c r="D2632" t="s">
        <v>2786</v>
      </c>
      <c r="E2632" t="s">
        <v>96</v>
      </c>
      <c r="F2632" t="s">
        <v>96</v>
      </c>
      <c r="G2632" t="s">
        <v>96</v>
      </c>
      <c r="H2632">
        <v>2017</v>
      </c>
      <c r="I2632" t="s">
        <v>96</v>
      </c>
      <c r="J2632" t="s">
        <v>97</v>
      </c>
      <c r="K2632" t="s">
        <v>96</v>
      </c>
      <c r="L2632" t="s">
        <v>96</v>
      </c>
      <c r="M2632">
        <v>9958.4809999999998</v>
      </c>
      <c r="O2632" s="12" t="str">
        <f t="shared" si="96"/>
        <v>URA</v>
      </c>
      <c r="P2632" s="12" t="str">
        <f t="shared" si="97"/>
        <v>EN_Hy</v>
      </c>
    </row>
    <row r="2633" spans="1:16" x14ac:dyDescent="0.35">
      <c r="A2633" t="s">
        <v>2384</v>
      </c>
      <c r="B2633" t="s">
        <v>81</v>
      </c>
      <c r="C2633" t="s">
        <v>45</v>
      </c>
      <c r="D2633" t="s">
        <v>2787</v>
      </c>
      <c r="E2633" t="s">
        <v>96</v>
      </c>
      <c r="F2633" t="s">
        <v>96</v>
      </c>
      <c r="G2633" t="s">
        <v>96</v>
      </c>
      <c r="H2633">
        <v>2017</v>
      </c>
      <c r="I2633" t="s">
        <v>96</v>
      </c>
      <c r="J2633" t="s">
        <v>97</v>
      </c>
      <c r="K2633" t="s">
        <v>96</v>
      </c>
      <c r="L2633" t="s">
        <v>96</v>
      </c>
      <c r="M2633">
        <v>2570.8006999999998</v>
      </c>
      <c r="O2633" s="12" t="str">
        <f t="shared" si="96"/>
        <v>URA</v>
      </c>
      <c r="P2633" s="12" t="str">
        <f t="shared" si="97"/>
        <v>EN_Hy</v>
      </c>
    </row>
    <row r="2634" spans="1:16" x14ac:dyDescent="0.35">
      <c r="A2634" t="s">
        <v>2384</v>
      </c>
      <c r="B2634" t="s">
        <v>81</v>
      </c>
      <c r="C2634" t="s">
        <v>45</v>
      </c>
      <c r="D2634" t="s">
        <v>2788</v>
      </c>
      <c r="E2634" t="s">
        <v>96</v>
      </c>
      <c r="F2634" t="s">
        <v>96</v>
      </c>
      <c r="G2634" t="s">
        <v>96</v>
      </c>
      <c r="H2634">
        <v>2017</v>
      </c>
      <c r="I2634" t="s">
        <v>96</v>
      </c>
      <c r="J2634" t="s">
        <v>97</v>
      </c>
      <c r="K2634" t="s">
        <v>96</v>
      </c>
      <c r="L2634" t="s">
        <v>96</v>
      </c>
      <c r="M2634">
        <v>4508.6660000000002</v>
      </c>
      <c r="O2634" s="12" t="str">
        <f t="shared" si="96"/>
        <v>URA</v>
      </c>
      <c r="P2634" s="12" t="str">
        <f t="shared" si="97"/>
        <v>EN_Hy</v>
      </c>
    </row>
    <row r="2635" spans="1:16" x14ac:dyDescent="0.35">
      <c r="A2635" t="s">
        <v>2384</v>
      </c>
      <c r="B2635" t="s">
        <v>81</v>
      </c>
      <c r="C2635" t="s">
        <v>45</v>
      </c>
      <c r="D2635" t="s">
        <v>2789</v>
      </c>
      <c r="E2635" t="s">
        <v>96</v>
      </c>
      <c r="F2635" t="s">
        <v>96</v>
      </c>
      <c r="G2635" t="s">
        <v>96</v>
      </c>
      <c r="H2635">
        <v>2017</v>
      </c>
      <c r="I2635" t="s">
        <v>96</v>
      </c>
      <c r="J2635" t="s">
        <v>97</v>
      </c>
      <c r="K2635" t="s">
        <v>96</v>
      </c>
      <c r="L2635" t="s">
        <v>96</v>
      </c>
      <c r="M2635">
        <v>9958.4809999999998</v>
      </c>
      <c r="O2635" s="12" t="str">
        <f t="shared" si="96"/>
        <v>URA</v>
      </c>
      <c r="P2635" s="12" t="str">
        <f t="shared" si="97"/>
        <v>EN_Hy</v>
      </c>
    </row>
    <row r="2636" spans="1:16" x14ac:dyDescent="0.35">
      <c r="A2636" t="s">
        <v>2384</v>
      </c>
      <c r="B2636" t="s">
        <v>81</v>
      </c>
      <c r="C2636" t="s">
        <v>45</v>
      </c>
      <c r="D2636" t="s">
        <v>2790</v>
      </c>
      <c r="E2636" t="s">
        <v>96</v>
      </c>
      <c r="F2636" t="s">
        <v>96</v>
      </c>
      <c r="G2636" t="s">
        <v>96</v>
      </c>
      <c r="H2636">
        <v>2017</v>
      </c>
      <c r="I2636" t="s">
        <v>96</v>
      </c>
      <c r="J2636" t="s">
        <v>97</v>
      </c>
      <c r="K2636" t="s">
        <v>96</v>
      </c>
      <c r="L2636" t="s">
        <v>96</v>
      </c>
      <c r="M2636">
        <v>2570.8006999999998</v>
      </c>
      <c r="O2636" s="12" t="str">
        <f t="shared" si="96"/>
        <v>URA</v>
      </c>
      <c r="P2636" s="12" t="str">
        <f t="shared" si="97"/>
        <v>EN_Hy</v>
      </c>
    </row>
    <row r="2637" spans="1:16" x14ac:dyDescent="0.35">
      <c r="A2637" t="s">
        <v>2384</v>
      </c>
      <c r="B2637" t="s">
        <v>81</v>
      </c>
      <c r="C2637" t="s">
        <v>45</v>
      </c>
      <c r="D2637" t="s">
        <v>2791</v>
      </c>
      <c r="E2637" t="s">
        <v>96</v>
      </c>
      <c r="F2637" t="s">
        <v>96</v>
      </c>
      <c r="G2637" t="s">
        <v>96</v>
      </c>
      <c r="H2637">
        <v>2017</v>
      </c>
      <c r="I2637" t="s">
        <v>96</v>
      </c>
      <c r="J2637" t="s">
        <v>97</v>
      </c>
      <c r="K2637" t="s">
        <v>96</v>
      </c>
      <c r="L2637" t="s">
        <v>96</v>
      </c>
      <c r="M2637">
        <v>4508.6660000000002</v>
      </c>
      <c r="O2637" s="12" t="str">
        <f t="shared" si="96"/>
        <v>URA</v>
      </c>
      <c r="P2637" s="12" t="str">
        <f t="shared" si="97"/>
        <v>EN_Hy</v>
      </c>
    </row>
    <row r="2638" spans="1:16" x14ac:dyDescent="0.35">
      <c r="A2638" t="s">
        <v>2384</v>
      </c>
      <c r="B2638" t="s">
        <v>81</v>
      </c>
      <c r="C2638" t="s">
        <v>45</v>
      </c>
      <c r="D2638" t="s">
        <v>2792</v>
      </c>
      <c r="E2638" t="s">
        <v>96</v>
      </c>
      <c r="F2638" t="s">
        <v>96</v>
      </c>
      <c r="G2638" t="s">
        <v>96</v>
      </c>
      <c r="H2638">
        <v>2017</v>
      </c>
      <c r="I2638" t="s">
        <v>96</v>
      </c>
      <c r="J2638" t="s">
        <v>97</v>
      </c>
      <c r="K2638" t="s">
        <v>96</v>
      </c>
      <c r="L2638" t="s">
        <v>96</v>
      </c>
      <c r="M2638">
        <v>9958.4809999999998</v>
      </c>
      <c r="O2638" s="12" t="str">
        <f t="shared" si="96"/>
        <v>URA</v>
      </c>
      <c r="P2638" s="12" t="str">
        <f t="shared" si="97"/>
        <v>EN_Hy</v>
      </c>
    </row>
    <row r="2639" spans="1:16" x14ac:dyDescent="0.35">
      <c r="A2639" t="s">
        <v>2384</v>
      </c>
      <c r="B2639" t="s">
        <v>81</v>
      </c>
      <c r="C2639" t="s">
        <v>45</v>
      </c>
      <c r="D2639" t="s">
        <v>2793</v>
      </c>
      <c r="E2639" t="s">
        <v>96</v>
      </c>
      <c r="F2639" t="s">
        <v>96</v>
      </c>
      <c r="G2639" t="s">
        <v>96</v>
      </c>
      <c r="H2639">
        <v>2017</v>
      </c>
      <c r="I2639" t="s">
        <v>96</v>
      </c>
      <c r="J2639" t="s">
        <v>97</v>
      </c>
      <c r="K2639" t="s">
        <v>96</v>
      </c>
      <c r="L2639" t="s">
        <v>96</v>
      </c>
      <c r="M2639">
        <v>2570.8006999999998</v>
      </c>
      <c r="O2639" s="12" t="str">
        <f t="shared" si="96"/>
        <v>URA</v>
      </c>
      <c r="P2639" s="12" t="str">
        <f t="shared" si="97"/>
        <v>EN_Hy</v>
      </c>
    </row>
    <row r="2640" spans="1:16" x14ac:dyDescent="0.35">
      <c r="A2640" t="s">
        <v>2384</v>
      </c>
      <c r="B2640" t="s">
        <v>81</v>
      </c>
      <c r="C2640" t="s">
        <v>45</v>
      </c>
      <c r="D2640" t="s">
        <v>2794</v>
      </c>
      <c r="E2640" t="s">
        <v>96</v>
      </c>
      <c r="F2640" t="s">
        <v>96</v>
      </c>
      <c r="G2640" t="s">
        <v>96</v>
      </c>
      <c r="H2640">
        <v>2017</v>
      </c>
      <c r="I2640" t="s">
        <v>96</v>
      </c>
      <c r="J2640" t="s">
        <v>97</v>
      </c>
      <c r="K2640" t="s">
        <v>96</v>
      </c>
      <c r="L2640" t="s">
        <v>96</v>
      </c>
      <c r="M2640">
        <v>4508.6660000000002</v>
      </c>
      <c r="O2640" s="12" t="str">
        <f t="shared" si="96"/>
        <v>URA</v>
      </c>
      <c r="P2640" s="12" t="str">
        <f t="shared" si="97"/>
        <v>EN_Hy</v>
      </c>
    </row>
    <row r="2641" spans="1:16" x14ac:dyDescent="0.35">
      <c r="A2641" t="s">
        <v>2384</v>
      </c>
      <c r="B2641" t="s">
        <v>81</v>
      </c>
      <c r="C2641" t="s">
        <v>45</v>
      </c>
      <c r="D2641" t="s">
        <v>2795</v>
      </c>
      <c r="E2641" t="s">
        <v>96</v>
      </c>
      <c r="F2641" t="s">
        <v>96</v>
      </c>
      <c r="G2641" t="s">
        <v>96</v>
      </c>
      <c r="H2641">
        <v>2017</v>
      </c>
      <c r="I2641" t="s">
        <v>96</v>
      </c>
      <c r="J2641" t="s">
        <v>97</v>
      </c>
      <c r="K2641" t="s">
        <v>96</v>
      </c>
      <c r="L2641" t="s">
        <v>96</v>
      </c>
      <c r="M2641">
        <v>9958.4809999999998</v>
      </c>
      <c r="O2641" s="12" t="str">
        <f t="shared" si="96"/>
        <v>URA</v>
      </c>
      <c r="P2641" s="12" t="str">
        <f t="shared" si="97"/>
        <v>EN_Hy</v>
      </c>
    </row>
    <row r="2642" spans="1:16" x14ac:dyDescent="0.35">
      <c r="A2642" t="s">
        <v>2384</v>
      </c>
      <c r="B2642" t="s">
        <v>81</v>
      </c>
      <c r="C2642" t="s">
        <v>45</v>
      </c>
      <c r="D2642" t="s">
        <v>2796</v>
      </c>
      <c r="E2642" t="s">
        <v>96</v>
      </c>
      <c r="F2642" t="s">
        <v>96</v>
      </c>
      <c r="G2642" t="s">
        <v>96</v>
      </c>
      <c r="H2642">
        <v>2017</v>
      </c>
      <c r="I2642" t="s">
        <v>96</v>
      </c>
      <c r="J2642" t="s">
        <v>97</v>
      </c>
      <c r="K2642" t="s">
        <v>96</v>
      </c>
      <c r="L2642" t="s">
        <v>96</v>
      </c>
      <c r="M2642">
        <v>2570.8006999999998</v>
      </c>
      <c r="O2642" s="12" t="str">
        <f t="shared" si="96"/>
        <v>URA</v>
      </c>
      <c r="P2642" s="12" t="str">
        <f t="shared" si="97"/>
        <v>EN_Hy</v>
      </c>
    </row>
    <row r="2643" spans="1:16" x14ac:dyDescent="0.35">
      <c r="A2643" t="s">
        <v>2384</v>
      </c>
      <c r="B2643" t="s">
        <v>81</v>
      </c>
      <c r="C2643" t="s">
        <v>45</v>
      </c>
      <c r="D2643" t="s">
        <v>2797</v>
      </c>
      <c r="E2643" t="s">
        <v>96</v>
      </c>
      <c r="F2643" t="s">
        <v>96</v>
      </c>
      <c r="G2643" t="s">
        <v>96</v>
      </c>
      <c r="H2643">
        <v>2017</v>
      </c>
      <c r="I2643" t="s">
        <v>96</v>
      </c>
      <c r="J2643" t="s">
        <v>97</v>
      </c>
      <c r="K2643" t="s">
        <v>96</v>
      </c>
      <c r="L2643" t="s">
        <v>96</v>
      </c>
      <c r="M2643">
        <v>4508.6660000000002</v>
      </c>
      <c r="O2643" s="12" t="str">
        <f t="shared" si="96"/>
        <v>URA</v>
      </c>
      <c r="P2643" s="12" t="str">
        <f t="shared" si="97"/>
        <v>EN_Hy</v>
      </c>
    </row>
    <row r="2644" spans="1:16" x14ac:dyDescent="0.35">
      <c r="A2644" t="s">
        <v>2384</v>
      </c>
      <c r="B2644" t="s">
        <v>81</v>
      </c>
      <c r="C2644" t="s">
        <v>45</v>
      </c>
      <c r="D2644" t="s">
        <v>2798</v>
      </c>
      <c r="E2644" t="s">
        <v>96</v>
      </c>
      <c r="F2644" t="s">
        <v>96</v>
      </c>
      <c r="G2644" t="s">
        <v>96</v>
      </c>
      <c r="H2644">
        <v>2017</v>
      </c>
      <c r="I2644" t="s">
        <v>96</v>
      </c>
      <c r="J2644" t="s">
        <v>97</v>
      </c>
      <c r="K2644" t="s">
        <v>96</v>
      </c>
      <c r="L2644" t="s">
        <v>96</v>
      </c>
      <c r="M2644">
        <v>9958.4809999999998</v>
      </c>
      <c r="O2644" s="12" t="str">
        <f t="shared" si="96"/>
        <v>URA</v>
      </c>
      <c r="P2644" s="12" t="str">
        <f t="shared" si="97"/>
        <v>EN_Hy</v>
      </c>
    </row>
    <row r="2645" spans="1:16" x14ac:dyDescent="0.35">
      <c r="A2645" t="s">
        <v>2384</v>
      </c>
      <c r="B2645" t="s">
        <v>81</v>
      </c>
      <c r="C2645" t="s">
        <v>45</v>
      </c>
      <c r="D2645" t="s">
        <v>2799</v>
      </c>
      <c r="E2645" t="s">
        <v>96</v>
      </c>
      <c r="F2645" t="s">
        <v>96</v>
      </c>
      <c r="G2645" t="s">
        <v>96</v>
      </c>
      <c r="H2645">
        <v>2017</v>
      </c>
      <c r="I2645" t="s">
        <v>96</v>
      </c>
      <c r="J2645" t="s">
        <v>97</v>
      </c>
      <c r="K2645" t="s">
        <v>96</v>
      </c>
      <c r="L2645" t="s">
        <v>96</v>
      </c>
      <c r="M2645">
        <v>2570.8006999999998</v>
      </c>
      <c r="O2645" s="12" t="str">
        <f t="shared" si="96"/>
        <v>URA</v>
      </c>
      <c r="P2645" s="12" t="str">
        <f t="shared" si="97"/>
        <v>EN_Hy</v>
      </c>
    </row>
    <row r="2646" spans="1:16" x14ac:dyDescent="0.35">
      <c r="A2646" t="s">
        <v>2384</v>
      </c>
      <c r="B2646" t="s">
        <v>81</v>
      </c>
      <c r="C2646" t="s">
        <v>45</v>
      </c>
      <c r="D2646" t="s">
        <v>2800</v>
      </c>
      <c r="E2646" t="s">
        <v>96</v>
      </c>
      <c r="F2646" t="s">
        <v>96</v>
      </c>
      <c r="G2646" t="s">
        <v>96</v>
      </c>
      <c r="H2646">
        <v>2017</v>
      </c>
      <c r="I2646" t="s">
        <v>96</v>
      </c>
      <c r="J2646" t="s">
        <v>97</v>
      </c>
      <c r="K2646" t="s">
        <v>96</v>
      </c>
      <c r="L2646" t="s">
        <v>96</v>
      </c>
      <c r="M2646">
        <v>4508.6660000000002</v>
      </c>
      <c r="O2646" s="12" t="str">
        <f t="shared" si="96"/>
        <v>URA</v>
      </c>
      <c r="P2646" s="12" t="str">
        <f t="shared" si="97"/>
        <v>EN_Hy</v>
      </c>
    </row>
    <row r="2647" spans="1:16" x14ac:dyDescent="0.35">
      <c r="A2647" t="s">
        <v>2384</v>
      </c>
      <c r="B2647" t="s">
        <v>81</v>
      </c>
      <c r="C2647" t="s">
        <v>45</v>
      </c>
      <c r="D2647" t="s">
        <v>2801</v>
      </c>
      <c r="E2647" t="s">
        <v>96</v>
      </c>
      <c r="F2647" t="s">
        <v>96</v>
      </c>
      <c r="G2647" t="s">
        <v>96</v>
      </c>
      <c r="H2647">
        <v>2017</v>
      </c>
      <c r="I2647" t="s">
        <v>96</v>
      </c>
      <c r="J2647" t="s">
        <v>97</v>
      </c>
      <c r="K2647" t="s">
        <v>96</v>
      </c>
      <c r="L2647" t="s">
        <v>96</v>
      </c>
      <c r="M2647">
        <v>9958.4809999999998</v>
      </c>
      <c r="O2647" s="12" t="str">
        <f t="shared" si="96"/>
        <v>URA</v>
      </c>
      <c r="P2647" s="12" t="str">
        <f t="shared" si="97"/>
        <v>EN_Hy</v>
      </c>
    </row>
    <row r="2648" spans="1:16" x14ac:dyDescent="0.35">
      <c r="A2648" t="s">
        <v>2384</v>
      </c>
      <c r="B2648" t="s">
        <v>81</v>
      </c>
      <c r="C2648" t="s">
        <v>45</v>
      </c>
      <c r="D2648" t="s">
        <v>2802</v>
      </c>
      <c r="E2648" t="s">
        <v>96</v>
      </c>
      <c r="F2648" t="s">
        <v>96</v>
      </c>
      <c r="G2648" t="s">
        <v>96</v>
      </c>
      <c r="H2648">
        <v>2017</v>
      </c>
      <c r="I2648" t="s">
        <v>96</v>
      </c>
      <c r="J2648" t="s">
        <v>97</v>
      </c>
      <c r="K2648" t="s">
        <v>96</v>
      </c>
      <c r="L2648" t="s">
        <v>96</v>
      </c>
      <c r="M2648">
        <v>2570.8006999999998</v>
      </c>
      <c r="O2648" s="12" t="str">
        <f t="shared" si="96"/>
        <v>URA</v>
      </c>
      <c r="P2648" s="12" t="str">
        <f t="shared" si="97"/>
        <v>EN_Hy</v>
      </c>
    </row>
    <row r="2649" spans="1:16" x14ac:dyDescent="0.35">
      <c r="A2649" t="s">
        <v>2384</v>
      </c>
      <c r="B2649" t="s">
        <v>81</v>
      </c>
      <c r="C2649" t="s">
        <v>45</v>
      </c>
      <c r="D2649" t="s">
        <v>2803</v>
      </c>
      <c r="E2649" t="s">
        <v>96</v>
      </c>
      <c r="F2649" t="s">
        <v>96</v>
      </c>
      <c r="G2649" t="s">
        <v>96</v>
      </c>
      <c r="H2649">
        <v>2017</v>
      </c>
      <c r="I2649" t="s">
        <v>96</v>
      </c>
      <c r="J2649" t="s">
        <v>97</v>
      </c>
      <c r="K2649" t="s">
        <v>96</v>
      </c>
      <c r="L2649" t="s">
        <v>96</v>
      </c>
      <c r="M2649">
        <v>4508.6660000000002</v>
      </c>
      <c r="O2649" s="12" t="str">
        <f t="shared" si="96"/>
        <v>URA</v>
      </c>
      <c r="P2649" s="12" t="str">
        <f t="shared" si="97"/>
        <v>EN_Hy</v>
      </c>
    </row>
    <row r="2650" spans="1:16" x14ac:dyDescent="0.35">
      <c r="A2650" t="s">
        <v>2384</v>
      </c>
      <c r="B2650" t="s">
        <v>81</v>
      </c>
      <c r="C2650" t="s">
        <v>45</v>
      </c>
      <c r="D2650" t="s">
        <v>2804</v>
      </c>
      <c r="E2650" t="s">
        <v>96</v>
      </c>
      <c r="F2650" t="s">
        <v>96</v>
      </c>
      <c r="G2650" t="s">
        <v>96</v>
      </c>
      <c r="H2650">
        <v>2017</v>
      </c>
      <c r="I2650" t="s">
        <v>96</v>
      </c>
      <c r="J2650" t="s">
        <v>97</v>
      </c>
      <c r="K2650" t="s">
        <v>96</v>
      </c>
      <c r="L2650" t="s">
        <v>96</v>
      </c>
      <c r="M2650">
        <v>9958.4809999999998</v>
      </c>
      <c r="O2650" s="12" t="str">
        <f t="shared" si="96"/>
        <v>URA</v>
      </c>
      <c r="P2650" s="12" t="str">
        <f t="shared" si="97"/>
        <v>EN_Hy</v>
      </c>
    </row>
    <row r="2651" spans="1:16" x14ac:dyDescent="0.35">
      <c r="A2651" t="s">
        <v>2384</v>
      </c>
      <c r="B2651" t="s">
        <v>81</v>
      </c>
      <c r="C2651" t="s">
        <v>45</v>
      </c>
      <c r="D2651" t="s">
        <v>2805</v>
      </c>
      <c r="E2651" t="s">
        <v>96</v>
      </c>
      <c r="F2651" t="s">
        <v>96</v>
      </c>
      <c r="G2651" t="s">
        <v>96</v>
      </c>
      <c r="H2651">
        <v>2017</v>
      </c>
      <c r="I2651" t="s">
        <v>96</v>
      </c>
      <c r="J2651" t="s">
        <v>97</v>
      </c>
      <c r="K2651" t="s">
        <v>96</v>
      </c>
      <c r="L2651" t="s">
        <v>96</v>
      </c>
      <c r="M2651">
        <v>2570.8006999999998</v>
      </c>
      <c r="O2651" s="12" t="str">
        <f t="shared" si="96"/>
        <v>URA</v>
      </c>
      <c r="P2651" s="12" t="str">
        <f t="shared" si="97"/>
        <v>EN_Hy</v>
      </c>
    </row>
    <row r="2652" spans="1:16" x14ac:dyDescent="0.35">
      <c r="A2652" t="s">
        <v>2384</v>
      </c>
      <c r="B2652" t="s">
        <v>81</v>
      </c>
      <c r="C2652" t="s">
        <v>45</v>
      </c>
      <c r="D2652" t="s">
        <v>2806</v>
      </c>
      <c r="E2652" t="s">
        <v>96</v>
      </c>
      <c r="F2652" t="s">
        <v>96</v>
      </c>
      <c r="G2652" t="s">
        <v>96</v>
      </c>
      <c r="H2652">
        <v>2017</v>
      </c>
      <c r="I2652" t="s">
        <v>96</v>
      </c>
      <c r="J2652" t="s">
        <v>97</v>
      </c>
      <c r="K2652" t="s">
        <v>96</v>
      </c>
      <c r="L2652" t="s">
        <v>96</v>
      </c>
      <c r="M2652">
        <v>4508.6660000000002</v>
      </c>
      <c r="O2652" s="12" t="str">
        <f t="shared" si="96"/>
        <v>URA</v>
      </c>
      <c r="P2652" s="12" t="str">
        <f t="shared" si="97"/>
        <v>EN_Hy</v>
      </c>
    </row>
    <row r="2653" spans="1:16" x14ac:dyDescent="0.35">
      <c r="A2653" t="s">
        <v>2384</v>
      </c>
      <c r="B2653" t="s">
        <v>81</v>
      </c>
      <c r="C2653" t="s">
        <v>45</v>
      </c>
      <c r="D2653" t="s">
        <v>2807</v>
      </c>
      <c r="E2653" t="s">
        <v>96</v>
      </c>
      <c r="F2653" t="s">
        <v>96</v>
      </c>
      <c r="G2653" t="s">
        <v>96</v>
      </c>
      <c r="H2653">
        <v>2017</v>
      </c>
      <c r="I2653" t="s">
        <v>96</v>
      </c>
      <c r="J2653" t="s">
        <v>97</v>
      </c>
      <c r="K2653" t="s">
        <v>96</v>
      </c>
      <c r="L2653" t="s">
        <v>96</v>
      </c>
      <c r="M2653">
        <v>9958.4809999999998</v>
      </c>
      <c r="O2653" s="12" t="str">
        <f t="shared" si="96"/>
        <v>URA</v>
      </c>
      <c r="P2653" s="12" t="str">
        <f t="shared" si="97"/>
        <v>EN_Hy</v>
      </c>
    </row>
    <row r="2654" spans="1:16" x14ac:dyDescent="0.35">
      <c r="A2654" t="s">
        <v>2384</v>
      </c>
      <c r="B2654" t="s">
        <v>81</v>
      </c>
      <c r="C2654" t="s">
        <v>45</v>
      </c>
      <c r="D2654" t="s">
        <v>2808</v>
      </c>
      <c r="E2654" t="s">
        <v>96</v>
      </c>
      <c r="F2654" t="s">
        <v>96</v>
      </c>
      <c r="G2654" t="s">
        <v>96</v>
      </c>
      <c r="H2654">
        <v>2017</v>
      </c>
      <c r="I2654" t="s">
        <v>96</v>
      </c>
      <c r="J2654" t="s">
        <v>97</v>
      </c>
      <c r="K2654" t="s">
        <v>96</v>
      </c>
      <c r="L2654" t="s">
        <v>96</v>
      </c>
      <c r="M2654">
        <v>2165.5359440000002</v>
      </c>
      <c r="O2654" s="12" t="str">
        <f t="shared" si="96"/>
        <v>URA</v>
      </c>
      <c r="P2654" s="12" t="str">
        <f t="shared" si="97"/>
        <v>EN_Hy</v>
      </c>
    </row>
    <row r="2655" spans="1:16" x14ac:dyDescent="0.35">
      <c r="A2655" t="s">
        <v>2384</v>
      </c>
      <c r="B2655" t="s">
        <v>81</v>
      </c>
      <c r="C2655" t="s">
        <v>45</v>
      </c>
      <c r="D2655" t="s">
        <v>2809</v>
      </c>
      <c r="E2655" t="s">
        <v>96</v>
      </c>
      <c r="F2655" t="s">
        <v>96</v>
      </c>
      <c r="G2655" t="s">
        <v>96</v>
      </c>
      <c r="H2655">
        <v>2017</v>
      </c>
      <c r="I2655" t="s">
        <v>96</v>
      </c>
      <c r="J2655" t="s">
        <v>97</v>
      </c>
      <c r="K2655" t="s">
        <v>96</v>
      </c>
      <c r="L2655" t="s">
        <v>96</v>
      </c>
      <c r="M2655">
        <v>3746.1780800000001</v>
      </c>
      <c r="O2655" s="12" t="str">
        <f t="shared" si="96"/>
        <v>URA</v>
      </c>
      <c r="P2655" s="12" t="str">
        <f t="shared" si="97"/>
        <v>EN_Hy</v>
      </c>
    </row>
    <row r="2656" spans="1:16" x14ac:dyDescent="0.35">
      <c r="A2656" t="s">
        <v>2384</v>
      </c>
      <c r="B2656" t="s">
        <v>81</v>
      </c>
      <c r="C2656" t="s">
        <v>45</v>
      </c>
      <c r="D2656" t="s">
        <v>2810</v>
      </c>
      <c r="E2656" t="s">
        <v>96</v>
      </c>
      <c r="F2656" t="s">
        <v>96</v>
      </c>
      <c r="G2656" t="s">
        <v>96</v>
      </c>
      <c r="H2656">
        <v>2017</v>
      </c>
      <c r="I2656" t="s">
        <v>96</v>
      </c>
      <c r="J2656" t="s">
        <v>97</v>
      </c>
      <c r="K2656" t="s">
        <v>96</v>
      </c>
      <c r="L2656" t="s">
        <v>96</v>
      </c>
      <c r="M2656">
        <v>10047.99944</v>
      </c>
      <c r="O2656" s="12" t="str">
        <f t="shared" si="96"/>
        <v>URA</v>
      </c>
      <c r="P2656" s="12" t="str">
        <f t="shared" si="97"/>
        <v>EN_Hy</v>
      </c>
    </row>
    <row r="2657" spans="1:16" x14ac:dyDescent="0.35">
      <c r="A2657" t="s">
        <v>2384</v>
      </c>
      <c r="B2657" t="s">
        <v>81</v>
      </c>
      <c r="C2657" t="s">
        <v>45</v>
      </c>
      <c r="D2657" t="s">
        <v>2811</v>
      </c>
      <c r="E2657" t="s">
        <v>96</v>
      </c>
      <c r="F2657" t="s">
        <v>96</v>
      </c>
      <c r="G2657" t="s">
        <v>96</v>
      </c>
      <c r="H2657">
        <v>2017</v>
      </c>
      <c r="I2657" t="s">
        <v>96</v>
      </c>
      <c r="J2657" t="s">
        <v>97</v>
      </c>
      <c r="K2657" t="s">
        <v>96</v>
      </c>
      <c r="L2657" t="s">
        <v>96</v>
      </c>
      <c r="M2657">
        <v>2570.8006999999998</v>
      </c>
      <c r="O2657" s="12" t="str">
        <f t="shared" si="96"/>
        <v>URA</v>
      </c>
      <c r="P2657" s="12" t="str">
        <f t="shared" si="97"/>
        <v>EN_Hy</v>
      </c>
    </row>
    <row r="2658" spans="1:16" x14ac:dyDescent="0.35">
      <c r="A2658" t="s">
        <v>2384</v>
      </c>
      <c r="B2658" t="s">
        <v>81</v>
      </c>
      <c r="C2658" t="s">
        <v>45</v>
      </c>
      <c r="D2658" t="s">
        <v>2812</v>
      </c>
      <c r="E2658" t="s">
        <v>96</v>
      </c>
      <c r="F2658" t="s">
        <v>96</v>
      </c>
      <c r="G2658" t="s">
        <v>96</v>
      </c>
      <c r="H2658">
        <v>2017</v>
      </c>
      <c r="I2658" t="s">
        <v>96</v>
      </c>
      <c r="J2658" t="s">
        <v>97</v>
      </c>
      <c r="K2658" t="s">
        <v>96</v>
      </c>
      <c r="L2658" t="s">
        <v>96</v>
      </c>
      <c r="M2658">
        <v>4508.6660000000002</v>
      </c>
      <c r="O2658" s="12" t="str">
        <f t="shared" si="96"/>
        <v>URA</v>
      </c>
      <c r="P2658" s="12" t="str">
        <f t="shared" si="97"/>
        <v>EN_Hy</v>
      </c>
    </row>
    <row r="2659" spans="1:16" x14ac:dyDescent="0.35">
      <c r="A2659" t="s">
        <v>2384</v>
      </c>
      <c r="B2659" t="s">
        <v>81</v>
      </c>
      <c r="C2659" t="s">
        <v>45</v>
      </c>
      <c r="D2659" t="s">
        <v>2813</v>
      </c>
      <c r="E2659" t="s">
        <v>96</v>
      </c>
      <c r="F2659" t="s">
        <v>96</v>
      </c>
      <c r="G2659" t="s">
        <v>96</v>
      </c>
      <c r="H2659">
        <v>2017</v>
      </c>
      <c r="I2659" t="s">
        <v>96</v>
      </c>
      <c r="J2659" t="s">
        <v>97</v>
      </c>
      <c r="K2659" t="s">
        <v>96</v>
      </c>
      <c r="L2659" t="s">
        <v>96</v>
      </c>
      <c r="M2659">
        <v>9958.4809999999998</v>
      </c>
      <c r="O2659" s="12" t="str">
        <f t="shared" si="96"/>
        <v>URA</v>
      </c>
      <c r="P2659" s="12" t="str">
        <f t="shared" si="97"/>
        <v>EN_Hy</v>
      </c>
    </row>
    <row r="2660" spans="1:16" x14ac:dyDescent="0.35">
      <c r="A2660" t="s">
        <v>2384</v>
      </c>
      <c r="B2660" t="s">
        <v>81</v>
      </c>
      <c r="C2660" t="s">
        <v>45</v>
      </c>
      <c r="D2660" t="s">
        <v>2814</v>
      </c>
      <c r="E2660" t="s">
        <v>96</v>
      </c>
      <c r="F2660" t="s">
        <v>96</v>
      </c>
      <c r="G2660" t="s">
        <v>96</v>
      </c>
      <c r="H2660">
        <v>2017</v>
      </c>
      <c r="I2660" t="s">
        <v>96</v>
      </c>
      <c r="J2660" t="s">
        <v>97</v>
      </c>
      <c r="K2660" t="s">
        <v>96</v>
      </c>
      <c r="L2660" t="s">
        <v>96</v>
      </c>
      <c r="M2660">
        <v>2570.8006999999998</v>
      </c>
      <c r="O2660" s="12" t="str">
        <f t="shared" si="96"/>
        <v>URA</v>
      </c>
      <c r="P2660" s="12" t="str">
        <f t="shared" si="97"/>
        <v>EN_Hy</v>
      </c>
    </row>
    <row r="2661" spans="1:16" x14ac:dyDescent="0.35">
      <c r="A2661" t="s">
        <v>2384</v>
      </c>
      <c r="B2661" t="s">
        <v>81</v>
      </c>
      <c r="C2661" t="s">
        <v>45</v>
      </c>
      <c r="D2661" t="s">
        <v>2815</v>
      </c>
      <c r="E2661" t="s">
        <v>96</v>
      </c>
      <c r="F2661" t="s">
        <v>96</v>
      </c>
      <c r="G2661" t="s">
        <v>96</v>
      </c>
      <c r="H2661">
        <v>2017</v>
      </c>
      <c r="I2661" t="s">
        <v>96</v>
      </c>
      <c r="J2661" t="s">
        <v>97</v>
      </c>
      <c r="K2661" t="s">
        <v>96</v>
      </c>
      <c r="L2661" t="s">
        <v>96</v>
      </c>
      <c r="M2661">
        <v>4508.6660000000002</v>
      </c>
      <c r="O2661" s="12" t="str">
        <f t="shared" si="96"/>
        <v>URA</v>
      </c>
      <c r="P2661" s="12" t="str">
        <f t="shared" si="97"/>
        <v>EN_Hy</v>
      </c>
    </row>
    <row r="2662" spans="1:16" x14ac:dyDescent="0.35">
      <c r="A2662" t="s">
        <v>2384</v>
      </c>
      <c r="B2662" t="s">
        <v>81</v>
      </c>
      <c r="C2662" t="s">
        <v>45</v>
      </c>
      <c r="D2662" t="s">
        <v>2816</v>
      </c>
      <c r="E2662" t="s">
        <v>96</v>
      </c>
      <c r="F2662" t="s">
        <v>96</v>
      </c>
      <c r="G2662" t="s">
        <v>96</v>
      </c>
      <c r="H2662">
        <v>2017</v>
      </c>
      <c r="I2662" t="s">
        <v>96</v>
      </c>
      <c r="J2662" t="s">
        <v>97</v>
      </c>
      <c r="K2662" t="s">
        <v>96</v>
      </c>
      <c r="L2662" t="s">
        <v>96</v>
      </c>
      <c r="M2662">
        <v>9958.4809999999998</v>
      </c>
      <c r="O2662" s="12" t="str">
        <f t="shared" si="96"/>
        <v>URA</v>
      </c>
      <c r="P2662" s="12" t="str">
        <f t="shared" si="97"/>
        <v>EN_Hy</v>
      </c>
    </row>
    <row r="2663" spans="1:16" x14ac:dyDescent="0.35">
      <c r="A2663" t="s">
        <v>2384</v>
      </c>
      <c r="B2663" t="s">
        <v>81</v>
      </c>
      <c r="C2663" t="s">
        <v>45</v>
      </c>
      <c r="D2663" t="s">
        <v>2817</v>
      </c>
      <c r="E2663" t="s">
        <v>96</v>
      </c>
      <c r="F2663" t="s">
        <v>96</v>
      </c>
      <c r="G2663" t="s">
        <v>96</v>
      </c>
      <c r="H2663">
        <v>2017</v>
      </c>
      <c r="I2663" t="s">
        <v>96</v>
      </c>
      <c r="J2663" t="s">
        <v>97</v>
      </c>
      <c r="K2663" t="s">
        <v>96</v>
      </c>
      <c r="L2663" t="s">
        <v>96</v>
      </c>
      <c r="M2663">
        <v>3125</v>
      </c>
      <c r="O2663" s="12" t="str">
        <f t="shared" si="96"/>
        <v>URA</v>
      </c>
      <c r="P2663" s="12" t="str">
        <f t="shared" si="97"/>
        <v>EN_Hy</v>
      </c>
    </row>
    <row r="2664" spans="1:16" x14ac:dyDescent="0.35">
      <c r="A2664" t="s">
        <v>2384</v>
      </c>
      <c r="B2664" t="s">
        <v>81</v>
      </c>
      <c r="C2664" t="s">
        <v>45</v>
      </c>
      <c r="D2664" t="s">
        <v>2818</v>
      </c>
      <c r="E2664" t="s">
        <v>96</v>
      </c>
      <c r="F2664" t="s">
        <v>96</v>
      </c>
      <c r="G2664" t="s">
        <v>96</v>
      </c>
      <c r="H2664">
        <v>2017</v>
      </c>
      <c r="I2664" t="s">
        <v>96</v>
      </c>
      <c r="J2664" t="s">
        <v>97</v>
      </c>
      <c r="K2664" t="s">
        <v>96</v>
      </c>
      <c r="L2664" t="s">
        <v>96</v>
      </c>
      <c r="M2664">
        <v>5726</v>
      </c>
      <c r="O2664" s="12" t="str">
        <f t="shared" si="96"/>
        <v>URA</v>
      </c>
      <c r="P2664" s="12" t="str">
        <f t="shared" si="97"/>
        <v>EN_Hy</v>
      </c>
    </row>
    <row r="2665" spans="1:16" x14ac:dyDescent="0.35">
      <c r="A2665" t="s">
        <v>2384</v>
      </c>
      <c r="B2665" t="s">
        <v>81</v>
      </c>
      <c r="C2665" t="s">
        <v>45</v>
      </c>
      <c r="D2665" t="s">
        <v>2819</v>
      </c>
      <c r="E2665" t="s">
        <v>96</v>
      </c>
      <c r="F2665" t="s">
        <v>96</v>
      </c>
      <c r="G2665" t="s">
        <v>96</v>
      </c>
      <c r="H2665">
        <v>2017</v>
      </c>
      <c r="I2665" t="s">
        <v>96</v>
      </c>
      <c r="J2665" t="s">
        <v>97</v>
      </c>
      <c r="K2665" t="s">
        <v>96</v>
      </c>
      <c r="L2665" t="s">
        <v>96</v>
      </c>
      <c r="M2665">
        <v>8566</v>
      </c>
      <c r="O2665" s="12" t="str">
        <f t="shared" si="96"/>
        <v>URA</v>
      </c>
      <c r="P2665" s="12" t="str">
        <f t="shared" si="97"/>
        <v>EN_Hy</v>
      </c>
    </row>
    <row r="2666" spans="1:16" x14ac:dyDescent="0.35">
      <c r="A2666" t="s">
        <v>2384</v>
      </c>
      <c r="B2666" t="s">
        <v>81</v>
      </c>
      <c r="C2666" t="s">
        <v>45</v>
      </c>
      <c r="D2666" t="s">
        <v>2820</v>
      </c>
      <c r="E2666" t="s">
        <v>96</v>
      </c>
      <c r="F2666" t="s">
        <v>96</v>
      </c>
      <c r="G2666" t="s">
        <v>96</v>
      </c>
      <c r="H2666">
        <v>2017</v>
      </c>
      <c r="I2666" t="s">
        <v>96</v>
      </c>
      <c r="J2666" t="s">
        <v>97</v>
      </c>
      <c r="K2666" t="s">
        <v>96</v>
      </c>
      <c r="L2666" t="s">
        <v>96</v>
      </c>
      <c r="M2666">
        <v>2570.8006999999998</v>
      </c>
      <c r="O2666" s="12" t="str">
        <f t="shared" si="96"/>
        <v>URA</v>
      </c>
      <c r="P2666" s="12" t="str">
        <f t="shared" si="97"/>
        <v>EN_Hy</v>
      </c>
    </row>
    <row r="2667" spans="1:16" x14ac:dyDescent="0.35">
      <c r="A2667" t="s">
        <v>2384</v>
      </c>
      <c r="B2667" t="s">
        <v>81</v>
      </c>
      <c r="C2667" t="s">
        <v>45</v>
      </c>
      <c r="D2667" t="s">
        <v>2821</v>
      </c>
      <c r="E2667" t="s">
        <v>96</v>
      </c>
      <c r="F2667" t="s">
        <v>96</v>
      </c>
      <c r="G2667" t="s">
        <v>96</v>
      </c>
      <c r="H2667">
        <v>2017</v>
      </c>
      <c r="I2667" t="s">
        <v>96</v>
      </c>
      <c r="J2667" t="s">
        <v>97</v>
      </c>
      <c r="K2667" t="s">
        <v>96</v>
      </c>
      <c r="L2667" t="s">
        <v>96</v>
      </c>
      <c r="M2667">
        <v>4508.6660000000002</v>
      </c>
      <c r="O2667" s="12" t="str">
        <f t="shared" si="96"/>
        <v>URA</v>
      </c>
      <c r="P2667" s="12" t="str">
        <f t="shared" si="97"/>
        <v>EN_Hy</v>
      </c>
    </row>
    <row r="2668" spans="1:16" x14ac:dyDescent="0.35">
      <c r="A2668" t="s">
        <v>2384</v>
      </c>
      <c r="B2668" t="s">
        <v>81</v>
      </c>
      <c r="C2668" t="s">
        <v>45</v>
      </c>
      <c r="D2668" t="s">
        <v>2822</v>
      </c>
      <c r="E2668" t="s">
        <v>96</v>
      </c>
      <c r="F2668" t="s">
        <v>96</v>
      </c>
      <c r="G2668" t="s">
        <v>96</v>
      </c>
      <c r="H2668">
        <v>2017</v>
      </c>
      <c r="I2668" t="s">
        <v>96</v>
      </c>
      <c r="J2668" t="s">
        <v>97</v>
      </c>
      <c r="K2668" t="s">
        <v>96</v>
      </c>
      <c r="L2668" t="s">
        <v>96</v>
      </c>
      <c r="M2668">
        <v>9958.4809999999998</v>
      </c>
      <c r="O2668" s="12" t="str">
        <f t="shared" si="96"/>
        <v>URA</v>
      </c>
      <c r="P2668" s="12" t="str">
        <f t="shared" si="97"/>
        <v>EN_Hy</v>
      </c>
    </row>
    <row r="2669" spans="1:16" x14ac:dyDescent="0.35">
      <c r="A2669" t="s">
        <v>2384</v>
      </c>
      <c r="B2669" t="s">
        <v>81</v>
      </c>
      <c r="C2669" t="s">
        <v>45</v>
      </c>
      <c r="D2669" t="s">
        <v>2823</v>
      </c>
      <c r="E2669" t="s">
        <v>96</v>
      </c>
      <c r="F2669" t="s">
        <v>96</v>
      </c>
      <c r="G2669" t="s">
        <v>96</v>
      </c>
      <c r="H2669">
        <v>2017</v>
      </c>
      <c r="I2669" t="s">
        <v>96</v>
      </c>
      <c r="J2669" t="s">
        <v>97</v>
      </c>
      <c r="K2669" t="s">
        <v>96</v>
      </c>
      <c r="L2669" t="s">
        <v>96</v>
      </c>
      <c r="M2669">
        <v>2570.8006999999998</v>
      </c>
      <c r="O2669" s="12" t="str">
        <f t="shared" si="96"/>
        <v>URA</v>
      </c>
      <c r="P2669" s="12" t="str">
        <f t="shared" si="97"/>
        <v>EN_Hy</v>
      </c>
    </row>
    <row r="2670" spans="1:16" x14ac:dyDescent="0.35">
      <c r="A2670" t="s">
        <v>2384</v>
      </c>
      <c r="B2670" t="s">
        <v>81</v>
      </c>
      <c r="C2670" t="s">
        <v>45</v>
      </c>
      <c r="D2670" t="s">
        <v>2824</v>
      </c>
      <c r="E2670" t="s">
        <v>96</v>
      </c>
      <c r="F2670" t="s">
        <v>96</v>
      </c>
      <c r="G2670" t="s">
        <v>96</v>
      </c>
      <c r="H2670">
        <v>2017</v>
      </c>
      <c r="I2670" t="s">
        <v>96</v>
      </c>
      <c r="J2670" t="s">
        <v>97</v>
      </c>
      <c r="K2670" t="s">
        <v>96</v>
      </c>
      <c r="L2670" t="s">
        <v>96</v>
      </c>
      <c r="M2670">
        <v>4508.6660000000002</v>
      </c>
      <c r="O2670" s="12" t="str">
        <f t="shared" si="96"/>
        <v>URA</v>
      </c>
      <c r="P2670" s="12" t="str">
        <f t="shared" si="97"/>
        <v>EN_Hy</v>
      </c>
    </row>
    <row r="2671" spans="1:16" x14ac:dyDescent="0.35">
      <c r="A2671" t="s">
        <v>2384</v>
      </c>
      <c r="B2671" t="s">
        <v>81</v>
      </c>
      <c r="C2671" t="s">
        <v>45</v>
      </c>
      <c r="D2671" t="s">
        <v>2825</v>
      </c>
      <c r="E2671" t="s">
        <v>96</v>
      </c>
      <c r="F2671" t="s">
        <v>96</v>
      </c>
      <c r="G2671" t="s">
        <v>96</v>
      </c>
      <c r="H2671">
        <v>2017</v>
      </c>
      <c r="I2671" t="s">
        <v>96</v>
      </c>
      <c r="J2671" t="s">
        <v>97</v>
      </c>
      <c r="K2671" t="s">
        <v>96</v>
      </c>
      <c r="L2671" t="s">
        <v>96</v>
      </c>
      <c r="M2671">
        <v>9958.4809999999998</v>
      </c>
      <c r="O2671" s="12" t="str">
        <f t="shared" si="96"/>
        <v>URA</v>
      </c>
      <c r="P2671" s="12" t="str">
        <f t="shared" si="97"/>
        <v>EN_Hy</v>
      </c>
    </row>
    <row r="2672" spans="1:16" x14ac:dyDescent="0.35">
      <c r="A2672" t="s">
        <v>2384</v>
      </c>
      <c r="B2672" t="s">
        <v>81</v>
      </c>
      <c r="C2672" t="s">
        <v>45</v>
      </c>
      <c r="D2672" t="s">
        <v>2826</v>
      </c>
      <c r="E2672" t="s">
        <v>96</v>
      </c>
      <c r="F2672" t="s">
        <v>96</v>
      </c>
      <c r="G2672" t="s">
        <v>96</v>
      </c>
      <c r="H2672">
        <v>2017</v>
      </c>
      <c r="I2672" t="s">
        <v>96</v>
      </c>
      <c r="J2672" t="s">
        <v>97</v>
      </c>
      <c r="K2672" t="s">
        <v>96</v>
      </c>
      <c r="L2672" t="s">
        <v>96</v>
      </c>
      <c r="M2672">
        <v>2570.8006999999998</v>
      </c>
      <c r="O2672" s="12" t="str">
        <f t="shared" si="96"/>
        <v>URA</v>
      </c>
      <c r="P2672" s="12" t="str">
        <f t="shared" si="97"/>
        <v>EN_Hy</v>
      </c>
    </row>
    <row r="2673" spans="1:16" x14ac:dyDescent="0.35">
      <c r="A2673" t="s">
        <v>2384</v>
      </c>
      <c r="B2673" t="s">
        <v>81</v>
      </c>
      <c r="C2673" t="s">
        <v>45</v>
      </c>
      <c r="D2673" t="s">
        <v>2827</v>
      </c>
      <c r="E2673" t="s">
        <v>96</v>
      </c>
      <c r="F2673" t="s">
        <v>96</v>
      </c>
      <c r="G2673" t="s">
        <v>96</v>
      </c>
      <c r="H2673">
        <v>2017</v>
      </c>
      <c r="I2673" t="s">
        <v>96</v>
      </c>
      <c r="J2673" t="s">
        <v>97</v>
      </c>
      <c r="K2673" t="s">
        <v>96</v>
      </c>
      <c r="L2673" t="s">
        <v>96</v>
      </c>
      <c r="M2673">
        <v>4508.6660000000002</v>
      </c>
      <c r="O2673" s="12" t="str">
        <f t="shared" si="96"/>
        <v>URA</v>
      </c>
      <c r="P2673" s="12" t="str">
        <f t="shared" si="97"/>
        <v>EN_Hy</v>
      </c>
    </row>
    <row r="2674" spans="1:16" x14ac:dyDescent="0.35">
      <c r="A2674" t="s">
        <v>2384</v>
      </c>
      <c r="B2674" t="s">
        <v>81</v>
      </c>
      <c r="C2674" t="s">
        <v>45</v>
      </c>
      <c r="D2674" t="s">
        <v>2828</v>
      </c>
      <c r="E2674" t="s">
        <v>96</v>
      </c>
      <c r="F2674" t="s">
        <v>96</v>
      </c>
      <c r="G2674" t="s">
        <v>96</v>
      </c>
      <c r="H2674">
        <v>2017</v>
      </c>
      <c r="I2674" t="s">
        <v>96</v>
      </c>
      <c r="J2674" t="s">
        <v>97</v>
      </c>
      <c r="K2674" t="s">
        <v>96</v>
      </c>
      <c r="L2674" t="s">
        <v>96</v>
      </c>
      <c r="M2674">
        <v>9958.4809999999998</v>
      </c>
      <c r="O2674" s="12" t="str">
        <f t="shared" si="96"/>
        <v>URA</v>
      </c>
      <c r="P2674" s="12" t="str">
        <f t="shared" si="97"/>
        <v>EN_Hy</v>
      </c>
    </row>
    <row r="2675" spans="1:16" x14ac:dyDescent="0.35">
      <c r="A2675" t="s">
        <v>2384</v>
      </c>
      <c r="B2675" t="s">
        <v>81</v>
      </c>
      <c r="C2675" t="s">
        <v>45</v>
      </c>
      <c r="D2675" t="s">
        <v>3276</v>
      </c>
      <c r="E2675" t="s">
        <v>96</v>
      </c>
      <c r="F2675" t="s">
        <v>96</v>
      </c>
      <c r="G2675" t="s">
        <v>96</v>
      </c>
      <c r="H2675">
        <v>2017</v>
      </c>
      <c r="I2675" t="s">
        <v>96</v>
      </c>
      <c r="J2675" t="s">
        <v>97</v>
      </c>
      <c r="K2675" t="s">
        <v>96</v>
      </c>
      <c r="L2675" t="s">
        <v>96</v>
      </c>
      <c r="M2675">
        <v>99999</v>
      </c>
      <c r="O2675" s="12" t="str">
        <f t="shared" si="96"/>
        <v>URA</v>
      </c>
      <c r="P2675" s="12" t="str">
        <f t="shared" si="97"/>
        <v>EN_RE</v>
      </c>
    </row>
    <row r="2676" spans="1:16" x14ac:dyDescent="0.35">
      <c r="A2676" t="s">
        <v>2384</v>
      </c>
      <c r="B2676" t="s">
        <v>81</v>
      </c>
      <c r="C2676" t="s">
        <v>45</v>
      </c>
      <c r="D2676" t="s">
        <v>3277</v>
      </c>
      <c r="E2676" t="s">
        <v>96</v>
      </c>
      <c r="F2676" t="s">
        <v>96</v>
      </c>
      <c r="G2676" t="s">
        <v>96</v>
      </c>
      <c r="H2676">
        <v>2017</v>
      </c>
      <c r="I2676" t="s">
        <v>96</v>
      </c>
      <c r="J2676" t="s">
        <v>97</v>
      </c>
      <c r="K2676" t="s">
        <v>96</v>
      </c>
      <c r="L2676" t="s">
        <v>96</v>
      </c>
      <c r="M2676">
        <v>99999</v>
      </c>
      <c r="O2676" s="12" t="str">
        <f t="shared" si="96"/>
        <v>URA</v>
      </c>
      <c r="P2676" s="12" t="str">
        <f t="shared" si="97"/>
        <v>EN_RE</v>
      </c>
    </row>
    <row r="2677" spans="1:16" x14ac:dyDescent="0.35">
      <c r="A2677" t="s">
        <v>2384</v>
      </c>
      <c r="B2677" t="s">
        <v>81</v>
      </c>
      <c r="C2677" t="s">
        <v>45</v>
      </c>
      <c r="D2677" t="s">
        <v>3278</v>
      </c>
      <c r="E2677" t="s">
        <v>96</v>
      </c>
      <c r="F2677" t="s">
        <v>96</v>
      </c>
      <c r="G2677" t="s">
        <v>96</v>
      </c>
      <c r="H2677">
        <v>2017</v>
      </c>
      <c r="I2677" t="s">
        <v>96</v>
      </c>
      <c r="J2677" t="s">
        <v>97</v>
      </c>
      <c r="K2677" t="s">
        <v>96</v>
      </c>
      <c r="L2677" t="s">
        <v>96</v>
      </c>
      <c r="M2677">
        <v>99999</v>
      </c>
      <c r="O2677" s="12" t="str">
        <f t="shared" si="96"/>
        <v>URA</v>
      </c>
      <c r="P2677" s="12" t="str">
        <f t="shared" si="97"/>
        <v>EN_RE</v>
      </c>
    </row>
    <row r="2678" spans="1:16" x14ac:dyDescent="0.35">
      <c r="A2678" t="s">
        <v>2384</v>
      </c>
      <c r="B2678" t="s">
        <v>81</v>
      </c>
      <c r="C2678" t="s">
        <v>45</v>
      </c>
      <c r="D2678" t="s">
        <v>3279</v>
      </c>
      <c r="E2678" t="s">
        <v>96</v>
      </c>
      <c r="F2678" t="s">
        <v>96</v>
      </c>
      <c r="G2678" t="s">
        <v>96</v>
      </c>
      <c r="H2678">
        <v>2017</v>
      </c>
      <c r="I2678" t="s">
        <v>96</v>
      </c>
      <c r="J2678" t="s">
        <v>97</v>
      </c>
      <c r="K2678" t="s">
        <v>96</v>
      </c>
      <c r="L2678" t="s">
        <v>96</v>
      </c>
      <c r="M2678">
        <v>99999</v>
      </c>
      <c r="O2678" s="12" t="str">
        <f t="shared" si="96"/>
        <v>URA</v>
      </c>
      <c r="P2678" s="12" t="str">
        <f t="shared" si="97"/>
        <v>EN_RE</v>
      </c>
    </row>
    <row r="2679" spans="1:16" x14ac:dyDescent="0.35">
      <c r="A2679" t="s">
        <v>2384</v>
      </c>
      <c r="B2679" t="s">
        <v>81</v>
      </c>
      <c r="C2679" t="s">
        <v>45</v>
      </c>
      <c r="D2679" t="s">
        <v>3280</v>
      </c>
      <c r="E2679" t="s">
        <v>96</v>
      </c>
      <c r="F2679" t="s">
        <v>96</v>
      </c>
      <c r="G2679" t="s">
        <v>96</v>
      </c>
      <c r="H2679">
        <v>2017</v>
      </c>
      <c r="I2679" t="s">
        <v>96</v>
      </c>
      <c r="J2679" t="s">
        <v>97</v>
      </c>
      <c r="K2679" t="s">
        <v>96</v>
      </c>
      <c r="L2679" t="s">
        <v>96</v>
      </c>
      <c r="M2679">
        <v>99999</v>
      </c>
      <c r="O2679" s="12" t="str">
        <f t="shared" si="96"/>
        <v>URA</v>
      </c>
      <c r="P2679" s="12" t="str">
        <f t="shared" si="97"/>
        <v>EN_RE</v>
      </c>
    </row>
    <row r="2680" spans="1:16" x14ac:dyDescent="0.35">
      <c r="A2680" t="s">
        <v>2384</v>
      </c>
      <c r="B2680" t="s">
        <v>81</v>
      </c>
      <c r="C2680" t="s">
        <v>45</v>
      </c>
      <c r="D2680" t="s">
        <v>3281</v>
      </c>
      <c r="E2680" t="s">
        <v>96</v>
      </c>
      <c r="F2680" t="s">
        <v>96</v>
      </c>
      <c r="G2680" t="s">
        <v>96</v>
      </c>
      <c r="H2680">
        <v>2017</v>
      </c>
      <c r="I2680" t="s">
        <v>96</v>
      </c>
      <c r="J2680" t="s">
        <v>97</v>
      </c>
      <c r="K2680" t="s">
        <v>96</v>
      </c>
      <c r="L2680" t="s">
        <v>96</v>
      </c>
      <c r="M2680">
        <v>99999</v>
      </c>
      <c r="O2680" s="12" t="str">
        <f t="shared" si="96"/>
        <v>URA</v>
      </c>
      <c r="P2680" s="12" t="str">
        <f t="shared" si="97"/>
        <v>EN_RE</v>
      </c>
    </row>
    <row r="2681" spans="1:16" x14ac:dyDescent="0.35">
      <c r="A2681" t="s">
        <v>2384</v>
      </c>
      <c r="B2681" t="s">
        <v>81</v>
      </c>
      <c r="C2681" t="s">
        <v>45</v>
      </c>
      <c r="D2681" t="s">
        <v>3282</v>
      </c>
      <c r="E2681" t="s">
        <v>96</v>
      </c>
      <c r="F2681" t="s">
        <v>96</v>
      </c>
      <c r="G2681" t="s">
        <v>96</v>
      </c>
      <c r="H2681">
        <v>2017</v>
      </c>
      <c r="I2681" t="s">
        <v>96</v>
      </c>
      <c r="J2681" t="s">
        <v>97</v>
      </c>
      <c r="K2681" t="s">
        <v>96</v>
      </c>
      <c r="L2681" t="s">
        <v>96</v>
      </c>
      <c r="M2681">
        <v>99999</v>
      </c>
      <c r="O2681" s="12" t="str">
        <f t="shared" si="96"/>
        <v>URA</v>
      </c>
      <c r="P2681" s="12" t="str">
        <f t="shared" si="97"/>
        <v>EN_RE</v>
      </c>
    </row>
    <row r="2682" spans="1:16" x14ac:dyDescent="0.35">
      <c r="A2682" t="s">
        <v>2384</v>
      </c>
      <c r="B2682" t="s">
        <v>81</v>
      </c>
      <c r="C2682" t="s">
        <v>45</v>
      </c>
      <c r="D2682" t="s">
        <v>3283</v>
      </c>
      <c r="E2682" t="s">
        <v>96</v>
      </c>
      <c r="F2682" t="s">
        <v>96</v>
      </c>
      <c r="G2682" t="s">
        <v>96</v>
      </c>
      <c r="H2682">
        <v>2017</v>
      </c>
      <c r="I2682" t="s">
        <v>96</v>
      </c>
      <c r="J2682" t="s">
        <v>97</v>
      </c>
      <c r="K2682" t="s">
        <v>96</v>
      </c>
      <c r="L2682" t="s">
        <v>96</v>
      </c>
      <c r="M2682">
        <v>99999</v>
      </c>
      <c r="O2682" s="12" t="str">
        <f t="shared" si="96"/>
        <v>URA</v>
      </c>
      <c r="P2682" s="12" t="str">
        <f t="shared" si="97"/>
        <v>EN_RE</v>
      </c>
    </row>
    <row r="2683" spans="1:16" x14ac:dyDescent="0.35">
      <c r="A2683" t="s">
        <v>2384</v>
      </c>
      <c r="B2683" t="s">
        <v>81</v>
      </c>
      <c r="C2683" t="s">
        <v>45</v>
      </c>
      <c r="D2683" t="s">
        <v>3284</v>
      </c>
      <c r="E2683" t="s">
        <v>96</v>
      </c>
      <c r="F2683" t="s">
        <v>96</v>
      </c>
      <c r="G2683" t="s">
        <v>96</v>
      </c>
      <c r="H2683">
        <v>2017</v>
      </c>
      <c r="I2683" t="s">
        <v>96</v>
      </c>
      <c r="J2683" t="s">
        <v>97</v>
      </c>
      <c r="K2683" t="s">
        <v>96</v>
      </c>
      <c r="L2683" t="s">
        <v>96</v>
      </c>
      <c r="M2683">
        <v>99999</v>
      </c>
      <c r="O2683" s="12" t="str">
        <f t="shared" si="96"/>
        <v>URA</v>
      </c>
      <c r="P2683" s="12" t="str">
        <f t="shared" si="97"/>
        <v>EN_RE</v>
      </c>
    </row>
    <row r="2684" spans="1:16" x14ac:dyDescent="0.35">
      <c r="A2684" t="s">
        <v>2384</v>
      </c>
      <c r="B2684" t="s">
        <v>81</v>
      </c>
      <c r="C2684" t="s">
        <v>45</v>
      </c>
      <c r="D2684" t="s">
        <v>3285</v>
      </c>
      <c r="E2684" t="s">
        <v>96</v>
      </c>
      <c r="F2684" t="s">
        <v>96</v>
      </c>
      <c r="G2684" t="s">
        <v>96</v>
      </c>
      <c r="H2684">
        <v>2017</v>
      </c>
      <c r="I2684" t="s">
        <v>96</v>
      </c>
      <c r="J2684" t="s">
        <v>97</v>
      </c>
      <c r="K2684" t="s">
        <v>96</v>
      </c>
      <c r="L2684" t="s">
        <v>96</v>
      </c>
      <c r="M2684">
        <v>99999</v>
      </c>
      <c r="O2684" s="12" t="str">
        <f t="shared" si="96"/>
        <v>URA</v>
      </c>
      <c r="P2684" s="12" t="str">
        <f t="shared" si="97"/>
        <v>EN_RE</v>
      </c>
    </row>
    <row r="2685" spans="1:16" x14ac:dyDescent="0.35">
      <c r="A2685" t="s">
        <v>2384</v>
      </c>
      <c r="B2685" t="s">
        <v>81</v>
      </c>
      <c r="C2685" t="s">
        <v>45</v>
      </c>
      <c r="D2685" t="s">
        <v>3286</v>
      </c>
      <c r="E2685" t="s">
        <v>96</v>
      </c>
      <c r="F2685" t="s">
        <v>96</v>
      </c>
      <c r="G2685" t="s">
        <v>96</v>
      </c>
      <c r="H2685">
        <v>2017</v>
      </c>
      <c r="I2685" t="s">
        <v>96</v>
      </c>
      <c r="J2685" t="s">
        <v>97</v>
      </c>
      <c r="K2685" t="s">
        <v>96</v>
      </c>
      <c r="L2685" t="s">
        <v>96</v>
      </c>
      <c r="M2685">
        <v>99999</v>
      </c>
      <c r="O2685" s="12" t="str">
        <f t="shared" si="96"/>
        <v>URA</v>
      </c>
      <c r="P2685" s="12" t="str">
        <f t="shared" si="97"/>
        <v>EN_RE</v>
      </c>
    </row>
    <row r="2686" spans="1:16" x14ac:dyDescent="0.35">
      <c r="A2686" t="s">
        <v>2384</v>
      </c>
      <c r="B2686" t="s">
        <v>81</v>
      </c>
      <c r="C2686" t="s">
        <v>45</v>
      </c>
      <c r="D2686" t="s">
        <v>3287</v>
      </c>
      <c r="E2686" t="s">
        <v>96</v>
      </c>
      <c r="F2686" t="s">
        <v>96</v>
      </c>
      <c r="G2686" t="s">
        <v>96</v>
      </c>
      <c r="H2686">
        <v>2017</v>
      </c>
      <c r="I2686" t="s">
        <v>96</v>
      </c>
      <c r="J2686" t="s">
        <v>97</v>
      </c>
      <c r="K2686" t="s">
        <v>96</v>
      </c>
      <c r="L2686" t="s">
        <v>96</v>
      </c>
      <c r="M2686">
        <v>99999</v>
      </c>
      <c r="O2686" s="12" t="str">
        <f t="shared" si="96"/>
        <v>URA</v>
      </c>
      <c r="P2686" s="12" t="str">
        <f t="shared" si="97"/>
        <v>EN_RE</v>
      </c>
    </row>
    <row r="2687" spans="1:16" x14ac:dyDescent="0.35">
      <c r="A2687" t="s">
        <v>2384</v>
      </c>
      <c r="B2687" t="s">
        <v>81</v>
      </c>
      <c r="C2687" t="s">
        <v>45</v>
      </c>
      <c r="D2687" t="s">
        <v>3288</v>
      </c>
      <c r="E2687" t="s">
        <v>96</v>
      </c>
      <c r="F2687" t="s">
        <v>96</v>
      </c>
      <c r="G2687" t="s">
        <v>96</v>
      </c>
      <c r="H2687">
        <v>2017</v>
      </c>
      <c r="I2687" t="s">
        <v>96</v>
      </c>
      <c r="J2687" t="s">
        <v>97</v>
      </c>
      <c r="K2687" t="s">
        <v>96</v>
      </c>
      <c r="L2687" t="s">
        <v>96</v>
      </c>
      <c r="M2687">
        <v>99999</v>
      </c>
      <c r="O2687" s="12" t="str">
        <f t="shared" si="96"/>
        <v>URA</v>
      </c>
      <c r="P2687" s="12" t="str">
        <f t="shared" si="97"/>
        <v>EN_RE</v>
      </c>
    </row>
    <row r="2688" spans="1:16" x14ac:dyDescent="0.35">
      <c r="A2688" t="s">
        <v>2384</v>
      </c>
      <c r="B2688" t="s">
        <v>81</v>
      </c>
      <c r="C2688" t="s">
        <v>45</v>
      </c>
      <c r="D2688" t="s">
        <v>3289</v>
      </c>
      <c r="E2688" t="s">
        <v>96</v>
      </c>
      <c r="F2688" t="s">
        <v>96</v>
      </c>
      <c r="G2688" t="s">
        <v>96</v>
      </c>
      <c r="H2688">
        <v>2017</v>
      </c>
      <c r="I2688" t="s">
        <v>96</v>
      </c>
      <c r="J2688" t="s">
        <v>97</v>
      </c>
      <c r="K2688" t="s">
        <v>96</v>
      </c>
      <c r="L2688" t="s">
        <v>96</v>
      </c>
      <c r="M2688">
        <v>99999</v>
      </c>
      <c r="O2688" s="12" t="str">
        <f t="shared" si="96"/>
        <v>URA</v>
      </c>
      <c r="P2688" s="12" t="str">
        <f t="shared" si="97"/>
        <v>EN_RE</v>
      </c>
    </row>
    <row r="2689" spans="1:16" x14ac:dyDescent="0.35">
      <c r="A2689" t="s">
        <v>2384</v>
      </c>
      <c r="B2689" t="s">
        <v>81</v>
      </c>
      <c r="C2689" t="s">
        <v>45</v>
      </c>
      <c r="D2689" t="s">
        <v>3290</v>
      </c>
      <c r="E2689" t="s">
        <v>96</v>
      </c>
      <c r="F2689" t="s">
        <v>96</v>
      </c>
      <c r="G2689" t="s">
        <v>96</v>
      </c>
      <c r="H2689">
        <v>2017</v>
      </c>
      <c r="I2689" t="s">
        <v>96</v>
      </c>
      <c r="J2689" t="s">
        <v>97</v>
      </c>
      <c r="K2689" t="s">
        <v>96</v>
      </c>
      <c r="L2689" t="s">
        <v>96</v>
      </c>
      <c r="M2689">
        <v>99999</v>
      </c>
      <c r="O2689" s="12" t="str">
        <f t="shared" si="96"/>
        <v>URA</v>
      </c>
      <c r="P2689" s="12" t="str">
        <f t="shared" si="97"/>
        <v>EN_RE</v>
      </c>
    </row>
    <row r="2690" spans="1:16" x14ac:dyDescent="0.35">
      <c r="A2690" t="s">
        <v>2384</v>
      </c>
      <c r="B2690" t="s">
        <v>81</v>
      </c>
      <c r="C2690" t="s">
        <v>45</v>
      </c>
      <c r="D2690" t="s">
        <v>3291</v>
      </c>
      <c r="E2690" t="s">
        <v>96</v>
      </c>
      <c r="F2690" t="s">
        <v>96</v>
      </c>
      <c r="G2690" t="s">
        <v>96</v>
      </c>
      <c r="H2690">
        <v>2017</v>
      </c>
      <c r="I2690" t="s">
        <v>96</v>
      </c>
      <c r="J2690" t="s">
        <v>97</v>
      </c>
      <c r="K2690" t="s">
        <v>96</v>
      </c>
      <c r="L2690" t="s">
        <v>96</v>
      </c>
      <c r="M2690">
        <v>99999</v>
      </c>
      <c r="O2690" s="12" t="str">
        <f t="shared" si="96"/>
        <v>URA</v>
      </c>
      <c r="P2690" s="12" t="str">
        <f t="shared" si="97"/>
        <v>EN_RE</v>
      </c>
    </row>
    <row r="2691" spans="1:16" x14ac:dyDescent="0.35">
      <c r="A2691" t="s">
        <v>2384</v>
      </c>
      <c r="B2691" t="s">
        <v>81</v>
      </c>
      <c r="C2691" t="s">
        <v>45</v>
      </c>
      <c r="D2691" t="s">
        <v>3292</v>
      </c>
      <c r="E2691" t="s">
        <v>96</v>
      </c>
      <c r="F2691" t="s">
        <v>96</v>
      </c>
      <c r="G2691" t="s">
        <v>96</v>
      </c>
      <c r="H2691">
        <v>2017</v>
      </c>
      <c r="I2691" t="s">
        <v>96</v>
      </c>
      <c r="J2691" t="s">
        <v>97</v>
      </c>
      <c r="K2691" t="s">
        <v>96</v>
      </c>
      <c r="L2691" t="s">
        <v>96</v>
      </c>
      <c r="M2691">
        <v>99999</v>
      </c>
      <c r="O2691" s="12" t="str">
        <f t="shared" ref="O2691:O2754" si="98">LEFT(B2691,3)</f>
        <v>URA</v>
      </c>
      <c r="P2691" s="12" t="str">
        <f t="shared" ref="P2691:P2754" si="99">LEFT(D2691,5)</f>
        <v>EN_RE</v>
      </c>
    </row>
    <row r="2692" spans="1:16" x14ac:dyDescent="0.35">
      <c r="A2692" t="s">
        <v>2384</v>
      </c>
      <c r="B2692" t="s">
        <v>81</v>
      </c>
      <c r="C2692" t="s">
        <v>45</v>
      </c>
      <c r="D2692" t="s">
        <v>3293</v>
      </c>
      <c r="E2692" t="s">
        <v>96</v>
      </c>
      <c r="F2692" t="s">
        <v>96</v>
      </c>
      <c r="G2692" t="s">
        <v>96</v>
      </c>
      <c r="H2692">
        <v>2017</v>
      </c>
      <c r="I2692" t="s">
        <v>96</v>
      </c>
      <c r="J2692" t="s">
        <v>97</v>
      </c>
      <c r="K2692" t="s">
        <v>96</v>
      </c>
      <c r="L2692" t="s">
        <v>96</v>
      </c>
      <c r="M2692">
        <v>99999</v>
      </c>
      <c r="O2692" s="12" t="str">
        <f t="shared" si="98"/>
        <v>URA</v>
      </c>
      <c r="P2692" s="12" t="str">
        <f t="shared" si="99"/>
        <v>EN_RE</v>
      </c>
    </row>
    <row r="2693" spans="1:16" x14ac:dyDescent="0.35">
      <c r="A2693" t="s">
        <v>2384</v>
      </c>
      <c r="B2693" t="s">
        <v>81</v>
      </c>
      <c r="C2693" t="s">
        <v>45</v>
      </c>
      <c r="D2693" t="s">
        <v>3294</v>
      </c>
      <c r="E2693" t="s">
        <v>96</v>
      </c>
      <c r="F2693" t="s">
        <v>96</v>
      </c>
      <c r="G2693" t="s">
        <v>96</v>
      </c>
      <c r="H2693">
        <v>2017</v>
      </c>
      <c r="I2693" t="s">
        <v>96</v>
      </c>
      <c r="J2693" t="s">
        <v>97</v>
      </c>
      <c r="K2693" t="s">
        <v>96</v>
      </c>
      <c r="L2693" t="s">
        <v>96</v>
      </c>
      <c r="M2693">
        <v>99999</v>
      </c>
      <c r="O2693" s="12" t="str">
        <f t="shared" si="98"/>
        <v>URA</v>
      </c>
      <c r="P2693" s="12" t="str">
        <f t="shared" si="99"/>
        <v>EN_RE</v>
      </c>
    </row>
    <row r="2694" spans="1:16" x14ac:dyDescent="0.35">
      <c r="A2694" t="s">
        <v>2384</v>
      </c>
      <c r="B2694" t="s">
        <v>82</v>
      </c>
      <c r="C2694" t="s">
        <v>45</v>
      </c>
      <c r="D2694" t="s">
        <v>2829</v>
      </c>
      <c r="E2694" t="s">
        <v>96</v>
      </c>
      <c r="F2694" t="s">
        <v>96</v>
      </c>
      <c r="G2694" t="s">
        <v>96</v>
      </c>
      <c r="H2694">
        <v>2017</v>
      </c>
      <c r="I2694" t="s">
        <v>96</v>
      </c>
      <c r="J2694" t="s">
        <v>97</v>
      </c>
      <c r="K2694" t="s">
        <v>96</v>
      </c>
      <c r="L2694" t="s">
        <v>96</v>
      </c>
      <c r="M2694">
        <v>3162.9635600000001</v>
      </c>
      <c r="O2694" s="12" t="str">
        <f t="shared" si="98"/>
        <v>USA</v>
      </c>
      <c r="P2694" s="12" t="str">
        <f t="shared" si="99"/>
        <v>EN_Hy</v>
      </c>
    </row>
    <row r="2695" spans="1:16" x14ac:dyDescent="0.35">
      <c r="A2695" t="s">
        <v>2384</v>
      </c>
      <c r="B2695" t="s">
        <v>82</v>
      </c>
      <c r="C2695" t="s">
        <v>45</v>
      </c>
      <c r="D2695" t="s">
        <v>2830</v>
      </c>
      <c r="E2695" t="s">
        <v>96</v>
      </c>
      <c r="F2695" t="s">
        <v>96</v>
      </c>
      <c r="G2695" t="s">
        <v>96</v>
      </c>
      <c r="H2695">
        <v>2017</v>
      </c>
      <c r="I2695" t="s">
        <v>96</v>
      </c>
      <c r="J2695" t="s">
        <v>97</v>
      </c>
      <c r="K2695" t="s">
        <v>96</v>
      </c>
      <c r="L2695" t="s">
        <v>96</v>
      </c>
      <c r="M2695">
        <v>6726.2687599999999</v>
      </c>
      <c r="O2695" s="12" t="str">
        <f t="shared" si="98"/>
        <v>USA</v>
      </c>
      <c r="P2695" s="12" t="str">
        <f t="shared" si="99"/>
        <v>EN_Hy</v>
      </c>
    </row>
    <row r="2696" spans="1:16" x14ac:dyDescent="0.35">
      <c r="A2696" t="s">
        <v>2384</v>
      </c>
      <c r="B2696" t="s">
        <v>82</v>
      </c>
      <c r="C2696" t="s">
        <v>45</v>
      </c>
      <c r="D2696" t="s">
        <v>2831</v>
      </c>
      <c r="E2696" t="s">
        <v>96</v>
      </c>
      <c r="F2696" t="s">
        <v>96</v>
      </c>
      <c r="G2696" t="s">
        <v>96</v>
      </c>
      <c r="H2696">
        <v>2017</v>
      </c>
      <c r="I2696" t="s">
        <v>96</v>
      </c>
      <c r="J2696" t="s">
        <v>97</v>
      </c>
      <c r="K2696" t="s">
        <v>96</v>
      </c>
      <c r="L2696" t="s">
        <v>96</v>
      </c>
      <c r="M2696">
        <v>10423.155199999999</v>
      </c>
      <c r="O2696" s="12" t="str">
        <f t="shared" si="98"/>
        <v>USA</v>
      </c>
      <c r="P2696" s="12" t="str">
        <f t="shared" si="99"/>
        <v>EN_Hy</v>
      </c>
    </row>
    <row r="2697" spans="1:16" x14ac:dyDescent="0.35">
      <c r="A2697" t="s">
        <v>1586</v>
      </c>
      <c r="B2697" t="s">
        <v>3110</v>
      </c>
      <c r="C2697" t="s">
        <v>45</v>
      </c>
      <c r="D2697" t="s">
        <v>1602</v>
      </c>
      <c r="E2697" t="s">
        <v>96</v>
      </c>
      <c r="F2697" t="s">
        <v>96</v>
      </c>
      <c r="G2697" t="s">
        <v>96</v>
      </c>
      <c r="H2697">
        <v>2010</v>
      </c>
      <c r="I2697" t="s">
        <v>96</v>
      </c>
      <c r="J2697" t="s">
        <v>97</v>
      </c>
      <c r="K2697" t="s">
        <v>96</v>
      </c>
      <c r="L2697" t="s">
        <v>96</v>
      </c>
      <c r="M2697">
        <v>1417</v>
      </c>
      <c r="O2697" s="12" t="str">
        <f t="shared" si="98"/>
        <v>AFR</v>
      </c>
      <c r="P2697" s="12" t="str">
        <f t="shared" si="99"/>
        <v>E_SPV</v>
      </c>
    </row>
    <row r="2698" spans="1:16" x14ac:dyDescent="0.35">
      <c r="A2698" t="s">
        <v>1586</v>
      </c>
      <c r="B2698" t="s">
        <v>3110</v>
      </c>
      <c r="C2698" t="s">
        <v>45</v>
      </c>
      <c r="D2698" t="s">
        <v>1606</v>
      </c>
      <c r="E2698" t="s">
        <v>96</v>
      </c>
      <c r="F2698" t="s">
        <v>96</v>
      </c>
      <c r="G2698" t="s">
        <v>96</v>
      </c>
      <c r="H2698">
        <v>2010</v>
      </c>
      <c r="I2698" t="s">
        <v>96</v>
      </c>
      <c r="J2698" t="s">
        <v>97</v>
      </c>
      <c r="K2698" t="s">
        <v>96</v>
      </c>
      <c r="L2698" t="s">
        <v>96</v>
      </c>
      <c r="M2698">
        <v>1417</v>
      </c>
      <c r="O2698" s="12" t="str">
        <f t="shared" si="98"/>
        <v>AFR</v>
      </c>
      <c r="P2698" s="12" t="str">
        <f t="shared" si="99"/>
        <v>E_SPV</v>
      </c>
    </row>
    <row r="2699" spans="1:16" x14ac:dyDescent="0.35">
      <c r="A2699" t="s">
        <v>1586</v>
      </c>
      <c r="B2699" t="s">
        <v>3110</v>
      </c>
      <c r="C2699" t="s">
        <v>45</v>
      </c>
      <c r="D2699" t="s">
        <v>1620</v>
      </c>
      <c r="E2699" t="s">
        <v>96</v>
      </c>
      <c r="F2699" t="s">
        <v>96</v>
      </c>
      <c r="G2699" t="s">
        <v>96</v>
      </c>
      <c r="H2699">
        <v>2010</v>
      </c>
      <c r="I2699" t="s">
        <v>96</v>
      </c>
      <c r="J2699" t="s">
        <v>97</v>
      </c>
      <c r="K2699" t="s">
        <v>96</v>
      </c>
      <c r="L2699" t="s">
        <v>96</v>
      </c>
      <c r="M2699">
        <v>1417</v>
      </c>
      <c r="O2699" s="12" t="str">
        <f t="shared" si="98"/>
        <v>AFR</v>
      </c>
      <c r="P2699" s="12" t="str">
        <f t="shared" si="99"/>
        <v>E_SPV</v>
      </c>
    </row>
    <row r="2700" spans="1:16" x14ac:dyDescent="0.35">
      <c r="A2700" t="s">
        <v>1586</v>
      </c>
      <c r="B2700" t="s">
        <v>3110</v>
      </c>
      <c r="C2700" t="s">
        <v>45</v>
      </c>
      <c r="D2700" t="s">
        <v>1621</v>
      </c>
      <c r="E2700" t="s">
        <v>96</v>
      </c>
      <c r="F2700" t="s">
        <v>96</v>
      </c>
      <c r="G2700" t="s">
        <v>96</v>
      </c>
      <c r="H2700">
        <v>2010</v>
      </c>
      <c r="I2700" t="s">
        <v>96</v>
      </c>
      <c r="J2700" t="s">
        <v>97</v>
      </c>
      <c r="K2700" t="s">
        <v>96</v>
      </c>
      <c r="L2700" t="s">
        <v>96</v>
      </c>
      <c r="M2700">
        <v>1417</v>
      </c>
      <c r="O2700" s="12" t="str">
        <f t="shared" si="98"/>
        <v>AFR</v>
      </c>
      <c r="P2700" s="12" t="str">
        <f t="shared" si="99"/>
        <v>E_SPV</v>
      </c>
    </row>
    <row r="2701" spans="1:16" x14ac:dyDescent="0.35">
      <c r="A2701" t="s">
        <v>1586</v>
      </c>
      <c r="B2701" t="s">
        <v>3110</v>
      </c>
      <c r="C2701" t="s">
        <v>45</v>
      </c>
      <c r="D2701" t="s">
        <v>1628</v>
      </c>
      <c r="E2701" t="s">
        <v>96</v>
      </c>
      <c r="F2701" t="s">
        <v>96</v>
      </c>
      <c r="G2701" t="s">
        <v>96</v>
      </c>
      <c r="H2701">
        <v>2010</v>
      </c>
      <c r="I2701" t="s">
        <v>96</v>
      </c>
      <c r="J2701" t="s">
        <v>97</v>
      </c>
      <c r="K2701" t="s">
        <v>96</v>
      </c>
      <c r="L2701" t="s">
        <v>96</v>
      </c>
      <c r="M2701">
        <v>1417</v>
      </c>
      <c r="O2701" s="12" t="str">
        <f t="shared" si="98"/>
        <v>AFR</v>
      </c>
      <c r="P2701" s="12" t="str">
        <f t="shared" si="99"/>
        <v>E_SPV</v>
      </c>
    </row>
    <row r="2702" spans="1:16" x14ac:dyDescent="0.35">
      <c r="A2702" t="s">
        <v>1586</v>
      </c>
      <c r="B2702" t="s">
        <v>3110</v>
      </c>
      <c r="C2702" t="s">
        <v>45</v>
      </c>
      <c r="D2702" t="s">
        <v>1630</v>
      </c>
      <c r="E2702" t="s">
        <v>96</v>
      </c>
      <c r="F2702" t="s">
        <v>96</v>
      </c>
      <c r="G2702" t="s">
        <v>96</v>
      </c>
      <c r="H2702">
        <v>2010</v>
      </c>
      <c r="I2702" t="s">
        <v>96</v>
      </c>
      <c r="J2702" t="s">
        <v>97</v>
      </c>
      <c r="K2702" t="s">
        <v>96</v>
      </c>
      <c r="L2702" t="s">
        <v>96</v>
      </c>
      <c r="M2702">
        <v>1417</v>
      </c>
      <c r="O2702" s="12" t="str">
        <f t="shared" si="98"/>
        <v>AFR</v>
      </c>
      <c r="P2702" s="12" t="str">
        <f t="shared" si="99"/>
        <v>E_SPV</v>
      </c>
    </row>
    <row r="2703" spans="1:16" x14ac:dyDescent="0.35">
      <c r="A2703" t="s">
        <v>1586</v>
      </c>
      <c r="B2703" t="s">
        <v>3110</v>
      </c>
      <c r="C2703" t="s">
        <v>45</v>
      </c>
      <c r="D2703" t="s">
        <v>1632</v>
      </c>
      <c r="E2703" t="s">
        <v>96</v>
      </c>
      <c r="F2703" t="s">
        <v>96</v>
      </c>
      <c r="G2703" t="s">
        <v>96</v>
      </c>
      <c r="H2703">
        <v>2010</v>
      </c>
      <c r="I2703" t="s">
        <v>96</v>
      </c>
      <c r="J2703" t="s">
        <v>97</v>
      </c>
      <c r="K2703" t="s">
        <v>96</v>
      </c>
      <c r="L2703" t="s">
        <v>96</v>
      </c>
      <c r="M2703">
        <v>1417</v>
      </c>
      <c r="O2703" s="12" t="str">
        <f t="shared" si="98"/>
        <v>AFR</v>
      </c>
      <c r="P2703" s="12" t="str">
        <f t="shared" si="99"/>
        <v>E_SPV</v>
      </c>
    </row>
    <row r="2704" spans="1:16" x14ac:dyDescent="0.35">
      <c r="A2704" t="s">
        <v>1586</v>
      </c>
      <c r="B2704" t="s">
        <v>3110</v>
      </c>
      <c r="C2704" t="s">
        <v>45</v>
      </c>
      <c r="D2704" t="s">
        <v>1636</v>
      </c>
      <c r="E2704" t="s">
        <v>96</v>
      </c>
      <c r="F2704" t="s">
        <v>96</v>
      </c>
      <c r="G2704" t="s">
        <v>96</v>
      </c>
      <c r="H2704">
        <v>2010</v>
      </c>
      <c r="I2704" t="s">
        <v>96</v>
      </c>
      <c r="J2704" t="s">
        <v>97</v>
      </c>
      <c r="K2704" t="s">
        <v>96</v>
      </c>
      <c r="L2704" t="s">
        <v>96</v>
      </c>
      <c r="M2704">
        <v>1417</v>
      </c>
      <c r="O2704" s="12" t="str">
        <f t="shared" si="98"/>
        <v>AFR</v>
      </c>
      <c r="P2704" s="12" t="str">
        <f t="shared" si="99"/>
        <v>E_SPV</v>
      </c>
    </row>
    <row r="2705" spans="1:16" x14ac:dyDescent="0.35">
      <c r="A2705" t="s">
        <v>1586</v>
      </c>
      <c r="B2705" t="s">
        <v>3110</v>
      </c>
      <c r="C2705" t="s">
        <v>45</v>
      </c>
      <c r="D2705" t="s">
        <v>1650</v>
      </c>
      <c r="E2705" t="s">
        <v>96</v>
      </c>
      <c r="F2705" t="s">
        <v>96</v>
      </c>
      <c r="G2705" t="s">
        <v>96</v>
      </c>
      <c r="H2705">
        <v>2010</v>
      </c>
      <c r="I2705" t="s">
        <v>96</v>
      </c>
      <c r="J2705" t="s">
        <v>97</v>
      </c>
      <c r="K2705" t="s">
        <v>96</v>
      </c>
      <c r="L2705" t="s">
        <v>96</v>
      </c>
      <c r="M2705">
        <v>1417</v>
      </c>
      <c r="O2705" s="12" t="str">
        <f t="shared" si="98"/>
        <v>AFR</v>
      </c>
      <c r="P2705" s="12" t="str">
        <f t="shared" si="99"/>
        <v>E_SPV</v>
      </c>
    </row>
    <row r="2706" spans="1:16" x14ac:dyDescent="0.35">
      <c r="A2706" t="s">
        <v>1586</v>
      </c>
      <c r="B2706" t="s">
        <v>3110</v>
      </c>
      <c r="C2706" t="s">
        <v>45</v>
      </c>
      <c r="D2706" t="s">
        <v>1651</v>
      </c>
      <c r="E2706" t="s">
        <v>96</v>
      </c>
      <c r="F2706" t="s">
        <v>96</v>
      </c>
      <c r="G2706" t="s">
        <v>96</v>
      </c>
      <c r="H2706">
        <v>2010</v>
      </c>
      <c r="I2706" t="s">
        <v>96</v>
      </c>
      <c r="J2706" t="s">
        <v>97</v>
      </c>
      <c r="K2706" t="s">
        <v>96</v>
      </c>
      <c r="L2706" t="s">
        <v>96</v>
      </c>
      <c r="M2706">
        <v>1417</v>
      </c>
      <c r="O2706" s="12" t="str">
        <f t="shared" si="98"/>
        <v>AFR</v>
      </c>
      <c r="P2706" s="12" t="str">
        <f t="shared" si="99"/>
        <v>E_SPV</v>
      </c>
    </row>
    <row r="2707" spans="1:16" x14ac:dyDescent="0.35">
      <c r="A2707" t="s">
        <v>1586</v>
      </c>
      <c r="B2707" t="s">
        <v>3110</v>
      </c>
      <c r="C2707" t="s">
        <v>45</v>
      </c>
      <c r="D2707" t="s">
        <v>1658</v>
      </c>
      <c r="E2707" t="s">
        <v>96</v>
      </c>
      <c r="F2707" t="s">
        <v>96</v>
      </c>
      <c r="G2707" t="s">
        <v>96</v>
      </c>
      <c r="H2707">
        <v>2010</v>
      </c>
      <c r="I2707" t="s">
        <v>96</v>
      </c>
      <c r="J2707" t="s">
        <v>97</v>
      </c>
      <c r="K2707" t="s">
        <v>96</v>
      </c>
      <c r="L2707" t="s">
        <v>96</v>
      </c>
      <c r="M2707">
        <v>1417</v>
      </c>
      <c r="O2707" s="12" t="str">
        <f t="shared" si="98"/>
        <v>AFR</v>
      </c>
      <c r="P2707" s="12" t="str">
        <f t="shared" si="99"/>
        <v>E_SPV</v>
      </c>
    </row>
    <row r="2708" spans="1:16" x14ac:dyDescent="0.35">
      <c r="A2708" t="s">
        <v>1586</v>
      </c>
      <c r="B2708" t="s">
        <v>3110</v>
      </c>
      <c r="C2708" t="s">
        <v>45</v>
      </c>
      <c r="D2708" t="s">
        <v>1659</v>
      </c>
      <c r="E2708" t="s">
        <v>96</v>
      </c>
      <c r="F2708" t="s">
        <v>96</v>
      </c>
      <c r="G2708" t="s">
        <v>96</v>
      </c>
      <c r="H2708">
        <v>2010</v>
      </c>
      <c r="I2708" t="s">
        <v>96</v>
      </c>
      <c r="J2708" t="s">
        <v>97</v>
      </c>
      <c r="K2708" t="s">
        <v>96</v>
      </c>
      <c r="L2708" t="s">
        <v>96</v>
      </c>
      <c r="M2708">
        <v>1417</v>
      </c>
      <c r="O2708" s="12" t="str">
        <f t="shared" si="98"/>
        <v>AFR</v>
      </c>
      <c r="P2708" s="12" t="str">
        <f t="shared" si="99"/>
        <v>E_SPV</v>
      </c>
    </row>
    <row r="2709" spans="1:16" x14ac:dyDescent="0.35">
      <c r="A2709" t="s">
        <v>1586</v>
      </c>
      <c r="B2709" t="s">
        <v>3110</v>
      </c>
      <c r="C2709" t="s">
        <v>45</v>
      </c>
      <c r="D2709" t="s">
        <v>1661</v>
      </c>
      <c r="E2709" t="s">
        <v>96</v>
      </c>
      <c r="F2709" t="s">
        <v>96</v>
      </c>
      <c r="G2709" t="s">
        <v>96</v>
      </c>
      <c r="H2709">
        <v>2010</v>
      </c>
      <c r="I2709" t="s">
        <v>96</v>
      </c>
      <c r="J2709" t="s">
        <v>97</v>
      </c>
      <c r="K2709" t="s">
        <v>96</v>
      </c>
      <c r="L2709" t="s">
        <v>96</v>
      </c>
      <c r="M2709">
        <v>1417</v>
      </c>
      <c r="O2709" s="12" t="str">
        <f t="shared" si="98"/>
        <v>AFR</v>
      </c>
      <c r="P2709" s="12" t="str">
        <f t="shared" si="99"/>
        <v>E_SPV</v>
      </c>
    </row>
    <row r="2710" spans="1:16" x14ac:dyDescent="0.35">
      <c r="A2710" t="s">
        <v>1586</v>
      </c>
      <c r="B2710" t="s">
        <v>3110</v>
      </c>
      <c r="C2710" t="s">
        <v>45</v>
      </c>
      <c r="D2710" t="s">
        <v>1663</v>
      </c>
      <c r="E2710" t="s">
        <v>96</v>
      </c>
      <c r="F2710" t="s">
        <v>96</v>
      </c>
      <c r="G2710" t="s">
        <v>96</v>
      </c>
      <c r="H2710">
        <v>2010</v>
      </c>
      <c r="I2710" t="s">
        <v>96</v>
      </c>
      <c r="J2710" t="s">
        <v>97</v>
      </c>
      <c r="K2710" t="s">
        <v>96</v>
      </c>
      <c r="L2710" t="s">
        <v>96</v>
      </c>
      <c r="M2710">
        <v>1417</v>
      </c>
      <c r="O2710" s="12" t="str">
        <f t="shared" si="98"/>
        <v>AFR</v>
      </c>
      <c r="P2710" s="12" t="str">
        <f t="shared" si="99"/>
        <v>E_SPV</v>
      </c>
    </row>
    <row r="2711" spans="1:16" x14ac:dyDescent="0.35">
      <c r="A2711" t="s">
        <v>1586</v>
      </c>
      <c r="B2711" t="s">
        <v>3110</v>
      </c>
      <c r="C2711" t="s">
        <v>45</v>
      </c>
      <c r="D2711" t="s">
        <v>1665</v>
      </c>
      <c r="E2711" t="s">
        <v>96</v>
      </c>
      <c r="F2711" t="s">
        <v>96</v>
      </c>
      <c r="G2711" t="s">
        <v>96</v>
      </c>
      <c r="H2711">
        <v>2010</v>
      </c>
      <c r="I2711" t="s">
        <v>96</v>
      </c>
      <c r="J2711" t="s">
        <v>97</v>
      </c>
      <c r="K2711" t="s">
        <v>96</v>
      </c>
      <c r="L2711" t="s">
        <v>96</v>
      </c>
      <c r="M2711">
        <v>1417</v>
      </c>
      <c r="O2711" s="12" t="str">
        <f t="shared" si="98"/>
        <v>AFR</v>
      </c>
      <c r="P2711" s="12" t="str">
        <f t="shared" si="99"/>
        <v>E_SPV</v>
      </c>
    </row>
    <row r="2712" spans="1:16" x14ac:dyDescent="0.35">
      <c r="A2712" t="s">
        <v>1586</v>
      </c>
      <c r="B2712" t="s">
        <v>3110</v>
      </c>
      <c r="C2712" t="s">
        <v>45</v>
      </c>
      <c r="D2712" t="s">
        <v>1668</v>
      </c>
      <c r="E2712" t="s">
        <v>96</v>
      </c>
      <c r="F2712" t="s">
        <v>96</v>
      </c>
      <c r="G2712" t="s">
        <v>96</v>
      </c>
      <c r="H2712">
        <v>2010</v>
      </c>
      <c r="I2712" t="s">
        <v>96</v>
      </c>
      <c r="J2712" t="s">
        <v>97</v>
      </c>
      <c r="K2712" t="s">
        <v>96</v>
      </c>
      <c r="L2712" t="s">
        <v>96</v>
      </c>
      <c r="M2712">
        <v>1417</v>
      </c>
      <c r="O2712" s="12" t="str">
        <f t="shared" si="98"/>
        <v>AFR</v>
      </c>
      <c r="P2712" s="12" t="str">
        <f t="shared" si="99"/>
        <v>E_SPV</v>
      </c>
    </row>
    <row r="2713" spans="1:16" x14ac:dyDescent="0.35">
      <c r="A2713" t="s">
        <v>1586</v>
      </c>
      <c r="B2713" t="s">
        <v>3110</v>
      </c>
      <c r="C2713" t="s">
        <v>45</v>
      </c>
      <c r="D2713" t="s">
        <v>1671</v>
      </c>
      <c r="E2713" t="s">
        <v>96</v>
      </c>
      <c r="F2713" t="s">
        <v>96</v>
      </c>
      <c r="G2713" t="s">
        <v>96</v>
      </c>
      <c r="H2713">
        <v>2010</v>
      </c>
      <c r="I2713" t="s">
        <v>96</v>
      </c>
      <c r="J2713" t="s">
        <v>97</v>
      </c>
      <c r="K2713" t="s">
        <v>96</v>
      </c>
      <c r="L2713" t="s">
        <v>96</v>
      </c>
      <c r="M2713">
        <v>1417</v>
      </c>
      <c r="O2713" s="12" t="str">
        <f t="shared" si="98"/>
        <v>AFR</v>
      </c>
      <c r="P2713" s="12" t="str">
        <f t="shared" si="99"/>
        <v>E_SPV</v>
      </c>
    </row>
    <row r="2714" spans="1:16" x14ac:dyDescent="0.35">
      <c r="A2714" t="s">
        <v>1586</v>
      </c>
      <c r="B2714" t="s">
        <v>3110</v>
      </c>
      <c r="C2714" t="s">
        <v>45</v>
      </c>
      <c r="D2714" t="s">
        <v>1672</v>
      </c>
      <c r="E2714" t="s">
        <v>96</v>
      </c>
      <c r="F2714" t="s">
        <v>96</v>
      </c>
      <c r="G2714" t="s">
        <v>96</v>
      </c>
      <c r="H2714">
        <v>2010</v>
      </c>
      <c r="I2714" t="s">
        <v>96</v>
      </c>
      <c r="J2714" t="s">
        <v>97</v>
      </c>
      <c r="K2714" t="s">
        <v>96</v>
      </c>
      <c r="L2714" t="s">
        <v>96</v>
      </c>
      <c r="M2714">
        <v>1625</v>
      </c>
      <c r="O2714" s="12" t="str">
        <f t="shared" si="98"/>
        <v>AFR</v>
      </c>
      <c r="P2714" s="12" t="str">
        <f t="shared" si="99"/>
        <v>E_SPV</v>
      </c>
    </row>
    <row r="2715" spans="1:16" x14ac:dyDescent="0.35">
      <c r="A2715" t="s">
        <v>1586</v>
      </c>
      <c r="B2715" t="s">
        <v>3110</v>
      </c>
      <c r="C2715" t="s">
        <v>45</v>
      </c>
      <c r="D2715" t="s">
        <v>1686</v>
      </c>
      <c r="E2715" t="s">
        <v>96</v>
      </c>
      <c r="F2715" t="s">
        <v>96</v>
      </c>
      <c r="G2715" t="s">
        <v>96</v>
      </c>
      <c r="H2715">
        <v>2010</v>
      </c>
      <c r="I2715" t="s">
        <v>96</v>
      </c>
      <c r="J2715" t="s">
        <v>97</v>
      </c>
      <c r="K2715" t="s">
        <v>96</v>
      </c>
      <c r="L2715" t="s">
        <v>96</v>
      </c>
      <c r="M2715">
        <v>1417</v>
      </c>
      <c r="O2715" s="12" t="str">
        <f t="shared" si="98"/>
        <v>AFR</v>
      </c>
      <c r="P2715" s="12" t="str">
        <f t="shared" si="99"/>
        <v>E_SPV</v>
      </c>
    </row>
    <row r="2716" spans="1:16" x14ac:dyDescent="0.35">
      <c r="A2716" t="s">
        <v>1586</v>
      </c>
      <c r="B2716" t="s">
        <v>3110</v>
      </c>
      <c r="C2716" t="s">
        <v>45</v>
      </c>
      <c r="D2716" t="s">
        <v>1687</v>
      </c>
      <c r="E2716" t="s">
        <v>96</v>
      </c>
      <c r="F2716" t="s">
        <v>96</v>
      </c>
      <c r="G2716" t="s">
        <v>96</v>
      </c>
      <c r="H2716">
        <v>2010</v>
      </c>
      <c r="I2716" t="s">
        <v>96</v>
      </c>
      <c r="J2716" t="s">
        <v>97</v>
      </c>
      <c r="K2716" t="s">
        <v>96</v>
      </c>
      <c r="L2716" t="s">
        <v>96</v>
      </c>
      <c r="M2716">
        <v>1417</v>
      </c>
      <c r="O2716" s="12" t="str">
        <f t="shared" si="98"/>
        <v>AFR</v>
      </c>
      <c r="P2716" s="12" t="str">
        <f t="shared" si="99"/>
        <v>E_SPV</v>
      </c>
    </row>
    <row r="2717" spans="1:16" x14ac:dyDescent="0.35">
      <c r="A2717" t="s">
        <v>1586</v>
      </c>
      <c r="B2717" t="s">
        <v>3110</v>
      </c>
      <c r="C2717" t="s">
        <v>45</v>
      </c>
      <c r="D2717" t="s">
        <v>1688</v>
      </c>
      <c r="E2717" t="s">
        <v>96</v>
      </c>
      <c r="F2717" t="s">
        <v>96</v>
      </c>
      <c r="G2717" t="s">
        <v>96</v>
      </c>
      <c r="H2717">
        <v>2010</v>
      </c>
      <c r="I2717" t="s">
        <v>96</v>
      </c>
      <c r="J2717" t="s">
        <v>97</v>
      </c>
      <c r="K2717" t="s">
        <v>96</v>
      </c>
      <c r="L2717" t="s">
        <v>96</v>
      </c>
      <c r="M2717">
        <v>1417</v>
      </c>
      <c r="O2717" s="12" t="str">
        <f t="shared" si="98"/>
        <v>AFR</v>
      </c>
      <c r="P2717" s="12" t="str">
        <f t="shared" si="99"/>
        <v>E_SPV</v>
      </c>
    </row>
    <row r="2718" spans="1:16" x14ac:dyDescent="0.35">
      <c r="A2718" t="s">
        <v>1586</v>
      </c>
      <c r="B2718" t="s">
        <v>3110</v>
      </c>
      <c r="C2718" t="s">
        <v>45</v>
      </c>
      <c r="D2718" t="s">
        <v>1694</v>
      </c>
      <c r="E2718" t="s">
        <v>96</v>
      </c>
      <c r="F2718" t="s">
        <v>96</v>
      </c>
      <c r="G2718" t="s">
        <v>96</v>
      </c>
      <c r="H2718">
        <v>2010</v>
      </c>
      <c r="I2718" t="s">
        <v>96</v>
      </c>
      <c r="J2718" t="s">
        <v>97</v>
      </c>
      <c r="K2718" t="s">
        <v>96</v>
      </c>
      <c r="L2718" t="s">
        <v>96</v>
      </c>
      <c r="M2718">
        <v>1417</v>
      </c>
      <c r="O2718" s="12" t="str">
        <f t="shared" si="98"/>
        <v>AFR</v>
      </c>
      <c r="P2718" s="12" t="str">
        <f t="shared" si="99"/>
        <v>E_SPV</v>
      </c>
    </row>
    <row r="2719" spans="1:16" x14ac:dyDescent="0.35">
      <c r="A2719" t="s">
        <v>1586</v>
      </c>
      <c r="B2719" t="s">
        <v>3110</v>
      </c>
      <c r="C2719" t="s">
        <v>45</v>
      </c>
      <c r="D2719" t="s">
        <v>1695</v>
      </c>
      <c r="E2719" t="s">
        <v>96</v>
      </c>
      <c r="F2719" t="s">
        <v>96</v>
      </c>
      <c r="G2719" t="s">
        <v>96</v>
      </c>
      <c r="H2719">
        <v>2010</v>
      </c>
      <c r="I2719" t="s">
        <v>96</v>
      </c>
      <c r="J2719" t="s">
        <v>97</v>
      </c>
      <c r="K2719" t="s">
        <v>96</v>
      </c>
      <c r="L2719" t="s">
        <v>96</v>
      </c>
      <c r="M2719">
        <v>1417</v>
      </c>
      <c r="O2719" s="12" t="str">
        <f t="shared" si="98"/>
        <v>AFR</v>
      </c>
      <c r="P2719" s="12" t="str">
        <f t="shared" si="99"/>
        <v>E_SPV</v>
      </c>
    </row>
    <row r="2720" spans="1:16" x14ac:dyDescent="0.35">
      <c r="A2720" t="s">
        <v>1586</v>
      </c>
      <c r="B2720" t="s">
        <v>3110</v>
      </c>
      <c r="C2720" t="s">
        <v>45</v>
      </c>
      <c r="D2720" t="s">
        <v>1697</v>
      </c>
      <c r="E2720" t="s">
        <v>96</v>
      </c>
      <c r="F2720" t="s">
        <v>96</v>
      </c>
      <c r="G2720" t="s">
        <v>96</v>
      </c>
      <c r="H2720">
        <v>2010</v>
      </c>
      <c r="I2720" t="s">
        <v>96</v>
      </c>
      <c r="J2720" t="s">
        <v>97</v>
      </c>
      <c r="K2720" t="s">
        <v>96</v>
      </c>
      <c r="L2720" t="s">
        <v>96</v>
      </c>
      <c r="M2720">
        <v>1417</v>
      </c>
      <c r="O2720" s="12" t="str">
        <f t="shared" si="98"/>
        <v>AFR</v>
      </c>
      <c r="P2720" s="12" t="str">
        <f t="shared" si="99"/>
        <v>E_SPV</v>
      </c>
    </row>
    <row r="2721" spans="1:16" x14ac:dyDescent="0.35">
      <c r="A2721" t="s">
        <v>1586</v>
      </c>
      <c r="B2721" t="s">
        <v>3110</v>
      </c>
      <c r="C2721" t="s">
        <v>45</v>
      </c>
      <c r="D2721" t="s">
        <v>1699</v>
      </c>
      <c r="E2721" t="s">
        <v>96</v>
      </c>
      <c r="F2721" t="s">
        <v>96</v>
      </c>
      <c r="G2721" t="s">
        <v>96</v>
      </c>
      <c r="H2721">
        <v>2010</v>
      </c>
      <c r="I2721" t="s">
        <v>96</v>
      </c>
      <c r="J2721" t="s">
        <v>97</v>
      </c>
      <c r="K2721" t="s">
        <v>96</v>
      </c>
      <c r="L2721" t="s">
        <v>96</v>
      </c>
      <c r="M2721">
        <v>1417</v>
      </c>
      <c r="O2721" s="12" t="str">
        <f t="shared" si="98"/>
        <v>AFR</v>
      </c>
      <c r="P2721" s="12" t="str">
        <f t="shared" si="99"/>
        <v>E_SPV</v>
      </c>
    </row>
    <row r="2722" spans="1:16" x14ac:dyDescent="0.35">
      <c r="A2722" t="s">
        <v>1586</v>
      </c>
      <c r="B2722" t="s">
        <v>3110</v>
      </c>
      <c r="C2722" t="s">
        <v>45</v>
      </c>
      <c r="D2722" t="s">
        <v>1701</v>
      </c>
      <c r="E2722" t="s">
        <v>96</v>
      </c>
      <c r="F2722" t="s">
        <v>96</v>
      </c>
      <c r="G2722" t="s">
        <v>96</v>
      </c>
      <c r="H2722">
        <v>2010</v>
      </c>
      <c r="I2722" t="s">
        <v>96</v>
      </c>
      <c r="J2722" t="s">
        <v>97</v>
      </c>
      <c r="K2722" t="s">
        <v>96</v>
      </c>
      <c r="L2722" t="s">
        <v>96</v>
      </c>
      <c r="M2722">
        <v>1417</v>
      </c>
      <c r="O2722" s="12" t="str">
        <f t="shared" si="98"/>
        <v>AFR</v>
      </c>
      <c r="P2722" s="12" t="str">
        <f t="shared" si="99"/>
        <v>E_SPV</v>
      </c>
    </row>
    <row r="2723" spans="1:16" x14ac:dyDescent="0.35">
      <c r="A2723" t="s">
        <v>1586</v>
      </c>
      <c r="B2723" t="s">
        <v>3110</v>
      </c>
      <c r="C2723" t="s">
        <v>45</v>
      </c>
      <c r="D2723" t="s">
        <v>1703</v>
      </c>
      <c r="E2723" t="s">
        <v>96</v>
      </c>
      <c r="F2723" t="s">
        <v>96</v>
      </c>
      <c r="G2723" t="s">
        <v>96</v>
      </c>
      <c r="H2723">
        <v>2010</v>
      </c>
      <c r="I2723" t="s">
        <v>96</v>
      </c>
      <c r="J2723" t="s">
        <v>97</v>
      </c>
      <c r="K2723" t="s">
        <v>96</v>
      </c>
      <c r="L2723" t="s">
        <v>96</v>
      </c>
      <c r="M2723">
        <v>1417</v>
      </c>
      <c r="O2723" s="12" t="str">
        <f t="shared" si="98"/>
        <v>AFR</v>
      </c>
      <c r="P2723" s="12" t="str">
        <f t="shared" si="99"/>
        <v>E_SPV</v>
      </c>
    </row>
    <row r="2724" spans="1:16" x14ac:dyDescent="0.35">
      <c r="A2724" t="s">
        <v>1586</v>
      </c>
      <c r="B2724" t="s">
        <v>3110</v>
      </c>
      <c r="C2724" t="s">
        <v>45</v>
      </c>
      <c r="D2724" t="s">
        <v>1706</v>
      </c>
      <c r="E2724" t="s">
        <v>96</v>
      </c>
      <c r="F2724" t="s">
        <v>96</v>
      </c>
      <c r="G2724" t="s">
        <v>96</v>
      </c>
      <c r="H2724">
        <v>2010</v>
      </c>
      <c r="I2724" t="s">
        <v>96</v>
      </c>
      <c r="J2724" t="s">
        <v>97</v>
      </c>
      <c r="K2724" t="s">
        <v>96</v>
      </c>
      <c r="L2724" t="s">
        <v>96</v>
      </c>
      <c r="M2724">
        <v>1417</v>
      </c>
      <c r="O2724" s="12" t="str">
        <f t="shared" si="98"/>
        <v>AFR</v>
      </c>
      <c r="P2724" s="12" t="str">
        <f t="shared" si="99"/>
        <v>E_SPV</v>
      </c>
    </row>
    <row r="2725" spans="1:16" x14ac:dyDescent="0.35">
      <c r="A2725" t="s">
        <v>1586</v>
      </c>
      <c r="B2725" t="s">
        <v>3110</v>
      </c>
      <c r="C2725" t="s">
        <v>45</v>
      </c>
      <c r="D2725" t="s">
        <v>1707</v>
      </c>
      <c r="E2725" t="s">
        <v>96</v>
      </c>
      <c r="F2725" t="s">
        <v>96</v>
      </c>
      <c r="G2725" t="s">
        <v>96</v>
      </c>
      <c r="H2725">
        <v>2010</v>
      </c>
      <c r="I2725" t="s">
        <v>96</v>
      </c>
      <c r="J2725" t="s">
        <v>97</v>
      </c>
      <c r="K2725" t="s">
        <v>96</v>
      </c>
      <c r="L2725" t="s">
        <v>96</v>
      </c>
      <c r="M2725">
        <v>1625</v>
      </c>
      <c r="O2725" s="12" t="str">
        <f t="shared" si="98"/>
        <v>AFR</v>
      </c>
      <c r="P2725" s="12" t="str">
        <f t="shared" si="99"/>
        <v>E_SPV</v>
      </c>
    </row>
    <row r="2726" spans="1:16" x14ac:dyDescent="0.35">
      <c r="A2726" t="s">
        <v>1586</v>
      </c>
      <c r="B2726" t="s">
        <v>3110</v>
      </c>
      <c r="C2726" t="s">
        <v>45</v>
      </c>
      <c r="D2726" t="s">
        <v>1719</v>
      </c>
      <c r="E2726" t="s">
        <v>96</v>
      </c>
      <c r="F2726" t="s">
        <v>96</v>
      </c>
      <c r="G2726" t="s">
        <v>96</v>
      </c>
      <c r="H2726">
        <v>2010</v>
      </c>
      <c r="I2726" t="s">
        <v>96</v>
      </c>
      <c r="J2726" t="s">
        <v>97</v>
      </c>
      <c r="K2726" t="s">
        <v>96</v>
      </c>
      <c r="L2726" t="s">
        <v>96</v>
      </c>
      <c r="M2726">
        <v>1417</v>
      </c>
      <c r="O2726" s="12" t="str">
        <f t="shared" si="98"/>
        <v>AFR</v>
      </c>
      <c r="P2726" s="12" t="str">
        <f t="shared" si="99"/>
        <v>E_SPV</v>
      </c>
    </row>
    <row r="2727" spans="1:16" x14ac:dyDescent="0.35">
      <c r="A2727" t="s">
        <v>1586</v>
      </c>
      <c r="B2727" t="s">
        <v>3110</v>
      </c>
      <c r="C2727" t="s">
        <v>45</v>
      </c>
      <c r="D2727" t="s">
        <v>1720</v>
      </c>
      <c r="E2727" t="s">
        <v>96</v>
      </c>
      <c r="F2727" t="s">
        <v>96</v>
      </c>
      <c r="G2727" t="s">
        <v>96</v>
      </c>
      <c r="H2727">
        <v>2010</v>
      </c>
      <c r="I2727" t="s">
        <v>96</v>
      </c>
      <c r="J2727" t="s">
        <v>97</v>
      </c>
      <c r="K2727" t="s">
        <v>96</v>
      </c>
      <c r="L2727" t="s">
        <v>96</v>
      </c>
      <c r="M2727">
        <v>1417</v>
      </c>
      <c r="O2727" s="12" t="str">
        <f t="shared" si="98"/>
        <v>AFR</v>
      </c>
      <c r="P2727" s="12" t="str">
        <f t="shared" si="99"/>
        <v>E_SPV</v>
      </c>
    </row>
    <row r="2728" spans="1:16" x14ac:dyDescent="0.35">
      <c r="A2728" t="s">
        <v>1586</v>
      </c>
      <c r="B2728" t="s">
        <v>3110</v>
      </c>
      <c r="C2728" t="s">
        <v>45</v>
      </c>
      <c r="D2728" t="s">
        <v>1721</v>
      </c>
      <c r="E2728" t="s">
        <v>96</v>
      </c>
      <c r="F2728" t="s">
        <v>96</v>
      </c>
      <c r="G2728" t="s">
        <v>96</v>
      </c>
      <c r="H2728">
        <v>2010</v>
      </c>
      <c r="I2728" t="s">
        <v>96</v>
      </c>
      <c r="J2728" t="s">
        <v>97</v>
      </c>
      <c r="K2728" t="s">
        <v>96</v>
      </c>
      <c r="L2728" t="s">
        <v>96</v>
      </c>
      <c r="M2728">
        <v>1417</v>
      </c>
      <c r="O2728" s="12" t="str">
        <f t="shared" si="98"/>
        <v>AFR</v>
      </c>
      <c r="P2728" s="12" t="str">
        <f t="shared" si="99"/>
        <v>E_SPV</v>
      </c>
    </row>
    <row r="2729" spans="1:16" x14ac:dyDescent="0.35">
      <c r="A2729" t="s">
        <v>1586</v>
      </c>
      <c r="B2729" t="s">
        <v>3110</v>
      </c>
      <c r="C2729" t="s">
        <v>45</v>
      </c>
      <c r="D2729" t="s">
        <v>1725</v>
      </c>
      <c r="E2729" t="s">
        <v>96</v>
      </c>
      <c r="F2729" t="s">
        <v>96</v>
      </c>
      <c r="G2729" t="s">
        <v>96</v>
      </c>
      <c r="H2729">
        <v>2010</v>
      </c>
      <c r="I2729" t="s">
        <v>96</v>
      </c>
      <c r="J2729" t="s">
        <v>97</v>
      </c>
      <c r="K2729" t="s">
        <v>96</v>
      </c>
      <c r="L2729" t="s">
        <v>96</v>
      </c>
      <c r="M2729">
        <v>1417</v>
      </c>
      <c r="O2729" s="12" t="str">
        <f t="shared" si="98"/>
        <v>AFR</v>
      </c>
      <c r="P2729" s="12" t="str">
        <f t="shared" si="99"/>
        <v>E_SPV</v>
      </c>
    </row>
    <row r="2730" spans="1:16" x14ac:dyDescent="0.35">
      <c r="A2730" t="s">
        <v>1586</v>
      </c>
      <c r="B2730" t="s">
        <v>3110</v>
      </c>
      <c r="C2730" t="s">
        <v>45</v>
      </c>
      <c r="D2730" t="s">
        <v>1726</v>
      </c>
      <c r="E2730" t="s">
        <v>96</v>
      </c>
      <c r="F2730" t="s">
        <v>96</v>
      </c>
      <c r="G2730" t="s">
        <v>96</v>
      </c>
      <c r="H2730">
        <v>2010</v>
      </c>
      <c r="I2730" t="s">
        <v>96</v>
      </c>
      <c r="J2730" t="s">
        <v>97</v>
      </c>
      <c r="K2730" t="s">
        <v>96</v>
      </c>
      <c r="L2730" t="s">
        <v>96</v>
      </c>
      <c r="M2730">
        <v>1417</v>
      </c>
      <c r="O2730" s="12" t="str">
        <f t="shared" si="98"/>
        <v>AFR</v>
      </c>
      <c r="P2730" s="12" t="str">
        <f t="shared" si="99"/>
        <v>E_SPV</v>
      </c>
    </row>
    <row r="2731" spans="1:16" x14ac:dyDescent="0.35">
      <c r="A2731" t="s">
        <v>1586</v>
      </c>
      <c r="B2731" t="s">
        <v>3110</v>
      </c>
      <c r="C2731" t="s">
        <v>45</v>
      </c>
      <c r="D2731" t="s">
        <v>1728</v>
      </c>
      <c r="E2731" t="s">
        <v>96</v>
      </c>
      <c r="F2731" t="s">
        <v>96</v>
      </c>
      <c r="G2731" t="s">
        <v>96</v>
      </c>
      <c r="H2731">
        <v>2010</v>
      </c>
      <c r="I2731" t="s">
        <v>96</v>
      </c>
      <c r="J2731" t="s">
        <v>97</v>
      </c>
      <c r="K2731" t="s">
        <v>96</v>
      </c>
      <c r="L2731" t="s">
        <v>96</v>
      </c>
      <c r="M2731">
        <v>1417</v>
      </c>
      <c r="O2731" s="12" t="str">
        <f t="shared" si="98"/>
        <v>AFR</v>
      </c>
      <c r="P2731" s="12" t="str">
        <f t="shared" si="99"/>
        <v>E_SPV</v>
      </c>
    </row>
    <row r="2732" spans="1:16" x14ac:dyDescent="0.35">
      <c r="A2732" t="s">
        <v>1586</v>
      </c>
      <c r="B2732" t="s">
        <v>3110</v>
      </c>
      <c r="C2732" t="s">
        <v>45</v>
      </c>
      <c r="D2732" t="s">
        <v>1730</v>
      </c>
      <c r="E2732" t="s">
        <v>96</v>
      </c>
      <c r="F2732" t="s">
        <v>96</v>
      </c>
      <c r="G2732" t="s">
        <v>96</v>
      </c>
      <c r="H2732">
        <v>2010</v>
      </c>
      <c r="I2732" t="s">
        <v>96</v>
      </c>
      <c r="J2732" t="s">
        <v>97</v>
      </c>
      <c r="K2732" t="s">
        <v>96</v>
      </c>
      <c r="L2732" t="s">
        <v>96</v>
      </c>
      <c r="M2732">
        <v>1417</v>
      </c>
      <c r="O2732" s="12" t="str">
        <f t="shared" si="98"/>
        <v>AFR</v>
      </c>
      <c r="P2732" s="12" t="str">
        <f t="shared" si="99"/>
        <v>E_SPV</v>
      </c>
    </row>
    <row r="2733" spans="1:16" x14ac:dyDescent="0.35">
      <c r="A2733" t="s">
        <v>1586</v>
      </c>
      <c r="B2733" t="s">
        <v>3110</v>
      </c>
      <c r="C2733" t="s">
        <v>45</v>
      </c>
      <c r="D2733" t="s">
        <v>1732</v>
      </c>
      <c r="E2733" t="s">
        <v>96</v>
      </c>
      <c r="F2733" t="s">
        <v>96</v>
      </c>
      <c r="G2733" t="s">
        <v>96</v>
      </c>
      <c r="H2733">
        <v>2010</v>
      </c>
      <c r="I2733" t="s">
        <v>96</v>
      </c>
      <c r="J2733" t="s">
        <v>97</v>
      </c>
      <c r="K2733" t="s">
        <v>96</v>
      </c>
      <c r="L2733" t="s">
        <v>96</v>
      </c>
      <c r="M2733">
        <v>1417</v>
      </c>
      <c r="O2733" s="12" t="str">
        <f t="shared" si="98"/>
        <v>AFR</v>
      </c>
      <c r="P2733" s="12" t="str">
        <f t="shared" si="99"/>
        <v>E_SPV</v>
      </c>
    </row>
    <row r="2734" spans="1:16" x14ac:dyDescent="0.35">
      <c r="A2734" t="s">
        <v>1586</v>
      </c>
      <c r="B2734" t="s">
        <v>3110</v>
      </c>
      <c r="C2734" t="s">
        <v>45</v>
      </c>
      <c r="D2734" t="s">
        <v>1734</v>
      </c>
      <c r="E2734" t="s">
        <v>96</v>
      </c>
      <c r="F2734" t="s">
        <v>96</v>
      </c>
      <c r="G2734" t="s">
        <v>96</v>
      </c>
      <c r="H2734">
        <v>2010</v>
      </c>
      <c r="I2734" t="s">
        <v>96</v>
      </c>
      <c r="J2734" t="s">
        <v>97</v>
      </c>
      <c r="K2734" t="s">
        <v>96</v>
      </c>
      <c r="L2734" t="s">
        <v>96</v>
      </c>
      <c r="M2734">
        <v>1417</v>
      </c>
      <c r="O2734" s="12" t="str">
        <f t="shared" si="98"/>
        <v>AFR</v>
      </c>
      <c r="P2734" s="12" t="str">
        <f t="shared" si="99"/>
        <v>E_SPV</v>
      </c>
    </row>
    <row r="2735" spans="1:16" x14ac:dyDescent="0.35">
      <c r="A2735" t="s">
        <v>1586</v>
      </c>
      <c r="B2735" t="s">
        <v>3110</v>
      </c>
      <c r="C2735" t="s">
        <v>45</v>
      </c>
      <c r="D2735" t="s">
        <v>1737</v>
      </c>
      <c r="E2735" t="s">
        <v>96</v>
      </c>
      <c r="F2735" t="s">
        <v>96</v>
      </c>
      <c r="G2735" t="s">
        <v>96</v>
      </c>
      <c r="H2735">
        <v>2010</v>
      </c>
      <c r="I2735" t="s">
        <v>96</v>
      </c>
      <c r="J2735" t="s">
        <v>97</v>
      </c>
      <c r="K2735" t="s">
        <v>96</v>
      </c>
      <c r="L2735" t="s">
        <v>96</v>
      </c>
      <c r="M2735">
        <v>1417</v>
      </c>
      <c r="O2735" s="12" t="str">
        <f t="shared" si="98"/>
        <v>AFR</v>
      </c>
      <c r="P2735" s="12" t="str">
        <f t="shared" si="99"/>
        <v>E_SPV</v>
      </c>
    </row>
    <row r="2736" spans="1:16" x14ac:dyDescent="0.35">
      <c r="A2736" t="s">
        <v>1586</v>
      </c>
      <c r="B2736" t="s">
        <v>3110</v>
      </c>
      <c r="C2736" t="s">
        <v>45</v>
      </c>
      <c r="D2736" t="s">
        <v>1738</v>
      </c>
      <c r="E2736" t="s">
        <v>96</v>
      </c>
      <c r="F2736" t="s">
        <v>96</v>
      </c>
      <c r="G2736" t="s">
        <v>96</v>
      </c>
      <c r="H2736">
        <v>2010</v>
      </c>
      <c r="I2736" t="s">
        <v>96</v>
      </c>
      <c r="J2736" t="s">
        <v>97</v>
      </c>
      <c r="K2736" t="s">
        <v>96</v>
      </c>
      <c r="L2736" t="s">
        <v>96</v>
      </c>
      <c r="M2736">
        <v>1625</v>
      </c>
      <c r="O2736" s="12" t="str">
        <f t="shared" si="98"/>
        <v>AFR</v>
      </c>
      <c r="P2736" s="12" t="str">
        <f t="shared" si="99"/>
        <v>E_SPV</v>
      </c>
    </row>
    <row r="2737" spans="1:16" x14ac:dyDescent="0.35">
      <c r="A2737" t="s">
        <v>1586</v>
      </c>
      <c r="B2737" t="s">
        <v>3110</v>
      </c>
      <c r="C2737" t="s">
        <v>45</v>
      </c>
      <c r="D2737" t="s">
        <v>1750</v>
      </c>
      <c r="E2737" t="s">
        <v>96</v>
      </c>
      <c r="F2737" t="s">
        <v>96</v>
      </c>
      <c r="G2737" t="s">
        <v>96</v>
      </c>
      <c r="H2737">
        <v>2010</v>
      </c>
      <c r="I2737" t="s">
        <v>96</v>
      </c>
      <c r="J2737" t="s">
        <v>97</v>
      </c>
      <c r="K2737" t="s">
        <v>96</v>
      </c>
      <c r="L2737" t="s">
        <v>96</v>
      </c>
      <c r="M2737">
        <v>1417</v>
      </c>
      <c r="O2737" s="12" t="str">
        <f t="shared" si="98"/>
        <v>AFR</v>
      </c>
      <c r="P2737" s="12" t="str">
        <f t="shared" si="99"/>
        <v>E_SPV</v>
      </c>
    </row>
    <row r="2738" spans="1:16" x14ac:dyDescent="0.35">
      <c r="A2738" t="s">
        <v>1586</v>
      </c>
      <c r="B2738" t="s">
        <v>3110</v>
      </c>
      <c r="C2738" t="s">
        <v>45</v>
      </c>
      <c r="D2738" t="s">
        <v>1751</v>
      </c>
      <c r="E2738" t="s">
        <v>96</v>
      </c>
      <c r="F2738" t="s">
        <v>96</v>
      </c>
      <c r="G2738" t="s">
        <v>96</v>
      </c>
      <c r="H2738">
        <v>2010</v>
      </c>
      <c r="I2738" t="s">
        <v>96</v>
      </c>
      <c r="J2738" t="s">
        <v>97</v>
      </c>
      <c r="K2738" t="s">
        <v>96</v>
      </c>
      <c r="L2738" t="s">
        <v>96</v>
      </c>
      <c r="M2738">
        <v>1417</v>
      </c>
      <c r="O2738" s="12" t="str">
        <f t="shared" si="98"/>
        <v>AFR</v>
      </c>
      <c r="P2738" s="12" t="str">
        <f t="shared" si="99"/>
        <v>E_SPV</v>
      </c>
    </row>
    <row r="2739" spans="1:16" x14ac:dyDescent="0.35">
      <c r="A2739" t="s">
        <v>1586</v>
      </c>
      <c r="B2739" t="s">
        <v>3110</v>
      </c>
      <c r="C2739" t="s">
        <v>45</v>
      </c>
      <c r="D2739" t="s">
        <v>1752</v>
      </c>
      <c r="E2739" t="s">
        <v>96</v>
      </c>
      <c r="F2739" t="s">
        <v>96</v>
      </c>
      <c r="G2739" t="s">
        <v>96</v>
      </c>
      <c r="H2739">
        <v>2010</v>
      </c>
      <c r="I2739" t="s">
        <v>96</v>
      </c>
      <c r="J2739" t="s">
        <v>97</v>
      </c>
      <c r="K2739" t="s">
        <v>96</v>
      </c>
      <c r="L2739" t="s">
        <v>96</v>
      </c>
      <c r="M2739">
        <v>1417</v>
      </c>
      <c r="O2739" s="12" t="str">
        <f t="shared" si="98"/>
        <v>AFR</v>
      </c>
      <c r="P2739" s="12" t="str">
        <f t="shared" si="99"/>
        <v>E_SPV</v>
      </c>
    </row>
    <row r="2740" spans="1:16" x14ac:dyDescent="0.35">
      <c r="A2740" t="s">
        <v>1586</v>
      </c>
      <c r="B2740" t="s">
        <v>3110</v>
      </c>
      <c r="C2740" t="s">
        <v>45</v>
      </c>
      <c r="D2740" t="s">
        <v>1756</v>
      </c>
      <c r="E2740" t="s">
        <v>96</v>
      </c>
      <c r="F2740" t="s">
        <v>96</v>
      </c>
      <c r="G2740" t="s">
        <v>96</v>
      </c>
      <c r="H2740">
        <v>2010</v>
      </c>
      <c r="I2740" t="s">
        <v>96</v>
      </c>
      <c r="J2740" t="s">
        <v>97</v>
      </c>
      <c r="K2740" t="s">
        <v>96</v>
      </c>
      <c r="L2740" t="s">
        <v>96</v>
      </c>
      <c r="M2740">
        <v>1417</v>
      </c>
      <c r="O2740" s="12" t="str">
        <f t="shared" si="98"/>
        <v>AFR</v>
      </c>
      <c r="P2740" s="12" t="str">
        <f t="shared" si="99"/>
        <v>E_SPV</v>
      </c>
    </row>
    <row r="2741" spans="1:16" x14ac:dyDescent="0.35">
      <c r="A2741" t="s">
        <v>1586</v>
      </c>
      <c r="B2741" t="s">
        <v>3110</v>
      </c>
      <c r="C2741" t="s">
        <v>45</v>
      </c>
      <c r="D2741" t="s">
        <v>1758</v>
      </c>
      <c r="E2741" t="s">
        <v>96</v>
      </c>
      <c r="F2741" t="s">
        <v>96</v>
      </c>
      <c r="G2741" t="s">
        <v>96</v>
      </c>
      <c r="H2741">
        <v>2010</v>
      </c>
      <c r="I2741" t="s">
        <v>96</v>
      </c>
      <c r="J2741" t="s">
        <v>97</v>
      </c>
      <c r="K2741" t="s">
        <v>96</v>
      </c>
      <c r="L2741" t="s">
        <v>96</v>
      </c>
      <c r="M2741">
        <v>1417</v>
      </c>
      <c r="O2741" s="12" t="str">
        <f t="shared" si="98"/>
        <v>AFR</v>
      </c>
      <c r="P2741" s="12" t="str">
        <f t="shared" si="99"/>
        <v>E_SPV</v>
      </c>
    </row>
    <row r="2742" spans="1:16" x14ac:dyDescent="0.35">
      <c r="A2742" t="s">
        <v>1586</v>
      </c>
      <c r="B2742" t="s">
        <v>3110</v>
      </c>
      <c r="C2742" t="s">
        <v>45</v>
      </c>
      <c r="D2742" t="s">
        <v>1760</v>
      </c>
      <c r="E2742" t="s">
        <v>96</v>
      </c>
      <c r="F2742" t="s">
        <v>96</v>
      </c>
      <c r="G2742" t="s">
        <v>96</v>
      </c>
      <c r="H2742">
        <v>2010</v>
      </c>
      <c r="I2742" t="s">
        <v>96</v>
      </c>
      <c r="J2742" t="s">
        <v>97</v>
      </c>
      <c r="K2742" t="s">
        <v>96</v>
      </c>
      <c r="L2742" t="s">
        <v>96</v>
      </c>
      <c r="M2742">
        <v>1417</v>
      </c>
      <c r="O2742" s="12" t="str">
        <f t="shared" si="98"/>
        <v>AFR</v>
      </c>
      <c r="P2742" s="12" t="str">
        <f t="shared" si="99"/>
        <v>E_SPV</v>
      </c>
    </row>
    <row r="2743" spans="1:16" x14ac:dyDescent="0.35">
      <c r="A2743" t="s">
        <v>1586</v>
      </c>
      <c r="B2743" t="s">
        <v>3110</v>
      </c>
      <c r="C2743" t="s">
        <v>45</v>
      </c>
      <c r="D2743" t="s">
        <v>1762</v>
      </c>
      <c r="E2743" t="s">
        <v>96</v>
      </c>
      <c r="F2743" t="s">
        <v>96</v>
      </c>
      <c r="G2743" t="s">
        <v>96</v>
      </c>
      <c r="H2743">
        <v>2010</v>
      </c>
      <c r="I2743" t="s">
        <v>96</v>
      </c>
      <c r="J2743" t="s">
        <v>97</v>
      </c>
      <c r="K2743" t="s">
        <v>96</v>
      </c>
      <c r="L2743" t="s">
        <v>96</v>
      </c>
      <c r="M2743">
        <v>1417</v>
      </c>
      <c r="O2743" s="12" t="str">
        <f t="shared" si="98"/>
        <v>AFR</v>
      </c>
      <c r="P2743" s="12" t="str">
        <f t="shared" si="99"/>
        <v>E_SPV</v>
      </c>
    </row>
    <row r="2744" spans="1:16" x14ac:dyDescent="0.35">
      <c r="A2744" t="s">
        <v>1586</v>
      </c>
      <c r="B2744" t="s">
        <v>3110</v>
      </c>
      <c r="C2744" t="s">
        <v>45</v>
      </c>
      <c r="D2744" t="s">
        <v>1764</v>
      </c>
      <c r="E2744" t="s">
        <v>96</v>
      </c>
      <c r="F2744" t="s">
        <v>96</v>
      </c>
      <c r="G2744" t="s">
        <v>96</v>
      </c>
      <c r="H2744">
        <v>2010</v>
      </c>
      <c r="I2744" t="s">
        <v>96</v>
      </c>
      <c r="J2744" t="s">
        <v>97</v>
      </c>
      <c r="K2744" t="s">
        <v>96</v>
      </c>
      <c r="L2744" t="s">
        <v>96</v>
      </c>
      <c r="M2744">
        <v>1417</v>
      </c>
      <c r="O2744" s="12" t="str">
        <f t="shared" si="98"/>
        <v>AFR</v>
      </c>
      <c r="P2744" s="12" t="str">
        <f t="shared" si="99"/>
        <v>E_SPV</v>
      </c>
    </row>
    <row r="2745" spans="1:16" x14ac:dyDescent="0.35">
      <c r="A2745" t="s">
        <v>1586</v>
      </c>
      <c r="B2745" t="s">
        <v>3110</v>
      </c>
      <c r="C2745" t="s">
        <v>45</v>
      </c>
      <c r="D2745" t="s">
        <v>1766</v>
      </c>
      <c r="E2745" t="s">
        <v>96</v>
      </c>
      <c r="F2745" t="s">
        <v>96</v>
      </c>
      <c r="G2745" t="s">
        <v>96</v>
      </c>
      <c r="H2745">
        <v>2010</v>
      </c>
      <c r="I2745" t="s">
        <v>96</v>
      </c>
      <c r="J2745" t="s">
        <v>97</v>
      </c>
      <c r="K2745" t="s">
        <v>96</v>
      </c>
      <c r="L2745" t="s">
        <v>96</v>
      </c>
      <c r="M2745">
        <v>1417</v>
      </c>
      <c r="O2745" s="12" t="str">
        <f t="shared" si="98"/>
        <v>AFR</v>
      </c>
      <c r="P2745" s="12" t="str">
        <f t="shared" si="99"/>
        <v>E_SPV</v>
      </c>
    </row>
    <row r="2746" spans="1:16" x14ac:dyDescent="0.35">
      <c r="A2746" t="s">
        <v>1586</v>
      </c>
      <c r="B2746" t="s">
        <v>3110</v>
      </c>
      <c r="C2746" t="s">
        <v>45</v>
      </c>
      <c r="D2746" t="s">
        <v>1769</v>
      </c>
      <c r="E2746" t="s">
        <v>96</v>
      </c>
      <c r="F2746" t="s">
        <v>96</v>
      </c>
      <c r="G2746" t="s">
        <v>96</v>
      </c>
      <c r="H2746">
        <v>2010</v>
      </c>
      <c r="I2746" t="s">
        <v>96</v>
      </c>
      <c r="J2746" t="s">
        <v>97</v>
      </c>
      <c r="K2746" t="s">
        <v>96</v>
      </c>
      <c r="L2746" t="s">
        <v>96</v>
      </c>
      <c r="M2746">
        <v>1417</v>
      </c>
      <c r="O2746" s="12" t="str">
        <f t="shared" si="98"/>
        <v>AFR</v>
      </c>
      <c r="P2746" s="12" t="str">
        <f t="shared" si="99"/>
        <v>E_SPV</v>
      </c>
    </row>
    <row r="2747" spans="1:16" x14ac:dyDescent="0.35">
      <c r="A2747" t="s">
        <v>1586</v>
      </c>
      <c r="B2747" t="s">
        <v>3110</v>
      </c>
      <c r="C2747" t="s">
        <v>45</v>
      </c>
      <c r="D2747" t="s">
        <v>1770</v>
      </c>
      <c r="E2747" t="s">
        <v>96</v>
      </c>
      <c r="F2747" t="s">
        <v>96</v>
      </c>
      <c r="G2747" t="s">
        <v>96</v>
      </c>
      <c r="H2747">
        <v>2010</v>
      </c>
      <c r="I2747" t="s">
        <v>96</v>
      </c>
      <c r="J2747" t="s">
        <v>97</v>
      </c>
      <c r="K2747" t="s">
        <v>96</v>
      </c>
      <c r="L2747" t="s">
        <v>96</v>
      </c>
      <c r="M2747">
        <v>1625</v>
      </c>
      <c r="O2747" s="12" t="str">
        <f t="shared" si="98"/>
        <v>AFR</v>
      </c>
      <c r="P2747" s="12" t="str">
        <f t="shared" si="99"/>
        <v>E_SPV</v>
      </c>
    </row>
    <row r="2748" spans="1:16" x14ac:dyDescent="0.35">
      <c r="A2748" t="s">
        <v>1586</v>
      </c>
      <c r="B2748" t="s">
        <v>3110</v>
      </c>
      <c r="C2748" t="s">
        <v>45</v>
      </c>
      <c r="D2748" t="s">
        <v>1778</v>
      </c>
      <c r="E2748" t="s">
        <v>96</v>
      </c>
      <c r="F2748" t="s">
        <v>96</v>
      </c>
      <c r="G2748" t="s">
        <v>96</v>
      </c>
      <c r="H2748">
        <v>2010</v>
      </c>
      <c r="I2748" t="s">
        <v>96</v>
      </c>
      <c r="J2748" t="s">
        <v>97</v>
      </c>
      <c r="K2748" t="s">
        <v>96</v>
      </c>
      <c r="L2748" t="s">
        <v>96</v>
      </c>
      <c r="M2748">
        <v>1417</v>
      </c>
      <c r="O2748" s="12" t="str">
        <f t="shared" si="98"/>
        <v>AFR</v>
      </c>
      <c r="P2748" s="12" t="str">
        <f t="shared" si="99"/>
        <v>E_SPV</v>
      </c>
    </row>
    <row r="2749" spans="1:16" x14ac:dyDescent="0.35">
      <c r="A2749" t="s">
        <v>1586</v>
      </c>
      <c r="B2749" t="s">
        <v>3110</v>
      </c>
      <c r="C2749" t="s">
        <v>45</v>
      </c>
      <c r="D2749" t="s">
        <v>1779</v>
      </c>
      <c r="E2749" t="s">
        <v>96</v>
      </c>
      <c r="F2749" t="s">
        <v>96</v>
      </c>
      <c r="G2749" t="s">
        <v>96</v>
      </c>
      <c r="H2749">
        <v>2010</v>
      </c>
      <c r="I2749" t="s">
        <v>96</v>
      </c>
      <c r="J2749" t="s">
        <v>97</v>
      </c>
      <c r="K2749" t="s">
        <v>96</v>
      </c>
      <c r="L2749" t="s">
        <v>96</v>
      </c>
      <c r="M2749">
        <v>1417</v>
      </c>
      <c r="O2749" s="12" t="str">
        <f t="shared" si="98"/>
        <v>AFR</v>
      </c>
      <c r="P2749" s="12" t="str">
        <f t="shared" si="99"/>
        <v>E_SPV</v>
      </c>
    </row>
    <row r="2750" spans="1:16" x14ac:dyDescent="0.35">
      <c r="A2750" t="s">
        <v>1586</v>
      </c>
      <c r="B2750" t="s">
        <v>3110</v>
      </c>
      <c r="C2750" t="s">
        <v>45</v>
      </c>
      <c r="D2750" t="s">
        <v>1780</v>
      </c>
      <c r="E2750" t="s">
        <v>96</v>
      </c>
      <c r="F2750" t="s">
        <v>96</v>
      </c>
      <c r="G2750" t="s">
        <v>96</v>
      </c>
      <c r="H2750">
        <v>2010</v>
      </c>
      <c r="I2750" t="s">
        <v>96</v>
      </c>
      <c r="J2750" t="s">
        <v>97</v>
      </c>
      <c r="K2750" t="s">
        <v>96</v>
      </c>
      <c r="L2750" t="s">
        <v>96</v>
      </c>
      <c r="M2750">
        <v>1417</v>
      </c>
      <c r="O2750" s="12" t="str">
        <f t="shared" si="98"/>
        <v>AFR</v>
      </c>
      <c r="P2750" s="12" t="str">
        <f t="shared" si="99"/>
        <v>E_SPV</v>
      </c>
    </row>
    <row r="2751" spans="1:16" x14ac:dyDescent="0.35">
      <c r="A2751" t="s">
        <v>1586</v>
      </c>
      <c r="B2751" t="s">
        <v>3110</v>
      </c>
      <c r="C2751" t="s">
        <v>45</v>
      </c>
      <c r="D2751" t="s">
        <v>1783</v>
      </c>
      <c r="E2751" t="s">
        <v>96</v>
      </c>
      <c r="F2751" t="s">
        <v>96</v>
      </c>
      <c r="G2751" t="s">
        <v>96</v>
      </c>
      <c r="H2751">
        <v>2010</v>
      </c>
      <c r="I2751" t="s">
        <v>96</v>
      </c>
      <c r="J2751" t="s">
        <v>97</v>
      </c>
      <c r="K2751" t="s">
        <v>96</v>
      </c>
      <c r="L2751" t="s">
        <v>96</v>
      </c>
      <c r="M2751">
        <v>1417</v>
      </c>
      <c r="O2751" s="12" t="str">
        <f t="shared" si="98"/>
        <v>AFR</v>
      </c>
      <c r="P2751" s="12" t="str">
        <f t="shared" si="99"/>
        <v>E_SPV</v>
      </c>
    </row>
    <row r="2752" spans="1:16" x14ac:dyDescent="0.35">
      <c r="A2752" t="s">
        <v>1586</v>
      </c>
      <c r="B2752" t="s">
        <v>3110</v>
      </c>
      <c r="C2752" t="s">
        <v>45</v>
      </c>
      <c r="D2752" t="s">
        <v>1785</v>
      </c>
      <c r="E2752" t="s">
        <v>96</v>
      </c>
      <c r="F2752" t="s">
        <v>96</v>
      </c>
      <c r="G2752" t="s">
        <v>96</v>
      </c>
      <c r="H2752">
        <v>2010</v>
      </c>
      <c r="I2752" t="s">
        <v>96</v>
      </c>
      <c r="J2752" t="s">
        <v>97</v>
      </c>
      <c r="K2752" t="s">
        <v>96</v>
      </c>
      <c r="L2752" t="s">
        <v>96</v>
      </c>
      <c r="M2752">
        <v>1417</v>
      </c>
      <c r="O2752" s="12" t="str">
        <f t="shared" si="98"/>
        <v>AFR</v>
      </c>
      <c r="P2752" s="12" t="str">
        <f t="shared" si="99"/>
        <v>E_SPV</v>
      </c>
    </row>
    <row r="2753" spans="1:16" x14ac:dyDescent="0.35">
      <c r="A2753" t="s">
        <v>1586</v>
      </c>
      <c r="B2753" t="s">
        <v>3110</v>
      </c>
      <c r="C2753" t="s">
        <v>45</v>
      </c>
      <c r="D2753" t="s">
        <v>1787</v>
      </c>
      <c r="E2753" t="s">
        <v>96</v>
      </c>
      <c r="F2753" t="s">
        <v>96</v>
      </c>
      <c r="G2753" t="s">
        <v>96</v>
      </c>
      <c r="H2753">
        <v>2010</v>
      </c>
      <c r="I2753" t="s">
        <v>96</v>
      </c>
      <c r="J2753" t="s">
        <v>97</v>
      </c>
      <c r="K2753" t="s">
        <v>96</v>
      </c>
      <c r="L2753" t="s">
        <v>96</v>
      </c>
      <c r="M2753">
        <v>1417</v>
      </c>
      <c r="O2753" s="12" t="str">
        <f t="shared" si="98"/>
        <v>AFR</v>
      </c>
      <c r="P2753" s="12" t="str">
        <f t="shared" si="99"/>
        <v>E_SPV</v>
      </c>
    </row>
    <row r="2754" spans="1:16" x14ac:dyDescent="0.35">
      <c r="A2754" t="s">
        <v>1586</v>
      </c>
      <c r="B2754" t="s">
        <v>3110</v>
      </c>
      <c r="C2754" t="s">
        <v>45</v>
      </c>
      <c r="D2754" t="s">
        <v>1788</v>
      </c>
      <c r="E2754" t="s">
        <v>96</v>
      </c>
      <c r="F2754" t="s">
        <v>96</v>
      </c>
      <c r="G2754" t="s">
        <v>96</v>
      </c>
      <c r="H2754">
        <v>2010</v>
      </c>
      <c r="I2754" t="s">
        <v>96</v>
      </c>
      <c r="J2754" t="s">
        <v>97</v>
      </c>
      <c r="K2754" t="s">
        <v>96</v>
      </c>
      <c r="L2754" t="s">
        <v>96</v>
      </c>
      <c r="M2754">
        <v>1417</v>
      </c>
      <c r="O2754" s="12" t="str">
        <f t="shared" si="98"/>
        <v>AFR</v>
      </c>
      <c r="P2754" s="12" t="str">
        <f t="shared" si="99"/>
        <v>E_SPV</v>
      </c>
    </row>
    <row r="2755" spans="1:16" x14ac:dyDescent="0.35">
      <c r="A2755" t="s">
        <v>1586</v>
      </c>
      <c r="B2755" t="s">
        <v>3110</v>
      </c>
      <c r="C2755" t="s">
        <v>45</v>
      </c>
      <c r="D2755" t="s">
        <v>1790</v>
      </c>
      <c r="E2755" t="s">
        <v>96</v>
      </c>
      <c r="F2755" t="s">
        <v>96</v>
      </c>
      <c r="G2755" t="s">
        <v>96</v>
      </c>
      <c r="H2755">
        <v>2010</v>
      </c>
      <c r="I2755" t="s">
        <v>96</v>
      </c>
      <c r="J2755" t="s">
        <v>97</v>
      </c>
      <c r="K2755" t="s">
        <v>96</v>
      </c>
      <c r="L2755" t="s">
        <v>96</v>
      </c>
      <c r="M2755">
        <v>1417</v>
      </c>
      <c r="O2755" s="12" t="str">
        <f t="shared" ref="O2755:O2818" si="100">LEFT(B2755,3)</f>
        <v>AFR</v>
      </c>
      <c r="P2755" s="12" t="str">
        <f t="shared" ref="P2755:P2818" si="101">LEFT(D2755,5)</f>
        <v>E_SPV</v>
      </c>
    </row>
    <row r="2756" spans="1:16" x14ac:dyDescent="0.35">
      <c r="A2756" t="s">
        <v>1586</v>
      </c>
      <c r="B2756" t="s">
        <v>3110</v>
      </c>
      <c r="C2756" t="s">
        <v>45</v>
      </c>
      <c r="D2756" t="s">
        <v>1791</v>
      </c>
      <c r="E2756" t="s">
        <v>96</v>
      </c>
      <c r="F2756" t="s">
        <v>96</v>
      </c>
      <c r="G2756" t="s">
        <v>96</v>
      </c>
      <c r="H2756">
        <v>2010</v>
      </c>
      <c r="I2756" t="s">
        <v>96</v>
      </c>
      <c r="J2756" t="s">
        <v>97</v>
      </c>
      <c r="K2756" t="s">
        <v>96</v>
      </c>
      <c r="L2756" t="s">
        <v>96</v>
      </c>
      <c r="M2756">
        <v>1625</v>
      </c>
      <c r="O2756" s="12" t="str">
        <f t="shared" si="100"/>
        <v>AFR</v>
      </c>
      <c r="P2756" s="12" t="str">
        <f t="shared" si="101"/>
        <v>E_SPV</v>
      </c>
    </row>
    <row r="2757" spans="1:16" x14ac:dyDescent="0.35">
      <c r="A2757" t="s">
        <v>1586</v>
      </c>
      <c r="B2757" t="s">
        <v>3110</v>
      </c>
      <c r="C2757" t="s">
        <v>45</v>
      </c>
      <c r="D2757" t="s">
        <v>1797</v>
      </c>
      <c r="E2757" t="s">
        <v>96</v>
      </c>
      <c r="F2757" t="s">
        <v>96</v>
      </c>
      <c r="G2757" t="s">
        <v>96</v>
      </c>
      <c r="H2757">
        <v>2010</v>
      </c>
      <c r="I2757" t="s">
        <v>96</v>
      </c>
      <c r="J2757" t="s">
        <v>97</v>
      </c>
      <c r="K2757" t="s">
        <v>96</v>
      </c>
      <c r="L2757" t="s">
        <v>96</v>
      </c>
      <c r="M2757">
        <v>1417</v>
      </c>
      <c r="O2757" s="12" t="str">
        <f t="shared" si="100"/>
        <v>AFR</v>
      </c>
      <c r="P2757" s="12" t="str">
        <f t="shared" si="101"/>
        <v>E_SPV</v>
      </c>
    </row>
    <row r="2758" spans="1:16" x14ac:dyDescent="0.35">
      <c r="A2758" t="s">
        <v>1586</v>
      </c>
      <c r="B2758" t="s">
        <v>3110</v>
      </c>
      <c r="C2758" t="s">
        <v>45</v>
      </c>
      <c r="D2758" t="s">
        <v>1798</v>
      </c>
      <c r="E2758" t="s">
        <v>96</v>
      </c>
      <c r="F2758" t="s">
        <v>96</v>
      </c>
      <c r="G2758" t="s">
        <v>96</v>
      </c>
      <c r="H2758">
        <v>2010</v>
      </c>
      <c r="I2758" t="s">
        <v>96</v>
      </c>
      <c r="J2758" t="s">
        <v>97</v>
      </c>
      <c r="K2758" t="s">
        <v>96</v>
      </c>
      <c r="L2758" t="s">
        <v>96</v>
      </c>
      <c r="M2758">
        <v>1417</v>
      </c>
      <c r="O2758" s="12" t="str">
        <f t="shared" si="100"/>
        <v>AFR</v>
      </c>
      <c r="P2758" s="12" t="str">
        <f t="shared" si="101"/>
        <v>E_SPV</v>
      </c>
    </row>
    <row r="2759" spans="1:16" x14ac:dyDescent="0.35">
      <c r="A2759" t="s">
        <v>1586</v>
      </c>
      <c r="B2759" t="s">
        <v>3110</v>
      </c>
      <c r="C2759" t="s">
        <v>45</v>
      </c>
      <c r="D2759" t="s">
        <v>1799</v>
      </c>
      <c r="E2759" t="s">
        <v>96</v>
      </c>
      <c r="F2759" t="s">
        <v>96</v>
      </c>
      <c r="G2759" t="s">
        <v>96</v>
      </c>
      <c r="H2759">
        <v>2010</v>
      </c>
      <c r="I2759" t="s">
        <v>96</v>
      </c>
      <c r="J2759" t="s">
        <v>97</v>
      </c>
      <c r="K2759" t="s">
        <v>96</v>
      </c>
      <c r="L2759" t="s">
        <v>96</v>
      </c>
      <c r="M2759">
        <v>1417</v>
      </c>
      <c r="O2759" s="12" t="str">
        <f t="shared" si="100"/>
        <v>AFR</v>
      </c>
      <c r="P2759" s="12" t="str">
        <f t="shared" si="101"/>
        <v>E_SPV</v>
      </c>
    </row>
    <row r="2760" spans="1:16" x14ac:dyDescent="0.35">
      <c r="A2760" t="s">
        <v>1586</v>
      </c>
      <c r="B2760" t="s">
        <v>3110</v>
      </c>
      <c r="C2760" t="s">
        <v>45</v>
      </c>
      <c r="D2760" t="s">
        <v>1800</v>
      </c>
      <c r="E2760" t="s">
        <v>96</v>
      </c>
      <c r="F2760" t="s">
        <v>96</v>
      </c>
      <c r="G2760" t="s">
        <v>96</v>
      </c>
      <c r="H2760">
        <v>2010</v>
      </c>
      <c r="I2760" t="s">
        <v>96</v>
      </c>
      <c r="J2760" t="s">
        <v>97</v>
      </c>
      <c r="K2760" t="s">
        <v>96</v>
      </c>
      <c r="L2760" t="s">
        <v>96</v>
      </c>
      <c r="M2760">
        <v>1417</v>
      </c>
      <c r="O2760" s="12" t="str">
        <f t="shared" si="100"/>
        <v>AFR</v>
      </c>
      <c r="P2760" s="12" t="str">
        <f t="shared" si="101"/>
        <v>E_SPV</v>
      </c>
    </row>
    <row r="2761" spans="1:16" x14ac:dyDescent="0.35">
      <c r="A2761" t="s">
        <v>1586</v>
      </c>
      <c r="B2761" t="s">
        <v>3110</v>
      </c>
      <c r="C2761" t="s">
        <v>45</v>
      </c>
      <c r="D2761" t="s">
        <v>1802</v>
      </c>
      <c r="E2761" t="s">
        <v>96</v>
      </c>
      <c r="F2761" t="s">
        <v>96</v>
      </c>
      <c r="G2761" t="s">
        <v>96</v>
      </c>
      <c r="H2761">
        <v>2010</v>
      </c>
      <c r="I2761" t="s">
        <v>96</v>
      </c>
      <c r="J2761" t="s">
        <v>97</v>
      </c>
      <c r="K2761" t="s">
        <v>96</v>
      </c>
      <c r="L2761" t="s">
        <v>96</v>
      </c>
      <c r="M2761">
        <v>1417</v>
      </c>
      <c r="O2761" s="12" t="str">
        <f t="shared" si="100"/>
        <v>AFR</v>
      </c>
      <c r="P2761" s="12" t="str">
        <f t="shared" si="101"/>
        <v>E_SPV</v>
      </c>
    </row>
    <row r="2762" spans="1:16" x14ac:dyDescent="0.35">
      <c r="A2762" t="s">
        <v>1586</v>
      </c>
      <c r="B2762" t="s">
        <v>3110</v>
      </c>
      <c r="C2762" t="s">
        <v>45</v>
      </c>
      <c r="D2762" t="s">
        <v>1803</v>
      </c>
      <c r="E2762" t="s">
        <v>96</v>
      </c>
      <c r="F2762" t="s">
        <v>96</v>
      </c>
      <c r="G2762" t="s">
        <v>96</v>
      </c>
      <c r="H2762">
        <v>2010</v>
      </c>
      <c r="I2762" t="s">
        <v>96</v>
      </c>
      <c r="J2762" t="s">
        <v>97</v>
      </c>
      <c r="K2762" t="s">
        <v>96</v>
      </c>
      <c r="L2762" t="s">
        <v>96</v>
      </c>
      <c r="M2762">
        <v>1417</v>
      </c>
      <c r="O2762" s="12" t="str">
        <f t="shared" si="100"/>
        <v>AFR</v>
      </c>
      <c r="P2762" s="12" t="str">
        <f t="shared" si="101"/>
        <v>E_SPV</v>
      </c>
    </row>
    <row r="2763" spans="1:16" x14ac:dyDescent="0.35">
      <c r="A2763" t="s">
        <v>1586</v>
      </c>
      <c r="B2763" t="s">
        <v>3110</v>
      </c>
      <c r="C2763" t="s">
        <v>45</v>
      </c>
      <c r="D2763" t="s">
        <v>1804</v>
      </c>
      <c r="E2763" t="s">
        <v>96</v>
      </c>
      <c r="F2763" t="s">
        <v>96</v>
      </c>
      <c r="G2763" t="s">
        <v>96</v>
      </c>
      <c r="H2763">
        <v>2010</v>
      </c>
      <c r="I2763" t="s">
        <v>96</v>
      </c>
      <c r="J2763" t="s">
        <v>97</v>
      </c>
      <c r="K2763" t="s">
        <v>96</v>
      </c>
      <c r="L2763" t="s">
        <v>96</v>
      </c>
      <c r="M2763">
        <v>1625</v>
      </c>
      <c r="O2763" s="12" t="str">
        <f t="shared" si="100"/>
        <v>AFR</v>
      </c>
      <c r="P2763" s="12" t="str">
        <f t="shared" si="101"/>
        <v>E_SPV</v>
      </c>
    </row>
    <row r="2764" spans="1:16" x14ac:dyDescent="0.35">
      <c r="A2764" t="s">
        <v>1586</v>
      </c>
      <c r="B2764" t="s">
        <v>3111</v>
      </c>
      <c r="C2764" t="s">
        <v>45</v>
      </c>
      <c r="D2764" t="s">
        <v>1587</v>
      </c>
      <c r="E2764" t="s">
        <v>96</v>
      </c>
      <c r="F2764" t="s">
        <v>96</v>
      </c>
      <c r="G2764" t="s">
        <v>96</v>
      </c>
      <c r="H2764">
        <v>2010</v>
      </c>
      <c r="I2764" t="s">
        <v>96</v>
      </c>
      <c r="J2764" t="s">
        <v>97</v>
      </c>
      <c r="K2764" t="s">
        <v>96</v>
      </c>
      <c r="L2764" t="s">
        <v>96</v>
      </c>
      <c r="M2764">
        <v>1417</v>
      </c>
      <c r="O2764" s="12" t="str">
        <f t="shared" si="100"/>
        <v>AFR</v>
      </c>
      <c r="P2764" s="12" t="str">
        <f t="shared" si="101"/>
        <v>E_SPV</v>
      </c>
    </row>
    <row r="2765" spans="1:16" x14ac:dyDescent="0.35">
      <c r="A2765" t="s">
        <v>1586</v>
      </c>
      <c r="B2765" t="s">
        <v>3111</v>
      </c>
      <c r="C2765" t="s">
        <v>45</v>
      </c>
      <c r="D2765" t="s">
        <v>1588</v>
      </c>
      <c r="E2765" t="s">
        <v>96</v>
      </c>
      <c r="F2765" t="s">
        <v>96</v>
      </c>
      <c r="G2765" t="s">
        <v>96</v>
      </c>
      <c r="H2765">
        <v>2010</v>
      </c>
      <c r="I2765" t="s">
        <v>96</v>
      </c>
      <c r="J2765" t="s">
        <v>97</v>
      </c>
      <c r="K2765" t="s">
        <v>96</v>
      </c>
      <c r="L2765" t="s">
        <v>96</v>
      </c>
      <c r="M2765">
        <v>1417</v>
      </c>
      <c r="O2765" s="12" t="str">
        <f t="shared" si="100"/>
        <v>AFR</v>
      </c>
      <c r="P2765" s="12" t="str">
        <f t="shared" si="101"/>
        <v>E_SPV</v>
      </c>
    </row>
    <row r="2766" spans="1:16" x14ac:dyDescent="0.35">
      <c r="A2766" t="s">
        <v>1586</v>
      </c>
      <c r="B2766" t="s">
        <v>3111</v>
      </c>
      <c r="C2766" t="s">
        <v>45</v>
      </c>
      <c r="D2766" t="s">
        <v>1589</v>
      </c>
      <c r="E2766" t="s">
        <v>96</v>
      </c>
      <c r="F2766" t="s">
        <v>96</v>
      </c>
      <c r="G2766" t="s">
        <v>96</v>
      </c>
      <c r="H2766">
        <v>2010</v>
      </c>
      <c r="I2766" t="s">
        <v>96</v>
      </c>
      <c r="J2766" t="s">
        <v>97</v>
      </c>
      <c r="K2766" t="s">
        <v>96</v>
      </c>
      <c r="L2766" t="s">
        <v>96</v>
      </c>
      <c r="M2766">
        <v>1417</v>
      </c>
      <c r="O2766" s="12" t="str">
        <f t="shared" si="100"/>
        <v>AFR</v>
      </c>
      <c r="P2766" s="12" t="str">
        <f t="shared" si="101"/>
        <v>E_SPV</v>
      </c>
    </row>
    <row r="2767" spans="1:16" x14ac:dyDescent="0.35">
      <c r="A2767" t="s">
        <v>1586</v>
      </c>
      <c r="B2767" t="s">
        <v>3111</v>
      </c>
      <c r="C2767" t="s">
        <v>45</v>
      </c>
      <c r="D2767" t="s">
        <v>1590</v>
      </c>
      <c r="E2767" t="s">
        <v>96</v>
      </c>
      <c r="F2767" t="s">
        <v>96</v>
      </c>
      <c r="G2767" t="s">
        <v>96</v>
      </c>
      <c r="H2767">
        <v>2010</v>
      </c>
      <c r="I2767" t="s">
        <v>96</v>
      </c>
      <c r="J2767" t="s">
        <v>97</v>
      </c>
      <c r="K2767" t="s">
        <v>96</v>
      </c>
      <c r="L2767" t="s">
        <v>96</v>
      </c>
      <c r="M2767">
        <v>1417</v>
      </c>
      <c r="O2767" s="12" t="str">
        <f t="shared" si="100"/>
        <v>AFR</v>
      </c>
      <c r="P2767" s="12" t="str">
        <f t="shared" si="101"/>
        <v>E_SPV</v>
      </c>
    </row>
    <row r="2768" spans="1:16" x14ac:dyDescent="0.35">
      <c r="A2768" t="s">
        <v>1586</v>
      </c>
      <c r="B2768" t="s">
        <v>3111</v>
      </c>
      <c r="C2768" t="s">
        <v>45</v>
      </c>
      <c r="D2768" t="s">
        <v>1591</v>
      </c>
      <c r="E2768" t="s">
        <v>96</v>
      </c>
      <c r="F2768" t="s">
        <v>96</v>
      </c>
      <c r="G2768" t="s">
        <v>96</v>
      </c>
      <c r="H2768">
        <v>2010</v>
      </c>
      <c r="I2768" t="s">
        <v>96</v>
      </c>
      <c r="J2768" t="s">
        <v>97</v>
      </c>
      <c r="K2768" t="s">
        <v>96</v>
      </c>
      <c r="L2768" t="s">
        <v>96</v>
      </c>
      <c r="M2768">
        <v>1417</v>
      </c>
      <c r="O2768" s="12" t="str">
        <f t="shared" si="100"/>
        <v>AFR</v>
      </c>
      <c r="P2768" s="12" t="str">
        <f t="shared" si="101"/>
        <v>E_SPV</v>
      </c>
    </row>
    <row r="2769" spans="1:16" x14ac:dyDescent="0.35">
      <c r="A2769" t="s">
        <v>1586</v>
      </c>
      <c r="B2769" t="s">
        <v>3111</v>
      </c>
      <c r="C2769" t="s">
        <v>45</v>
      </c>
      <c r="D2769" t="s">
        <v>1592</v>
      </c>
      <c r="E2769" t="s">
        <v>96</v>
      </c>
      <c r="F2769" t="s">
        <v>96</v>
      </c>
      <c r="G2769" t="s">
        <v>96</v>
      </c>
      <c r="H2769">
        <v>2010</v>
      </c>
      <c r="I2769" t="s">
        <v>96</v>
      </c>
      <c r="J2769" t="s">
        <v>97</v>
      </c>
      <c r="K2769" t="s">
        <v>96</v>
      </c>
      <c r="L2769" t="s">
        <v>96</v>
      </c>
      <c r="M2769">
        <v>1417</v>
      </c>
      <c r="O2769" s="12" t="str">
        <f t="shared" si="100"/>
        <v>AFR</v>
      </c>
      <c r="P2769" s="12" t="str">
        <f t="shared" si="101"/>
        <v>E_SPV</v>
      </c>
    </row>
    <row r="2770" spans="1:16" x14ac:dyDescent="0.35">
      <c r="A2770" t="s">
        <v>1586</v>
      </c>
      <c r="B2770" t="s">
        <v>3111</v>
      </c>
      <c r="C2770" t="s">
        <v>45</v>
      </c>
      <c r="D2770" t="s">
        <v>1593</v>
      </c>
      <c r="E2770" t="s">
        <v>96</v>
      </c>
      <c r="F2770" t="s">
        <v>96</v>
      </c>
      <c r="G2770" t="s">
        <v>96</v>
      </c>
      <c r="H2770">
        <v>2010</v>
      </c>
      <c r="I2770" t="s">
        <v>96</v>
      </c>
      <c r="J2770" t="s">
        <v>97</v>
      </c>
      <c r="K2770" t="s">
        <v>96</v>
      </c>
      <c r="L2770" t="s">
        <v>96</v>
      </c>
      <c r="M2770">
        <v>1417</v>
      </c>
      <c r="O2770" s="12" t="str">
        <f t="shared" si="100"/>
        <v>AFR</v>
      </c>
      <c r="P2770" s="12" t="str">
        <f t="shared" si="101"/>
        <v>E_SPV</v>
      </c>
    </row>
    <row r="2771" spans="1:16" x14ac:dyDescent="0.35">
      <c r="A2771" t="s">
        <v>1586</v>
      </c>
      <c r="B2771" t="s">
        <v>3111</v>
      </c>
      <c r="C2771" t="s">
        <v>45</v>
      </c>
      <c r="D2771" t="s">
        <v>1594</v>
      </c>
      <c r="E2771" t="s">
        <v>96</v>
      </c>
      <c r="F2771" t="s">
        <v>96</v>
      </c>
      <c r="G2771" t="s">
        <v>96</v>
      </c>
      <c r="H2771">
        <v>2010</v>
      </c>
      <c r="I2771" t="s">
        <v>96</v>
      </c>
      <c r="J2771" t="s">
        <v>97</v>
      </c>
      <c r="K2771" t="s">
        <v>96</v>
      </c>
      <c r="L2771" t="s">
        <v>96</v>
      </c>
      <c r="M2771">
        <v>1417</v>
      </c>
      <c r="O2771" s="12" t="str">
        <f t="shared" si="100"/>
        <v>AFR</v>
      </c>
      <c r="P2771" s="12" t="str">
        <f t="shared" si="101"/>
        <v>E_SPV</v>
      </c>
    </row>
    <row r="2772" spans="1:16" x14ac:dyDescent="0.35">
      <c r="A2772" t="s">
        <v>1586</v>
      </c>
      <c r="B2772" t="s">
        <v>3111</v>
      </c>
      <c r="C2772" t="s">
        <v>45</v>
      </c>
      <c r="D2772" t="s">
        <v>1595</v>
      </c>
      <c r="E2772" t="s">
        <v>96</v>
      </c>
      <c r="F2772" t="s">
        <v>96</v>
      </c>
      <c r="G2772" t="s">
        <v>96</v>
      </c>
      <c r="H2772">
        <v>2010</v>
      </c>
      <c r="I2772" t="s">
        <v>96</v>
      </c>
      <c r="J2772" t="s">
        <v>97</v>
      </c>
      <c r="K2772" t="s">
        <v>96</v>
      </c>
      <c r="L2772" t="s">
        <v>96</v>
      </c>
      <c r="M2772">
        <v>1417</v>
      </c>
      <c r="O2772" s="12" t="str">
        <f t="shared" si="100"/>
        <v>AFR</v>
      </c>
      <c r="P2772" s="12" t="str">
        <f t="shared" si="101"/>
        <v>E_SPV</v>
      </c>
    </row>
    <row r="2773" spans="1:16" x14ac:dyDescent="0.35">
      <c r="A2773" t="s">
        <v>1586</v>
      </c>
      <c r="B2773" t="s">
        <v>3111</v>
      </c>
      <c r="C2773" t="s">
        <v>45</v>
      </c>
      <c r="D2773" t="s">
        <v>1596</v>
      </c>
      <c r="E2773" t="s">
        <v>96</v>
      </c>
      <c r="F2773" t="s">
        <v>96</v>
      </c>
      <c r="G2773" t="s">
        <v>96</v>
      </c>
      <c r="H2773">
        <v>2010</v>
      </c>
      <c r="I2773" t="s">
        <v>96</v>
      </c>
      <c r="J2773" t="s">
        <v>97</v>
      </c>
      <c r="K2773" t="s">
        <v>96</v>
      </c>
      <c r="L2773" t="s">
        <v>96</v>
      </c>
      <c r="M2773">
        <v>1417</v>
      </c>
      <c r="O2773" s="12" t="str">
        <f t="shared" si="100"/>
        <v>AFR</v>
      </c>
      <c r="P2773" s="12" t="str">
        <f t="shared" si="101"/>
        <v>E_SPV</v>
      </c>
    </row>
    <row r="2774" spans="1:16" x14ac:dyDescent="0.35">
      <c r="A2774" t="s">
        <v>1586</v>
      </c>
      <c r="B2774" t="s">
        <v>3111</v>
      </c>
      <c r="C2774" t="s">
        <v>45</v>
      </c>
      <c r="D2774" t="s">
        <v>1597</v>
      </c>
      <c r="E2774" t="s">
        <v>96</v>
      </c>
      <c r="F2774" t="s">
        <v>96</v>
      </c>
      <c r="G2774" t="s">
        <v>96</v>
      </c>
      <c r="H2774">
        <v>2010</v>
      </c>
      <c r="I2774" t="s">
        <v>96</v>
      </c>
      <c r="J2774" t="s">
        <v>97</v>
      </c>
      <c r="K2774" t="s">
        <v>96</v>
      </c>
      <c r="L2774" t="s">
        <v>96</v>
      </c>
      <c r="M2774">
        <v>1417</v>
      </c>
      <c r="O2774" s="12" t="str">
        <f t="shared" si="100"/>
        <v>AFR</v>
      </c>
      <c r="P2774" s="12" t="str">
        <f t="shared" si="101"/>
        <v>E_SPV</v>
      </c>
    </row>
    <row r="2775" spans="1:16" x14ac:dyDescent="0.35">
      <c r="A2775" t="s">
        <v>1586</v>
      </c>
      <c r="B2775" t="s">
        <v>3111</v>
      </c>
      <c r="C2775" t="s">
        <v>45</v>
      </c>
      <c r="D2775" t="s">
        <v>1598</v>
      </c>
      <c r="E2775" t="s">
        <v>96</v>
      </c>
      <c r="F2775" t="s">
        <v>96</v>
      </c>
      <c r="G2775" t="s">
        <v>96</v>
      </c>
      <c r="H2775">
        <v>2010</v>
      </c>
      <c r="I2775" t="s">
        <v>96</v>
      </c>
      <c r="J2775" t="s">
        <v>97</v>
      </c>
      <c r="K2775" t="s">
        <v>96</v>
      </c>
      <c r="L2775" t="s">
        <v>96</v>
      </c>
      <c r="M2775">
        <v>1417</v>
      </c>
      <c r="O2775" s="12" t="str">
        <f t="shared" si="100"/>
        <v>AFR</v>
      </c>
      <c r="P2775" s="12" t="str">
        <f t="shared" si="101"/>
        <v>E_SPV</v>
      </c>
    </row>
    <row r="2776" spans="1:16" x14ac:dyDescent="0.35">
      <c r="A2776" t="s">
        <v>1586</v>
      </c>
      <c r="B2776" t="s">
        <v>3111</v>
      </c>
      <c r="C2776" t="s">
        <v>45</v>
      </c>
      <c r="D2776" t="s">
        <v>1599</v>
      </c>
      <c r="E2776" t="s">
        <v>96</v>
      </c>
      <c r="F2776" t="s">
        <v>96</v>
      </c>
      <c r="G2776" t="s">
        <v>96</v>
      </c>
      <c r="H2776">
        <v>2010</v>
      </c>
      <c r="I2776" t="s">
        <v>96</v>
      </c>
      <c r="J2776" t="s">
        <v>97</v>
      </c>
      <c r="K2776" t="s">
        <v>96</v>
      </c>
      <c r="L2776" t="s">
        <v>96</v>
      </c>
      <c r="M2776">
        <v>1417</v>
      </c>
      <c r="O2776" s="12" t="str">
        <f t="shared" si="100"/>
        <v>AFR</v>
      </c>
      <c r="P2776" s="12" t="str">
        <f t="shared" si="101"/>
        <v>E_SPV</v>
      </c>
    </row>
    <row r="2777" spans="1:16" x14ac:dyDescent="0.35">
      <c r="A2777" t="s">
        <v>1586</v>
      </c>
      <c r="B2777" t="s">
        <v>3111</v>
      </c>
      <c r="C2777" t="s">
        <v>45</v>
      </c>
      <c r="D2777" t="s">
        <v>1600</v>
      </c>
      <c r="E2777" t="s">
        <v>96</v>
      </c>
      <c r="F2777" t="s">
        <v>96</v>
      </c>
      <c r="G2777" t="s">
        <v>96</v>
      </c>
      <c r="H2777">
        <v>2010</v>
      </c>
      <c r="I2777" t="s">
        <v>96</v>
      </c>
      <c r="J2777" t="s">
        <v>97</v>
      </c>
      <c r="K2777" t="s">
        <v>96</v>
      </c>
      <c r="L2777" t="s">
        <v>96</v>
      </c>
      <c r="M2777">
        <v>1417</v>
      </c>
      <c r="O2777" s="12" t="str">
        <f t="shared" si="100"/>
        <v>AFR</v>
      </c>
      <c r="P2777" s="12" t="str">
        <f t="shared" si="101"/>
        <v>E_SPV</v>
      </c>
    </row>
    <row r="2778" spans="1:16" x14ac:dyDescent="0.35">
      <c r="A2778" t="s">
        <v>1586</v>
      </c>
      <c r="B2778" t="s">
        <v>3111</v>
      </c>
      <c r="C2778" t="s">
        <v>45</v>
      </c>
      <c r="D2778" t="s">
        <v>1601</v>
      </c>
      <c r="E2778" t="s">
        <v>96</v>
      </c>
      <c r="F2778" t="s">
        <v>96</v>
      </c>
      <c r="G2778" t="s">
        <v>96</v>
      </c>
      <c r="H2778">
        <v>2010</v>
      </c>
      <c r="I2778" t="s">
        <v>96</v>
      </c>
      <c r="J2778" t="s">
        <v>97</v>
      </c>
      <c r="K2778" t="s">
        <v>96</v>
      </c>
      <c r="L2778" t="s">
        <v>96</v>
      </c>
      <c r="M2778">
        <v>1417</v>
      </c>
      <c r="O2778" s="12" t="str">
        <f t="shared" si="100"/>
        <v>AFR</v>
      </c>
      <c r="P2778" s="12" t="str">
        <f t="shared" si="101"/>
        <v>E_SPV</v>
      </c>
    </row>
    <row r="2779" spans="1:16" x14ac:dyDescent="0.35">
      <c r="A2779" t="s">
        <v>1586</v>
      </c>
      <c r="B2779" t="s">
        <v>3111</v>
      </c>
      <c r="C2779" t="s">
        <v>45</v>
      </c>
      <c r="D2779" t="s">
        <v>1603</v>
      </c>
      <c r="E2779" t="s">
        <v>96</v>
      </c>
      <c r="F2779" t="s">
        <v>96</v>
      </c>
      <c r="G2779" t="s">
        <v>96</v>
      </c>
      <c r="H2779">
        <v>2010</v>
      </c>
      <c r="I2779" t="s">
        <v>96</v>
      </c>
      <c r="J2779" t="s">
        <v>97</v>
      </c>
      <c r="K2779" t="s">
        <v>96</v>
      </c>
      <c r="L2779" t="s">
        <v>96</v>
      </c>
      <c r="M2779">
        <v>1417</v>
      </c>
      <c r="O2779" s="12" t="str">
        <f t="shared" si="100"/>
        <v>AFR</v>
      </c>
      <c r="P2779" s="12" t="str">
        <f t="shared" si="101"/>
        <v>E_SPV</v>
      </c>
    </row>
    <row r="2780" spans="1:16" x14ac:dyDescent="0.35">
      <c r="A2780" t="s">
        <v>1586</v>
      </c>
      <c r="B2780" t="s">
        <v>3111</v>
      </c>
      <c r="C2780" t="s">
        <v>45</v>
      </c>
      <c r="D2780" t="s">
        <v>1604</v>
      </c>
      <c r="E2780" t="s">
        <v>96</v>
      </c>
      <c r="F2780" t="s">
        <v>96</v>
      </c>
      <c r="G2780" t="s">
        <v>96</v>
      </c>
      <c r="H2780">
        <v>2010</v>
      </c>
      <c r="I2780" t="s">
        <v>96</v>
      </c>
      <c r="J2780" t="s">
        <v>97</v>
      </c>
      <c r="K2780" t="s">
        <v>96</v>
      </c>
      <c r="L2780" t="s">
        <v>96</v>
      </c>
      <c r="M2780">
        <v>1417</v>
      </c>
      <c r="O2780" s="12" t="str">
        <f t="shared" si="100"/>
        <v>AFR</v>
      </c>
      <c r="P2780" s="12" t="str">
        <f t="shared" si="101"/>
        <v>E_SPV</v>
      </c>
    </row>
    <row r="2781" spans="1:16" x14ac:dyDescent="0.35">
      <c r="A2781" t="s">
        <v>1586</v>
      </c>
      <c r="B2781" t="s">
        <v>3111</v>
      </c>
      <c r="C2781" t="s">
        <v>45</v>
      </c>
      <c r="D2781" t="s">
        <v>1605</v>
      </c>
      <c r="E2781" t="s">
        <v>96</v>
      </c>
      <c r="F2781" t="s">
        <v>96</v>
      </c>
      <c r="G2781" t="s">
        <v>96</v>
      </c>
      <c r="H2781">
        <v>2010</v>
      </c>
      <c r="I2781" t="s">
        <v>96</v>
      </c>
      <c r="J2781" t="s">
        <v>97</v>
      </c>
      <c r="K2781" t="s">
        <v>96</v>
      </c>
      <c r="L2781" t="s">
        <v>96</v>
      </c>
      <c r="M2781">
        <v>1417</v>
      </c>
      <c r="O2781" s="12" t="str">
        <f t="shared" si="100"/>
        <v>AFR</v>
      </c>
      <c r="P2781" s="12" t="str">
        <f t="shared" si="101"/>
        <v>E_SPV</v>
      </c>
    </row>
    <row r="2782" spans="1:16" x14ac:dyDescent="0.35">
      <c r="A2782" t="s">
        <v>1586</v>
      </c>
      <c r="B2782" t="s">
        <v>3111</v>
      </c>
      <c r="C2782" t="s">
        <v>45</v>
      </c>
      <c r="D2782" t="s">
        <v>1607</v>
      </c>
      <c r="E2782" t="s">
        <v>96</v>
      </c>
      <c r="F2782" t="s">
        <v>96</v>
      </c>
      <c r="G2782" t="s">
        <v>96</v>
      </c>
      <c r="H2782">
        <v>2010</v>
      </c>
      <c r="I2782" t="s">
        <v>96</v>
      </c>
      <c r="J2782" t="s">
        <v>97</v>
      </c>
      <c r="K2782" t="s">
        <v>96</v>
      </c>
      <c r="L2782" t="s">
        <v>96</v>
      </c>
      <c r="M2782">
        <v>1417</v>
      </c>
      <c r="O2782" s="12" t="str">
        <f t="shared" si="100"/>
        <v>AFR</v>
      </c>
      <c r="P2782" s="12" t="str">
        <f t="shared" si="101"/>
        <v>E_SPV</v>
      </c>
    </row>
    <row r="2783" spans="1:16" x14ac:dyDescent="0.35">
      <c r="A2783" t="s">
        <v>1586</v>
      </c>
      <c r="B2783" t="s">
        <v>3111</v>
      </c>
      <c r="C2783" t="s">
        <v>45</v>
      </c>
      <c r="D2783" t="s">
        <v>1608</v>
      </c>
      <c r="E2783" t="s">
        <v>96</v>
      </c>
      <c r="F2783" t="s">
        <v>96</v>
      </c>
      <c r="G2783" t="s">
        <v>96</v>
      </c>
      <c r="H2783">
        <v>2010</v>
      </c>
      <c r="I2783" t="s">
        <v>96</v>
      </c>
      <c r="J2783" t="s">
        <v>97</v>
      </c>
      <c r="K2783" t="s">
        <v>96</v>
      </c>
      <c r="L2783" t="s">
        <v>96</v>
      </c>
      <c r="M2783">
        <v>1417</v>
      </c>
      <c r="O2783" s="12" t="str">
        <f t="shared" si="100"/>
        <v>AFR</v>
      </c>
      <c r="P2783" s="12" t="str">
        <f t="shared" si="101"/>
        <v>E_SPV</v>
      </c>
    </row>
    <row r="2784" spans="1:16" x14ac:dyDescent="0.35">
      <c r="A2784" t="s">
        <v>1586</v>
      </c>
      <c r="B2784" t="s">
        <v>3111</v>
      </c>
      <c r="C2784" t="s">
        <v>45</v>
      </c>
      <c r="D2784" t="s">
        <v>1609</v>
      </c>
      <c r="E2784" t="s">
        <v>96</v>
      </c>
      <c r="F2784" t="s">
        <v>96</v>
      </c>
      <c r="G2784" t="s">
        <v>96</v>
      </c>
      <c r="H2784">
        <v>2010</v>
      </c>
      <c r="I2784" t="s">
        <v>96</v>
      </c>
      <c r="J2784" t="s">
        <v>97</v>
      </c>
      <c r="K2784" t="s">
        <v>96</v>
      </c>
      <c r="L2784" t="s">
        <v>96</v>
      </c>
      <c r="M2784">
        <v>1417</v>
      </c>
      <c r="O2784" s="12" t="str">
        <f t="shared" si="100"/>
        <v>AFR</v>
      </c>
      <c r="P2784" s="12" t="str">
        <f t="shared" si="101"/>
        <v>E_SPV</v>
      </c>
    </row>
    <row r="2785" spans="1:16" x14ac:dyDescent="0.35">
      <c r="A2785" t="s">
        <v>1586</v>
      </c>
      <c r="B2785" t="s">
        <v>3111</v>
      </c>
      <c r="C2785" t="s">
        <v>45</v>
      </c>
      <c r="D2785" t="s">
        <v>1610</v>
      </c>
      <c r="E2785" t="s">
        <v>96</v>
      </c>
      <c r="F2785" t="s">
        <v>96</v>
      </c>
      <c r="G2785" t="s">
        <v>96</v>
      </c>
      <c r="H2785">
        <v>2010</v>
      </c>
      <c r="I2785" t="s">
        <v>96</v>
      </c>
      <c r="J2785" t="s">
        <v>97</v>
      </c>
      <c r="K2785" t="s">
        <v>96</v>
      </c>
      <c r="L2785" t="s">
        <v>96</v>
      </c>
      <c r="M2785">
        <v>1417</v>
      </c>
      <c r="O2785" s="12" t="str">
        <f t="shared" si="100"/>
        <v>AFR</v>
      </c>
      <c r="P2785" s="12" t="str">
        <f t="shared" si="101"/>
        <v>E_SPV</v>
      </c>
    </row>
    <row r="2786" spans="1:16" x14ac:dyDescent="0.35">
      <c r="A2786" t="s">
        <v>1586</v>
      </c>
      <c r="B2786" t="s">
        <v>3111</v>
      </c>
      <c r="C2786" t="s">
        <v>45</v>
      </c>
      <c r="D2786" t="s">
        <v>1611</v>
      </c>
      <c r="E2786" t="s">
        <v>96</v>
      </c>
      <c r="F2786" t="s">
        <v>96</v>
      </c>
      <c r="G2786" t="s">
        <v>96</v>
      </c>
      <c r="H2786">
        <v>2010</v>
      </c>
      <c r="I2786" t="s">
        <v>96</v>
      </c>
      <c r="J2786" t="s">
        <v>97</v>
      </c>
      <c r="K2786" t="s">
        <v>96</v>
      </c>
      <c r="L2786" t="s">
        <v>96</v>
      </c>
      <c r="M2786">
        <v>1209</v>
      </c>
      <c r="O2786" s="12" t="str">
        <f t="shared" si="100"/>
        <v>AFR</v>
      </c>
      <c r="P2786" s="12" t="str">
        <f t="shared" si="101"/>
        <v>E_SPV</v>
      </c>
    </row>
    <row r="2787" spans="1:16" x14ac:dyDescent="0.35">
      <c r="A2787" t="s">
        <v>1586</v>
      </c>
      <c r="B2787" t="s">
        <v>3111</v>
      </c>
      <c r="C2787" t="s">
        <v>45</v>
      </c>
      <c r="D2787" t="s">
        <v>1612</v>
      </c>
      <c r="E2787" t="s">
        <v>96</v>
      </c>
      <c r="F2787" t="s">
        <v>96</v>
      </c>
      <c r="G2787" t="s">
        <v>96</v>
      </c>
      <c r="H2787">
        <v>2010</v>
      </c>
      <c r="I2787" t="s">
        <v>96</v>
      </c>
      <c r="J2787" t="s">
        <v>97</v>
      </c>
      <c r="K2787" t="s">
        <v>96</v>
      </c>
      <c r="L2787" t="s">
        <v>96</v>
      </c>
      <c r="M2787">
        <v>1417</v>
      </c>
      <c r="O2787" s="12" t="str">
        <f t="shared" si="100"/>
        <v>AFR</v>
      </c>
      <c r="P2787" s="12" t="str">
        <f t="shared" si="101"/>
        <v>E_SPV</v>
      </c>
    </row>
    <row r="2788" spans="1:16" x14ac:dyDescent="0.35">
      <c r="A2788" t="s">
        <v>1586</v>
      </c>
      <c r="B2788" t="s">
        <v>3111</v>
      </c>
      <c r="C2788" t="s">
        <v>45</v>
      </c>
      <c r="D2788" t="s">
        <v>1613</v>
      </c>
      <c r="E2788" t="s">
        <v>96</v>
      </c>
      <c r="F2788" t="s">
        <v>96</v>
      </c>
      <c r="G2788" t="s">
        <v>96</v>
      </c>
      <c r="H2788">
        <v>2010</v>
      </c>
      <c r="I2788" t="s">
        <v>96</v>
      </c>
      <c r="J2788" t="s">
        <v>97</v>
      </c>
      <c r="K2788" t="s">
        <v>96</v>
      </c>
      <c r="L2788" t="s">
        <v>96</v>
      </c>
      <c r="M2788">
        <v>1417</v>
      </c>
      <c r="O2788" s="12" t="str">
        <f t="shared" si="100"/>
        <v>AFR</v>
      </c>
      <c r="P2788" s="12" t="str">
        <f t="shared" si="101"/>
        <v>E_SPV</v>
      </c>
    </row>
    <row r="2789" spans="1:16" x14ac:dyDescent="0.35">
      <c r="A2789" t="s">
        <v>1586</v>
      </c>
      <c r="B2789" t="s">
        <v>3111</v>
      </c>
      <c r="C2789" t="s">
        <v>45</v>
      </c>
      <c r="D2789" t="s">
        <v>1614</v>
      </c>
      <c r="E2789" t="s">
        <v>96</v>
      </c>
      <c r="F2789" t="s">
        <v>96</v>
      </c>
      <c r="G2789" t="s">
        <v>96</v>
      </c>
      <c r="H2789">
        <v>2010</v>
      </c>
      <c r="I2789" t="s">
        <v>96</v>
      </c>
      <c r="J2789" t="s">
        <v>97</v>
      </c>
      <c r="K2789" t="s">
        <v>96</v>
      </c>
      <c r="L2789" t="s">
        <v>96</v>
      </c>
      <c r="M2789">
        <v>1417</v>
      </c>
      <c r="O2789" s="12" t="str">
        <f t="shared" si="100"/>
        <v>AFR</v>
      </c>
      <c r="P2789" s="12" t="str">
        <f t="shared" si="101"/>
        <v>E_SPV</v>
      </c>
    </row>
    <row r="2790" spans="1:16" x14ac:dyDescent="0.35">
      <c r="A2790" t="s">
        <v>1586</v>
      </c>
      <c r="B2790" t="s">
        <v>3111</v>
      </c>
      <c r="C2790" t="s">
        <v>45</v>
      </c>
      <c r="D2790" t="s">
        <v>1615</v>
      </c>
      <c r="E2790" t="s">
        <v>96</v>
      </c>
      <c r="F2790" t="s">
        <v>96</v>
      </c>
      <c r="G2790" t="s">
        <v>96</v>
      </c>
      <c r="H2790">
        <v>2010</v>
      </c>
      <c r="I2790" t="s">
        <v>96</v>
      </c>
      <c r="J2790" t="s">
        <v>97</v>
      </c>
      <c r="K2790" t="s">
        <v>96</v>
      </c>
      <c r="L2790" t="s">
        <v>96</v>
      </c>
      <c r="M2790">
        <v>1417</v>
      </c>
      <c r="O2790" s="12" t="str">
        <f t="shared" si="100"/>
        <v>AFR</v>
      </c>
      <c r="P2790" s="12" t="str">
        <f t="shared" si="101"/>
        <v>E_SPV</v>
      </c>
    </row>
    <row r="2791" spans="1:16" x14ac:dyDescent="0.35">
      <c r="A2791" t="s">
        <v>1586</v>
      </c>
      <c r="B2791" t="s">
        <v>3111</v>
      </c>
      <c r="C2791" t="s">
        <v>45</v>
      </c>
      <c r="D2791" t="s">
        <v>1616</v>
      </c>
      <c r="E2791" t="s">
        <v>96</v>
      </c>
      <c r="F2791" t="s">
        <v>96</v>
      </c>
      <c r="G2791" t="s">
        <v>96</v>
      </c>
      <c r="H2791">
        <v>2010</v>
      </c>
      <c r="I2791" t="s">
        <v>96</v>
      </c>
      <c r="J2791" t="s">
        <v>97</v>
      </c>
      <c r="K2791" t="s">
        <v>96</v>
      </c>
      <c r="L2791" t="s">
        <v>96</v>
      </c>
      <c r="M2791">
        <v>1417</v>
      </c>
      <c r="O2791" s="12" t="str">
        <f t="shared" si="100"/>
        <v>AFR</v>
      </c>
      <c r="P2791" s="12" t="str">
        <f t="shared" si="101"/>
        <v>E_SPV</v>
      </c>
    </row>
    <row r="2792" spans="1:16" x14ac:dyDescent="0.35">
      <c r="A2792" t="s">
        <v>1586</v>
      </c>
      <c r="B2792" t="s">
        <v>3111</v>
      </c>
      <c r="C2792" t="s">
        <v>45</v>
      </c>
      <c r="D2792" t="s">
        <v>1617</v>
      </c>
      <c r="E2792" t="s">
        <v>96</v>
      </c>
      <c r="F2792" t="s">
        <v>96</v>
      </c>
      <c r="G2792" t="s">
        <v>96</v>
      </c>
      <c r="H2792">
        <v>2010</v>
      </c>
      <c r="I2792" t="s">
        <v>96</v>
      </c>
      <c r="J2792" t="s">
        <v>97</v>
      </c>
      <c r="K2792" t="s">
        <v>96</v>
      </c>
      <c r="L2792" t="s">
        <v>96</v>
      </c>
      <c r="M2792">
        <v>1417</v>
      </c>
      <c r="O2792" s="12" t="str">
        <f t="shared" si="100"/>
        <v>AFR</v>
      </c>
      <c r="P2792" s="12" t="str">
        <f t="shared" si="101"/>
        <v>E_SPV</v>
      </c>
    </row>
    <row r="2793" spans="1:16" x14ac:dyDescent="0.35">
      <c r="A2793" t="s">
        <v>1586</v>
      </c>
      <c r="B2793" t="s">
        <v>3111</v>
      </c>
      <c r="C2793" t="s">
        <v>45</v>
      </c>
      <c r="D2793" t="s">
        <v>1618</v>
      </c>
      <c r="E2793" t="s">
        <v>96</v>
      </c>
      <c r="F2793" t="s">
        <v>96</v>
      </c>
      <c r="G2793" t="s">
        <v>96</v>
      </c>
      <c r="H2793">
        <v>2010</v>
      </c>
      <c r="I2793" t="s">
        <v>96</v>
      </c>
      <c r="J2793" t="s">
        <v>97</v>
      </c>
      <c r="K2793" t="s">
        <v>96</v>
      </c>
      <c r="L2793" t="s">
        <v>96</v>
      </c>
      <c r="M2793">
        <v>1417</v>
      </c>
      <c r="O2793" s="12" t="str">
        <f t="shared" si="100"/>
        <v>AFR</v>
      </c>
      <c r="P2793" s="12" t="str">
        <f t="shared" si="101"/>
        <v>E_SPV</v>
      </c>
    </row>
    <row r="2794" spans="1:16" x14ac:dyDescent="0.35">
      <c r="A2794" t="s">
        <v>1586</v>
      </c>
      <c r="B2794" t="s">
        <v>3111</v>
      </c>
      <c r="C2794" t="s">
        <v>45</v>
      </c>
      <c r="D2794" t="s">
        <v>1619</v>
      </c>
      <c r="E2794" t="s">
        <v>96</v>
      </c>
      <c r="F2794" t="s">
        <v>96</v>
      </c>
      <c r="G2794" t="s">
        <v>96</v>
      </c>
      <c r="H2794">
        <v>2010</v>
      </c>
      <c r="I2794" t="s">
        <v>96</v>
      </c>
      <c r="J2794" t="s">
        <v>97</v>
      </c>
      <c r="K2794" t="s">
        <v>96</v>
      </c>
      <c r="L2794" t="s">
        <v>96</v>
      </c>
      <c r="M2794">
        <v>1417</v>
      </c>
      <c r="O2794" s="12" t="str">
        <f t="shared" si="100"/>
        <v>AFR</v>
      </c>
      <c r="P2794" s="12" t="str">
        <f t="shared" si="101"/>
        <v>E_SPV</v>
      </c>
    </row>
    <row r="2795" spans="1:16" x14ac:dyDescent="0.35">
      <c r="A2795" t="s">
        <v>1586</v>
      </c>
      <c r="B2795" t="s">
        <v>3111</v>
      </c>
      <c r="C2795" t="s">
        <v>45</v>
      </c>
      <c r="D2795" t="s">
        <v>1622</v>
      </c>
      <c r="E2795" t="s">
        <v>96</v>
      </c>
      <c r="F2795" t="s">
        <v>96</v>
      </c>
      <c r="G2795" t="s">
        <v>96</v>
      </c>
      <c r="H2795">
        <v>2010</v>
      </c>
      <c r="I2795" t="s">
        <v>96</v>
      </c>
      <c r="J2795" t="s">
        <v>97</v>
      </c>
      <c r="K2795" t="s">
        <v>96</v>
      </c>
      <c r="L2795" t="s">
        <v>96</v>
      </c>
      <c r="M2795">
        <v>1417</v>
      </c>
      <c r="O2795" s="12" t="str">
        <f t="shared" si="100"/>
        <v>AFR</v>
      </c>
      <c r="P2795" s="12" t="str">
        <f t="shared" si="101"/>
        <v>E_SPV</v>
      </c>
    </row>
    <row r="2796" spans="1:16" x14ac:dyDescent="0.35">
      <c r="A2796" t="s">
        <v>1586</v>
      </c>
      <c r="B2796" t="s">
        <v>3111</v>
      </c>
      <c r="C2796" t="s">
        <v>45</v>
      </c>
      <c r="D2796" t="s">
        <v>1623</v>
      </c>
      <c r="E2796" t="s">
        <v>96</v>
      </c>
      <c r="F2796" t="s">
        <v>96</v>
      </c>
      <c r="G2796" t="s">
        <v>96</v>
      </c>
      <c r="H2796">
        <v>2010</v>
      </c>
      <c r="I2796" t="s">
        <v>96</v>
      </c>
      <c r="J2796" t="s">
        <v>97</v>
      </c>
      <c r="K2796" t="s">
        <v>96</v>
      </c>
      <c r="L2796" t="s">
        <v>96</v>
      </c>
      <c r="M2796">
        <v>1417</v>
      </c>
      <c r="O2796" s="12" t="str">
        <f t="shared" si="100"/>
        <v>AFR</v>
      </c>
      <c r="P2796" s="12" t="str">
        <f t="shared" si="101"/>
        <v>E_SPV</v>
      </c>
    </row>
    <row r="2797" spans="1:16" x14ac:dyDescent="0.35">
      <c r="A2797" t="s">
        <v>1586</v>
      </c>
      <c r="B2797" t="s">
        <v>3111</v>
      </c>
      <c r="C2797" t="s">
        <v>45</v>
      </c>
      <c r="D2797" t="s">
        <v>1624</v>
      </c>
      <c r="E2797" t="s">
        <v>96</v>
      </c>
      <c r="F2797" t="s">
        <v>96</v>
      </c>
      <c r="G2797" t="s">
        <v>96</v>
      </c>
      <c r="H2797">
        <v>2010</v>
      </c>
      <c r="I2797" t="s">
        <v>96</v>
      </c>
      <c r="J2797" t="s">
        <v>97</v>
      </c>
      <c r="K2797" t="s">
        <v>96</v>
      </c>
      <c r="L2797" t="s">
        <v>96</v>
      </c>
      <c r="M2797">
        <v>1417</v>
      </c>
      <c r="O2797" s="12" t="str">
        <f t="shared" si="100"/>
        <v>AFR</v>
      </c>
      <c r="P2797" s="12" t="str">
        <f t="shared" si="101"/>
        <v>E_SPV</v>
      </c>
    </row>
    <row r="2798" spans="1:16" x14ac:dyDescent="0.35">
      <c r="A2798" t="s">
        <v>1586</v>
      </c>
      <c r="B2798" t="s">
        <v>3111</v>
      </c>
      <c r="C2798" t="s">
        <v>45</v>
      </c>
      <c r="D2798" t="s">
        <v>1625</v>
      </c>
      <c r="E2798" t="s">
        <v>96</v>
      </c>
      <c r="F2798" t="s">
        <v>96</v>
      </c>
      <c r="G2798" t="s">
        <v>96</v>
      </c>
      <c r="H2798">
        <v>2010</v>
      </c>
      <c r="I2798" t="s">
        <v>96</v>
      </c>
      <c r="J2798" t="s">
        <v>97</v>
      </c>
      <c r="K2798" t="s">
        <v>96</v>
      </c>
      <c r="L2798" t="s">
        <v>96</v>
      </c>
      <c r="M2798">
        <v>1417</v>
      </c>
      <c r="O2798" s="12" t="str">
        <f t="shared" si="100"/>
        <v>AFR</v>
      </c>
      <c r="P2798" s="12" t="str">
        <f t="shared" si="101"/>
        <v>E_SPV</v>
      </c>
    </row>
    <row r="2799" spans="1:16" x14ac:dyDescent="0.35">
      <c r="A2799" t="s">
        <v>1586</v>
      </c>
      <c r="B2799" t="s">
        <v>3111</v>
      </c>
      <c r="C2799" t="s">
        <v>45</v>
      </c>
      <c r="D2799" t="s">
        <v>1626</v>
      </c>
      <c r="E2799" t="s">
        <v>96</v>
      </c>
      <c r="F2799" t="s">
        <v>96</v>
      </c>
      <c r="G2799" t="s">
        <v>96</v>
      </c>
      <c r="H2799">
        <v>2010</v>
      </c>
      <c r="I2799" t="s">
        <v>96</v>
      </c>
      <c r="J2799" t="s">
        <v>97</v>
      </c>
      <c r="K2799" t="s">
        <v>96</v>
      </c>
      <c r="L2799" t="s">
        <v>96</v>
      </c>
      <c r="M2799">
        <v>1417</v>
      </c>
      <c r="O2799" s="12" t="str">
        <f t="shared" si="100"/>
        <v>AFR</v>
      </c>
      <c r="P2799" s="12" t="str">
        <f t="shared" si="101"/>
        <v>E_SPV</v>
      </c>
    </row>
    <row r="2800" spans="1:16" x14ac:dyDescent="0.35">
      <c r="A2800" t="s">
        <v>1586</v>
      </c>
      <c r="B2800" t="s">
        <v>3111</v>
      </c>
      <c r="C2800" t="s">
        <v>45</v>
      </c>
      <c r="D2800" t="s">
        <v>1627</v>
      </c>
      <c r="E2800" t="s">
        <v>96</v>
      </c>
      <c r="F2800" t="s">
        <v>96</v>
      </c>
      <c r="G2800" t="s">
        <v>96</v>
      </c>
      <c r="H2800">
        <v>2010</v>
      </c>
      <c r="I2800" t="s">
        <v>96</v>
      </c>
      <c r="J2800" t="s">
        <v>97</v>
      </c>
      <c r="K2800" t="s">
        <v>96</v>
      </c>
      <c r="L2800" t="s">
        <v>96</v>
      </c>
      <c r="M2800">
        <v>1417</v>
      </c>
      <c r="O2800" s="12" t="str">
        <f t="shared" si="100"/>
        <v>AFR</v>
      </c>
      <c r="P2800" s="12" t="str">
        <f t="shared" si="101"/>
        <v>E_SPV</v>
      </c>
    </row>
    <row r="2801" spans="1:16" x14ac:dyDescent="0.35">
      <c r="A2801" t="s">
        <v>1586</v>
      </c>
      <c r="B2801" t="s">
        <v>3111</v>
      </c>
      <c r="C2801" t="s">
        <v>45</v>
      </c>
      <c r="D2801" t="s">
        <v>1629</v>
      </c>
      <c r="E2801" t="s">
        <v>96</v>
      </c>
      <c r="F2801" t="s">
        <v>96</v>
      </c>
      <c r="G2801" t="s">
        <v>96</v>
      </c>
      <c r="H2801">
        <v>2010</v>
      </c>
      <c r="I2801" t="s">
        <v>96</v>
      </c>
      <c r="J2801" t="s">
        <v>97</v>
      </c>
      <c r="K2801" t="s">
        <v>96</v>
      </c>
      <c r="L2801" t="s">
        <v>96</v>
      </c>
      <c r="M2801">
        <v>1417</v>
      </c>
      <c r="O2801" s="12" t="str">
        <f t="shared" si="100"/>
        <v>AFR</v>
      </c>
      <c r="P2801" s="12" t="str">
        <f t="shared" si="101"/>
        <v>E_SPV</v>
      </c>
    </row>
    <row r="2802" spans="1:16" x14ac:dyDescent="0.35">
      <c r="A2802" t="s">
        <v>1586</v>
      </c>
      <c r="B2802" t="s">
        <v>3111</v>
      </c>
      <c r="C2802" t="s">
        <v>45</v>
      </c>
      <c r="D2802" t="s">
        <v>1631</v>
      </c>
      <c r="E2802" t="s">
        <v>96</v>
      </c>
      <c r="F2802" t="s">
        <v>96</v>
      </c>
      <c r="G2802" t="s">
        <v>96</v>
      </c>
      <c r="H2802">
        <v>2010</v>
      </c>
      <c r="I2802" t="s">
        <v>96</v>
      </c>
      <c r="J2802" t="s">
        <v>97</v>
      </c>
      <c r="K2802" t="s">
        <v>96</v>
      </c>
      <c r="L2802" t="s">
        <v>96</v>
      </c>
      <c r="M2802">
        <v>1417</v>
      </c>
      <c r="O2802" s="12" t="str">
        <f t="shared" si="100"/>
        <v>AFR</v>
      </c>
      <c r="P2802" s="12" t="str">
        <f t="shared" si="101"/>
        <v>E_SPV</v>
      </c>
    </row>
    <row r="2803" spans="1:16" x14ac:dyDescent="0.35">
      <c r="A2803" t="s">
        <v>1586</v>
      </c>
      <c r="B2803" t="s">
        <v>3111</v>
      </c>
      <c r="C2803" t="s">
        <v>45</v>
      </c>
      <c r="D2803" t="s">
        <v>1633</v>
      </c>
      <c r="E2803" t="s">
        <v>96</v>
      </c>
      <c r="F2803" t="s">
        <v>96</v>
      </c>
      <c r="G2803" t="s">
        <v>96</v>
      </c>
      <c r="H2803">
        <v>2010</v>
      </c>
      <c r="I2803" t="s">
        <v>96</v>
      </c>
      <c r="J2803" t="s">
        <v>97</v>
      </c>
      <c r="K2803" t="s">
        <v>96</v>
      </c>
      <c r="L2803" t="s">
        <v>96</v>
      </c>
      <c r="M2803">
        <v>1417</v>
      </c>
      <c r="O2803" s="12" t="str">
        <f t="shared" si="100"/>
        <v>AFR</v>
      </c>
      <c r="P2803" s="12" t="str">
        <f t="shared" si="101"/>
        <v>E_SPV</v>
      </c>
    </row>
    <row r="2804" spans="1:16" x14ac:dyDescent="0.35">
      <c r="A2804" t="s">
        <v>1586</v>
      </c>
      <c r="B2804" t="s">
        <v>3111</v>
      </c>
      <c r="C2804" t="s">
        <v>45</v>
      </c>
      <c r="D2804" t="s">
        <v>1634</v>
      </c>
      <c r="E2804" t="s">
        <v>96</v>
      </c>
      <c r="F2804" t="s">
        <v>96</v>
      </c>
      <c r="G2804" t="s">
        <v>96</v>
      </c>
      <c r="H2804">
        <v>2010</v>
      </c>
      <c r="I2804" t="s">
        <v>96</v>
      </c>
      <c r="J2804" t="s">
        <v>97</v>
      </c>
      <c r="K2804" t="s">
        <v>96</v>
      </c>
      <c r="L2804" t="s">
        <v>96</v>
      </c>
      <c r="M2804">
        <v>1417</v>
      </c>
      <c r="O2804" s="12" t="str">
        <f t="shared" si="100"/>
        <v>AFR</v>
      </c>
      <c r="P2804" s="12" t="str">
        <f t="shared" si="101"/>
        <v>E_SPV</v>
      </c>
    </row>
    <row r="2805" spans="1:16" x14ac:dyDescent="0.35">
      <c r="A2805" t="s">
        <v>1586</v>
      </c>
      <c r="B2805" t="s">
        <v>3111</v>
      </c>
      <c r="C2805" t="s">
        <v>45</v>
      </c>
      <c r="D2805" t="s">
        <v>1635</v>
      </c>
      <c r="E2805" t="s">
        <v>96</v>
      </c>
      <c r="F2805" t="s">
        <v>96</v>
      </c>
      <c r="G2805" t="s">
        <v>96</v>
      </c>
      <c r="H2805">
        <v>2010</v>
      </c>
      <c r="I2805" t="s">
        <v>96</v>
      </c>
      <c r="J2805" t="s">
        <v>97</v>
      </c>
      <c r="K2805" t="s">
        <v>96</v>
      </c>
      <c r="L2805" t="s">
        <v>96</v>
      </c>
      <c r="M2805">
        <v>1417</v>
      </c>
      <c r="O2805" s="12" t="str">
        <f t="shared" si="100"/>
        <v>AFR</v>
      </c>
      <c r="P2805" s="12" t="str">
        <f t="shared" si="101"/>
        <v>E_SPV</v>
      </c>
    </row>
    <row r="2806" spans="1:16" x14ac:dyDescent="0.35">
      <c r="A2806" t="s">
        <v>1586</v>
      </c>
      <c r="B2806" t="s">
        <v>3111</v>
      </c>
      <c r="C2806" t="s">
        <v>45</v>
      </c>
      <c r="D2806" t="s">
        <v>1637</v>
      </c>
      <c r="E2806" t="s">
        <v>96</v>
      </c>
      <c r="F2806" t="s">
        <v>96</v>
      </c>
      <c r="G2806" t="s">
        <v>96</v>
      </c>
      <c r="H2806">
        <v>2010</v>
      </c>
      <c r="I2806" t="s">
        <v>96</v>
      </c>
      <c r="J2806" t="s">
        <v>97</v>
      </c>
      <c r="K2806" t="s">
        <v>96</v>
      </c>
      <c r="L2806" t="s">
        <v>96</v>
      </c>
      <c r="M2806">
        <v>1417</v>
      </c>
      <c r="O2806" s="12" t="str">
        <f t="shared" si="100"/>
        <v>AFR</v>
      </c>
      <c r="P2806" s="12" t="str">
        <f t="shared" si="101"/>
        <v>E_SPV</v>
      </c>
    </row>
    <row r="2807" spans="1:16" x14ac:dyDescent="0.35">
      <c r="A2807" t="s">
        <v>1586</v>
      </c>
      <c r="B2807" t="s">
        <v>3111</v>
      </c>
      <c r="C2807" t="s">
        <v>45</v>
      </c>
      <c r="D2807" t="s">
        <v>1638</v>
      </c>
      <c r="E2807" t="s">
        <v>96</v>
      </c>
      <c r="F2807" t="s">
        <v>96</v>
      </c>
      <c r="G2807" t="s">
        <v>96</v>
      </c>
      <c r="H2807">
        <v>2010</v>
      </c>
      <c r="I2807" t="s">
        <v>96</v>
      </c>
      <c r="J2807" t="s">
        <v>97</v>
      </c>
      <c r="K2807" t="s">
        <v>96</v>
      </c>
      <c r="L2807" t="s">
        <v>96</v>
      </c>
      <c r="M2807">
        <v>1417</v>
      </c>
      <c r="O2807" s="12" t="str">
        <f t="shared" si="100"/>
        <v>AFR</v>
      </c>
      <c r="P2807" s="12" t="str">
        <f t="shared" si="101"/>
        <v>E_SPV</v>
      </c>
    </row>
    <row r="2808" spans="1:16" x14ac:dyDescent="0.35">
      <c r="A2808" t="s">
        <v>1586</v>
      </c>
      <c r="B2808" t="s">
        <v>3111</v>
      </c>
      <c r="C2808" t="s">
        <v>45</v>
      </c>
      <c r="D2808" t="s">
        <v>1639</v>
      </c>
      <c r="E2808" t="s">
        <v>96</v>
      </c>
      <c r="F2808" t="s">
        <v>96</v>
      </c>
      <c r="G2808" t="s">
        <v>96</v>
      </c>
      <c r="H2808">
        <v>2010</v>
      </c>
      <c r="I2808" t="s">
        <v>96</v>
      </c>
      <c r="J2808" t="s">
        <v>97</v>
      </c>
      <c r="K2808" t="s">
        <v>96</v>
      </c>
      <c r="L2808" t="s">
        <v>96</v>
      </c>
      <c r="M2808">
        <v>1417</v>
      </c>
      <c r="O2808" s="12" t="str">
        <f t="shared" si="100"/>
        <v>AFR</v>
      </c>
      <c r="P2808" s="12" t="str">
        <f t="shared" si="101"/>
        <v>E_SPV</v>
      </c>
    </row>
    <row r="2809" spans="1:16" x14ac:dyDescent="0.35">
      <c r="A2809" t="s">
        <v>1586</v>
      </c>
      <c r="B2809" t="s">
        <v>3111</v>
      </c>
      <c r="C2809" t="s">
        <v>45</v>
      </c>
      <c r="D2809" t="s">
        <v>1640</v>
      </c>
      <c r="E2809" t="s">
        <v>96</v>
      </c>
      <c r="F2809" t="s">
        <v>96</v>
      </c>
      <c r="G2809" t="s">
        <v>96</v>
      </c>
      <c r="H2809">
        <v>2010</v>
      </c>
      <c r="I2809" t="s">
        <v>96</v>
      </c>
      <c r="J2809" t="s">
        <v>97</v>
      </c>
      <c r="K2809" t="s">
        <v>96</v>
      </c>
      <c r="L2809" t="s">
        <v>96</v>
      </c>
      <c r="M2809">
        <v>1417</v>
      </c>
      <c r="O2809" s="12" t="str">
        <f t="shared" si="100"/>
        <v>AFR</v>
      </c>
      <c r="P2809" s="12" t="str">
        <f t="shared" si="101"/>
        <v>E_SPV</v>
      </c>
    </row>
    <row r="2810" spans="1:16" x14ac:dyDescent="0.35">
      <c r="A2810" t="s">
        <v>1586</v>
      </c>
      <c r="B2810" t="s">
        <v>3111</v>
      </c>
      <c r="C2810" t="s">
        <v>45</v>
      </c>
      <c r="D2810" t="s">
        <v>1641</v>
      </c>
      <c r="E2810" t="s">
        <v>96</v>
      </c>
      <c r="F2810" t="s">
        <v>96</v>
      </c>
      <c r="G2810" t="s">
        <v>96</v>
      </c>
      <c r="H2810">
        <v>2010</v>
      </c>
      <c r="I2810" t="s">
        <v>96</v>
      </c>
      <c r="J2810" t="s">
        <v>97</v>
      </c>
      <c r="K2810" t="s">
        <v>96</v>
      </c>
      <c r="L2810" t="s">
        <v>96</v>
      </c>
      <c r="M2810">
        <v>1417</v>
      </c>
      <c r="O2810" s="12" t="str">
        <f t="shared" si="100"/>
        <v>AFR</v>
      </c>
      <c r="P2810" s="12" t="str">
        <f t="shared" si="101"/>
        <v>E_SPV</v>
      </c>
    </row>
    <row r="2811" spans="1:16" x14ac:dyDescent="0.35">
      <c r="A2811" t="s">
        <v>1586</v>
      </c>
      <c r="B2811" t="s">
        <v>3111</v>
      </c>
      <c r="C2811" t="s">
        <v>45</v>
      </c>
      <c r="D2811" t="s">
        <v>1642</v>
      </c>
      <c r="E2811" t="s">
        <v>96</v>
      </c>
      <c r="F2811" t="s">
        <v>96</v>
      </c>
      <c r="G2811" t="s">
        <v>96</v>
      </c>
      <c r="H2811">
        <v>2010</v>
      </c>
      <c r="I2811" t="s">
        <v>96</v>
      </c>
      <c r="J2811" t="s">
        <v>97</v>
      </c>
      <c r="K2811" t="s">
        <v>96</v>
      </c>
      <c r="L2811" t="s">
        <v>96</v>
      </c>
      <c r="M2811">
        <v>1417</v>
      </c>
      <c r="O2811" s="12" t="str">
        <f t="shared" si="100"/>
        <v>AFR</v>
      </c>
      <c r="P2811" s="12" t="str">
        <f t="shared" si="101"/>
        <v>E_SPV</v>
      </c>
    </row>
    <row r="2812" spans="1:16" x14ac:dyDescent="0.35">
      <c r="A2812" t="s">
        <v>1586</v>
      </c>
      <c r="B2812" t="s">
        <v>3111</v>
      </c>
      <c r="C2812" t="s">
        <v>45</v>
      </c>
      <c r="D2812" t="s">
        <v>1643</v>
      </c>
      <c r="E2812" t="s">
        <v>96</v>
      </c>
      <c r="F2812" t="s">
        <v>96</v>
      </c>
      <c r="G2812" t="s">
        <v>96</v>
      </c>
      <c r="H2812">
        <v>2010</v>
      </c>
      <c r="I2812" t="s">
        <v>96</v>
      </c>
      <c r="J2812" t="s">
        <v>97</v>
      </c>
      <c r="K2812" t="s">
        <v>96</v>
      </c>
      <c r="L2812" t="s">
        <v>96</v>
      </c>
      <c r="M2812">
        <v>1417</v>
      </c>
      <c r="O2812" s="12" t="str">
        <f t="shared" si="100"/>
        <v>AFR</v>
      </c>
      <c r="P2812" s="12" t="str">
        <f t="shared" si="101"/>
        <v>E_SPV</v>
      </c>
    </row>
    <row r="2813" spans="1:16" x14ac:dyDescent="0.35">
      <c r="A2813" t="s">
        <v>1586</v>
      </c>
      <c r="B2813" t="s">
        <v>3111</v>
      </c>
      <c r="C2813" t="s">
        <v>45</v>
      </c>
      <c r="D2813" t="s">
        <v>1644</v>
      </c>
      <c r="E2813" t="s">
        <v>96</v>
      </c>
      <c r="F2813" t="s">
        <v>96</v>
      </c>
      <c r="G2813" t="s">
        <v>96</v>
      </c>
      <c r="H2813">
        <v>2010</v>
      </c>
      <c r="I2813" t="s">
        <v>96</v>
      </c>
      <c r="J2813" t="s">
        <v>97</v>
      </c>
      <c r="K2813" t="s">
        <v>96</v>
      </c>
      <c r="L2813" t="s">
        <v>96</v>
      </c>
      <c r="M2813">
        <v>1417</v>
      </c>
      <c r="O2813" s="12" t="str">
        <f t="shared" si="100"/>
        <v>AFR</v>
      </c>
      <c r="P2813" s="12" t="str">
        <f t="shared" si="101"/>
        <v>E_SPV</v>
      </c>
    </row>
    <row r="2814" spans="1:16" x14ac:dyDescent="0.35">
      <c r="A2814" t="s">
        <v>1586</v>
      </c>
      <c r="B2814" t="s">
        <v>3111</v>
      </c>
      <c r="C2814" t="s">
        <v>45</v>
      </c>
      <c r="D2814" t="s">
        <v>1645</v>
      </c>
      <c r="E2814" t="s">
        <v>96</v>
      </c>
      <c r="F2814" t="s">
        <v>96</v>
      </c>
      <c r="G2814" t="s">
        <v>96</v>
      </c>
      <c r="H2814">
        <v>2010</v>
      </c>
      <c r="I2814" t="s">
        <v>96</v>
      </c>
      <c r="J2814" t="s">
        <v>97</v>
      </c>
      <c r="K2814" t="s">
        <v>96</v>
      </c>
      <c r="L2814" t="s">
        <v>96</v>
      </c>
      <c r="M2814">
        <v>1417</v>
      </c>
      <c r="O2814" s="12" t="str">
        <f t="shared" si="100"/>
        <v>AFR</v>
      </c>
      <c r="P2814" s="12" t="str">
        <f t="shared" si="101"/>
        <v>E_SPV</v>
      </c>
    </row>
    <row r="2815" spans="1:16" x14ac:dyDescent="0.35">
      <c r="A2815" t="s">
        <v>1586</v>
      </c>
      <c r="B2815" t="s">
        <v>3111</v>
      </c>
      <c r="C2815" t="s">
        <v>45</v>
      </c>
      <c r="D2815" t="s">
        <v>1646</v>
      </c>
      <c r="E2815" t="s">
        <v>96</v>
      </c>
      <c r="F2815" t="s">
        <v>96</v>
      </c>
      <c r="G2815" t="s">
        <v>96</v>
      </c>
      <c r="H2815">
        <v>2010</v>
      </c>
      <c r="I2815" t="s">
        <v>96</v>
      </c>
      <c r="J2815" t="s">
        <v>97</v>
      </c>
      <c r="K2815" t="s">
        <v>96</v>
      </c>
      <c r="L2815" t="s">
        <v>96</v>
      </c>
      <c r="M2815">
        <v>1417</v>
      </c>
      <c r="O2815" s="12" t="str">
        <f t="shared" si="100"/>
        <v>AFR</v>
      </c>
      <c r="P2815" s="12" t="str">
        <f t="shared" si="101"/>
        <v>E_SPV</v>
      </c>
    </row>
    <row r="2816" spans="1:16" x14ac:dyDescent="0.35">
      <c r="A2816" t="s">
        <v>1586</v>
      </c>
      <c r="B2816" t="s">
        <v>3111</v>
      </c>
      <c r="C2816" t="s">
        <v>45</v>
      </c>
      <c r="D2816" t="s">
        <v>1647</v>
      </c>
      <c r="E2816" t="s">
        <v>96</v>
      </c>
      <c r="F2816" t="s">
        <v>96</v>
      </c>
      <c r="G2816" t="s">
        <v>96</v>
      </c>
      <c r="H2816">
        <v>2010</v>
      </c>
      <c r="I2816" t="s">
        <v>96</v>
      </c>
      <c r="J2816" t="s">
        <v>97</v>
      </c>
      <c r="K2816" t="s">
        <v>96</v>
      </c>
      <c r="L2816" t="s">
        <v>96</v>
      </c>
      <c r="M2816">
        <v>1417</v>
      </c>
      <c r="O2816" s="12" t="str">
        <f t="shared" si="100"/>
        <v>AFR</v>
      </c>
      <c r="P2816" s="12" t="str">
        <f t="shared" si="101"/>
        <v>E_SPV</v>
      </c>
    </row>
    <row r="2817" spans="1:16" x14ac:dyDescent="0.35">
      <c r="A2817" t="s">
        <v>1586</v>
      </c>
      <c r="B2817" t="s">
        <v>3111</v>
      </c>
      <c r="C2817" t="s">
        <v>45</v>
      </c>
      <c r="D2817" t="s">
        <v>1648</v>
      </c>
      <c r="E2817" t="s">
        <v>96</v>
      </c>
      <c r="F2817" t="s">
        <v>96</v>
      </c>
      <c r="G2817" t="s">
        <v>96</v>
      </c>
      <c r="H2817">
        <v>2010</v>
      </c>
      <c r="I2817" t="s">
        <v>96</v>
      </c>
      <c r="J2817" t="s">
        <v>97</v>
      </c>
      <c r="K2817" t="s">
        <v>96</v>
      </c>
      <c r="L2817" t="s">
        <v>96</v>
      </c>
      <c r="M2817">
        <v>1417</v>
      </c>
      <c r="O2817" s="12" t="str">
        <f t="shared" si="100"/>
        <v>AFR</v>
      </c>
      <c r="P2817" s="12" t="str">
        <f t="shared" si="101"/>
        <v>E_SPV</v>
      </c>
    </row>
    <row r="2818" spans="1:16" x14ac:dyDescent="0.35">
      <c r="A2818" t="s">
        <v>1586</v>
      </c>
      <c r="B2818" t="s">
        <v>3111</v>
      </c>
      <c r="C2818" t="s">
        <v>45</v>
      </c>
      <c r="D2818" t="s">
        <v>1649</v>
      </c>
      <c r="E2818" t="s">
        <v>96</v>
      </c>
      <c r="F2818" t="s">
        <v>96</v>
      </c>
      <c r="G2818" t="s">
        <v>96</v>
      </c>
      <c r="H2818">
        <v>2010</v>
      </c>
      <c r="I2818" t="s">
        <v>96</v>
      </c>
      <c r="J2818" t="s">
        <v>97</v>
      </c>
      <c r="K2818" t="s">
        <v>96</v>
      </c>
      <c r="L2818" t="s">
        <v>96</v>
      </c>
      <c r="M2818">
        <v>1417</v>
      </c>
      <c r="O2818" s="12" t="str">
        <f t="shared" si="100"/>
        <v>AFR</v>
      </c>
      <c r="P2818" s="12" t="str">
        <f t="shared" si="101"/>
        <v>E_SPV</v>
      </c>
    </row>
    <row r="2819" spans="1:16" x14ac:dyDescent="0.35">
      <c r="A2819" t="s">
        <v>1586</v>
      </c>
      <c r="B2819" t="s">
        <v>3111</v>
      </c>
      <c r="C2819" t="s">
        <v>45</v>
      </c>
      <c r="D2819" t="s">
        <v>1652</v>
      </c>
      <c r="E2819" t="s">
        <v>96</v>
      </c>
      <c r="F2819" t="s">
        <v>96</v>
      </c>
      <c r="G2819" t="s">
        <v>96</v>
      </c>
      <c r="H2819">
        <v>2010</v>
      </c>
      <c r="I2819" t="s">
        <v>96</v>
      </c>
      <c r="J2819" t="s">
        <v>97</v>
      </c>
      <c r="K2819" t="s">
        <v>96</v>
      </c>
      <c r="L2819" t="s">
        <v>96</v>
      </c>
      <c r="M2819">
        <v>1417</v>
      </c>
      <c r="O2819" s="12" t="str">
        <f t="shared" ref="O2819:O2882" si="102">LEFT(B2819,3)</f>
        <v>AFR</v>
      </c>
      <c r="P2819" s="12" t="str">
        <f t="shared" ref="P2819:P2882" si="103">LEFT(D2819,5)</f>
        <v>E_SPV</v>
      </c>
    </row>
    <row r="2820" spans="1:16" x14ac:dyDescent="0.35">
      <c r="A2820" t="s">
        <v>1586</v>
      </c>
      <c r="B2820" t="s">
        <v>3111</v>
      </c>
      <c r="C2820" t="s">
        <v>45</v>
      </c>
      <c r="D2820" t="s">
        <v>1653</v>
      </c>
      <c r="E2820" t="s">
        <v>96</v>
      </c>
      <c r="F2820" t="s">
        <v>96</v>
      </c>
      <c r="G2820" t="s">
        <v>96</v>
      </c>
      <c r="H2820">
        <v>2010</v>
      </c>
      <c r="I2820" t="s">
        <v>96</v>
      </c>
      <c r="J2820" t="s">
        <v>97</v>
      </c>
      <c r="K2820" t="s">
        <v>96</v>
      </c>
      <c r="L2820" t="s">
        <v>96</v>
      </c>
      <c r="M2820">
        <v>1417</v>
      </c>
      <c r="O2820" s="12" t="str">
        <f t="shared" si="102"/>
        <v>AFR</v>
      </c>
      <c r="P2820" s="12" t="str">
        <f t="shared" si="103"/>
        <v>E_SPV</v>
      </c>
    </row>
    <row r="2821" spans="1:16" x14ac:dyDescent="0.35">
      <c r="A2821" t="s">
        <v>1586</v>
      </c>
      <c r="B2821" t="s">
        <v>3111</v>
      </c>
      <c r="C2821" t="s">
        <v>45</v>
      </c>
      <c r="D2821" t="s">
        <v>1654</v>
      </c>
      <c r="E2821" t="s">
        <v>96</v>
      </c>
      <c r="F2821" t="s">
        <v>96</v>
      </c>
      <c r="G2821" t="s">
        <v>96</v>
      </c>
      <c r="H2821">
        <v>2010</v>
      </c>
      <c r="I2821" t="s">
        <v>96</v>
      </c>
      <c r="J2821" t="s">
        <v>97</v>
      </c>
      <c r="K2821" t="s">
        <v>96</v>
      </c>
      <c r="L2821" t="s">
        <v>96</v>
      </c>
      <c r="M2821">
        <v>1417</v>
      </c>
      <c r="O2821" s="12" t="str">
        <f t="shared" si="102"/>
        <v>AFR</v>
      </c>
      <c r="P2821" s="12" t="str">
        <f t="shared" si="103"/>
        <v>E_SPV</v>
      </c>
    </row>
    <row r="2822" spans="1:16" x14ac:dyDescent="0.35">
      <c r="A2822" t="s">
        <v>1586</v>
      </c>
      <c r="B2822" t="s">
        <v>3111</v>
      </c>
      <c r="C2822" t="s">
        <v>45</v>
      </c>
      <c r="D2822" t="s">
        <v>1655</v>
      </c>
      <c r="E2822" t="s">
        <v>96</v>
      </c>
      <c r="F2822" t="s">
        <v>96</v>
      </c>
      <c r="G2822" t="s">
        <v>96</v>
      </c>
      <c r="H2822">
        <v>2010</v>
      </c>
      <c r="I2822" t="s">
        <v>96</v>
      </c>
      <c r="J2822" t="s">
        <v>97</v>
      </c>
      <c r="K2822" t="s">
        <v>96</v>
      </c>
      <c r="L2822" t="s">
        <v>96</v>
      </c>
      <c r="M2822">
        <v>1417</v>
      </c>
      <c r="O2822" s="12" t="str">
        <f t="shared" si="102"/>
        <v>AFR</v>
      </c>
      <c r="P2822" s="12" t="str">
        <f t="shared" si="103"/>
        <v>E_SPV</v>
      </c>
    </row>
    <row r="2823" spans="1:16" x14ac:dyDescent="0.35">
      <c r="A2823" t="s">
        <v>1586</v>
      </c>
      <c r="B2823" t="s">
        <v>3111</v>
      </c>
      <c r="C2823" t="s">
        <v>45</v>
      </c>
      <c r="D2823" t="s">
        <v>1656</v>
      </c>
      <c r="E2823" t="s">
        <v>96</v>
      </c>
      <c r="F2823" t="s">
        <v>96</v>
      </c>
      <c r="G2823" t="s">
        <v>96</v>
      </c>
      <c r="H2823">
        <v>2010</v>
      </c>
      <c r="I2823" t="s">
        <v>96</v>
      </c>
      <c r="J2823" t="s">
        <v>97</v>
      </c>
      <c r="K2823" t="s">
        <v>96</v>
      </c>
      <c r="L2823" t="s">
        <v>96</v>
      </c>
      <c r="M2823">
        <v>1417</v>
      </c>
      <c r="O2823" s="12" t="str">
        <f t="shared" si="102"/>
        <v>AFR</v>
      </c>
      <c r="P2823" s="12" t="str">
        <f t="shared" si="103"/>
        <v>E_SPV</v>
      </c>
    </row>
    <row r="2824" spans="1:16" x14ac:dyDescent="0.35">
      <c r="A2824" t="s">
        <v>1586</v>
      </c>
      <c r="B2824" t="s">
        <v>3111</v>
      </c>
      <c r="C2824" t="s">
        <v>45</v>
      </c>
      <c r="D2824" t="s">
        <v>1657</v>
      </c>
      <c r="E2824" t="s">
        <v>96</v>
      </c>
      <c r="F2824" t="s">
        <v>96</v>
      </c>
      <c r="G2824" t="s">
        <v>96</v>
      </c>
      <c r="H2824">
        <v>2010</v>
      </c>
      <c r="I2824" t="s">
        <v>96</v>
      </c>
      <c r="J2824" t="s">
        <v>97</v>
      </c>
      <c r="K2824" t="s">
        <v>96</v>
      </c>
      <c r="L2824" t="s">
        <v>96</v>
      </c>
      <c r="M2824">
        <v>1417</v>
      </c>
      <c r="O2824" s="12" t="str">
        <f t="shared" si="102"/>
        <v>AFR</v>
      </c>
      <c r="P2824" s="12" t="str">
        <f t="shared" si="103"/>
        <v>E_SPV</v>
      </c>
    </row>
    <row r="2825" spans="1:16" x14ac:dyDescent="0.35">
      <c r="A2825" t="s">
        <v>1586</v>
      </c>
      <c r="B2825" t="s">
        <v>3111</v>
      </c>
      <c r="C2825" t="s">
        <v>45</v>
      </c>
      <c r="D2825" t="s">
        <v>1660</v>
      </c>
      <c r="E2825" t="s">
        <v>96</v>
      </c>
      <c r="F2825" t="s">
        <v>96</v>
      </c>
      <c r="G2825" t="s">
        <v>96</v>
      </c>
      <c r="H2825">
        <v>2010</v>
      </c>
      <c r="I2825" t="s">
        <v>96</v>
      </c>
      <c r="J2825" t="s">
        <v>97</v>
      </c>
      <c r="K2825" t="s">
        <v>96</v>
      </c>
      <c r="L2825" t="s">
        <v>96</v>
      </c>
      <c r="M2825">
        <v>1417</v>
      </c>
      <c r="O2825" s="12" t="str">
        <f t="shared" si="102"/>
        <v>AFR</v>
      </c>
      <c r="P2825" s="12" t="str">
        <f t="shared" si="103"/>
        <v>E_SPV</v>
      </c>
    </row>
    <row r="2826" spans="1:16" x14ac:dyDescent="0.35">
      <c r="A2826" t="s">
        <v>1586</v>
      </c>
      <c r="B2826" t="s">
        <v>3111</v>
      </c>
      <c r="C2826" t="s">
        <v>45</v>
      </c>
      <c r="D2826" t="s">
        <v>1662</v>
      </c>
      <c r="E2826" t="s">
        <v>96</v>
      </c>
      <c r="F2826" t="s">
        <v>96</v>
      </c>
      <c r="G2826" t="s">
        <v>96</v>
      </c>
      <c r="H2826">
        <v>2010</v>
      </c>
      <c r="I2826" t="s">
        <v>96</v>
      </c>
      <c r="J2826" t="s">
        <v>97</v>
      </c>
      <c r="K2826" t="s">
        <v>96</v>
      </c>
      <c r="L2826" t="s">
        <v>96</v>
      </c>
      <c r="M2826">
        <v>1417</v>
      </c>
      <c r="O2826" s="12" t="str">
        <f t="shared" si="102"/>
        <v>AFR</v>
      </c>
      <c r="P2826" s="12" t="str">
        <f t="shared" si="103"/>
        <v>E_SPV</v>
      </c>
    </row>
    <row r="2827" spans="1:16" x14ac:dyDescent="0.35">
      <c r="A2827" t="s">
        <v>1586</v>
      </c>
      <c r="B2827" t="s">
        <v>3111</v>
      </c>
      <c r="C2827" t="s">
        <v>45</v>
      </c>
      <c r="D2827" t="s">
        <v>1664</v>
      </c>
      <c r="E2827" t="s">
        <v>96</v>
      </c>
      <c r="F2827" t="s">
        <v>96</v>
      </c>
      <c r="G2827" t="s">
        <v>96</v>
      </c>
      <c r="H2827">
        <v>2010</v>
      </c>
      <c r="I2827" t="s">
        <v>96</v>
      </c>
      <c r="J2827" t="s">
        <v>97</v>
      </c>
      <c r="K2827" t="s">
        <v>96</v>
      </c>
      <c r="L2827" t="s">
        <v>96</v>
      </c>
      <c r="M2827">
        <v>1417</v>
      </c>
      <c r="O2827" s="12" t="str">
        <f t="shared" si="102"/>
        <v>AFR</v>
      </c>
      <c r="P2827" s="12" t="str">
        <f t="shared" si="103"/>
        <v>E_SPV</v>
      </c>
    </row>
    <row r="2828" spans="1:16" x14ac:dyDescent="0.35">
      <c r="A2828" t="s">
        <v>1586</v>
      </c>
      <c r="B2828" t="s">
        <v>3111</v>
      </c>
      <c r="C2828" t="s">
        <v>45</v>
      </c>
      <c r="D2828" t="s">
        <v>1666</v>
      </c>
      <c r="E2828" t="s">
        <v>96</v>
      </c>
      <c r="F2828" t="s">
        <v>96</v>
      </c>
      <c r="G2828" t="s">
        <v>96</v>
      </c>
      <c r="H2828">
        <v>2010</v>
      </c>
      <c r="I2828" t="s">
        <v>96</v>
      </c>
      <c r="J2828" t="s">
        <v>97</v>
      </c>
      <c r="K2828" t="s">
        <v>96</v>
      </c>
      <c r="L2828" t="s">
        <v>96</v>
      </c>
      <c r="M2828">
        <v>1417</v>
      </c>
      <c r="O2828" s="12" t="str">
        <f t="shared" si="102"/>
        <v>AFR</v>
      </c>
      <c r="P2828" s="12" t="str">
        <f t="shared" si="103"/>
        <v>E_SPV</v>
      </c>
    </row>
    <row r="2829" spans="1:16" x14ac:dyDescent="0.35">
      <c r="A2829" t="s">
        <v>1586</v>
      </c>
      <c r="B2829" t="s">
        <v>3111</v>
      </c>
      <c r="C2829" t="s">
        <v>45</v>
      </c>
      <c r="D2829" t="s">
        <v>1667</v>
      </c>
      <c r="E2829" t="s">
        <v>96</v>
      </c>
      <c r="F2829" t="s">
        <v>96</v>
      </c>
      <c r="G2829" t="s">
        <v>96</v>
      </c>
      <c r="H2829">
        <v>2010</v>
      </c>
      <c r="I2829" t="s">
        <v>96</v>
      </c>
      <c r="J2829" t="s">
        <v>97</v>
      </c>
      <c r="K2829" t="s">
        <v>96</v>
      </c>
      <c r="L2829" t="s">
        <v>96</v>
      </c>
      <c r="M2829">
        <v>1417</v>
      </c>
      <c r="O2829" s="12" t="str">
        <f t="shared" si="102"/>
        <v>AFR</v>
      </c>
      <c r="P2829" s="12" t="str">
        <f t="shared" si="103"/>
        <v>E_SPV</v>
      </c>
    </row>
    <row r="2830" spans="1:16" x14ac:dyDescent="0.35">
      <c r="A2830" t="s">
        <v>1586</v>
      </c>
      <c r="B2830" t="s">
        <v>3111</v>
      </c>
      <c r="C2830" t="s">
        <v>45</v>
      </c>
      <c r="D2830" t="s">
        <v>1669</v>
      </c>
      <c r="E2830" t="s">
        <v>96</v>
      </c>
      <c r="F2830" t="s">
        <v>96</v>
      </c>
      <c r="G2830" t="s">
        <v>96</v>
      </c>
      <c r="H2830">
        <v>2010</v>
      </c>
      <c r="I2830" t="s">
        <v>96</v>
      </c>
      <c r="J2830" t="s">
        <v>97</v>
      </c>
      <c r="K2830" t="s">
        <v>96</v>
      </c>
      <c r="L2830" t="s">
        <v>96</v>
      </c>
      <c r="M2830">
        <v>1417</v>
      </c>
      <c r="O2830" s="12" t="str">
        <f t="shared" si="102"/>
        <v>AFR</v>
      </c>
      <c r="P2830" s="12" t="str">
        <f t="shared" si="103"/>
        <v>E_SPV</v>
      </c>
    </row>
    <row r="2831" spans="1:16" x14ac:dyDescent="0.35">
      <c r="A2831" t="s">
        <v>1586</v>
      </c>
      <c r="B2831" t="s">
        <v>3111</v>
      </c>
      <c r="C2831" t="s">
        <v>45</v>
      </c>
      <c r="D2831" t="s">
        <v>1670</v>
      </c>
      <c r="E2831" t="s">
        <v>96</v>
      </c>
      <c r="F2831" t="s">
        <v>96</v>
      </c>
      <c r="G2831" t="s">
        <v>96</v>
      </c>
      <c r="H2831">
        <v>2010</v>
      </c>
      <c r="I2831" t="s">
        <v>96</v>
      </c>
      <c r="J2831" t="s">
        <v>97</v>
      </c>
      <c r="K2831" t="s">
        <v>96</v>
      </c>
      <c r="L2831" t="s">
        <v>96</v>
      </c>
      <c r="M2831">
        <v>1417</v>
      </c>
      <c r="O2831" s="12" t="str">
        <f t="shared" si="102"/>
        <v>AFR</v>
      </c>
      <c r="P2831" s="12" t="str">
        <f t="shared" si="103"/>
        <v>E_SPV</v>
      </c>
    </row>
    <row r="2832" spans="1:16" x14ac:dyDescent="0.35">
      <c r="A2832" t="s">
        <v>1586</v>
      </c>
      <c r="B2832" t="s">
        <v>3111</v>
      </c>
      <c r="C2832" t="s">
        <v>45</v>
      </c>
      <c r="D2832" t="s">
        <v>1673</v>
      </c>
      <c r="E2832" t="s">
        <v>96</v>
      </c>
      <c r="F2832" t="s">
        <v>96</v>
      </c>
      <c r="G2832" t="s">
        <v>96</v>
      </c>
      <c r="H2832">
        <v>2010</v>
      </c>
      <c r="I2832" t="s">
        <v>96</v>
      </c>
      <c r="J2832" t="s">
        <v>97</v>
      </c>
      <c r="K2832" t="s">
        <v>96</v>
      </c>
      <c r="L2832" t="s">
        <v>96</v>
      </c>
      <c r="M2832">
        <v>1417</v>
      </c>
      <c r="O2832" s="12" t="str">
        <f t="shared" si="102"/>
        <v>AFR</v>
      </c>
      <c r="P2832" s="12" t="str">
        <f t="shared" si="103"/>
        <v>E_SPV</v>
      </c>
    </row>
    <row r="2833" spans="1:16" x14ac:dyDescent="0.35">
      <c r="A2833" t="s">
        <v>1586</v>
      </c>
      <c r="B2833" t="s">
        <v>3111</v>
      </c>
      <c r="C2833" t="s">
        <v>45</v>
      </c>
      <c r="D2833" t="s">
        <v>1674</v>
      </c>
      <c r="E2833" t="s">
        <v>96</v>
      </c>
      <c r="F2833" t="s">
        <v>96</v>
      </c>
      <c r="G2833" t="s">
        <v>96</v>
      </c>
      <c r="H2833">
        <v>2010</v>
      </c>
      <c r="I2833" t="s">
        <v>96</v>
      </c>
      <c r="J2833" t="s">
        <v>97</v>
      </c>
      <c r="K2833" t="s">
        <v>96</v>
      </c>
      <c r="L2833" t="s">
        <v>96</v>
      </c>
      <c r="M2833">
        <v>1417</v>
      </c>
      <c r="O2833" s="12" t="str">
        <f t="shared" si="102"/>
        <v>AFR</v>
      </c>
      <c r="P2833" s="12" t="str">
        <f t="shared" si="103"/>
        <v>E_SPV</v>
      </c>
    </row>
    <row r="2834" spans="1:16" x14ac:dyDescent="0.35">
      <c r="A2834" t="s">
        <v>1586</v>
      </c>
      <c r="B2834" t="s">
        <v>3111</v>
      </c>
      <c r="C2834" t="s">
        <v>45</v>
      </c>
      <c r="D2834" t="s">
        <v>1675</v>
      </c>
      <c r="E2834" t="s">
        <v>96</v>
      </c>
      <c r="F2834" t="s">
        <v>96</v>
      </c>
      <c r="G2834" t="s">
        <v>96</v>
      </c>
      <c r="H2834">
        <v>2010</v>
      </c>
      <c r="I2834" t="s">
        <v>96</v>
      </c>
      <c r="J2834" t="s">
        <v>97</v>
      </c>
      <c r="K2834" t="s">
        <v>96</v>
      </c>
      <c r="L2834" t="s">
        <v>96</v>
      </c>
      <c r="M2834">
        <v>1209</v>
      </c>
      <c r="O2834" s="12" t="str">
        <f t="shared" si="102"/>
        <v>AFR</v>
      </c>
      <c r="P2834" s="12" t="str">
        <f t="shared" si="103"/>
        <v>E_SPV</v>
      </c>
    </row>
    <row r="2835" spans="1:16" x14ac:dyDescent="0.35">
      <c r="A2835" t="s">
        <v>1586</v>
      </c>
      <c r="B2835" t="s">
        <v>3111</v>
      </c>
      <c r="C2835" t="s">
        <v>45</v>
      </c>
      <c r="D2835" t="s">
        <v>1676</v>
      </c>
      <c r="E2835" t="s">
        <v>96</v>
      </c>
      <c r="F2835" t="s">
        <v>96</v>
      </c>
      <c r="G2835" t="s">
        <v>96</v>
      </c>
      <c r="H2835">
        <v>2010</v>
      </c>
      <c r="I2835" t="s">
        <v>96</v>
      </c>
      <c r="J2835" t="s">
        <v>97</v>
      </c>
      <c r="K2835" t="s">
        <v>96</v>
      </c>
      <c r="L2835" t="s">
        <v>96</v>
      </c>
      <c r="M2835">
        <v>1417</v>
      </c>
      <c r="O2835" s="12" t="str">
        <f t="shared" si="102"/>
        <v>AFR</v>
      </c>
      <c r="P2835" s="12" t="str">
        <f t="shared" si="103"/>
        <v>E_SPV</v>
      </c>
    </row>
    <row r="2836" spans="1:16" x14ac:dyDescent="0.35">
      <c r="A2836" t="s">
        <v>1586</v>
      </c>
      <c r="B2836" t="s">
        <v>3111</v>
      </c>
      <c r="C2836" t="s">
        <v>45</v>
      </c>
      <c r="D2836" t="s">
        <v>1677</v>
      </c>
      <c r="E2836" t="s">
        <v>96</v>
      </c>
      <c r="F2836" t="s">
        <v>96</v>
      </c>
      <c r="G2836" t="s">
        <v>96</v>
      </c>
      <c r="H2836">
        <v>2010</v>
      </c>
      <c r="I2836" t="s">
        <v>96</v>
      </c>
      <c r="J2836" t="s">
        <v>97</v>
      </c>
      <c r="K2836" t="s">
        <v>96</v>
      </c>
      <c r="L2836" t="s">
        <v>96</v>
      </c>
      <c r="M2836">
        <v>1417</v>
      </c>
      <c r="O2836" s="12" t="str">
        <f t="shared" si="102"/>
        <v>AFR</v>
      </c>
      <c r="P2836" s="12" t="str">
        <f t="shared" si="103"/>
        <v>E_SPV</v>
      </c>
    </row>
    <row r="2837" spans="1:16" x14ac:dyDescent="0.35">
      <c r="A2837" t="s">
        <v>1586</v>
      </c>
      <c r="B2837" t="s">
        <v>3111</v>
      </c>
      <c r="C2837" t="s">
        <v>45</v>
      </c>
      <c r="D2837" t="s">
        <v>1678</v>
      </c>
      <c r="E2837" t="s">
        <v>96</v>
      </c>
      <c r="F2837" t="s">
        <v>96</v>
      </c>
      <c r="G2837" t="s">
        <v>96</v>
      </c>
      <c r="H2837">
        <v>2010</v>
      </c>
      <c r="I2837" t="s">
        <v>96</v>
      </c>
      <c r="J2837" t="s">
        <v>97</v>
      </c>
      <c r="K2837" t="s">
        <v>96</v>
      </c>
      <c r="L2837" t="s">
        <v>96</v>
      </c>
      <c r="M2837">
        <v>1417</v>
      </c>
      <c r="O2837" s="12" t="str">
        <f t="shared" si="102"/>
        <v>AFR</v>
      </c>
      <c r="P2837" s="12" t="str">
        <f t="shared" si="103"/>
        <v>E_SPV</v>
      </c>
    </row>
    <row r="2838" spans="1:16" x14ac:dyDescent="0.35">
      <c r="A2838" t="s">
        <v>1586</v>
      </c>
      <c r="B2838" t="s">
        <v>3111</v>
      </c>
      <c r="C2838" t="s">
        <v>45</v>
      </c>
      <c r="D2838" t="s">
        <v>1679</v>
      </c>
      <c r="E2838" t="s">
        <v>96</v>
      </c>
      <c r="F2838" t="s">
        <v>96</v>
      </c>
      <c r="G2838" t="s">
        <v>96</v>
      </c>
      <c r="H2838">
        <v>2010</v>
      </c>
      <c r="I2838" t="s">
        <v>96</v>
      </c>
      <c r="J2838" t="s">
        <v>97</v>
      </c>
      <c r="K2838" t="s">
        <v>96</v>
      </c>
      <c r="L2838" t="s">
        <v>96</v>
      </c>
      <c r="M2838">
        <v>1417</v>
      </c>
      <c r="O2838" s="12" t="str">
        <f t="shared" si="102"/>
        <v>AFR</v>
      </c>
      <c r="P2838" s="12" t="str">
        <f t="shared" si="103"/>
        <v>E_SPV</v>
      </c>
    </row>
    <row r="2839" spans="1:16" x14ac:dyDescent="0.35">
      <c r="A2839" t="s">
        <v>1586</v>
      </c>
      <c r="B2839" t="s">
        <v>3111</v>
      </c>
      <c r="C2839" t="s">
        <v>45</v>
      </c>
      <c r="D2839" t="s">
        <v>1680</v>
      </c>
      <c r="E2839" t="s">
        <v>96</v>
      </c>
      <c r="F2839" t="s">
        <v>96</v>
      </c>
      <c r="G2839" t="s">
        <v>96</v>
      </c>
      <c r="H2839">
        <v>2010</v>
      </c>
      <c r="I2839" t="s">
        <v>96</v>
      </c>
      <c r="J2839" t="s">
        <v>97</v>
      </c>
      <c r="K2839" t="s">
        <v>96</v>
      </c>
      <c r="L2839" t="s">
        <v>96</v>
      </c>
      <c r="M2839">
        <v>1417</v>
      </c>
      <c r="O2839" s="12" t="str">
        <f t="shared" si="102"/>
        <v>AFR</v>
      </c>
      <c r="P2839" s="12" t="str">
        <f t="shared" si="103"/>
        <v>E_SPV</v>
      </c>
    </row>
    <row r="2840" spans="1:16" x14ac:dyDescent="0.35">
      <c r="A2840" t="s">
        <v>1586</v>
      </c>
      <c r="B2840" t="s">
        <v>3111</v>
      </c>
      <c r="C2840" t="s">
        <v>45</v>
      </c>
      <c r="D2840" t="s">
        <v>1681</v>
      </c>
      <c r="E2840" t="s">
        <v>96</v>
      </c>
      <c r="F2840" t="s">
        <v>96</v>
      </c>
      <c r="G2840" t="s">
        <v>96</v>
      </c>
      <c r="H2840">
        <v>2010</v>
      </c>
      <c r="I2840" t="s">
        <v>96</v>
      </c>
      <c r="J2840" t="s">
        <v>97</v>
      </c>
      <c r="K2840" t="s">
        <v>96</v>
      </c>
      <c r="L2840" t="s">
        <v>96</v>
      </c>
      <c r="M2840">
        <v>1417</v>
      </c>
      <c r="O2840" s="12" t="str">
        <f t="shared" si="102"/>
        <v>AFR</v>
      </c>
      <c r="P2840" s="12" t="str">
        <f t="shared" si="103"/>
        <v>E_SPV</v>
      </c>
    </row>
    <row r="2841" spans="1:16" x14ac:dyDescent="0.35">
      <c r="A2841" t="s">
        <v>1586</v>
      </c>
      <c r="B2841" t="s">
        <v>3111</v>
      </c>
      <c r="C2841" t="s">
        <v>45</v>
      </c>
      <c r="D2841" t="s">
        <v>1682</v>
      </c>
      <c r="E2841" t="s">
        <v>96</v>
      </c>
      <c r="F2841" t="s">
        <v>96</v>
      </c>
      <c r="G2841" t="s">
        <v>96</v>
      </c>
      <c r="H2841">
        <v>2010</v>
      </c>
      <c r="I2841" t="s">
        <v>96</v>
      </c>
      <c r="J2841" t="s">
        <v>97</v>
      </c>
      <c r="K2841" t="s">
        <v>96</v>
      </c>
      <c r="L2841" t="s">
        <v>96</v>
      </c>
      <c r="M2841">
        <v>1417</v>
      </c>
      <c r="O2841" s="12" t="str">
        <f t="shared" si="102"/>
        <v>AFR</v>
      </c>
      <c r="P2841" s="12" t="str">
        <f t="shared" si="103"/>
        <v>E_SPV</v>
      </c>
    </row>
    <row r="2842" spans="1:16" x14ac:dyDescent="0.35">
      <c r="A2842" t="s">
        <v>1586</v>
      </c>
      <c r="B2842" t="s">
        <v>3111</v>
      </c>
      <c r="C2842" t="s">
        <v>45</v>
      </c>
      <c r="D2842" t="s">
        <v>1683</v>
      </c>
      <c r="E2842" t="s">
        <v>96</v>
      </c>
      <c r="F2842" t="s">
        <v>96</v>
      </c>
      <c r="G2842" t="s">
        <v>96</v>
      </c>
      <c r="H2842">
        <v>2010</v>
      </c>
      <c r="I2842" t="s">
        <v>96</v>
      </c>
      <c r="J2842" t="s">
        <v>97</v>
      </c>
      <c r="K2842" t="s">
        <v>96</v>
      </c>
      <c r="L2842" t="s">
        <v>96</v>
      </c>
      <c r="M2842">
        <v>1417</v>
      </c>
      <c r="O2842" s="12" t="str">
        <f t="shared" si="102"/>
        <v>AFR</v>
      </c>
      <c r="P2842" s="12" t="str">
        <f t="shared" si="103"/>
        <v>E_SPV</v>
      </c>
    </row>
    <row r="2843" spans="1:16" x14ac:dyDescent="0.35">
      <c r="A2843" t="s">
        <v>1586</v>
      </c>
      <c r="B2843" t="s">
        <v>3111</v>
      </c>
      <c r="C2843" t="s">
        <v>45</v>
      </c>
      <c r="D2843" t="s">
        <v>1684</v>
      </c>
      <c r="E2843" t="s">
        <v>96</v>
      </c>
      <c r="F2843" t="s">
        <v>96</v>
      </c>
      <c r="G2843" t="s">
        <v>96</v>
      </c>
      <c r="H2843">
        <v>2010</v>
      </c>
      <c r="I2843" t="s">
        <v>96</v>
      </c>
      <c r="J2843" t="s">
        <v>97</v>
      </c>
      <c r="K2843" t="s">
        <v>96</v>
      </c>
      <c r="L2843" t="s">
        <v>96</v>
      </c>
      <c r="M2843">
        <v>1417</v>
      </c>
      <c r="O2843" s="12" t="str">
        <f t="shared" si="102"/>
        <v>AFR</v>
      </c>
      <c r="P2843" s="12" t="str">
        <f t="shared" si="103"/>
        <v>E_SPV</v>
      </c>
    </row>
    <row r="2844" spans="1:16" x14ac:dyDescent="0.35">
      <c r="A2844" t="s">
        <v>1586</v>
      </c>
      <c r="B2844" t="s">
        <v>3111</v>
      </c>
      <c r="C2844" t="s">
        <v>45</v>
      </c>
      <c r="D2844" t="s">
        <v>1685</v>
      </c>
      <c r="E2844" t="s">
        <v>96</v>
      </c>
      <c r="F2844" t="s">
        <v>96</v>
      </c>
      <c r="G2844" t="s">
        <v>96</v>
      </c>
      <c r="H2844">
        <v>2010</v>
      </c>
      <c r="I2844" t="s">
        <v>96</v>
      </c>
      <c r="J2844" t="s">
        <v>97</v>
      </c>
      <c r="K2844" t="s">
        <v>96</v>
      </c>
      <c r="L2844" t="s">
        <v>96</v>
      </c>
      <c r="M2844">
        <v>1417</v>
      </c>
      <c r="O2844" s="12" t="str">
        <f t="shared" si="102"/>
        <v>AFR</v>
      </c>
      <c r="P2844" s="12" t="str">
        <f t="shared" si="103"/>
        <v>E_SPV</v>
      </c>
    </row>
    <row r="2845" spans="1:16" x14ac:dyDescent="0.35">
      <c r="A2845" t="s">
        <v>1586</v>
      </c>
      <c r="B2845" t="s">
        <v>3111</v>
      </c>
      <c r="C2845" t="s">
        <v>45</v>
      </c>
      <c r="D2845" t="s">
        <v>1689</v>
      </c>
      <c r="E2845" t="s">
        <v>96</v>
      </c>
      <c r="F2845" t="s">
        <v>96</v>
      </c>
      <c r="G2845" t="s">
        <v>96</v>
      </c>
      <c r="H2845">
        <v>2010</v>
      </c>
      <c r="I2845" t="s">
        <v>96</v>
      </c>
      <c r="J2845" t="s">
        <v>97</v>
      </c>
      <c r="K2845" t="s">
        <v>96</v>
      </c>
      <c r="L2845" t="s">
        <v>96</v>
      </c>
      <c r="M2845">
        <v>1417</v>
      </c>
      <c r="O2845" s="12" t="str">
        <f t="shared" si="102"/>
        <v>AFR</v>
      </c>
      <c r="P2845" s="12" t="str">
        <f t="shared" si="103"/>
        <v>E_SPV</v>
      </c>
    </row>
    <row r="2846" spans="1:16" x14ac:dyDescent="0.35">
      <c r="A2846" t="s">
        <v>1586</v>
      </c>
      <c r="B2846" t="s">
        <v>3111</v>
      </c>
      <c r="C2846" t="s">
        <v>45</v>
      </c>
      <c r="D2846" t="s">
        <v>1690</v>
      </c>
      <c r="E2846" t="s">
        <v>96</v>
      </c>
      <c r="F2846" t="s">
        <v>96</v>
      </c>
      <c r="G2846" t="s">
        <v>96</v>
      </c>
      <c r="H2846">
        <v>2010</v>
      </c>
      <c r="I2846" t="s">
        <v>96</v>
      </c>
      <c r="J2846" t="s">
        <v>97</v>
      </c>
      <c r="K2846" t="s">
        <v>96</v>
      </c>
      <c r="L2846" t="s">
        <v>96</v>
      </c>
      <c r="M2846">
        <v>1417</v>
      </c>
      <c r="O2846" s="12" t="str">
        <f t="shared" si="102"/>
        <v>AFR</v>
      </c>
      <c r="P2846" s="12" t="str">
        <f t="shared" si="103"/>
        <v>E_SPV</v>
      </c>
    </row>
    <row r="2847" spans="1:16" x14ac:dyDescent="0.35">
      <c r="A2847" t="s">
        <v>1586</v>
      </c>
      <c r="B2847" t="s">
        <v>3111</v>
      </c>
      <c r="C2847" t="s">
        <v>45</v>
      </c>
      <c r="D2847" t="s">
        <v>1691</v>
      </c>
      <c r="E2847" t="s">
        <v>96</v>
      </c>
      <c r="F2847" t="s">
        <v>96</v>
      </c>
      <c r="G2847" t="s">
        <v>96</v>
      </c>
      <c r="H2847">
        <v>2010</v>
      </c>
      <c r="I2847" t="s">
        <v>96</v>
      </c>
      <c r="J2847" t="s">
        <v>97</v>
      </c>
      <c r="K2847" t="s">
        <v>96</v>
      </c>
      <c r="L2847" t="s">
        <v>96</v>
      </c>
      <c r="M2847">
        <v>1417</v>
      </c>
      <c r="O2847" s="12" t="str">
        <f t="shared" si="102"/>
        <v>AFR</v>
      </c>
      <c r="P2847" s="12" t="str">
        <f t="shared" si="103"/>
        <v>E_SPV</v>
      </c>
    </row>
    <row r="2848" spans="1:16" x14ac:dyDescent="0.35">
      <c r="A2848" t="s">
        <v>1586</v>
      </c>
      <c r="B2848" t="s">
        <v>3111</v>
      </c>
      <c r="C2848" t="s">
        <v>45</v>
      </c>
      <c r="D2848" t="s">
        <v>1692</v>
      </c>
      <c r="E2848" t="s">
        <v>96</v>
      </c>
      <c r="F2848" t="s">
        <v>96</v>
      </c>
      <c r="G2848" t="s">
        <v>96</v>
      </c>
      <c r="H2848">
        <v>2010</v>
      </c>
      <c r="I2848" t="s">
        <v>96</v>
      </c>
      <c r="J2848" t="s">
        <v>97</v>
      </c>
      <c r="K2848" t="s">
        <v>96</v>
      </c>
      <c r="L2848" t="s">
        <v>96</v>
      </c>
      <c r="M2848">
        <v>1417</v>
      </c>
      <c r="O2848" s="12" t="str">
        <f t="shared" si="102"/>
        <v>AFR</v>
      </c>
      <c r="P2848" s="12" t="str">
        <f t="shared" si="103"/>
        <v>E_SPV</v>
      </c>
    </row>
    <row r="2849" spans="1:16" x14ac:dyDescent="0.35">
      <c r="A2849" t="s">
        <v>1586</v>
      </c>
      <c r="B2849" t="s">
        <v>3111</v>
      </c>
      <c r="C2849" t="s">
        <v>45</v>
      </c>
      <c r="D2849" t="s">
        <v>1693</v>
      </c>
      <c r="E2849" t="s">
        <v>96</v>
      </c>
      <c r="F2849" t="s">
        <v>96</v>
      </c>
      <c r="G2849" t="s">
        <v>96</v>
      </c>
      <c r="H2849">
        <v>2010</v>
      </c>
      <c r="I2849" t="s">
        <v>96</v>
      </c>
      <c r="J2849" t="s">
        <v>97</v>
      </c>
      <c r="K2849" t="s">
        <v>96</v>
      </c>
      <c r="L2849" t="s">
        <v>96</v>
      </c>
      <c r="M2849">
        <v>1417</v>
      </c>
      <c r="O2849" s="12" t="str">
        <f t="shared" si="102"/>
        <v>AFR</v>
      </c>
      <c r="P2849" s="12" t="str">
        <f t="shared" si="103"/>
        <v>E_SPV</v>
      </c>
    </row>
    <row r="2850" spans="1:16" x14ac:dyDescent="0.35">
      <c r="A2850" t="s">
        <v>1586</v>
      </c>
      <c r="B2850" t="s">
        <v>3111</v>
      </c>
      <c r="C2850" t="s">
        <v>45</v>
      </c>
      <c r="D2850" t="s">
        <v>1696</v>
      </c>
      <c r="E2850" t="s">
        <v>96</v>
      </c>
      <c r="F2850" t="s">
        <v>96</v>
      </c>
      <c r="G2850" t="s">
        <v>96</v>
      </c>
      <c r="H2850">
        <v>2010</v>
      </c>
      <c r="I2850" t="s">
        <v>96</v>
      </c>
      <c r="J2850" t="s">
        <v>97</v>
      </c>
      <c r="K2850" t="s">
        <v>96</v>
      </c>
      <c r="L2850" t="s">
        <v>96</v>
      </c>
      <c r="M2850">
        <v>1417</v>
      </c>
      <c r="O2850" s="12" t="str">
        <f t="shared" si="102"/>
        <v>AFR</v>
      </c>
      <c r="P2850" s="12" t="str">
        <f t="shared" si="103"/>
        <v>E_SPV</v>
      </c>
    </row>
    <row r="2851" spans="1:16" x14ac:dyDescent="0.35">
      <c r="A2851" t="s">
        <v>1586</v>
      </c>
      <c r="B2851" t="s">
        <v>3111</v>
      </c>
      <c r="C2851" t="s">
        <v>45</v>
      </c>
      <c r="D2851" t="s">
        <v>1698</v>
      </c>
      <c r="E2851" t="s">
        <v>96</v>
      </c>
      <c r="F2851" t="s">
        <v>96</v>
      </c>
      <c r="G2851" t="s">
        <v>96</v>
      </c>
      <c r="H2851">
        <v>2010</v>
      </c>
      <c r="I2851" t="s">
        <v>96</v>
      </c>
      <c r="J2851" t="s">
        <v>97</v>
      </c>
      <c r="K2851" t="s">
        <v>96</v>
      </c>
      <c r="L2851" t="s">
        <v>96</v>
      </c>
      <c r="M2851">
        <v>1417</v>
      </c>
      <c r="O2851" s="12" t="str">
        <f t="shared" si="102"/>
        <v>AFR</v>
      </c>
      <c r="P2851" s="12" t="str">
        <f t="shared" si="103"/>
        <v>E_SPV</v>
      </c>
    </row>
    <row r="2852" spans="1:16" x14ac:dyDescent="0.35">
      <c r="A2852" t="s">
        <v>1586</v>
      </c>
      <c r="B2852" t="s">
        <v>3111</v>
      </c>
      <c r="C2852" t="s">
        <v>45</v>
      </c>
      <c r="D2852" t="s">
        <v>1700</v>
      </c>
      <c r="E2852" t="s">
        <v>96</v>
      </c>
      <c r="F2852" t="s">
        <v>96</v>
      </c>
      <c r="G2852" t="s">
        <v>96</v>
      </c>
      <c r="H2852">
        <v>2010</v>
      </c>
      <c r="I2852" t="s">
        <v>96</v>
      </c>
      <c r="J2852" t="s">
        <v>97</v>
      </c>
      <c r="K2852" t="s">
        <v>96</v>
      </c>
      <c r="L2852" t="s">
        <v>96</v>
      </c>
      <c r="M2852">
        <v>1417</v>
      </c>
      <c r="O2852" s="12" t="str">
        <f t="shared" si="102"/>
        <v>AFR</v>
      </c>
      <c r="P2852" s="12" t="str">
        <f t="shared" si="103"/>
        <v>E_SPV</v>
      </c>
    </row>
    <row r="2853" spans="1:16" x14ac:dyDescent="0.35">
      <c r="A2853" t="s">
        <v>1586</v>
      </c>
      <c r="B2853" t="s">
        <v>3111</v>
      </c>
      <c r="C2853" t="s">
        <v>45</v>
      </c>
      <c r="D2853" t="s">
        <v>1702</v>
      </c>
      <c r="E2853" t="s">
        <v>96</v>
      </c>
      <c r="F2853" t="s">
        <v>96</v>
      </c>
      <c r="G2853" t="s">
        <v>96</v>
      </c>
      <c r="H2853">
        <v>2010</v>
      </c>
      <c r="I2853" t="s">
        <v>96</v>
      </c>
      <c r="J2853" t="s">
        <v>97</v>
      </c>
      <c r="K2853" t="s">
        <v>96</v>
      </c>
      <c r="L2853" t="s">
        <v>96</v>
      </c>
      <c r="M2853">
        <v>1417</v>
      </c>
      <c r="O2853" s="12" t="str">
        <f t="shared" si="102"/>
        <v>AFR</v>
      </c>
      <c r="P2853" s="12" t="str">
        <f t="shared" si="103"/>
        <v>E_SPV</v>
      </c>
    </row>
    <row r="2854" spans="1:16" x14ac:dyDescent="0.35">
      <c r="A2854" t="s">
        <v>1586</v>
      </c>
      <c r="B2854" t="s">
        <v>3111</v>
      </c>
      <c r="C2854" t="s">
        <v>45</v>
      </c>
      <c r="D2854" t="s">
        <v>1704</v>
      </c>
      <c r="E2854" t="s">
        <v>96</v>
      </c>
      <c r="F2854" t="s">
        <v>96</v>
      </c>
      <c r="G2854" t="s">
        <v>96</v>
      </c>
      <c r="H2854">
        <v>2010</v>
      </c>
      <c r="I2854" t="s">
        <v>96</v>
      </c>
      <c r="J2854" t="s">
        <v>97</v>
      </c>
      <c r="K2854" t="s">
        <v>96</v>
      </c>
      <c r="L2854" t="s">
        <v>96</v>
      </c>
      <c r="M2854">
        <v>1417</v>
      </c>
      <c r="O2854" s="12" t="str">
        <f t="shared" si="102"/>
        <v>AFR</v>
      </c>
      <c r="P2854" s="12" t="str">
        <f t="shared" si="103"/>
        <v>E_SPV</v>
      </c>
    </row>
    <row r="2855" spans="1:16" x14ac:dyDescent="0.35">
      <c r="A2855" t="s">
        <v>1586</v>
      </c>
      <c r="B2855" t="s">
        <v>3111</v>
      </c>
      <c r="C2855" t="s">
        <v>45</v>
      </c>
      <c r="D2855" t="s">
        <v>1705</v>
      </c>
      <c r="E2855" t="s">
        <v>96</v>
      </c>
      <c r="F2855" t="s">
        <v>96</v>
      </c>
      <c r="G2855" t="s">
        <v>96</v>
      </c>
      <c r="H2855">
        <v>2010</v>
      </c>
      <c r="I2855" t="s">
        <v>96</v>
      </c>
      <c r="J2855" t="s">
        <v>97</v>
      </c>
      <c r="K2855" t="s">
        <v>96</v>
      </c>
      <c r="L2855" t="s">
        <v>96</v>
      </c>
      <c r="M2855">
        <v>1417</v>
      </c>
      <c r="O2855" s="12" t="str">
        <f t="shared" si="102"/>
        <v>AFR</v>
      </c>
      <c r="P2855" s="12" t="str">
        <f t="shared" si="103"/>
        <v>E_SPV</v>
      </c>
    </row>
    <row r="2856" spans="1:16" x14ac:dyDescent="0.35">
      <c r="A2856" t="s">
        <v>1586</v>
      </c>
      <c r="B2856" t="s">
        <v>3111</v>
      </c>
      <c r="C2856" t="s">
        <v>45</v>
      </c>
      <c r="D2856" t="s">
        <v>1708</v>
      </c>
      <c r="E2856" t="s">
        <v>96</v>
      </c>
      <c r="F2856" t="s">
        <v>96</v>
      </c>
      <c r="G2856" t="s">
        <v>96</v>
      </c>
      <c r="H2856">
        <v>2010</v>
      </c>
      <c r="I2856" t="s">
        <v>96</v>
      </c>
      <c r="J2856" t="s">
        <v>97</v>
      </c>
      <c r="K2856" t="s">
        <v>96</v>
      </c>
      <c r="L2856" t="s">
        <v>96</v>
      </c>
      <c r="M2856">
        <v>1417</v>
      </c>
      <c r="O2856" s="12" t="str">
        <f t="shared" si="102"/>
        <v>AFR</v>
      </c>
      <c r="P2856" s="12" t="str">
        <f t="shared" si="103"/>
        <v>E_SPV</v>
      </c>
    </row>
    <row r="2857" spans="1:16" x14ac:dyDescent="0.35">
      <c r="A2857" t="s">
        <v>1586</v>
      </c>
      <c r="B2857" t="s">
        <v>3111</v>
      </c>
      <c r="C2857" t="s">
        <v>45</v>
      </c>
      <c r="D2857" t="s">
        <v>1709</v>
      </c>
      <c r="E2857" t="s">
        <v>96</v>
      </c>
      <c r="F2857" t="s">
        <v>96</v>
      </c>
      <c r="G2857" t="s">
        <v>96</v>
      </c>
      <c r="H2857">
        <v>2010</v>
      </c>
      <c r="I2857" t="s">
        <v>96</v>
      </c>
      <c r="J2857" t="s">
        <v>97</v>
      </c>
      <c r="K2857" t="s">
        <v>96</v>
      </c>
      <c r="L2857" t="s">
        <v>96</v>
      </c>
      <c r="M2857">
        <v>1417</v>
      </c>
      <c r="O2857" s="12" t="str">
        <f t="shared" si="102"/>
        <v>AFR</v>
      </c>
      <c r="P2857" s="12" t="str">
        <f t="shared" si="103"/>
        <v>E_SPV</v>
      </c>
    </row>
    <row r="2858" spans="1:16" x14ac:dyDescent="0.35">
      <c r="A2858" t="s">
        <v>1586</v>
      </c>
      <c r="B2858" t="s">
        <v>3111</v>
      </c>
      <c r="C2858" t="s">
        <v>45</v>
      </c>
      <c r="D2858" t="s">
        <v>1710</v>
      </c>
      <c r="E2858" t="s">
        <v>96</v>
      </c>
      <c r="F2858" t="s">
        <v>96</v>
      </c>
      <c r="G2858" t="s">
        <v>96</v>
      </c>
      <c r="H2858">
        <v>2010</v>
      </c>
      <c r="I2858" t="s">
        <v>96</v>
      </c>
      <c r="J2858" t="s">
        <v>97</v>
      </c>
      <c r="K2858" t="s">
        <v>96</v>
      </c>
      <c r="L2858" t="s">
        <v>96</v>
      </c>
      <c r="M2858">
        <v>1209</v>
      </c>
      <c r="O2858" s="12" t="str">
        <f t="shared" si="102"/>
        <v>AFR</v>
      </c>
      <c r="P2858" s="12" t="str">
        <f t="shared" si="103"/>
        <v>E_SPV</v>
      </c>
    </row>
    <row r="2859" spans="1:16" x14ac:dyDescent="0.35">
      <c r="A2859" t="s">
        <v>1586</v>
      </c>
      <c r="B2859" t="s">
        <v>3111</v>
      </c>
      <c r="C2859" t="s">
        <v>45</v>
      </c>
      <c r="D2859" t="s">
        <v>1711</v>
      </c>
      <c r="E2859" t="s">
        <v>96</v>
      </c>
      <c r="F2859" t="s">
        <v>96</v>
      </c>
      <c r="G2859" t="s">
        <v>96</v>
      </c>
      <c r="H2859">
        <v>2010</v>
      </c>
      <c r="I2859" t="s">
        <v>96</v>
      </c>
      <c r="J2859" t="s">
        <v>97</v>
      </c>
      <c r="K2859" t="s">
        <v>96</v>
      </c>
      <c r="L2859" t="s">
        <v>96</v>
      </c>
      <c r="M2859">
        <v>1417</v>
      </c>
      <c r="O2859" s="12" t="str">
        <f t="shared" si="102"/>
        <v>AFR</v>
      </c>
      <c r="P2859" s="12" t="str">
        <f t="shared" si="103"/>
        <v>E_SPV</v>
      </c>
    </row>
    <row r="2860" spans="1:16" x14ac:dyDescent="0.35">
      <c r="A2860" t="s">
        <v>1586</v>
      </c>
      <c r="B2860" t="s">
        <v>3111</v>
      </c>
      <c r="C2860" t="s">
        <v>45</v>
      </c>
      <c r="D2860" t="s">
        <v>1712</v>
      </c>
      <c r="E2860" t="s">
        <v>96</v>
      </c>
      <c r="F2860" t="s">
        <v>96</v>
      </c>
      <c r="G2860" t="s">
        <v>96</v>
      </c>
      <c r="H2860">
        <v>2010</v>
      </c>
      <c r="I2860" t="s">
        <v>96</v>
      </c>
      <c r="J2860" t="s">
        <v>97</v>
      </c>
      <c r="K2860" t="s">
        <v>96</v>
      </c>
      <c r="L2860" t="s">
        <v>96</v>
      </c>
      <c r="M2860">
        <v>1417</v>
      </c>
      <c r="O2860" s="12" t="str">
        <f t="shared" si="102"/>
        <v>AFR</v>
      </c>
      <c r="P2860" s="12" t="str">
        <f t="shared" si="103"/>
        <v>E_SPV</v>
      </c>
    </row>
    <row r="2861" spans="1:16" x14ac:dyDescent="0.35">
      <c r="A2861" t="s">
        <v>1586</v>
      </c>
      <c r="B2861" t="s">
        <v>3111</v>
      </c>
      <c r="C2861" t="s">
        <v>45</v>
      </c>
      <c r="D2861" t="s">
        <v>1713</v>
      </c>
      <c r="E2861" t="s">
        <v>96</v>
      </c>
      <c r="F2861" t="s">
        <v>96</v>
      </c>
      <c r="G2861" t="s">
        <v>96</v>
      </c>
      <c r="H2861">
        <v>2010</v>
      </c>
      <c r="I2861" t="s">
        <v>96</v>
      </c>
      <c r="J2861" t="s">
        <v>97</v>
      </c>
      <c r="K2861" t="s">
        <v>96</v>
      </c>
      <c r="L2861" t="s">
        <v>96</v>
      </c>
      <c r="M2861">
        <v>1417</v>
      </c>
      <c r="O2861" s="12" t="str">
        <f t="shared" si="102"/>
        <v>AFR</v>
      </c>
      <c r="P2861" s="12" t="str">
        <f t="shared" si="103"/>
        <v>E_SPV</v>
      </c>
    </row>
    <row r="2862" spans="1:16" x14ac:dyDescent="0.35">
      <c r="A2862" t="s">
        <v>1586</v>
      </c>
      <c r="B2862" t="s">
        <v>3111</v>
      </c>
      <c r="C2862" t="s">
        <v>45</v>
      </c>
      <c r="D2862" t="s">
        <v>1714</v>
      </c>
      <c r="E2862" t="s">
        <v>96</v>
      </c>
      <c r="F2862" t="s">
        <v>96</v>
      </c>
      <c r="G2862" t="s">
        <v>96</v>
      </c>
      <c r="H2862">
        <v>2010</v>
      </c>
      <c r="I2862" t="s">
        <v>96</v>
      </c>
      <c r="J2862" t="s">
        <v>97</v>
      </c>
      <c r="K2862" t="s">
        <v>96</v>
      </c>
      <c r="L2862" t="s">
        <v>96</v>
      </c>
      <c r="M2862">
        <v>1417</v>
      </c>
      <c r="O2862" s="12" t="str">
        <f t="shared" si="102"/>
        <v>AFR</v>
      </c>
      <c r="P2862" s="12" t="str">
        <f t="shared" si="103"/>
        <v>E_SPV</v>
      </c>
    </row>
    <row r="2863" spans="1:16" x14ac:dyDescent="0.35">
      <c r="A2863" t="s">
        <v>1586</v>
      </c>
      <c r="B2863" t="s">
        <v>3111</v>
      </c>
      <c r="C2863" t="s">
        <v>45</v>
      </c>
      <c r="D2863" t="s">
        <v>1715</v>
      </c>
      <c r="E2863" t="s">
        <v>96</v>
      </c>
      <c r="F2863" t="s">
        <v>96</v>
      </c>
      <c r="G2863" t="s">
        <v>96</v>
      </c>
      <c r="H2863">
        <v>2010</v>
      </c>
      <c r="I2863" t="s">
        <v>96</v>
      </c>
      <c r="J2863" t="s">
        <v>97</v>
      </c>
      <c r="K2863" t="s">
        <v>96</v>
      </c>
      <c r="L2863" t="s">
        <v>96</v>
      </c>
      <c r="M2863">
        <v>1417</v>
      </c>
      <c r="O2863" s="12" t="str">
        <f t="shared" si="102"/>
        <v>AFR</v>
      </c>
      <c r="P2863" s="12" t="str">
        <f t="shared" si="103"/>
        <v>E_SPV</v>
      </c>
    </row>
    <row r="2864" spans="1:16" x14ac:dyDescent="0.35">
      <c r="A2864" t="s">
        <v>1586</v>
      </c>
      <c r="B2864" t="s">
        <v>3111</v>
      </c>
      <c r="C2864" t="s">
        <v>45</v>
      </c>
      <c r="D2864" t="s">
        <v>1716</v>
      </c>
      <c r="E2864" t="s">
        <v>96</v>
      </c>
      <c r="F2864" t="s">
        <v>96</v>
      </c>
      <c r="G2864" t="s">
        <v>96</v>
      </c>
      <c r="H2864">
        <v>2010</v>
      </c>
      <c r="I2864" t="s">
        <v>96</v>
      </c>
      <c r="J2864" t="s">
        <v>97</v>
      </c>
      <c r="K2864" t="s">
        <v>96</v>
      </c>
      <c r="L2864" t="s">
        <v>96</v>
      </c>
      <c r="M2864">
        <v>1417</v>
      </c>
      <c r="O2864" s="12" t="str">
        <f t="shared" si="102"/>
        <v>AFR</v>
      </c>
      <c r="P2864" s="12" t="str">
        <f t="shared" si="103"/>
        <v>E_SPV</v>
      </c>
    </row>
    <row r="2865" spans="1:16" x14ac:dyDescent="0.35">
      <c r="A2865" t="s">
        <v>1586</v>
      </c>
      <c r="B2865" t="s">
        <v>3111</v>
      </c>
      <c r="C2865" t="s">
        <v>45</v>
      </c>
      <c r="D2865" t="s">
        <v>1717</v>
      </c>
      <c r="E2865" t="s">
        <v>96</v>
      </c>
      <c r="F2865" t="s">
        <v>96</v>
      </c>
      <c r="G2865" t="s">
        <v>96</v>
      </c>
      <c r="H2865">
        <v>2010</v>
      </c>
      <c r="I2865" t="s">
        <v>96</v>
      </c>
      <c r="J2865" t="s">
        <v>97</v>
      </c>
      <c r="K2865" t="s">
        <v>96</v>
      </c>
      <c r="L2865" t="s">
        <v>96</v>
      </c>
      <c r="M2865">
        <v>1417</v>
      </c>
      <c r="O2865" s="12" t="str">
        <f t="shared" si="102"/>
        <v>AFR</v>
      </c>
      <c r="P2865" s="12" t="str">
        <f t="shared" si="103"/>
        <v>E_SPV</v>
      </c>
    </row>
    <row r="2866" spans="1:16" x14ac:dyDescent="0.35">
      <c r="A2866" t="s">
        <v>1586</v>
      </c>
      <c r="B2866" t="s">
        <v>3111</v>
      </c>
      <c r="C2866" t="s">
        <v>45</v>
      </c>
      <c r="D2866" t="s">
        <v>1718</v>
      </c>
      <c r="E2866" t="s">
        <v>96</v>
      </c>
      <c r="F2866" t="s">
        <v>96</v>
      </c>
      <c r="G2866" t="s">
        <v>96</v>
      </c>
      <c r="H2866">
        <v>2010</v>
      </c>
      <c r="I2866" t="s">
        <v>96</v>
      </c>
      <c r="J2866" t="s">
        <v>97</v>
      </c>
      <c r="K2866" t="s">
        <v>96</v>
      </c>
      <c r="L2866" t="s">
        <v>96</v>
      </c>
      <c r="M2866">
        <v>1417</v>
      </c>
      <c r="O2866" s="12" t="str">
        <f t="shared" si="102"/>
        <v>AFR</v>
      </c>
      <c r="P2866" s="12" t="str">
        <f t="shared" si="103"/>
        <v>E_SPV</v>
      </c>
    </row>
    <row r="2867" spans="1:16" x14ac:dyDescent="0.35">
      <c r="A2867" t="s">
        <v>1586</v>
      </c>
      <c r="B2867" t="s">
        <v>3111</v>
      </c>
      <c r="C2867" t="s">
        <v>45</v>
      </c>
      <c r="D2867" t="s">
        <v>1722</v>
      </c>
      <c r="E2867" t="s">
        <v>96</v>
      </c>
      <c r="F2867" t="s">
        <v>96</v>
      </c>
      <c r="G2867" t="s">
        <v>96</v>
      </c>
      <c r="H2867">
        <v>2010</v>
      </c>
      <c r="I2867" t="s">
        <v>96</v>
      </c>
      <c r="J2867" t="s">
        <v>97</v>
      </c>
      <c r="K2867" t="s">
        <v>96</v>
      </c>
      <c r="L2867" t="s">
        <v>96</v>
      </c>
      <c r="M2867">
        <v>1417</v>
      </c>
      <c r="O2867" s="12" t="str">
        <f t="shared" si="102"/>
        <v>AFR</v>
      </c>
      <c r="P2867" s="12" t="str">
        <f t="shared" si="103"/>
        <v>E_SPV</v>
      </c>
    </row>
    <row r="2868" spans="1:16" x14ac:dyDescent="0.35">
      <c r="A2868" t="s">
        <v>1586</v>
      </c>
      <c r="B2868" t="s">
        <v>3111</v>
      </c>
      <c r="C2868" t="s">
        <v>45</v>
      </c>
      <c r="D2868" t="s">
        <v>1723</v>
      </c>
      <c r="E2868" t="s">
        <v>96</v>
      </c>
      <c r="F2868" t="s">
        <v>96</v>
      </c>
      <c r="G2868" t="s">
        <v>96</v>
      </c>
      <c r="H2868">
        <v>2010</v>
      </c>
      <c r="I2868" t="s">
        <v>96</v>
      </c>
      <c r="J2868" t="s">
        <v>97</v>
      </c>
      <c r="K2868" t="s">
        <v>96</v>
      </c>
      <c r="L2868" t="s">
        <v>96</v>
      </c>
      <c r="M2868">
        <v>1417</v>
      </c>
      <c r="O2868" s="12" t="str">
        <f t="shared" si="102"/>
        <v>AFR</v>
      </c>
      <c r="P2868" s="12" t="str">
        <f t="shared" si="103"/>
        <v>E_SPV</v>
      </c>
    </row>
    <row r="2869" spans="1:16" x14ac:dyDescent="0.35">
      <c r="A2869" t="s">
        <v>1586</v>
      </c>
      <c r="B2869" t="s">
        <v>3111</v>
      </c>
      <c r="C2869" t="s">
        <v>45</v>
      </c>
      <c r="D2869" t="s">
        <v>1724</v>
      </c>
      <c r="E2869" t="s">
        <v>96</v>
      </c>
      <c r="F2869" t="s">
        <v>96</v>
      </c>
      <c r="G2869" t="s">
        <v>96</v>
      </c>
      <c r="H2869">
        <v>2010</v>
      </c>
      <c r="I2869" t="s">
        <v>96</v>
      </c>
      <c r="J2869" t="s">
        <v>97</v>
      </c>
      <c r="K2869" t="s">
        <v>96</v>
      </c>
      <c r="L2869" t="s">
        <v>96</v>
      </c>
      <c r="M2869">
        <v>1417</v>
      </c>
      <c r="O2869" s="12" t="str">
        <f t="shared" si="102"/>
        <v>AFR</v>
      </c>
      <c r="P2869" s="12" t="str">
        <f t="shared" si="103"/>
        <v>E_SPV</v>
      </c>
    </row>
    <row r="2870" spans="1:16" x14ac:dyDescent="0.35">
      <c r="A2870" t="s">
        <v>1586</v>
      </c>
      <c r="B2870" t="s">
        <v>3111</v>
      </c>
      <c r="C2870" t="s">
        <v>45</v>
      </c>
      <c r="D2870" t="s">
        <v>1727</v>
      </c>
      <c r="E2870" t="s">
        <v>96</v>
      </c>
      <c r="F2870" t="s">
        <v>96</v>
      </c>
      <c r="G2870" t="s">
        <v>96</v>
      </c>
      <c r="H2870">
        <v>2010</v>
      </c>
      <c r="I2870" t="s">
        <v>96</v>
      </c>
      <c r="J2870" t="s">
        <v>97</v>
      </c>
      <c r="K2870" t="s">
        <v>96</v>
      </c>
      <c r="L2870" t="s">
        <v>96</v>
      </c>
      <c r="M2870">
        <v>1417</v>
      </c>
      <c r="O2870" s="12" t="str">
        <f t="shared" si="102"/>
        <v>AFR</v>
      </c>
      <c r="P2870" s="12" t="str">
        <f t="shared" si="103"/>
        <v>E_SPV</v>
      </c>
    </row>
    <row r="2871" spans="1:16" x14ac:dyDescent="0.35">
      <c r="A2871" t="s">
        <v>1586</v>
      </c>
      <c r="B2871" t="s">
        <v>3111</v>
      </c>
      <c r="C2871" t="s">
        <v>45</v>
      </c>
      <c r="D2871" t="s">
        <v>1729</v>
      </c>
      <c r="E2871" t="s">
        <v>96</v>
      </c>
      <c r="F2871" t="s">
        <v>96</v>
      </c>
      <c r="G2871" t="s">
        <v>96</v>
      </c>
      <c r="H2871">
        <v>2010</v>
      </c>
      <c r="I2871" t="s">
        <v>96</v>
      </c>
      <c r="J2871" t="s">
        <v>97</v>
      </c>
      <c r="K2871" t="s">
        <v>96</v>
      </c>
      <c r="L2871" t="s">
        <v>96</v>
      </c>
      <c r="M2871">
        <v>1417</v>
      </c>
      <c r="O2871" s="12" t="str">
        <f t="shared" si="102"/>
        <v>AFR</v>
      </c>
      <c r="P2871" s="12" t="str">
        <f t="shared" si="103"/>
        <v>E_SPV</v>
      </c>
    </row>
    <row r="2872" spans="1:16" x14ac:dyDescent="0.35">
      <c r="A2872" t="s">
        <v>1586</v>
      </c>
      <c r="B2872" t="s">
        <v>3111</v>
      </c>
      <c r="C2872" t="s">
        <v>45</v>
      </c>
      <c r="D2872" t="s">
        <v>1731</v>
      </c>
      <c r="E2872" t="s">
        <v>96</v>
      </c>
      <c r="F2872" t="s">
        <v>96</v>
      </c>
      <c r="G2872" t="s">
        <v>96</v>
      </c>
      <c r="H2872">
        <v>2010</v>
      </c>
      <c r="I2872" t="s">
        <v>96</v>
      </c>
      <c r="J2872" t="s">
        <v>97</v>
      </c>
      <c r="K2872" t="s">
        <v>96</v>
      </c>
      <c r="L2872" t="s">
        <v>96</v>
      </c>
      <c r="M2872">
        <v>1417</v>
      </c>
      <c r="O2872" s="12" t="str">
        <f t="shared" si="102"/>
        <v>AFR</v>
      </c>
      <c r="P2872" s="12" t="str">
        <f t="shared" si="103"/>
        <v>E_SPV</v>
      </c>
    </row>
    <row r="2873" spans="1:16" x14ac:dyDescent="0.35">
      <c r="A2873" t="s">
        <v>1586</v>
      </c>
      <c r="B2873" t="s">
        <v>3111</v>
      </c>
      <c r="C2873" t="s">
        <v>45</v>
      </c>
      <c r="D2873" t="s">
        <v>1733</v>
      </c>
      <c r="E2873" t="s">
        <v>96</v>
      </c>
      <c r="F2873" t="s">
        <v>96</v>
      </c>
      <c r="G2873" t="s">
        <v>96</v>
      </c>
      <c r="H2873">
        <v>2010</v>
      </c>
      <c r="I2873" t="s">
        <v>96</v>
      </c>
      <c r="J2873" t="s">
        <v>97</v>
      </c>
      <c r="K2873" t="s">
        <v>96</v>
      </c>
      <c r="L2873" t="s">
        <v>96</v>
      </c>
      <c r="M2873">
        <v>1417</v>
      </c>
      <c r="O2873" s="12" t="str">
        <f t="shared" si="102"/>
        <v>AFR</v>
      </c>
      <c r="P2873" s="12" t="str">
        <f t="shared" si="103"/>
        <v>E_SPV</v>
      </c>
    </row>
    <row r="2874" spans="1:16" x14ac:dyDescent="0.35">
      <c r="A2874" t="s">
        <v>1586</v>
      </c>
      <c r="B2874" t="s">
        <v>3111</v>
      </c>
      <c r="C2874" t="s">
        <v>45</v>
      </c>
      <c r="D2874" t="s">
        <v>1735</v>
      </c>
      <c r="E2874" t="s">
        <v>96</v>
      </c>
      <c r="F2874" t="s">
        <v>96</v>
      </c>
      <c r="G2874" t="s">
        <v>96</v>
      </c>
      <c r="H2874">
        <v>2010</v>
      </c>
      <c r="I2874" t="s">
        <v>96</v>
      </c>
      <c r="J2874" t="s">
        <v>97</v>
      </c>
      <c r="K2874" t="s">
        <v>96</v>
      </c>
      <c r="L2874" t="s">
        <v>96</v>
      </c>
      <c r="M2874">
        <v>1417</v>
      </c>
      <c r="O2874" s="12" t="str">
        <f t="shared" si="102"/>
        <v>AFR</v>
      </c>
      <c r="P2874" s="12" t="str">
        <f t="shared" si="103"/>
        <v>E_SPV</v>
      </c>
    </row>
    <row r="2875" spans="1:16" x14ac:dyDescent="0.35">
      <c r="A2875" t="s">
        <v>1586</v>
      </c>
      <c r="B2875" t="s">
        <v>3111</v>
      </c>
      <c r="C2875" t="s">
        <v>45</v>
      </c>
      <c r="D2875" t="s">
        <v>1736</v>
      </c>
      <c r="E2875" t="s">
        <v>96</v>
      </c>
      <c r="F2875" t="s">
        <v>96</v>
      </c>
      <c r="G2875" t="s">
        <v>96</v>
      </c>
      <c r="H2875">
        <v>2010</v>
      </c>
      <c r="I2875" t="s">
        <v>96</v>
      </c>
      <c r="J2875" t="s">
        <v>97</v>
      </c>
      <c r="K2875" t="s">
        <v>96</v>
      </c>
      <c r="L2875" t="s">
        <v>96</v>
      </c>
      <c r="M2875">
        <v>1417</v>
      </c>
      <c r="O2875" s="12" t="str">
        <f t="shared" si="102"/>
        <v>AFR</v>
      </c>
      <c r="P2875" s="12" t="str">
        <f t="shared" si="103"/>
        <v>E_SPV</v>
      </c>
    </row>
    <row r="2876" spans="1:16" x14ac:dyDescent="0.35">
      <c r="A2876" t="s">
        <v>1586</v>
      </c>
      <c r="B2876" t="s">
        <v>3111</v>
      </c>
      <c r="C2876" t="s">
        <v>45</v>
      </c>
      <c r="D2876" t="s">
        <v>1739</v>
      </c>
      <c r="E2876" t="s">
        <v>96</v>
      </c>
      <c r="F2876" t="s">
        <v>96</v>
      </c>
      <c r="G2876" t="s">
        <v>96</v>
      </c>
      <c r="H2876">
        <v>2010</v>
      </c>
      <c r="I2876" t="s">
        <v>96</v>
      </c>
      <c r="J2876" t="s">
        <v>97</v>
      </c>
      <c r="K2876" t="s">
        <v>96</v>
      </c>
      <c r="L2876" t="s">
        <v>96</v>
      </c>
      <c r="M2876">
        <v>1417</v>
      </c>
      <c r="O2876" s="12" t="str">
        <f t="shared" si="102"/>
        <v>AFR</v>
      </c>
      <c r="P2876" s="12" t="str">
        <f t="shared" si="103"/>
        <v>E_SPV</v>
      </c>
    </row>
    <row r="2877" spans="1:16" x14ac:dyDescent="0.35">
      <c r="A2877" t="s">
        <v>1586</v>
      </c>
      <c r="B2877" t="s">
        <v>3111</v>
      </c>
      <c r="C2877" t="s">
        <v>45</v>
      </c>
      <c r="D2877" t="s">
        <v>1740</v>
      </c>
      <c r="E2877" t="s">
        <v>96</v>
      </c>
      <c r="F2877" t="s">
        <v>96</v>
      </c>
      <c r="G2877" t="s">
        <v>96</v>
      </c>
      <c r="H2877">
        <v>2010</v>
      </c>
      <c r="I2877" t="s">
        <v>96</v>
      </c>
      <c r="J2877" t="s">
        <v>97</v>
      </c>
      <c r="K2877" t="s">
        <v>96</v>
      </c>
      <c r="L2877" t="s">
        <v>96</v>
      </c>
      <c r="M2877">
        <v>1417</v>
      </c>
      <c r="O2877" s="12" t="str">
        <f t="shared" si="102"/>
        <v>AFR</v>
      </c>
      <c r="P2877" s="12" t="str">
        <f t="shared" si="103"/>
        <v>E_SPV</v>
      </c>
    </row>
    <row r="2878" spans="1:16" x14ac:dyDescent="0.35">
      <c r="A2878" t="s">
        <v>1586</v>
      </c>
      <c r="B2878" t="s">
        <v>3111</v>
      </c>
      <c r="C2878" t="s">
        <v>45</v>
      </c>
      <c r="D2878" t="s">
        <v>1741</v>
      </c>
      <c r="E2878" t="s">
        <v>96</v>
      </c>
      <c r="F2878" t="s">
        <v>96</v>
      </c>
      <c r="G2878" t="s">
        <v>96</v>
      </c>
      <c r="H2878">
        <v>2010</v>
      </c>
      <c r="I2878" t="s">
        <v>96</v>
      </c>
      <c r="J2878" t="s">
        <v>97</v>
      </c>
      <c r="K2878" t="s">
        <v>96</v>
      </c>
      <c r="L2878" t="s">
        <v>96</v>
      </c>
      <c r="M2878">
        <v>1209</v>
      </c>
      <c r="O2878" s="12" t="str">
        <f t="shared" si="102"/>
        <v>AFR</v>
      </c>
      <c r="P2878" s="12" t="str">
        <f t="shared" si="103"/>
        <v>E_SPV</v>
      </c>
    </row>
    <row r="2879" spans="1:16" x14ac:dyDescent="0.35">
      <c r="A2879" t="s">
        <v>1586</v>
      </c>
      <c r="B2879" t="s">
        <v>3111</v>
      </c>
      <c r="C2879" t="s">
        <v>45</v>
      </c>
      <c r="D2879" t="s">
        <v>1742</v>
      </c>
      <c r="E2879" t="s">
        <v>96</v>
      </c>
      <c r="F2879" t="s">
        <v>96</v>
      </c>
      <c r="G2879" t="s">
        <v>96</v>
      </c>
      <c r="H2879">
        <v>2010</v>
      </c>
      <c r="I2879" t="s">
        <v>96</v>
      </c>
      <c r="J2879" t="s">
        <v>97</v>
      </c>
      <c r="K2879" t="s">
        <v>96</v>
      </c>
      <c r="L2879" t="s">
        <v>96</v>
      </c>
      <c r="M2879">
        <v>1417</v>
      </c>
      <c r="O2879" s="12" t="str">
        <f t="shared" si="102"/>
        <v>AFR</v>
      </c>
      <c r="P2879" s="12" t="str">
        <f t="shared" si="103"/>
        <v>E_SPV</v>
      </c>
    </row>
    <row r="2880" spans="1:16" x14ac:dyDescent="0.35">
      <c r="A2880" t="s">
        <v>1586</v>
      </c>
      <c r="B2880" t="s">
        <v>3111</v>
      </c>
      <c r="C2880" t="s">
        <v>45</v>
      </c>
      <c r="D2880" t="s">
        <v>1743</v>
      </c>
      <c r="E2880" t="s">
        <v>96</v>
      </c>
      <c r="F2880" t="s">
        <v>96</v>
      </c>
      <c r="G2880" t="s">
        <v>96</v>
      </c>
      <c r="H2880">
        <v>2010</v>
      </c>
      <c r="I2880" t="s">
        <v>96</v>
      </c>
      <c r="J2880" t="s">
        <v>97</v>
      </c>
      <c r="K2880" t="s">
        <v>96</v>
      </c>
      <c r="L2880" t="s">
        <v>96</v>
      </c>
      <c r="M2880">
        <v>1417</v>
      </c>
      <c r="O2880" s="12" t="str">
        <f t="shared" si="102"/>
        <v>AFR</v>
      </c>
      <c r="P2880" s="12" t="str">
        <f t="shared" si="103"/>
        <v>E_SPV</v>
      </c>
    </row>
    <row r="2881" spans="1:16" x14ac:dyDescent="0.35">
      <c r="A2881" t="s">
        <v>1586</v>
      </c>
      <c r="B2881" t="s">
        <v>3111</v>
      </c>
      <c r="C2881" t="s">
        <v>45</v>
      </c>
      <c r="D2881" t="s">
        <v>1744</v>
      </c>
      <c r="E2881" t="s">
        <v>96</v>
      </c>
      <c r="F2881" t="s">
        <v>96</v>
      </c>
      <c r="G2881" t="s">
        <v>96</v>
      </c>
      <c r="H2881">
        <v>2010</v>
      </c>
      <c r="I2881" t="s">
        <v>96</v>
      </c>
      <c r="J2881" t="s">
        <v>97</v>
      </c>
      <c r="K2881" t="s">
        <v>96</v>
      </c>
      <c r="L2881" t="s">
        <v>96</v>
      </c>
      <c r="M2881">
        <v>1417</v>
      </c>
      <c r="O2881" s="12" t="str">
        <f t="shared" si="102"/>
        <v>AFR</v>
      </c>
      <c r="P2881" s="12" t="str">
        <f t="shared" si="103"/>
        <v>E_SPV</v>
      </c>
    </row>
    <row r="2882" spans="1:16" x14ac:dyDescent="0.35">
      <c r="A2882" t="s">
        <v>1586</v>
      </c>
      <c r="B2882" t="s">
        <v>3111</v>
      </c>
      <c r="C2882" t="s">
        <v>45</v>
      </c>
      <c r="D2882" t="s">
        <v>1745</v>
      </c>
      <c r="E2882" t="s">
        <v>96</v>
      </c>
      <c r="F2882" t="s">
        <v>96</v>
      </c>
      <c r="G2882" t="s">
        <v>96</v>
      </c>
      <c r="H2882">
        <v>2010</v>
      </c>
      <c r="I2882" t="s">
        <v>96</v>
      </c>
      <c r="J2882" t="s">
        <v>97</v>
      </c>
      <c r="K2882" t="s">
        <v>96</v>
      </c>
      <c r="L2882" t="s">
        <v>96</v>
      </c>
      <c r="M2882">
        <v>1417</v>
      </c>
      <c r="O2882" s="12" t="str">
        <f t="shared" si="102"/>
        <v>AFR</v>
      </c>
      <c r="P2882" s="12" t="str">
        <f t="shared" si="103"/>
        <v>E_SPV</v>
      </c>
    </row>
    <row r="2883" spans="1:16" x14ac:dyDescent="0.35">
      <c r="A2883" t="s">
        <v>1586</v>
      </c>
      <c r="B2883" t="s">
        <v>3111</v>
      </c>
      <c r="C2883" t="s">
        <v>45</v>
      </c>
      <c r="D2883" t="s">
        <v>1746</v>
      </c>
      <c r="E2883" t="s">
        <v>96</v>
      </c>
      <c r="F2883" t="s">
        <v>96</v>
      </c>
      <c r="G2883" t="s">
        <v>96</v>
      </c>
      <c r="H2883">
        <v>2010</v>
      </c>
      <c r="I2883" t="s">
        <v>96</v>
      </c>
      <c r="J2883" t="s">
        <v>97</v>
      </c>
      <c r="K2883" t="s">
        <v>96</v>
      </c>
      <c r="L2883" t="s">
        <v>96</v>
      </c>
      <c r="M2883">
        <v>1417</v>
      </c>
      <c r="O2883" s="12" t="str">
        <f t="shared" ref="O2883:O2946" si="104">LEFT(B2883,3)</f>
        <v>AFR</v>
      </c>
      <c r="P2883" s="12" t="str">
        <f t="shared" ref="P2883:P2946" si="105">LEFT(D2883,5)</f>
        <v>E_SPV</v>
      </c>
    </row>
    <row r="2884" spans="1:16" x14ac:dyDescent="0.35">
      <c r="A2884" t="s">
        <v>1586</v>
      </c>
      <c r="B2884" t="s">
        <v>3111</v>
      </c>
      <c r="C2884" t="s">
        <v>45</v>
      </c>
      <c r="D2884" t="s">
        <v>1747</v>
      </c>
      <c r="E2884" t="s">
        <v>96</v>
      </c>
      <c r="F2884" t="s">
        <v>96</v>
      </c>
      <c r="G2884" t="s">
        <v>96</v>
      </c>
      <c r="H2884">
        <v>2010</v>
      </c>
      <c r="I2884" t="s">
        <v>96</v>
      </c>
      <c r="J2884" t="s">
        <v>97</v>
      </c>
      <c r="K2884" t="s">
        <v>96</v>
      </c>
      <c r="L2884" t="s">
        <v>96</v>
      </c>
      <c r="M2884">
        <v>1417</v>
      </c>
      <c r="O2884" s="12" t="str">
        <f t="shared" si="104"/>
        <v>AFR</v>
      </c>
      <c r="P2884" s="12" t="str">
        <f t="shared" si="105"/>
        <v>E_SPV</v>
      </c>
    </row>
    <row r="2885" spans="1:16" x14ac:dyDescent="0.35">
      <c r="A2885" t="s">
        <v>1586</v>
      </c>
      <c r="B2885" t="s">
        <v>3111</v>
      </c>
      <c r="C2885" t="s">
        <v>45</v>
      </c>
      <c r="D2885" t="s">
        <v>1748</v>
      </c>
      <c r="E2885" t="s">
        <v>96</v>
      </c>
      <c r="F2885" t="s">
        <v>96</v>
      </c>
      <c r="G2885" t="s">
        <v>96</v>
      </c>
      <c r="H2885">
        <v>2010</v>
      </c>
      <c r="I2885" t="s">
        <v>96</v>
      </c>
      <c r="J2885" t="s">
        <v>97</v>
      </c>
      <c r="K2885" t="s">
        <v>96</v>
      </c>
      <c r="L2885" t="s">
        <v>96</v>
      </c>
      <c r="M2885">
        <v>1417</v>
      </c>
      <c r="O2885" s="12" t="str">
        <f t="shared" si="104"/>
        <v>AFR</v>
      </c>
      <c r="P2885" s="12" t="str">
        <f t="shared" si="105"/>
        <v>E_SPV</v>
      </c>
    </row>
    <row r="2886" spans="1:16" x14ac:dyDescent="0.35">
      <c r="A2886" t="s">
        <v>1586</v>
      </c>
      <c r="B2886" t="s">
        <v>3111</v>
      </c>
      <c r="C2886" t="s">
        <v>45</v>
      </c>
      <c r="D2886" t="s">
        <v>1749</v>
      </c>
      <c r="E2886" t="s">
        <v>96</v>
      </c>
      <c r="F2886" t="s">
        <v>96</v>
      </c>
      <c r="G2886" t="s">
        <v>96</v>
      </c>
      <c r="H2886">
        <v>2010</v>
      </c>
      <c r="I2886" t="s">
        <v>96</v>
      </c>
      <c r="J2886" t="s">
        <v>97</v>
      </c>
      <c r="K2886" t="s">
        <v>96</v>
      </c>
      <c r="L2886" t="s">
        <v>96</v>
      </c>
      <c r="M2886">
        <v>1417</v>
      </c>
      <c r="O2886" s="12" t="str">
        <f t="shared" si="104"/>
        <v>AFR</v>
      </c>
      <c r="P2886" s="12" t="str">
        <f t="shared" si="105"/>
        <v>E_SPV</v>
      </c>
    </row>
    <row r="2887" spans="1:16" x14ac:dyDescent="0.35">
      <c r="A2887" t="s">
        <v>1586</v>
      </c>
      <c r="B2887" t="s">
        <v>3111</v>
      </c>
      <c r="C2887" t="s">
        <v>45</v>
      </c>
      <c r="D2887" t="s">
        <v>1753</v>
      </c>
      <c r="E2887" t="s">
        <v>96</v>
      </c>
      <c r="F2887" t="s">
        <v>96</v>
      </c>
      <c r="G2887" t="s">
        <v>96</v>
      </c>
      <c r="H2887">
        <v>2010</v>
      </c>
      <c r="I2887" t="s">
        <v>96</v>
      </c>
      <c r="J2887" t="s">
        <v>97</v>
      </c>
      <c r="K2887" t="s">
        <v>96</v>
      </c>
      <c r="L2887" t="s">
        <v>96</v>
      </c>
      <c r="M2887">
        <v>1417</v>
      </c>
      <c r="O2887" s="12" t="str">
        <f t="shared" si="104"/>
        <v>AFR</v>
      </c>
      <c r="P2887" s="12" t="str">
        <f t="shared" si="105"/>
        <v>E_SPV</v>
      </c>
    </row>
    <row r="2888" spans="1:16" x14ac:dyDescent="0.35">
      <c r="A2888" t="s">
        <v>1586</v>
      </c>
      <c r="B2888" t="s">
        <v>3111</v>
      </c>
      <c r="C2888" t="s">
        <v>45</v>
      </c>
      <c r="D2888" t="s">
        <v>1754</v>
      </c>
      <c r="E2888" t="s">
        <v>96</v>
      </c>
      <c r="F2888" t="s">
        <v>96</v>
      </c>
      <c r="G2888" t="s">
        <v>96</v>
      </c>
      <c r="H2888">
        <v>2010</v>
      </c>
      <c r="I2888" t="s">
        <v>96</v>
      </c>
      <c r="J2888" t="s">
        <v>97</v>
      </c>
      <c r="K2888" t="s">
        <v>96</v>
      </c>
      <c r="L2888" t="s">
        <v>96</v>
      </c>
      <c r="M2888">
        <v>1417</v>
      </c>
      <c r="O2888" s="12" t="str">
        <f t="shared" si="104"/>
        <v>AFR</v>
      </c>
      <c r="P2888" s="12" t="str">
        <f t="shared" si="105"/>
        <v>E_SPV</v>
      </c>
    </row>
    <row r="2889" spans="1:16" x14ac:dyDescent="0.35">
      <c r="A2889" t="s">
        <v>1586</v>
      </c>
      <c r="B2889" t="s">
        <v>3111</v>
      </c>
      <c r="C2889" t="s">
        <v>45</v>
      </c>
      <c r="D2889" t="s">
        <v>1755</v>
      </c>
      <c r="E2889" t="s">
        <v>96</v>
      </c>
      <c r="F2889" t="s">
        <v>96</v>
      </c>
      <c r="G2889" t="s">
        <v>96</v>
      </c>
      <c r="H2889">
        <v>2010</v>
      </c>
      <c r="I2889" t="s">
        <v>96</v>
      </c>
      <c r="J2889" t="s">
        <v>97</v>
      </c>
      <c r="K2889" t="s">
        <v>96</v>
      </c>
      <c r="L2889" t="s">
        <v>96</v>
      </c>
      <c r="M2889">
        <v>1417</v>
      </c>
      <c r="O2889" s="12" t="str">
        <f t="shared" si="104"/>
        <v>AFR</v>
      </c>
      <c r="P2889" s="12" t="str">
        <f t="shared" si="105"/>
        <v>E_SPV</v>
      </c>
    </row>
    <row r="2890" spans="1:16" x14ac:dyDescent="0.35">
      <c r="A2890" t="s">
        <v>1586</v>
      </c>
      <c r="B2890" t="s">
        <v>3111</v>
      </c>
      <c r="C2890" t="s">
        <v>45</v>
      </c>
      <c r="D2890" t="s">
        <v>1757</v>
      </c>
      <c r="E2890" t="s">
        <v>96</v>
      </c>
      <c r="F2890" t="s">
        <v>96</v>
      </c>
      <c r="G2890" t="s">
        <v>96</v>
      </c>
      <c r="H2890">
        <v>2010</v>
      </c>
      <c r="I2890" t="s">
        <v>96</v>
      </c>
      <c r="J2890" t="s">
        <v>97</v>
      </c>
      <c r="K2890" t="s">
        <v>96</v>
      </c>
      <c r="L2890" t="s">
        <v>96</v>
      </c>
      <c r="M2890">
        <v>1417</v>
      </c>
      <c r="O2890" s="12" t="str">
        <f t="shared" si="104"/>
        <v>AFR</v>
      </c>
      <c r="P2890" s="12" t="str">
        <f t="shared" si="105"/>
        <v>E_SPV</v>
      </c>
    </row>
    <row r="2891" spans="1:16" x14ac:dyDescent="0.35">
      <c r="A2891" t="s">
        <v>1586</v>
      </c>
      <c r="B2891" t="s">
        <v>3111</v>
      </c>
      <c r="C2891" t="s">
        <v>45</v>
      </c>
      <c r="D2891" t="s">
        <v>1759</v>
      </c>
      <c r="E2891" t="s">
        <v>96</v>
      </c>
      <c r="F2891" t="s">
        <v>96</v>
      </c>
      <c r="G2891" t="s">
        <v>96</v>
      </c>
      <c r="H2891">
        <v>2010</v>
      </c>
      <c r="I2891" t="s">
        <v>96</v>
      </c>
      <c r="J2891" t="s">
        <v>97</v>
      </c>
      <c r="K2891" t="s">
        <v>96</v>
      </c>
      <c r="L2891" t="s">
        <v>96</v>
      </c>
      <c r="M2891">
        <v>1417</v>
      </c>
      <c r="O2891" s="12" t="str">
        <f t="shared" si="104"/>
        <v>AFR</v>
      </c>
      <c r="P2891" s="12" t="str">
        <f t="shared" si="105"/>
        <v>E_SPV</v>
      </c>
    </row>
    <row r="2892" spans="1:16" x14ac:dyDescent="0.35">
      <c r="A2892" t="s">
        <v>1586</v>
      </c>
      <c r="B2892" t="s">
        <v>3111</v>
      </c>
      <c r="C2892" t="s">
        <v>45</v>
      </c>
      <c r="D2892" t="s">
        <v>1761</v>
      </c>
      <c r="E2892" t="s">
        <v>96</v>
      </c>
      <c r="F2892" t="s">
        <v>96</v>
      </c>
      <c r="G2892" t="s">
        <v>96</v>
      </c>
      <c r="H2892">
        <v>2010</v>
      </c>
      <c r="I2892" t="s">
        <v>96</v>
      </c>
      <c r="J2892" t="s">
        <v>97</v>
      </c>
      <c r="K2892" t="s">
        <v>96</v>
      </c>
      <c r="L2892" t="s">
        <v>96</v>
      </c>
      <c r="M2892">
        <v>1417</v>
      </c>
      <c r="O2892" s="12" t="str">
        <f t="shared" si="104"/>
        <v>AFR</v>
      </c>
      <c r="P2892" s="12" t="str">
        <f t="shared" si="105"/>
        <v>E_SPV</v>
      </c>
    </row>
    <row r="2893" spans="1:16" x14ac:dyDescent="0.35">
      <c r="A2893" t="s">
        <v>1586</v>
      </c>
      <c r="B2893" t="s">
        <v>3111</v>
      </c>
      <c r="C2893" t="s">
        <v>45</v>
      </c>
      <c r="D2893" t="s">
        <v>1763</v>
      </c>
      <c r="E2893" t="s">
        <v>96</v>
      </c>
      <c r="F2893" t="s">
        <v>96</v>
      </c>
      <c r="G2893" t="s">
        <v>96</v>
      </c>
      <c r="H2893">
        <v>2010</v>
      </c>
      <c r="I2893" t="s">
        <v>96</v>
      </c>
      <c r="J2893" t="s">
        <v>97</v>
      </c>
      <c r="K2893" t="s">
        <v>96</v>
      </c>
      <c r="L2893" t="s">
        <v>96</v>
      </c>
      <c r="M2893">
        <v>1417</v>
      </c>
      <c r="O2893" s="12" t="str">
        <f t="shared" si="104"/>
        <v>AFR</v>
      </c>
      <c r="P2893" s="12" t="str">
        <f t="shared" si="105"/>
        <v>E_SPV</v>
      </c>
    </row>
    <row r="2894" spans="1:16" x14ac:dyDescent="0.35">
      <c r="A2894" t="s">
        <v>1586</v>
      </c>
      <c r="B2894" t="s">
        <v>3111</v>
      </c>
      <c r="C2894" t="s">
        <v>45</v>
      </c>
      <c r="D2894" t="s">
        <v>1765</v>
      </c>
      <c r="E2894" t="s">
        <v>96</v>
      </c>
      <c r="F2894" t="s">
        <v>96</v>
      </c>
      <c r="G2894" t="s">
        <v>96</v>
      </c>
      <c r="H2894">
        <v>2010</v>
      </c>
      <c r="I2894" t="s">
        <v>96</v>
      </c>
      <c r="J2894" t="s">
        <v>97</v>
      </c>
      <c r="K2894" t="s">
        <v>96</v>
      </c>
      <c r="L2894" t="s">
        <v>96</v>
      </c>
      <c r="M2894">
        <v>1417</v>
      </c>
      <c r="O2894" s="12" t="str">
        <f t="shared" si="104"/>
        <v>AFR</v>
      </c>
      <c r="P2894" s="12" t="str">
        <f t="shared" si="105"/>
        <v>E_SPV</v>
      </c>
    </row>
    <row r="2895" spans="1:16" x14ac:dyDescent="0.35">
      <c r="A2895" t="s">
        <v>1586</v>
      </c>
      <c r="B2895" t="s">
        <v>3111</v>
      </c>
      <c r="C2895" t="s">
        <v>45</v>
      </c>
      <c r="D2895" t="s">
        <v>1767</v>
      </c>
      <c r="E2895" t="s">
        <v>96</v>
      </c>
      <c r="F2895" t="s">
        <v>96</v>
      </c>
      <c r="G2895" t="s">
        <v>96</v>
      </c>
      <c r="H2895">
        <v>2010</v>
      </c>
      <c r="I2895" t="s">
        <v>96</v>
      </c>
      <c r="J2895" t="s">
        <v>97</v>
      </c>
      <c r="K2895" t="s">
        <v>96</v>
      </c>
      <c r="L2895" t="s">
        <v>96</v>
      </c>
      <c r="M2895">
        <v>1417</v>
      </c>
      <c r="O2895" s="12" t="str">
        <f t="shared" si="104"/>
        <v>AFR</v>
      </c>
      <c r="P2895" s="12" t="str">
        <f t="shared" si="105"/>
        <v>E_SPV</v>
      </c>
    </row>
    <row r="2896" spans="1:16" x14ac:dyDescent="0.35">
      <c r="A2896" t="s">
        <v>1586</v>
      </c>
      <c r="B2896" t="s">
        <v>3111</v>
      </c>
      <c r="C2896" t="s">
        <v>45</v>
      </c>
      <c r="D2896" t="s">
        <v>1768</v>
      </c>
      <c r="E2896" t="s">
        <v>96</v>
      </c>
      <c r="F2896" t="s">
        <v>96</v>
      </c>
      <c r="G2896" t="s">
        <v>96</v>
      </c>
      <c r="H2896">
        <v>2010</v>
      </c>
      <c r="I2896" t="s">
        <v>96</v>
      </c>
      <c r="J2896" t="s">
        <v>97</v>
      </c>
      <c r="K2896" t="s">
        <v>96</v>
      </c>
      <c r="L2896" t="s">
        <v>96</v>
      </c>
      <c r="M2896">
        <v>1417</v>
      </c>
      <c r="O2896" s="12" t="str">
        <f t="shared" si="104"/>
        <v>AFR</v>
      </c>
      <c r="P2896" s="12" t="str">
        <f t="shared" si="105"/>
        <v>E_SPV</v>
      </c>
    </row>
    <row r="2897" spans="1:16" x14ac:dyDescent="0.35">
      <c r="A2897" t="s">
        <v>1586</v>
      </c>
      <c r="B2897" t="s">
        <v>3111</v>
      </c>
      <c r="C2897" t="s">
        <v>45</v>
      </c>
      <c r="D2897" t="s">
        <v>1771</v>
      </c>
      <c r="E2897" t="s">
        <v>96</v>
      </c>
      <c r="F2897" t="s">
        <v>96</v>
      </c>
      <c r="G2897" t="s">
        <v>96</v>
      </c>
      <c r="H2897">
        <v>2010</v>
      </c>
      <c r="I2897" t="s">
        <v>96</v>
      </c>
      <c r="J2897" t="s">
        <v>97</v>
      </c>
      <c r="K2897" t="s">
        <v>96</v>
      </c>
      <c r="L2897" t="s">
        <v>96</v>
      </c>
      <c r="M2897">
        <v>1417</v>
      </c>
      <c r="O2897" s="12" t="str">
        <f t="shared" si="104"/>
        <v>AFR</v>
      </c>
      <c r="P2897" s="12" t="str">
        <f t="shared" si="105"/>
        <v>E_SPV</v>
      </c>
    </row>
    <row r="2898" spans="1:16" x14ac:dyDescent="0.35">
      <c r="A2898" t="s">
        <v>1586</v>
      </c>
      <c r="B2898" t="s">
        <v>3111</v>
      </c>
      <c r="C2898" t="s">
        <v>45</v>
      </c>
      <c r="D2898" t="s">
        <v>1772</v>
      </c>
      <c r="E2898" t="s">
        <v>96</v>
      </c>
      <c r="F2898" t="s">
        <v>96</v>
      </c>
      <c r="G2898" t="s">
        <v>96</v>
      </c>
      <c r="H2898">
        <v>2010</v>
      </c>
      <c r="I2898" t="s">
        <v>96</v>
      </c>
      <c r="J2898" t="s">
        <v>97</v>
      </c>
      <c r="K2898" t="s">
        <v>96</v>
      </c>
      <c r="L2898" t="s">
        <v>96</v>
      </c>
      <c r="M2898">
        <v>1417</v>
      </c>
      <c r="O2898" s="12" t="str">
        <f t="shared" si="104"/>
        <v>AFR</v>
      </c>
      <c r="P2898" s="12" t="str">
        <f t="shared" si="105"/>
        <v>E_SPV</v>
      </c>
    </row>
    <row r="2899" spans="1:16" x14ac:dyDescent="0.35">
      <c r="A2899" t="s">
        <v>1586</v>
      </c>
      <c r="B2899" t="s">
        <v>3111</v>
      </c>
      <c r="C2899" t="s">
        <v>45</v>
      </c>
      <c r="D2899" t="s">
        <v>1773</v>
      </c>
      <c r="E2899" t="s">
        <v>96</v>
      </c>
      <c r="F2899" t="s">
        <v>96</v>
      </c>
      <c r="G2899" t="s">
        <v>96</v>
      </c>
      <c r="H2899">
        <v>2010</v>
      </c>
      <c r="I2899" t="s">
        <v>96</v>
      </c>
      <c r="J2899" t="s">
        <v>97</v>
      </c>
      <c r="K2899" t="s">
        <v>96</v>
      </c>
      <c r="L2899" t="s">
        <v>96</v>
      </c>
      <c r="M2899">
        <v>1209</v>
      </c>
      <c r="O2899" s="12" t="str">
        <f t="shared" si="104"/>
        <v>AFR</v>
      </c>
      <c r="P2899" s="12" t="str">
        <f t="shared" si="105"/>
        <v>E_SPV</v>
      </c>
    </row>
    <row r="2900" spans="1:16" x14ac:dyDescent="0.35">
      <c r="A2900" t="s">
        <v>1586</v>
      </c>
      <c r="B2900" t="s">
        <v>3111</v>
      </c>
      <c r="C2900" t="s">
        <v>45</v>
      </c>
      <c r="D2900" t="s">
        <v>1774</v>
      </c>
      <c r="E2900" t="s">
        <v>96</v>
      </c>
      <c r="F2900" t="s">
        <v>96</v>
      </c>
      <c r="G2900" t="s">
        <v>96</v>
      </c>
      <c r="H2900">
        <v>2010</v>
      </c>
      <c r="I2900" t="s">
        <v>96</v>
      </c>
      <c r="J2900" t="s">
        <v>97</v>
      </c>
      <c r="K2900" t="s">
        <v>96</v>
      </c>
      <c r="L2900" t="s">
        <v>96</v>
      </c>
      <c r="M2900">
        <v>1417</v>
      </c>
      <c r="O2900" s="12" t="str">
        <f t="shared" si="104"/>
        <v>AFR</v>
      </c>
      <c r="P2900" s="12" t="str">
        <f t="shared" si="105"/>
        <v>E_SPV</v>
      </c>
    </row>
    <row r="2901" spans="1:16" x14ac:dyDescent="0.35">
      <c r="A2901" t="s">
        <v>1586</v>
      </c>
      <c r="B2901" t="s">
        <v>3111</v>
      </c>
      <c r="C2901" t="s">
        <v>45</v>
      </c>
      <c r="D2901" t="s">
        <v>1775</v>
      </c>
      <c r="E2901" t="s">
        <v>96</v>
      </c>
      <c r="F2901" t="s">
        <v>96</v>
      </c>
      <c r="G2901" t="s">
        <v>96</v>
      </c>
      <c r="H2901">
        <v>2010</v>
      </c>
      <c r="I2901" t="s">
        <v>96</v>
      </c>
      <c r="J2901" t="s">
        <v>97</v>
      </c>
      <c r="K2901" t="s">
        <v>96</v>
      </c>
      <c r="L2901" t="s">
        <v>96</v>
      </c>
      <c r="M2901">
        <v>1417</v>
      </c>
      <c r="O2901" s="12" t="str">
        <f t="shared" si="104"/>
        <v>AFR</v>
      </c>
      <c r="P2901" s="12" t="str">
        <f t="shared" si="105"/>
        <v>E_SPV</v>
      </c>
    </row>
    <row r="2902" spans="1:16" x14ac:dyDescent="0.35">
      <c r="A2902" t="s">
        <v>1586</v>
      </c>
      <c r="B2902" t="s">
        <v>3111</v>
      </c>
      <c r="C2902" t="s">
        <v>45</v>
      </c>
      <c r="D2902" t="s">
        <v>1776</v>
      </c>
      <c r="E2902" t="s">
        <v>96</v>
      </c>
      <c r="F2902" t="s">
        <v>96</v>
      </c>
      <c r="G2902" t="s">
        <v>96</v>
      </c>
      <c r="H2902">
        <v>2010</v>
      </c>
      <c r="I2902" t="s">
        <v>96</v>
      </c>
      <c r="J2902" t="s">
        <v>97</v>
      </c>
      <c r="K2902" t="s">
        <v>96</v>
      </c>
      <c r="L2902" t="s">
        <v>96</v>
      </c>
      <c r="M2902">
        <v>1417</v>
      </c>
      <c r="O2902" s="12" t="str">
        <f t="shared" si="104"/>
        <v>AFR</v>
      </c>
      <c r="P2902" s="12" t="str">
        <f t="shared" si="105"/>
        <v>E_SPV</v>
      </c>
    </row>
    <row r="2903" spans="1:16" x14ac:dyDescent="0.35">
      <c r="A2903" t="s">
        <v>1586</v>
      </c>
      <c r="B2903" t="s">
        <v>3111</v>
      </c>
      <c r="C2903" t="s">
        <v>45</v>
      </c>
      <c r="D2903" t="s">
        <v>1777</v>
      </c>
      <c r="E2903" t="s">
        <v>96</v>
      </c>
      <c r="F2903" t="s">
        <v>96</v>
      </c>
      <c r="G2903" t="s">
        <v>96</v>
      </c>
      <c r="H2903">
        <v>2010</v>
      </c>
      <c r="I2903" t="s">
        <v>96</v>
      </c>
      <c r="J2903" t="s">
        <v>97</v>
      </c>
      <c r="K2903" t="s">
        <v>96</v>
      </c>
      <c r="L2903" t="s">
        <v>96</v>
      </c>
      <c r="M2903">
        <v>1417</v>
      </c>
      <c r="O2903" s="12" t="str">
        <f t="shared" si="104"/>
        <v>AFR</v>
      </c>
      <c r="P2903" s="12" t="str">
        <f t="shared" si="105"/>
        <v>E_SPV</v>
      </c>
    </row>
    <row r="2904" spans="1:16" x14ac:dyDescent="0.35">
      <c r="A2904" t="s">
        <v>1586</v>
      </c>
      <c r="B2904" t="s">
        <v>3111</v>
      </c>
      <c r="C2904" t="s">
        <v>45</v>
      </c>
      <c r="D2904" t="s">
        <v>1781</v>
      </c>
      <c r="E2904" t="s">
        <v>96</v>
      </c>
      <c r="F2904" t="s">
        <v>96</v>
      </c>
      <c r="G2904" t="s">
        <v>96</v>
      </c>
      <c r="H2904">
        <v>2010</v>
      </c>
      <c r="I2904" t="s">
        <v>96</v>
      </c>
      <c r="J2904" t="s">
        <v>97</v>
      </c>
      <c r="K2904" t="s">
        <v>96</v>
      </c>
      <c r="L2904" t="s">
        <v>96</v>
      </c>
      <c r="M2904">
        <v>1417</v>
      </c>
      <c r="O2904" s="12" t="str">
        <f t="shared" si="104"/>
        <v>AFR</v>
      </c>
      <c r="P2904" s="12" t="str">
        <f t="shared" si="105"/>
        <v>E_SPV</v>
      </c>
    </row>
    <row r="2905" spans="1:16" x14ac:dyDescent="0.35">
      <c r="A2905" t="s">
        <v>1586</v>
      </c>
      <c r="B2905" t="s">
        <v>3111</v>
      </c>
      <c r="C2905" t="s">
        <v>45</v>
      </c>
      <c r="D2905" t="s">
        <v>1782</v>
      </c>
      <c r="E2905" t="s">
        <v>96</v>
      </c>
      <c r="F2905" t="s">
        <v>96</v>
      </c>
      <c r="G2905" t="s">
        <v>96</v>
      </c>
      <c r="H2905">
        <v>2010</v>
      </c>
      <c r="I2905" t="s">
        <v>96</v>
      </c>
      <c r="J2905" t="s">
        <v>97</v>
      </c>
      <c r="K2905" t="s">
        <v>96</v>
      </c>
      <c r="L2905" t="s">
        <v>96</v>
      </c>
      <c r="M2905">
        <v>1417</v>
      </c>
      <c r="O2905" s="12" t="str">
        <f t="shared" si="104"/>
        <v>AFR</v>
      </c>
      <c r="P2905" s="12" t="str">
        <f t="shared" si="105"/>
        <v>E_SPV</v>
      </c>
    </row>
    <row r="2906" spans="1:16" x14ac:dyDescent="0.35">
      <c r="A2906" t="s">
        <v>1586</v>
      </c>
      <c r="B2906" t="s">
        <v>3111</v>
      </c>
      <c r="C2906" t="s">
        <v>45</v>
      </c>
      <c r="D2906" t="s">
        <v>1784</v>
      </c>
      <c r="E2906" t="s">
        <v>96</v>
      </c>
      <c r="F2906" t="s">
        <v>96</v>
      </c>
      <c r="G2906" t="s">
        <v>96</v>
      </c>
      <c r="H2906">
        <v>2010</v>
      </c>
      <c r="I2906" t="s">
        <v>96</v>
      </c>
      <c r="J2906" t="s">
        <v>97</v>
      </c>
      <c r="K2906" t="s">
        <v>96</v>
      </c>
      <c r="L2906" t="s">
        <v>96</v>
      </c>
      <c r="M2906">
        <v>1417</v>
      </c>
      <c r="O2906" s="12" t="str">
        <f t="shared" si="104"/>
        <v>AFR</v>
      </c>
      <c r="P2906" s="12" t="str">
        <f t="shared" si="105"/>
        <v>E_SPV</v>
      </c>
    </row>
    <row r="2907" spans="1:16" x14ac:dyDescent="0.35">
      <c r="A2907" t="s">
        <v>1586</v>
      </c>
      <c r="B2907" t="s">
        <v>3111</v>
      </c>
      <c r="C2907" t="s">
        <v>45</v>
      </c>
      <c r="D2907" t="s">
        <v>1786</v>
      </c>
      <c r="E2907" t="s">
        <v>96</v>
      </c>
      <c r="F2907" t="s">
        <v>96</v>
      </c>
      <c r="G2907" t="s">
        <v>96</v>
      </c>
      <c r="H2907">
        <v>2010</v>
      </c>
      <c r="I2907" t="s">
        <v>96</v>
      </c>
      <c r="J2907" t="s">
        <v>97</v>
      </c>
      <c r="K2907" t="s">
        <v>96</v>
      </c>
      <c r="L2907" t="s">
        <v>96</v>
      </c>
      <c r="M2907">
        <v>1417</v>
      </c>
      <c r="O2907" s="12" t="str">
        <f t="shared" si="104"/>
        <v>AFR</v>
      </c>
      <c r="P2907" s="12" t="str">
        <f t="shared" si="105"/>
        <v>E_SPV</v>
      </c>
    </row>
    <row r="2908" spans="1:16" x14ac:dyDescent="0.35">
      <c r="A2908" t="s">
        <v>1586</v>
      </c>
      <c r="B2908" t="s">
        <v>3111</v>
      </c>
      <c r="C2908" t="s">
        <v>45</v>
      </c>
      <c r="D2908" t="s">
        <v>1789</v>
      </c>
      <c r="E2908" t="s">
        <v>96</v>
      </c>
      <c r="F2908" t="s">
        <v>96</v>
      </c>
      <c r="G2908" t="s">
        <v>96</v>
      </c>
      <c r="H2908">
        <v>2010</v>
      </c>
      <c r="I2908" t="s">
        <v>96</v>
      </c>
      <c r="J2908" t="s">
        <v>97</v>
      </c>
      <c r="K2908" t="s">
        <v>96</v>
      </c>
      <c r="L2908" t="s">
        <v>96</v>
      </c>
      <c r="M2908">
        <v>1417</v>
      </c>
      <c r="O2908" s="12" t="str">
        <f t="shared" si="104"/>
        <v>AFR</v>
      </c>
      <c r="P2908" s="12" t="str">
        <f t="shared" si="105"/>
        <v>E_SPV</v>
      </c>
    </row>
    <row r="2909" spans="1:16" x14ac:dyDescent="0.35">
      <c r="A2909" t="s">
        <v>1586</v>
      </c>
      <c r="B2909" t="s">
        <v>3111</v>
      </c>
      <c r="C2909" t="s">
        <v>45</v>
      </c>
      <c r="D2909" t="s">
        <v>1792</v>
      </c>
      <c r="E2909" t="s">
        <v>96</v>
      </c>
      <c r="F2909" t="s">
        <v>96</v>
      </c>
      <c r="G2909" t="s">
        <v>96</v>
      </c>
      <c r="H2909">
        <v>2010</v>
      </c>
      <c r="I2909" t="s">
        <v>96</v>
      </c>
      <c r="J2909" t="s">
        <v>97</v>
      </c>
      <c r="K2909" t="s">
        <v>96</v>
      </c>
      <c r="L2909" t="s">
        <v>96</v>
      </c>
      <c r="M2909">
        <v>1417</v>
      </c>
      <c r="O2909" s="12" t="str">
        <f t="shared" si="104"/>
        <v>AFR</v>
      </c>
      <c r="P2909" s="12" t="str">
        <f t="shared" si="105"/>
        <v>E_SPV</v>
      </c>
    </row>
    <row r="2910" spans="1:16" x14ac:dyDescent="0.35">
      <c r="A2910" t="s">
        <v>1586</v>
      </c>
      <c r="B2910" t="s">
        <v>3111</v>
      </c>
      <c r="C2910" t="s">
        <v>45</v>
      </c>
      <c r="D2910" t="s">
        <v>1793</v>
      </c>
      <c r="E2910" t="s">
        <v>96</v>
      </c>
      <c r="F2910" t="s">
        <v>96</v>
      </c>
      <c r="G2910" t="s">
        <v>96</v>
      </c>
      <c r="H2910">
        <v>2010</v>
      </c>
      <c r="I2910" t="s">
        <v>96</v>
      </c>
      <c r="J2910" t="s">
        <v>97</v>
      </c>
      <c r="K2910" t="s">
        <v>96</v>
      </c>
      <c r="L2910" t="s">
        <v>96</v>
      </c>
      <c r="M2910">
        <v>1417</v>
      </c>
      <c r="O2910" s="12" t="str">
        <f t="shared" si="104"/>
        <v>AFR</v>
      </c>
      <c r="P2910" s="12" t="str">
        <f t="shared" si="105"/>
        <v>E_SPV</v>
      </c>
    </row>
    <row r="2911" spans="1:16" x14ac:dyDescent="0.35">
      <c r="A2911" t="s">
        <v>1586</v>
      </c>
      <c r="B2911" t="s">
        <v>3111</v>
      </c>
      <c r="C2911" t="s">
        <v>45</v>
      </c>
      <c r="D2911" t="s">
        <v>1794</v>
      </c>
      <c r="E2911" t="s">
        <v>96</v>
      </c>
      <c r="F2911" t="s">
        <v>96</v>
      </c>
      <c r="G2911" t="s">
        <v>96</v>
      </c>
      <c r="H2911">
        <v>2010</v>
      </c>
      <c r="I2911" t="s">
        <v>96</v>
      </c>
      <c r="J2911" t="s">
        <v>97</v>
      </c>
      <c r="K2911" t="s">
        <v>96</v>
      </c>
      <c r="L2911" t="s">
        <v>96</v>
      </c>
      <c r="M2911">
        <v>1209</v>
      </c>
      <c r="O2911" s="12" t="str">
        <f t="shared" si="104"/>
        <v>AFR</v>
      </c>
      <c r="P2911" s="12" t="str">
        <f t="shared" si="105"/>
        <v>E_SPV</v>
      </c>
    </row>
    <row r="2912" spans="1:16" x14ac:dyDescent="0.35">
      <c r="A2912" t="s">
        <v>1586</v>
      </c>
      <c r="B2912" t="s">
        <v>3111</v>
      </c>
      <c r="C2912" t="s">
        <v>45</v>
      </c>
      <c r="D2912" t="s">
        <v>1795</v>
      </c>
      <c r="E2912" t="s">
        <v>96</v>
      </c>
      <c r="F2912" t="s">
        <v>96</v>
      </c>
      <c r="G2912" t="s">
        <v>96</v>
      </c>
      <c r="H2912">
        <v>2010</v>
      </c>
      <c r="I2912" t="s">
        <v>96</v>
      </c>
      <c r="J2912" t="s">
        <v>97</v>
      </c>
      <c r="K2912" t="s">
        <v>96</v>
      </c>
      <c r="L2912" t="s">
        <v>96</v>
      </c>
      <c r="M2912">
        <v>1417</v>
      </c>
      <c r="O2912" s="12" t="str">
        <f t="shared" si="104"/>
        <v>AFR</v>
      </c>
      <c r="P2912" s="12" t="str">
        <f t="shared" si="105"/>
        <v>E_SPV</v>
      </c>
    </row>
    <row r="2913" spans="1:16" x14ac:dyDescent="0.35">
      <c r="A2913" t="s">
        <v>1586</v>
      </c>
      <c r="B2913" t="s">
        <v>3111</v>
      </c>
      <c r="C2913" t="s">
        <v>45</v>
      </c>
      <c r="D2913" t="s">
        <v>1796</v>
      </c>
      <c r="E2913" t="s">
        <v>96</v>
      </c>
      <c r="F2913" t="s">
        <v>96</v>
      </c>
      <c r="G2913" t="s">
        <v>96</v>
      </c>
      <c r="H2913">
        <v>2010</v>
      </c>
      <c r="I2913" t="s">
        <v>96</v>
      </c>
      <c r="J2913" t="s">
        <v>97</v>
      </c>
      <c r="K2913" t="s">
        <v>96</v>
      </c>
      <c r="L2913" t="s">
        <v>96</v>
      </c>
      <c r="M2913">
        <v>1417</v>
      </c>
      <c r="O2913" s="12" t="str">
        <f t="shared" si="104"/>
        <v>AFR</v>
      </c>
      <c r="P2913" s="12" t="str">
        <f t="shared" si="105"/>
        <v>E_SPV</v>
      </c>
    </row>
    <row r="2914" spans="1:16" x14ac:dyDescent="0.35">
      <c r="A2914" t="s">
        <v>1586</v>
      </c>
      <c r="B2914" t="s">
        <v>3111</v>
      </c>
      <c r="C2914" t="s">
        <v>45</v>
      </c>
      <c r="D2914" t="s">
        <v>1801</v>
      </c>
      <c r="E2914" t="s">
        <v>96</v>
      </c>
      <c r="F2914" t="s">
        <v>96</v>
      </c>
      <c r="G2914" t="s">
        <v>96</v>
      </c>
      <c r="H2914">
        <v>2010</v>
      </c>
      <c r="I2914" t="s">
        <v>96</v>
      </c>
      <c r="J2914" t="s">
        <v>97</v>
      </c>
      <c r="K2914" t="s">
        <v>96</v>
      </c>
      <c r="L2914" t="s">
        <v>96</v>
      </c>
      <c r="M2914">
        <v>1417</v>
      </c>
      <c r="O2914" s="12" t="str">
        <f t="shared" si="104"/>
        <v>AFR</v>
      </c>
      <c r="P2914" s="12" t="str">
        <f t="shared" si="105"/>
        <v>E_SPV</v>
      </c>
    </row>
    <row r="2915" spans="1:16" x14ac:dyDescent="0.35">
      <c r="A2915" t="s">
        <v>1586</v>
      </c>
      <c r="B2915" t="s">
        <v>3111</v>
      </c>
      <c r="C2915" t="s">
        <v>45</v>
      </c>
      <c r="D2915" t="s">
        <v>1805</v>
      </c>
      <c r="E2915" t="s">
        <v>96</v>
      </c>
      <c r="F2915" t="s">
        <v>96</v>
      </c>
      <c r="G2915" t="s">
        <v>96</v>
      </c>
      <c r="H2915">
        <v>2010</v>
      </c>
      <c r="I2915" t="s">
        <v>96</v>
      </c>
      <c r="J2915" t="s">
        <v>97</v>
      </c>
      <c r="K2915" t="s">
        <v>96</v>
      </c>
      <c r="L2915" t="s">
        <v>96</v>
      </c>
      <c r="M2915">
        <v>1209</v>
      </c>
      <c r="O2915" s="12" t="str">
        <f t="shared" si="104"/>
        <v>AFR</v>
      </c>
      <c r="P2915" s="12" t="str">
        <f t="shared" si="105"/>
        <v>E_SPV</v>
      </c>
    </row>
    <row r="2916" spans="1:16" x14ac:dyDescent="0.35">
      <c r="A2916" t="s">
        <v>1586</v>
      </c>
      <c r="B2916" t="s">
        <v>68</v>
      </c>
      <c r="C2916" t="s">
        <v>45</v>
      </c>
      <c r="D2916" t="s">
        <v>1806</v>
      </c>
      <c r="E2916" t="s">
        <v>96</v>
      </c>
      <c r="F2916" t="s">
        <v>96</v>
      </c>
      <c r="G2916" t="s">
        <v>96</v>
      </c>
      <c r="H2916">
        <v>2010</v>
      </c>
      <c r="I2916" t="s">
        <v>96</v>
      </c>
      <c r="J2916" t="s">
        <v>97</v>
      </c>
      <c r="K2916" t="s">
        <v>96</v>
      </c>
      <c r="L2916" t="s">
        <v>96</v>
      </c>
      <c r="M2916">
        <v>1287</v>
      </c>
      <c r="O2916" s="12" t="str">
        <f t="shared" si="104"/>
        <v>ANZ</v>
      </c>
      <c r="P2916" s="12" t="str">
        <f t="shared" si="105"/>
        <v>E_SPV</v>
      </c>
    </row>
    <row r="2917" spans="1:16" x14ac:dyDescent="0.35">
      <c r="A2917" t="s">
        <v>1586</v>
      </c>
      <c r="B2917" t="s">
        <v>68</v>
      </c>
      <c r="C2917" t="s">
        <v>45</v>
      </c>
      <c r="D2917" t="s">
        <v>1807</v>
      </c>
      <c r="E2917" t="s">
        <v>96</v>
      </c>
      <c r="F2917" t="s">
        <v>96</v>
      </c>
      <c r="G2917" t="s">
        <v>96</v>
      </c>
      <c r="H2917">
        <v>2010</v>
      </c>
      <c r="I2917" t="s">
        <v>96</v>
      </c>
      <c r="J2917" t="s">
        <v>97</v>
      </c>
      <c r="K2917" t="s">
        <v>96</v>
      </c>
      <c r="L2917" t="s">
        <v>96</v>
      </c>
      <c r="M2917">
        <v>1287</v>
      </c>
      <c r="O2917" s="12" t="str">
        <f t="shared" si="104"/>
        <v>ANZ</v>
      </c>
      <c r="P2917" s="12" t="str">
        <f t="shared" si="105"/>
        <v>E_SPV</v>
      </c>
    </row>
    <row r="2918" spans="1:16" x14ac:dyDescent="0.35">
      <c r="A2918" t="s">
        <v>1586</v>
      </c>
      <c r="B2918" t="s">
        <v>68</v>
      </c>
      <c r="C2918" t="s">
        <v>45</v>
      </c>
      <c r="D2918" t="s">
        <v>1808</v>
      </c>
      <c r="E2918" t="s">
        <v>96</v>
      </c>
      <c r="F2918" t="s">
        <v>96</v>
      </c>
      <c r="G2918" t="s">
        <v>96</v>
      </c>
      <c r="H2918">
        <v>2010</v>
      </c>
      <c r="I2918" t="s">
        <v>96</v>
      </c>
      <c r="J2918" t="s">
        <v>97</v>
      </c>
      <c r="K2918" t="s">
        <v>96</v>
      </c>
      <c r="L2918" t="s">
        <v>96</v>
      </c>
      <c r="M2918">
        <v>1287</v>
      </c>
      <c r="O2918" s="12" t="str">
        <f t="shared" si="104"/>
        <v>ANZ</v>
      </c>
      <c r="P2918" s="12" t="str">
        <f t="shared" si="105"/>
        <v>E_SPV</v>
      </c>
    </row>
    <row r="2919" spans="1:16" x14ac:dyDescent="0.35">
      <c r="A2919" t="s">
        <v>1586</v>
      </c>
      <c r="B2919" t="s">
        <v>68</v>
      </c>
      <c r="C2919" t="s">
        <v>45</v>
      </c>
      <c r="D2919" t="s">
        <v>1809</v>
      </c>
      <c r="E2919" t="s">
        <v>96</v>
      </c>
      <c r="F2919" t="s">
        <v>96</v>
      </c>
      <c r="G2919" t="s">
        <v>96</v>
      </c>
      <c r="H2919">
        <v>2010</v>
      </c>
      <c r="I2919" t="s">
        <v>96</v>
      </c>
      <c r="J2919" t="s">
        <v>97</v>
      </c>
      <c r="K2919" t="s">
        <v>96</v>
      </c>
      <c r="L2919" t="s">
        <v>96</v>
      </c>
      <c r="M2919">
        <v>1287</v>
      </c>
      <c r="O2919" s="12" t="str">
        <f t="shared" si="104"/>
        <v>ANZ</v>
      </c>
      <c r="P2919" s="12" t="str">
        <f t="shared" si="105"/>
        <v>E_SPV</v>
      </c>
    </row>
    <row r="2920" spans="1:16" x14ac:dyDescent="0.35">
      <c r="A2920" t="s">
        <v>1586</v>
      </c>
      <c r="B2920" t="s">
        <v>68</v>
      </c>
      <c r="C2920" t="s">
        <v>45</v>
      </c>
      <c r="D2920" t="s">
        <v>1810</v>
      </c>
      <c r="E2920" t="s">
        <v>96</v>
      </c>
      <c r="F2920" t="s">
        <v>96</v>
      </c>
      <c r="G2920" t="s">
        <v>96</v>
      </c>
      <c r="H2920">
        <v>2010</v>
      </c>
      <c r="I2920" t="s">
        <v>96</v>
      </c>
      <c r="J2920" t="s">
        <v>97</v>
      </c>
      <c r="K2920" t="s">
        <v>96</v>
      </c>
      <c r="L2920" t="s">
        <v>96</v>
      </c>
      <c r="M2920">
        <v>1287</v>
      </c>
      <c r="O2920" s="12" t="str">
        <f t="shared" si="104"/>
        <v>ANZ</v>
      </c>
      <c r="P2920" s="12" t="str">
        <f t="shared" si="105"/>
        <v>E_SPV</v>
      </c>
    </row>
    <row r="2921" spans="1:16" x14ac:dyDescent="0.35">
      <c r="A2921" t="s">
        <v>1586</v>
      </c>
      <c r="B2921" t="s">
        <v>68</v>
      </c>
      <c r="C2921" t="s">
        <v>45</v>
      </c>
      <c r="D2921" t="s">
        <v>1811</v>
      </c>
      <c r="E2921" t="s">
        <v>96</v>
      </c>
      <c r="F2921" t="s">
        <v>96</v>
      </c>
      <c r="G2921" t="s">
        <v>96</v>
      </c>
      <c r="H2921">
        <v>2010</v>
      </c>
      <c r="I2921" t="s">
        <v>96</v>
      </c>
      <c r="J2921" t="s">
        <v>97</v>
      </c>
      <c r="K2921" t="s">
        <v>96</v>
      </c>
      <c r="L2921" t="s">
        <v>96</v>
      </c>
      <c r="M2921">
        <v>1287</v>
      </c>
      <c r="O2921" s="12" t="str">
        <f t="shared" si="104"/>
        <v>ANZ</v>
      </c>
      <c r="P2921" s="12" t="str">
        <f t="shared" si="105"/>
        <v>E_SPV</v>
      </c>
    </row>
    <row r="2922" spans="1:16" x14ac:dyDescent="0.35">
      <c r="A2922" t="s">
        <v>1586</v>
      </c>
      <c r="B2922" t="s">
        <v>68</v>
      </c>
      <c r="C2922" t="s">
        <v>45</v>
      </c>
      <c r="D2922" t="s">
        <v>1812</v>
      </c>
      <c r="E2922" t="s">
        <v>96</v>
      </c>
      <c r="F2922" t="s">
        <v>96</v>
      </c>
      <c r="G2922" t="s">
        <v>96</v>
      </c>
      <c r="H2922">
        <v>2010</v>
      </c>
      <c r="I2922" t="s">
        <v>96</v>
      </c>
      <c r="J2922" t="s">
        <v>97</v>
      </c>
      <c r="K2922" t="s">
        <v>96</v>
      </c>
      <c r="L2922" t="s">
        <v>96</v>
      </c>
      <c r="M2922">
        <v>1287</v>
      </c>
      <c r="O2922" s="12" t="str">
        <f t="shared" si="104"/>
        <v>ANZ</v>
      </c>
      <c r="P2922" s="12" t="str">
        <f t="shared" si="105"/>
        <v>E_SPV</v>
      </c>
    </row>
    <row r="2923" spans="1:16" x14ac:dyDescent="0.35">
      <c r="A2923" t="s">
        <v>1586</v>
      </c>
      <c r="B2923" t="s">
        <v>68</v>
      </c>
      <c r="C2923" t="s">
        <v>45</v>
      </c>
      <c r="D2923" t="s">
        <v>1813</v>
      </c>
      <c r="E2923" t="s">
        <v>96</v>
      </c>
      <c r="F2923" t="s">
        <v>96</v>
      </c>
      <c r="G2923" t="s">
        <v>96</v>
      </c>
      <c r="H2923">
        <v>2010</v>
      </c>
      <c r="I2923" t="s">
        <v>96</v>
      </c>
      <c r="J2923" t="s">
        <v>97</v>
      </c>
      <c r="K2923" t="s">
        <v>96</v>
      </c>
      <c r="L2923" t="s">
        <v>96</v>
      </c>
      <c r="M2923">
        <v>1287</v>
      </c>
      <c r="O2923" s="12" t="str">
        <f t="shared" si="104"/>
        <v>ANZ</v>
      </c>
      <c r="P2923" s="12" t="str">
        <f t="shared" si="105"/>
        <v>E_SPV</v>
      </c>
    </row>
    <row r="2924" spans="1:16" x14ac:dyDescent="0.35">
      <c r="A2924" t="s">
        <v>1586</v>
      </c>
      <c r="B2924" t="s">
        <v>68</v>
      </c>
      <c r="C2924" t="s">
        <v>45</v>
      </c>
      <c r="D2924" t="s">
        <v>1814</v>
      </c>
      <c r="E2924" t="s">
        <v>96</v>
      </c>
      <c r="F2924" t="s">
        <v>96</v>
      </c>
      <c r="G2924" t="s">
        <v>96</v>
      </c>
      <c r="H2924">
        <v>2010</v>
      </c>
      <c r="I2924" t="s">
        <v>96</v>
      </c>
      <c r="J2924" t="s">
        <v>97</v>
      </c>
      <c r="K2924" t="s">
        <v>96</v>
      </c>
      <c r="L2924" t="s">
        <v>96</v>
      </c>
      <c r="M2924">
        <v>1287</v>
      </c>
      <c r="O2924" s="12" t="str">
        <f t="shared" si="104"/>
        <v>ANZ</v>
      </c>
      <c r="P2924" s="12" t="str">
        <f t="shared" si="105"/>
        <v>E_SPV</v>
      </c>
    </row>
    <row r="2925" spans="1:16" x14ac:dyDescent="0.35">
      <c r="A2925" t="s">
        <v>1586</v>
      </c>
      <c r="B2925" t="s">
        <v>68</v>
      </c>
      <c r="C2925" t="s">
        <v>45</v>
      </c>
      <c r="D2925" t="s">
        <v>1815</v>
      </c>
      <c r="E2925" t="s">
        <v>96</v>
      </c>
      <c r="F2925" t="s">
        <v>96</v>
      </c>
      <c r="G2925" t="s">
        <v>96</v>
      </c>
      <c r="H2925">
        <v>2010</v>
      </c>
      <c r="I2925" t="s">
        <v>96</v>
      </c>
      <c r="J2925" t="s">
        <v>97</v>
      </c>
      <c r="K2925" t="s">
        <v>96</v>
      </c>
      <c r="L2925" t="s">
        <v>96</v>
      </c>
      <c r="M2925">
        <v>1287</v>
      </c>
      <c r="O2925" s="12" t="str">
        <f t="shared" si="104"/>
        <v>ANZ</v>
      </c>
      <c r="P2925" s="12" t="str">
        <f t="shared" si="105"/>
        <v>E_SPV</v>
      </c>
    </row>
    <row r="2926" spans="1:16" x14ac:dyDescent="0.35">
      <c r="A2926" t="s">
        <v>1586</v>
      </c>
      <c r="B2926" t="s">
        <v>68</v>
      </c>
      <c r="C2926" t="s">
        <v>45</v>
      </c>
      <c r="D2926" t="s">
        <v>1816</v>
      </c>
      <c r="E2926" t="s">
        <v>96</v>
      </c>
      <c r="F2926" t="s">
        <v>96</v>
      </c>
      <c r="G2926" t="s">
        <v>96</v>
      </c>
      <c r="H2926">
        <v>2010</v>
      </c>
      <c r="I2926" t="s">
        <v>96</v>
      </c>
      <c r="J2926" t="s">
        <v>97</v>
      </c>
      <c r="K2926" t="s">
        <v>96</v>
      </c>
      <c r="L2926" t="s">
        <v>96</v>
      </c>
      <c r="M2926">
        <v>1287</v>
      </c>
      <c r="O2926" s="12" t="str">
        <f t="shared" si="104"/>
        <v>ANZ</v>
      </c>
      <c r="P2926" s="12" t="str">
        <f t="shared" si="105"/>
        <v>E_SPV</v>
      </c>
    </row>
    <row r="2927" spans="1:16" x14ac:dyDescent="0.35">
      <c r="A2927" t="s">
        <v>1586</v>
      </c>
      <c r="B2927" t="s">
        <v>68</v>
      </c>
      <c r="C2927" t="s">
        <v>45</v>
      </c>
      <c r="D2927" t="s">
        <v>1817</v>
      </c>
      <c r="E2927" t="s">
        <v>96</v>
      </c>
      <c r="F2927" t="s">
        <v>96</v>
      </c>
      <c r="G2927" t="s">
        <v>96</v>
      </c>
      <c r="H2927">
        <v>2010</v>
      </c>
      <c r="I2927" t="s">
        <v>96</v>
      </c>
      <c r="J2927" t="s">
        <v>97</v>
      </c>
      <c r="K2927" t="s">
        <v>96</v>
      </c>
      <c r="L2927" t="s">
        <v>96</v>
      </c>
      <c r="M2927">
        <v>1287</v>
      </c>
      <c r="O2927" s="12" t="str">
        <f t="shared" si="104"/>
        <v>ANZ</v>
      </c>
      <c r="P2927" s="12" t="str">
        <f t="shared" si="105"/>
        <v>E_SPV</v>
      </c>
    </row>
    <row r="2928" spans="1:16" x14ac:dyDescent="0.35">
      <c r="A2928" t="s">
        <v>1586</v>
      </c>
      <c r="B2928" t="s">
        <v>68</v>
      </c>
      <c r="C2928" t="s">
        <v>45</v>
      </c>
      <c r="D2928" t="s">
        <v>1818</v>
      </c>
      <c r="E2928" t="s">
        <v>96</v>
      </c>
      <c r="F2928" t="s">
        <v>96</v>
      </c>
      <c r="G2928" t="s">
        <v>96</v>
      </c>
      <c r="H2928">
        <v>2010</v>
      </c>
      <c r="I2928" t="s">
        <v>96</v>
      </c>
      <c r="J2928" t="s">
        <v>97</v>
      </c>
      <c r="K2928" t="s">
        <v>96</v>
      </c>
      <c r="L2928" t="s">
        <v>96</v>
      </c>
      <c r="M2928">
        <v>1287</v>
      </c>
      <c r="O2928" s="12" t="str">
        <f t="shared" si="104"/>
        <v>ANZ</v>
      </c>
      <c r="P2928" s="12" t="str">
        <f t="shared" si="105"/>
        <v>E_SPV</v>
      </c>
    </row>
    <row r="2929" spans="1:16" x14ac:dyDescent="0.35">
      <c r="A2929" t="s">
        <v>1586</v>
      </c>
      <c r="B2929" t="s">
        <v>69</v>
      </c>
      <c r="C2929" t="s">
        <v>45</v>
      </c>
      <c r="D2929" t="s">
        <v>1819</v>
      </c>
      <c r="E2929" t="s">
        <v>96</v>
      </c>
      <c r="F2929" t="s">
        <v>96</v>
      </c>
      <c r="G2929" t="s">
        <v>96</v>
      </c>
      <c r="H2929">
        <v>2010</v>
      </c>
      <c r="I2929" t="s">
        <v>96</v>
      </c>
      <c r="J2929" t="s">
        <v>97</v>
      </c>
      <c r="K2929" t="s">
        <v>96</v>
      </c>
      <c r="L2929" t="s">
        <v>96</v>
      </c>
      <c r="M2929">
        <v>1378</v>
      </c>
      <c r="O2929" s="12" t="str">
        <f t="shared" si="104"/>
        <v>BRZ</v>
      </c>
      <c r="P2929" s="12" t="str">
        <f t="shared" si="105"/>
        <v>E_SPV</v>
      </c>
    </row>
    <row r="2930" spans="1:16" x14ac:dyDescent="0.35">
      <c r="A2930" t="s">
        <v>1586</v>
      </c>
      <c r="B2930" t="s">
        <v>69</v>
      </c>
      <c r="C2930" t="s">
        <v>45</v>
      </c>
      <c r="D2930" t="s">
        <v>1820</v>
      </c>
      <c r="E2930" t="s">
        <v>96</v>
      </c>
      <c r="F2930" t="s">
        <v>96</v>
      </c>
      <c r="G2930" t="s">
        <v>96</v>
      </c>
      <c r="H2930">
        <v>2010</v>
      </c>
      <c r="I2930" t="s">
        <v>96</v>
      </c>
      <c r="J2930" t="s">
        <v>97</v>
      </c>
      <c r="K2930" t="s">
        <v>96</v>
      </c>
      <c r="L2930" t="s">
        <v>96</v>
      </c>
      <c r="M2930">
        <v>1378</v>
      </c>
      <c r="O2930" s="12" t="str">
        <f t="shared" si="104"/>
        <v>BRZ</v>
      </c>
      <c r="P2930" s="12" t="str">
        <f t="shared" si="105"/>
        <v>E_SPV</v>
      </c>
    </row>
    <row r="2931" spans="1:16" x14ac:dyDescent="0.35">
      <c r="A2931" t="s">
        <v>1586</v>
      </c>
      <c r="B2931" t="s">
        <v>69</v>
      </c>
      <c r="C2931" t="s">
        <v>45</v>
      </c>
      <c r="D2931" t="s">
        <v>1821</v>
      </c>
      <c r="E2931" t="s">
        <v>96</v>
      </c>
      <c r="F2931" t="s">
        <v>96</v>
      </c>
      <c r="G2931" t="s">
        <v>96</v>
      </c>
      <c r="H2931">
        <v>2010</v>
      </c>
      <c r="I2931" t="s">
        <v>96</v>
      </c>
      <c r="J2931" t="s">
        <v>97</v>
      </c>
      <c r="K2931" t="s">
        <v>96</v>
      </c>
      <c r="L2931" t="s">
        <v>96</v>
      </c>
      <c r="M2931">
        <v>1378</v>
      </c>
      <c r="O2931" s="12" t="str">
        <f t="shared" si="104"/>
        <v>BRZ</v>
      </c>
      <c r="P2931" s="12" t="str">
        <f t="shared" si="105"/>
        <v>E_SPV</v>
      </c>
    </row>
    <row r="2932" spans="1:16" x14ac:dyDescent="0.35">
      <c r="A2932" t="s">
        <v>1586</v>
      </c>
      <c r="B2932" t="s">
        <v>69</v>
      </c>
      <c r="C2932" t="s">
        <v>45</v>
      </c>
      <c r="D2932" t="s">
        <v>1822</v>
      </c>
      <c r="E2932" t="s">
        <v>96</v>
      </c>
      <c r="F2932" t="s">
        <v>96</v>
      </c>
      <c r="G2932" t="s">
        <v>96</v>
      </c>
      <c r="H2932">
        <v>2010</v>
      </c>
      <c r="I2932" t="s">
        <v>96</v>
      </c>
      <c r="J2932" t="s">
        <v>97</v>
      </c>
      <c r="K2932" t="s">
        <v>96</v>
      </c>
      <c r="L2932" t="s">
        <v>96</v>
      </c>
      <c r="M2932">
        <v>1378</v>
      </c>
      <c r="O2932" s="12" t="str">
        <f t="shared" si="104"/>
        <v>BRZ</v>
      </c>
      <c r="P2932" s="12" t="str">
        <f t="shared" si="105"/>
        <v>E_SPV</v>
      </c>
    </row>
    <row r="2933" spans="1:16" x14ac:dyDescent="0.35">
      <c r="A2933" t="s">
        <v>1586</v>
      </c>
      <c r="B2933" t="s">
        <v>69</v>
      </c>
      <c r="C2933" t="s">
        <v>45</v>
      </c>
      <c r="D2933" t="s">
        <v>1823</v>
      </c>
      <c r="E2933" t="s">
        <v>96</v>
      </c>
      <c r="F2933" t="s">
        <v>96</v>
      </c>
      <c r="G2933" t="s">
        <v>96</v>
      </c>
      <c r="H2933">
        <v>2010</v>
      </c>
      <c r="I2933" t="s">
        <v>96</v>
      </c>
      <c r="J2933" t="s">
        <v>97</v>
      </c>
      <c r="K2933" t="s">
        <v>96</v>
      </c>
      <c r="L2933" t="s">
        <v>96</v>
      </c>
      <c r="M2933">
        <v>1378</v>
      </c>
      <c r="O2933" s="12" t="str">
        <f t="shared" si="104"/>
        <v>BRZ</v>
      </c>
      <c r="P2933" s="12" t="str">
        <f t="shared" si="105"/>
        <v>E_SPV</v>
      </c>
    </row>
    <row r="2934" spans="1:16" x14ac:dyDescent="0.35">
      <c r="A2934" t="s">
        <v>1586</v>
      </c>
      <c r="B2934" t="s">
        <v>69</v>
      </c>
      <c r="C2934" t="s">
        <v>45</v>
      </c>
      <c r="D2934" t="s">
        <v>1824</v>
      </c>
      <c r="E2934" t="s">
        <v>96</v>
      </c>
      <c r="F2934" t="s">
        <v>96</v>
      </c>
      <c r="G2934" t="s">
        <v>96</v>
      </c>
      <c r="H2934">
        <v>2010</v>
      </c>
      <c r="I2934" t="s">
        <v>96</v>
      </c>
      <c r="J2934" t="s">
        <v>97</v>
      </c>
      <c r="K2934" t="s">
        <v>96</v>
      </c>
      <c r="L2934" t="s">
        <v>96</v>
      </c>
      <c r="M2934">
        <v>1378</v>
      </c>
      <c r="O2934" s="12" t="str">
        <f t="shared" si="104"/>
        <v>BRZ</v>
      </c>
      <c r="P2934" s="12" t="str">
        <f t="shared" si="105"/>
        <v>E_SPV</v>
      </c>
    </row>
    <row r="2935" spans="1:16" x14ac:dyDescent="0.35">
      <c r="A2935" t="s">
        <v>1586</v>
      </c>
      <c r="B2935" t="s">
        <v>69</v>
      </c>
      <c r="C2935" t="s">
        <v>45</v>
      </c>
      <c r="D2935" t="s">
        <v>1825</v>
      </c>
      <c r="E2935" t="s">
        <v>96</v>
      </c>
      <c r="F2935" t="s">
        <v>96</v>
      </c>
      <c r="G2935" t="s">
        <v>96</v>
      </c>
      <c r="H2935">
        <v>2010</v>
      </c>
      <c r="I2935" t="s">
        <v>96</v>
      </c>
      <c r="J2935" t="s">
        <v>97</v>
      </c>
      <c r="K2935" t="s">
        <v>96</v>
      </c>
      <c r="L2935" t="s">
        <v>96</v>
      </c>
      <c r="M2935">
        <v>1378</v>
      </c>
      <c r="O2935" s="12" t="str">
        <f t="shared" si="104"/>
        <v>BRZ</v>
      </c>
      <c r="P2935" s="12" t="str">
        <f t="shared" si="105"/>
        <v>E_SPV</v>
      </c>
    </row>
    <row r="2936" spans="1:16" x14ac:dyDescent="0.35">
      <c r="A2936" t="s">
        <v>1586</v>
      </c>
      <c r="B2936" t="s">
        <v>70</v>
      </c>
      <c r="C2936" t="s">
        <v>45</v>
      </c>
      <c r="D2936" t="s">
        <v>1826</v>
      </c>
      <c r="E2936" t="s">
        <v>96</v>
      </c>
      <c r="F2936" t="s">
        <v>96</v>
      </c>
      <c r="G2936" t="s">
        <v>96</v>
      </c>
      <c r="H2936">
        <v>2010</v>
      </c>
      <c r="I2936" t="s">
        <v>96</v>
      </c>
      <c r="J2936" t="s">
        <v>97</v>
      </c>
      <c r="K2936" t="s">
        <v>96</v>
      </c>
      <c r="L2936" t="s">
        <v>96</v>
      </c>
      <c r="M2936">
        <v>1274</v>
      </c>
      <c r="O2936" s="12" t="str">
        <f t="shared" si="104"/>
        <v>CAN</v>
      </c>
      <c r="P2936" s="12" t="str">
        <f t="shared" si="105"/>
        <v>E_SPV</v>
      </c>
    </row>
    <row r="2937" spans="1:16" x14ac:dyDescent="0.35">
      <c r="A2937" t="s">
        <v>1586</v>
      </c>
      <c r="B2937" t="s">
        <v>70</v>
      </c>
      <c r="C2937" t="s">
        <v>45</v>
      </c>
      <c r="D2937" t="s">
        <v>1827</v>
      </c>
      <c r="E2937" t="s">
        <v>96</v>
      </c>
      <c r="F2937" t="s">
        <v>96</v>
      </c>
      <c r="G2937" t="s">
        <v>96</v>
      </c>
      <c r="H2937">
        <v>2010</v>
      </c>
      <c r="I2937" t="s">
        <v>96</v>
      </c>
      <c r="J2937" t="s">
        <v>97</v>
      </c>
      <c r="K2937" t="s">
        <v>96</v>
      </c>
      <c r="L2937" t="s">
        <v>96</v>
      </c>
      <c r="M2937">
        <v>1274</v>
      </c>
      <c r="O2937" s="12" t="str">
        <f t="shared" si="104"/>
        <v>CAN</v>
      </c>
      <c r="P2937" s="12" t="str">
        <f t="shared" si="105"/>
        <v>E_SPV</v>
      </c>
    </row>
    <row r="2938" spans="1:16" x14ac:dyDescent="0.35">
      <c r="A2938" t="s">
        <v>1586</v>
      </c>
      <c r="B2938" t="s">
        <v>70</v>
      </c>
      <c r="C2938" t="s">
        <v>45</v>
      </c>
      <c r="D2938" t="s">
        <v>1828</v>
      </c>
      <c r="E2938" t="s">
        <v>96</v>
      </c>
      <c r="F2938" t="s">
        <v>96</v>
      </c>
      <c r="G2938" t="s">
        <v>96</v>
      </c>
      <c r="H2938">
        <v>2010</v>
      </c>
      <c r="I2938" t="s">
        <v>96</v>
      </c>
      <c r="J2938" t="s">
        <v>97</v>
      </c>
      <c r="K2938" t="s">
        <v>96</v>
      </c>
      <c r="L2938" t="s">
        <v>96</v>
      </c>
      <c r="M2938">
        <v>1274</v>
      </c>
      <c r="O2938" s="12" t="str">
        <f t="shared" si="104"/>
        <v>CAN</v>
      </c>
      <c r="P2938" s="12" t="str">
        <f t="shared" si="105"/>
        <v>E_SPV</v>
      </c>
    </row>
    <row r="2939" spans="1:16" x14ac:dyDescent="0.35">
      <c r="A2939" t="s">
        <v>1586</v>
      </c>
      <c r="B2939" t="s">
        <v>70</v>
      </c>
      <c r="C2939" t="s">
        <v>45</v>
      </c>
      <c r="D2939" t="s">
        <v>1829</v>
      </c>
      <c r="E2939" t="s">
        <v>96</v>
      </c>
      <c r="F2939" t="s">
        <v>96</v>
      </c>
      <c r="G2939" t="s">
        <v>96</v>
      </c>
      <c r="H2939">
        <v>2010</v>
      </c>
      <c r="I2939" t="s">
        <v>96</v>
      </c>
      <c r="J2939" t="s">
        <v>97</v>
      </c>
      <c r="K2939" t="s">
        <v>96</v>
      </c>
      <c r="L2939" t="s">
        <v>96</v>
      </c>
      <c r="M2939">
        <v>1274</v>
      </c>
      <c r="O2939" s="12" t="str">
        <f t="shared" si="104"/>
        <v>CAN</v>
      </c>
      <c r="P2939" s="12" t="str">
        <f t="shared" si="105"/>
        <v>E_SPV</v>
      </c>
    </row>
    <row r="2940" spans="1:16" x14ac:dyDescent="0.35">
      <c r="A2940" t="s">
        <v>1586</v>
      </c>
      <c r="B2940" t="s">
        <v>70</v>
      </c>
      <c r="C2940" t="s">
        <v>45</v>
      </c>
      <c r="D2940" t="s">
        <v>1830</v>
      </c>
      <c r="E2940" t="s">
        <v>96</v>
      </c>
      <c r="F2940" t="s">
        <v>96</v>
      </c>
      <c r="G2940" t="s">
        <v>96</v>
      </c>
      <c r="H2940">
        <v>2010</v>
      </c>
      <c r="I2940" t="s">
        <v>96</v>
      </c>
      <c r="J2940" t="s">
        <v>97</v>
      </c>
      <c r="K2940" t="s">
        <v>96</v>
      </c>
      <c r="L2940" t="s">
        <v>96</v>
      </c>
      <c r="M2940">
        <v>1274</v>
      </c>
      <c r="O2940" s="12" t="str">
        <f t="shared" si="104"/>
        <v>CAN</v>
      </c>
      <c r="P2940" s="12" t="str">
        <f t="shared" si="105"/>
        <v>E_SPV</v>
      </c>
    </row>
    <row r="2941" spans="1:16" x14ac:dyDescent="0.35">
      <c r="A2941" t="s">
        <v>1586</v>
      </c>
      <c r="B2941" t="s">
        <v>71</v>
      </c>
      <c r="C2941" t="s">
        <v>45</v>
      </c>
      <c r="D2941" t="s">
        <v>1831</v>
      </c>
      <c r="E2941" t="s">
        <v>96</v>
      </c>
      <c r="F2941" t="s">
        <v>96</v>
      </c>
      <c r="G2941" t="s">
        <v>96</v>
      </c>
      <c r="H2941">
        <v>2010</v>
      </c>
      <c r="I2941" t="s">
        <v>96</v>
      </c>
      <c r="J2941" t="s">
        <v>97</v>
      </c>
      <c r="K2941" t="s">
        <v>96</v>
      </c>
      <c r="L2941" t="s">
        <v>96</v>
      </c>
      <c r="M2941">
        <v>1131</v>
      </c>
      <c r="O2941" s="12" t="str">
        <f t="shared" si="104"/>
        <v>CHI</v>
      </c>
      <c r="P2941" s="12" t="str">
        <f t="shared" si="105"/>
        <v>E_SPV</v>
      </c>
    </row>
    <row r="2942" spans="1:16" x14ac:dyDescent="0.35">
      <c r="A2942" t="s">
        <v>1586</v>
      </c>
      <c r="B2942" t="s">
        <v>71</v>
      </c>
      <c r="C2942" t="s">
        <v>45</v>
      </c>
      <c r="D2942" t="s">
        <v>1832</v>
      </c>
      <c r="E2942" t="s">
        <v>96</v>
      </c>
      <c r="F2942" t="s">
        <v>96</v>
      </c>
      <c r="G2942" t="s">
        <v>96</v>
      </c>
      <c r="H2942">
        <v>2010</v>
      </c>
      <c r="I2942" t="s">
        <v>96</v>
      </c>
      <c r="J2942" t="s">
        <v>97</v>
      </c>
      <c r="K2942" t="s">
        <v>96</v>
      </c>
      <c r="L2942" t="s">
        <v>96</v>
      </c>
      <c r="M2942">
        <v>1131</v>
      </c>
      <c r="O2942" s="12" t="str">
        <f t="shared" si="104"/>
        <v>CHI</v>
      </c>
      <c r="P2942" s="12" t="str">
        <f t="shared" si="105"/>
        <v>E_SPV</v>
      </c>
    </row>
    <row r="2943" spans="1:16" x14ac:dyDescent="0.35">
      <c r="A2943" t="s">
        <v>1586</v>
      </c>
      <c r="B2943" t="s">
        <v>71</v>
      </c>
      <c r="C2943" t="s">
        <v>45</v>
      </c>
      <c r="D2943" t="s">
        <v>1833</v>
      </c>
      <c r="E2943" t="s">
        <v>96</v>
      </c>
      <c r="F2943" t="s">
        <v>96</v>
      </c>
      <c r="G2943" t="s">
        <v>96</v>
      </c>
      <c r="H2943">
        <v>2010</v>
      </c>
      <c r="I2943" t="s">
        <v>96</v>
      </c>
      <c r="J2943" t="s">
        <v>97</v>
      </c>
      <c r="K2943" t="s">
        <v>96</v>
      </c>
      <c r="L2943" t="s">
        <v>96</v>
      </c>
      <c r="M2943">
        <v>1131</v>
      </c>
      <c r="O2943" s="12" t="str">
        <f t="shared" si="104"/>
        <v>CHI</v>
      </c>
      <c r="P2943" s="12" t="str">
        <f t="shared" si="105"/>
        <v>E_SPV</v>
      </c>
    </row>
    <row r="2944" spans="1:16" x14ac:dyDescent="0.35">
      <c r="A2944" t="s">
        <v>1586</v>
      </c>
      <c r="B2944" t="s">
        <v>71</v>
      </c>
      <c r="C2944" t="s">
        <v>45</v>
      </c>
      <c r="D2944" t="s">
        <v>1834</v>
      </c>
      <c r="E2944" t="s">
        <v>96</v>
      </c>
      <c r="F2944" t="s">
        <v>96</v>
      </c>
      <c r="G2944" t="s">
        <v>96</v>
      </c>
      <c r="H2944">
        <v>2010</v>
      </c>
      <c r="I2944" t="s">
        <v>96</v>
      </c>
      <c r="J2944" t="s">
        <v>97</v>
      </c>
      <c r="K2944" t="s">
        <v>96</v>
      </c>
      <c r="L2944" t="s">
        <v>96</v>
      </c>
      <c r="M2944">
        <v>1131</v>
      </c>
      <c r="O2944" s="12" t="str">
        <f t="shared" si="104"/>
        <v>CHI</v>
      </c>
      <c r="P2944" s="12" t="str">
        <f t="shared" si="105"/>
        <v>E_SPV</v>
      </c>
    </row>
    <row r="2945" spans="1:16" x14ac:dyDescent="0.35">
      <c r="A2945" t="s">
        <v>1586</v>
      </c>
      <c r="B2945" t="s">
        <v>71</v>
      </c>
      <c r="C2945" t="s">
        <v>45</v>
      </c>
      <c r="D2945" t="s">
        <v>1835</v>
      </c>
      <c r="E2945" t="s">
        <v>96</v>
      </c>
      <c r="F2945" t="s">
        <v>96</v>
      </c>
      <c r="G2945" t="s">
        <v>96</v>
      </c>
      <c r="H2945">
        <v>2010</v>
      </c>
      <c r="I2945" t="s">
        <v>96</v>
      </c>
      <c r="J2945" t="s">
        <v>97</v>
      </c>
      <c r="K2945" t="s">
        <v>96</v>
      </c>
      <c r="L2945" t="s">
        <v>96</v>
      </c>
      <c r="M2945">
        <v>1131</v>
      </c>
      <c r="O2945" s="12" t="str">
        <f t="shared" si="104"/>
        <v>CHI</v>
      </c>
      <c r="P2945" s="12" t="str">
        <f t="shared" si="105"/>
        <v>E_SPV</v>
      </c>
    </row>
    <row r="2946" spans="1:16" x14ac:dyDescent="0.35">
      <c r="A2946" t="s">
        <v>1586</v>
      </c>
      <c r="B2946" t="s">
        <v>71</v>
      </c>
      <c r="C2946" t="s">
        <v>45</v>
      </c>
      <c r="D2946" t="s">
        <v>1836</v>
      </c>
      <c r="E2946" t="s">
        <v>96</v>
      </c>
      <c r="F2946" t="s">
        <v>96</v>
      </c>
      <c r="G2946" t="s">
        <v>96</v>
      </c>
      <c r="H2946">
        <v>2010</v>
      </c>
      <c r="I2946" t="s">
        <v>96</v>
      </c>
      <c r="J2946" t="s">
        <v>97</v>
      </c>
      <c r="K2946" t="s">
        <v>96</v>
      </c>
      <c r="L2946" t="s">
        <v>96</v>
      </c>
      <c r="M2946">
        <v>1131</v>
      </c>
      <c r="O2946" s="12" t="str">
        <f t="shared" si="104"/>
        <v>CHI</v>
      </c>
      <c r="P2946" s="12" t="str">
        <f t="shared" si="105"/>
        <v>E_SPV</v>
      </c>
    </row>
    <row r="2947" spans="1:16" x14ac:dyDescent="0.35">
      <c r="A2947" t="s">
        <v>1586</v>
      </c>
      <c r="B2947" t="s">
        <v>71</v>
      </c>
      <c r="C2947" t="s">
        <v>45</v>
      </c>
      <c r="D2947" t="s">
        <v>1837</v>
      </c>
      <c r="E2947" t="s">
        <v>96</v>
      </c>
      <c r="F2947" t="s">
        <v>96</v>
      </c>
      <c r="G2947" t="s">
        <v>96</v>
      </c>
      <c r="H2947">
        <v>2010</v>
      </c>
      <c r="I2947" t="s">
        <v>96</v>
      </c>
      <c r="J2947" t="s">
        <v>97</v>
      </c>
      <c r="K2947" t="s">
        <v>96</v>
      </c>
      <c r="L2947" t="s">
        <v>96</v>
      </c>
      <c r="M2947">
        <v>1131</v>
      </c>
      <c r="O2947" s="12" t="str">
        <f t="shared" ref="O2947:O3010" si="106">LEFT(B2947,3)</f>
        <v>CHI</v>
      </c>
      <c r="P2947" s="12" t="str">
        <f t="shared" ref="P2947:P3010" si="107">LEFT(D2947,5)</f>
        <v>E_SPV</v>
      </c>
    </row>
    <row r="2948" spans="1:16" x14ac:dyDescent="0.35">
      <c r="A2948" t="s">
        <v>1586</v>
      </c>
      <c r="B2948" t="s">
        <v>71</v>
      </c>
      <c r="C2948" t="s">
        <v>45</v>
      </c>
      <c r="D2948" t="s">
        <v>1838</v>
      </c>
      <c r="E2948" t="s">
        <v>96</v>
      </c>
      <c r="F2948" t="s">
        <v>96</v>
      </c>
      <c r="G2948" t="s">
        <v>96</v>
      </c>
      <c r="H2948">
        <v>2010</v>
      </c>
      <c r="I2948" t="s">
        <v>96</v>
      </c>
      <c r="J2948" t="s">
        <v>97</v>
      </c>
      <c r="K2948" t="s">
        <v>96</v>
      </c>
      <c r="L2948" t="s">
        <v>96</v>
      </c>
      <c r="M2948">
        <v>1131</v>
      </c>
      <c r="O2948" s="12" t="str">
        <f t="shared" si="106"/>
        <v>CHI</v>
      </c>
      <c r="P2948" s="12" t="str">
        <f t="shared" si="107"/>
        <v>E_SPV</v>
      </c>
    </row>
    <row r="2949" spans="1:16" x14ac:dyDescent="0.35">
      <c r="A2949" t="s">
        <v>1586</v>
      </c>
      <c r="B2949" t="s">
        <v>72</v>
      </c>
      <c r="C2949" t="s">
        <v>45</v>
      </c>
      <c r="D2949" t="s">
        <v>1839</v>
      </c>
      <c r="E2949" t="s">
        <v>96</v>
      </c>
      <c r="F2949" t="s">
        <v>96</v>
      </c>
      <c r="G2949" t="s">
        <v>96</v>
      </c>
      <c r="H2949">
        <v>2010</v>
      </c>
      <c r="I2949" t="s">
        <v>96</v>
      </c>
      <c r="J2949" t="s">
        <v>97</v>
      </c>
      <c r="K2949" t="s">
        <v>96</v>
      </c>
      <c r="L2949" t="s">
        <v>96</v>
      </c>
      <c r="M2949">
        <v>1443</v>
      </c>
      <c r="O2949" s="12" t="str">
        <f t="shared" si="106"/>
        <v>CSA</v>
      </c>
      <c r="P2949" s="12" t="str">
        <f t="shared" si="107"/>
        <v>E_SPV</v>
      </c>
    </row>
    <row r="2950" spans="1:16" x14ac:dyDescent="0.35">
      <c r="A2950" t="s">
        <v>1586</v>
      </c>
      <c r="B2950" t="s">
        <v>72</v>
      </c>
      <c r="C2950" t="s">
        <v>45</v>
      </c>
      <c r="D2950" t="s">
        <v>1841</v>
      </c>
      <c r="E2950" t="s">
        <v>96</v>
      </c>
      <c r="F2950" t="s">
        <v>96</v>
      </c>
      <c r="G2950" t="s">
        <v>96</v>
      </c>
      <c r="H2950">
        <v>2010</v>
      </c>
      <c r="I2950" t="s">
        <v>96</v>
      </c>
      <c r="J2950" t="s">
        <v>97</v>
      </c>
      <c r="K2950" t="s">
        <v>96</v>
      </c>
      <c r="L2950" t="s">
        <v>96</v>
      </c>
      <c r="M2950">
        <v>2486.3000000000002</v>
      </c>
      <c r="O2950" s="12" t="str">
        <f t="shared" si="106"/>
        <v>CSA</v>
      </c>
      <c r="P2950" s="12" t="str">
        <f t="shared" si="107"/>
        <v>E_SPV</v>
      </c>
    </row>
    <row r="2951" spans="1:16" x14ac:dyDescent="0.35">
      <c r="A2951" t="s">
        <v>1586</v>
      </c>
      <c r="B2951" t="s">
        <v>72</v>
      </c>
      <c r="C2951" t="s">
        <v>45</v>
      </c>
      <c r="D2951" t="s">
        <v>1842</v>
      </c>
      <c r="E2951" t="s">
        <v>96</v>
      </c>
      <c r="F2951" t="s">
        <v>96</v>
      </c>
      <c r="G2951" t="s">
        <v>96</v>
      </c>
      <c r="H2951">
        <v>2010</v>
      </c>
      <c r="I2951" t="s">
        <v>96</v>
      </c>
      <c r="J2951" t="s">
        <v>97</v>
      </c>
      <c r="K2951" t="s">
        <v>96</v>
      </c>
      <c r="L2951" t="s">
        <v>96</v>
      </c>
      <c r="M2951">
        <v>1638</v>
      </c>
      <c r="O2951" s="12" t="str">
        <f t="shared" si="106"/>
        <v>CSA</v>
      </c>
      <c r="P2951" s="12" t="str">
        <f t="shared" si="107"/>
        <v>E_SPV</v>
      </c>
    </row>
    <row r="2952" spans="1:16" x14ac:dyDescent="0.35">
      <c r="A2952" t="s">
        <v>1586</v>
      </c>
      <c r="B2952" t="s">
        <v>72</v>
      </c>
      <c r="C2952" t="s">
        <v>45</v>
      </c>
      <c r="D2952" t="s">
        <v>1843</v>
      </c>
      <c r="E2952" t="s">
        <v>96</v>
      </c>
      <c r="F2952" t="s">
        <v>96</v>
      </c>
      <c r="G2952" t="s">
        <v>96</v>
      </c>
      <c r="H2952">
        <v>2010</v>
      </c>
      <c r="I2952" t="s">
        <v>96</v>
      </c>
      <c r="J2952" t="s">
        <v>97</v>
      </c>
      <c r="K2952" t="s">
        <v>96</v>
      </c>
      <c r="L2952" t="s">
        <v>96</v>
      </c>
      <c r="M2952">
        <v>2486.3000000000002</v>
      </c>
      <c r="O2952" s="12" t="str">
        <f t="shared" si="106"/>
        <v>CSA</v>
      </c>
      <c r="P2952" s="12" t="str">
        <f t="shared" si="107"/>
        <v>E_SPV</v>
      </c>
    </row>
    <row r="2953" spans="1:16" x14ac:dyDescent="0.35">
      <c r="A2953" t="s">
        <v>1586</v>
      </c>
      <c r="B2953" t="s">
        <v>72</v>
      </c>
      <c r="C2953" t="s">
        <v>45</v>
      </c>
      <c r="D2953" t="s">
        <v>1844</v>
      </c>
      <c r="E2953" t="s">
        <v>96</v>
      </c>
      <c r="F2953" t="s">
        <v>96</v>
      </c>
      <c r="G2953" t="s">
        <v>96</v>
      </c>
      <c r="H2953">
        <v>2010</v>
      </c>
      <c r="I2953" t="s">
        <v>96</v>
      </c>
      <c r="J2953" t="s">
        <v>97</v>
      </c>
      <c r="K2953" t="s">
        <v>96</v>
      </c>
      <c r="L2953" t="s">
        <v>96</v>
      </c>
      <c r="M2953">
        <v>1443</v>
      </c>
      <c r="O2953" s="12" t="str">
        <f t="shared" si="106"/>
        <v>CSA</v>
      </c>
      <c r="P2953" s="12" t="str">
        <f t="shared" si="107"/>
        <v>E_SPV</v>
      </c>
    </row>
    <row r="2954" spans="1:16" x14ac:dyDescent="0.35">
      <c r="A2954" t="s">
        <v>1586</v>
      </c>
      <c r="B2954" t="s">
        <v>72</v>
      </c>
      <c r="C2954" t="s">
        <v>45</v>
      </c>
      <c r="D2954" t="s">
        <v>1845</v>
      </c>
      <c r="E2954" t="s">
        <v>96</v>
      </c>
      <c r="F2954" t="s">
        <v>96</v>
      </c>
      <c r="G2954" t="s">
        <v>96</v>
      </c>
      <c r="H2954">
        <v>2010</v>
      </c>
      <c r="I2954" t="s">
        <v>96</v>
      </c>
      <c r="J2954" t="s">
        <v>97</v>
      </c>
      <c r="K2954" t="s">
        <v>96</v>
      </c>
      <c r="L2954" t="s">
        <v>96</v>
      </c>
      <c r="M2954">
        <v>1443</v>
      </c>
      <c r="O2954" s="12" t="str">
        <f t="shared" si="106"/>
        <v>CSA</v>
      </c>
      <c r="P2954" s="12" t="str">
        <f t="shared" si="107"/>
        <v>E_SPV</v>
      </c>
    </row>
    <row r="2955" spans="1:16" x14ac:dyDescent="0.35">
      <c r="A2955" t="s">
        <v>1586</v>
      </c>
      <c r="B2955" t="s">
        <v>72</v>
      </c>
      <c r="C2955" t="s">
        <v>45</v>
      </c>
      <c r="D2955" t="s">
        <v>1846</v>
      </c>
      <c r="E2955" t="s">
        <v>96</v>
      </c>
      <c r="F2955" t="s">
        <v>96</v>
      </c>
      <c r="G2955" t="s">
        <v>96</v>
      </c>
      <c r="H2955">
        <v>2010</v>
      </c>
      <c r="I2955" t="s">
        <v>96</v>
      </c>
      <c r="J2955" t="s">
        <v>97</v>
      </c>
      <c r="K2955" t="s">
        <v>96</v>
      </c>
      <c r="L2955" t="s">
        <v>96</v>
      </c>
      <c r="M2955">
        <v>2486.3000000000002</v>
      </c>
      <c r="O2955" s="12" t="str">
        <f t="shared" si="106"/>
        <v>CSA</v>
      </c>
      <c r="P2955" s="12" t="str">
        <f t="shared" si="107"/>
        <v>E_SPV</v>
      </c>
    </row>
    <row r="2956" spans="1:16" x14ac:dyDescent="0.35">
      <c r="A2956" t="s">
        <v>1586</v>
      </c>
      <c r="B2956" t="s">
        <v>72</v>
      </c>
      <c r="C2956" t="s">
        <v>45</v>
      </c>
      <c r="D2956" t="s">
        <v>1847</v>
      </c>
      <c r="E2956" t="s">
        <v>96</v>
      </c>
      <c r="F2956" t="s">
        <v>96</v>
      </c>
      <c r="G2956" t="s">
        <v>96</v>
      </c>
      <c r="H2956">
        <v>2010</v>
      </c>
      <c r="I2956" t="s">
        <v>96</v>
      </c>
      <c r="J2956" t="s">
        <v>97</v>
      </c>
      <c r="K2956" t="s">
        <v>96</v>
      </c>
      <c r="L2956" t="s">
        <v>96</v>
      </c>
      <c r="M2956">
        <v>2486.3000000000002</v>
      </c>
      <c r="O2956" s="12" t="str">
        <f t="shared" si="106"/>
        <v>CSA</v>
      </c>
      <c r="P2956" s="12" t="str">
        <f t="shared" si="107"/>
        <v>E_SPV</v>
      </c>
    </row>
    <row r="2957" spans="1:16" x14ac:dyDescent="0.35">
      <c r="A2957" t="s">
        <v>1586</v>
      </c>
      <c r="B2957" t="s">
        <v>72</v>
      </c>
      <c r="C2957" t="s">
        <v>45</v>
      </c>
      <c r="D2957" t="s">
        <v>1849</v>
      </c>
      <c r="E2957" t="s">
        <v>96</v>
      </c>
      <c r="F2957" t="s">
        <v>96</v>
      </c>
      <c r="G2957" t="s">
        <v>96</v>
      </c>
      <c r="H2957">
        <v>2010</v>
      </c>
      <c r="I2957" t="s">
        <v>96</v>
      </c>
      <c r="J2957" t="s">
        <v>97</v>
      </c>
      <c r="K2957" t="s">
        <v>96</v>
      </c>
      <c r="L2957" t="s">
        <v>96</v>
      </c>
      <c r="M2957">
        <v>2486.3000000000002</v>
      </c>
      <c r="O2957" s="12" t="str">
        <f t="shared" si="106"/>
        <v>CSA</v>
      </c>
      <c r="P2957" s="12" t="str">
        <f t="shared" si="107"/>
        <v>E_SPV</v>
      </c>
    </row>
    <row r="2958" spans="1:16" x14ac:dyDescent="0.35">
      <c r="A2958" t="s">
        <v>1586</v>
      </c>
      <c r="B2958" t="s">
        <v>72</v>
      </c>
      <c r="C2958" t="s">
        <v>45</v>
      </c>
      <c r="D2958" t="s">
        <v>1850</v>
      </c>
      <c r="E2958" t="s">
        <v>96</v>
      </c>
      <c r="F2958" t="s">
        <v>96</v>
      </c>
      <c r="G2958" t="s">
        <v>96</v>
      </c>
      <c r="H2958">
        <v>2010</v>
      </c>
      <c r="I2958" t="s">
        <v>96</v>
      </c>
      <c r="J2958" t="s">
        <v>97</v>
      </c>
      <c r="K2958" t="s">
        <v>96</v>
      </c>
      <c r="L2958" t="s">
        <v>96</v>
      </c>
      <c r="M2958">
        <v>1638</v>
      </c>
      <c r="O2958" s="12" t="str">
        <f t="shared" si="106"/>
        <v>CSA</v>
      </c>
      <c r="P2958" s="12" t="str">
        <f t="shared" si="107"/>
        <v>E_SPV</v>
      </c>
    </row>
    <row r="2959" spans="1:16" x14ac:dyDescent="0.35">
      <c r="A2959" t="s">
        <v>1586</v>
      </c>
      <c r="B2959" t="s">
        <v>72</v>
      </c>
      <c r="C2959" t="s">
        <v>45</v>
      </c>
      <c r="D2959" t="s">
        <v>1851</v>
      </c>
      <c r="E2959" t="s">
        <v>96</v>
      </c>
      <c r="F2959" t="s">
        <v>96</v>
      </c>
      <c r="G2959" t="s">
        <v>96</v>
      </c>
      <c r="H2959">
        <v>2010</v>
      </c>
      <c r="I2959" t="s">
        <v>96</v>
      </c>
      <c r="J2959" t="s">
        <v>97</v>
      </c>
      <c r="K2959" t="s">
        <v>96</v>
      </c>
      <c r="L2959" t="s">
        <v>96</v>
      </c>
      <c r="M2959">
        <v>1599</v>
      </c>
      <c r="O2959" s="12" t="str">
        <f t="shared" si="106"/>
        <v>CSA</v>
      </c>
      <c r="P2959" s="12" t="str">
        <f t="shared" si="107"/>
        <v>E_SPV</v>
      </c>
    </row>
    <row r="2960" spans="1:16" x14ac:dyDescent="0.35">
      <c r="A2960" t="s">
        <v>1586</v>
      </c>
      <c r="B2960" t="s">
        <v>72</v>
      </c>
      <c r="C2960" t="s">
        <v>45</v>
      </c>
      <c r="D2960" t="s">
        <v>1852</v>
      </c>
      <c r="E2960" t="s">
        <v>96</v>
      </c>
      <c r="F2960" t="s">
        <v>96</v>
      </c>
      <c r="G2960" t="s">
        <v>96</v>
      </c>
      <c r="H2960">
        <v>2010</v>
      </c>
      <c r="I2960" t="s">
        <v>96</v>
      </c>
      <c r="J2960" t="s">
        <v>97</v>
      </c>
      <c r="K2960" t="s">
        <v>96</v>
      </c>
      <c r="L2960" t="s">
        <v>96</v>
      </c>
      <c r="M2960">
        <v>1937</v>
      </c>
      <c r="O2960" s="12" t="str">
        <f t="shared" si="106"/>
        <v>CSA</v>
      </c>
      <c r="P2960" s="12" t="str">
        <f t="shared" si="107"/>
        <v>E_SPV</v>
      </c>
    </row>
    <row r="2961" spans="1:16" x14ac:dyDescent="0.35">
      <c r="A2961" t="s">
        <v>1586</v>
      </c>
      <c r="B2961" t="s">
        <v>72</v>
      </c>
      <c r="C2961" t="s">
        <v>45</v>
      </c>
      <c r="D2961" t="s">
        <v>1853</v>
      </c>
      <c r="E2961" t="s">
        <v>96</v>
      </c>
      <c r="F2961" t="s">
        <v>96</v>
      </c>
      <c r="G2961" t="s">
        <v>96</v>
      </c>
      <c r="H2961">
        <v>2010</v>
      </c>
      <c r="I2961" t="s">
        <v>96</v>
      </c>
      <c r="J2961" t="s">
        <v>97</v>
      </c>
      <c r="K2961" t="s">
        <v>96</v>
      </c>
      <c r="L2961" t="s">
        <v>96</v>
      </c>
      <c r="M2961">
        <v>2486.3000000000002</v>
      </c>
      <c r="O2961" s="12" t="str">
        <f t="shared" si="106"/>
        <v>CSA</v>
      </c>
      <c r="P2961" s="12" t="str">
        <f t="shared" si="107"/>
        <v>E_SPV</v>
      </c>
    </row>
    <row r="2962" spans="1:16" x14ac:dyDescent="0.35">
      <c r="A2962" t="s">
        <v>1586</v>
      </c>
      <c r="B2962" t="s">
        <v>72</v>
      </c>
      <c r="C2962" t="s">
        <v>45</v>
      </c>
      <c r="D2962" t="s">
        <v>1854</v>
      </c>
      <c r="E2962" t="s">
        <v>96</v>
      </c>
      <c r="F2962" t="s">
        <v>96</v>
      </c>
      <c r="G2962" t="s">
        <v>96</v>
      </c>
      <c r="H2962">
        <v>2010</v>
      </c>
      <c r="I2962" t="s">
        <v>96</v>
      </c>
      <c r="J2962" t="s">
        <v>97</v>
      </c>
      <c r="K2962" t="s">
        <v>96</v>
      </c>
      <c r="L2962" t="s">
        <v>96</v>
      </c>
      <c r="M2962">
        <v>1235</v>
      </c>
      <c r="O2962" s="12" t="str">
        <f t="shared" si="106"/>
        <v>CSA</v>
      </c>
      <c r="P2962" s="12" t="str">
        <f t="shared" si="107"/>
        <v>E_SPV</v>
      </c>
    </row>
    <row r="2963" spans="1:16" x14ac:dyDescent="0.35">
      <c r="A2963" t="s">
        <v>1586</v>
      </c>
      <c r="B2963" t="s">
        <v>72</v>
      </c>
      <c r="C2963" t="s">
        <v>45</v>
      </c>
      <c r="D2963" t="s">
        <v>1855</v>
      </c>
      <c r="E2963" t="s">
        <v>96</v>
      </c>
      <c r="F2963" t="s">
        <v>96</v>
      </c>
      <c r="G2963" t="s">
        <v>96</v>
      </c>
      <c r="H2963">
        <v>2010</v>
      </c>
      <c r="I2963" t="s">
        <v>96</v>
      </c>
      <c r="J2963" t="s">
        <v>97</v>
      </c>
      <c r="K2963" t="s">
        <v>96</v>
      </c>
      <c r="L2963" t="s">
        <v>96</v>
      </c>
      <c r="M2963">
        <v>1443</v>
      </c>
      <c r="O2963" s="12" t="str">
        <f t="shared" si="106"/>
        <v>CSA</v>
      </c>
      <c r="P2963" s="12" t="str">
        <f t="shared" si="107"/>
        <v>E_SPV</v>
      </c>
    </row>
    <row r="2964" spans="1:16" x14ac:dyDescent="0.35">
      <c r="A2964" t="s">
        <v>1586</v>
      </c>
      <c r="B2964" t="s">
        <v>72</v>
      </c>
      <c r="C2964" t="s">
        <v>45</v>
      </c>
      <c r="D2964" t="s">
        <v>1856</v>
      </c>
      <c r="E2964" t="s">
        <v>96</v>
      </c>
      <c r="F2964" t="s">
        <v>96</v>
      </c>
      <c r="G2964" t="s">
        <v>96</v>
      </c>
      <c r="H2964">
        <v>2010</v>
      </c>
      <c r="I2964" t="s">
        <v>96</v>
      </c>
      <c r="J2964" t="s">
        <v>97</v>
      </c>
      <c r="K2964" t="s">
        <v>96</v>
      </c>
      <c r="L2964" t="s">
        <v>96</v>
      </c>
      <c r="M2964">
        <v>2486.3000000000002</v>
      </c>
      <c r="O2964" s="12" t="str">
        <f t="shared" si="106"/>
        <v>CSA</v>
      </c>
      <c r="P2964" s="12" t="str">
        <f t="shared" si="107"/>
        <v>E_SPV</v>
      </c>
    </row>
    <row r="2965" spans="1:16" x14ac:dyDescent="0.35">
      <c r="A2965" t="s">
        <v>1586</v>
      </c>
      <c r="B2965" t="s">
        <v>72</v>
      </c>
      <c r="C2965" t="s">
        <v>45</v>
      </c>
      <c r="D2965" t="s">
        <v>1857</v>
      </c>
      <c r="E2965" t="s">
        <v>96</v>
      </c>
      <c r="F2965" t="s">
        <v>96</v>
      </c>
      <c r="G2965" t="s">
        <v>96</v>
      </c>
      <c r="H2965">
        <v>2010</v>
      </c>
      <c r="I2965" t="s">
        <v>96</v>
      </c>
      <c r="J2965" t="s">
        <v>97</v>
      </c>
      <c r="K2965" t="s">
        <v>96</v>
      </c>
      <c r="L2965" t="s">
        <v>96</v>
      </c>
      <c r="M2965">
        <v>1443</v>
      </c>
      <c r="O2965" s="12" t="str">
        <f t="shared" si="106"/>
        <v>CSA</v>
      </c>
      <c r="P2965" s="12" t="str">
        <f t="shared" si="107"/>
        <v>E_SPV</v>
      </c>
    </row>
    <row r="2966" spans="1:16" x14ac:dyDescent="0.35">
      <c r="A2966" t="s">
        <v>1586</v>
      </c>
      <c r="B2966" t="s">
        <v>72</v>
      </c>
      <c r="C2966" t="s">
        <v>45</v>
      </c>
      <c r="D2966" t="s">
        <v>1858</v>
      </c>
      <c r="E2966" t="s">
        <v>96</v>
      </c>
      <c r="F2966" t="s">
        <v>96</v>
      </c>
      <c r="G2966" t="s">
        <v>96</v>
      </c>
      <c r="H2966">
        <v>2010</v>
      </c>
      <c r="I2966" t="s">
        <v>96</v>
      </c>
      <c r="J2966" t="s">
        <v>97</v>
      </c>
      <c r="K2966" t="s">
        <v>96</v>
      </c>
      <c r="L2966" t="s">
        <v>96</v>
      </c>
      <c r="M2966">
        <v>2486.3000000000002</v>
      </c>
      <c r="O2966" s="12" t="str">
        <f t="shared" si="106"/>
        <v>CSA</v>
      </c>
      <c r="P2966" s="12" t="str">
        <f t="shared" si="107"/>
        <v>E_SPV</v>
      </c>
    </row>
    <row r="2967" spans="1:16" x14ac:dyDescent="0.35">
      <c r="A2967" t="s">
        <v>1586</v>
      </c>
      <c r="B2967" t="s">
        <v>72</v>
      </c>
      <c r="C2967" t="s">
        <v>45</v>
      </c>
      <c r="D2967" t="s">
        <v>1859</v>
      </c>
      <c r="E2967" t="s">
        <v>96</v>
      </c>
      <c r="F2967" t="s">
        <v>96</v>
      </c>
      <c r="G2967" t="s">
        <v>96</v>
      </c>
      <c r="H2967">
        <v>2010</v>
      </c>
      <c r="I2967" t="s">
        <v>96</v>
      </c>
      <c r="J2967" t="s">
        <v>97</v>
      </c>
      <c r="K2967" t="s">
        <v>96</v>
      </c>
      <c r="L2967" t="s">
        <v>96</v>
      </c>
      <c r="M2967">
        <v>2486.3000000000002</v>
      </c>
      <c r="O2967" s="12" t="str">
        <f t="shared" si="106"/>
        <v>CSA</v>
      </c>
      <c r="P2967" s="12" t="str">
        <f t="shared" si="107"/>
        <v>E_SPV</v>
      </c>
    </row>
    <row r="2968" spans="1:16" x14ac:dyDescent="0.35">
      <c r="A2968" t="s">
        <v>1586</v>
      </c>
      <c r="B2968" t="s">
        <v>72</v>
      </c>
      <c r="C2968" t="s">
        <v>45</v>
      </c>
      <c r="D2968" t="s">
        <v>1861</v>
      </c>
      <c r="E2968" t="s">
        <v>96</v>
      </c>
      <c r="F2968" t="s">
        <v>96</v>
      </c>
      <c r="G2968" t="s">
        <v>96</v>
      </c>
      <c r="H2968">
        <v>2010</v>
      </c>
      <c r="I2968" t="s">
        <v>96</v>
      </c>
      <c r="J2968" t="s">
        <v>97</v>
      </c>
      <c r="K2968" t="s">
        <v>96</v>
      </c>
      <c r="L2968" t="s">
        <v>96</v>
      </c>
      <c r="M2968">
        <v>2486.3000000000002</v>
      </c>
      <c r="O2968" s="12" t="str">
        <f t="shared" si="106"/>
        <v>CSA</v>
      </c>
      <c r="P2968" s="12" t="str">
        <f t="shared" si="107"/>
        <v>E_SPV</v>
      </c>
    </row>
    <row r="2969" spans="1:16" x14ac:dyDescent="0.35">
      <c r="A2969" t="s">
        <v>1586</v>
      </c>
      <c r="B2969" t="s">
        <v>72</v>
      </c>
      <c r="C2969" t="s">
        <v>45</v>
      </c>
      <c r="D2969" t="s">
        <v>1862</v>
      </c>
      <c r="E2969" t="s">
        <v>96</v>
      </c>
      <c r="F2969" t="s">
        <v>96</v>
      </c>
      <c r="G2969" t="s">
        <v>96</v>
      </c>
      <c r="H2969">
        <v>2010</v>
      </c>
      <c r="I2969" t="s">
        <v>96</v>
      </c>
      <c r="J2969" t="s">
        <v>97</v>
      </c>
      <c r="K2969" t="s">
        <v>96</v>
      </c>
      <c r="L2969" t="s">
        <v>96</v>
      </c>
      <c r="M2969">
        <v>1638</v>
      </c>
      <c r="O2969" s="12" t="str">
        <f t="shared" si="106"/>
        <v>CSA</v>
      </c>
      <c r="P2969" s="12" t="str">
        <f t="shared" si="107"/>
        <v>E_SPV</v>
      </c>
    </row>
    <row r="2970" spans="1:16" x14ac:dyDescent="0.35">
      <c r="A2970" t="s">
        <v>1586</v>
      </c>
      <c r="B2970" t="s">
        <v>72</v>
      </c>
      <c r="C2970" t="s">
        <v>45</v>
      </c>
      <c r="D2970" t="s">
        <v>1863</v>
      </c>
      <c r="E2970" t="s">
        <v>96</v>
      </c>
      <c r="F2970" t="s">
        <v>96</v>
      </c>
      <c r="G2970" t="s">
        <v>96</v>
      </c>
      <c r="H2970">
        <v>2010</v>
      </c>
      <c r="I2970" t="s">
        <v>96</v>
      </c>
      <c r="J2970" t="s">
        <v>97</v>
      </c>
      <c r="K2970" t="s">
        <v>96</v>
      </c>
      <c r="L2970" t="s">
        <v>96</v>
      </c>
      <c r="M2970">
        <v>1599</v>
      </c>
      <c r="O2970" s="12" t="str">
        <f t="shared" si="106"/>
        <v>CSA</v>
      </c>
      <c r="P2970" s="12" t="str">
        <f t="shared" si="107"/>
        <v>E_SPV</v>
      </c>
    </row>
    <row r="2971" spans="1:16" x14ac:dyDescent="0.35">
      <c r="A2971" t="s">
        <v>1586</v>
      </c>
      <c r="B2971" t="s">
        <v>72</v>
      </c>
      <c r="C2971" t="s">
        <v>45</v>
      </c>
      <c r="D2971" t="s">
        <v>1864</v>
      </c>
      <c r="E2971" t="s">
        <v>96</v>
      </c>
      <c r="F2971" t="s">
        <v>96</v>
      </c>
      <c r="G2971" t="s">
        <v>96</v>
      </c>
      <c r="H2971">
        <v>2010</v>
      </c>
      <c r="I2971" t="s">
        <v>96</v>
      </c>
      <c r="J2971" t="s">
        <v>97</v>
      </c>
      <c r="K2971" t="s">
        <v>96</v>
      </c>
      <c r="L2971" t="s">
        <v>96</v>
      </c>
      <c r="M2971">
        <v>2486.3000000000002</v>
      </c>
      <c r="O2971" s="12" t="str">
        <f t="shared" si="106"/>
        <v>CSA</v>
      </c>
      <c r="P2971" s="12" t="str">
        <f t="shared" si="107"/>
        <v>E_SPV</v>
      </c>
    </row>
    <row r="2972" spans="1:16" x14ac:dyDescent="0.35">
      <c r="A2972" t="s">
        <v>1586</v>
      </c>
      <c r="B2972" t="s">
        <v>72</v>
      </c>
      <c r="C2972" t="s">
        <v>45</v>
      </c>
      <c r="D2972" t="s">
        <v>1865</v>
      </c>
      <c r="E2972" t="s">
        <v>96</v>
      </c>
      <c r="F2972" t="s">
        <v>96</v>
      </c>
      <c r="G2972" t="s">
        <v>96</v>
      </c>
      <c r="H2972">
        <v>2010</v>
      </c>
      <c r="I2972" t="s">
        <v>96</v>
      </c>
      <c r="J2972" t="s">
        <v>97</v>
      </c>
      <c r="K2972" t="s">
        <v>96</v>
      </c>
      <c r="L2972" t="s">
        <v>96</v>
      </c>
      <c r="M2972">
        <v>2486.3000000000002</v>
      </c>
      <c r="O2972" s="12" t="str">
        <f t="shared" si="106"/>
        <v>CSA</v>
      </c>
      <c r="P2972" s="12" t="str">
        <f t="shared" si="107"/>
        <v>E_SPV</v>
      </c>
    </row>
    <row r="2973" spans="1:16" x14ac:dyDescent="0.35">
      <c r="A2973" t="s">
        <v>1586</v>
      </c>
      <c r="B2973" t="s">
        <v>72</v>
      </c>
      <c r="C2973" t="s">
        <v>45</v>
      </c>
      <c r="D2973" t="s">
        <v>1866</v>
      </c>
      <c r="E2973" t="s">
        <v>96</v>
      </c>
      <c r="F2973" t="s">
        <v>96</v>
      </c>
      <c r="G2973" t="s">
        <v>96</v>
      </c>
      <c r="H2973">
        <v>2010</v>
      </c>
      <c r="I2973" t="s">
        <v>96</v>
      </c>
      <c r="J2973" t="s">
        <v>97</v>
      </c>
      <c r="K2973" t="s">
        <v>96</v>
      </c>
      <c r="L2973" t="s">
        <v>96</v>
      </c>
      <c r="M2973">
        <v>1937</v>
      </c>
      <c r="O2973" s="12" t="str">
        <f t="shared" si="106"/>
        <v>CSA</v>
      </c>
      <c r="P2973" s="12" t="str">
        <f t="shared" si="107"/>
        <v>E_SPV</v>
      </c>
    </row>
    <row r="2974" spans="1:16" x14ac:dyDescent="0.35">
      <c r="A2974" t="s">
        <v>1586</v>
      </c>
      <c r="B2974" t="s">
        <v>72</v>
      </c>
      <c r="C2974" t="s">
        <v>45</v>
      </c>
      <c r="D2974" t="s">
        <v>1867</v>
      </c>
      <c r="E2974" t="s">
        <v>96</v>
      </c>
      <c r="F2974" t="s">
        <v>96</v>
      </c>
      <c r="G2974" t="s">
        <v>96</v>
      </c>
      <c r="H2974">
        <v>2010</v>
      </c>
      <c r="I2974" t="s">
        <v>96</v>
      </c>
      <c r="J2974" t="s">
        <v>97</v>
      </c>
      <c r="K2974" t="s">
        <v>96</v>
      </c>
      <c r="L2974" t="s">
        <v>96</v>
      </c>
      <c r="M2974">
        <v>2486.3000000000002</v>
      </c>
      <c r="O2974" s="12" t="str">
        <f t="shared" si="106"/>
        <v>CSA</v>
      </c>
      <c r="P2974" s="12" t="str">
        <f t="shared" si="107"/>
        <v>E_SPV</v>
      </c>
    </row>
    <row r="2975" spans="1:16" x14ac:dyDescent="0.35">
      <c r="A2975" t="s">
        <v>1586</v>
      </c>
      <c r="B2975" t="s">
        <v>72</v>
      </c>
      <c r="C2975" t="s">
        <v>45</v>
      </c>
      <c r="D2975" t="s">
        <v>1868</v>
      </c>
      <c r="E2975" t="s">
        <v>96</v>
      </c>
      <c r="F2975" t="s">
        <v>96</v>
      </c>
      <c r="G2975" t="s">
        <v>96</v>
      </c>
      <c r="H2975">
        <v>2010</v>
      </c>
      <c r="I2975" t="s">
        <v>96</v>
      </c>
      <c r="J2975" t="s">
        <v>97</v>
      </c>
      <c r="K2975" t="s">
        <v>96</v>
      </c>
      <c r="L2975" t="s">
        <v>96</v>
      </c>
      <c r="M2975">
        <v>1235</v>
      </c>
      <c r="O2975" s="12" t="str">
        <f t="shared" si="106"/>
        <v>CSA</v>
      </c>
      <c r="P2975" s="12" t="str">
        <f t="shared" si="107"/>
        <v>E_SPV</v>
      </c>
    </row>
    <row r="2976" spans="1:16" x14ac:dyDescent="0.35">
      <c r="A2976" t="s">
        <v>1586</v>
      </c>
      <c r="B2976" t="s">
        <v>72</v>
      </c>
      <c r="C2976" t="s">
        <v>45</v>
      </c>
      <c r="D2976" t="s">
        <v>1869</v>
      </c>
      <c r="E2976" t="s">
        <v>96</v>
      </c>
      <c r="F2976" t="s">
        <v>96</v>
      </c>
      <c r="G2976" t="s">
        <v>96</v>
      </c>
      <c r="H2976">
        <v>2010</v>
      </c>
      <c r="I2976" t="s">
        <v>96</v>
      </c>
      <c r="J2976" t="s">
        <v>97</v>
      </c>
      <c r="K2976" t="s">
        <v>96</v>
      </c>
      <c r="L2976" t="s">
        <v>96</v>
      </c>
      <c r="M2976">
        <v>1443</v>
      </c>
      <c r="O2976" s="12" t="str">
        <f t="shared" si="106"/>
        <v>CSA</v>
      </c>
      <c r="P2976" s="12" t="str">
        <f t="shared" si="107"/>
        <v>E_SPV</v>
      </c>
    </row>
    <row r="2977" spans="1:16" x14ac:dyDescent="0.35">
      <c r="A2977" t="s">
        <v>1586</v>
      </c>
      <c r="B2977" t="s">
        <v>72</v>
      </c>
      <c r="C2977" t="s">
        <v>45</v>
      </c>
      <c r="D2977" t="s">
        <v>1870</v>
      </c>
      <c r="E2977" t="s">
        <v>96</v>
      </c>
      <c r="F2977" t="s">
        <v>96</v>
      </c>
      <c r="G2977" t="s">
        <v>96</v>
      </c>
      <c r="H2977">
        <v>2010</v>
      </c>
      <c r="I2977" t="s">
        <v>96</v>
      </c>
      <c r="J2977" t="s">
        <v>97</v>
      </c>
      <c r="K2977" t="s">
        <v>96</v>
      </c>
      <c r="L2977" t="s">
        <v>96</v>
      </c>
      <c r="M2977">
        <v>2486.3000000000002</v>
      </c>
      <c r="O2977" s="12" t="str">
        <f t="shared" si="106"/>
        <v>CSA</v>
      </c>
      <c r="P2977" s="12" t="str">
        <f t="shared" si="107"/>
        <v>E_SPV</v>
      </c>
    </row>
    <row r="2978" spans="1:16" x14ac:dyDescent="0.35">
      <c r="A2978" t="s">
        <v>1586</v>
      </c>
      <c r="B2978" t="s">
        <v>72</v>
      </c>
      <c r="C2978" t="s">
        <v>45</v>
      </c>
      <c r="D2978" t="s">
        <v>1871</v>
      </c>
      <c r="E2978" t="s">
        <v>96</v>
      </c>
      <c r="F2978" t="s">
        <v>96</v>
      </c>
      <c r="G2978" t="s">
        <v>96</v>
      </c>
      <c r="H2978">
        <v>2010</v>
      </c>
      <c r="I2978" t="s">
        <v>96</v>
      </c>
      <c r="J2978" t="s">
        <v>97</v>
      </c>
      <c r="K2978" t="s">
        <v>96</v>
      </c>
      <c r="L2978" t="s">
        <v>96</v>
      </c>
      <c r="M2978">
        <v>1443</v>
      </c>
      <c r="O2978" s="12" t="str">
        <f t="shared" si="106"/>
        <v>CSA</v>
      </c>
      <c r="P2978" s="12" t="str">
        <f t="shared" si="107"/>
        <v>E_SPV</v>
      </c>
    </row>
    <row r="2979" spans="1:16" x14ac:dyDescent="0.35">
      <c r="A2979" t="s">
        <v>1586</v>
      </c>
      <c r="B2979" t="s">
        <v>72</v>
      </c>
      <c r="C2979" t="s">
        <v>45</v>
      </c>
      <c r="D2979" t="s">
        <v>1872</v>
      </c>
      <c r="E2979" t="s">
        <v>96</v>
      </c>
      <c r="F2979" t="s">
        <v>96</v>
      </c>
      <c r="G2979" t="s">
        <v>96</v>
      </c>
      <c r="H2979">
        <v>2010</v>
      </c>
      <c r="I2979" t="s">
        <v>96</v>
      </c>
      <c r="J2979" t="s">
        <v>97</v>
      </c>
      <c r="K2979" t="s">
        <v>96</v>
      </c>
      <c r="L2979" t="s">
        <v>96</v>
      </c>
      <c r="M2979">
        <v>2486.3000000000002</v>
      </c>
      <c r="O2979" s="12" t="str">
        <f t="shared" si="106"/>
        <v>CSA</v>
      </c>
      <c r="P2979" s="12" t="str">
        <f t="shared" si="107"/>
        <v>E_SPV</v>
      </c>
    </row>
    <row r="2980" spans="1:16" x14ac:dyDescent="0.35">
      <c r="A2980" t="s">
        <v>1586</v>
      </c>
      <c r="B2980" t="s">
        <v>72</v>
      </c>
      <c r="C2980" t="s">
        <v>45</v>
      </c>
      <c r="D2980" t="s">
        <v>1873</v>
      </c>
      <c r="E2980" t="s">
        <v>96</v>
      </c>
      <c r="F2980" t="s">
        <v>96</v>
      </c>
      <c r="G2980" t="s">
        <v>96</v>
      </c>
      <c r="H2980">
        <v>2010</v>
      </c>
      <c r="I2980" t="s">
        <v>96</v>
      </c>
      <c r="J2980" t="s">
        <v>97</v>
      </c>
      <c r="K2980" t="s">
        <v>96</v>
      </c>
      <c r="L2980" t="s">
        <v>96</v>
      </c>
      <c r="M2980">
        <v>2486.3000000000002</v>
      </c>
      <c r="O2980" s="12" t="str">
        <f t="shared" si="106"/>
        <v>CSA</v>
      </c>
      <c r="P2980" s="12" t="str">
        <f t="shared" si="107"/>
        <v>E_SPV</v>
      </c>
    </row>
    <row r="2981" spans="1:16" x14ac:dyDescent="0.35">
      <c r="A2981" t="s">
        <v>1586</v>
      </c>
      <c r="B2981" t="s">
        <v>72</v>
      </c>
      <c r="C2981" t="s">
        <v>45</v>
      </c>
      <c r="D2981" t="s">
        <v>1874</v>
      </c>
      <c r="E2981" t="s">
        <v>96</v>
      </c>
      <c r="F2981" t="s">
        <v>96</v>
      </c>
      <c r="G2981" t="s">
        <v>96</v>
      </c>
      <c r="H2981">
        <v>2010</v>
      </c>
      <c r="I2981" t="s">
        <v>96</v>
      </c>
      <c r="J2981" t="s">
        <v>97</v>
      </c>
      <c r="K2981" t="s">
        <v>96</v>
      </c>
      <c r="L2981" t="s">
        <v>96</v>
      </c>
      <c r="M2981">
        <v>2486.3000000000002</v>
      </c>
      <c r="O2981" s="12" t="str">
        <f t="shared" si="106"/>
        <v>CSA</v>
      </c>
      <c r="P2981" s="12" t="str">
        <f t="shared" si="107"/>
        <v>E_SPV</v>
      </c>
    </row>
    <row r="2982" spans="1:16" x14ac:dyDescent="0.35">
      <c r="A2982" t="s">
        <v>1586</v>
      </c>
      <c r="B2982" t="s">
        <v>72</v>
      </c>
      <c r="C2982" t="s">
        <v>45</v>
      </c>
      <c r="D2982" t="s">
        <v>1875</v>
      </c>
      <c r="E2982" t="s">
        <v>96</v>
      </c>
      <c r="F2982" t="s">
        <v>96</v>
      </c>
      <c r="G2982" t="s">
        <v>96</v>
      </c>
      <c r="H2982">
        <v>2010</v>
      </c>
      <c r="I2982" t="s">
        <v>96</v>
      </c>
      <c r="J2982" t="s">
        <v>97</v>
      </c>
      <c r="K2982" t="s">
        <v>96</v>
      </c>
      <c r="L2982" t="s">
        <v>96</v>
      </c>
      <c r="M2982">
        <v>2486.3000000000002</v>
      </c>
      <c r="O2982" s="12" t="str">
        <f t="shared" si="106"/>
        <v>CSA</v>
      </c>
      <c r="P2982" s="12" t="str">
        <f t="shared" si="107"/>
        <v>E_SPV</v>
      </c>
    </row>
    <row r="2983" spans="1:16" x14ac:dyDescent="0.35">
      <c r="A2983" t="s">
        <v>1586</v>
      </c>
      <c r="B2983" t="s">
        <v>72</v>
      </c>
      <c r="C2983" t="s">
        <v>45</v>
      </c>
      <c r="D2983" t="s">
        <v>1877</v>
      </c>
      <c r="E2983" t="s">
        <v>96</v>
      </c>
      <c r="F2983" t="s">
        <v>96</v>
      </c>
      <c r="G2983" t="s">
        <v>96</v>
      </c>
      <c r="H2983">
        <v>2010</v>
      </c>
      <c r="I2983" t="s">
        <v>96</v>
      </c>
      <c r="J2983" t="s">
        <v>97</v>
      </c>
      <c r="K2983" t="s">
        <v>96</v>
      </c>
      <c r="L2983" t="s">
        <v>96</v>
      </c>
      <c r="M2983">
        <v>2486.3000000000002</v>
      </c>
      <c r="O2983" s="12" t="str">
        <f t="shared" si="106"/>
        <v>CSA</v>
      </c>
      <c r="P2983" s="12" t="str">
        <f t="shared" si="107"/>
        <v>E_SPV</v>
      </c>
    </row>
    <row r="2984" spans="1:16" x14ac:dyDescent="0.35">
      <c r="A2984" t="s">
        <v>1586</v>
      </c>
      <c r="B2984" t="s">
        <v>72</v>
      </c>
      <c r="C2984" t="s">
        <v>45</v>
      </c>
      <c r="D2984" t="s">
        <v>1878</v>
      </c>
      <c r="E2984" t="s">
        <v>96</v>
      </c>
      <c r="F2984" t="s">
        <v>96</v>
      </c>
      <c r="G2984" t="s">
        <v>96</v>
      </c>
      <c r="H2984">
        <v>2010</v>
      </c>
      <c r="I2984" t="s">
        <v>96</v>
      </c>
      <c r="J2984" t="s">
        <v>97</v>
      </c>
      <c r="K2984" t="s">
        <v>96</v>
      </c>
      <c r="L2984" t="s">
        <v>96</v>
      </c>
      <c r="M2984">
        <v>2486.3000000000002</v>
      </c>
      <c r="O2984" s="12" t="str">
        <f t="shared" si="106"/>
        <v>CSA</v>
      </c>
      <c r="P2984" s="12" t="str">
        <f t="shared" si="107"/>
        <v>E_SPV</v>
      </c>
    </row>
    <row r="2985" spans="1:16" x14ac:dyDescent="0.35">
      <c r="A2985" t="s">
        <v>1586</v>
      </c>
      <c r="B2985" t="s">
        <v>72</v>
      </c>
      <c r="C2985" t="s">
        <v>45</v>
      </c>
      <c r="D2985" t="s">
        <v>1879</v>
      </c>
      <c r="E2985" t="s">
        <v>96</v>
      </c>
      <c r="F2985" t="s">
        <v>96</v>
      </c>
      <c r="G2985" t="s">
        <v>96</v>
      </c>
      <c r="H2985">
        <v>2010</v>
      </c>
      <c r="I2985" t="s">
        <v>96</v>
      </c>
      <c r="J2985" t="s">
        <v>97</v>
      </c>
      <c r="K2985" t="s">
        <v>96</v>
      </c>
      <c r="L2985" t="s">
        <v>96</v>
      </c>
      <c r="M2985">
        <v>2080</v>
      </c>
      <c r="O2985" s="12" t="str">
        <f t="shared" si="106"/>
        <v>CSA</v>
      </c>
      <c r="P2985" s="12" t="str">
        <f t="shared" si="107"/>
        <v>E_SPV</v>
      </c>
    </row>
    <row r="2986" spans="1:16" x14ac:dyDescent="0.35">
      <c r="A2986" t="s">
        <v>1586</v>
      </c>
      <c r="B2986" t="s">
        <v>72</v>
      </c>
      <c r="C2986" t="s">
        <v>45</v>
      </c>
      <c r="D2986" t="s">
        <v>1880</v>
      </c>
      <c r="E2986" t="s">
        <v>96</v>
      </c>
      <c r="F2986" t="s">
        <v>96</v>
      </c>
      <c r="G2986" t="s">
        <v>96</v>
      </c>
      <c r="H2986">
        <v>2010</v>
      </c>
      <c r="I2986" t="s">
        <v>96</v>
      </c>
      <c r="J2986" t="s">
        <v>97</v>
      </c>
      <c r="K2986" t="s">
        <v>96</v>
      </c>
      <c r="L2986" t="s">
        <v>96</v>
      </c>
      <c r="M2986">
        <v>1638</v>
      </c>
      <c r="O2986" s="12" t="str">
        <f t="shared" si="106"/>
        <v>CSA</v>
      </c>
      <c r="P2986" s="12" t="str">
        <f t="shared" si="107"/>
        <v>E_SPV</v>
      </c>
    </row>
    <row r="2987" spans="1:16" x14ac:dyDescent="0.35">
      <c r="A2987" t="s">
        <v>1586</v>
      </c>
      <c r="B2987" t="s">
        <v>72</v>
      </c>
      <c r="C2987" t="s">
        <v>45</v>
      </c>
      <c r="D2987" t="s">
        <v>1881</v>
      </c>
      <c r="E2987" t="s">
        <v>96</v>
      </c>
      <c r="F2987" t="s">
        <v>96</v>
      </c>
      <c r="G2987" t="s">
        <v>96</v>
      </c>
      <c r="H2987">
        <v>2010</v>
      </c>
      <c r="I2987" t="s">
        <v>96</v>
      </c>
      <c r="J2987" t="s">
        <v>97</v>
      </c>
      <c r="K2987" t="s">
        <v>96</v>
      </c>
      <c r="L2987" t="s">
        <v>96</v>
      </c>
      <c r="M2987">
        <v>1599</v>
      </c>
      <c r="O2987" s="12" t="str">
        <f t="shared" si="106"/>
        <v>CSA</v>
      </c>
      <c r="P2987" s="12" t="str">
        <f t="shared" si="107"/>
        <v>E_SPV</v>
      </c>
    </row>
    <row r="2988" spans="1:16" x14ac:dyDescent="0.35">
      <c r="A2988" t="s">
        <v>1586</v>
      </c>
      <c r="B2988" t="s">
        <v>72</v>
      </c>
      <c r="C2988" t="s">
        <v>45</v>
      </c>
      <c r="D2988" t="s">
        <v>1882</v>
      </c>
      <c r="E2988" t="s">
        <v>96</v>
      </c>
      <c r="F2988" t="s">
        <v>96</v>
      </c>
      <c r="G2988" t="s">
        <v>96</v>
      </c>
      <c r="H2988">
        <v>2010</v>
      </c>
      <c r="I2988" t="s">
        <v>96</v>
      </c>
      <c r="J2988" t="s">
        <v>97</v>
      </c>
      <c r="K2988" t="s">
        <v>96</v>
      </c>
      <c r="L2988" t="s">
        <v>96</v>
      </c>
      <c r="M2988">
        <v>2486.3000000000002</v>
      </c>
      <c r="O2988" s="12" t="str">
        <f t="shared" si="106"/>
        <v>CSA</v>
      </c>
      <c r="P2988" s="12" t="str">
        <f t="shared" si="107"/>
        <v>E_SPV</v>
      </c>
    </row>
    <row r="2989" spans="1:16" x14ac:dyDescent="0.35">
      <c r="A2989" t="s">
        <v>1586</v>
      </c>
      <c r="B2989" t="s">
        <v>72</v>
      </c>
      <c r="C2989" t="s">
        <v>45</v>
      </c>
      <c r="D2989" t="s">
        <v>1883</v>
      </c>
      <c r="E2989" t="s">
        <v>96</v>
      </c>
      <c r="F2989" t="s">
        <v>96</v>
      </c>
      <c r="G2989" t="s">
        <v>96</v>
      </c>
      <c r="H2989">
        <v>2010</v>
      </c>
      <c r="I2989" t="s">
        <v>96</v>
      </c>
      <c r="J2989" t="s">
        <v>97</v>
      </c>
      <c r="K2989" t="s">
        <v>96</v>
      </c>
      <c r="L2989" t="s">
        <v>96</v>
      </c>
      <c r="M2989">
        <v>2486.3000000000002</v>
      </c>
      <c r="O2989" s="12" t="str">
        <f t="shared" si="106"/>
        <v>CSA</v>
      </c>
      <c r="P2989" s="12" t="str">
        <f t="shared" si="107"/>
        <v>E_SPV</v>
      </c>
    </row>
    <row r="2990" spans="1:16" x14ac:dyDescent="0.35">
      <c r="A2990" t="s">
        <v>1586</v>
      </c>
      <c r="B2990" t="s">
        <v>72</v>
      </c>
      <c r="C2990" t="s">
        <v>45</v>
      </c>
      <c r="D2990" t="s">
        <v>1884</v>
      </c>
      <c r="E2990" t="s">
        <v>96</v>
      </c>
      <c r="F2990" t="s">
        <v>96</v>
      </c>
      <c r="G2990" t="s">
        <v>96</v>
      </c>
      <c r="H2990">
        <v>2010</v>
      </c>
      <c r="I2990" t="s">
        <v>96</v>
      </c>
      <c r="J2990" t="s">
        <v>97</v>
      </c>
      <c r="K2990" t="s">
        <v>96</v>
      </c>
      <c r="L2990" t="s">
        <v>96</v>
      </c>
      <c r="M2990">
        <v>1937</v>
      </c>
      <c r="O2990" s="12" t="str">
        <f t="shared" si="106"/>
        <v>CSA</v>
      </c>
      <c r="P2990" s="12" t="str">
        <f t="shared" si="107"/>
        <v>E_SPV</v>
      </c>
    </row>
    <row r="2991" spans="1:16" x14ac:dyDescent="0.35">
      <c r="A2991" t="s">
        <v>1586</v>
      </c>
      <c r="B2991" t="s">
        <v>72</v>
      </c>
      <c r="C2991" t="s">
        <v>45</v>
      </c>
      <c r="D2991" t="s">
        <v>1885</v>
      </c>
      <c r="E2991" t="s">
        <v>96</v>
      </c>
      <c r="F2991" t="s">
        <v>96</v>
      </c>
      <c r="G2991" t="s">
        <v>96</v>
      </c>
      <c r="H2991">
        <v>2010</v>
      </c>
      <c r="I2991" t="s">
        <v>96</v>
      </c>
      <c r="J2991" t="s">
        <v>97</v>
      </c>
      <c r="K2991" t="s">
        <v>96</v>
      </c>
      <c r="L2991" t="s">
        <v>96</v>
      </c>
      <c r="M2991">
        <v>2486.3000000000002</v>
      </c>
      <c r="O2991" s="12" t="str">
        <f t="shared" si="106"/>
        <v>CSA</v>
      </c>
      <c r="P2991" s="12" t="str">
        <f t="shared" si="107"/>
        <v>E_SPV</v>
      </c>
    </row>
    <row r="2992" spans="1:16" x14ac:dyDescent="0.35">
      <c r="A2992" t="s">
        <v>1586</v>
      </c>
      <c r="B2992" t="s">
        <v>72</v>
      </c>
      <c r="C2992" t="s">
        <v>45</v>
      </c>
      <c r="D2992" t="s">
        <v>1886</v>
      </c>
      <c r="E2992" t="s">
        <v>96</v>
      </c>
      <c r="F2992" t="s">
        <v>96</v>
      </c>
      <c r="G2992" t="s">
        <v>96</v>
      </c>
      <c r="H2992">
        <v>2010</v>
      </c>
      <c r="I2992" t="s">
        <v>96</v>
      </c>
      <c r="J2992" t="s">
        <v>97</v>
      </c>
      <c r="K2992" t="s">
        <v>96</v>
      </c>
      <c r="L2992" t="s">
        <v>96</v>
      </c>
      <c r="M2992">
        <v>2486.3000000000002</v>
      </c>
      <c r="O2992" s="12" t="str">
        <f t="shared" si="106"/>
        <v>CSA</v>
      </c>
      <c r="P2992" s="12" t="str">
        <f t="shared" si="107"/>
        <v>E_SPV</v>
      </c>
    </row>
    <row r="2993" spans="1:16" x14ac:dyDescent="0.35">
      <c r="A2993" t="s">
        <v>1586</v>
      </c>
      <c r="B2993" t="s">
        <v>72</v>
      </c>
      <c r="C2993" t="s">
        <v>45</v>
      </c>
      <c r="D2993" t="s">
        <v>1887</v>
      </c>
      <c r="E2993" t="s">
        <v>96</v>
      </c>
      <c r="F2993" t="s">
        <v>96</v>
      </c>
      <c r="G2993" t="s">
        <v>96</v>
      </c>
      <c r="H2993">
        <v>2010</v>
      </c>
      <c r="I2993" t="s">
        <v>96</v>
      </c>
      <c r="J2993" t="s">
        <v>97</v>
      </c>
      <c r="K2993" t="s">
        <v>96</v>
      </c>
      <c r="L2993" t="s">
        <v>96</v>
      </c>
      <c r="M2993">
        <v>1235</v>
      </c>
      <c r="O2993" s="12" t="str">
        <f t="shared" si="106"/>
        <v>CSA</v>
      </c>
      <c r="P2993" s="12" t="str">
        <f t="shared" si="107"/>
        <v>E_SPV</v>
      </c>
    </row>
    <row r="2994" spans="1:16" x14ac:dyDescent="0.35">
      <c r="A2994" t="s">
        <v>1586</v>
      </c>
      <c r="B2994" t="s">
        <v>72</v>
      </c>
      <c r="C2994" t="s">
        <v>45</v>
      </c>
      <c r="D2994" t="s">
        <v>1888</v>
      </c>
      <c r="E2994" t="s">
        <v>96</v>
      </c>
      <c r="F2994" t="s">
        <v>96</v>
      </c>
      <c r="G2994" t="s">
        <v>96</v>
      </c>
      <c r="H2994">
        <v>2010</v>
      </c>
      <c r="I2994" t="s">
        <v>96</v>
      </c>
      <c r="J2994" t="s">
        <v>97</v>
      </c>
      <c r="K2994" t="s">
        <v>96</v>
      </c>
      <c r="L2994" t="s">
        <v>96</v>
      </c>
      <c r="M2994">
        <v>1443</v>
      </c>
      <c r="O2994" s="12" t="str">
        <f t="shared" si="106"/>
        <v>CSA</v>
      </c>
      <c r="P2994" s="12" t="str">
        <f t="shared" si="107"/>
        <v>E_SPV</v>
      </c>
    </row>
    <row r="2995" spans="1:16" x14ac:dyDescent="0.35">
      <c r="A2995" t="s">
        <v>1586</v>
      </c>
      <c r="B2995" t="s">
        <v>72</v>
      </c>
      <c r="C2995" t="s">
        <v>45</v>
      </c>
      <c r="D2995" t="s">
        <v>1889</v>
      </c>
      <c r="E2995" t="s">
        <v>96</v>
      </c>
      <c r="F2995" t="s">
        <v>96</v>
      </c>
      <c r="G2995" t="s">
        <v>96</v>
      </c>
      <c r="H2995">
        <v>2010</v>
      </c>
      <c r="I2995" t="s">
        <v>96</v>
      </c>
      <c r="J2995" t="s">
        <v>97</v>
      </c>
      <c r="K2995" t="s">
        <v>96</v>
      </c>
      <c r="L2995" t="s">
        <v>96</v>
      </c>
      <c r="M2995">
        <v>2486.3000000000002</v>
      </c>
      <c r="O2995" s="12" t="str">
        <f t="shared" si="106"/>
        <v>CSA</v>
      </c>
      <c r="P2995" s="12" t="str">
        <f t="shared" si="107"/>
        <v>E_SPV</v>
      </c>
    </row>
    <row r="2996" spans="1:16" x14ac:dyDescent="0.35">
      <c r="A2996" t="s">
        <v>1586</v>
      </c>
      <c r="B2996" t="s">
        <v>72</v>
      </c>
      <c r="C2996" t="s">
        <v>45</v>
      </c>
      <c r="D2996" t="s">
        <v>1890</v>
      </c>
      <c r="E2996" t="s">
        <v>96</v>
      </c>
      <c r="F2996" t="s">
        <v>96</v>
      </c>
      <c r="G2996" t="s">
        <v>96</v>
      </c>
      <c r="H2996">
        <v>2010</v>
      </c>
      <c r="I2996" t="s">
        <v>96</v>
      </c>
      <c r="J2996" t="s">
        <v>97</v>
      </c>
      <c r="K2996" t="s">
        <v>96</v>
      </c>
      <c r="L2996" t="s">
        <v>96</v>
      </c>
      <c r="M2996">
        <v>2486.3000000000002</v>
      </c>
      <c r="O2996" s="12" t="str">
        <f t="shared" si="106"/>
        <v>CSA</v>
      </c>
      <c r="P2996" s="12" t="str">
        <f t="shared" si="107"/>
        <v>E_SPV</v>
      </c>
    </row>
    <row r="2997" spans="1:16" x14ac:dyDescent="0.35">
      <c r="A2997" t="s">
        <v>1586</v>
      </c>
      <c r="B2997" t="s">
        <v>72</v>
      </c>
      <c r="C2997" t="s">
        <v>45</v>
      </c>
      <c r="D2997" t="s">
        <v>1891</v>
      </c>
      <c r="E2997" t="s">
        <v>96</v>
      </c>
      <c r="F2997" t="s">
        <v>96</v>
      </c>
      <c r="G2997" t="s">
        <v>96</v>
      </c>
      <c r="H2997">
        <v>2010</v>
      </c>
      <c r="I2997" t="s">
        <v>96</v>
      </c>
      <c r="J2997" t="s">
        <v>97</v>
      </c>
      <c r="K2997" t="s">
        <v>96</v>
      </c>
      <c r="L2997" t="s">
        <v>96</v>
      </c>
      <c r="M2997">
        <v>2486.3000000000002</v>
      </c>
      <c r="O2997" s="12" t="str">
        <f t="shared" si="106"/>
        <v>CSA</v>
      </c>
      <c r="P2997" s="12" t="str">
        <f t="shared" si="107"/>
        <v>E_SPV</v>
      </c>
    </row>
    <row r="2998" spans="1:16" x14ac:dyDescent="0.35">
      <c r="A2998" t="s">
        <v>1586</v>
      </c>
      <c r="B2998" t="s">
        <v>72</v>
      </c>
      <c r="C2998" t="s">
        <v>45</v>
      </c>
      <c r="D2998" t="s">
        <v>1892</v>
      </c>
      <c r="E2998" t="s">
        <v>96</v>
      </c>
      <c r="F2998" t="s">
        <v>96</v>
      </c>
      <c r="G2998" t="s">
        <v>96</v>
      </c>
      <c r="H2998">
        <v>2010</v>
      </c>
      <c r="I2998" t="s">
        <v>96</v>
      </c>
      <c r="J2998" t="s">
        <v>97</v>
      </c>
      <c r="K2998" t="s">
        <v>96</v>
      </c>
      <c r="L2998" t="s">
        <v>96</v>
      </c>
      <c r="M2998">
        <v>1443</v>
      </c>
      <c r="O2998" s="12" t="str">
        <f t="shared" si="106"/>
        <v>CSA</v>
      </c>
      <c r="P2998" s="12" t="str">
        <f t="shared" si="107"/>
        <v>E_SPV</v>
      </c>
    </row>
    <row r="2999" spans="1:16" x14ac:dyDescent="0.35">
      <c r="A2999" t="s">
        <v>1586</v>
      </c>
      <c r="B2999" t="s">
        <v>72</v>
      </c>
      <c r="C2999" t="s">
        <v>45</v>
      </c>
      <c r="D2999" t="s">
        <v>1893</v>
      </c>
      <c r="E2999" t="s">
        <v>96</v>
      </c>
      <c r="F2999" t="s">
        <v>96</v>
      </c>
      <c r="G2999" t="s">
        <v>96</v>
      </c>
      <c r="H2999">
        <v>2010</v>
      </c>
      <c r="I2999" t="s">
        <v>96</v>
      </c>
      <c r="J2999" t="s">
        <v>97</v>
      </c>
      <c r="K2999" t="s">
        <v>96</v>
      </c>
      <c r="L2999" t="s">
        <v>96</v>
      </c>
      <c r="M2999">
        <v>2486.3000000000002</v>
      </c>
      <c r="O2999" s="12" t="str">
        <f t="shared" si="106"/>
        <v>CSA</v>
      </c>
      <c r="P2999" s="12" t="str">
        <f t="shared" si="107"/>
        <v>E_SPV</v>
      </c>
    </row>
    <row r="3000" spans="1:16" x14ac:dyDescent="0.35">
      <c r="A3000" t="s">
        <v>1586</v>
      </c>
      <c r="B3000" t="s">
        <v>72</v>
      </c>
      <c r="C3000" t="s">
        <v>45</v>
      </c>
      <c r="D3000" t="s">
        <v>1894</v>
      </c>
      <c r="E3000" t="s">
        <v>96</v>
      </c>
      <c r="F3000" t="s">
        <v>96</v>
      </c>
      <c r="G3000" t="s">
        <v>96</v>
      </c>
      <c r="H3000">
        <v>2010</v>
      </c>
      <c r="I3000" t="s">
        <v>96</v>
      </c>
      <c r="J3000" t="s">
        <v>97</v>
      </c>
      <c r="K3000" t="s">
        <v>96</v>
      </c>
      <c r="L3000" t="s">
        <v>96</v>
      </c>
      <c r="M3000">
        <v>2486.3000000000002</v>
      </c>
      <c r="O3000" s="12" t="str">
        <f t="shared" si="106"/>
        <v>CSA</v>
      </c>
      <c r="P3000" s="12" t="str">
        <f t="shared" si="107"/>
        <v>E_SPV</v>
      </c>
    </row>
    <row r="3001" spans="1:16" x14ac:dyDescent="0.35">
      <c r="A3001" t="s">
        <v>1586</v>
      </c>
      <c r="B3001" t="s">
        <v>72</v>
      </c>
      <c r="C3001" t="s">
        <v>45</v>
      </c>
      <c r="D3001" t="s">
        <v>1895</v>
      </c>
      <c r="E3001" t="s">
        <v>96</v>
      </c>
      <c r="F3001" t="s">
        <v>96</v>
      </c>
      <c r="G3001" t="s">
        <v>96</v>
      </c>
      <c r="H3001">
        <v>2010</v>
      </c>
      <c r="I3001" t="s">
        <v>96</v>
      </c>
      <c r="J3001" t="s">
        <v>97</v>
      </c>
      <c r="K3001" t="s">
        <v>96</v>
      </c>
      <c r="L3001" t="s">
        <v>96</v>
      </c>
      <c r="M3001">
        <v>2486.3000000000002</v>
      </c>
      <c r="O3001" s="12" t="str">
        <f t="shared" si="106"/>
        <v>CSA</v>
      </c>
      <c r="P3001" s="12" t="str">
        <f t="shared" si="107"/>
        <v>E_SPV</v>
      </c>
    </row>
    <row r="3002" spans="1:16" x14ac:dyDescent="0.35">
      <c r="A3002" t="s">
        <v>1586</v>
      </c>
      <c r="B3002" t="s">
        <v>72</v>
      </c>
      <c r="C3002" t="s">
        <v>45</v>
      </c>
      <c r="D3002" t="s">
        <v>1897</v>
      </c>
      <c r="E3002" t="s">
        <v>96</v>
      </c>
      <c r="F3002" t="s">
        <v>96</v>
      </c>
      <c r="G3002" t="s">
        <v>96</v>
      </c>
      <c r="H3002">
        <v>2010</v>
      </c>
      <c r="I3002" t="s">
        <v>96</v>
      </c>
      <c r="J3002" t="s">
        <v>97</v>
      </c>
      <c r="K3002" t="s">
        <v>96</v>
      </c>
      <c r="L3002" t="s">
        <v>96</v>
      </c>
      <c r="M3002">
        <v>2486.3000000000002</v>
      </c>
      <c r="O3002" s="12" t="str">
        <f t="shared" si="106"/>
        <v>CSA</v>
      </c>
      <c r="P3002" s="12" t="str">
        <f t="shared" si="107"/>
        <v>E_SPV</v>
      </c>
    </row>
    <row r="3003" spans="1:16" x14ac:dyDescent="0.35">
      <c r="A3003" t="s">
        <v>1586</v>
      </c>
      <c r="B3003" t="s">
        <v>72</v>
      </c>
      <c r="C3003" t="s">
        <v>45</v>
      </c>
      <c r="D3003" t="s">
        <v>1898</v>
      </c>
      <c r="E3003" t="s">
        <v>96</v>
      </c>
      <c r="F3003" t="s">
        <v>96</v>
      </c>
      <c r="G3003" t="s">
        <v>96</v>
      </c>
      <c r="H3003">
        <v>2010</v>
      </c>
      <c r="I3003" t="s">
        <v>96</v>
      </c>
      <c r="J3003" t="s">
        <v>97</v>
      </c>
      <c r="K3003" t="s">
        <v>96</v>
      </c>
      <c r="L3003" t="s">
        <v>96</v>
      </c>
      <c r="M3003">
        <v>2486.3000000000002</v>
      </c>
      <c r="O3003" s="12" t="str">
        <f t="shared" si="106"/>
        <v>CSA</v>
      </c>
      <c r="P3003" s="12" t="str">
        <f t="shared" si="107"/>
        <v>E_SPV</v>
      </c>
    </row>
    <row r="3004" spans="1:16" x14ac:dyDescent="0.35">
      <c r="A3004" t="s">
        <v>1586</v>
      </c>
      <c r="B3004" t="s">
        <v>72</v>
      </c>
      <c r="C3004" t="s">
        <v>45</v>
      </c>
      <c r="D3004" t="s">
        <v>1899</v>
      </c>
      <c r="E3004" t="s">
        <v>96</v>
      </c>
      <c r="F3004" t="s">
        <v>96</v>
      </c>
      <c r="G3004" t="s">
        <v>96</v>
      </c>
      <c r="H3004">
        <v>2010</v>
      </c>
      <c r="I3004" t="s">
        <v>96</v>
      </c>
      <c r="J3004" t="s">
        <v>97</v>
      </c>
      <c r="K3004" t="s">
        <v>96</v>
      </c>
      <c r="L3004" t="s">
        <v>96</v>
      </c>
      <c r="M3004">
        <v>2080</v>
      </c>
      <c r="O3004" s="12" t="str">
        <f t="shared" si="106"/>
        <v>CSA</v>
      </c>
      <c r="P3004" s="12" t="str">
        <f t="shared" si="107"/>
        <v>E_SPV</v>
      </c>
    </row>
    <row r="3005" spans="1:16" x14ac:dyDescent="0.35">
      <c r="A3005" t="s">
        <v>1586</v>
      </c>
      <c r="B3005" t="s">
        <v>72</v>
      </c>
      <c r="C3005" t="s">
        <v>45</v>
      </c>
      <c r="D3005" t="s">
        <v>1900</v>
      </c>
      <c r="E3005" t="s">
        <v>96</v>
      </c>
      <c r="F3005" t="s">
        <v>96</v>
      </c>
      <c r="G3005" t="s">
        <v>96</v>
      </c>
      <c r="H3005">
        <v>2010</v>
      </c>
      <c r="I3005" t="s">
        <v>96</v>
      </c>
      <c r="J3005" t="s">
        <v>97</v>
      </c>
      <c r="K3005" t="s">
        <v>96</v>
      </c>
      <c r="L3005" t="s">
        <v>96</v>
      </c>
      <c r="M3005">
        <v>1599</v>
      </c>
      <c r="O3005" s="12" t="str">
        <f t="shared" si="106"/>
        <v>CSA</v>
      </c>
      <c r="P3005" s="12" t="str">
        <f t="shared" si="107"/>
        <v>E_SPV</v>
      </c>
    </row>
    <row r="3006" spans="1:16" x14ac:dyDescent="0.35">
      <c r="A3006" t="s">
        <v>1586</v>
      </c>
      <c r="B3006" t="s">
        <v>72</v>
      </c>
      <c r="C3006" t="s">
        <v>45</v>
      </c>
      <c r="D3006" t="s">
        <v>1901</v>
      </c>
      <c r="E3006" t="s">
        <v>96</v>
      </c>
      <c r="F3006" t="s">
        <v>96</v>
      </c>
      <c r="G3006" t="s">
        <v>96</v>
      </c>
      <c r="H3006">
        <v>2010</v>
      </c>
      <c r="I3006" t="s">
        <v>96</v>
      </c>
      <c r="J3006" t="s">
        <v>97</v>
      </c>
      <c r="K3006" t="s">
        <v>96</v>
      </c>
      <c r="L3006" t="s">
        <v>96</v>
      </c>
      <c r="M3006">
        <v>2486.3000000000002</v>
      </c>
      <c r="O3006" s="12" t="str">
        <f t="shared" si="106"/>
        <v>CSA</v>
      </c>
      <c r="P3006" s="12" t="str">
        <f t="shared" si="107"/>
        <v>E_SPV</v>
      </c>
    </row>
    <row r="3007" spans="1:16" x14ac:dyDescent="0.35">
      <c r="A3007" t="s">
        <v>1586</v>
      </c>
      <c r="B3007" t="s">
        <v>72</v>
      </c>
      <c r="C3007" t="s">
        <v>45</v>
      </c>
      <c r="D3007" t="s">
        <v>1902</v>
      </c>
      <c r="E3007" t="s">
        <v>96</v>
      </c>
      <c r="F3007" t="s">
        <v>96</v>
      </c>
      <c r="G3007" t="s">
        <v>96</v>
      </c>
      <c r="H3007">
        <v>2010</v>
      </c>
      <c r="I3007" t="s">
        <v>96</v>
      </c>
      <c r="J3007" t="s">
        <v>97</v>
      </c>
      <c r="K3007" t="s">
        <v>96</v>
      </c>
      <c r="L3007" t="s">
        <v>96</v>
      </c>
      <c r="M3007">
        <v>2486.3000000000002</v>
      </c>
      <c r="O3007" s="12" t="str">
        <f t="shared" si="106"/>
        <v>CSA</v>
      </c>
      <c r="P3007" s="12" t="str">
        <f t="shared" si="107"/>
        <v>E_SPV</v>
      </c>
    </row>
    <row r="3008" spans="1:16" x14ac:dyDescent="0.35">
      <c r="A3008" t="s">
        <v>1586</v>
      </c>
      <c r="B3008" t="s">
        <v>72</v>
      </c>
      <c r="C3008" t="s">
        <v>45</v>
      </c>
      <c r="D3008" t="s">
        <v>1903</v>
      </c>
      <c r="E3008" t="s">
        <v>96</v>
      </c>
      <c r="F3008" t="s">
        <v>96</v>
      </c>
      <c r="G3008" t="s">
        <v>96</v>
      </c>
      <c r="H3008">
        <v>2010</v>
      </c>
      <c r="I3008" t="s">
        <v>96</v>
      </c>
      <c r="J3008" t="s">
        <v>97</v>
      </c>
      <c r="K3008" t="s">
        <v>96</v>
      </c>
      <c r="L3008" t="s">
        <v>96</v>
      </c>
      <c r="M3008">
        <v>1937</v>
      </c>
      <c r="O3008" s="12" t="str">
        <f t="shared" si="106"/>
        <v>CSA</v>
      </c>
      <c r="P3008" s="12" t="str">
        <f t="shared" si="107"/>
        <v>E_SPV</v>
      </c>
    </row>
    <row r="3009" spans="1:16" x14ac:dyDescent="0.35">
      <c r="A3009" t="s">
        <v>1586</v>
      </c>
      <c r="B3009" t="s">
        <v>72</v>
      </c>
      <c r="C3009" t="s">
        <v>45</v>
      </c>
      <c r="D3009" t="s">
        <v>1904</v>
      </c>
      <c r="E3009" t="s">
        <v>96</v>
      </c>
      <c r="F3009" t="s">
        <v>96</v>
      </c>
      <c r="G3009" t="s">
        <v>96</v>
      </c>
      <c r="H3009">
        <v>2010</v>
      </c>
      <c r="I3009" t="s">
        <v>96</v>
      </c>
      <c r="J3009" t="s">
        <v>97</v>
      </c>
      <c r="K3009" t="s">
        <v>96</v>
      </c>
      <c r="L3009" t="s">
        <v>96</v>
      </c>
      <c r="M3009">
        <v>2486.3000000000002</v>
      </c>
      <c r="O3009" s="12" t="str">
        <f t="shared" si="106"/>
        <v>CSA</v>
      </c>
      <c r="P3009" s="12" t="str">
        <f t="shared" si="107"/>
        <v>E_SPV</v>
      </c>
    </row>
    <row r="3010" spans="1:16" x14ac:dyDescent="0.35">
      <c r="A3010" t="s">
        <v>1586</v>
      </c>
      <c r="B3010" t="s">
        <v>72</v>
      </c>
      <c r="C3010" t="s">
        <v>45</v>
      </c>
      <c r="D3010" t="s">
        <v>1905</v>
      </c>
      <c r="E3010" t="s">
        <v>96</v>
      </c>
      <c r="F3010" t="s">
        <v>96</v>
      </c>
      <c r="G3010" t="s">
        <v>96</v>
      </c>
      <c r="H3010">
        <v>2010</v>
      </c>
      <c r="I3010" t="s">
        <v>96</v>
      </c>
      <c r="J3010" t="s">
        <v>97</v>
      </c>
      <c r="K3010" t="s">
        <v>96</v>
      </c>
      <c r="L3010" t="s">
        <v>96</v>
      </c>
      <c r="M3010">
        <v>2486.3000000000002</v>
      </c>
      <c r="O3010" s="12" t="str">
        <f t="shared" si="106"/>
        <v>CSA</v>
      </c>
      <c r="P3010" s="12" t="str">
        <f t="shared" si="107"/>
        <v>E_SPV</v>
      </c>
    </row>
    <row r="3011" spans="1:16" x14ac:dyDescent="0.35">
      <c r="A3011" t="s">
        <v>1586</v>
      </c>
      <c r="B3011" t="s">
        <v>72</v>
      </c>
      <c r="C3011" t="s">
        <v>45</v>
      </c>
      <c r="D3011" t="s">
        <v>1906</v>
      </c>
      <c r="E3011" t="s">
        <v>96</v>
      </c>
      <c r="F3011" t="s">
        <v>96</v>
      </c>
      <c r="G3011" t="s">
        <v>96</v>
      </c>
      <c r="H3011">
        <v>2010</v>
      </c>
      <c r="I3011" t="s">
        <v>96</v>
      </c>
      <c r="J3011" t="s">
        <v>97</v>
      </c>
      <c r="K3011" t="s">
        <v>96</v>
      </c>
      <c r="L3011" t="s">
        <v>96</v>
      </c>
      <c r="M3011">
        <v>2486.3000000000002</v>
      </c>
      <c r="O3011" s="12" t="str">
        <f t="shared" ref="O3011:O3074" si="108">LEFT(B3011,3)</f>
        <v>CSA</v>
      </c>
      <c r="P3011" s="12" t="str">
        <f t="shared" ref="P3011:P3074" si="109">LEFT(D3011,5)</f>
        <v>E_SPV</v>
      </c>
    </row>
    <row r="3012" spans="1:16" x14ac:dyDescent="0.35">
      <c r="A3012" t="s">
        <v>1586</v>
      </c>
      <c r="B3012" t="s">
        <v>72</v>
      </c>
      <c r="C3012" t="s">
        <v>45</v>
      </c>
      <c r="D3012" t="s">
        <v>1907</v>
      </c>
      <c r="E3012" t="s">
        <v>96</v>
      </c>
      <c r="F3012" t="s">
        <v>96</v>
      </c>
      <c r="G3012" t="s">
        <v>96</v>
      </c>
      <c r="H3012">
        <v>2010</v>
      </c>
      <c r="I3012" t="s">
        <v>96</v>
      </c>
      <c r="J3012" t="s">
        <v>97</v>
      </c>
      <c r="K3012" t="s">
        <v>96</v>
      </c>
      <c r="L3012" t="s">
        <v>96</v>
      </c>
      <c r="M3012">
        <v>1235</v>
      </c>
      <c r="O3012" s="12" t="str">
        <f t="shared" si="108"/>
        <v>CSA</v>
      </c>
      <c r="P3012" s="12" t="str">
        <f t="shared" si="109"/>
        <v>E_SPV</v>
      </c>
    </row>
    <row r="3013" spans="1:16" x14ac:dyDescent="0.35">
      <c r="A3013" t="s">
        <v>1586</v>
      </c>
      <c r="B3013" t="s">
        <v>72</v>
      </c>
      <c r="C3013" t="s">
        <v>45</v>
      </c>
      <c r="D3013" t="s">
        <v>1908</v>
      </c>
      <c r="E3013" t="s">
        <v>96</v>
      </c>
      <c r="F3013" t="s">
        <v>96</v>
      </c>
      <c r="G3013" t="s">
        <v>96</v>
      </c>
      <c r="H3013">
        <v>2010</v>
      </c>
      <c r="I3013" t="s">
        <v>96</v>
      </c>
      <c r="J3013" t="s">
        <v>97</v>
      </c>
      <c r="K3013" t="s">
        <v>96</v>
      </c>
      <c r="L3013" t="s">
        <v>96</v>
      </c>
      <c r="M3013">
        <v>1443</v>
      </c>
      <c r="O3013" s="12" t="str">
        <f t="shared" si="108"/>
        <v>CSA</v>
      </c>
      <c r="P3013" s="12" t="str">
        <f t="shared" si="109"/>
        <v>E_SPV</v>
      </c>
    </row>
    <row r="3014" spans="1:16" x14ac:dyDescent="0.35">
      <c r="A3014" t="s">
        <v>1586</v>
      </c>
      <c r="B3014" t="s">
        <v>72</v>
      </c>
      <c r="C3014" t="s">
        <v>45</v>
      </c>
      <c r="D3014" t="s">
        <v>1910</v>
      </c>
      <c r="E3014" t="s">
        <v>96</v>
      </c>
      <c r="F3014" t="s">
        <v>96</v>
      </c>
      <c r="G3014" t="s">
        <v>96</v>
      </c>
      <c r="H3014">
        <v>2010</v>
      </c>
      <c r="I3014" t="s">
        <v>96</v>
      </c>
      <c r="J3014" t="s">
        <v>97</v>
      </c>
      <c r="K3014" t="s">
        <v>96</v>
      </c>
      <c r="L3014" t="s">
        <v>96</v>
      </c>
      <c r="M3014">
        <v>2486.3000000000002</v>
      </c>
      <c r="O3014" s="12" t="str">
        <f t="shared" si="108"/>
        <v>CSA</v>
      </c>
      <c r="P3014" s="12" t="str">
        <f t="shared" si="109"/>
        <v>E_SPV</v>
      </c>
    </row>
    <row r="3015" spans="1:16" x14ac:dyDescent="0.35">
      <c r="A3015" t="s">
        <v>1586</v>
      </c>
      <c r="B3015" t="s">
        <v>72</v>
      </c>
      <c r="C3015" t="s">
        <v>45</v>
      </c>
      <c r="D3015" t="s">
        <v>1911</v>
      </c>
      <c r="E3015" t="s">
        <v>96</v>
      </c>
      <c r="F3015" t="s">
        <v>96</v>
      </c>
      <c r="G3015" t="s">
        <v>96</v>
      </c>
      <c r="H3015">
        <v>2010</v>
      </c>
      <c r="I3015" t="s">
        <v>96</v>
      </c>
      <c r="J3015" t="s">
        <v>97</v>
      </c>
      <c r="K3015" t="s">
        <v>96</v>
      </c>
      <c r="L3015" t="s">
        <v>96</v>
      </c>
      <c r="M3015">
        <v>2486.3000000000002</v>
      </c>
      <c r="O3015" s="12" t="str">
        <f t="shared" si="108"/>
        <v>CSA</v>
      </c>
      <c r="P3015" s="12" t="str">
        <f t="shared" si="109"/>
        <v>E_SPV</v>
      </c>
    </row>
    <row r="3016" spans="1:16" x14ac:dyDescent="0.35">
      <c r="A3016" t="s">
        <v>1586</v>
      </c>
      <c r="B3016" t="s">
        <v>72</v>
      </c>
      <c r="C3016" t="s">
        <v>45</v>
      </c>
      <c r="D3016" t="s">
        <v>1912</v>
      </c>
      <c r="E3016" t="s">
        <v>96</v>
      </c>
      <c r="F3016" t="s">
        <v>96</v>
      </c>
      <c r="G3016" t="s">
        <v>96</v>
      </c>
      <c r="H3016">
        <v>2010</v>
      </c>
      <c r="I3016" t="s">
        <v>96</v>
      </c>
      <c r="J3016" t="s">
        <v>97</v>
      </c>
      <c r="K3016" t="s">
        <v>96</v>
      </c>
      <c r="L3016" t="s">
        <v>96</v>
      </c>
      <c r="M3016">
        <v>1443</v>
      </c>
      <c r="O3016" s="12" t="str">
        <f t="shared" si="108"/>
        <v>CSA</v>
      </c>
      <c r="P3016" s="12" t="str">
        <f t="shared" si="109"/>
        <v>E_SPV</v>
      </c>
    </row>
    <row r="3017" spans="1:16" x14ac:dyDescent="0.35">
      <c r="A3017" t="s">
        <v>1586</v>
      </c>
      <c r="B3017" t="s">
        <v>72</v>
      </c>
      <c r="C3017" t="s">
        <v>45</v>
      </c>
      <c r="D3017" t="s">
        <v>1913</v>
      </c>
      <c r="E3017" t="s">
        <v>96</v>
      </c>
      <c r="F3017" t="s">
        <v>96</v>
      </c>
      <c r="G3017" t="s">
        <v>96</v>
      </c>
      <c r="H3017">
        <v>2010</v>
      </c>
      <c r="I3017" t="s">
        <v>96</v>
      </c>
      <c r="J3017" t="s">
        <v>97</v>
      </c>
      <c r="K3017" t="s">
        <v>96</v>
      </c>
      <c r="L3017" t="s">
        <v>96</v>
      </c>
      <c r="M3017">
        <v>2486.3000000000002</v>
      </c>
      <c r="O3017" s="12" t="str">
        <f t="shared" si="108"/>
        <v>CSA</v>
      </c>
      <c r="P3017" s="12" t="str">
        <f t="shared" si="109"/>
        <v>E_SPV</v>
      </c>
    </row>
    <row r="3018" spans="1:16" x14ac:dyDescent="0.35">
      <c r="A3018" t="s">
        <v>1586</v>
      </c>
      <c r="B3018" t="s">
        <v>72</v>
      </c>
      <c r="C3018" t="s">
        <v>45</v>
      </c>
      <c r="D3018" t="s">
        <v>1914</v>
      </c>
      <c r="E3018" t="s">
        <v>96</v>
      </c>
      <c r="F3018" t="s">
        <v>96</v>
      </c>
      <c r="G3018" t="s">
        <v>96</v>
      </c>
      <c r="H3018">
        <v>2010</v>
      </c>
      <c r="I3018" t="s">
        <v>96</v>
      </c>
      <c r="J3018" t="s">
        <v>97</v>
      </c>
      <c r="K3018" t="s">
        <v>96</v>
      </c>
      <c r="L3018" t="s">
        <v>96</v>
      </c>
      <c r="M3018">
        <v>2486.3000000000002</v>
      </c>
      <c r="O3018" s="12" t="str">
        <f t="shared" si="108"/>
        <v>CSA</v>
      </c>
      <c r="P3018" s="12" t="str">
        <f t="shared" si="109"/>
        <v>E_SPV</v>
      </c>
    </row>
    <row r="3019" spans="1:16" x14ac:dyDescent="0.35">
      <c r="A3019" t="s">
        <v>1586</v>
      </c>
      <c r="B3019" t="s">
        <v>72</v>
      </c>
      <c r="C3019" t="s">
        <v>45</v>
      </c>
      <c r="D3019" t="s">
        <v>1915</v>
      </c>
      <c r="E3019" t="s">
        <v>96</v>
      </c>
      <c r="F3019" t="s">
        <v>96</v>
      </c>
      <c r="G3019" t="s">
        <v>96</v>
      </c>
      <c r="H3019">
        <v>2010</v>
      </c>
      <c r="I3019" t="s">
        <v>96</v>
      </c>
      <c r="J3019" t="s">
        <v>97</v>
      </c>
      <c r="K3019" t="s">
        <v>96</v>
      </c>
      <c r="L3019" t="s">
        <v>96</v>
      </c>
      <c r="M3019">
        <v>1443</v>
      </c>
      <c r="O3019" s="12" t="str">
        <f t="shared" si="108"/>
        <v>CSA</v>
      </c>
      <c r="P3019" s="12" t="str">
        <f t="shared" si="109"/>
        <v>E_SPV</v>
      </c>
    </row>
    <row r="3020" spans="1:16" x14ac:dyDescent="0.35">
      <c r="A3020" t="s">
        <v>1586</v>
      </c>
      <c r="B3020" t="s">
        <v>72</v>
      </c>
      <c r="C3020" t="s">
        <v>45</v>
      </c>
      <c r="D3020" t="s">
        <v>1916</v>
      </c>
      <c r="E3020" t="s">
        <v>96</v>
      </c>
      <c r="F3020" t="s">
        <v>96</v>
      </c>
      <c r="G3020" t="s">
        <v>96</v>
      </c>
      <c r="H3020">
        <v>2010</v>
      </c>
      <c r="I3020" t="s">
        <v>96</v>
      </c>
      <c r="J3020" t="s">
        <v>97</v>
      </c>
      <c r="K3020" t="s">
        <v>96</v>
      </c>
      <c r="L3020" t="s">
        <v>96</v>
      </c>
      <c r="M3020">
        <v>2486.3000000000002</v>
      </c>
      <c r="O3020" s="12" t="str">
        <f t="shared" si="108"/>
        <v>CSA</v>
      </c>
      <c r="P3020" s="12" t="str">
        <f t="shared" si="109"/>
        <v>E_SPV</v>
      </c>
    </row>
    <row r="3021" spans="1:16" x14ac:dyDescent="0.35">
      <c r="A3021" t="s">
        <v>1586</v>
      </c>
      <c r="B3021" t="s">
        <v>72</v>
      </c>
      <c r="C3021" t="s">
        <v>45</v>
      </c>
      <c r="D3021" t="s">
        <v>1917</v>
      </c>
      <c r="E3021" t="s">
        <v>96</v>
      </c>
      <c r="F3021" t="s">
        <v>96</v>
      </c>
      <c r="G3021" t="s">
        <v>96</v>
      </c>
      <c r="H3021">
        <v>2010</v>
      </c>
      <c r="I3021" t="s">
        <v>96</v>
      </c>
      <c r="J3021" t="s">
        <v>97</v>
      </c>
      <c r="K3021" t="s">
        <v>96</v>
      </c>
      <c r="L3021" t="s">
        <v>96</v>
      </c>
      <c r="M3021">
        <v>2486.3000000000002</v>
      </c>
      <c r="O3021" s="12" t="str">
        <f t="shared" si="108"/>
        <v>CSA</v>
      </c>
      <c r="P3021" s="12" t="str">
        <f t="shared" si="109"/>
        <v>E_SPV</v>
      </c>
    </row>
    <row r="3022" spans="1:16" x14ac:dyDescent="0.35">
      <c r="A3022" t="s">
        <v>1586</v>
      </c>
      <c r="B3022" t="s">
        <v>72</v>
      </c>
      <c r="C3022" t="s">
        <v>45</v>
      </c>
      <c r="D3022" t="s">
        <v>1919</v>
      </c>
      <c r="E3022" t="s">
        <v>96</v>
      </c>
      <c r="F3022" t="s">
        <v>96</v>
      </c>
      <c r="G3022" t="s">
        <v>96</v>
      </c>
      <c r="H3022">
        <v>2010</v>
      </c>
      <c r="I3022" t="s">
        <v>96</v>
      </c>
      <c r="J3022" t="s">
        <v>97</v>
      </c>
      <c r="K3022" t="s">
        <v>96</v>
      </c>
      <c r="L3022" t="s">
        <v>96</v>
      </c>
      <c r="M3022">
        <v>2486.3000000000002</v>
      </c>
      <c r="O3022" s="12" t="str">
        <f t="shared" si="108"/>
        <v>CSA</v>
      </c>
      <c r="P3022" s="12" t="str">
        <f t="shared" si="109"/>
        <v>E_SPV</v>
      </c>
    </row>
    <row r="3023" spans="1:16" x14ac:dyDescent="0.35">
      <c r="A3023" t="s">
        <v>1586</v>
      </c>
      <c r="B3023" t="s">
        <v>72</v>
      </c>
      <c r="C3023" t="s">
        <v>45</v>
      </c>
      <c r="D3023" t="s">
        <v>1920</v>
      </c>
      <c r="E3023" t="s">
        <v>96</v>
      </c>
      <c r="F3023" t="s">
        <v>96</v>
      </c>
      <c r="G3023" t="s">
        <v>96</v>
      </c>
      <c r="H3023">
        <v>2010</v>
      </c>
      <c r="I3023" t="s">
        <v>96</v>
      </c>
      <c r="J3023" t="s">
        <v>97</v>
      </c>
      <c r="K3023" t="s">
        <v>96</v>
      </c>
      <c r="L3023" t="s">
        <v>96</v>
      </c>
      <c r="M3023">
        <v>2486.3000000000002</v>
      </c>
      <c r="O3023" s="12" t="str">
        <f t="shared" si="108"/>
        <v>CSA</v>
      </c>
      <c r="P3023" s="12" t="str">
        <f t="shared" si="109"/>
        <v>E_SPV</v>
      </c>
    </row>
    <row r="3024" spans="1:16" x14ac:dyDescent="0.35">
      <c r="A3024" t="s">
        <v>1586</v>
      </c>
      <c r="B3024" t="s">
        <v>72</v>
      </c>
      <c r="C3024" t="s">
        <v>45</v>
      </c>
      <c r="D3024" t="s">
        <v>1921</v>
      </c>
      <c r="E3024" t="s">
        <v>96</v>
      </c>
      <c r="F3024" t="s">
        <v>96</v>
      </c>
      <c r="G3024" t="s">
        <v>96</v>
      </c>
      <c r="H3024">
        <v>2010</v>
      </c>
      <c r="I3024" t="s">
        <v>96</v>
      </c>
      <c r="J3024" t="s">
        <v>97</v>
      </c>
      <c r="K3024" t="s">
        <v>96</v>
      </c>
      <c r="L3024" t="s">
        <v>96</v>
      </c>
      <c r="M3024">
        <v>2080</v>
      </c>
      <c r="O3024" s="12" t="str">
        <f t="shared" si="108"/>
        <v>CSA</v>
      </c>
      <c r="P3024" s="12" t="str">
        <f t="shared" si="109"/>
        <v>E_SPV</v>
      </c>
    </row>
    <row r="3025" spans="1:16" x14ac:dyDescent="0.35">
      <c r="A3025" t="s">
        <v>1586</v>
      </c>
      <c r="B3025" t="s">
        <v>72</v>
      </c>
      <c r="C3025" t="s">
        <v>45</v>
      </c>
      <c r="D3025" t="s">
        <v>1922</v>
      </c>
      <c r="E3025" t="s">
        <v>96</v>
      </c>
      <c r="F3025" t="s">
        <v>96</v>
      </c>
      <c r="G3025" t="s">
        <v>96</v>
      </c>
      <c r="H3025">
        <v>2010</v>
      </c>
      <c r="I3025" t="s">
        <v>96</v>
      </c>
      <c r="J3025" t="s">
        <v>97</v>
      </c>
      <c r="K3025" t="s">
        <v>96</v>
      </c>
      <c r="L3025" t="s">
        <v>96</v>
      </c>
      <c r="M3025">
        <v>1638</v>
      </c>
      <c r="O3025" s="12" t="str">
        <f t="shared" si="108"/>
        <v>CSA</v>
      </c>
      <c r="P3025" s="12" t="str">
        <f t="shared" si="109"/>
        <v>E_SPV</v>
      </c>
    </row>
    <row r="3026" spans="1:16" x14ac:dyDescent="0.35">
      <c r="A3026" t="s">
        <v>1586</v>
      </c>
      <c r="B3026" t="s">
        <v>72</v>
      </c>
      <c r="C3026" t="s">
        <v>45</v>
      </c>
      <c r="D3026" t="s">
        <v>1923</v>
      </c>
      <c r="E3026" t="s">
        <v>96</v>
      </c>
      <c r="F3026" t="s">
        <v>96</v>
      </c>
      <c r="G3026" t="s">
        <v>96</v>
      </c>
      <c r="H3026">
        <v>2010</v>
      </c>
      <c r="I3026" t="s">
        <v>96</v>
      </c>
      <c r="J3026" t="s">
        <v>97</v>
      </c>
      <c r="K3026" t="s">
        <v>96</v>
      </c>
      <c r="L3026" t="s">
        <v>96</v>
      </c>
      <c r="M3026">
        <v>1599</v>
      </c>
      <c r="O3026" s="12" t="str">
        <f t="shared" si="108"/>
        <v>CSA</v>
      </c>
      <c r="P3026" s="12" t="str">
        <f t="shared" si="109"/>
        <v>E_SPV</v>
      </c>
    </row>
    <row r="3027" spans="1:16" x14ac:dyDescent="0.35">
      <c r="A3027" t="s">
        <v>1586</v>
      </c>
      <c r="B3027" t="s">
        <v>72</v>
      </c>
      <c r="C3027" t="s">
        <v>45</v>
      </c>
      <c r="D3027" t="s">
        <v>1924</v>
      </c>
      <c r="E3027" t="s">
        <v>96</v>
      </c>
      <c r="F3027" t="s">
        <v>96</v>
      </c>
      <c r="G3027" t="s">
        <v>96</v>
      </c>
      <c r="H3027">
        <v>2010</v>
      </c>
      <c r="I3027" t="s">
        <v>96</v>
      </c>
      <c r="J3027" t="s">
        <v>97</v>
      </c>
      <c r="K3027" t="s">
        <v>96</v>
      </c>
      <c r="L3027" t="s">
        <v>96</v>
      </c>
      <c r="M3027">
        <v>2486.3000000000002</v>
      </c>
      <c r="O3027" s="12" t="str">
        <f t="shared" si="108"/>
        <v>CSA</v>
      </c>
      <c r="P3027" s="12" t="str">
        <f t="shared" si="109"/>
        <v>E_SPV</v>
      </c>
    </row>
    <row r="3028" spans="1:16" x14ac:dyDescent="0.35">
      <c r="A3028" t="s">
        <v>1586</v>
      </c>
      <c r="B3028" t="s">
        <v>72</v>
      </c>
      <c r="C3028" t="s">
        <v>45</v>
      </c>
      <c r="D3028" t="s">
        <v>1925</v>
      </c>
      <c r="E3028" t="s">
        <v>96</v>
      </c>
      <c r="F3028" t="s">
        <v>96</v>
      </c>
      <c r="G3028" t="s">
        <v>96</v>
      </c>
      <c r="H3028">
        <v>2010</v>
      </c>
      <c r="I3028" t="s">
        <v>96</v>
      </c>
      <c r="J3028" t="s">
        <v>97</v>
      </c>
      <c r="K3028" t="s">
        <v>96</v>
      </c>
      <c r="L3028" t="s">
        <v>96</v>
      </c>
      <c r="M3028">
        <v>2486.3000000000002</v>
      </c>
      <c r="O3028" s="12" t="str">
        <f t="shared" si="108"/>
        <v>CSA</v>
      </c>
      <c r="P3028" s="12" t="str">
        <f t="shared" si="109"/>
        <v>E_SPV</v>
      </c>
    </row>
    <row r="3029" spans="1:16" x14ac:dyDescent="0.35">
      <c r="A3029" t="s">
        <v>1586</v>
      </c>
      <c r="B3029" t="s">
        <v>72</v>
      </c>
      <c r="C3029" t="s">
        <v>45</v>
      </c>
      <c r="D3029" t="s">
        <v>1926</v>
      </c>
      <c r="E3029" t="s">
        <v>96</v>
      </c>
      <c r="F3029" t="s">
        <v>96</v>
      </c>
      <c r="G3029" t="s">
        <v>96</v>
      </c>
      <c r="H3029">
        <v>2010</v>
      </c>
      <c r="I3029" t="s">
        <v>96</v>
      </c>
      <c r="J3029" t="s">
        <v>97</v>
      </c>
      <c r="K3029" t="s">
        <v>96</v>
      </c>
      <c r="L3029" t="s">
        <v>96</v>
      </c>
      <c r="M3029">
        <v>1937</v>
      </c>
      <c r="O3029" s="12" t="str">
        <f t="shared" si="108"/>
        <v>CSA</v>
      </c>
      <c r="P3029" s="12" t="str">
        <f t="shared" si="109"/>
        <v>E_SPV</v>
      </c>
    </row>
    <row r="3030" spans="1:16" x14ac:dyDescent="0.35">
      <c r="A3030" t="s">
        <v>1586</v>
      </c>
      <c r="B3030" t="s">
        <v>72</v>
      </c>
      <c r="C3030" t="s">
        <v>45</v>
      </c>
      <c r="D3030" t="s">
        <v>1927</v>
      </c>
      <c r="E3030" t="s">
        <v>96</v>
      </c>
      <c r="F3030" t="s">
        <v>96</v>
      </c>
      <c r="G3030" t="s">
        <v>96</v>
      </c>
      <c r="H3030">
        <v>2010</v>
      </c>
      <c r="I3030" t="s">
        <v>96</v>
      </c>
      <c r="J3030" t="s">
        <v>97</v>
      </c>
      <c r="K3030" t="s">
        <v>96</v>
      </c>
      <c r="L3030" t="s">
        <v>96</v>
      </c>
      <c r="M3030">
        <v>2486.3000000000002</v>
      </c>
      <c r="O3030" s="12" t="str">
        <f t="shared" si="108"/>
        <v>CSA</v>
      </c>
      <c r="P3030" s="12" t="str">
        <f t="shared" si="109"/>
        <v>E_SPV</v>
      </c>
    </row>
    <row r="3031" spans="1:16" x14ac:dyDescent="0.35">
      <c r="A3031" t="s">
        <v>1586</v>
      </c>
      <c r="B3031" t="s">
        <v>72</v>
      </c>
      <c r="C3031" t="s">
        <v>45</v>
      </c>
      <c r="D3031" t="s">
        <v>1928</v>
      </c>
      <c r="E3031" t="s">
        <v>96</v>
      </c>
      <c r="F3031" t="s">
        <v>96</v>
      </c>
      <c r="G3031" t="s">
        <v>96</v>
      </c>
      <c r="H3031">
        <v>2010</v>
      </c>
      <c r="I3031" t="s">
        <v>96</v>
      </c>
      <c r="J3031" t="s">
        <v>97</v>
      </c>
      <c r="K3031" t="s">
        <v>96</v>
      </c>
      <c r="L3031" t="s">
        <v>96</v>
      </c>
      <c r="M3031">
        <v>2486.3000000000002</v>
      </c>
      <c r="O3031" s="12" t="str">
        <f t="shared" si="108"/>
        <v>CSA</v>
      </c>
      <c r="P3031" s="12" t="str">
        <f t="shared" si="109"/>
        <v>E_SPV</v>
      </c>
    </row>
    <row r="3032" spans="1:16" x14ac:dyDescent="0.35">
      <c r="A3032" t="s">
        <v>1586</v>
      </c>
      <c r="B3032" t="s">
        <v>72</v>
      </c>
      <c r="C3032" t="s">
        <v>45</v>
      </c>
      <c r="D3032" t="s">
        <v>1929</v>
      </c>
      <c r="E3032" t="s">
        <v>96</v>
      </c>
      <c r="F3032" t="s">
        <v>96</v>
      </c>
      <c r="G3032" t="s">
        <v>96</v>
      </c>
      <c r="H3032">
        <v>2010</v>
      </c>
      <c r="I3032" t="s">
        <v>96</v>
      </c>
      <c r="J3032" t="s">
        <v>97</v>
      </c>
      <c r="K3032" t="s">
        <v>96</v>
      </c>
      <c r="L3032" t="s">
        <v>96</v>
      </c>
      <c r="M3032">
        <v>2486.3000000000002</v>
      </c>
      <c r="O3032" s="12" t="str">
        <f t="shared" si="108"/>
        <v>CSA</v>
      </c>
      <c r="P3032" s="12" t="str">
        <f t="shared" si="109"/>
        <v>E_SPV</v>
      </c>
    </row>
    <row r="3033" spans="1:16" x14ac:dyDescent="0.35">
      <c r="A3033" t="s">
        <v>1586</v>
      </c>
      <c r="B3033" t="s">
        <v>72</v>
      </c>
      <c r="C3033" t="s">
        <v>45</v>
      </c>
      <c r="D3033" t="s">
        <v>1930</v>
      </c>
      <c r="E3033" t="s">
        <v>96</v>
      </c>
      <c r="F3033" t="s">
        <v>96</v>
      </c>
      <c r="G3033" t="s">
        <v>96</v>
      </c>
      <c r="H3033">
        <v>2010</v>
      </c>
      <c r="I3033" t="s">
        <v>96</v>
      </c>
      <c r="J3033" t="s">
        <v>97</v>
      </c>
      <c r="K3033" t="s">
        <v>96</v>
      </c>
      <c r="L3033" t="s">
        <v>96</v>
      </c>
      <c r="M3033">
        <v>1443</v>
      </c>
      <c r="O3033" s="12" t="str">
        <f t="shared" si="108"/>
        <v>CSA</v>
      </c>
      <c r="P3033" s="12" t="str">
        <f t="shared" si="109"/>
        <v>E_SPV</v>
      </c>
    </row>
    <row r="3034" spans="1:16" x14ac:dyDescent="0.35">
      <c r="A3034" t="s">
        <v>1586</v>
      </c>
      <c r="B3034" t="s">
        <v>72</v>
      </c>
      <c r="C3034" t="s">
        <v>45</v>
      </c>
      <c r="D3034" t="s">
        <v>1932</v>
      </c>
      <c r="E3034" t="s">
        <v>96</v>
      </c>
      <c r="F3034" t="s">
        <v>96</v>
      </c>
      <c r="G3034" t="s">
        <v>96</v>
      </c>
      <c r="H3034">
        <v>2010</v>
      </c>
      <c r="I3034" t="s">
        <v>96</v>
      </c>
      <c r="J3034" t="s">
        <v>97</v>
      </c>
      <c r="K3034" t="s">
        <v>96</v>
      </c>
      <c r="L3034" t="s">
        <v>96</v>
      </c>
      <c r="M3034">
        <v>2486.3000000000002</v>
      </c>
      <c r="O3034" s="12" t="str">
        <f t="shared" si="108"/>
        <v>CSA</v>
      </c>
      <c r="P3034" s="12" t="str">
        <f t="shared" si="109"/>
        <v>E_SPV</v>
      </c>
    </row>
    <row r="3035" spans="1:16" x14ac:dyDescent="0.35">
      <c r="A3035" t="s">
        <v>1586</v>
      </c>
      <c r="B3035" t="s">
        <v>72</v>
      </c>
      <c r="C3035" t="s">
        <v>45</v>
      </c>
      <c r="D3035" t="s">
        <v>1933</v>
      </c>
      <c r="E3035" t="s">
        <v>96</v>
      </c>
      <c r="F3035" t="s">
        <v>96</v>
      </c>
      <c r="G3035" t="s">
        <v>96</v>
      </c>
      <c r="H3035">
        <v>2010</v>
      </c>
      <c r="I3035" t="s">
        <v>96</v>
      </c>
      <c r="J3035" t="s">
        <v>97</v>
      </c>
      <c r="K3035" t="s">
        <v>96</v>
      </c>
      <c r="L3035" t="s">
        <v>96</v>
      </c>
      <c r="M3035">
        <v>1495</v>
      </c>
      <c r="O3035" s="12" t="str">
        <f t="shared" si="108"/>
        <v>CSA</v>
      </c>
      <c r="P3035" s="12" t="str">
        <f t="shared" si="109"/>
        <v>E_SPV</v>
      </c>
    </row>
    <row r="3036" spans="1:16" x14ac:dyDescent="0.35">
      <c r="A3036" t="s">
        <v>1586</v>
      </c>
      <c r="B3036" t="s">
        <v>72</v>
      </c>
      <c r="C3036" t="s">
        <v>45</v>
      </c>
      <c r="D3036" t="s">
        <v>1934</v>
      </c>
      <c r="E3036" t="s">
        <v>96</v>
      </c>
      <c r="F3036" t="s">
        <v>96</v>
      </c>
      <c r="G3036" t="s">
        <v>96</v>
      </c>
      <c r="H3036">
        <v>2010</v>
      </c>
      <c r="I3036" t="s">
        <v>96</v>
      </c>
      <c r="J3036" t="s">
        <v>97</v>
      </c>
      <c r="K3036" t="s">
        <v>96</v>
      </c>
      <c r="L3036" t="s">
        <v>96</v>
      </c>
      <c r="M3036">
        <v>1443</v>
      </c>
      <c r="O3036" s="12" t="str">
        <f t="shared" si="108"/>
        <v>CSA</v>
      </c>
      <c r="P3036" s="12" t="str">
        <f t="shared" si="109"/>
        <v>E_SPV</v>
      </c>
    </row>
    <row r="3037" spans="1:16" x14ac:dyDescent="0.35">
      <c r="A3037" t="s">
        <v>1586</v>
      </c>
      <c r="B3037" t="s">
        <v>72</v>
      </c>
      <c r="C3037" t="s">
        <v>45</v>
      </c>
      <c r="D3037" t="s">
        <v>1935</v>
      </c>
      <c r="E3037" t="s">
        <v>96</v>
      </c>
      <c r="F3037" t="s">
        <v>96</v>
      </c>
      <c r="G3037" t="s">
        <v>96</v>
      </c>
      <c r="H3037">
        <v>2010</v>
      </c>
      <c r="I3037" t="s">
        <v>96</v>
      </c>
      <c r="J3037" t="s">
        <v>97</v>
      </c>
      <c r="K3037" t="s">
        <v>96</v>
      </c>
      <c r="L3037" t="s">
        <v>96</v>
      </c>
      <c r="M3037">
        <v>2486.3000000000002</v>
      </c>
      <c r="O3037" s="12" t="str">
        <f t="shared" si="108"/>
        <v>CSA</v>
      </c>
      <c r="P3037" s="12" t="str">
        <f t="shared" si="109"/>
        <v>E_SPV</v>
      </c>
    </row>
    <row r="3038" spans="1:16" x14ac:dyDescent="0.35">
      <c r="A3038" t="s">
        <v>1586</v>
      </c>
      <c r="B3038" t="s">
        <v>72</v>
      </c>
      <c r="C3038" t="s">
        <v>45</v>
      </c>
      <c r="D3038" t="s">
        <v>1936</v>
      </c>
      <c r="E3038" t="s">
        <v>96</v>
      </c>
      <c r="F3038" t="s">
        <v>96</v>
      </c>
      <c r="G3038" t="s">
        <v>96</v>
      </c>
      <c r="H3038">
        <v>2010</v>
      </c>
      <c r="I3038" t="s">
        <v>96</v>
      </c>
      <c r="J3038" t="s">
        <v>97</v>
      </c>
      <c r="K3038" t="s">
        <v>96</v>
      </c>
      <c r="L3038" t="s">
        <v>96</v>
      </c>
      <c r="M3038">
        <v>1443</v>
      </c>
      <c r="O3038" s="12" t="str">
        <f t="shared" si="108"/>
        <v>CSA</v>
      </c>
      <c r="P3038" s="12" t="str">
        <f t="shared" si="109"/>
        <v>E_SPV</v>
      </c>
    </row>
    <row r="3039" spans="1:16" x14ac:dyDescent="0.35">
      <c r="A3039" t="s">
        <v>1586</v>
      </c>
      <c r="B3039" t="s">
        <v>72</v>
      </c>
      <c r="C3039" t="s">
        <v>45</v>
      </c>
      <c r="D3039" t="s">
        <v>1937</v>
      </c>
      <c r="E3039" t="s">
        <v>96</v>
      </c>
      <c r="F3039" t="s">
        <v>96</v>
      </c>
      <c r="G3039" t="s">
        <v>96</v>
      </c>
      <c r="H3039">
        <v>2010</v>
      </c>
      <c r="I3039" t="s">
        <v>96</v>
      </c>
      <c r="J3039" t="s">
        <v>97</v>
      </c>
      <c r="K3039" t="s">
        <v>96</v>
      </c>
      <c r="L3039" t="s">
        <v>96</v>
      </c>
      <c r="M3039">
        <v>2486.3000000000002</v>
      </c>
      <c r="O3039" s="12" t="str">
        <f t="shared" si="108"/>
        <v>CSA</v>
      </c>
      <c r="P3039" s="12" t="str">
        <f t="shared" si="109"/>
        <v>E_SPV</v>
      </c>
    </row>
    <row r="3040" spans="1:16" x14ac:dyDescent="0.35">
      <c r="A3040" t="s">
        <v>1586</v>
      </c>
      <c r="B3040" t="s">
        <v>72</v>
      </c>
      <c r="C3040" t="s">
        <v>45</v>
      </c>
      <c r="D3040" t="s">
        <v>1939</v>
      </c>
      <c r="E3040" t="s">
        <v>96</v>
      </c>
      <c r="F3040" t="s">
        <v>96</v>
      </c>
      <c r="G3040" t="s">
        <v>96</v>
      </c>
      <c r="H3040">
        <v>2010</v>
      </c>
      <c r="I3040" t="s">
        <v>96</v>
      </c>
      <c r="J3040" t="s">
        <v>97</v>
      </c>
      <c r="K3040" t="s">
        <v>96</v>
      </c>
      <c r="L3040" t="s">
        <v>96</v>
      </c>
      <c r="M3040">
        <v>2486.3000000000002</v>
      </c>
      <c r="O3040" s="12" t="str">
        <f t="shared" si="108"/>
        <v>CSA</v>
      </c>
      <c r="P3040" s="12" t="str">
        <f t="shared" si="109"/>
        <v>E_SPV</v>
      </c>
    </row>
    <row r="3041" spans="1:16" x14ac:dyDescent="0.35">
      <c r="A3041" t="s">
        <v>1586</v>
      </c>
      <c r="B3041" t="s">
        <v>72</v>
      </c>
      <c r="C3041" t="s">
        <v>45</v>
      </c>
      <c r="D3041" t="s">
        <v>1940</v>
      </c>
      <c r="E3041" t="s">
        <v>96</v>
      </c>
      <c r="F3041" t="s">
        <v>96</v>
      </c>
      <c r="G3041" t="s">
        <v>96</v>
      </c>
      <c r="H3041">
        <v>2010</v>
      </c>
      <c r="I3041" t="s">
        <v>96</v>
      </c>
      <c r="J3041" t="s">
        <v>97</v>
      </c>
      <c r="K3041" t="s">
        <v>96</v>
      </c>
      <c r="L3041" t="s">
        <v>96</v>
      </c>
      <c r="M3041">
        <v>2486.3000000000002</v>
      </c>
      <c r="O3041" s="12" t="str">
        <f t="shared" si="108"/>
        <v>CSA</v>
      </c>
      <c r="P3041" s="12" t="str">
        <f t="shared" si="109"/>
        <v>E_SPV</v>
      </c>
    </row>
    <row r="3042" spans="1:16" x14ac:dyDescent="0.35">
      <c r="A3042" t="s">
        <v>1586</v>
      </c>
      <c r="B3042" t="s">
        <v>72</v>
      </c>
      <c r="C3042" t="s">
        <v>45</v>
      </c>
      <c r="D3042" t="s">
        <v>1941</v>
      </c>
      <c r="E3042" t="s">
        <v>96</v>
      </c>
      <c r="F3042" t="s">
        <v>96</v>
      </c>
      <c r="G3042" t="s">
        <v>96</v>
      </c>
      <c r="H3042">
        <v>2010</v>
      </c>
      <c r="I3042" t="s">
        <v>96</v>
      </c>
      <c r="J3042" t="s">
        <v>97</v>
      </c>
      <c r="K3042" t="s">
        <v>96</v>
      </c>
      <c r="L3042" t="s">
        <v>96</v>
      </c>
      <c r="M3042">
        <v>2080</v>
      </c>
      <c r="O3042" s="12" t="str">
        <f t="shared" si="108"/>
        <v>CSA</v>
      </c>
      <c r="P3042" s="12" t="str">
        <f t="shared" si="109"/>
        <v>E_SPV</v>
      </c>
    </row>
    <row r="3043" spans="1:16" x14ac:dyDescent="0.35">
      <c r="A3043" t="s">
        <v>1586</v>
      </c>
      <c r="B3043" t="s">
        <v>72</v>
      </c>
      <c r="C3043" t="s">
        <v>45</v>
      </c>
      <c r="D3043" t="s">
        <v>1942</v>
      </c>
      <c r="E3043" t="s">
        <v>96</v>
      </c>
      <c r="F3043" t="s">
        <v>96</v>
      </c>
      <c r="G3043" t="s">
        <v>96</v>
      </c>
      <c r="H3043">
        <v>2010</v>
      </c>
      <c r="I3043" t="s">
        <v>96</v>
      </c>
      <c r="J3043" t="s">
        <v>97</v>
      </c>
      <c r="K3043" t="s">
        <v>96</v>
      </c>
      <c r="L3043" t="s">
        <v>96</v>
      </c>
      <c r="M3043">
        <v>1638</v>
      </c>
      <c r="O3043" s="12" t="str">
        <f t="shared" si="108"/>
        <v>CSA</v>
      </c>
      <c r="P3043" s="12" t="str">
        <f t="shared" si="109"/>
        <v>E_SPV</v>
      </c>
    </row>
    <row r="3044" spans="1:16" x14ac:dyDescent="0.35">
      <c r="A3044" t="s">
        <v>1586</v>
      </c>
      <c r="B3044" t="s">
        <v>72</v>
      </c>
      <c r="C3044" t="s">
        <v>45</v>
      </c>
      <c r="D3044" t="s">
        <v>1943</v>
      </c>
      <c r="E3044" t="s">
        <v>96</v>
      </c>
      <c r="F3044" t="s">
        <v>96</v>
      </c>
      <c r="G3044" t="s">
        <v>96</v>
      </c>
      <c r="H3044">
        <v>2010</v>
      </c>
      <c r="I3044" t="s">
        <v>96</v>
      </c>
      <c r="J3044" t="s">
        <v>97</v>
      </c>
      <c r="K3044" t="s">
        <v>96</v>
      </c>
      <c r="L3044" t="s">
        <v>96</v>
      </c>
      <c r="M3044">
        <v>1599</v>
      </c>
      <c r="O3044" s="12" t="str">
        <f t="shared" si="108"/>
        <v>CSA</v>
      </c>
      <c r="P3044" s="12" t="str">
        <f t="shared" si="109"/>
        <v>E_SPV</v>
      </c>
    </row>
    <row r="3045" spans="1:16" x14ac:dyDescent="0.35">
      <c r="A3045" t="s">
        <v>1586</v>
      </c>
      <c r="B3045" t="s">
        <v>72</v>
      </c>
      <c r="C3045" t="s">
        <v>45</v>
      </c>
      <c r="D3045" t="s">
        <v>1944</v>
      </c>
      <c r="E3045" t="s">
        <v>96</v>
      </c>
      <c r="F3045" t="s">
        <v>96</v>
      </c>
      <c r="G3045" t="s">
        <v>96</v>
      </c>
      <c r="H3045">
        <v>2010</v>
      </c>
      <c r="I3045" t="s">
        <v>96</v>
      </c>
      <c r="J3045" t="s">
        <v>97</v>
      </c>
      <c r="K3045" t="s">
        <v>96</v>
      </c>
      <c r="L3045" t="s">
        <v>96</v>
      </c>
      <c r="M3045">
        <v>1937</v>
      </c>
      <c r="O3045" s="12" t="str">
        <f t="shared" si="108"/>
        <v>CSA</v>
      </c>
      <c r="P3045" s="12" t="str">
        <f t="shared" si="109"/>
        <v>E_SPV</v>
      </c>
    </row>
    <row r="3046" spans="1:16" x14ac:dyDescent="0.35">
      <c r="A3046" t="s">
        <v>1586</v>
      </c>
      <c r="B3046" t="s">
        <v>72</v>
      </c>
      <c r="C3046" t="s">
        <v>45</v>
      </c>
      <c r="D3046" t="s">
        <v>1945</v>
      </c>
      <c r="E3046" t="s">
        <v>96</v>
      </c>
      <c r="F3046" t="s">
        <v>96</v>
      </c>
      <c r="G3046" t="s">
        <v>96</v>
      </c>
      <c r="H3046">
        <v>2010</v>
      </c>
      <c r="I3046" t="s">
        <v>96</v>
      </c>
      <c r="J3046" t="s">
        <v>97</v>
      </c>
      <c r="K3046" t="s">
        <v>96</v>
      </c>
      <c r="L3046" t="s">
        <v>96</v>
      </c>
      <c r="M3046">
        <v>2486.3000000000002</v>
      </c>
      <c r="O3046" s="12" t="str">
        <f t="shared" si="108"/>
        <v>CSA</v>
      </c>
      <c r="P3046" s="12" t="str">
        <f t="shared" si="109"/>
        <v>E_SPV</v>
      </c>
    </row>
    <row r="3047" spans="1:16" x14ac:dyDescent="0.35">
      <c r="A3047" t="s">
        <v>1586</v>
      </c>
      <c r="B3047" t="s">
        <v>72</v>
      </c>
      <c r="C3047" t="s">
        <v>45</v>
      </c>
      <c r="D3047" t="s">
        <v>1946</v>
      </c>
      <c r="E3047" t="s">
        <v>96</v>
      </c>
      <c r="F3047" t="s">
        <v>96</v>
      </c>
      <c r="G3047" t="s">
        <v>96</v>
      </c>
      <c r="H3047">
        <v>2010</v>
      </c>
      <c r="I3047" t="s">
        <v>96</v>
      </c>
      <c r="J3047" t="s">
        <v>97</v>
      </c>
      <c r="K3047" t="s">
        <v>96</v>
      </c>
      <c r="L3047" t="s">
        <v>96</v>
      </c>
      <c r="M3047">
        <v>2486.3000000000002</v>
      </c>
      <c r="O3047" s="12" t="str">
        <f t="shared" si="108"/>
        <v>CSA</v>
      </c>
      <c r="P3047" s="12" t="str">
        <f t="shared" si="109"/>
        <v>E_SPV</v>
      </c>
    </row>
    <row r="3048" spans="1:16" x14ac:dyDescent="0.35">
      <c r="A3048" t="s">
        <v>1586</v>
      </c>
      <c r="B3048" t="s">
        <v>72</v>
      </c>
      <c r="C3048" t="s">
        <v>45</v>
      </c>
      <c r="D3048" t="s">
        <v>1947</v>
      </c>
      <c r="E3048" t="s">
        <v>96</v>
      </c>
      <c r="F3048" t="s">
        <v>96</v>
      </c>
      <c r="G3048" t="s">
        <v>96</v>
      </c>
      <c r="H3048">
        <v>2010</v>
      </c>
      <c r="I3048" t="s">
        <v>96</v>
      </c>
      <c r="J3048" t="s">
        <v>97</v>
      </c>
      <c r="K3048" t="s">
        <v>96</v>
      </c>
      <c r="L3048" t="s">
        <v>96</v>
      </c>
      <c r="M3048">
        <v>1443</v>
      </c>
      <c r="O3048" s="12" t="str">
        <f t="shared" si="108"/>
        <v>CSA</v>
      </c>
      <c r="P3048" s="12" t="str">
        <f t="shared" si="109"/>
        <v>E_SPV</v>
      </c>
    </row>
    <row r="3049" spans="1:16" x14ac:dyDescent="0.35">
      <c r="A3049" t="s">
        <v>1586</v>
      </c>
      <c r="B3049" t="s">
        <v>72</v>
      </c>
      <c r="C3049" t="s">
        <v>45</v>
      </c>
      <c r="D3049" t="s">
        <v>1949</v>
      </c>
      <c r="E3049" t="s">
        <v>96</v>
      </c>
      <c r="F3049" t="s">
        <v>96</v>
      </c>
      <c r="G3049" t="s">
        <v>96</v>
      </c>
      <c r="H3049">
        <v>2010</v>
      </c>
      <c r="I3049" t="s">
        <v>96</v>
      </c>
      <c r="J3049" t="s">
        <v>97</v>
      </c>
      <c r="K3049" t="s">
        <v>96</v>
      </c>
      <c r="L3049" t="s">
        <v>96</v>
      </c>
      <c r="M3049">
        <v>1495</v>
      </c>
      <c r="O3049" s="12" t="str">
        <f t="shared" si="108"/>
        <v>CSA</v>
      </c>
      <c r="P3049" s="12" t="str">
        <f t="shared" si="109"/>
        <v>E_SPV</v>
      </c>
    </row>
    <row r="3050" spans="1:16" x14ac:dyDescent="0.35">
      <c r="A3050" t="s">
        <v>1586</v>
      </c>
      <c r="B3050" t="s">
        <v>72</v>
      </c>
      <c r="C3050" t="s">
        <v>45</v>
      </c>
      <c r="D3050" t="s">
        <v>1950</v>
      </c>
      <c r="E3050" t="s">
        <v>96</v>
      </c>
      <c r="F3050" t="s">
        <v>96</v>
      </c>
      <c r="G3050" t="s">
        <v>96</v>
      </c>
      <c r="H3050">
        <v>2010</v>
      </c>
      <c r="I3050" t="s">
        <v>96</v>
      </c>
      <c r="J3050" t="s">
        <v>97</v>
      </c>
      <c r="K3050" t="s">
        <v>96</v>
      </c>
      <c r="L3050" t="s">
        <v>96</v>
      </c>
      <c r="M3050">
        <v>2486.3000000000002</v>
      </c>
      <c r="O3050" s="12" t="str">
        <f t="shared" si="108"/>
        <v>CSA</v>
      </c>
      <c r="P3050" s="12" t="str">
        <f t="shared" si="109"/>
        <v>E_SPV</v>
      </c>
    </row>
    <row r="3051" spans="1:16" x14ac:dyDescent="0.35">
      <c r="A3051" t="s">
        <v>1586</v>
      </c>
      <c r="B3051" t="s">
        <v>72</v>
      </c>
      <c r="C3051" t="s">
        <v>45</v>
      </c>
      <c r="D3051" t="s">
        <v>1951</v>
      </c>
      <c r="E3051" t="s">
        <v>96</v>
      </c>
      <c r="F3051" t="s">
        <v>96</v>
      </c>
      <c r="G3051" t="s">
        <v>96</v>
      </c>
      <c r="H3051">
        <v>2010</v>
      </c>
      <c r="I3051" t="s">
        <v>96</v>
      </c>
      <c r="J3051" t="s">
        <v>97</v>
      </c>
      <c r="K3051" t="s">
        <v>96</v>
      </c>
      <c r="L3051" t="s">
        <v>96</v>
      </c>
      <c r="M3051">
        <v>2486.3000000000002</v>
      </c>
      <c r="O3051" s="12" t="str">
        <f t="shared" si="108"/>
        <v>CSA</v>
      </c>
      <c r="P3051" s="12" t="str">
        <f t="shared" si="109"/>
        <v>E_SPV</v>
      </c>
    </row>
    <row r="3052" spans="1:16" x14ac:dyDescent="0.35">
      <c r="A3052" t="s">
        <v>1586</v>
      </c>
      <c r="B3052" t="s">
        <v>72</v>
      </c>
      <c r="C3052" t="s">
        <v>45</v>
      </c>
      <c r="D3052" t="s">
        <v>1952</v>
      </c>
      <c r="E3052" t="s">
        <v>96</v>
      </c>
      <c r="F3052" t="s">
        <v>96</v>
      </c>
      <c r="G3052" t="s">
        <v>96</v>
      </c>
      <c r="H3052">
        <v>2010</v>
      </c>
      <c r="I3052" t="s">
        <v>96</v>
      </c>
      <c r="J3052" t="s">
        <v>97</v>
      </c>
      <c r="K3052" t="s">
        <v>96</v>
      </c>
      <c r="L3052" t="s">
        <v>96</v>
      </c>
      <c r="M3052">
        <v>1443</v>
      </c>
      <c r="O3052" s="12" t="str">
        <f t="shared" si="108"/>
        <v>CSA</v>
      </c>
      <c r="P3052" s="12" t="str">
        <f t="shared" si="109"/>
        <v>E_SPV</v>
      </c>
    </row>
    <row r="3053" spans="1:16" x14ac:dyDescent="0.35">
      <c r="A3053" t="s">
        <v>1586</v>
      </c>
      <c r="B3053" t="s">
        <v>72</v>
      </c>
      <c r="C3053" t="s">
        <v>45</v>
      </c>
      <c r="D3053" t="s">
        <v>1953</v>
      </c>
      <c r="E3053" t="s">
        <v>96</v>
      </c>
      <c r="F3053" t="s">
        <v>96</v>
      </c>
      <c r="G3053" t="s">
        <v>96</v>
      </c>
      <c r="H3053">
        <v>2010</v>
      </c>
      <c r="I3053" t="s">
        <v>96</v>
      </c>
      <c r="J3053" t="s">
        <v>97</v>
      </c>
      <c r="K3053" t="s">
        <v>96</v>
      </c>
      <c r="L3053" t="s">
        <v>96</v>
      </c>
      <c r="M3053">
        <v>2486.3000000000002</v>
      </c>
      <c r="O3053" s="12" t="str">
        <f t="shared" si="108"/>
        <v>CSA</v>
      </c>
      <c r="P3053" s="12" t="str">
        <f t="shared" si="109"/>
        <v>E_SPV</v>
      </c>
    </row>
    <row r="3054" spans="1:16" x14ac:dyDescent="0.35">
      <c r="A3054" t="s">
        <v>1586</v>
      </c>
      <c r="B3054" t="s">
        <v>72</v>
      </c>
      <c r="C3054" t="s">
        <v>45</v>
      </c>
      <c r="D3054" t="s">
        <v>1955</v>
      </c>
      <c r="E3054" t="s">
        <v>96</v>
      </c>
      <c r="F3054" t="s">
        <v>96</v>
      </c>
      <c r="G3054" t="s">
        <v>96</v>
      </c>
      <c r="H3054">
        <v>2010</v>
      </c>
      <c r="I3054" t="s">
        <v>96</v>
      </c>
      <c r="J3054" t="s">
        <v>97</v>
      </c>
      <c r="K3054" t="s">
        <v>96</v>
      </c>
      <c r="L3054" t="s">
        <v>96</v>
      </c>
      <c r="M3054">
        <v>1443</v>
      </c>
      <c r="O3054" s="12" t="str">
        <f t="shared" si="108"/>
        <v>CSA</v>
      </c>
      <c r="P3054" s="12" t="str">
        <f t="shared" si="109"/>
        <v>E_SPV</v>
      </c>
    </row>
    <row r="3055" spans="1:16" x14ac:dyDescent="0.35">
      <c r="A3055" t="s">
        <v>1586</v>
      </c>
      <c r="B3055" t="s">
        <v>72</v>
      </c>
      <c r="C3055" t="s">
        <v>45</v>
      </c>
      <c r="D3055" t="s">
        <v>1956</v>
      </c>
      <c r="E3055" t="s">
        <v>96</v>
      </c>
      <c r="F3055" t="s">
        <v>96</v>
      </c>
      <c r="G3055" t="s">
        <v>96</v>
      </c>
      <c r="H3055">
        <v>2010</v>
      </c>
      <c r="I3055" t="s">
        <v>96</v>
      </c>
      <c r="J3055" t="s">
        <v>97</v>
      </c>
      <c r="K3055" t="s">
        <v>96</v>
      </c>
      <c r="L3055" t="s">
        <v>96</v>
      </c>
      <c r="M3055">
        <v>2486.3000000000002</v>
      </c>
      <c r="O3055" s="12" t="str">
        <f t="shared" si="108"/>
        <v>CSA</v>
      </c>
      <c r="P3055" s="12" t="str">
        <f t="shared" si="109"/>
        <v>E_SPV</v>
      </c>
    </row>
    <row r="3056" spans="1:16" x14ac:dyDescent="0.35">
      <c r="A3056" t="s">
        <v>1586</v>
      </c>
      <c r="B3056" t="s">
        <v>73</v>
      </c>
      <c r="C3056" t="s">
        <v>45</v>
      </c>
      <c r="D3056" t="s">
        <v>1957</v>
      </c>
      <c r="E3056" t="s">
        <v>96</v>
      </c>
      <c r="F3056" t="s">
        <v>96</v>
      </c>
      <c r="G3056" t="s">
        <v>96</v>
      </c>
      <c r="H3056">
        <v>2010</v>
      </c>
      <c r="I3056" t="s">
        <v>96</v>
      </c>
      <c r="J3056" t="s">
        <v>97</v>
      </c>
      <c r="K3056" t="s">
        <v>96</v>
      </c>
      <c r="L3056" t="s">
        <v>96</v>
      </c>
      <c r="M3056">
        <v>1228.5</v>
      </c>
      <c r="O3056" s="12" t="str">
        <f t="shared" si="108"/>
        <v>EUR</v>
      </c>
      <c r="P3056" s="12" t="str">
        <f t="shared" si="109"/>
        <v>E_SPV</v>
      </c>
    </row>
    <row r="3057" spans="1:16" x14ac:dyDescent="0.35">
      <c r="A3057" t="s">
        <v>1586</v>
      </c>
      <c r="B3057" t="s">
        <v>73</v>
      </c>
      <c r="C3057" t="s">
        <v>45</v>
      </c>
      <c r="D3057" t="s">
        <v>1958</v>
      </c>
      <c r="E3057" t="s">
        <v>96</v>
      </c>
      <c r="F3057" t="s">
        <v>96</v>
      </c>
      <c r="G3057" t="s">
        <v>96</v>
      </c>
      <c r="H3057">
        <v>2010</v>
      </c>
      <c r="I3057" t="s">
        <v>96</v>
      </c>
      <c r="J3057" t="s">
        <v>97</v>
      </c>
      <c r="K3057" t="s">
        <v>96</v>
      </c>
      <c r="L3057" t="s">
        <v>96</v>
      </c>
      <c r="M3057">
        <v>1170</v>
      </c>
      <c r="O3057" s="12" t="str">
        <f t="shared" si="108"/>
        <v>EUR</v>
      </c>
      <c r="P3057" s="12" t="str">
        <f t="shared" si="109"/>
        <v>E_SPV</v>
      </c>
    </row>
    <row r="3058" spans="1:16" x14ac:dyDescent="0.35">
      <c r="A3058" t="s">
        <v>1586</v>
      </c>
      <c r="B3058" t="s">
        <v>73</v>
      </c>
      <c r="C3058" t="s">
        <v>45</v>
      </c>
      <c r="D3058" t="s">
        <v>1959</v>
      </c>
      <c r="E3058" t="s">
        <v>96</v>
      </c>
      <c r="F3058" t="s">
        <v>96</v>
      </c>
      <c r="G3058" t="s">
        <v>96</v>
      </c>
      <c r="H3058">
        <v>2010</v>
      </c>
      <c r="I3058" t="s">
        <v>96</v>
      </c>
      <c r="J3058" t="s">
        <v>97</v>
      </c>
      <c r="K3058" t="s">
        <v>96</v>
      </c>
      <c r="L3058" t="s">
        <v>96</v>
      </c>
      <c r="M3058">
        <v>1228.5</v>
      </c>
      <c r="O3058" s="12" t="str">
        <f t="shared" si="108"/>
        <v>EUR</v>
      </c>
      <c r="P3058" s="12" t="str">
        <f t="shared" si="109"/>
        <v>E_SPV</v>
      </c>
    </row>
    <row r="3059" spans="1:16" x14ac:dyDescent="0.35">
      <c r="A3059" t="s">
        <v>1586</v>
      </c>
      <c r="B3059" t="s">
        <v>73</v>
      </c>
      <c r="C3059" t="s">
        <v>45</v>
      </c>
      <c r="D3059" t="s">
        <v>1960</v>
      </c>
      <c r="E3059" t="s">
        <v>96</v>
      </c>
      <c r="F3059" t="s">
        <v>96</v>
      </c>
      <c r="G3059" t="s">
        <v>96</v>
      </c>
      <c r="H3059">
        <v>2010</v>
      </c>
      <c r="I3059" t="s">
        <v>96</v>
      </c>
      <c r="J3059" t="s">
        <v>97</v>
      </c>
      <c r="K3059" t="s">
        <v>96</v>
      </c>
      <c r="L3059" t="s">
        <v>96</v>
      </c>
      <c r="M3059">
        <v>1170</v>
      </c>
      <c r="O3059" s="12" t="str">
        <f t="shared" si="108"/>
        <v>EUR</v>
      </c>
      <c r="P3059" s="12" t="str">
        <f t="shared" si="109"/>
        <v>E_SPV</v>
      </c>
    </row>
    <row r="3060" spans="1:16" x14ac:dyDescent="0.35">
      <c r="A3060" t="s">
        <v>1586</v>
      </c>
      <c r="B3060" t="s">
        <v>73</v>
      </c>
      <c r="C3060" t="s">
        <v>45</v>
      </c>
      <c r="D3060" t="s">
        <v>1961</v>
      </c>
      <c r="E3060" t="s">
        <v>96</v>
      </c>
      <c r="F3060" t="s">
        <v>96</v>
      </c>
      <c r="G3060" t="s">
        <v>96</v>
      </c>
      <c r="H3060">
        <v>2010</v>
      </c>
      <c r="I3060" t="s">
        <v>96</v>
      </c>
      <c r="J3060" t="s">
        <v>97</v>
      </c>
      <c r="K3060" t="s">
        <v>96</v>
      </c>
      <c r="L3060" t="s">
        <v>96</v>
      </c>
      <c r="M3060">
        <v>1209</v>
      </c>
      <c r="O3060" s="12" t="str">
        <f t="shared" si="108"/>
        <v>EUR</v>
      </c>
      <c r="P3060" s="12" t="str">
        <f t="shared" si="109"/>
        <v>E_SPV</v>
      </c>
    </row>
    <row r="3061" spans="1:16" x14ac:dyDescent="0.35">
      <c r="A3061" t="s">
        <v>1586</v>
      </c>
      <c r="B3061" t="s">
        <v>73</v>
      </c>
      <c r="C3061" t="s">
        <v>45</v>
      </c>
      <c r="D3061" t="s">
        <v>1962</v>
      </c>
      <c r="E3061" t="s">
        <v>96</v>
      </c>
      <c r="F3061" t="s">
        <v>96</v>
      </c>
      <c r="G3061" t="s">
        <v>96</v>
      </c>
      <c r="H3061">
        <v>2010</v>
      </c>
      <c r="I3061" t="s">
        <v>96</v>
      </c>
      <c r="J3061" t="s">
        <v>97</v>
      </c>
      <c r="K3061" t="s">
        <v>96</v>
      </c>
      <c r="L3061" t="s">
        <v>96</v>
      </c>
      <c r="M3061">
        <v>1228.5</v>
      </c>
      <c r="O3061" s="12" t="str">
        <f t="shared" si="108"/>
        <v>EUR</v>
      </c>
      <c r="P3061" s="12" t="str">
        <f t="shared" si="109"/>
        <v>E_SPV</v>
      </c>
    </row>
    <row r="3062" spans="1:16" x14ac:dyDescent="0.35">
      <c r="A3062" t="s">
        <v>1586</v>
      </c>
      <c r="B3062" t="s">
        <v>73</v>
      </c>
      <c r="C3062" t="s">
        <v>45</v>
      </c>
      <c r="D3062" t="s">
        <v>1963</v>
      </c>
      <c r="E3062" t="s">
        <v>96</v>
      </c>
      <c r="F3062" t="s">
        <v>96</v>
      </c>
      <c r="G3062" t="s">
        <v>96</v>
      </c>
      <c r="H3062">
        <v>2010</v>
      </c>
      <c r="I3062" t="s">
        <v>96</v>
      </c>
      <c r="J3062" t="s">
        <v>97</v>
      </c>
      <c r="K3062" t="s">
        <v>96</v>
      </c>
      <c r="L3062" t="s">
        <v>96</v>
      </c>
      <c r="M3062">
        <v>1228.5</v>
      </c>
      <c r="O3062" s="12" t="str">
        <f t="shared" si="108"/>
        <v>EUR</v>
      </c>
      <c r="P3062" s="12" t="str">
        <f t="shared" si="109"/>
        <v>E_SPV</v>
      </c>
    </row>
    <row r="3063" spans="1:16" x14ac:dyDescent="0.35">
      <c r="A3063" t="s">
        <v>1586</v>
      </c>
      <c r="B3063" t="s">
        <v>73</v>
      </c>
      <c r="C3063" t="s">
        <v>45</v>
      </c>
      <c r="D3063" t="s">
        <v>1964</v>
      </c>
      <c r="E3063" t="s">
        <v>96</v>
      </c>
      <c r="F3063" t="s">
        <v>96</v>
      </c>
      <c r="G3063" t="s">
        <v>96</v>
      </c>
      <c r="H3063">
        <v>2010</v>
      </c>
      <c r="I3063" t="s">
        <v>96</v>
      </c>
      <c r="J3063" t="s">
        <v>97</v>
      </c>
      <c r="K3063" t="s">
        <v>96</v>
      </c>
      <c r="L3063" t="s">
        <v>96</v>
      </c>
      <c r="M3063">
        <v>1228.5</v>
      </c>
      <c r="O3063" s="12" t="str">
        <f t="shared" si="108"/>
        <v>EUR</v>
      </c>
      <c r="P3063" s="12" t="str">
        <f t="shared" si="109"/>
        <v>E_SPV</v>
      </c>
    </row>
    <row r="3064" spans="1:16" x14ac:dyDescent="0.35">
      <c r="A3064" t="s">
        <v>1586</v>
      </c>
      <c r="B3064" t="s">
        <v>73</v>
      </c>
      <c r="C3064" t="s">
        <v>45</v>
      </c>
      <c r="D3064" t="s">
        <v>1965</v>
      </c>
      <c r="E3064" t="s">
        <v>96</v>
      </c>
      <c r="F3064" t="s">
        <v>96</v>
      </c>
      <c r="G3064" t="s">
        <v>96</v>
      </c>
      <c r="H3064">
        <v>2010</v>
      </c>
      <c r="I3064" t="s">
        <v>96</v>
      </c>
      <c r="J3064" t="s">
        <v>97</v>
      </c>
      <c r="K3064" t="s">
        <v>96</v>
      </c>
      <c r="L3064" t="s">
        <v>96</v>
      </c>
      <c r="M3064">
        <v>1228.5</v>
      </c>
      <c r="O3064" s="12" t="str">
        <f t="shared" si="108"/>
        <v>EUR</v>
      </c>
      <c r="P3064" s="12" t="str">
        <f t="shared" si="109"/>
        <v>E_SPV</v>
      </c>
    </row>
    <row r="3065" spans="1:16" x14ac:dyDescent="0.35">
      <c r="A3065" t="s">
        <v>1586</v>
      </c>
      <c r="B3065" t="s">
        <v>73</v>
      </c>
      <c r="C3065" t="s">
        <v>45</v>
      </c>
      <c r="D3065" t="s">
        <v>1966</v>
      </c>
      <c r="E3065" t="s">
        <v>96</v>
      </c>
      <c r="F3065" t="s">
        <v>96</v>
      </c>
      <c r="G3065" t="s">
        <v>96</v>
      </c>
      <c r="H3065">
        <v>2010</v>
      </c>
      <c r="I3065" t="s">
        <v>96</v>
      </c>
      <c r="J3065" t="s">
        <v>97</v>
      </c>
      <c r="K3065" t="s">
        <v>96</v>
      </c>
      <c r="L3065" t="s">
        <v>96</v>
      </c>
      <c r="M3065">
        <v>1228.5</v>
      </c>
      <c r="O3065" s="12" t="str">
        <f t="shared" si="108"/>
        <v>EUR</v>
      </c>
      <c r="P3065" s="12" t="str">
        <f t="shared" si="109"/>
        <v>E_SPV</v>
      </c>
    </row>
    <row r="3066" spans="1:16" x14ac:dyDescent="0.35">
      <c r="A3066" t="s">
        <v>1586</v>
      </c>
      <c r="B3066" t="s">
        <v>73</v>
      </c>
      <c r="C3066" t="s">
        <v>45</v>
      </c>
      <c r="D3066" t="s">
        <v>1967</v>
      </c>
      <c r="E3066" t="s">
        <v>96</v>
      </c>
      <c r="F3066" t="s">
        <v>96</v>
      </c>
      <c r="G3066" t="s">
        <v>96</v>
      </c>
      <c r="H3066">
        <v>2010</v>
      </c>
      <c r="I3066" t="s">
        <v>96</v>
      </c>
      <c r="J3066" t="s">
        <v>97</v>
      </c>
      <c r="K3066" t="s">
        <v>96</v>
      </c>
      <c r="L3066" t="s">
        <v>96</v>
      </c>
      <c r="M3066">
        <v>1443</v>
      </c>
      <c r="O3066" s="12" t="str">
        <f t="shared" si="108"/>
        <v>EUR</v>
      </c>
      <c r="P3066" s="12" t="str">
        <f t="shared" si="109"/>
        <v>E_SPV</v>
      </c>
    </row>
    <row r="3067" spans="1:16" x14ac:dyDescent="0.35">
      <c r="A3067" t="s">
        <v>1586</v>
      </c>
      <c r="B3067" t="s">
        <v>73</v>
      </c>
      <c r="C3067" t="s">
        <v>45</v>
      </c>
      <c r="D3067" t="s">
        <v>1968</v>
      </c>
      <c r="E3067" t="s">
        <v>96</v>
      </c>
      <c r="F3067" t="s">
        <v>96</v>
      </c>
      <c r="G3067" t="s">
        <v>96</v>
      </c>
      <c r="H3067">
        <v>2010</v>
      </c>
      <c r="I3067" t="s">
        <v>96</v>
      </c>
      <c r="J3067" t="s">
        <v>97</v>
      </c>
      <c r="K3067" t="s">
        <v>96</v>
      </c>
      <c r="L3067" t="s">
        <v>96</v>
      </c>
      <c r="M3067">
        <v>1228.5</v>
      </c>
      <c r="O3067" s="12" t="str">
        <f t="shared" si="108"/>
        <v>EUR</v>
      </c>
      <c r="P3067" s="12" t="str">
        <f t="shared" si="109"/>
        <v>E_SPV</v>
      </c>
    </row>
    <row r="3068" spans="1:16" x14ac:dyDescent="0.35">
      <c r="A3068" t="s">
        <v>1586</v>
      </c>
      <c r="B3068" t="s">
        <v>73</v>
      </c>
      <c r="C3068" t="s">
        <v>45</v>
      </c>
      <c r="D3068" t="s">
        <v>1969</v>
      </c>
      <c r="E3068" t="s">
        <v>96</v>
      </c>
      <c r="F3068" t="s">
        <v>96</v>
      </c>
      <c r="G3068" t="s">
        <v>96</v>
      </c>
      <c r="H3068">
        <v>2010</v>
      </c>
      <c r="I3068" t="s">
        <v>96</v>
      </c>
      <c r="J3068" t="s">
        <v>97</v>
      </c>
      <c r="K3068" t="s">
        <v>96</v>
      </c>
      <c r="L3068" t="s">
        <v>96</v>
      </c>
      <c r="M3068">
        <v>1228.5</v>
      </c>
      <c r="O3068" s="12" t="str">
        <f t="shared" si="108"/>
        <v>EUR</v>
      </c>
      <c r="P3068" s="12" t="str">
        <f t="shared" si="109"/>
        <v>E_SPV</v>
      </c>
    </row>
    <row r="3069" spans="1:16" x14ac:dyDescent="0.35">
      <c r="A3069" t="s">
        <v>1586</v>
      </c>
      <c r="B3069" t="s">
        <v>73</v>
      </c>
      <c r="C3069" t="s">
        <v>45</v>
      </c>
      <c r="D3069" t="s">
        <v>1970</v>
      </c>
      <c r="E3069" t="s">
        <v>96</v>
      </c>
      <c r="F3069" t="s">
        <v>96</v>
      </c>
      <c r="G3069" t="s">
        <v>96</v>
      </c>
      <c r="H3069">
        <v>2010</v>
      </c>
      <c r="I3069" t="s">
        <v>96</v>
      </c>
      <c r="J3069" t="s">
        <v>97</v>
      </c>
      <c r="K3069" t="s">
        <v>96</v>
      </c>
      <c r="L3069" t="s">
        <v>96</v>
      </c>
      <c r="M3069">
        <v>1228.5</v>
      </c>
      <c r="O3069" s="12" t="str">
        <f t="shared" si="108"/>
        <v>EUR</v>
      </c>
      <c r="P3069" s="12" t="str">
        <f t="shared" si="109"/>
        <v>E_SPV</v>
      </c>
    </row>
    <row r="3070" spans="1:16" x14ac:dyDescent="0.35">
      <c r="A3070" t="s">
        <v>1586</v>
      </c>
      <c r="B3070" t="s">
        <v>73</v>
      </c>
      <c r="C3070" t="s">
        <v>45</v>
      </c>
      <c r="D3070" t="s">
        <v>1971</v>
      </c>
      <c r="E3070" t="s">
        <v>96</v>
      </c>
      <c r="F3070" t="s">
        <v>96</v>
      </c>
      <c r="G3070" t="s">
        <v>96</v>
      </c>
      <c r="H3070">
        <v>2010</v>
      </c>
      <c r="I3070" t="s">
        <v>96</v>
      </c>
      <c r="J3070" t="s">
        <v>97</v>
      </c>
      <c r="K3070" t="s">
        <v>96</v>
      </c>
      <c r="L3070" t="s">
        <v>96</v>
      </c>
      <c r="M3070">
        <v>1228.5</v>
      </c>
      <c r="O3070" s="12" t="str">
        <f t="shared" si="108"/>
        <v>EUR</v>
      </c>
      <c r="P3070" s="12" t="str">
        <f t="shared" si="109"/>
        <v>E_SPV</v>
      </c>
    </row>
    <row r="3071" spans="1:16" x14ac:dyDescent="0.35">
      <c r="A3071" t="s">
        <v>1586</v>
      </c>
      <c r="B3071" t="s">
        <v>73</v>
      </c>
      <c r="C3071" t="s">
        <v>45</v>
      </c>
      <c r="D3071" t="s">
        <v>1972</v>
      </c>
      <c r="E3071" t="s">
        <v>96</v>
      </c>
      <c r="F3071" t="s">
        <v>96</v>
      </c>
      <c r="G3071" t="s">
        <v>96</v>
      </c>
      <c r="H3071">
        <v>2010</v>
      </c>
      <c r="I3071" t="s">
        <v>96</v>
      </c>
      <c r="J3071" t="s">
        <v>97</v>
      </c>
      <c r="K3071" t="s">
        <v>96</v>
      </c>
      <c r="L3071" t="s">
        <v>96</v>
      </c>
      <c r="M3071">
        <v>1228.5</v>
      </c>
      <c r="O3071" s="12" t="str">
        <f t="shared" si="108"/>
        <v>EUR</v>
      </c>
      <c r="P3071" s="12" t="str">
        <f t="shared" si="109"/>
        <v>E_SPV</v>
      </c>
    </row>
    <row r="3072" spans="1:16" x14ac:dyDescent="0.35">
      <c r="A3072" t="s">
        <v>1586</v>
      </c>
      <c r="B3072" t="s">
        <v>73</v>
      </c>
      <c r="C3072" t="s">
        <v>45</v>
      </c>
      <c r="D3072" t="s">
        <v>1973</v>
      </c>
      <c r="E3072" t="s">
        <v>96</v>
      </c>
      <c r="F3072" t="s">
        <v>96</v>
      </c>
      <c r="G3072" t="s">
        <v>96</v>
      </c>
      <c r="H3072">
        <v>2010</v>
      </c>
      <c r="I3072" t="s">
        <v>96</v>
      </c>
      <c r="J3072" t="s">
        <v>97</v>
      </c>
      <c r="K3072" t="s">
        <v>96</v>
      </c>
      <c r="L3072" t="s">
        <v>96</v>
      </c>
      <c r="M3072">
        <v>1170</v>
      </c>
      <c r="O3072" s="12" t="str">
        <f t="shared" si="108"/>
        <v>EUR</v>
      </c>
      <c r="P3072" s="12" t="str">
        <f t="shared" si="109"/>
        <v>E_SPV</v>
      </c>
    </row>
    <row r="3073" spans="1:16" x14ac:dyDescent="0.35">
      <c r="A3073" t="s">
        <v>1586</v>
      </c>
      <c r="B3073" t="s">
        <v>73</v>
      </c>
      <c r="C3073" t="s">
        <v>45</v>
      </c>
      <c r="D3073" t="s">
        <v>1974</v>
      </c>
      <c r="E3073" t="s">
        <v>96</v>
      </c>
      <c r="F3073" t="s">
        <v>96</v>
      </c>
      <c r="G3073" t="s">
        <v>96</v>
      </c>
      <c r="H3073">
        <v>2010</v>
      </c>
      <c r="I3073" t="s">
        <v>96</v>
      </c>
      <c r="J3073" t="s">
        <v>97</v>
      </c>
      <c r="K3073" t="s">
        <v>96</v>
      </c>
      <c r="L3073" t="s">
        <v>96</v>
      </c>
      <c r="M3073">
        <v>1209</v>
      </c>
      <c r="O3073" s="12" t="str">
        <f t="shared" si="108"/>
        <v>EUR</v>
      </c>
      <c r="P3073" s="12" t="str">
        <f t="shared" si="109"/>
        <v>E_SPV</v>
      </c>
    </row>
    <row r="3074" spans="1:16" x14ac:dyDescent="0.35">
      <c r="A3074" t="s">
        <v>1586</v>
      </c>
      <c r="B3074" t="s">
        <v>73</v>
      </c>
      <c r="C3074" t="s">
        <v>45</v>
      </c>
      <c r="D3074" t="s">
        <v>1975</v>
      </c>
      <c r="E3074" t="s">
        <v>96</v>
      </c>
      <c r="F3074" t="s">
        <v>96</v>
      </c>
      <c r="G3074" t="s">
        <v>96</v>
      </c>
      <c r="H3074">
        <v>2010</v>
      </c>
      <c r="I3074" t="s">
        <v>96</v>
      </c>
      <c r="J3074" t="s">
        <v>97</v>
      </c>
      <c r="K3074" t="s">
        <v>96</v>
      </c>
      <c r="L3074" t="s">
        <v>96</v>
      </c>
      <c r="M3074">
        <v>1170</v>
      </c>
      <c r="O3074" s="12" t="str">
        <f t="shared" si="108"/>
        <v>EUR</v>
      </c>
      <c r="P3074" s="12" t="str">
        <f t="shared" si="109"/>
        <v>E_SPV</v>
      </c>
    </row>
    <row r="3075" spans="1:16" x14ac:dyDescent="0.35">
      <c r="A3075" t="s">
        <v>1586</v>
      </c>
      <c r="B3075" t="s">
        <v>73</v>
      </c>
      <c r="C3075" t="s">
        <v>45</v>
      </c>
      <c r="D3075" t="s">
        <v>1976</v>
      </c>
      <c r="E3075" t="s">
        <v>96</v>
      </c>
      <c r="F3075" t="s">
        <v>96</v>
      </c>
      <c r="G3075" t="s">
        <v>96</v>
      </c>
      <c r="H3075">
        <v>2010</v>
      </c>
      <c r="I3075" t="s">
        <v>96</v>
      </c>
      <c r="J3075" t="s">
        <v>97</v>
      </c>
      <c r="K3075" t="s">
        <v>96</v>
      </c>
      <c r="L3075" t="s">
        <v>96</v>
      </c>
      <c r="M3075">
        <v>1228.5</v>
      </c>
      <c r="O3075" s="12" t="str">
        <f t="shared" ref="O3075:O3138" si="110">LEFT(B3075,3)</f>
        <v>EUR</v>
      </c>
      <c r="P3075" s="12" t="str">
        <f t="shared" ref="P3075:P3138" si="111">LEFT(D3075,5)</f>
        <v>E_SPV</v>
      </c>
    </row>
    <row r="3076" spans="1:16" x14ac:dyDescent="0.35">
      <c r="A3076" t="s">
        <v>1586</v>
      </c>
      <c r="B3076" t="s">
        <v>73</v>
      </c>
      <c r="C3076" t="s">
        <v>45</v>
      </c>
      <c r="D3076" t="s">
        <v>1977</v>
      </c>
      <c r="E3076" t="s">
        <v>96</v>
      </c>
      <c r="F3076" t="s">
        <v>96</v>
      </c>
      <c r="G3076" t="s">
        <v>96</v>
      </c>
      <c r="H3076">
        <v>2010</v>
      </c>
      <c r="I3076" t="s">
        <v>96</v>
      </c>
      <c r="J3076" t="s">
        <v>97</v>
      </c>
      <c r="K3076" t="s">
        <v>96</v>
      </c>
      <c r="L3076" t="s">
        <v>96</v>
      </c>
      <c r="M3076">
        <v>1228.5</v>
      </c>
      <c r="O3076" s="12" t="str">
        <f t="shared" si="110"/>
        <v>EUR</v>
      </c>
      <c r="P3076" s="12" t="str">
        <f t="shared" si="111"/>
        <v>E_SPV</v>
      </c>
    </row>
    <row r="3077" spans="1:16" x14ac:dyDescent="0.35">
      <c r="A3077" t="s">
        <v>1586</v>
      </c>
      <c r="B3077" t="s">
        <v>73</v>
      </c>
      <c r="C3077" t="s">
        <v>45</v>
      </c>
      <c r="D3077" t="s">
        <v>1978</v>
      </c>
      <c r="E3077" t="s">
        <v>96</v>
      </c>
      <c r="F3077" t="s">
        <v>96</v>
      </c>
      <c r="G3077" t="s">
        <v>96</v>
      </c>
      <c r="H3077">
        <v>2010</v>
      </c>
      <c r="I3077" t="s">
        <v>96</v>
      </c>
      <c r="J3077" t="s">
        <v>97</v>
      </c>
      <c r="K3077" t="s">
        <v>96</v>
      </c>
      <c r="L3077" t="s">
        <v>96</v>
      </c>
      <c r="M3077">
        <v>1228.5</v>
      </c>
      <c r="O3077" s="12" t="str">
        <f t="shared" si="110"/>
        <v>EUR</v>
      </c>
      <c r="P3077" s="12" t="str">
        <f t="shared" si="111"/>
        <v>E_SPV</v>
      </c>
    </row>
    <row r="3078" spans="1:16" x14ac:dyDescent="0.35">
      <c r="A3078" t="s">
        <v>1586</v>
      </c>
      <c r="B3078" t="s">
        <v>73</v>
      </c>
      <c r="C3078" t="s">
        <v>45</v>
      </c>
      <c r="D3078" t="s">
        <v>1979</v>
      </c>
      <c r="E3078" t="s">
        <v>96</v>
      </c>
      <c r="F3078" t="s">
        <v>96</v>
      </c>
      <c r="G3078" t="s">
        <v>96</v>
      </c>
      <c r="H3078">
        <v>2010</v>
      </c>
      <c r="I3078" t="s">
        <v>96</v>
      </c>
      <c r="J3078" t="s">
        <v>97</v>
      </c>
      <c r="K3078" t="s">
        <v>96</v>
      </c>
      <c r="L3078" t="s">
        <v>96</v>
      </c>
      <c r="M3078">
        <v>1228.5</v>
      </c>
      <c r="O3078" s="12" t="str">
        <f t="shared" si="110"/>
        <v>EUR</v>
      </c>
      <c r="P3078" s="12" t="str">
        <f t="shared" si="111"/>
        <v>E_SPV</v>
      </c>
    </row>
    <row r="3079" spans="1:16" x14ac:dyDescent="0.35">
      <c r="A3079" t="s">
        <v>1586</v>
      </c>
      <c r="B3079" t="s">
        <v>73</v>
      </c>
      <c r="C3079" t="s">
        <v>45</v>
      </c>
      <c r="D3079" t="s">
        <v>1980</v>
      </c>
      <c r="E3079" t="s">
        <v>96</v>
      </c>
      <c r="F3079" t="s">
        <v>96</v>
      </c>
      <c r="G3079" t="s">
        <v>96</v>
      </c>
      <c r="H3079">
        <v>2010</v>
      </c>
      <c r="I3079" t="s">
        <v>96</v>
      </c>
      <c r="J3079" t="s">
        <v>97</v>
      </c>
      <c r="K3079" t="s">
        <v>96</v>
      </c>
      <c r="L3079" t="s">
        <v>96</v>
      </c>
      <c r="M3079">
        <v>1228.5</v>
      </c>
      <c r="O3079" s="12" t="str">
        <f t="shared" si="110"/>
        <v>EUR</v>
      </c>
      <c r="P3079" s="12" t="str">
        <f t="shared" si="111"/>
        <v>E_SPV</v>
      </c>
    </row>
    <row r="3080" spans="1:16" x14ac:dyDescent="0.35">
      <c r="A3080" t="s">
        <v>1586</v>
      </c>
      <c r="B3080" t="s">
        <v>73</v>
      </c>
      <c r="C3080" t="s">
        <v>45</v>
      </c>
      <c r="D3080" t="s">
        <v>1981</v>
      </c>
      <c r="E3080" t="s">
        <v>96</v>
      </c>
      <c r="F3080" t="s">
        <v>96</v>
      </c>
      <c r="G3080" t="s">
        <v>96</v>
      </c>
      <c r="H3080">
        <v>2010</v>
      </c>
      <c r="I3080" t="s">
        <v>96</v>
      </c>
      <c r="J3080" t="s">
        <v>97</v>
      </c>
      <c r="K3080" t="s">
        <v>96</v>
      </c>
      <c r="L3080" t="s">
        <v>96</v>
      </c>
      <c r="M3080">
        <v>1443</v>
      </c>
      <c r="O3080" s="12" t="str">
        <f t="shared" si="110"/>
        <v>EUR</v>
      </c>
      <c r="P3080" s="12" t="str">
        <f t="shared" si="111"/>
        <v>E_SPV</v>
      </c>
    </row>
    <row r="3081" spans="1:16" x14ac:dyDescent="0.35">
      <c r="A3081" t="s">
        <v>1586</v>
      </c>
      <c r="B3081" t="s">
        <v>73</v>
      </c>
      <c r="C3081" t="s">
        <v>45</v>
      </c>
      <c r="D3081" t="s">
        <v>1982</v>
      </c>
      <c r="E3081" t="s">
        <v>96</v>
      </c>
      <c r="F3081" t="s">
        <v>96</v>
      </c>
      <c r="G3081" t="s">
        <v>96</v>
      </c>
      <c r="H3081">
        <v>2010</v>
      </c>
      <c r="I3081" t="s">
        <v>96</v>
      </c>
      <c r="J3081" t="s">
        <v>97</v>
      </c>
      <c r="K3081" t="s">
        <v>96</v>
      </c>
      <c r="L3081" t="s">
        <v>96</v>
      </c>
      <c r="M3081">
        <v>1228.5</v>
      </c>
      <c r="O3081" s="12" t="str">
        <f t="shared" si="110"/>
        <v>EUR</v>
      </c>
      <c r="P3081" s="12" t="str">
        <f t="shared" si="111"/>
        <v>E_SPV</v>
      </c>
    </row>
    <row r="3082" spans="1:16" x14ac:dyDescent="0.35">
      <c r="A3082" t="s">
        <v>1586</v>
      </c>
      <c r="B3082" t="s">
        <v>73</v>
      </c>
      <c r="C3082" t="s">
        <v>45</v>
      </c>
      <c r="D3082" t="s">
        <v>1983</v>
      </c>
      <c r="E3082" t="s">
        <v>96</v>
      </c>
      <c r="F3082" t="s">
        <v>96</v>
      </c>
      <c r="G3082" t="s">
        <v>96</v>
      </c>
      <c r="H3082">
        <v>2010</v>
      </c>
      <c r="I3082" t="s">
        <v>96</v>
      </c>
      <c r="J3082" t="s">
        <v>97</v>
      </c>
      <c r="K3082" t="s">
        <v>96</v>
      </c>
      <c r="L3082" t="s">
        <v>96</v>
      </c>
      <c r="M3082">
        <v>1228.5</v>
      </c>
      <c r="O3082" s="12" t="str">
        <f t="shared" si="110"/>
        <v>EUR</v>
      </c>
      <c r="P3082" s="12" t="str">
        <f t="shared" si="111"/>
        <v>E_SPV</v>
      </c>
    </row>
    <row r="3083" spans="1:16" x14ac:dyDescent="0.35">
      <c r="A3083" t="s">
        <v>1586</v>
      </c>
      <c r="B3083" t="s">
        <v>73</v>
      </c>
      <c r="C3083" t="s">
        <v>45</v>
      </c>
      <c r="D3083" t="s">
        <v>1984</v>
      </c>
      <c r="E3083" t="s">
        <v>96</v>
      </c>
      <c r="F3083" t="s">
        <v>96</v>
      </c>
      <c r="G3083" t="s">
        <v>96</v>
      </c>
      <c r="H3083">
        <v>2010</v>
      </c>
      <c r="I3083" t="s">
        <v>96</v>
      </c>
      <c r="J3083" t="s">
        <v>97</v>
      </c>
      <c r="K3083" t="s">
        <v>96</v>
      </c>
      <c r="L3083" t="s">
        <v>96</v>
      </c>
      <c r="M3083">
        <v>1170</v>
      </c>
      <c r="O3083" s="12" t="str">
        <f t="shared" si="110"/>
        <v>EUR</v>
      </c>
      <c r="P3083" s="12" t="str">
        <f t="shared" si="111"/>
        <v>E_SPV</v>
      </c>
    </row>
    <row r="3084" spans="1:16" x14ac:dyDescent="0.35">
      <c r="A3084" t="s">
        <v>1586</v>
      </c>
      <c r="B3084" t="s">
        <v>73</v>
      </c>
      <c r="C3084" t="s">
        <v>45</v>
      </c>
      <c r="D3084" t="s">
        <v>1985</v>
      </c>
      <c r="E3084" t="s">
        <v>96</v>
      </c>
      <c r="F3084" t="s">
        <v>96</v>
      </c>
      <c r="G3084" t="s">
        <v>96</v>
      </c>
      <c r="H3084">
        <v>2010</v>
      </c>
      <c r="I3084" t="s">
        <v>96</v>
      </c>
      <c r="J3084" t="s">
        <v>97</v>
      </c>
      <c r="K3084" t="s">
        <v>96</v>
      </c>
      <c r="L3084" t="s">
        <v>96</v>
      </c>
      <c r="M3084">
        <v>1228.5</v>
      </c>
      <c r="O3084" s="12" t="str">
        <f t="shared" si="110"/>
        <v>EUR</v>
      </c>
      <c r="P3084" s="12" t="str">
        <f t="shared" si="111"/>
        <v>E_SPV</v>
      </c>
    </row>
    <row r="3085" spans="1:16" x14ac:dyDescent="0.35">
      <c r="A3085" t="s">
        <v>1586</v>
      </c>
      <c r="B3085" t="s">
        <v>73</v>
      </c>
      <c r="C3085" t="s">
        <v>45</v>
      </c>
      <c r="D3085" t="s">
        <v>1986</v>
      </c>
      <c r="E3085" t="s">
        <v>96</v>
      </c>
      <c r="F3085" t="s">
        <v>96</v>
      </c>
      <c r="G3085" t="s">
        <v>96</v>
      </c>
      <c r="H3085">
        <v>2010</v>
      </c>
      <c r="I3085" t="s">
        <v>96</v>
      </c>
      <c r="J3085" t="s">
        <v>97</v>
      </c>
      <c r="K3085" t="s">
        <v>96</v>
      </c>
      <c r="L3085" t="s">
        <v>96</v>
      </c>
      <c r="M3085">
        <v>1228.5</v>
      </c>
      <c r="O3085" s="12" t="str">
        <f t="shared" si="110"/>
        <v>EUR</v>
      </c>
      <c r="P3085" s="12" t="str">
        <f t="shared" si="111"/>
        <v>E_SPV</v>
      </c>
    </row>
    <row r="3086" spans="1:16" x14ac:dyDescent="0.35">
      <c r="A3086" t="s">
        <v>1586</v>
      </c>
      <c r="B3086" t="s">
        <v>73</v>
      </c>
      <c r="C3086" t="s">
        <v>45</v>
      </c>
      <c r="D3086" t="s">
        <v>1987</v>
      </c>
      <c r="E3086" t="s">
        <v>96</v>
      </c>
      <c r="F3086" t="s">
        <v>96</v>
      </c>
      <c r="G3086" t="s">
        <v>96</v>
      </c>
      <c r="H3086">
        <v>2010</v>
      </c>
      <c r="I3086" t="s">
        <v>96</v>
      </c>
      <c r="J3086" t="s">
        <v>97</v>
      </c>
      <c r="K3086" t="s">
        <v>96</v>
      </c>
      <c r="L3086" t="s">
        <v>96</v>
      </c>
      <c r="M3086">
        <v>1228.5</v>
      </c>
      <c r="O3086" s="12" t="str">
        <f t="shared" si="110"/>
        <v>EUR</v>
      </c>
      <c r="P3086" s="12" t="str">
        <f t="shared" si="111"/>
        <v>E_SPV</v>
      </c>
    </row>
    <row r="3087" spans="1:16" x14ac:dyDescent="0.35">
      <c r="A3087" t="s">
        <v>1586</v>
      </c>
      <c r="B3087" t="s">
        <v>73</v>
      </c>
      <c r="C3087" t="s">
        <v>45</v>
      </c>
      <c r="D3087" t="s">
        <v>1988</v>
      </c>
      <c r="E3087" t="s">
        <v>96</v>
      </c>
      <c r="F3087" t="s">
        <v>96</v>
      </c>
      <c r="G3087" t="s">
        <v>96</v>
      </c>
      <c r="H3087">
        <v>2010</v>
      </c>
      <c r="I3087" t="s">
        <v>96</v>
      </c>
      <c r="J3087" t="s">
        <v>97</v>
      </c>
      <c r="K3087" t="s">
        <v>96</v>
      </c>
      <c r="L3087" t="s">
        <v>96</v>
      </c>
      <c r="M3087">
        <v>1228.5</v>
      </c>
      <c r="O3087" s="12" t="str">
        <f t="shared" si="110"/>
        <v>EUR</v>
      </c>
      <c r="P3087" s="12" t="str">
        <f t="shared" si="111"/>
        <v>E_SPV</v>
      </c>
    </row>
    <row r="3088" spans="1:16" x14ac:dyDescent="0.35">
      <c r="A3088" t="s">
        <v>1586</v>
      </c>
      <c r="B3088" t="s">
        <v>73</v>
      </c>
      <c r="C3088" t="s">
        <v>45</v>
      </c>
      <c r="D3088" t="s">
        <v>1989</v>
      </c>
      <c r="E3088" t="s">
        <v>96</v>
      </c>
      <c r="F3088" t="s">
        <v>96</v>
      </c>
      <c r="G3088" t="s">
        <v>96</v>
      </c>
      <c r="H3088">
        <v>2010</v>
      </c>
      <c r="I3088" t="s">
        <v>96</v>
      </c>
      <c r="J3088" t="s">
        <v>97</v>
      </c>
      <c r="K3088" t="s">
        <v>96</v>
      </c>
      <c r="L3088" t="s">
        <v>96</v>
      </c>
      <c r="M3088">
        <v>1170</v>
      </c>
      <c r="O3088" s="12" t="str">
        <f t="shared" si="110"/>
        <v>EUR</v>
      </c>
      <c r="P3088" s="12" t="str">
        <f t="shared" si="111"/>
        <v>E_SPV</v>
      </c>
    </row>
    <row r="3089" spans="1:16" x14ac:dyDescent="0.35">
      <c r="A3089" t="s">
        <v>1586</v>
      </c>
      <c r="B3089" t="s">
        <v>73</v>
      </c>
      <c r="C3089" t="s">
        <v>45</v>
      </c>
      <c r="D3089" t="s">
        <v>1990</v>
      </c>
      <c r="E3089" t="s">
        <v>96</v>
      </c>
      <c r="F3089" t="s">
        <v>96</v>
      </c>
      <c r="G3089" t="s">
        <v>96</v>
      </c>
      <c r="H3089">
        <v>2010</v>
      </c>
      <c r="I3089" t="s">
        <v>96</v>
      </c>
      <c r="J3089" t="s">
        <v>97</v>
      </c>
      <c r="K3089" t="s">
        <v>96</v>
      </c>
      <c r="L3089" t="s">
        <v>96</v>
      </c>
      <c r="M3089">
        <v>1209</v>
      </c>
      <c r="O3089" s="12" t="str">
        <f t="shared" si="110"/>
        <v>EUR</v>
      </c>
      <c r="P3089" s="12" t="str">
        <f t="shared" si="111"/>
        <v>E_SPV</v>
      </c>
    </row>
    <row r="3090" spans="1:16" x14ac:dyDescent="0.35">
      <c r="A3090" t="s">
        <v>1586</v>
      </c>
      <c r="B3090" t="s">
        <v>73</v>
      </c>
      <c r="C3090" t="s">
        <v>45</v>
      </c>
      <c r="D3090" t="s">
        <v>1991</v>
      </c>
      <c r="E3090" t="s">
        <v>96</v>
      </c>
      <c r="F3090" t="s">
        <v>96</v>
      </c>
      <c r="G3090" t="s">
        <v>96</v>
      </c>
      <c r="H3090">
        <v>2010</v>
      </c>
      <c r="I3090" t="s">
        <v>96</v>
      </c>
      <c r="J3090" t="s">
        <v>97</v>
      </c>
      <c r="K3090" t="s">
        <v>96</v>
      </c>
      <c r="L3090" t="s">
        <v>96</v>
      </c>
      <c r="M3090">
        <v>1228.5</v>
      </c>
      <c r="O3090" s="12" t="str">
        <f t="shared" si="110"/>
        <v>EUR</v>
      </c>
      <c r="P3090" s="12" t="str">
        <f t="shared" si="111"/>
        <v>E_SPV</v>
      </c>
    </row>
    <row r="3091" spans="1:16" x14ac:dyDescent="0.35">
      <c r="A3091" t="s">
        <v>1586</v>
      </c>
      <c r="B3091" t="s">
        <v>73</v>
      </c>
      <c r="C3091" t="s">
        <v>45</v>
      </c>
      <c r="D3091" t="s">
        <v>1992</v>
      </c>
      <c r="E3091" t="s">
        <v>96</v>
      </c>
      <c r="F3091" t="s">
        <v>96</v>
      </c>
      <c r="G3091" t="s">
        <v>96</v>
      </c>
      <c r="H3091">
        <v>2010</v>
      </c>
      <c r="I3091" t="s">
        <v>96</v>
      </c>
      <c r="J3091" t="s">
        <v>97</v>
      </c>
      <c r="K3091" t="s">
        <v>96</v>
      </c>
      <c r="L3091" t="s">
        <v>96</v>
      </c>
      <c r="M3091">
        <v>1228.5</v>
      </c>
      <c r="O3091" s="12" t="str">
        <f t="shared" si="110"/>
        <v>EUR</v>
      </c>
      <c r="P3091" s="12" t="str">
        <f t="shared" si="111"/>
        <v>E_SPV</v>
      </c>
    </row>
    <row r="3092" spans="1:16" x14ac:dyDescent="0.35">
      <c r="A3092" t="s">
        <v>1586</v>
      </c>
      <c r="B3092" t="s">
        <v>73</v>
      </c>
      <c r="C3092" t="s">
        <v>45</v>
      </c>
      <c r="D3092" t="s">
        <v>1993</v>
      </c>
      <c r="E3092" t="s">
        <v>96</v>
      </c>
      <c r="F3092" t="s">
        <v>96</v>
      </c>
      <c r="G3092" t="s">
        <v>96</v>
      </c>
      <c r="H3092">
        <v>2010</v>
      </c>
      <c r="I3092" t="s">
        <v>96</v>
      </c>
      <c r="J3092" t="s">
        <v>97</v>
      </c>
      <c r="K3092" t="s">
        <v>96</v>
      </c>
      <c r="L3092" t="s">
        <v>96</v>
      </c>
      <c r="M3092">
        <v>1170</v>
      </c>
      <c r="O3092" s="12" t="str">
        <f t="shared" si="110"/>
        <v>EUR</v>
      </c>
      <c r="P3092" s="12" t="str">
        <f t="shared" si="111"/>
        <v>E_SPV</v>
      </c>
    </row>
    <row r="3093" spans="1:16" x14ac:dyDescent="0.35">
      <c r="A3093" t="s">
        <v>1586</v>
      </c>
      <c r="B3093" t="s">
        <v>73</v>
      </c>
      <c r="C3093" t="s">
        <v>45</v>
      </c>
      <c r="D3093" t="s">
        <v>1994</v>
      </c>
      <c r="E3093" t="s">
        <v>96</v>
      </c>
      <c r="F3093" t="s">
        <v>96</v>
      </c>
      <c r="G3093" t="s">
        <v>96</v>
      </c>
      <c r="H3093">
        <v>2010</v>
      </c>
      <c r="I3093" t="s">
        <v>96</v>
      </c>
      <c r="J3093" t="s">
        <v>97</v>
      </c>
      <c r="K3093" t="s">
        <v>96</v>
      </c>
      <c r="L3093" t="s">
        <v>96</v>
      </c>
      <c r="M3093">
        <v>1228.5</v>
      </c>
      <c r="O3093" s="12" t="str">
        <f t="shared" si="110"/>
        <v>EUR</v>
      </c>
      <c r="P3093" s="12" t="str">
        <f t="shared" si="111"/>
        <v>E_SPV</v>
      </c>
    </row>
    <row r="3094" spans="1:16" x14ac:dyDescent="0.35">
      <c r="A3094" t="s">
        <v>1586</v>
      </c>
      <c r="B3094" t="s">
        <v>73</v>
      </c>
      <c r="C3094" t="s">
        <v>45</v>
      </c>
      <c r="D3094" t="s">
        <v>1995</v>
      </c>
      <c r="E3094" t="s">
        <v>96</v>
      </c>
      <c r="F3094" t="s">
        <v>96</v>
      </c>
      <c r="G3094" t="s">
        <v>96</v>
      </c>
      <c r="H3094">
        <v>2010</v>
      </c>
      <c r="I3094" t="s">
        <v>96</v>
      </c>
      <c r="J3094" t="s">
        <v>97</v>
      </c>
      <c r="K3094" t="s">
        <v>96</v>
      </c>
      <c r="L3094" t="s">
        <v>96</v>
      </c>
      <c r="M3094">
        <v>1228.5</v>
      </c>
      <c r="O3094" s="12" t="str">
        <f t="shared" si="110"/>
        <v>EUR</v>
      </c>
      <c r="P3094" s="12" t="str">
        <f t="shared" si="111"/>
        <v>E_SPV</v>
      </c>
    </row>
    <row r="3095" spans="1:16" x14ac:dyDescent="0.35">
      <c r="A3095" t="s">
        <v>1586</v>
      </c>
      <c r="B3095" t="s">
        <v>73</v>
      </c>
      <c r="C3095" t="s">
        <v>45</v>
      </c>
      <c r="D3095" t="s">
        <v>1996</v>
      </c>
      <c r="E3095" t="s">
        <v>96</v>
      </c>
      <c r="F3095" t="s">
        <v>96</v>
      </c>
      <c r="G3095" t="s">
        <v>96</v>
      </c>
      <c r="H3095">
        <v>2010</v>
      </c>
      <c r="I3095" t="s">
        <v>96</v>
      </c>
      <c r="J3095" t="s">
        <v>97</v>
      </c>
      <c r="K3095" t="s">
        <v>96</v>
      </c>
      <c r="L3095" t="s">
        <v>96</v>
      </c>
      <c r="M3095">
        <v>1228.5</v>
      </c>
      <c r="O3095" s="12" t="str">
        <f t="shared" si="110"/>
        <v>EUR</v>
      </c>
      <c r="P3095" s="12" t="str">
        <f t="shared" si="111"/>
        <v>E_SPV</v>
      </c>
    </row>
    <row r="3096" spans="1:16" x14ac:dyDescent="0.35">
      <c r="A3096" t="s">
        <v>1586</v>
      </c>
      <c r="B3096" t="s">
        <v>73</v>
      </c>
      <c r="C3096" t="s">
        <v>45</v>
      </c>
      <c r="D3096" t="s">
        <v>1997</v>
      </c>
      <c r="E3096" t="s">
        <v>96</v>
      </c>
      <c r="F3096" t="s">
        <v>96</v>
      </c>
      <c r="G3096" t="s">
        <v>96</v>
      </c>
      <c r="H3096">
        <v>2010</v>
      </c>
      <c r="I3096" t="s">
        <v>96</v>
      </c>
      <c r="J3096" t="s">
        <v>97</v>
      </c>
      <c r="K3096" t="s">
        <v>96</v>
      </c>
      <c r="L3096" t="s">
        <v>96</v>
      </c>
      <c r="M3096">
        <v>1228.5</v>
      </c>
      <c r="O3096" s="12" t="str">
        <f t="shared" si="110"/>
        <v>EUR</v>
      </c>
      <c r="P3096" s="12" t="str">
        <f t="shared" si="111"/>
        <v>E_SPV</v>
      </c>
    </row>
    <row r="3097" spans="1:16" x14ac:dyDescent="0.35">
      <c r="A3097" t="s">
        <v>1586</v>
      </c>
      <c r="B3097" t="s">
        <v>73</v>
      </c>
      <c r="C3097" t="s">
        <v>45</v>
      </c>
      <c r="D3097" t="s">
        <v>1998</v>
      </c>
      <c r="E3097" t="s">
        <v>96</v>
      </c>
      <c r="F3097" t="s">
        <v>96</v>
      </c>
      <c r="G3097" t="s">
        <v>96</v>
      </c>
      <c r="H3097">
        <v>2010</v>
      </c>
      <c r="I3097" t="s">
        <v>96</v>
      </c>
      <c r="J3097" t="s">
        <v>97</v>
      </c>
      <c r="K3097" t="s">
        <v>96</v>
      </c>
      <c r="L3097" t="s">
        <v>96</v>
      </c>
      <c r="M3097">
        <v>1228.5</v>
      </c>
      <c r="O3097" s="12" t="str">
        <f t="shared" si="110"/>
        <v>EUR</v>
      </c>
      <c r="P3097" s="12" t="str">
        <f t="shared" si="111"/>
        <v>E_SPV</v>
      </c>
    </row>
    <row r="3098" spans="1:16" x14ac:dyDescent="0.35">
      <c r="A3098" t="s">
        <v>1586</v>
      </c>
      <c r="B3098" t="s">
        <v>73</v>
      </c>
      <c r="C3098" t="s">
        <v>45</v>
      </c>
      <c r="D3098" t="s">
        <v>1999</v>
      </c>
      <c r="E3098" t="s">
        <v>96</v>
      </c>
      <c r="F3098" t="s">
        <v>96</v>
      </c>
      <c r="G3098" t="s">
        <v>96</v>
      </c>
      <c r="H3098">
        <v>2010</v>
      </c>
      <c r="I3098" t="s">
        <v>96</v>
      </c>
      <c r="J3098" t="s">
        <v>97</v>
      </c>
      <c r="K3098" t="s">
        <v>96</v>
      </c>
      <c r="L3098" t="s">
        <v>96</v>
      </c>
      <c r="M3098">
        <v>1228.5</v>
      </c>
      <c r="O3098" s="12" t="str">
        <f t="shared" si="110"/>
        <v>EUR</v>
      </c>
      <c r="P3098" s="12" t="str">
        <f t="shared" si="111"/>
        <v>E_SPV</v>
      </c>
    </row>
    <row r="3099" spans="1:16" x14ac:dyDescent="0.35">
      <c r="A3099" t="s">
        <v>1586</v>
      </c>
      <c r="B3099" t="s">
        <v>73</v>
      </c>
      <c r="C3099" t="s">
        <v>45</v>
      </c>
      <c r="D3099" t="s">
        <v>2000</v>
      </c>
      <c r="E3099" t="s">
        <v>96</v>
      </c>
      <c r="F3099" t="s">
        <v>96</v>
      </c>
      <c r="G3099" t="s">
        <v>96</v>
      </c>
      <c r="H3099">
        <v>2010</v>
      </c>
      <c r="I3099" t="s">
        <v>96</v>
      </c>
      <c r="J3099" t="s">
        <v>97</v>
      </c>
      <c r="K3099" t="s">
        <v>96</v>
      </c>
      <c r="L3099" t="s">
        <v>96</v>
      </c>
      <c r="M3099">
        <v>1443</v>
      </c>
      <c r="O3099" s="12" t="str">
        <f t="shared" si="110"/>
        <v>EUR</v>
      </c>
      <c r="P3099" s="12" t="str">
        <f t="shared" si="111"/>
        <v>E_SPV</v>
      </c>
    </row>
    <row r="3100" spans="1:16" x14ac:dyDescent="0.35">
      <c r="A3100" t="s">
        <v>1586</v>
      </c>
      <c r="B3100" t="s">
        <v>73</v>
      </c>
      <c r="C3100" t="s">
        <v>45</v>
      </c>
      <c r="D3100" t="s">
        <v>2001</v>
      </c>
      <c r="E3100" t="s">
        <v>96</v>
      </c>
      <c r="F3100" t="s">
        <v>96</v>
      </c>
      <c r="G3100" t="s">
        <v>96</v>
      </c>
      <c r="H3100">
        <v>2010</v>
      </c>
      <c r="I3100" t="s">
        <v>96</v>
      </c>
      <c r="J3100" t="s">
        <v>97</v>
      </c>
      <c r="K3100" t="s">
        <v>96</v>
      </c>
      <c r="L3100" t="s">
        <v>96</v>
      </c>
      <c r="M3100">
        <v>1228.5</v>
      </c>
      <c r="O3100" s="12" t="str">
        <f t="shared" si="110"/>
        <v>EUR</v>
      </c>
      <c r="P3100" s="12" t="str">
        <f t="shared" si="111"/>
        <v>E_SPV</v>
      </c>
    </row>
    <row r="3101" spans="1:16" x14ac:dyDescent="0.35">
      <c r="A3101" t="s">
        <v>1586</v>
      </c>
      <c r="B3101" t="s">
        <v>73</v>
      </c>
      <c r="C3101" t="s">
        <v>45</v>
      </c>
      <c r="D3101" t="s">
        <v>2002</v>
      </c>
      <c r="E3101" t="s">
        <v>96</v>
      </c>
      <c r="F3101" t="s">
        <v>96</v>
      </c>
      <c r="G3101" t="s">
        <v>96</v>
      </c>
      <c r="H3101">
        <v>2010</v>
      </c>
      <c r="I3101" t="s">
        <v>96</v>
      </c>
      <c r="J3101" t="s">
        <v>97</v>
      </c>
      <c r="K3101" t="s">
        <v>96</v>
      </c>
      <c r="L3101" t="s">
        <v>96</v>
      </c>
      <c r="M3101">
        <v>1228.5</v>
      </c>
      <c r="O3101" s="12" t="str">
        <f t="shared" si="110"/>
        <v>EUR</v>
      </c>
      <c r="P3101" s="12" t="str">
        <f t="shared" si="111"/>
        <v>E_SPV</v>
      </c>
    </row>
    <row r="3102" spans="1:16" x14ac:dyDescent="0.35">
      <c r="A3102" t="s">
        <v>1586</v>
      </c>
      <c r="B3102" t="s">
        <v>73</v>
      </c>
      <c r="C3102" t="s">
        <v>45</v>
      </c>
      <c r="D3102" t="s">
        <v>2003</v>
      </c>
      <c r="E3102" t="s">
        <v>96</v>
      </c>
      <c r="F3102" t="s">
        <v>96</v>
      </c>
      <c r="G3102" t="s">
        <v>96</v>
      </c>
      <c r="H3102">
        <v>2010</v>
      </c>
      <c r="I3102" t="s">
        <v>96</v>
      </c>
      <c r="J3102" t="s">
        <v>97</v>
      </c>
      <c r="K3102" t="s">
        <v>96</v>
      </c>
      <c r="L3102" t="s">
        <v>96</v>
      </c>
      <c r="M3102">
        <v>1228.5</v>
      </c>
      <c r="O3102" s="12" t="str">
        <f t="shared" si="110"/>
        <v>EUR</v>
      </c>
      <c r="P3102" s="12" t="str">
        <f t="shared" si="111"/>
        <v>E_SPV</v>
      </c>
    </row>
    <row r="3103" spans="1:16" x14ac:dyDescent="0.35">
      <c r="A3103" t="s">
        <v>1586</v>
      </c>
      <c r="B3103" t="s">
        <v>73</v>
      </c>
      <c r="C3103" t="s">
        <v>45</v>
      </c>
      <c r="D3103" t="s">
        <v>2004</v>
      </c>
      <c r="E3103" t="s">
        <v>96</v>
      </c>
      <c r="F3103" t="s">
        <v>96</v>
      </c>
      <c r="G3103" t="s">
        <v>96</v>
      </c>
      <c r="H3103">
        <v>2010</v>
      </c>
      <c r="I3103" t="s">
        <v>96</v>
      </c>
      <c r="J3103" t="s">
        <v>97</v>
      </c>
      <c r="K3103" t="s">
        <v>96</v>
      </c>
      <c r="L3103" t="s">
        <v>96</v>
      </c>
      <c r="M3103">
        <v>1228.5</v>
      </c>
      <c r="O3103" s="12" t="str">
        <f t="shared" si="110"/>
        <v>EUR</v>
      </c>
      <c r="P3103" s="12" t="str">
        <f t="shared" si="111"/>
        <v>E_SPV</v>
      </c>
    </row>
    <row r="3104" spans="1:16" x14ac:dyDescent="0.35">
      <c r="A3104" t="s">
        <v>1586</v>
      </c>
      <c r="B3104" t="s">
        <v>73</v>
      </c>
      <c r="C3104" t="s">
        <v>45</v>
      </c>
      <c r="D3104" t="s">
        <v>2005</v>
      </c>
      <c r="E3104" t="s">
        <v>96</v>
      </c>
      <c r="F3104" t="s">
        <v>96</v>
      </c>
      <c r="G3104" t="s">
        <v>96</v>
      </c>
      <c r="H3104">
        <v>2010</v>
      </c>
      <c r="I3104" t="s">
        <v>96</v>
      </c>
      <c r="J3104" t="s">
        <v>97</v>
      </c>
      <c r="K3104" t="s">
        <v>96</v>
      </c>
      <c r="L3104" t="s">
        <v>96</v>
      </c>
      <c r="M3104">
        <v>1170</v>
      </c>
      <c r="O3104" s="12" t="str">
        <f t="shared" si="110"/>
        <v>EUR</v>
      </c>
      <c r="P3104" s="12" t="str">
        <f t="shared" si="111"/>
        <v>E_SPV</v>
      </c>
    </row>
    <row r="3105" spans="1:16" x14ac:dyDescent="0.35">
      <c r="A3105" t="s">
        <v>1586</v>
      </c>
      <c r="B3105" t="s">
        <v>73</v>
      </c>
      <c r="C3105" t="s">
        <v>45</v>
      </c>
      <c r="D3105" t="s">
        <v>2006</v>
      </c>
      <c r="E3105" t="s">
        <v>96</v>
      </c>
      <c r="F3105" t="s">
        <v>96</v>
      </c>
      <c r="G3105" t="s">
        <v>96</v>
      </c>
      <c r="H3105">
        <v>2010</v>
      </c>
      <c r="I3105" t="s">
        <v>96</v>
      </c>
      <c r="J3105" t="s">
        <v>97</v>
      </c>
      <c r="K3105" t="s">
        <v>96</v>
      </c>
      <c r="L3105" t="s">
        <v>96</v>
      </c>
      <c r="M3105">
        <v>1228.5</v>
      </c>
      <c r="O3105" s="12" t="str">
        <f t="shared" si="110"/>
        <v>EUR</v>
      </c>
      <c r="P3105" s="12" t="str">
        <f t="shared" si="111"/>
        <v>E_SPV</v>
      </c>
    </row>
    <row r="3106" spans="1:16" x14ac:dyDescent="0.35">
      <c r="A3106" t="s">
        <v>1586</v>
      </c>
      <c r="B3106" t="s">
        <v>73</v>
      </c>
      <c r="C3106" t="s">
        <v>45</v>
      </c>
      <c r="D3106" t="s">
        <v>2007</v>
      </c>
      <c r="E3106" t="s">
        <v>96</v>
      </c>
      <c r="F3106" t="s">
        <v>96</v>
      </c>
      <c r="G3106" t="s">
        <v>96</v>
      </c>
      <c r="H3106">
        <v>2010</v>
      </c>
      <c r="I3106" t="s">
        <v>96</v>
      </c>
      <c r="J3106" t="s">
        <v>97</v>
      </c>
      <c r="K3106" t="s">
        <v>96</v>
      </c>
      <c r="L3106" t="s">
        <v>96</v>
      </c>
      <c r="M3106">
        <v>1228.5</v>
      </c>
      <c r="O3106" s="12" t="str">
        <f t="shared" si="110"/>
        <v>EUR</v>
      </c>
      <c r="P3106" s="12" t="str">
        <f t="shared" si="111"/>
        <v>E_SPV</v>
      </c>
    </row>
    <row r="3107" spans="1:16" x14ac:dyDescent="0.35">
      <c r="A3107" t="s">
        <v>1586</v>
      </c>
      <c r="B3107" t="s">
        <v>73</v>
      </c>
      <c r="C3107" t="s">
        <v>45</v>
      </c>
      <c r="D3107" t="s">
        <v>2008</v>
      </c>
      <c r="E3107" t="s">
        <v>96</v>
      </c>
      <c r="F3107" t="s">
        <v>96</v>
      </c>
      <c r="G3107" t="s">
        <v>96</v>
      </c>
      <c r="H3107">
        <v>2010</v>
      </c>
      <c r="I3107" t="s">
        <v>96</v>
      </c>
      <c r="J3107" t="s">
        <v>97</v>
      </c>
      <c r="K3107" t="s">
        <v>96</v>
      </c>
      <c r="L3107" t="s">
        <v>96</v>
      </c>
      <c r="M3107">
        <v>1228.5</v>
      </c>
      <c r="O3107" s="12" t="str">
        <f t="shared" si="110"/>
        <v>EUR</v>
      </c>
      <c r="P3107" s="12" t="str">
        <f t="shared" si="111"/>
        <v>E_SPV</v>
      </c>
    </row>
    <row r="3108" spans="1:16" x14ac:dyDescent="0.35">
      <c r="A3108" t="s">
        <v>1586</v>
      </c>
      <c r="B3108" t="s">
        <v>73</v>
      </c>
      <c r="C3108" t="s">
        <v>45</v>
      </c>
      <c r="D3108" t="s">
        <v>2009</v>
      </c>
      <c r="E3108" t="s">
        <v>96</v>
      </c>
      <c r="F3108" t="s">
        <v>96</v>
      </c>
      <c r="G3108" t="s">
        <v>96</v>
      </c>
      <c r="H3108">
        <v>2010</v>
      </c>
      <c r="I3108" t="s">
        <v>96</v>
      </c>
      <c r="J3108" t="s">
        <v>97</v>
      </c>
      <c r="K3108" t="s">
        <v>96</v>
      </c>
      <c r="L3108" t="s">
        <v>96</v>
      </c>
      <c r="M3108">
        <v>1228.5</v>
      </c>
      <c r="O3108" s="12" t="str">
        <f t="shared" si="110"/>
        <v>EUR</v>
      </c>
      <c r="P3108" s="12" t="str">
        <f t="shared" si="111"/>
        <v>E_SPV</v>
      </c>
    </row>
    <row r="3109" spans="1:16" x14ac:dyDescent="0.35">
      <c r="A3109" t="s">
        <v>1586</v>
      </c>
      <c r="B3109" t="s">
        <v>73</v>
      </c>
      <c r="C3109" t="s">
        <v>45</v>
      </c>
      <c r="D3109" t="s">
        <v>2010</v>
      </c>
      <c r="E3109" t="s">
        <v>96</v>
      </c>
      <c r="F3109" t="s">
        <v>96</v>
      </c>
      <c r="G3109" t="s">
        <v>96</v>
      </c>
      <c r="H3109">
        <v>2010</v>
      </c>
      <c r="I3109" t="s">
        <v>96</v>
      </c>
      <c r="J3109" t="s">
        <v>97</v>
      </c>
      <c r="K3109" t="s">
        <v>96</v>
      </c>
      <c r="L3109" t="s">
        <v>96</v>
      </c>
      <c r="M3109">
        <v>1170</v>
      </c>
      <c r="O3109" s="12" t="str">
        <f t="shared" si="110"/>
        <v>EUR</v>
      </c>
      <c r="P3109" s="12" t="str">
        <f t="shared" si="111"/>
        <v>E_SPV</v>
      </c>
    </row>
    <row r="3110" spans="1:16" x14ac:dyDescent="0.35">
      <c r="A3110" t="s">
        <v>1586</v>
      </c>
      <c r="B3110" t="s">
        <v>73</v>
      </c>
      <c r="C3110" t="s">
        <v>45</v>
      </c>
      <c r="D3110" t="s">
        <v>2011</v>
      </c>
      <c r="E3110" t="s">
        <v>96</v>
      </c>
      <c r="F3110" t="s">
        <v>96</v>
      </c>
      <c r="G3110" t="s">
        <v>96</v>
      </c>
      <c r="H3110">
        <v>2010</v>
      </c>
      <c r="I3110" t="s">
        <v>96</v>
      </c>
      <c r="J3110" t="s">
        <v>97</v>
      </c>
      <c r="K3110" t="s">
        <v>96</v>
      </c>
      <c r="L3110" t="s">
        <v>96</v>
      </c>
      <c r="M3110">
        <v>1209</v>
      </c>
      <c r="O3110" s="12" t="str">
        <f t="shared" si="110"/>
        <v>EUR</v>
      </c>
      <c r="P3110" s="12" t="str">
        <f t="shared" si="111"/>
        <v>E_SPV</v>
      </c>
    </row>
    <row r="3111" spans="1:16" x14ac:dyDescent="0.35">
      <c r="A3111" t="s">
        <v>1586</v>
      </c>
      <c r="B3111" t="s">
        <v>73</v>
      </c>
      <c r="C3111" t="s">
        <v>45</v>
      </c>
      <c r="D3111" t="s">
        <v>2012</v>
      </c>
      <c r="E3111" t="s">
        <v>96</v>
      </c>
      <c r="F3111" t="s">
        <v>96</v>
      </c>
      <c r="G3111" t="s">
        <v>96</v>
      </c>
      <c r="H3111">
        <v>2010</v>
      </c>
      <c r="I3111" t="s">
        <v>96</v>
      </c>
      <c r="J3111" t="s">
        <v>97</v>
      </c>
      <c r="K3111" t="s">
        <v>96</v>
      </c>
      <c r="L3111" t="s">
        <v>96</v>
      </c>
      <c r="M3111">
        <v>1228.5</v>
      </c>
      <c r="O3111" s="12" t="str">
        <f t="shared" si="110"/>
        <v>EUR</v>
      </c>
      <c r="P3111" s="12" t="str">
        <f t="shared" si="111"/>
        <v>E_SPV</v>
      </c>
    </row>
    <row r="3112" spans="1:16" x14ac:dyDescent="0.35">
      <c r="A3112" t="s">
        <v>1586</v>
      </c>
      <c r="B3112" t="s">
        <v>73</v>
      </c>
      <c r="C3112" t="s">
        <v>45</v>
      </c>
      <c r="D3112" t="s">
        <v>2013</v>
      </c>
      <c r="E3112" t="s">
        <v>96</v>
      </c>
      <c r="F3112" t="s">
        <v>96</v>
      </c>
      <c r="G3112" t="s">
        <v>96</v>
      </c>
      <c r="H3112">
        <v>2010</v>
      </c>
      <c r="I3112" t="s">
        <v>96</v>
      </c>
      <c r="J3112" t="s">
        <v>97</v>
      </c>
      <c r="K3112" t="s">
        <v>96</v>
      </c>
      <c r="L3112" t="s">
        <v>96</v>
      </c>
      <c r="M3112">
        <v>1228.5</v>
      </c>
      <c r="O3112" s="12" t="str">
        <f t="shared" si="110"/>
        <v>EUR</v>
      </c>
      <c r="P3112" s="12" t="str">
        <f t="shared" si="111"/>
        <v>E_SPV</v>
      </c>
    </row>
    <row r="3113" spans="1:16" x14ac:dyDescent="0.35">
      <c r="A3113" t="s">
        <v>1586</v>
      </c>
      <c r="B3113" t="s">
        <v>73</v>
      </c>
      <c r="C3113" t="s">
        <v>45</v>
      </c>
      <c r="D3113" t="s">
        <v>2014</v>
      </c>
      <c r="E3113" t="s">
        <v>96</v>
      </c>
      <c r="F3113" t="s">
        <v>96</v>
      </c>
      <c r="G3113" t="s">
        <v>96</v>
      </c>
      <c r="H3113">
        <v>2010</v>
      </c>
      <c r="I3113" t="s">
        <v>96</v>
      </c>
      <c r="J3113" t="s">
        <v>97</v>
      </c>
      <c r="K3113" t="s">
        <v>96</v>
      </c>
      <c r="L3113" t="s">
        <v>96</v>
      </c>
      <c r="M3113">
        <v>1228.5</v>
      </c>
      <c r="O3113" s="12" t="str">
        <f t="shared" si="110"/>
        <v>EUR</v>
      </c>
      <c r="P3113" s="12" t="str">
        <f t="shared" si="111"/>
        <v>E_SPV</v>
      </c>
    </row>
    <row r="3114" spans="1:16" x14ac:dyDescent="0.35">
      <c r="A3114" t="s">
        <v>1586</v>
      </c>
      <c r="B3114" t="s">
        <v>73</v>
      </c>
      <c r="C3114" t="s">
        <v>45</v>
      </c>
      <c r="D3114" t="s">
        <v>2015</v>
      </c>
      <c r="E3114" t="s">
        <v>96</v>
      </c>
      <c r="F3114" t="s">
        <v>96</v>
      </c>
      <c r="G3114" t="s">
        <v>96</v>
      </c>
      <c r="H3114">
        <v>2010</v>
      </c>
      <c r="I3114" t="s">
        <v>96</v>
      </c>
      <c r="J3114" t="s">
        <v>97</v>
      </c>
      <c r="K3114" t="s">
        <v>96</v>
      </c>
      <c r="L3114" t="s">
        <v>96</v>
      </c>
      <c r="M3114">
        <v>1170</v>
      </c>
      <c r="O3114" s="12" t="str">
        <f t="shared" si="110"/>
        <v>EUR</v>
      </c>
      <c r="P3114" s="12" t="str">
        <f t="shared" si="111"/>
        <v>E_SPV</v>
      </c>
    </row>
    <row r="3115" spans="1:16" x14ac:dyDescent="0.35">
      <c r="A3115" t="s">
        <v>1586</v>
      </c>
      <c r="B3115" t="s">
        <v>73</v>
      </c>
      <c r="C3115" t="s">
        <v>45</v>
      </c>
      <c r="D3115" t="s">
        <v>2016</v>
      </c>
      <c r="E3115" t="s">
        <v>96</v>
      </c>
      <c r="F3115" t="s">
        <v>96</v>
      </c>
      <c r="G3115" t="s">
        <v>96</v>
      </c>
      <c r="H3115">
        <v>2010</v>
      </c>
      <c r="I3115" t="s">
        <v>96</v>
      </c>
      <c r="J3115" t="s">
        <v>97</v>
      </c>
      <c r="K3115" t="s">
        <v>96</v>
      </c>
      <c r="L3115" t="s">
        <v>96</v>
      </c>
      <c r="M3115">
        <v>1228.5</v>
      </c>
      <c r="O3115" s="12" t="str">
        <f t="shared" si="110"/>
        <v>EUR</v>
      </c>
      <c r="P3115" s="12" t="str">
        <f t="shared" si="111"/>
        <v>E_SPV</v>
      </c>
    </row>
    <row r="3116" spans="1:16" x14ac:dyDescent="0.35">
      <c r="A3116" t="s">
        <v>1586</v>
      </c>
      <c r="B3116" t="s">
        <v>73</v>
      </c>
      <c r="C3116" t="s">
        <v>45</v>
      </c>
      <c r="D3116" t="s">
        <v>2017</v>
      </c>
      <c r="E3116" t="s">
        <v>96</v>
      </c>
      <c r="F3116" t="s">
        <v>96</v>
      </c>
      <c r="G3116" t="s">
        <v>96</v>
      </c>
      <c r="H3116">
        <v>2010</v>
      </c>
      <c r="I3116" t="s">
        <v>96</v>
      </c>
      <c r="J3116" t="s">
        <v>97</v>
      </c>
      <c r="K3116" t="s">
        <v>96</v>
      </c>
      <c r="L3116" t="s">
        <v>96</v>
      </c>
      <c r="M3116">
        <v>1228.5</v>
      </c>
      <c r="O3116" s="12" t="str">
        <f t="shared" si="110"/>
        <v>EUR</v>
      </c>
      <c r="P3116" s="12" t="str">
        <f t="shared" si="111"/>
        <v>E_SPV</v>
      </c>
    </row>
    <row r="3117" spans="1:16" x14ac:dyDescent="0.35">
      <c r="A3117" t="s">
        <v>1586</v>
      </c>
      <c r="B3117" t="s">
        <v>73</v>
      </c>
      <c r="C3117" t="s">
        <v>45</v>
      </c>
      <c r="D3117" t="s">
        <v>2018</v>
      </c>
      <c r="E3117" t="s">
        <v>96</v>
      </c>
      <c r="F3117" t="s">
        <v>96</v>
      </c>
      <c r="G3117" t="s">
        <v>96</v>
      </c>
      <c r="H3117">
        <v>2010</v>
      </c>
      <c r="I3117" t="s">
        <v>96</v>
      </c>
      <c r="J3117" t="s">
        <v>97</v>
      </c>
      <c r="K3117" t="s">
        <v>96</v>
      </c>
      <c r="L3117" t="s">
        <v>96</v>
      </c>
      <c r="M3117">
        <v>1228.5</v>
      </c>
      <c r="O3117" s="12" t="str">
        <f t="shared" si="110"/>
        <v>EUR</v>
      </c>
      <c r="P3117" s="12" t="str">
        <f t="shared" si="111"/>
        <v>E_SPV</v>
      </c>
    </row>
    <row r="3118" spans="1:16" x14ac:dyDescent="0.35">
      <c r="A3118" t="s">
        <v>1586</v>
      </c>
      <c r="B3118" t="s">
        <v>73</v>
      </c>
      <c r="C3118" t="s">
        <v>45</v>
      </c>
      <c r="D3118" t="s">
        <v>2019</v>
      </c>
      <c r="E3118" t="s">
        <v>96</v>
      </c>
      <c r="F3118" t="s">
        <v>96</v>
      </c>
      <c r="G3118" t="s">
        <v>96</v>
      </c>
      <c r="H3118">
        <v>2010</v>
      </c>
      <c r="I3118" t="s">
        <v>96</v>
      </c>
      <c r="J3118" t="s">
        <v>97</v>
      </c>
      <c r="K3118" t="s">
        <v>96</v>
      </c>
      <c r="L3118" t="s">
        <v>96</v>
      </c>
      <c r="M3118">
        <v>1228.5</v>
      </c>
      <c r="O3118" s="12" t="str">
        <f t="shared" si="110"/>
        <v>EUR</v>
      </c>
      <c r="P3118" s="12" t="str">
        <f t="shared" si="111"/>
        <v>E_SPV</v>
      </c>
    </row>
    <row r="3119" spans="1:16" x14ac:dyDescent="0.35">
      <c r="A3119" t="s">
        <v>1586</v>
      </c>
      <c r="B3119" t="s">
        <v>73</v>
      </c>
      <c r="C3119" t="s">
        <v>45</v>
      </c>
      <c r="D3119" t="s">
        <v>2020</v>
      </c>
      <c r="E3119" t="s">
        <v>96</v>
      </c>
      <c r="F3119" t="s">
        <v>96</v>
      </c>
      <c r="G3119" t="s">
        <v>96</v>
      </c>
      <c r="H3119">
        <v>2010</v>
      </c>
      <c r="I3119" t="s">
        <v>96</v>
      </c>
      <c r="J3119" t="s">
        <v>97</v>
      </c>
      <c r="K3119" t="s">
        <v>96</v>
      </c>
      <c r="L3119" t="s">
        <v>96</v>
      </c>
      <c r="M3119">
        <v>1228.5</v>
      </c>
      <c r="O3119" s="12" t="str">
        <f t="shared" si="110"/>
        <v>EUR</v>
      </c>
      <c r="P3119" s="12" t="str">
        <f t="shared" si="111"/>
        <v>E_SPV</v>
      </c>
    </row>
    <row r="3120" spans="1:16" x14ac:dyDescent="0.35">
      <c r="A3120" t="s">
        <v>1586</v>
      </c>
      <c r="B3120" t="s">
        <v>73</v>
      </c>
      <c r="C3120" t="s">
        <v>45</v>
      </c>
      <c r="D3120" t="s">
        <v>2021</v>
      </c>
      <c r="E3120" t="s">
        <v>96</v>
      </c>
      <c r="F3120" t="s">
        <v>96</v>
      </c>
      <c r="G3120" t="s">
        <v>96</v>
      </c>
      <c r="H3120">
        <v>2010</v>
      </c>
      <c r="I3120" t="s">
        <v>96</v>
      </c>
      <c r="J3120" t="s">
        <v>97</v>
      </c>
      <c r="K3120" t="s">
        <v>96</v>
      </c>
      <c r="L3120" t="s">
        <v>96</v>
      </c>
      <c r="M3120">
        <v>1228.5</v>
      </c>
      <c r="O3120" s="12" t="str">
        <f t="shared" si="110"/>
        <v>EUR</v>
      </c>
      <c r="P3120" s="12" t="str">
        <f t="shared" si="111"/>
        <v>E_SPV</v>
      </c>
    </row>
    <row r="3121" spans="1:16" x14ac:dyDescent="0.35">
      <c r="A3121" t="s">
        <v>1586</v>
      </c>
      <c r="B3121" t="s">
        <v>73</v>
      </c>
      <c r="C3121" t="s">
        <v>45</v>
      </c>
      <c r="D3121" t="s">
        <v>2022</v>
      </c>
      <c r="E3121" t="s">
        <v>96</v>
      </c>
      <c r="F3121" t="s">
        <v>96</v>
      </c>
      <c r="G3121" t="s">
        <v>96</v>
      </c>
      <c r="H3121">
        <v>2010</v>
      </c>
      <c r="I3121" t="s">
        <v>96</v>
      </c>
      <c r="J3121" t="s">
        <v>97</v>
      </c>
      <c r="K3121" t="s">
        <v>96</v>
      </c>
      <c r="L3121" t="s">
        <v>96</v>
      </c>
      <c r="M3121">
        <v>1228.5</v>
      </c>
      <c r="O3121" s="12" t="str">
        <f t="shared" si="110"/>
        <v>EUR</v>
      </c>
      <c r="P3121" s="12" t="str">
        <f t="shared" si="111"/>
        <v>E_SPV</v>
      </c>
    </row>
    <row r="3122" spans="1:16" x14ac:dyDescent="0.35">
      <c r="A3122" t="s">
        <v>1586</v>
      </c>
      <c r="B3122" t="s">
        <v>73</v>
      </c>
      <c r="C3122" t="s">
        <v>45</v>
      </c>
      <c r="D3122" t="s">
        <v>2023</v>
      </c>
      <c r="E3122" t="s">
        <v>96</v>
      </c>
      <c r="F3122" t="s">
        <v>96</v>
      </c>
      <c r="G3122" t="s">
        <v>96</v>
      </c>
      <c r="H3122">
        <v>2010</v>
      </c>
      <c r="I3122" t="s">
        <v>96</v>
      </c>
      <c r="J3122" t="s">
        <v>97</v>
      </c>
      <c r="K3122" t="s">
        <v>96</v>
      </c>
      <c r="L3122" t="s">
        <v>96</v>
      </c>
      <c r="M3122">
        <v>1443</v>
      </c>
      <c r="O3122" s="12" t="str">
        <f t="shared" si="110"/>
        <v>EUR</v>
      </c>
      <c r="P3122" s="12" t="str">
        <f t="shared" si="111"/>
        <v>E_SPV</v>
      </c>
    </row>
    <row r="3123" spans="1:16" x14ac:dyDescent="0.35">
      <c r="A3123" t="s">
        <v>1586</v>
      </c>
      <c r="B3123" t="s">
        <v>73</v>
      </c>
      <c r="C3123" t="s">
        <v>45</v>
      </c>
      <c r="D3123" t="s">
        <v>2024</v>
      </c>
      <c r="E3123" t="s">
        <v>96</v>
      </c>
      <c r="F3123" t="s">
        <v>96</v>
      </c>
      <c r="G3123" t="s">
        <v>96</v>
      </c>
      <c r="H3123">
        <v>2010</v>
      </c>
      <c r="I3123" t="s">
        <v>96</v>
      </c>
      <c r="J3123" t="s">
        <v>97</v>
      </c>
      <c r="K3123" t="s">
        <v>96</v>
      </c>
      <c r="L3123" t="s">
        <v>96</v>
      </c>
      <c r="M3123">
        <v>1228.5</v>
      </c>
      <c r="O3123" s="12" t="str">
        <f t="shared" si="110"/>
        <v>EUR</v>
      </c>
      <c r="P3123" s="12" t="str">
        <f t="shared" si="111"/>
        <v>E_SPV</v>
      </c>
    </row>
    <row r="3124" spans="1:16" x14ac:dyDescent="0.35">
      <c r="A3124" t="s">
        <v>1586</v>
      </c>
      <c r="B3124" t="s">
        <v>73</v>
      </c>
      <c r="C3124" t="s">
        <v>45</v>
      </c>
      <c r="D3124" t="s">
        <v>2025</v>
      </c>
      <c r="E3124" t="s">
        <v>96</v>
      </c>
      <c r="F3124" t="s">
        <v>96</v>
      </c>
      <c r="G3124" t="s">
        <v>96</v>
      </c>
      <c r="H3124">
        <v>2010</v>
      </c>
      <c r="I3124" t="s">
        <v>96</v>
      </c>
      <c r="J3124" t="s">
        <v>97</v>
      </c>
      <c r="K3124" t="s">
        <v>96</v>
      </c>
      <c r="L3124" t="s">
        <v>96</v>
      </c>
      <c r="M3124">
        <v>1228.5</v>
      </c>
      <c r="O3124" s="12" t="str">
        <f t="shared" si="110"/>
        <v>EUR</v>
      </c>
      <c r="P3124" s="12" t="str">
        <f t="shared" si="111"/>
        <v>E_SPV</v>
      </c>
    </row>
    <row r="3125" spans="1:16" x14ac:dyDescent="0.35">
      <c r="A3125" t="s">
        <v>1586</v>
      </c>
      <c r="B3125" t="s">
        <v>73</v>
      </c>
      <c r="C3125" t="s">
        <v>45</v>
      </c>
      <c r="D3125" t="s">
        <v>2026</v>
      </c>
      <c r="E3125" t="s">
        <v>96</v>
      </c>
      <c r="F3125" t="s">
        <v>96</v>
      </c>
      <c r="G3125" t="s">
        <v>96</v>
      </c>
      <c r="H3125">
        <v>2010</v>
      </c>
      <c r="I3125" t="s">
        <v>96</v>
      </c>
      <c r="J3125" t="s">
        <v>97</v>
      </c>
      <c r="K3125" t="s">
        <v>96</v>
      </c>
      <c r="L3125" t="s">
        <v>96</v>
      </c>
      <c r="M3125">
        <v>1170</v>
      </c>
      <c r="O3125" s="12" t="str">
        <f t="shared" si="110"/>
        <v>EUR</v>
      </c>
      <c r="P3125" s="12" t="str">
        <f t="shared" si="111"/>
        <v>E_SPV</v>
      </c>
    </row>
    <row r="3126" spans="1:16" x14ac:dyDescent="0.35">
      <c r="A3126" t="s">
        <v>1586</v>
      </c>
      <c r="B3126" t="s">
        <v>73</v>
      </c>
      <c r="C3126" t="s">
        <v>45</v>
      </c>
      <c r="D3126" t="s">
        <v>2027</v>
      </c>
      <c r="E3126" t="s">
        <v>96</v>
      </c>
      <c r="F3126" t="s">
        <v>96</v>
      </c>
      <c r="G3126" t="s">
        <v>96</v>
      </c>
      <c r="H3126">
        <v>2010</v>
      </c>
      <c r="I3126" t="s">
        <v>96</v>
      </c>
      <c r="J3126" t="s">
        <v>97</v>
      </c>
      <c r="K3126" t="s">
        <v>96</v>
      </c>
      <c r="L3126" t="s">
        <v>96</v>
      </c>
      <c r="M3126">
        <v>1228.5</v>
      </c>
      <c r="O3126" s="12" t="str">
        <f t="shared" si="110"/>
        <v>EUR</v>
      </c>
      <c r="P3126" s="12" t="str">
        <f t="shared" si="111"/>
        <v>E_SPV</v>
      </c>
    </row>
    <row r="3127" spans="1:16" x14ac:dyDescent="0.35">
      <c r="A3127" t="s">
        <v>1586</v>
      </c>
      <c r="B3127" t="s">
        <v>73</v>
      </c>
      <c r="C3127" t="s">
        <v>45</v>
      </c>
      <c r="D3127" t="s">
        <v>2028</v>
      </c>
      <c r="E3127" t="s">
        <v>96</v>
      </c>
      <c r="F3127" t="s">
        <v>96</v>
      </c>
      <c r="G3127" t="s">
        <v>96</v>
      </c>
      <c r="H3127">
        <v>2010</v>
      </c>
      <c r="I3127" t="s">
        <v>96</v>
      </c>
      <c r="J3127" t="s">
        <v>97</v>
      </c>
      <c r="K3127" t="s">
        <v>96</v>
      </c>
      <c r="L3127" t="s">
        <v>96</v>
      </c>
      <c r="M3127">
        <v>1228.5</v>
      </c>
      <c r="O3127" s="12" t="str">
        <f t="shared" si="110"/>
        <v>EUR</v>
      </c>
      <c r="P3127" s="12" t="str">
        <f t="shared" si="111"/>
        <v>E_SPV</v>
      </c>
    </row>
    <row r="3128" spans="1:16" x14ac:dyDescent="0.35">
      <c r="A3128" t="s">
        <v>1586</v>
      </c>
      <c r="B3128" t="s">
        <v>73</v>
      </c>
      <c r="C3128" t="s">
        <v>45</v>
      </c>
      <c r="D3128" t="s">
        <v>2029</v>
      </c>
      <c r="E3128" t="s">
        <v>96</v>
      </c>
      <c r="F3128" t="s">
        <v>96</v>
      </c>
      <c r="G3128" t="s">
        <v>96</v>
      </c>
      <c r="H3128">
        <v>2010</v>
      </c>
      <c r="I3128" t="s">
        <v>96</v>
      </c>
      <c r="J3128" t="s">
        <v>97</v>
      </c>
      <c r="K3128" t="s">
        <v>96</v>
      </c>
      <c r="L3128" t="s">
        <v>96</v>
      </c>
      <c r="M3128">
        <v>1228.5</v>
      </c>
      <c r="O3128" s="12" t="str">
        <f t="shared" si="110"/>
        <v>EUR</v>
      </c>
      <c r="P3128" s="12" t="str">
        <f t="shared" si="111"/>
        <v>E_SPV</v>
      </c>
    </row>
    <row r="3129" spans="1:16" x14ac:dyDescent="0.35">
      <c r="A3129" t="s">
        <v>1586</v>
      </c>
      <c r="B3129" t="s">
        <v>73</v>
      </c>
      <c r="C3129" t="s">
        <v>45</v>
      </c>
      <c r="D3129" t="s">
        <v>2030</v>
      </c>
      <c r="E3129" t="s">
        <v>96</v>
      </c>
      <c r="F3129" t="s">
        <v>96</v>
      </c>
      <c r="G3129" t="s">
        <v>96</v>
      </c>
      <c r="H3129">
        <v>2010</v>
      </c>
      <c r="I3129" t="s">
        <v>96</v>
      </c>
      <c r="J3129" t="s">
        <v>97</v>
      </c>
      <c r="K3129" t="s">
        <v>96</v>
      </c>
      <c r="L3129" t="s">
        <v>96</v>
      </c>
      <c r="M3129">
        <v>1170</v>
      </c>
      <c r="O3129" s="12" t="str">
        <f t="shared" si="110"/>
        <v>EUR</v>
      </c>
      <c r="P3129" s="12" t="str">
        <f t="shared" si="111"/>
        <v>E_SPV</v>
      </c>
    </row>
    <row r="3130" spans="1:16" x14ac:dyDescent="0.35">
      <c r="A3130" t="s">
        <v>1586</v>
      </c>
      <c r="B3130" t="s">
        <v>73</v>
      </c>
      <c r="C3130" t="s">
        <v>45</v>
      </c>
      <c r="D3130" t="s">
        <v>2031</v>
      </c>
      <c r="E3130" t="s">
        <v>96</v>
      </c>
      <c r="F3130" t="s">
        <v>96</v>
      </c>
      <c r="G3130" t="s">
        <v>96</v>
      </c>
      <c r="H3130">
        <v>2010</v>
      </c>
      <c r="I3130" t="s">
        <v>96</v>
      </c>
      <c r="J3130" t="s">
        <v>97</v>
      </c>
      <c r="K3130" t="s">
        <v>96</v>
      </c>
      <c r="L3130" t="s">
        <v>96</v>
      </c>
      <c r="M3130">
        <v>1209</v>
      </c>
      <c r="O3130" s="12" t="str">
        <f t="shared" si="110"/>
        <v>EUR</v>
      </c>
      <c r="P3130" s="12" t="str">
        <f t="shared" si="111"/>
        <v>E_SPV</v>
      </c>
    </row>
    <row r="3131" spans="1:16" x14ac:dyDescent="0.35">
      <c r="A3131" t="s">
        <v>1586</v>
      </c>
      <c r="B3131" t="s">
        <v>73</v>
      </c>
      <c r="C3131" t="s">
        <v>45</v>
      </c>
      <c r="D3131" t="s">
        <v>2032</v>
      </c>
      <c r="E3131" t="s">
        <v>96</v>
      </c>
      <c r="F3131" t="s">
        <v>96</v>
      </c>
      <c r="G3131" t="s">
        <v>96</v>
      </c>
      <c r="H3131">
        <v>2010</v>
      </c>
      <c r="I3131" t="s">
        <v>96</v>
      </c>
      <c r="J3131" t="s">
        <v>97</v>
      </c>
      <c r="K3131" t="s">
        <v>96</v>
      </c>
      <c r="L3131" t="s">
        <v>96</v>
      </c>
      <c r="M3131">
        <v>1228.5</v>
      </c>
      <c r="O3131" s="12" t="str">
        <f t="shared" si="110"/>
        <v>EUR</v>
      </c>
      <c r="P3131" s="12" t="str">
        <f t="shared" si="111"/>
        <v>E_SPV</v>
      </c>
    </row>
    <row r="3132" spans="1:16" x14ac:dyDescent="0.35">
      <c r="A3132" t="s">
        <v>1586</v>
      </c>
      <c r="B3132" t="s">
        <v>73</v>
      </c>
      <c r="C3132" t="s">
        <v>45</v>
      </c>
      <c r="D3132" t="s">
        <v>2033</v>
      </c>
      <c r="E3132" t="s">
        <v>96</v>
      </c>
      <c r="F3132" t="s">
        <v>96</v>
      </c>
      <c r="G3132" t="s">
        <v>96</v>
      </c>
      <c r="H3132">
        <v>2010</v>
      </c>
      <c r="I3132" t="s">
        <v>96</v>
      </c>
      <c r="J3132" t="s">
        <v>97</v>
      </c>
      <c r="K3132" t="s">
        <v>96</v>
      </c>
      <c r="L3132" t="s">
        <v>96</v>
      </c>
      <c r="M3132">
        <v>1228.5</v>
      </c>
      <c r="O3132" s="12" t="str">
        <f t="shared" si="110"/>
        <v>EUR</v>
      </c>
      <c r="P3132" s="12" t="str">
        <f t="shared" si="111"/>
        <v>E_SPV</v>
      </c>
    </row>
    <row r="3133" spans="1:16" x14ac:dyDescent="0.35">
      <c r="A3133" t="s">
        <v>1586</v>
      </c>
      <c r="B3133" t="s">
        <v>73</v>
      </c>
      <c r="C3133" t="s">
        <v>45</v>
      </c>
      <c r="D3133" t="s">
        <v>2034</v>
      </c>
      <c r="E3133" t="s">
        <v>96</v>
      </c>
      <c r="F3133" t="s">
        <v>96</v>
      </c>
      <c r="G3133" t="s">
        <v>96</v>
      </c>
      <c r="H3133">
        <v>2010</v>
      </c>
      <c r="I3133" t="s">
        <v>96</v>
      </c>
      <c r="J3133" t="s">
        <v>97</v>
      </c>
      <c r="K3133" t="s">
        <v>96</v>
      </c>
      <c r="L3133" t="s">
        <v>96</v>
      </c>
      <c r="M3133">
        <v>1209</v>
      </c>
      <c r="O3133" s="12" t="str">
        <f t="shared" si="110"/>
        <v>EUR</v>
      </c>
      <c r="P3133" s="12" t="str">
        <f t="shared" si="111"/>
        <v>E_SPV</v>
      </c>
    </row>
    <row r="3134" spans="1:16" x14ac:dyDescent="0.35">
      <c r="A3134" t="s">
        <v>1586</v>
      </c>
      <c r="B3134" t="s">
        <v>73</v>
      </c>
      <c r="C3134" t="s">
        <v>45</v>
      </c>
      <c r="D3134" t="s">
        <v>2035</v>
      </c>
      <c r="E3134" t="s">
        <v>96</v>
      </c>
      <c r="F3134" t="s">
        <v>96</v>
      </c>
      <c r="G3134" t="s">
        <v>96</v>
      </c>
      <c r="H3134">
        <v>2010</v>
      </c>
      <c r="I3134" t="s">
        <v>96</v>
      </c>
      <c r="J3134" t="s">
        <v>97</v>
      </c>
      <c r="K3134" t="s">
        <v>96</v>
      </c>
      <c r="L3134" t="s">
        <v>96</v>
      </c>
      <c r="M3134">
        <v>1170</v>
      </c>
      <c r="O3134" s="12" t="str">
        <f t="shared" si="110"/>
        <v>EUR</v>
      </c>
      <c r="P3134" s="12" t="str">
        <f t="shared" si="111"/>
        <v>E_SPV</v>
      </c>
    </row>
    <row r="3135" spans="1:16" x14ac:dyDescent="0.35">
      <c r="A3135" t="s">
        <v>1586</v>
      </c>
      <c r="B3135" t="s">
        <v>73</v>
      </c>
      <c r="C3135" t="s">
        <v>45</v>
      </c>
      <c r="D3135" t="s">
        <v>2036</v>
      </c>
      <c r="E3135" t="s">
        <v>96</v>
      </c>
      <c r="F3135" t="s">
        <v>96</v>
      </c>
      <c r="G3135" t="s">
        <v>96</v>
      </c>
      <c r="H3135">
        <v>2010</v>
      </c>
      <c r="I3135" t="s">
        <v>96</v>
      </c>
      <c r="J3135" t="s">
        <v>97</v>
      </c>
      <c r="K3135" t="s">
        <v>96</v>
      </c>
      <c r="L3135" t="s">
        <v>96</v>
      </c>
      <c r="M3135">
        <v>1228.5</v>
      </c>
      <c r="O3135" s="12" t="str">
        <f t="shared" si="110"/>
        <v>EUR</v>
      </c>
      <c r="P3135" s="12" t="str">
        <f t="shared" si="111"/>
        <v>E_SPV</v>
      </c>
    </row>
    <row r="3136" spans="1:16" x14ac:dyDescent="0.35">
      <c r="A3136" t="s">
        <v>1586</v>
      </c>
      <c r="B3136" t="s">
        <v>73</v>
      </c>
      <c r="C3136" t="s">
        <v>45</v>
      </c>
      <c r="D3136" t="s">
        <v>2037</v>
      </c>
      <c r="E3136" t="s">
        <v>96</v>
      </c>
      <c r="F3136" t="s">
        <v>96</v>
      </c>
      <c r="G3136" t="s">
        <v>96</v>
      </c>
      <c r="H3136">
        <v>2010</v>
      </c>
      <c r="I3136" t="s">
        <v>96</v>
      </c>
      <c r="J3136" t="s">
        <v>97</v>
      </c>
      <c r="K3136" t="s">
        <v>96</v>
      </c>
      <c r="L3136" t="s">
        <v>96</v>
      </c>
      <c r="M3136">
        <v>1228.5</v>
      </c>
      <c r="O3136" s="12" t="str">
        <f t="shared" si="110"/>
        <v>EUR</v>
      </c>
      <c r="P3136" s="12" t="str">
        <f t="shared" si="111"/>
        <v>E_SPV</v>
      </c>
    </row>
    <row r="3137" spans="1:16" x14ac:dyDescent="0.35">
      <c r="A3137" t="s">
        <v>1586</v>
      </c>
      <c r="B3137" t="s">
        <v>73</v>
      </c>
      <c r="C3137" t="s">
        <v>45</v>
      </c>
      <c r="D3137" t="s">
        <v>2038</v>
      </c>
      <c r="E3137" t="s">
        <v>96</v>
      </c>
      <c r="F3137" t="s">
        <v>96</v>
      </c>
      <c r="G3137" t="s">
        <v>96</v>
      </c>
      <c r="H3137">
        <v>2010</v>
      </c>
      <c r="I3137" t="s">
        <v>96</v>
      </c>
      <c r="J3137" t="s">
        <v>97</v>
      </c>
      <c r="K3137" t="s">
        <v>96</v>
      </c>
      <c r="L3137" t="s">
        <v>96</v>
      </c>
      <c r="M3137">
        <v>1228.5</v>
      </c>
      <c r="O3137" s="12" t="str">
        <f t="shared" si="110"/>
        <v>EUR</v>
      </c>
      <c r="P3137" s="12" t="str">
        <f t="shared" si="111"/>
        <v>E_SPV</v>
      </c>
    </row>
    <row r="3138" spans="1:16" x14ac:dyDescent="0.35">
      <c r="A3138" t="s">
        <v>1586</v>
      </c>
      <c r="B3138" t="s">
        <v>73</v>
      </c>
      <c r="C3138" t="s">
        <v>45</v>
      </c>
      <c r="D3138" t="s">
        <v>2039</v>
      </c>
      <c r="E3138" t="s">
        <v>96</v>
      </c>
      <c r="F3138" t="s">
        <v>96</v>
      </c>
      <c r="G3138" t="s">
        <v>96</v>
      </c>
      <c r="H3138">
        <v>2010</v>
      </c>
      <c r="I3138" t="s">
        <v>96</v>
      </c>
      <c r="J3138" t="s">
        <v>97</v>
      </c>
      <c r="K3138" t="s">
        <v>96</v>
      </c>
      <c r="L3138" t="s">
        <v>96</v>
      </c>
      <c r="M3138">
        <v>1228.5</v>
      </c>
      <c r="O3138" s="12" t="str">
        <f t="shared" si="110"/>
        <v>EUR</v>
      </c>
      <c r="P3138" s="12" t="str">
        <f t="shared" si="111"/>
        <v>E_SPV</v>
      </c>
    </row>
    <row r="3139" spans="1:16" x14ac:dyDescent="0.35">
      <c r="A3139" t="s">
        <v>1586</v>
      </c>
      <c r="B3139" t="s">
        <v>73</v>
      </c>
      <c r="C3139" t="s">
        <v>45</v>
      </c>
      <c r="D3139" t="s">
        <v>2040</v>
      </c>
      <c r="E3139" t="s">
        <v>96</v>
      </c>
      <c r="F3139" t="s">
        <v>96</v>
      </c>
      <c r="G3139" t="s">
        <v>96</v>
      </c>
      <c r="H3139">
        <v>2010</v>
      </c>
      <c r="I3139" t="s">
        <v>96</v>
      </c>
      <c r="J3139" t="s">
        <v>97</v>
      </c>
      <c r="K3139" t="s">
        <v>96</v>
      </c>
      <c r="L3139" t="s">
        <v>96</v>
      </c>
      <c r="M3139">
        <v>1443</v>
      </c>
      <c r="O3139" s="12" t="str">
        <f t="shared" ref="O3139:O3202" si="112">LEFT(B3139,3)</f>
        <v>EUR</v>
      </c>
      <c r="P3139" s="12" t="str">
        <f t="shared" ref="P3139:P3202" si="113">LEFT(D3139,5)</f>
        <v>E_SPV</v>
      </c>
    </row>
    <row r="3140" spans="1:16" x14ac:dyDescent="0.35">
      <c r="A3140" t="s">
        <v>1586</v>
      </c>
      <c r="B3140" t="s">
        <v>73</v>
      </c>
      <c r="C3140" t="s">
        <v>45</v>
      </c>
      <c r="D3140" t="s">
        <v>2041</v>
      </c>
      <c r="E3140" t="s">
        <v>96</v>
      </c>
      <c r="F3140" t="s">
        <v>96</v>
      </c>
      <c r="G3140" t="s">
        <v>96</v>
      </c>
      <c r="H3140">
        <v>2010</v>
      </c>
      <c r="I3140" t="s">
        <v>96</v>
      </c>
      <c r="J3140" t="s">
        <v>97</v>
      </c>
      <c r="K3140" t="s">
        <v>96</v>
      </c>
      <c r="L3140" t="s">
        <v>96</v>
      </c>
      <c r="M3140">
        <v>1228.5</v>
      </c>
      <c r="O3140" s="12" t="str">
        <f t="shared" si="112"/>
        <v>EUR</v>
      </c>
      <c r="P3140" s="12" t="str">
        <f t="shared" si="113"/>
        <v>E_SPV</v>
      </c>
    </row>
    <row r="3141" spans="1:16" x14ac:dyDescent="0.35">
      <c r="A3141" t="s">
        <v>1586</v>
      </c>
      <c r="B3141" t="s">
        <v>73</v>
      </c>
      <c r="C3141" t="s">
        <v>45</v>
      </c>
      <c r="D3141" t="s">
        <v>2042</v>
      </c>
      <c r="E3141" t="s">
        <v>96</v>
      </c>
      <c r="F3141" t="s">
        <v>96</v>
      </c>
      <c r="G3141" t="s">
        <v>96</v>
      </c>
      <c r="H3141">
        <v>2010</v>
      </c>
      <c r="I3141" t="s">
        <v>96</v>
      </c>
      <c r="J3141" t="s">
        <v>97</v>
      </c>
      <c r="K3141" t="s">
        <v>96</v>
      </c>
      <c r="L3141" t="s">
        <v>96</v>
      </c>
      <c r="M3141">
        <v>1228.5</v>
      </c>
      <c r="O3141" s="12" t="str">
        <f t="shared" si="112"/>
        <v>EUR</v>
      </c>
      <c r="P3141" s="12" t="str">
        <f t="shared" si="113"/>
        <v>E_SPV</v>
      </c>
    </row>
    <row r="3142" spans="1:16" x14ac:dyDescent="0.35">
      <c r="A3142" t="s">
        <v>1586</v>
      </c>
      <c r="B3142" t="s">
        <v>73</v>
      </c>
      <c r="C3142" t="s">
        <v>45</v>
      </c>
      <c r="D3142" t="s">
        <v>2043</v>
      </c>
      <c r="E3142" t="s">
        <v>96</v>
      </c>
      <c r="F3142" t="s">
        <v>96</v>
      </c>
      <c r="G3142" t="s">
        <v>96</v>
      </c>
      <c r="H3142">
        <v>2010</v>
      </c>
      <c r="I3142" t="s">
        <v>96</v>
      </c>
      <c r="J3142" t="s">
        <v>97</v>
      </c>
      <c r="K3142" t="s">
        <v>96</v>
      </c>
      <c r="L3142" t="s">
        <v>96</v>
      </c>
      <c r="M3142">
        <v>1170</v>
      </c>
      <c r="O3142" s="12" t="str">
        <f t="shared" si="112"/>
        <v>EUR</v>
      </c>
      <c r="P3142" s="12" t="str">
        <f t="shared" si="113"/>
        <v>E_SPV</v>
      </c>
    </row>
    <row r="3143" spans="1:16" x14ac:dyDescent="0.35">
      <c r="A3143" t="s">
        <v>1586</v>
      </c>
      <c r="B3143" t="s">
        <v>73</v>
      </c>
      <c r="C3143" t="s">
        <v>45</v>
      </c>
      <c r="D3143" t="s">
        <v>2044</v>
      </c>
      <c r="E3143" t="s">
        <v>96</v>
      </c>
      <c r="F3143" t="s">
        <v>96</v>
      </c>
      <c r="G3143" t="s">
        <v>96</v>
      </c>
      <c r="H3143">
        <v>2010</v>
      </c>
      <c r="I3143" t="s">
        <v>96</v>
      </c>
      <c r="J3143" t="s">
        <v>97</v>
      </c>
      <c r="K3143" t="s">
        <v>96</v>
      </c>
      <c r="L3143" t="s">
        <v>96</v>
      </c>
      <c r="M3143">
        <v>1228.5</v>
      </c>
      <c r="O3143" s="12" t="str">
        <f t="shared" si="112"/>
        <v>EUR</v>
      </c>
      <c r="P3143" s="12" t="str">
        <f t="shared" si="113"/>
        <v>E_SPV</v>
      </c>
    </row>
    <row r="3144" spans="1:16" x14ac:dyDescent="0.35">
      <c r="A3144" t="s">
        <v>1586</v>
      </c>
      <c r="B3144" t="s">
        <v>73</v>
      </c>
      <c r="C3144" t="s">
        <v>45</v>
      </c>
      <c r="D3144" t="s">
        <v>2045</v>
      </c>
      <c r="E3144" t="s">
        <v>96</v>
      </c>
      <c r="F3144" t="s">
        <v>96</v>
      </c>
      <c r="G3144" t="s">
        <v>96</v>
      </c>
      <c r="H3144">
        <v>2010</v>
      </c>
      <c r="I3144" t="s">
        <v>96</v>
      </c>
      <c r="J3144" t="s">
        <v>97</v>
      </c>
      <c r="K3144" t="s">
        <v>96</v>
      </c>
      <c r="L3144" t="s">
        <v>96</v>
      </c>
      <c r="M3144">
        <v>1170</v>
      </c>
      <c r="O3144" s="12" t="str">
        <f t="shared" si="112"/>
        <v>EUR</v>
      </c>
      <c r="P3144" s="12" t="str">
        <f t="shared" si="113"/>
        <v>E_SPV</v>
      </c>
    </row>
    <row r="3145" spans="1:16" x14ac:dyDescent="0.35">
      <c r="A3145" t="s">
        <v>1586</v>
      </c>
      <c r="B3145" t="s">
        <v>73</v>
      </c>
      <c r="C3145" t="s">
        <v>45</v>
      </c>
      <c r="D3145" t="s">
        <v>2046</v>
      </c>
      <c r="E3145" t="s">
        <v>96</v>
      </c>
      <c r="F3145" t="s">
        <v>96</v>
      </c>
      <c r="G3145" t="s">
        <v>96</v>
      </c>
      <c r="H3145">
        <v>2010</v>
      </c>
      <c r="I3145" t="s">
        <v>96</v>
      </c>
      <c r="J3145" t="s">
        <v>97</v>
      </c>
      <c r="K3145" t="s">
        <v>96</v>
      </c>
      <c r="L3145" t="s">
        <v>96</v>
      </c>
      <c r="M3145">
        <v>1228.5</v>
      </c>
      <c r="O3145" s="12" t="str">
        <f t="shared" si="112"/>
        <v>EUR</v>
      </c>
      <c r="P3145" s="12" t="str">
        <f t="shared" si="113"/>
        <v>E_SPV</v>
      </c>
    </row>
    <row r="3146" spans="1:16" x14ac:dyDescent="0.35">
      <c r="A3146" t="s">
        <v>1586</v>
      </c>
      <c r="B3146" t="s">
        <v>73</v>
      </c>
      <c r="C3146" t="s">
        <v>45</v>
      </c>
      <c r="D3146" t="s">
        <v>2047</v>
      </c>
      <c r="E3146" t="s">
        <v>96</v>
      </c>
      <c r="F3146" t="s">
        <v>96</v>
      </c>
      <c r="G3146" t="s">
        <v>96</v>
      </c>
      <c r="H3146">
        <v>2010</v>
      </c>
      <c r="I3146" t="s">
        <v>96</v>
      </c>
      <c r="J3146" t="s">
        <v>97</v>
      </c>
      <c r="K3146" t="s">
        <v>96</v>
      </c>
      <c r="L3146" t="s">
        <v>96</v>
      </c>
      <c r="M3146">
        <v>1228.5</v>
      </c>
      <c r="O3146" s="12" t="str">
        <f t="shared" si="112"/>
        <v>EUR</v>
      </c>
      <c r="P3146" s="12" t="str">
        <f t="shared" si="113"/>
        <v>E_SPV</v>
      </c>
    </row>
    <row r="3147" spans="1:16" x14ac:dyDescent="0.35">
      <c r="A3147" t="s">
        <v>1586</v>
      </c>
      <c r="B3147" t="s">
        <v>73</v>
      </c>
      <c r="C3147" t="s">
        <v>45</v>
      </c>
      <c r="D3147" t="s">
        <v>2048</v>
      </c>
      <c r="E3147" t="s">
        <v>96</v>
      </c>
      <c r="F3147" t="s">
        <v>96</v>
      </c>
      <c r="G3147" t="s">
        <v>96</v>
      </c>
      <c r="H3147">
        <v>2010</v>
      </c>
      <c r="I3147" t="s">
        <v>96</v>
      </c>
      <c r="J3147" t="s">
        <v>97</v>
      </c>
      <c r="K3147" t="s">
        <v>96</v>
      </c>
      <c r="L3147" t="s">
        <v>96</v>
      </c>
      <c r="M3147">
        <v>1209</v>
      </c>
      <c r="O3147" s="12" t="str">
        <f t="shared" si="112"/>
        <v>EUR</v>
      </c>
      <c r="P3147" s="12" t="str">
        <f t="shared" si="113"/>
        <v>E_SPV</v>
      </c>
    </row>
    <row r="3148" spans="1:16" x14ac:dyDescent="0.35">
      <c r="A3148" t="s">
        <v>1586</v>
      </c>
      <c r="B3148" t="s">
        <v>73</v>
      </c>
      <c r="C3148" t="s">
        <v>45</v>
      </c>
      <c r="D3148" t="s">
        <v>2049</v>
      </c>
      <c r="E3148" t="s">
        <v>96</v>
      </c>
      <c r="F3148" t="s">
        <v>96</v>
      </c>
      <c r="G3148" t="s">
        <v>96</v>
      </c>
      <c r="H3148">
        <v>2010</v>
      </c>
      <c r="I3148" t="s">
        <v>96</v>
      </c>
      <c r="J3148" t="s">
        <v>97</v>
      </c>
      <c r="K3148" t="s">
        <v>96</v>
      </c>
      <c r="L3148" t="s">
        <v>96</v>
      </c>
      <c r="M3148">
        <v>1170</v>
      </c>
      <c r="O3148" s="12" t="str">
        <f t="shared" si="112"/>
        <v>EUR</v>
      </c>
      <c r="P3148" s="12" t="str">
        <f t="shared" si="113"/>
        <v>E_SPV</v>
      </c>
    </row>
    <row r="3149" spans="1:16" x14ac:dyDescent="0.35">
      <c r="A3149" t="s">
        <v>1586</v>
      </c>
      <c r="B3149" t="s">
        <v>73</v>
      </c>
      <c r="C3149" t="s">
        <v>45</v>
      </c>
      <c r="D3149" t="s">
        <v>2050</v>
      </c>
      <c r="E3149" t="s">
        <v>96</v>
      </c>
      <c r="F3149" t="s">
        <v>96</v>
      </c>
      <c r="G3149" t="s">
        <v>96</v>
      </c>
      <c r="H3149">
        <v>2010</v>
      </c>
      <c r="I3149" t="s">
        <v>96</v>
      </c>
      <c r="J3149" t="s">
        <v>97</v>
      </c>
      <c r="K3149" t="s">
        <v>96</v>
      </c>
      <c r="L3149" t="s">
        <v>96</v>
      </c>
      <c r="M3149">
        <v>1700.7</v>
      </c>
      <c r="O3149" s="12" t="str">
        <f t="shared" si="112"/>
        <v>EUR</v>
      </c>
      <c r="P3149" s="12" t="str">
        <f t="shared" si="113"/>
        <v>E_SPV</v>
      </c>
    </row>
    <row r="3150" spans="1:16" x14ac:dyDescent="0.35">
      <c r="A3150" t="s">
        <v>1586</v>
      </c>
      <c r="B3150" t="s">
        <v>73</v>
      </c>
      <c r="C3150" t="s">
        <v>45</v>
      </c>
      <c r="D3150" t="s">
        <v>2051</v>
      </c>
      <c r="E3150" t="s">
        <v>96</v>
      </c>
      <c r="F3150" t="s">
        <v>96</v>
      </c>
      <c r="G3150" t="s">
        <v>96</v>
      </c>
      <c r="H3150">
        <v>2010</v>
      </c>
      <c r="I3150" t="s">
        <v>96</v>
      </c>
      <c r="J3150" t="s">
        <v>97</v>
      </c>
      <c r="K3150" t="s">
        <v>96</v>
      </c>
      <c r="L3150" t="s">
        <v>96</v>
      </c>
      <c r="M3150">
        <v>1228.5</v>
      </c>
      <c r="O3150" s="12" t="str">
        <f t="shared" si="112"/>
        <v>EUR</v>
      </c>
      <c r="P3150" s="12" t="str">
        <f t="shared" si="113"/>
        <v>E_SPV</v>
      </c>
    </row>
    <row r="3151" spans="1:16" x14ac:dyDescent="0.35">
      <c r="A3151" t="s">
        <v>1586</v>
      </c>
      <c r="B3151" t="s">
        <v>73</v>
      </c>
      <c r="C3151" t="s">
        <v>45</v>
      </c>
      <c r="D3151" t="s">
        <v>2052</v>
      </c>
      <c r="E3151" t="s">
        <v>96</v>
      </c>
      <c r="F3151" t="s">
        <v>96</v>
      </c>
      <c r="G3151" t="s">
        <v>96</v>
      </c>
      <c r="H3151">
        <v>2010</v>
      </c>
      <c r="I3151" t="s">
        <v>96</v>
      </c>
      <c r="J3151" t="s">
        <v>97</v>
      </c>
      <c r="K3151" t="s">
        <v>96</v>
      </c>
      <c r="L3151" t="s">
        <v>96</v>
      </c>
      <c r="M3151">
        <v>1228.5</v>
      </c>
      <c r="O3151" s="12" t="str">
        <f t="shared" si="112"/>
        <v>EUR</v>
      </c>
      <c r="P3151" s="12" t="str">
        <f t="shared" si="113"/>
        <v>E_SPV</v>
      </c>
    </row>
    <row r="3152" spans="1:16" x14ac:dyDescent="0.35">
      <c r="A3152" t="s">
        <v>1586</v>
      </c>
      <c r="B3152" t="s">
        <v>73</v>
      </c>
      <c r="C3152" t="s">
        <v>45</v>
      </c>
      <c r="D3152" t="s">
        <v>2053</v>
      </c>
      <c r="E3152" t="s">
        <v>96</v>
      </c>
      <c r="F3152" t="s">
        <v>96</v>
      </c>
      <c r="G3152" t="s">
        <v>96</v>
      </c>
      <c r="H3152">
        <v>2010</v>
      </c>
      <c r="I3152" t="s">
        <v>96</v>
      </c>
      <c r="J3152" t="s">
        <v>97</v>
      </c>
      <c r="K3152" t="s">
        <v>96</v>
      </c>
      <c r="L3152" t="s">
        <v>96</v>
      </c>
      <c r="M3152">
        <v>1443</v>
      </c>
      <c r="O3152" s="12" t="str">
        <f t="shared" si="112"/>
        <v>EUR</v>
      </c>
      <c r="P3152" s="12" t="str">
        <f t="shared" si="113"/>
        <v>E_SPV</v>
      </c>
    </row>
    <row r="3153" spans="1:16" x14ac:dyDescent="0.35">
      <c r="A3153" t="s">
        <v>1586</v>
      </c>
      <c r="B3153" t="s">
        <v>73</v>
      </c>
      <c r="C3153" t="s">
        <v>45</v>
      </c>
      <c r="D3153" t="s">
        <v>2054</v>
      </c>
      <c r="E3153" t="s">
        <v>96</v>
      </c>
      <c r="F3153" t="s">
        <v>96</v>
      </c>
      <c r="G3153" t="s">
        <v>96</v>
      </c>
      <c r="H3153">
        <v>2010</v>
      </c>
      <c r="I3153" t="s">
        <v>96</v>
      </c>
      <c r="J3153" t="s">
        <v>97</v>
      </c>
      <c r="K3153" t="s">
        <v>96</v>
      </c>
      <c r="L3153" t="s">
        <v>96</v>
      </c>
      <c r="M3153">
        <v>1700.7</v>
      </c>
      <c r="O3153" s="12" t="str">
        <f t="shared" si="112"/>
        <v>EUR</v>
      </c>
      <c r="P3153" s="12" t="str">
        <f t="shared" si="113"/>
        <v>E_SPV</v>
      </c>
    </row>
    <row r="3154" spans="1:16" x14ac:dyDescent="0.35">
      <c r="A3154" t="s">
        <v>1586</v>
      </c>
      <c r="B3154" t="s">
        <v>73</v>
      </c>
      <c r="C3154" t="s">
        <v>45</v>
      </c>
      <c r="D3154" t="s">
        <v>2055</v>
      </c>
      <c r="E3154" t="s">
        <v>96</v>
      </c>
      <c r="F3154" t="s">
        <v>96</v>
      </c>
      <c r="G3154" t="s">
        <v>96</v>
      </c>
      <c r="H3154">
        <v>2010</v>
      </c>
      <c r="I3154" t="s">
        <v>96</v>
      </c>
      <c r="J3154" t="s">
        <v>97</v>
      </c>
      <c r="K3154" t="s">
        <v>96</v>
      </c>
      <c r="L3154" t="s">
        <v>96</v>
      </c>
      <c r="M3154">
        <v>1228.5</v>
      </c>
      <c r="O3154" s="12" t="str">
        <f t="shared" si="112"/>
        <v>EUR</v>
      </c>
      <c r="P3154" s="12" t="str">
        <f t="shared" si="113"/>
        <v>E_SPV</v>
      </c>
    </row>
    <row r="3155" spans="1:16" x14ac:dyDescent="0.35">
      <c r="A3155" t="s">
        <v>1586</v>
      </c>
      <c r="B3155" t="s">
        <v>73</v>
      </c>
      <c r="C3155" t="s">
        <v>45</v>
      </c>
      <c r="D3155" t="s">
        <v>2056</v>
      </c>
      <c r="E3155" t="s">
        <v>96</v>
      </c>
      <c r="F3155" t="s">
        <v>96</v>
      </c>
      <c r="G3155" t="s">
        <v>96</v>
      </c>
      <c r="H3155">
        <v>2010</v>
      </c>
      <c r="I3155" t="s">
        <v>96</v>
      </c>
      <c r="J3155" t="s">
        <v>97</v>
      </c>
      <c r="K3155" t="s">
        <v>96</v>
      </c>
      <c r="L3155" t="s">
        <v>96</v>
      </c>
      <c r="M3155">
        <v>1228.5</v>
      </c>
      <c r="O3155" s="12" t="str">
        <f t="shared" si="112"/>
        <v>EUR</v>
      </c>
      <c r="P3155" s="12" t="str">
        <f t="shared" si="113"/>
        <v>E_SPV</v>
      </c>
    </row>
    <row r="3156" spans="1:16" x14ac:dyDescent="0.35">
      <c r="A3156" t="s">
        <v>1586</v>
      </c>
      <c r="B3156" t="s">
        <v>73</v>
      </c>
      <c r="C3156" t="s">
        <v>45</v>
      </c>
      <c r="D3156" t="s">
        <v>2057</v>
      </c>
      <c r="E3156" t="s">
        <v>96</v>
      </c>
      <c r="F3156" t="s">
        <v>96</v>
      </c>
      <c r="G3156" t="s">
        <v>96</v>
      </c>
      <c r="H3156">
        <v>2010</v>
      </c>
      <c r="I3156" t="s">
        <v>96</v>
      </c>
      <c r="J3156" t="s">
        <v>97</v>
      </c>
      <c r="K3156" t="s">
        <v>96</v>
      </c>
      <c r="L3156" t="s">
        <v>96</v>
      </c>
      <c r="M3156">
        <v>1228.5</v>
      </c>
      <c r="O3156" s="12" t="str">
        <f t="shared" si="112"/>
        <v>EUR</v>
      </c>
      <c r="P3156" s="12" t="str">
        <f t="shared" si="113"/>
        <v>E_SPV</v>
      </c>
    </row>
    <row r="3157" spans="1:16" x14ac:dyDescent="0.35">
      <c r="A3157" t="s">
        <v>1586</v>
      </c>
      <c r="B3157" t="s">
        <v>73</v>
      </c>
      <c r="C3157" t="s">
        <v>45</v>
      </c>
      <c r="D3157" t="s">
        <v>2058</v>
      </c>
      <c r="E3157" t="s">
        <v>96</v>
      </c>
      <c r="F3157" t="s">
        <v>96</v>
      </c>
      <c r="G3157" t="s">
        <v>96</v>
      </c>
      <c r="H3157">
        <v>2010</v>
      </c>
      <c r="I3157" t="s">
        <v>96</v>
      </c>
      <c r="J3157" t="s">
        <v>97</v>
      </c>
      <c r="K3157" t="s">
        <v>96</v>
      </c>
      <c r="L3157" t="s">
        <v>96</v>
      </c>
      <c r="M3157">
        <v>1170</v>
      </c>
      <c r="O3157" s="12" t="str">
        <f t="shared" si="112"/>
        <v>EUR</v>
      </c>
      <c r="P3157" s="12" t="str">
        <f t="shared" si="113"/>
        <v>E_SPV</v>
      </c>
    </row>
    <row r="3158" spans="1:16" x14ac:dyDescent="0.35">
      <c r="A3158" t="s">
        <v>1586</v>
      </c>
      <c r="B3158" t="s">
        <v>73</v>
      </c>
      <c r="C3158" t="s">
        <v>45</v>
      </c>
      <c r="D3158" t="s">
        <v>2059</v>
      </c>
      <c r="E3158" t="s">
        <v>96</v>
      </c>
      <c r="F3158" t="s">
        <v>96</v>
      </c>
      <c r="G3158" t="s">
        <v>96</v>
      </c>
      <c r="H3158">
        <v>2010</v>
      </c>
      <c r="I3158" t="s">
        <v>96</v>
      </c>
      <c r="J3158" t="s">
        <v>97</v>
      </c>
      <c r="K3158" t="s">
        <v>96</v>
      </c>
      <c r="L3158" t="s">
        <v>96</v>
      </c>
      <c r="M3158">
        <v>1228.5</v>
      </c>
      <c r="O3158" s="12" t="str">
        <f t="shared" si="112"/>
        <v>EUR</v>
      </c>
      <c r="P3158" s="12" t="str">
        <f t="shared" si="113"/>
        <v>E_SPV</v>
      </c>
    </row>
    <row r="3159" spans="1:16" x14ac:dyDescent="0.35">
      <c r="A3159" t="s">
        <v>1586</v>
      </c>
      <c r="B3159" t="s">
        <v>73</v>
      </c>
      <c r="C3159" t="s">
        <v>45</v>
      </c>
      <c r="D3159" t="s">
        <v>2060</v>
      </c>
      <c r="E3159" t="s">
        <v>96</v>
      </c>
      <c r="F3159" t="s">
        <v>96</v>
      </c>
      <c r="G3159" t="s">
        <v>96</v>
      </c>
      <c r="H3159">
        <v>2010</v>
      </c>
      <c r="I3159" t="s">
        <v>96</v>
      </c>
      <c r="J3159" t="s">
        <v>97</v>
      </c>
      <c r="K3159" t="s">
        <v>96</v>
      </c>
      <c r="L3159" t="s">
        <v>96</v>
      </c>
      <c r="M3159">
        <v>1209</v>
      </c>
      <c r="O3159" s="12" t="str">
        <f t="shared" si="112"/>
        <v>EUR</v>
      </c>
      <c r="P3159" s="12" t="str">
        <f t="shared" si="113"/>
        <v>E_SPV</v>
      </c>
    </row>
    <row r="3160" spans="1:16" x14ac:dyDescent="0.35">
      <c r="A3160" t="s">
        <v>1586</v>
      </c>
      <c r="B3160" t="s">
        <v>73</v>
      </c>
      <c r="C3160" t="s">
        <v>45</v>
      </c>
      <c r="D3160" t="s">
        <v>2061</v>
      </c>
      <c r="E3160" t="s">
        <v>96</v>
      </c>
      <c r="F3160" t="s">
        <v>96</v>
      </c>
      <c r="G3160" t="s">
        <v>96</v>
      </c>
      <c r="H3160">
        <v>2010</v>
      </c>
      <c r="I3160" t="s">
        <v>96</v>
      </c>
      <c r="J3160" t="s">
        <v>97</v>
      </c>
      <c r="K3160" t="s">
        <v>96</v>
      </c>
      <c r="L3160" t="s">
        <v>96</v>
      </c>
      <c r="M3160">
        <v>1170</v>
      </c>
      <c r="O3160" s="12" t="str">
        <f t="shared" si="112"/>
        <v>EUR</v>
      </c>
      <c r="P3160" s="12" t="str">
        <f t="shared" si="113"/>
        <v>E_SPV</v>
      </c>
    </row>
    <row r="3161" spans="1:16" x14ac:dyDescent="0.35">
      <c r="A3161" t="s">
        <v>1586</v>
      </c>
      <c r="B3161" t="s">
        <v>73</v>
      </c>
      <c r="C3161" t="s">
        <v>45</v>
      </c>
      <c r="D3161" t="s">
        <v>2062</v>
      </c>
      <c r="E3161" t="s">
        <v>96</v>
      </c>
      <c r="F3161" t="s">
        <v>96</v>
      </c>
      <c r="G3161" t="s">
        <v>96</v>
      </c>
      <c r="H3161">
        <v>2010</v>
      </c>
      <c r="I3161" t="s">
        <v>96</v>
      </c>
      <c r="J3161" t="s">
        <v>97</v>
      </c>
      <c r="K3161" t="s">
        <v>96</v>
      </c>
      <c r="L3161" t="s">
        <v>96</v>
      </c>
      <c r="M3161">
        <v>1700.7</v>
      </c>
      <c r="O3161" s="12" t="str">
        <f t="shared" si="112"/>
        <v>EUR</v>
      </c>
      <c r="P3161" s="12" t="str">
        <f t="shared" si="113"/>
        <v>E_SPV</v>
      </c>
    </row>
    <row r="3162" spans="1:16" x14ac:dyDescent="0.35">
      <c r="A3162" t="s">
        <v>1586</v>
      </c>
      <c r="B3162" t="s">
        <v>73</v>
      </c>
      <c r="C3162" t="s">
        <v>45</v>
      </c>
      <c r="D3162" t="s">
        <v>2063</v>
      </c>
      <c r="E3162" t="s">
        <v>96</v>
      </c>
      <c r="F3162" t="s">
        <v>96</v>
      </c>
      <c r="G3162" t="s">
        <v>96</v>
      </c>
      <c r="H3162">
        <v>2010</v>
      </c>
      <c r="I3162" t="s">
        <v>96</v>
      </c>
      <c r="J3162" t="s">
        <v>97</v>
      </c>
      <c r="K3162" t="s">
        <v>96</v>
      </c>
      <c r="L3162" t="s">
        <v>96</v>
      </c>
      <c r="M3162">
        <v>1228.5</v>
      </c>
      <c r="O3162" s="12" t="str">
        <f t="shared" si="112"/>
        <v>EUR</v>
      </c>
      <c r="P3162" s="12" t="str">
        <f t="shared" si="113"/>
        <v>E_SPV</v>
      </c>
    </row>
    <row r="3163" spans="1:16" x14ac:dyDescent="0.35">
      <c r="A3163" t="s">
        <v>1586</v>
      </c>
      <c r="B3163" t="s">
        <v>73</v>
      </c>
      <c r="C3163" t="s">
        <v>45</v>
      </c>
      <c r="D3163" t="s">
        <v>2064</v>
      </c>
      <c r="E3163" t="s">
        <v>96</v>
      </c>
      <c r="F3163" t="s">
        <v>96</v>
      </c>
      <c r="G3163" t="s">
        <v>96</v>
      </c>
      <c r="H3163">
        <v>2010</v>
      </c>
      <c r="I3163" t="s">
        <v>96</v>
      </c>
      <c r="J3163" t="s">
        <v>97</v>
      </c>
      <c r="K3163" t="s">
        <v>96</v>
      </c>
      <c r="L3163" t="s">
        <v>96</v>
      </c>
      <c r="M3163">
        <v>1443</v>
      </c>
      <c r="O3163" s="12" t="str">
        <f t="shared" si="112"/>
        <v>EUR</v>
      </c>
      <c r="P3163" s="12" t="str">
        <f t="shared" si="113"/>
        <v>E_SPV</v>
      </c>
    </row>
    <row r="3164" spans="1:16" x14ac:dyDescent="0.35">
      <c r="A3164" t="s">
        <v>1586</v>
      </c>
      <c r="B3164" t="s">
        <v>73</v>
      </c>
      <c r="C3164" t="s">
        <v>45</v>
      </c>
      <c r="D3164" t="s">
        <v>2065</v>
      </c>
      <c r="E3164" t="s">
        <v>96</v>
      </c>
      <c r="F3164" t="s">
        <v>96</v>
      </c>
      <c r="G3164" t="s">
        <v>96</v>
      </c>
      <c r="H3164">
        <v>2010</v>
      </c>
      <c r="I3164" t="s">
        <v>96</v>
      </c>
      <c r="J3164" t="s">
        <v>97</v>
      </c>
      <c r="K3164" t="s">
        <v>96</v>
      </c>
      <c r="L3164" t="s">
        <v>96</v>
      </c>
      <c r="M3164">
        <v>1228.5</v>
      </c>
      <c r="O3164" s="12" t="str">
        <f t="shared" si="112"/>
        <v>EUR</v>
      </c>
      <c r="P3164" s="12" t="str">
        <f t="shared" si="113"/>
        <v>E_SPV</v>
      </c>
    </row>
    <row r="3165" spans="1:16" x14ac:dyDescent="0.35">
      <c r="A3165" t="s">
        <v>1586</v>
      </c>
      <c r="B3165" t="s">
        <v>73</v>
      </c>
      <c r="C3165" t="s">
        <v>45</v>
      </c>
      <c r="D3165" t="s">
        <v>2066</v>
      </c>
      <c r="E3165" t="s">
        <v>96</v>
      </c>
      <c r="F3165" t="s">
        <v>96</v>
      </c>
      <c r="G3165" t="s">
        <v>96</v>
      </c>
      <c r="H3165">
        <v>2010</v>
      </c>
      <c r="I3165" t="s">
        <v>96</v>
      </c>
      <c r="J3165" t="s">
        <v>97</v>
      </c>
      <c r="K3165" t="s">
        <v>96</v>
      </c>
      <c r="L3165" t="s">
        <v>96</v>
      </c>
      <c r="M3165">
        <v>1170</v>
      </c>
      <c r="O3165" s="12" t="str">
        <f t="shared" si="112"/>
        <v>EUR</v>
      </c>
      <c r="P3165" s="12" t="str">
        <f t="shared" si="113"/>
        <v>E_SPV</v>
      </c>
    </row>
    <row r="3166" spans="1:16" x14ac:dyDescent="0.35">
      <c r="A3166" t="s">
        <v>1586</v>
      </c>
      <c r="B3166" t="s">
        <v>73</v>
      </c>
      <c r="C3166" t="s">
        <v>45</v>
      </c>
      <c r="D3166" t="s">
        <v>2067</v>
      </c>
      <c r="E3166" t="s">
        <v>96</v>
      </c>
      <c r="F3166" t="s">
        <v>96</v>
      </c>
      <c r="G3166" t="s">
        <v>96</v>
      </c>
      <c r="H3166">
        <v>2010</v>
      </c>
      <c r="I3166" t="s">
        <v>96</v>
      </c>
      <c r="J3166" t="s">
        <v>97</v>
      </c>
      <c r="K3166" t="s">
        <v>96</v>
      </c>
      <c r="L3166" t="s">
        <v>96</v>
      </c>
      <c r="M3166">
        <v>1228.5</v>
      </c>
      <c r="O3166" s="12" t="str">
        <f t="shared" si="112"/>
        <v>EUR</v>
      </c>
      <c r="P3166" s="12" t="str">
        <f t="shared" si="113"/>
        <v>E_SPV</v>
      </c>
    </row>
    <row r="3167" spans="1:16" x14ac:dyDescent="0.35">
      <c r="A3167" t="s">
        <v>1586</v>
      </c>
      <c r="B3167" t="s">
        <v>73</v>
      </c>
      <c r="C3167" t="s">
        <v>45</v>
      </c>
      <c r="D3167" t="s">
        <v>2068</v>
      </c>
      <c r="E3167" t="s">
        <v>96</v>
      </c>
      <c r="F3167" t="s">
        <v>96</v>
      </c>
      <c r="G3167" t="s">
        <v>96</v>
      </c>
      <c r="H3167">
        <v>2010</v>
      </c>
      <c r="I3167" t="s">
        <v>96</v>
      </c>
      <c r="J3167" t="s">
        <v>97</v>
      </c>
      <c r="K3167" t="s">
        <v>96</v>
      </c>
      <c r="L3167" t="s">
        <v>96</v>
      </c>
      <c r="M3167">
        <v>1443</v>
      </c>
      <c r="O3167" s="12" t="str">
        <f t="shared" si="112"/>
        <v>EUR</v>
      </c>
      <c r="P3167" s="12" t="str">
        <f t="shared" si="113"/>
        <v>E_SPV</v>
      </c>
    </row>
    <row r="3168" spans="1:16" x14ac:dyDescent="0.35">
      <c r="A3168" t="s">
        <v>1586</v>
      </c>
      <c r="B3168" t="s">
        <v>74</v>
      </c>
      <c r="C3168" t="s">
        <v>45</v>
      </c>
      <c r="D3168" t="s">
        <v>2069</v>
      </c>
      <c r="E3168" t="s">
        <v>96</v>
      </c>
      <c r="F3168" t="s">
        <v>96</v>
      </c>
      <c r="G3168" t="s">
        <v>96</v>
      </c>
      <c r="H3168">
        <v>2010</v>
      </c>
      <c r="I3168" t="s">
        <v>96</v>
      </c>
      <c r="J3168" t="s">
        <v>97</v>
      </c>
      <c r="K3168" t="s">
        <v>96</v>
      </c>
      <c r="L3168" t="s">
        <v>96</v>
      </c>
      <c r="M3168">
        <v>780</v>
      </c>
      <c r="O3168" s="12" t="str">
        <f t="shared" si="112"/>
        <v>IND</v>
      </c>
      <c r="P3168" s="12" t="str">
        <f t="shared" si="113"/>
        <v>E_SPV</v>
      </c>
    </row>
    <row r="3169" spans="1:16" x14ac:dyDescent="0.35">
      <c r="A3169" t="s">
        <v>1586</v>
      </c>
      <c r="B3169" t="s">
        <v>74</v>
      </c>
      <c r="C3169" t="s">
        <v>45</v>
      </c>
      <c r="D3169" t="s">
        <v>2070</v>
      </c>
      <c r="E3169" t="s">
        <v>96</v>
      </c>
      <c r="F3169" t="s">
        <v>96</v>
      </c>
      <c r="G3169" t="s">
        <v>96</v>
      </c>
      <c r="H3169">
        <v>2010</v>
      </c>
      <c r="I3169" t="s">
        <v>96</v>
      </c>
      <c r="J3169" t="s">
        <v>97</v>
      </c>
      <c r="K3169" t="s">
        <v>96</v>
      </c>
      <c r="L3169" t="s">
        <v>96</v>
      </c>
      <c r="M3169">
        <v>780</v>
      </c>
      <c r="O3169" s="12" t="str">
        <f t="shared" si="112"/>
        <v>IND</v>
      </c>
      <c r="P3169" s="12" t="str">
        <f t="shared" si="113"/>
        <v>E_SPV</v>
      </c>
    </row>
    <row r="3170" spans="1:16" x14ac:dyDescent="0.35">
      <c r="A3170" t="s">
        <v>1586</v>
      </c>
      <c r="B3170" t="s">
        <v>74</v>
      </c>
      <c r="C3170" t="s">
        <v>45</v>
      </c>
      <c r="D3170" t="s">
        <v>2071</v>
      </c>
      <c r="E3170" t="s">
        <v>96</v>
      </c>
      <c r="F3170" t="s">
        <v>96</v>
      </c>
      <c r="G3170" t="s">
        <v>96</v>
      </c>
      <c r="H3170">
        <v>2010</v>
      </c>
      <c r="I3170" t="s">
        <v>96</v>
      </c>
      <c r="J3170" t="s">
        <v>97</v>
      </c>
      <c r="K3170" t="s">
        <v>96</v>
      </c>
      <c r="L3170" t="s">
        <v>96</v>
      </c>
      <c r="M3170">
        <v>780</v>
      </c>
      <c r="O3170" s="12" t="str">
        <f t="shared" si="112"/>
        <v>IND</v>
      </c>
      <c r="P3170" s="12" t="str">
        <f t="shared" si="113"/>
        <v>E_SPV</v>
      </c>
    </row>
    <row r="3171" spans="1:16" x14ac:dyDescent="0.35">
      <c r="A3171" t="s">
        <v>1586</v>
      </c>
      <c r="B3171" t="s">
        <v>74</v>
      </c>
      <c r="C3171" t="s">
        <v>45</v>
      </c>
      <c r="D3171" t="s">
        <v>2072</v>
      </c>
      <c r="E3171" t="s">
        <v>96</v>
      </c>
      <c r="F3171" t="s">
        <v>96</v>
      </c>
      <c r="G3171" t="s">
        <v>96</v>
      </c>
      <c r="H3171">
        <v>2010</v>
      </c>
      <c r="I3171" t="s">
        <v>96</v>
      </c>
      <c r="J3171" t="s">
        <v>97</v>
      </c>
      <c r="K3171" t="s">
        <v>96</v>
      </c>
      <c r="L3171" t="s">
        <v>96</v>
      </c>
      <c r="M3171">
        <v>780</v>
      </c>
      <c r="O3171" s="12" t="str">
        <f t="shared" si="112"/>
        <v>IND</v>
      </c>
      <c r="P3171" s="12" t="str">
        <f t="shared" si="113"/>
        <v>E_SPV</v>
      </c>
    </row>
    <row r="3172" spans="1:16" x14ac:dyDescent="0.35">
      <c r="A3172" t="s">
        <v>1586</v>
      </c>
      <c r="B3172" t="s">
        <v>74</v>
      </c>
      <c r="C3172" t="s">
        <v>45</v>
      </c>
      <c r="D3172" t="s">
        <v>2073</v>
      </c>
      <c r="E3172" t="s">
        <v>96</v>
      </c>
      <c r="F3172" t="s">
        <v>96</v>
      </c>
      <c r="G3172" t="s">
        <v>96</v>
      </c>
      <c r="H3172">
        <v>2010</v>
      </c>
      <c r="I3172" t="s">
        <v>96</v>
      </c>
      <c r="J3172" t="s">
        <v>97</v>
      </c>
      <c r="K3172" t="s">
        <v>96</v>
      </c>
      <c r="L3172" t="s">
        <v>96</v>
      </c>
      <c r="M3172">
        <v>780</v>
      </c>
      <c r="O3172" s="12" t="str">
        <f t="shared" si="112"/>
        <v>IND</v>
      </c>
      <c r="P3172" s="12" t="str">
        <f t="shared" si="113"/>
        <v>E_SPV</v>
      </c>
    </row>
    <row r="3173" spans="1:16" x14ac:dyDescent="0.35">
      <c r="A3173" t="s">
        <v>1586</v>
      </c>
      <c r="B3173" t="s">
        <v>74</v>
      </c>
      <c r="C3173" t="s">
        <v>45</v>
      </c>
      <c r="D3173" t="s">
        <v>2074</v>
      </c>
      <c r="E3173" t="s">
        <v>96</v>
      </c>
      <c r="F3173" t="s">
        <v>96</v>
      </c>
      <c r="G3173" t="s">
        <v>96</v>
      </c>
      <c r="H3173">
        <v>2010</v>
      </c>
      <c r="I3173" t="s">
        <v>96</v>
      </c>
      <c r="J3173" t="s">
        <v>97</v>
      </c>
      <c r="K3173" t="s">
        <v>96</v>
      </c>
      <c r="L3173" t="s">
        <v>96</v>
      </c>
      <c r="M3173">
        <v>780</v>
      </c>
      <c r="O3173" s="12" t="str">
        <f t="shared" si="112"/>
        <v>IND</v>
      </c>
      <c r="P3173" s="12" t="str">
        <f t="shared" si="113"/>
        <v>E_SPV</v>
      </c>
    </row>
    <row r="3174" spans="1:16" x14ac:dyDescent="0.35">
      <c r="A3174" t="s">
        <v>1586</v>
      </c>
      <c r="B3174" t="s">
        <v>74</v>
      </c>
      <c r="C3174" t="s">
        <v>45</v>
      </c>
      <c r="D3174" t="s">
        <v>2075</v>
      </c>
      <c r="E3174" t="s">
        <v>96</v>
      </c>
      <c r="F3174" t="s">
        <v>96</v>
      </c>
      <c r="G3174" t="s">
        <v>96</v>
      </c>
      <c r="H3174">
        <v>2010</v>
      </c>
      <c r="I3174" t="s">
        <v>96</v>
      </c>
      <c r="J3174" t="s">
        <v>97</v>
      </c>
      <c r="K3174" t="s">
        <v>96</v>
      </c>
      <c r="L3174" t="s">
        <v>96</v>
      </c>
      <c r="M3174">
        <v>780</v>
      </c>
      <c r="O3174" s="12" t="str">
        <f t="shared" si="112"/>
        <v>IND</v>
      </c>
      <c r="P3174" s="12" t="str">
        <f t="shared" si="113"/>
        <v>E_SPV</v>
      </c>
    </row>
    <row r="3175" spans="1:16" x14ac:dyDescent="0.35">
      <c r="A3175" t="s">
        <v>1586</v>
      </c>
      <c r="B3175" t="s">
        <v>74</v>
      </c>
      <c r="C3175" t="s">
        <v>45</v>
      </c>
      <c r="D3175" t="s">
        <v>2076</v>
      </c>
      <c r="E3175" t="s">
        <v>96</v>
      </c>
      <c r="F3175" t="s">
        <v>96</v>
      </c>
      <c r="G3175" t="s">
        <v>96</v>
      </c>
      <c r="H3175">
        <v>2010</v>
      </c>
      <c r="I3175" t="s">
        <v>96</v>
      </c>
      <c r="J3175" t="s">
        <v>97</v>
      </c>
      <c r="K3175" t="s">
        <v>96</v>
      </c>
      <c r="L3175" t="s">
        <v>96</v>
      </c>
      <c r="M3175">
        <v>780</v>
      </c>
      <c r="O3175" s="12" t="str">
        <f t="shared" si="112"/>
        <v>IND</v>
      </c>
      <c r="P3175" s="12" t="str">
        <f t="shared" si="113"/>
        <v>E_SPV</v>
      </c>
    </row>
    <row r="3176" spans="1:16" x14ac:dyDescent="0.35">
      <c r="A3176" t="s">
        <v>1586</v>
      </c>
      <c r="B3176" t="s">
        <v>75</v>
      </c>
      <c r="C3176" t="s">
        <v>45</v>
      </c>
      <c r="D3176" t="s">
        <v>2077</v>
      </c>
      <c r="E3176" t="s">
        <v>96</v>
      </c>
      <c r="F3176" t="s">
        <v>96</v>
      </c>
      <c r="G3176" t="s">
        <v>96</v>
      </c>
      <c r="H3176">
        <v>2010</v>
      </c>
      <c r="I3176" t="s">
        <v>96</v>
      </c>
      <c r="J3176" t="s">
        <v>97</v>
      </c>
      <c r="K3176" t="s">
        <v>96</v>
      </c>
      <c r="L3176" t="s">
        <v>96</v>
      </c>
      <c r="M3176">
        <v>2860</v>
      </c>
      <c r="O3176" s="12" t="str">
        <f t="shared" si="112"/>
        <v>JPN</v>
      </c>
      <c r="P3176" s="12" t="str">
        <f t="shared" si="113"/>
        <v>E_SPV</v>
      </c>
    </row>
    <row r="3177" spans="1:16" x14ac:dyDescent="0.35">
      <c r="A3177" t="s">
        <v>1586</v>
      </c>
      <c r="B3177" t="s">
        <v>75</v>
      </c>
      <c r="C3177" t="s">
        <v>45</v>
      </c>
      <c r="D3177" t="s">
        <v>2078</v>
      </c>
      <c r="E3177" t="s">
        <v>96</v>
      </c>
      <c r="F3177" t="s">
        <v>96</v>
      </c>
      <c r="G3177" t="s">
        <v>96</v>
      </c>
      <c r="H3177">
        <v>2010</v>
      </c>
      <c r="I3177" t="s">
        <v>96</v>
      </c>
      <c r="J3177" t="s">
        <v>97</v>
      </c>
      <c r="K3177" t="s">
        <v>96</v>
      </c>
      <c r="L3177" t="s">
        <v>96</v>
      </c>
      <c r="M3177">
        <v>2860</v>
      </c>
      <c r="O3177" s="12" t="str">
        <f t="shared" si="112"/>
        <v>JPN</v>
      </c>
      <c r="P3177" s="12" t="str">
        <f t="shared" si="113"/>
        <v>E_SPV</v>
      </c>
    </row>
    <row r="3178" spans="1:16" x14ac:dyDescent="0.35">
      <c r="A3178" t="s">
        <v>1586</v>
      </c>
      <c r="B3178" t="s">
        <v>75</v>
      </c>
      <c r="C3178" t="s">
        <v>45</v>
      </c>
      <c r="D3178" t="s">
        <v>2079</v>
      </c>
      <c r="E3178" t="s">
        <v>96</v>
      </c>
      <c r="F3178" t="s">
        <v>96</v>
      </c>
      <c r="G3178" t="s">
        <v>96</v>
      </c>
      <c r="H3178">
        <v>2010</v>
      </c>
      <c r="I3178" t="s">
        <v>96</v>
      </c>
      <c r="J3178" t="s">
        <v>97</v>
      </c>
      <c r="K3178" t="s">
        <v>96</v>
      </c>
      <c r="L3178" t="s">
        <v>96</v>
      </c>
      <c r="M3178">
        <v>2860</v>
      </c>
      <c r="O3178" s="12" t="str">
        <f t="shared" si="112"/>
        <v>JPN</v>
      </c>
      <c r="P3178" s="12" t="str">
        <f t="shared" si="113"/>
        <v>E_SPV</v>
      </c>
    </row>
    <row r="3179" spans="1:16" x14ac:dyDescent="0.35">
      <c r="A3179" t="s">
        <v>1586</v>
      </c>
      <c r="B3179" t="s">
        <v>75</v>
      </c>
      <c r="C3179" t="s">
        <v>45</v>
      </c>
      <c r="D3179" t="s">
        <v>2080</v>
      </c>
      <c r="E3179" t="s">
        <v>96</v>
      </c>
      <c r="F3179" t="s">
        <v>96</v>
      </c>
      <c r="G3179" t="s">
        <v>96</v>
      </c>
      <c r="H3179">
        <v>2010</v>
      </c>
      <c r="I3179" t="s">
        <v>96</v>
      </c>
      <c r="J3179" t="s">
        <v>97</v>
      </c>
      <c r="K3179" t="s">
        <v>96</v>
      </c>
      <c r="L3179" t="s">
        <v>96</v>
      </c>
      <c r="M3179">
        <v>2860</v>
      </c>
      <c r="O3179" s="12" t="str">
        <f t="shared" si="112"/>
        <v>JPN</v>
      </c>
      <c r="P3179" s="12" t="str">
        <f t="shared" si="113"/>
        <v>E_SPV</v>
      </c>
    </row>
    <row r="3180" spans="1:16" x14ac:dyDescent="0.35">
      <c r="A3180" t="s">
        <v>1586</v>
      </c>
      <c r="B3180" t="s">
        <v>76</v>
      </c>
      <c r="C3180" t="s">
        <v>45</v>
      </c>
      <c r="D3180" t="s">
        <v>2081</v>
      </c>
      <c r="E3180" t="s">
        <v>96</v>
      </c>
      <c r="F3180" t="s">
        <v>96</v>
      </c>
      <c r="G3180" t="s">
        <v>96</v>
      </c>
      <c r="H3180">
        <v>2010</v>
      </c>
      <c r="I3180" t="s">
        <v>96</v>
      </c>
      <c r="J3180" t="s">
        <v>97</v>
      </c>
      <c r="K3180" t="s">
        <v>96</v>
      </c>
      <c r="L3180" t="s">
        <v>96</v>
      </c>
      <c r="M3180">
        <v>1460.5</v>
      </c>
      <c r="O3180" s="12" t="str">
        <f t="shared" si="112"/>
        <v>MID</v>
      </c>
      <c r="P3180" s="12" t="str">
        <f t="shared" si="113"/>
        <v>E_SPV</v>
      </c>
    </row>
    <row r="3181" spans="1:16" x14ac:dyDescent="0.35">
      <c r="A3181" t="s">
        <v>1586</v>
      </c>
      <c r="B3181" t="s">
        <v>76</v>
      </c>
      <c r="C3181" t="s">
        <v>45</v>
      </c>
      <c r="D3181" t="s">
        <v>2082</v>
      </c>
      <c r="E3181" t="s">
        <v>96</v>
      </c>
      <c r="F3181" t="s">
        <v>96</v>
      </c>
      <c r="G3181" t="s">
        <v>96</v>
      </c>
      <c r="H3181">
        <v>2010</v>
      </c>
      <c r="I3181" t="s">
        <v>96</v>
      </c>
      <c r="J3181" t="s">
        <v>97</v>
      </c>
      <c r="K3181" t="s">
        <v>96</v>
      </c>
      <c r="L3181" t="s">
        <v>96</v>
      </c>
      <c r="M3181">
        <v>1460.5</v>
      </c>
      <c r="O3181" s="12" t="str">
        <f t="shared" si="112"/>
        <v>MID</v>
      </c>
      <c r="P3181" s="12" t="str">
        <f t="shared" si="113"/>
        <v>E_SPV</v>
      </c>
    </row>
    <row r="3182" spans="1:16" x14ac:dyDescent="0.35">
      <c r="A3182" t="s">
        <v>1586</v>
      </c>
      <c r="B3182" t="s">
        <v>76</v>
      </c>
      <c r="C3182" t="s">
        <v>45</v>
      </c>
      <c r="D3182" t="s">
        <v>2083</v>
      </c>
      <c r="E3182" t="s">
        <v>96</v>
      </c>
      <c r="F3182" t="s">
        <v>96</v>
      </c>
      <c r="G3182" t="s">
        <v>96</v>
      </c>
      <c r="H3182">
        <v>2010</v>
      </c>
      <c r="I3182" t="s">
        <v>96</v>
      </c>
      <c r="J3182" t="s">
        <v>97</v>
      </c>
      <c r="K3182" t="s">
        <v>96</v>
      </c>
      <c r="L3182" t="s">
        <v>96</v>
      </c>
      <c r="M3182">
        <v>1712.1</v>
      </c>
      <c r="O3182" s="12" t="str">
        <f t="shared" si="112"/>
        <v>MID</v>
      </c>
      <c r="P3182" s="12" t="str">
        <f t="shared" si="113"/>
        <v>E_SPV</v>
      </c>
    </row>
    <row r="3183" spans="1:16" x14ac:dyDescent="0.35">
      <c r="A3183" t="s">
        <v>1586</v>
      </c>
      <c r="B3183" t="s">
        <v>76</v>
      </c>
      <c r="C3183" t="s">
        <v>45</v>
      </c>
      <c r="D3183" t="s">
        <v>2084</v>
      </c>
      <c r="E3183" t="s">
        <v>96</v>
      </c>
      <c r="F3183" t="s">
        <v>96</v>
      </c>
      <c r="G3183" t="s">
        <v>96</v>
      </c>
      <c r="H3183">
        <v>2010</v>
      </c>
      <c r="I3183" t="s">
        <v>96</v>
      </c>
      <c r="J3183" t="s">
        <v>97</v>
      </c>
      <c r="K3183" t="s">
        <v>96</v>
      </c>
      <c r="L3183" t="s">
        <v>96</v>
      </c>
      <c r="M3183">
        <v>1460.5</v>
      </c>
      <c r="O3183" s="12" t="str">
        <f t="shared" si="112"/>
        <v>MID</v>
      </c>
      <c r="P3183" s="12" t="str">
        <f t="shared" si="113"/>
        <v>E_SPV</v>
      </c>
    </row>
    <row r="3184" spans="1:16" x14ac:dyDescent="0.35">
      <c r="A3184" t="s">
        <v>1586</v>
      </c>
      <c r="B3184" t="s">
        <v>76</v>
      </c>
      <c r="C3184" t="s">
        <v>45</v>
      </c>
      <c r="D3184" t="s">
        <v>2085</v>
      </c>
      <c r="E3184" t="s">
        <v>96</v>
      </c>
      <c r="F3184" t="s">
        <v>96</v>
      </c>
      <c r="G3184" t="s">
        <v>96</v>
      </c>
      <c r="H3184">
        <v>2010</v>
      </c>
      <c r="I3184" t="s">
        <v>96</v>
      </c>
      <c r="J3184" t="s">
        <v>97</v>
      </c>
      <c r="K3184" t="s">
        <v>96</v>
      </c>
      <c r="L3184" t="s">
        <v>96</v>
      </c>
      <c r="M3184">
        <v>1460.5</v>
      </c>
      <c r="O3184" s="12" t="str">
        <f t="shared" si="112"/>
        <v>MID</v>
      </c>
      <c r="P3184" s="12" t="str">
        <f t="shared" si="113"/>
        <v>E_SPV</v>
      </c>
    </row>
    <row r="3185" spans="1:16" x14ac:dyDescent="0.35">
      <c r="A3185" t="s">
        <v>1586</v>
      </c>
      <c r="B3185" t="s">
        <v>76</v>
      </c>
      <c r="C3185" t="s">
        <v>45</v>
      </c>
      <c r="D3185" t="s">
        <v>2086</v>
      </c>
      <c r="E3185" t="s">
        <v>96</v>
      </c>
      <c r="F3185" t="s">
        <v>96</v>
      </c>
      <c r="G3185" t="s">
        <v>96</v>
      </c>
      <c r="H3185">
        <v>2010</v>
      </c>
      <c r="I3185" t="s">
        <v>96</v>
      </c>
      <c r="J3185" t="s">
        <v>97</v>
      </c>
      <c r="K3185" t="s">
        <v>96</v>
      </c>
      <c r="L3185" t="s">
        <v>96</v>
      </c>
      <c r="M3185">
        <v>1712.1</v>
      </c>
      <c r="O3185" s="12" t="str">
        <f t="shared" si="112"/>
        <v>MID</v>
      </c>
      <c r="P3185" s="12" t="str">
        <f t="shared" si="113"/>
        <v>E_SPV</v>
      </c>
    </row>
    <row r="3186" spans="1:16" x14ac:dyDescent="0.35">
      <c r="A3186" t="s">
        <v>1586</v>
      </c>
      <c r="B3186" t="s">
        <v>76</v>
      </c>
      <c r="C3186" t="s">
        <v>45</v>
      </c>
      <c r="D3186" t="s">
        <v>2087</v>
      </c>
      <c r="E3186" t="s">
        <v>96</v>
      </c>
      <c r="F3186" t="s">
        <v>96</v>
      </c>
      <c r="G3186" t="s">
        <v>96</v>
      </c>
      <c r="H3186">
        <v>2010</v>
      </c>
      <c r="I3186" t="s">
        <v>96</v>
      </c>
      <c r="J3186" t="s">
        <v>97</v>
      </c>
      <c r="K3186" t="s">
        <v>96</v>
      </c>
      <c r="L3186" t="s">
        <v>96</v>
      </c>
      <c r="M3186">
        <v>1460.5</v>
      </c>
      <c r="O3186" s="12" t="str">
        <f t="shared" si="112"/>
        <v>MID</v>
      </c>
      <c r="P3186" s="12" t="str">
        <f t="shared" si="113"/>
        <v>E_SPV</v>
      </c>
    </row>
    <row r="3187" spans="1:16" x14ac:dyDescent="0.35">
      <c r="A3187" t="s">
        <v>1586</v>
      </c>
      <c r="B3187" t="s">
        <v>76</v>
      </c>
      <c r="C3187" t="s">
        <v>45</v>
      </c>
      <c r="D3187" t="s">
        <v>2088</v>
      </c>
      <c r="E3187" t="s">
        <v>96</v>
      </c>
      <c r="F3187" t="s">
        <v>96</v>
      </c>
      <c r="G3187" t="s">
        <v>96</v>
      </c>
      <c r="H3187">
        <v>2010</v>
      </c>
      <c r="I3187" t="s">
        <v>96</v>
      </c>
      <c r="J3187" t="s">
        <v>97</v>
      </c>
      <c r="K3187" t="s">
        <v>96</v>
      </c>
      <c r="L3187" t="s">
        <v>96</v>
      </c>
      <c r="M3187">
        <v>1460.5</v>
      </c>
      <c r="O3187" s="12" t="str">
        <f t="shared" si="112"/>
        <v>MID</v>
      </c>
      <c r="P3187" s="12" t="str">
        <f t="shared" si="113"/>
        <v>E_SPV</v>
      </c>
    </row>
    <row r="3188" spans="1:16" x14ac:dyDescent="0.35">
      <c r="A3188" t="s">
        <v>1586</v>
      </c>
      <c r="B3188" t="s">
        <v>76</v>
      </c>
      <c r="C3188" t="s">
        <v>45</v>
      </c>
      <c r="D3188" t="s">
        <v>2089</v>
      </c>
      <c r="E3188" t="s">
        <v>96</v>
      </c>
      <c r="F3188" t="s">
        <v>96</v>
      </c>
      <c r="G3188" t="s">
        <v>96</v>
      </c>
      <c r="H3188">
        <v>2010</v>
      </c>
      <c r="I3188" t="s">
        <v>96</v>
      </c>
      <c r="J3188" t="s">
        <v>97</v>
      </c>
      <c r="K3188" t="s">
        <v>96</v>
      </c>
      <c r="L3188" t="s">
        <v>96</v>
      </c>
      <c r="M3188">
        <v>1460.5</v>
      </c>
      <c r="O3188" s="12" t="str">
        <f t="shared" si="112"/>
        <v>MID</v>
      </c>
      <c r="P3188" s="12" t="str">
        <f t="shared" si="113"/>
        <v>E_SPV</v>
      </c>
    </row>
    <row r="3189" spans="1:16" x14ac:dyDescent="0.35">
      <c r="A3189" t="s">
        <v>1586</v>
      </c>
      <c r="B3189" t="s">
        <v>76</v>
      </c>
      <c r="C3189" t="s">
        <v>45</v>
      </c>
      <c r="D3189" t="s">
        <v>2090</v>
      </c>
      <c r="E3189" t="s">
        <v>96</v>
      </c>
      <c r="F3189" t="s">
        <v>96</v>
      </c>
      <c r="G3189" t="s">
        <v>96</v>
      </c>
      <c r="H3189">
        <v>2010</v>
      </c>
      <c r="I3189" t="s">
        <v>96</v>
      </c>
      <c r="J3189" t="s">
        <v>97</v>
      </c>
      <c r="K3189" t="s">
        <v>96</v>
      </c>
      <c r="L3189" t="s">
        <v>96</v>
      </c>
      <c r="M3189">
        <v>1460.5</v>
      </c>
      <c r="O3189" s="12" t="str">
        <f t="shared" si="112"/>
        <v>MID</v>
      </c>
      <c r="P3189" s="12" t="str">
        <f t="shared" si="113"/>
        <v>E_SPV</v>
      </c>
    </row>
    <row r="3190" spans="1:16" x14ac:dyDescent="0.35">
      <c r="A3190" t="s">
        <v>1586</v>
      </c>
      <c r="B3190" t="s">
        <v>76</v>
      </c>
      <c r="C3190" t="s">
        <v>45</v>
      </c>
      <c r="D3190" t="s">
        <v>2091</v>
      </c>
      <c r="E3190" t="s">
        <v>96</v>
      </c>
      <c r="F3190" t="s">
        <v>96</v>
      </c>
      <c r="G3190" t="s">
        <v>96</v>
      </c>
      <c r="H3190">
        <v>2010</v>
      </c>
      <c r="I3190" t="s">
        <v>96</v>
      </c>
      <c r="J3190" t="s">
        <v>97</v>
      </c>
      <c r="K3190" t="s">
        <v>96</v>
      </c>
      <c r="L3190" t="s">
        <v>96</v>
      </c>
      <c r="M3190">
        <v>1460.5</v>
      </c>
      <c r="O3190" s="12" t="str">
        <f t="shared" si="112"/>
        <v>MID</v>
      </c>
      <c r="P3190" s="12" t="str">
        <f t="shared" si="113"/>
        <v>E_SPV</v>
      </c>
    </row>
    <row r="3191" spans="1:16" x14ac:dyDescent="0.35">
      <c r="A3191" t="s">
        <v>1586</v>
      </c>
      <c r="B3191" t="s">
        <v>76</v>
      </c>
      <c r="C3191" t="s">
        <v>45</v>
      </c>
      <c r="D3191" t="s">
        <v>2092</v>
      </c>
      <c r="E3191" t="s">
        <v>96</v>
      </c>
      <c r="F3191" t="s">
        <v>96</v>
      </c>
      <c r="G3191" t="s">
        <v>96</v>
      </c>
      <c r="H3191">
        <v>2010</v>
      </c>
      <c r="I3191" t="s">
        <v>96</v>
      </c>
      <c r="J3191" t="s">
        <v>97</v>
      </c>
      <c r="K3191" t="s">
        <v>96</v>
      </c>
      <c r="L3191" t="s">
        <v>96</v>
      </c>
      <c r="M3191">
        <v>1460.5</v>
      </c>
      <c r="O3191" s="12" t="str">
        <f t="shared" si="112"/>
        <v>MID</v>
      </c>
      <c r="P3191" s="12" t="str">
        <f t="shared" si="113"/>
        <v>E_SPV</v>
      </c>
    </row>
    <row r="3192" spans="1:16" x14ac:dyDescent="0.35">
      <c r="A3192" t="s">
        <v>1586</v>
      </c>
      <c r="B3192" t="s">
        <v>76</v>
      </c>
      <c r="C3192" t="s">
        <v>45</v>
      </c>
      <c r="D3192" t="s">
        <v>2093</v>
      </c>
      <c r="E3192" t="s">
        <v>96</v>
      </c>
      <c r="F3192" t="s">
        <v>96</v>
      </c>
      <c r="G3192" t="s">
        <v>96</v>
      </c>
      <c r="H3192">
        <v>2010</v>
      </c>
      <c r="I3192" t="s">
        <v>96</v>
      </c>
      <c r="J3192" t="s">
        <v>97</v>
      </c>
      <c r="K3192" t="s">
        <v>96</v>
      </c>
      <c r="L3192" t="s">
        <v>96</v>
      </c>
      <c r="M3192">
        <v>1712.1</v>
      </c>
      <c r="O3192" s="12" t="str">
        <f t="shared" si="112"/>
        <v>MID</v>
      </c>
      <c r="P3192" s="12" t="str">
        <f t="shared" si="113"/>
        <v>E_SPV</v>
      </c>
    </row>
    <row r="3193" spans="1:16" x14ac:dyDescent="0.35">
      <c r="A3193" t="s">
        <v>1586</v>
      </c>
      <c r="B3193" t="s">
        <v>76</v>
      </c>
      <c r="C3193" t="s">
        <v>45</v>
      </c>
      <c r="D3193" t="s">
        <v>2094</v>
      </c>
      <c r="E3193" t="s">
        <v>96</v>
      </c>
      <c r="F3193" t="s">
        <v>96</v>
      </c>
      <c r="G3193" t="s">
        <v>96</v>
      </c>
      <c r="H3193">
        <v>2010</v>
      </c>
      <c r="I3193" t="s">
        <v>96</v>
      </c>
      <c r="J3193" t="s">
        <v>97</v>
      </c>
      <c r="K3193" t="s">
        <v>96</v>
      </c>
      <c r="L3193" t="s">
        <v>96</v>
      </c>
      <c r="M3193">
        <v>1460.5</v>
      </c>
      <c r="O3193" s="12" t="str">
        <f t="shared" si="112"/>
        <v>MID</v>
      </c>
      <c r="P3193" s="12" t="str">
        <f t="shared" si="113"/>
        <v>E_SPV</v>
      </c>
    </row>
    <row r="3194" spans="1:16" x14ac:dyDescent="0.35">
      <c r="A3194" t="s">
        <v>1586</v>
      </c>
      <c r="B3194" t="s">
        <v>76</v>
      </c>
      <c r="C3194" t="s">
        <v>45</v>
      </c>
      <c r="D3194" t="s">
        <v>2095</v>
      </c>
      <c r="E3194" t="s">
        <v>96</v>
      </c>
      <c r="F3194" t="s">
        <v>96</v>
      </c>
      <c r="G3194" t="s">
        <v>96</v>
      </c>
      <c r="H3194">
        <v>2010</v>
      </c>
      <c r="I3194" t="s">
        <v>96</v>
      </c>
      <c r="J3194" t="s">
        <v>97</v>
      </c>
      <c r="K3194" t="s">
        <v>96</v>
      </c>
      <c r="L3194" t="s">
        <v>96</v>
      </c>
      <c r="M3194">
        <v>1460.5</v>
      </c>
      <c r="O3194" s="12" t="str">
        <f t="shared" si="112"/>
        <v>MID</v>
      </c>
      <c r="P3194" s="12" t="str">
        <f t="shared" si="113"/>
        <v>E_SPV</v>
      </c>
    </row>
    <row r="3195" spans="1:16" x14ac:dyDescent="0.35">
      <c r="A3195" t="s">
        <v>1586</v>
      </c>
      <c r="B3195" t="s">
        <v>76</v>
      </c>
      <c r="C3195" t="s">
        <v>45</v>
      </c>
      <c r="D3195" t="s">
        <v>2096</v>
      </c>
      <c r="E3195" t="s">
        <v>96</v>
      </c>
      <c r="F3195" t="s">
        <v>96</v>
      </c>
      <c r="G3195" t="s">
        <v>96</v>
      </c>
      <c r="H3195">
        <v>2010</v>
      </c>
      <c r="I3195" t="s">
        <v>96</v>
      </c>
      <c r="J3195" t="s">
        <v>97</v>
      </c>
      <c r="K3195" t="s">
        <v>96</v>
      </c>
      <c r="L3195" t="s">
        <v>96</v>
      </c>
      <c r="M3195">
        <v>1460.5</v>
      </c>
      <c r="O3195" s="12" t="str">
        <f t="shared" si="112"/>
        <v>MID</v>
      </c>
      <c r="P3195" s="12" t="str">
        <f t="shared" si="113"/>
        <v>E_SPV</v>
      </c>
    </row>
    <row r="3196" spans="1:16" x14ac:dyDescent="0.35">
      <c r="A3196" t="s">
        <v>1586</v>
      </c>
      <c r="B3196" t="s">
        <v>76</v>
      </c>
      <c r="C3196" t="s">
        <v>45</v>
      </c>
      <c r="D3196" t="s">
        <v>2097</v>
      </c>
      <c r="E3196" t="s">
        <v>96</v>
      </c>
      <c r="F3196" t="s">
        <v>96</v>
      </c>
      <c r="G3196" t="s">
        <v>96</v>
      </c>
      <c r="H3196">
        <v>2010</v>
      </c>
      <c r="I3196" t="s">
        <v>96</v>
      </c>
      <c r="J3196" t="s">
        <v>97</v>
      </c>
      <c r="K3196" t="s">
        <v>96</v>
      </c>
      <c r="L3196" t="s">
        <v>96</v>
      </c>
      <c r="M3196">
        <v>1460.5</v>
      </c>
      <c r="O3196" s="12" t="str">
        <f t="shared" si="112"/>
        <v>MID</v>
      </c>
      <c r="P3196" s="12" t="str">
        <f t="shared" si="113"/>
        <v>E_SPV</v>
      </c>
    </row>
    <row r="3197" spans="1:16" x14ac:dyDescent="0.35">
      <c r="A3197" t="s">
        <v>1586</v>
      </c>
      <c r="B3197" t="s">
        <v>76</v>
      </c>
      <c r="C3197" t="s">
        <v>45</v>
      </c>
      <c r="D3197" t="s">
        <v>2098</v>
      </c>
      <c r="E3197" t="s">
        <v>96</v>
      </c>
      <c r="F3197" t="s">
        <v>96</v>
      </c>
      <c r="G3197" t="s">
        <v>96</v>
      </c>
      <c r="H3197">
        <v>2010</v>
      </c>
      <c r="I3197" t="s">
        <v>96</v>
      </c>
      <c r="J3197" t="s">
        <v>97</v>
      </c>
      <c r="K3197" t="s">
        <v>96</v>
      </c>
      <c r="L3197" t="s">
        <v>96</v>
      </c>
      <c r="M3197">
        <v>1460.5</v>
      </c>
      <c r="O3197" s="12" t="str">
        <f t="shared" si="112"/>
        <v>MID</v>
      </c>
      <c r="P3197" s="12" t="str">
        <f t="shared" si="113"/>
        <v>E_SPV</v>
      </c>
    </row>
    <row r="3198" spans="1:16" x14ac:dyDescent="0.35">
      <c r="A3198" t="s">
        <v>1586</v>
      </c>
      <c r="B3198" t="s">
        <v>76</v>
      </c>
      <c r="C3198" t="s">
        <v>45</v>
      </c>
      <c r="D3198" t="s">
        <v>2099</v>
      </c>
      <c r="E3198" t="s">
        <v>96</v>
      </c>
      <c r="F3198" t="s">
        <v>96</v>
      </c>
      <c r="G3198" t="s">
        <v>96</v>
      </c>
      <c r="H3198">
        <v>2010</v>
      </c>
      <c r="I3198" t="s">
        <v>96</v>
      </c>
      <c r="J3198" t="s">
        <v>97</v>
      </c>
      <c r="K3198" t="s">
        <v>96</v>
      </c>
      <c r="L3198" t="s">
        <v>96</v>
      </c>
      <c r="M3198">
        <v>1460.5</v>
      </c>
      <c r="O3198" s="12" t="str">
        <f t="shared" si="112"/>
        <v>MID</v>
      </c>
      <c r="P3198" s="12" t="str">
        <f t="shared" si="113"/>
        <v>E_SPV</v>
      </c>
    </row>
    <row r="3199" spans="1:16" x14ac:dyDescent="0.35">
      <c r="A3199" t="s">
        <v>1586</v>
      </c>
      <c r="B3199" t="s">
        <v>76</v>
      </c>
      <c r="C3199" t="s">
        <v>45</v>
      </c>
      <c r="D3199" t="s">
        <v>2100</v>
      </c>
      <c r="E3199" t="s">
        <v>96</v>
      </c>
      <c r="F3199" t="s">
        <v>96</v>
      </c>
      <c r="G3199" t="s">
        <v>96</v>
      </c>
      <c r="H3199">
        <v>2010</v>
      </c>
      <c r="I3199" t="s">
        <v>96</v>
      </c>
      <c r="J3199" t="s">
        <v>97</v>
      </c>
      <c r="K3199" t="s">
        <v>96</v>
      </c>
      <c r="L3199" t="s">
        <v>96</v>
      </c>
      <c r="M3199">
        <v>1460.5</v>
      </c>
      <c r="O3199" s="12" t="str">
        <f t="shared" si="112"/>
        <v>MID</v>
      </c>
      <c r="P3199" s="12" t="str">
        <f t="shared" si="113"/>
        <v>E_SPV</v>
      </c>
    </row>
    <row r="3200" spans="1:16" x14ac:dyDescent="0.35">
      <c r="A3200" t="s">
        <v>1586</v>
      </c>
      <c r="B3200" t="s">
        <v>76</v>
      </c>
      <c r="C3200" t="s">
        <v>45</v>
      </c>
      <c r="D3200" t="s">
        <v>2101</v>
      </c>
      <c r="E3200" t="s">
        <v>96</v>
      </c>
      <c r="F3200" t="s">
        <v>96</v>
      </c>
      <c r="G3200" t="s">
        <v>96</v>
      </c>
      <c r="H3200">
        <v>2010</v>
      </c>
      <c r="I3200" t="s">
        <v>96</v>
      </c>
      <c r="J3200" t="s">
        <v>97</v>
      </c>
      <c r="K3200" t="s">
        <v>96</v>
      </c>
      <c r="L3200" t="s">
        <v>96</v>
      </c>
      <c r="M3200">
        <v>1460.5</v>
      </c>
      <c r="O3200" s="12" t="str">
        <f t="shared" si="112"/>
        <v>MID</v>
      </c>
      <c r="P3200" s="12" t="str">
        <f t="shared" si="113"/>
        <v>E_SPV</v>
      </c>
    </row>
    <row r="3201" spans="1:16" x14ac:dyDescent="0.35">
      <c r="A3201" t="s">
        <v>1586</v>
      </c>
      <c r="B3201" t="s">
        <v>76</v>
      </c>
      <c r="C3201" t="s">
        <v>45</v>
      </c>
      <c r="D3201" t="s">
        <v>2102</v>
      </c>
      <c r="E3201" t="s">
        <v>96</v>
      </c>
      <c r="F3201" t="s">
        <v>96</v>
      </c>
      <c r="G3201" t="s">
        <v>96</v>
      </c>
      <c r="H3201">
        <v>2010</v>
      </c>
      <c r="I3201" t="s">
        <v>96</v>
      </c>
      <c r="J3201" t="s">
        <v>97</v>
      </c>
      <c r="K3201" t="s">
        <v>96</v>
      </c>
      <c r="L3201" t="s">
        <v>96</v>
      </c>
      <c r="M3201">
        <v>1712.1</v>
      </c>
      <c r="O3201" s="12" t="str">
        <f t="shared" si="112"/>
        <v>MID</v>
      </c>
      <c r="P3201" s="12" t="str">
        <f t="shared" si="113"/>
        <v>E_SPV</v>
      </c>
    </row>
    <row r="3202" spans="1:16" x14ac:dyDescent="0.35">
      <c r="A3202" t="s">
        <v>1586</v>
      </c>
      <c r="B3202" t="s">
        <v>76</v>
      </c>
      <c r="C3202" t="s">
        <v>45</v>
      </c>
      <c r="D3202" t="s">
        <v>2103</v>
      </c>
      <c r="E3202" t="s">
        <v>96</v>
      </c>
      <c r="F3202" t="s">
        <v>96</v>
      </c>
      <c r="G3202" t="s">
        <v>96</v>
      </c>
      <c r="H3202">
        <v>2010</v>
      </c>
      <c r="I3202" t="s">
        <v>96</v>
      </c>
      <c r="J3202" t="s">
        <v>97</v>
      </c>
      <c r="K3202" t="s">
        <v>96</v>
      </c>
      <c r="L3202" t="s">
        <v>96</v>
      </c>
      <c r="M3202">
        <v>1460.5</v>
      </c>
      <c r="O3202" s="12" t="str">
        <f t="shared" si="112"/>
        <v>MID</v>
      </c>
      <c r="P3202" s="12" t="str">
        <f t="shared" si="113"/>
        <v>E_SPV</v>
      </c>
    </row>
    <row r="3203" spans="1:16" x14ac:dyDescent="0.35">
      <c r="A3203" t="s">
        <v>1586</v>
      </c>
      <c r="B3203" t="s">
        <v>76</v>
      </c>
      <c r="C3203" t="s">
        <v>45</v>
      </c>
      <c r="D3203" t="s">
        <v>2104</v>
      </c>
      <c r="E3203" t="s">
        <v>96</v>
      </c>
      <c r="F3203" t="s">
        <v>96</v>
      </c>
      <c r="G3203" t="s">
        <v>96</v>
      </c>
      <c r="H3203">
        <v>2010</v>
      </c>
      <c r="I3203" t="s">
        <v>96</v>
      </c>
      <c r="J3203" t="s">
        <v>97</v>
      </c>
      <c r="K3203" t="s">
        <v>96</v>
      </c>
      <c r="L3203" t="s">
        <v>96</v>
      </c>
      <c r="M3203">
        <v>1460.5</v>
      </c>
      <c r="O3203" s="12" t="str">
        <f t="shared" ref="O3203:O3266" si="114">LEFT(B3203,3)</f>
        <v>MID</v>
      </c>
      <c r="P3203" s="12" t="str">
        <f t="shared" ref="P3203:P3266" si="115">LEFT(D3203,5)</f>
        <v>E_SPV</v>
      </c>
    </row>
    <row r="3204" spans="1:16" x14ac:dyDescent="0.35">
      <c r="A3204" t="s">
        <v>1586</v>
      </c>
      <c r="B3204" t="s">
        <v>76</v>
      </c>
      <c r="C3204" t="s">
        <v>45</v>
      </c>
      <c r="D3204" t="s">
        <v>2105</v>
      </c>
      <c r="E3204" t="s">
        <v>96</v>
      </c>
      <c r="F3204" t="s">
        <v>96</v>
      </c>
      <c r="G3204" t="s">
        <v>96</v>
      </c>
      <c r="H3204">
        <v>2010</v>
      </c>
      <c r="I3204" t="s">
        <v>96</v>
      </c>
      <c r="J3204" t="s">
        <v>97</v>
      </c>
      <c r="K3204" t="s">
        <v>96</v>
      </c>
      <c r="L3204" t="s">
        <v>96</v>
      </c>
      <c r="M3204">
        <v>1460.5</v>
      </c>
      <c r="O3204" s="12" t="str">
        <f t="shared" si="114"/>
        <v>MID</v>
      </c>
      <c r="P3204" s="12" t="str">
        <f t="shared" si="115"/>
        <v>E_SPV</v>
      </c>
    </row>
    <row r="3205" spans="1:16" x14ac:dyDescent="0.35">
      <c r="A3205" t="s">
        <v>1586</v>
      </c>
      <c r="B3205" t="s">
        <v>76</v>
      </c>
      <c r="C3205" t="s">
        <v>45</v>
      </c>
      <c r="D3205" t="s">
        <v>2106</v>
      </c>
      <c r="E3205" t="s">
        <v>96</v>
      </c>
      <c r="F3205" t="s">
        <v>96</v>
      </c>
      <c r="G3205" t="s">
        <v>96</v>
      </c>
      <c r="H3205">
        <v>2010</v>
      </c>
      <c r="I3205" t="s">
        <v>96</v>
      </c>
      <c r="J3205" t="s">
        <v>97</v>
      </c>
      <c r="K3205" t="s">
        <v>96</v>
      </c>
      <c r="L3205" t="s">
        <v>96</v>
      </c>
      <c r="M3205">
        <v>1460.5</v>
      </c>
      <c r="O3205" s="12" t="str">
        <f t="shared" si="114"/>
        <v>MID</v>
      </c>
      <c r="P3205" s="12" t="str">
        <f t="shared" si="115"/>
        <v>E_SPV</v>
      </c>
    </row>
    <row r="3206" spans="1:16" x14ac:dyDescent="0.35">
      <c r="A3206" t="s">
        <v>1586</v>
      </c>
      <c r="B3206" t="s">
        <v>76</v>
      </c>
      <c r="C3206" t="s">
        <v>45</v>
      </c>
      <c r="D3206" t="s">
        <v>2107</v>
      </c>
      <c r="E3206" t="s">
        <v>96</v>
      </c>
      <c r="F3206" t="s">
        <v>96</v>
      </c>
      <c r="G3206" t="s">
        <v>96</v>
      </c>
      <c r="H3206">
        <v>2010</v>
      </c>
      <c r="I3206" t="s">
        <v>96</v>
      </c>
      <c r="J3206" t="s">
        <v>97</v>
      </c>
      <c r="K3206" t="s">
        <v>96</v>
      </c>
      <c r="L3206" t="s">
        <v>96</v>
      </c>
      <c r="M3206">
        <v>1460.5</v>
      </c>
      <c r="O3206" s="12" t="str">
        <f t="shared" si="114"/>
        <v>MID</v>
      </c>
      <c r="P3206" s="12" t="str">
        <f t="shared" si="115"/>
        <v>E_SPV</v>
      </c>
    </row>
    <row r="3207" spans="1:16" x14ac:dyDescent="0.35">
      <c r="A3207" t="s">
        <v>1586</v>
      </c>
      <c r="B3207" t="s">
        <v>76</v>
      </c>
      <c r="C3207" t="s">
        <v>45</v>
      </c>
      <c r="D3207" t="s">
        <v>2108</v>
      </c>
      <c r="E3207" t="s">
        <v>96</v>
      </c>
      <c r="F3207" t="s">
        <v>96</v>
      </c>
      <c r="G3207" t="s">
        <v>96</v>
      </c>
      <c r="H3207">
        <v>2010</v>
      </c>
      <c r="I3207" t="s">
        <v>96</v>
      </c>
      <c r="J3207" t="s">
        <v>97</v>
      </c>
      <c r="K3207" t="s">
        <v>96</v>
      </c>
      <c r="L3207" t="s">
        <v>96</v>
      </c>
      <c r="M3207">
        <v>1460.5</v>
      </c>
      <c r="O3207" s="12" t="str">
        <f t="shared" si="114"/>
        <v>MID</v>
      </c>
      <c r="P3207" s="12" t="str">
        <f t="shared" si="115"/>
        <v>E_SPV</v>
      </c>
    </row>
    <row r="3208" spans="1:16" x14ac:dyDescent="0.35">
      <c r="A3208" t="s">
        <v>1586</v>
      </c>
      <c r="B3208" t="s">
        <v>76</v>
      </c>
      <c r="C3208" t="s">
        <v>45</v>
      </c>
      <c r="D3208" t="s">
        <v>2109</v>
      </c>
      <c r="E3208" t="s">
        <v>96</v>
      </c>
      <c r="F3208" t="s">
        <v>96</v>
      </c>
      <c r="G3208" t="s">
        <v>96</v>
      </c>
      <c r="H3208">
        <v>2010</v>
      </c>
      <c r="I3208" t="s">
        <v>96</v>
      </c>
      <c r="J3208" t="s">
        <v>97</v>
      </c>
      <c r="K3208" t="s">
        <v>96</v>
      </c>
      <c r="L3208" t="s">
        <v>96</v>
      </c>
      <c r="M3208">
        <v>1460.5</v>
      </c>
      <c r="O3208" s="12" t="str">
        <f t="shared" si="114"/>
        <v>MID</v>
      </c>
      <c r="P3208" s="12" t="str">
        <f t="shared" si="115"/>
        <v>E_SPV</v>
      </c>
    </row>
    <row r="3209" spans="1:16" x14ac:dyDescent="0.35">
      <c r="A3209" t="s">
        <v>1586</v>
      </c>
      <c r="B3209" t="s">
        <v>76</v>
      </c>
      <c r="C3209" t="s">
        <v>45</v>
      </c>
      <c r="D3209" t="s">
        <v>2110</v>
      </c>
      <c r="E3209" t="s">
        <v>96</v>
      </c>
      <c r="F3209" t="s">
        <v>96</v>
      </c>
      <c r="G3209" t="s">
        <v>96</v>
      </c>
      <c r="H3209">
        <v>2010</v>
      </c>
      <c r="I3209" t="s">
        <v>96</v>
      </c>
      <c r="J3209" t="s">
        <v>97</v>
      </c>
      <c r="K3209" t="s">
        <v>96</v>
      </c>
      <c r="L3209" t="s">
        <v>96</v>
      </c>
      <c r="M3209">
        <v>1460.5</v>
      </c>
      <c r="O3209" s="12" t="str">
        <f t="shared" si="114"/>
        <v>MID</v>
      </c>
      <c r="P3209" s="12" t="str">
        <f t="shared" si="115"/>
        <v>E_SPV</v>
      </c>
    </row>
    <row r="3210" spans="1:16" x14ac:dyDescent="0.35">
      <c r="A3210" t="s">
        <v>1586</v>
      </c>
      <c r="B3210" t="s">
        <v>76</v>
      </c>
      <c r="C3210" t="s">
        <v>45</v>
      </c>
      <c r="D3210" t="s">
        <v>2111</v>
      </c>
      <c r="E3210" t="s">
        <v>96</v>
      </c>
      <c r="F3210" t="s">
        <v>96</v>
      </c>
      <c r="G3210" t="s">
        <v>96</v>
      </c>
      <c r="H3210">
        <v>2010</v>
      </c>
      <c r="I3210" t="s">
        <v>96</v>
      </c>
      <c r="J3210" t="s">
        <v>97</v>
      </c>
      <c r="K3210" t="s">
        <v>96</v>
      </c>
      <c r="L3210" t="s">
        <v>96</v>
      </c>
      <c r="M3210">
        <v>1460.5</v>
      </c>
      <c r="O3210" s="12" t="str">
        <f t="shared" si="114"/>
        <v>MID</v>
      </c>
      <c r="P3210" s="12" t="str">
        <f t="shared" si="115"/>
        <v>E_SPV</v>
      </c>
    </row>
    <row r="3211" spans="1:16" x14ac:dyDescent="0.35">
      <c r="A3211" t="s">
        <v>1586</v>
      </c>
      <c r="B3211" t="s">
        <v>76</v>
      </c>
      <c r="C3211" t="s">
        <v>45</v>
      </c>
      <c r="D3211" t="s">
        <v>2112</v>
      </c>
      <c r="E3211" t="s">
        <v>96</v>
      </c>
      <c r="F3211" t="s">
        <v>96</v>
      </c>
      <c r="G3211" t="s">
        <v>96</v>
      </c>
      <c r="H3211">
        <v>2010</v>
      </c>
      <c r="I3211" t="s">
        <v>96</v>
      </c>
      <c r="J3211" t="s">
        <v>97</v>
      </c>
      <c r="K3211" t="s">
        <v>96</v>
      </c>
      <c r="L3211" t="s">
        <v>96</v>
      </c>
      <c r="M3211">
        <v>1460.5</v>
      </c>
      <c r="O3211" s="12" t="str">
        <f t="shared" si="114"/>
        <v>MID</v>
      </c>
      <c r="P3211" s="12" t="str">
        <f t="shared" si="115"/>
        <v>E_SPV</v>
      </c>
    </row>
    <row r="3212" spans="1:16" x14ac:dyDescent="0.35">
      <c r="A3212" t="s">
        <v>1586</v>
      </c>
      <c r="B3212" t="s">
        <v>76</v>
      </c>
      <c r="C3212" t="s">
        <v>45</v>
      </c>
      <c r="D3212" t="s">
        <v>2113</v>
      </c>
      <c r="E3212" t="s">
        <v>96</v>
      </c>
      <c r="F3212" t="s">
        <v>96</v>
      </c>
      <c r="G3212" t="s">
        <v>96</v>
      </c>
      <c r="H3212">
        <v>2010</v>
      </c>
      <c r="I3212" t="s">
        <v>96</v>
      </c>
      <c r="J3212" t="s">
        <v>97</v>
      </c>
      <c r="K3212" t="s">
        <v>96</v>
      </c>
      <c r="L3212" t="s">
        <v>96</v>
      </c>
      <c r="M3212">
        <v>1712.1</v>
      </c>
      <c r="O3212" s="12" t="str">
        <f t="shared" si="114"/>
        <v>MID</v>
      </c>
      <c r="P3212" s="12" t="str">
        <f t="shared" si="115"/>
        <v>E_SPV</v>
      </c>
    </row>
    <row r="3213" spans="1:16" x14ac:dyDescent="0.35">
      <c r="A3213" t="s">
        <v>1586</v>
      </c>
      <c r="B3213" t="s">
        <v>76</v>
      </c>
      <c r="C3213" t="s">
        <v>45</v>
      </c>
      <c r="D3213" t="s">
        <v>2114</v>
      </c>
      <c r="E3213" t="s">
        <v>96</v>
      </c>
      <c r="F3213" t="s">
        <v>96</v>
      </c>
      <c r="G3213" t="s">
        <v>96</v>
      </c>
      <c r="H3213">
        <v>2010</v>
      </c>
      <c r="I3213" t="s">
        <v>96</v>
      </c>
      <c r="J3213" t="s">
        <v>97</v>
      </c>
      <c r="K3213" t="s">
        <v>96</v>
      </c>
      <c r="L3213" t="s">
        <v>96</v>
      </c>
      <c r="M3213">
        <v>1460.5</v>
      </c>
      <c r="O3213" s="12" t="str">
        <f t="shared" si="114"/>
        <v>MID</v>
      </c>
      <c r="P3213" s="12" t="str">
        <f t="shared" si="115"/>
        <v>E_SPV</v>
      </c>
    </row>
    <row r="3214" spans="1:16" x14ac:dyDescent="0.35">
      <c r="A3214" t="s">
        <v>1586</v>
      </c>
      <c r="B3214" t="s">
        <v>76</v>
      </c>
      <c r="C3214" t="s">
        <v>45</v>
      </c>
      <c r="D3214" t="s">
        <v>2115</v>
      </c>
      <c r="E3214" t="s">
        <v>96</v>
      </c>
      <c r="F3214" t="s">
        <v>96</v>
      </c>
      <c r="G3214" t="s">
        <v>96</v>
      </c>
      <c r="H3214">
        <v>2010</v>
      </c>
      <c r="I3214" t="s">
        <v>96</v>
      </c>
      <c r="J3214" t="s">
        <v>97</v>
      </c>
      <c r="K3214" t="s">
        <v>96</v>
      </c>
      <c r="L3214" t="s">
        <v>96</v>
      </c>
      <c r="M3214">
        <v>1460.5</v>
      </c>
      <c r="O3214" s="12" t="str">
        <f t="shared" si="114"/>
        <v>MID</v>
      </c>
      <c r="P3214" s="12" t="str">
        <f t="shared" si="115"/>
        <v>E_SPV</v>
      </c>
    </row>
    <row r="3215" spans="1:16" x14ac:dyDescent="0.35">
      <c r="A3215" t="s">
        <v>1586</v>
      </c>
      <c r="B3215" t="s">
        <v>76</v>
      </c>
      <c r="C3215" t="s">
        <v>45</v>
      </c>
      <c r="D3215" t="s">
        <v>2116</v>
      </c>
      <c r="E3215" t="s">
        <v>96</v>
      </c>
      <c r="F3215" t="s">
        <v>96</v>
      </c>
      <c r="G3215" t="s">
        <v>96</v>
      </c>
      <c r="H3215">
        <v>2010</v>
      </c>
      <c r="I3215" t="s">
        <v>96</v>
      </c>
      <c r="J3215" t="s">
        <v>97</v>
      </c>
      <c r="K3215" t="s">
        <v>96</v>
      </c>
      <c r="L3215" t="s">
        <v>96</v>
      </c>
      <c r="M3215">
        <v>1460.5</v>
      </c>
      <c r="O3215" s="12" t="str">
        <f t="shared" si="114"/>
        <v>MID</v>
      </c>
      <c r="P3215" s="12" t="str">
        <f t="shared" si="115"/>
        <v>E_SPV</v>
      </c>
    </row>
    <row r="3216" spans="1:16" x14ac:dyDescent="0.35">
      <c r="A3216" t="s">
        <v>1586</v>
      </c>
      <c r="B3216" t="s">
        <v>76</v>
      </c>
      <c r="C3216" t="s">
        <v>45</v>
      </c>
      <c r="D3216" t="s">
        <v>2117</v>
      </c>
      <c r="E3216" t="s">
        <v>96</v>
      </c>
      <c r="F3216" t="s">
        <v>96</v>
      </c>
      <c r="G3216" t="s">
        <v>96</v>
      </c>
      <c r="H3216">
        <v>2010</v>
      </c>
      <c r="I3216" t="s">
        <v>96</v>
      </c>
      <c r="J3216" t="s">
        <v>97</v>
      </c>
      <c r="K3216" t="s">
        <v>96</v>
      </c>
      <c r="L3216" t="s">
        <v>96</v>
      </c>
      <c r="M3216">
        <v>1460.5</v>
      </c>
      <c r="O3216" s="12" t="str">
        <f t="shared" si="114"/>
        <v>MID</v>
      </c>
      <c r="P3216" s="12" t="str">
        <f t="shared" si="115"/>
        <v>E_SPV</v>
      </c>
    </row>
    <row r="3217" spans="1:16" x14ac:dyDescent="0.35">
      <c r="A3217" t="s">
        <v>1586</v>
      </c>
      <c r="B3217" t="s">
        <v>76</v>
      </c>
      <c r="C3217" t="s">
        <v>45</v>
      </c>
      <c r="D3217" t="s">
        <v>2118</v>
      </c>
      <c r="E3217" t="s">
        <v>96</v>
      </c>
      <c r="F3217" t="s">
        <v>96</v>
      </c>
      <c r="G3217" t="s">
        <v>96</v>
      </c>
      <c r="H3217">
        <v>2010</v>
      </c>
      <c r="I3217" t="s">
        <v>96</v>
      </c>
      <c r="J3217" t="s">
        <v>97</v>
      </c>
      <c r="K3217" t="s">
        <v>96</v>
      </c>
      <c r="L3217" t="s">
        <v>96</v>
      </c>
      <c r="M3217">
        <v>1460.5</v>
      </c>
      <c r="O3217" s="12" t="str">
        <f t="shared" si="114"/>
        <v>MID</v>
      </c>
      <c r="P3217" s="12" t="str">
        <f t="shared" si="115"/>
        <v>E_SPV</v>
      </c>
    </row>
    <row r="3218" spans="1:16" x14ac:dyDescent="0.35">
      <c r="A3218" t="s">
        <v>1586</v>
      </c>
      <c r="B3218" t="s">
        <v>76</v>
      </c>
      <c r="C3218" t="s">
        <v>45</v>
      </c>
      <c r="D3218" t="s">
        <v>2119</v>
      </c>
      <c r="E3218" t="s">
        <v>96</v>
      </c>
      <c r="F3218" t="s">
        <v>96</v>
      </c>
      <c r="G3218" t="s">
        <v>96</v>
      </c>
      <c r="H3218">
        <v>2010</v>
      </c>
      <c r="I3218" t="s">
        <v>96</v>
      </c>
      <c r="J3218" t="s">
        <v>97</v>
      </c>
      <c r="K3218" t="s">
        <v>96</v>
      </c>
      <c r="L3218" t="s">
        <v>96</v>
      </c>
      <c r="M3218">
        <v>1460.5</v>
      </c>
      <c r="O3218" s="12" t="str">
        <f t="shared" si="114"/>
        <v>MID</v>
      </c>
      <c r="P3218" s="12" t="str">
        <f t="shared" si="115"/>
        <v>E_SPV</v>
      </c>
    </row>
    <row r="3219" spans="1:16" x14ac:dyDescent="0.35">
      <c r="A3219" t="s">
        <v>1586</v>
      </c>
      <c r="B3219" t="s">
        <v>76</v>
      </c>
      <c r="C3219" t="s">
        <v>45</v>
      </c>
      <c r="D3219" t="s">
        <v>2120</v>
      </c>
      <c r="E3219" t="s">
        <v>96</v>
      </c>
      <c r="F3219" t="s">
        <v>96</v>
      </c>
      <c r="G3219" t="s">
        <v>96</v>
      </c>
      <c r="H3219">
        <v>2010</v>
      </c>
      <c r="I3219" t="s">
        <v>96</v>
      </c>
      <c r="J3219" t="s">
        <v>97</v>
      </c>
      <c r="K3219" t="s">
        <v>96</v>
      </c>
      <c r="L3219" t="s">
        <v>96</v>
      </c>
      <c r="M3219">
        <v>1460.5</v>
      </c>
      <c r="O3219" s="12" t="str">
        <f t="shared" si="114"/>
        <v>MID</v>
      </c>
      <c r="P3219" s="12" t="str">
        <f t="shared" si="115"/>
        <v>E_SPV</v>
      </c>
    </row>
    <row r="3220" spans="1:16" x14ac:dyDescent="0.35">
      <c r="A3220" t="s">
        <v>1586</v>
      </c>
      <c r="B3220" t="s">
        <v>76</v>
      </c>
      <c r="C3220" t="s">
        <v>45</v>
      </c>
      <c r="D3220" t="s">
        <v>2121</v>
      </c>
      <c r="E3220" t="s">
        <v>96</v>
      </c>
      <c r="F3220" t="s">
        <v>96</v>
      </c>
      <c r="G3220" t="s">
        <v>96</v>
      </c>
      <c r="H3220">
        <v>2010</v>
      </c>
      <c r="I3220" t="s">
        <v>96</v>
      </c>
      <c r="J3220" t="s">
        <v>97</v>
      </c>
      <c r="K3220" t="s">
        <v>96</v>
      </c>
      <c r="L3220" t="s">
        <v>96</v>
      </c>
      <c r="M3220">
        <v>1460.5</v>
      </c>
      <c r="O3220" s="12" t="str">
        <f t="shared" si="114"/>
        <v>MID</v>
      </c>
      <c r="P3220" s="12" t="str">
        <f t="shared" si="115"/>
        <v>E_SPV</v>
      </c>
    </row>
    <row r="3221" spans="1:16" x14ac:dyDescent="0.35">
      <c r="A3221" t="s">
        <v>1586</v>
      </c>
      <c r="B3221" t="s">
        <v>76</v>
      </c>
      <c r="C3221" t="s">
        <v>45</v>
      </c>
      <c r="D3221" t="s">
        <v>2122</v>
      </c>
      <c r="E3221" t="s">
        <v>96</v>
      </c>
      <c r="F3221" t="s">
        <v>96</v>
      </c>
      <c r="G3221" t="s">
        <v>96</v>
      </c>
      <c r="H3221">
        <v>2010</v>
      </c>
      <c r="I3221" t="s">
        <v>96</v>
      </c>
      <c r="J3221" t="s">
        <v>97</v>
      </c>
      <c r="K3221" t="s">
        <v>96</v>
      </c>
      <c r="L3221" t="s">
        <v>96</v>
      </c>
      <c r="M3221">
        <v>1460.5</v>
      </c>
      <c r="O3221" s="12" t="str">
        <f t="shared" si="114"/>
        <v>MID</v>
      </c>
      <c r="P3221" s="12" t="str">
        <f t="shared" si="115"/>
        <v>E_SPV</v>
      </c>
    </row>
    <row r="3222" spans="1:16" x14ac:dyDescent="0.35">
      <c r="A3222" t="s">
        <v>1586</v>
      </c>
      <c r="B3222" t="s">
        <v>76</v>
      </c>
      <c r="C3222" t="s">
        <v>45</v>
      </c>
      <c r="D3222" t="s">
        <v>2123</v>
      </c>
      <c r="E3222" t="s">
        <v>96</v>
      </c>
      <c r="F3222" t="s">
        <v>96</v>
      </c>
      <c r="G3222" t="s">
        <v>96</v>
      </c>
      <c r="H3222">
        <v>2010</v>
      </c>
      <c r="I3222" t="s">
        <v>96</v>
      </c>
      <c r="J3222" t="s">
        <v>97</v>
      </c>
      <c r="K3222" t="s">
        <v>96</v>
      </c>
      <c r="L3222" t="s">
        <v>96</v>
      </c>
      <c r="M3222">
        <v>1460.5</v>
      </c>
      <c r="O3222" s="12" t="str">
        <f t="shared" si="114"/>
        <v>MID</v>
      </c>
      <c r="P3222" s="12" t="str">
        <f t="shared" si="115"/>
        <v>E_SPV</v>
      </c>
    </row>
    <row r="3223" spans="1:16" x14ac:dyDescent="0.35">
      <c r="A3223" t="s">
        <v>1586</v>
      </c>
      <c r="B3223" t="s">
        <v>76</v>
      </c>
      <c r="C3223" t="s">
        <v>45</v>
      </c>
      <c r="D3223" t="s">
        <v>2124</v>
      </c>
      <c r="E3223" t="s">
        <v>96</v>
      </c>
      <c r="F3223" t="s">
        <v>96</v>
      </c>
      <c r="G3223" t="s">
        <v>96</v>
      </c>
      <c r="H3223">
        <v>2010</v>
      </c>
      <c r="I3223" t="s">
        <v>96</v>
      </c>
      <c r="J3223" t="s">
        <v>97</v>
      </c>
      <c r="K3223" t="s">
        <v>96</v>
      </c>
      <c r="L3223" t="s">
        <v>96</v>
      </c>
      <c r="M3223">
        <v>1712.1</v>
      </c>
      <c r="O3223" s="12" t="str">
        <f t="shared" si="114"/>
        <v>MID</v>
      </c>
      <c r="P3223" s="12" t="str">
        <f t="shared" si="115"/>
        <v>E_SPV</v>
      </c>
    </row>
    <row r="3224" spans="1:16" x14ac:dyDescent="0.35">
      <c r="A3224" t="s">
        <v>1586</v>
      </c>
      <c r="B3224" t="s">
        <v>76</v>
      </c>
      <c r="C3224" t="s">
        <v>45</v>
      </c>
      <c r="D3224" t="s">
        <v>2125</v>
      </c>
      <c r="E3224" t="s">
        <v>96</v>
      </c>
      <c r="F3224" t="s">
        <v>96</v>
      </c>
      <c r="G3224" t="s">
        <v>96</v>
      </c>
      <c r="H3224">
        <v>2010</v>
      </c>
      <c r="I3224" t="s">
        <v>96</v>
      </c>
      <c r="J3224" t="s">
        <v>97</v>
      </c>
      <c r="K3224" t="s">
        <v>96</v>
      </c>
      <c r="L3224" t="s">
        <v>96</v>
      </c>
      <c r="M3224">
        <v>1460.5</v>
      </c>
      <c r="O3224" s="12" t="str">
        <f t="shared" si="114"/>
        <v>MID</v>
      </c>
      <c r="P3224" s="12" t="str">
        <f t="shared" si="115"/>
        <v>E_SPV</v>
      </c>
    </row>
    <row r="3225" spans="1:16" x14ac:dyDescent="0.35">
      <c r="A3225" t="s">
        <v>1586</v>
      </c>
      <c r="B3225" t="s">
        <v>76</v>
      </c>
      <c r="C3225" t="s">
        <v>45</v>
      </c>
      <c r="D3225" t="s">
        <v>2126</v>
      </c>
      <c r="E3225" t="s">
        <v>96</v>
      </c>
      <c r="F3225" t="s">
        <v>96</v>
      </c>
      <c r="G3225" t="s">
        <v>96</v>
      </c>
      <c r="H3225">
        <v>2010</v>
      </c>
      <c r="I3225" t="s">
        <v>96</v>
      </c>
      <c r="J3225" t="s">
        <v>97</v>
      </c>
      <c r="K3225" t="s">
        <v>96</v>
      </c>
      <c r="L3225" t="s">
        <v>96</v>
      </c>
      <c r="M3225">
        <v>1460.5</v>
      </c>
      <c r="O3225" s="12" t="str">
        <f t="shared" si="114"/>
        <v>MID</v>
      </c>
      <c r="P3225" s="12" t="str">
        <f t="shared" si="115"/>
        <v>E_SPV</v>
      </c>
    </row>
    <row r="3226" spans="1:16" x14ac:dyDescent="0.35">
      <c r="A3226" t="s">
        <v>1586</v>
      </c>
      <c r="B3226" t="s">
        <v>76</v>
      </c>
      <c r="C3226" t="s">
        <v>45</v>
      </c>
      <c r="D3226" t="s">
        <v>2127</v>
      </c>
      <c r="E3226" t="s">
        <v>96</v>
      </c>
      <c r="F3226" t="s">
        <v>96</v>
      </c>
      <c r="G3226" t="s">
        <v>96</v>
      </c>
      <c r="H3226">
        <v>2010</v>
      </c>
      <c r="I3226" t="s">
        <v>96</v>
      </c>
      <c r="J3226" t="s">
        <v>97</v>
      </c>
      <c r="K3226" t="s">
        <v>96</v>
      </c>
      <c r="L3226" t="s">
        <v>96</v>
      </c>
      <c r="M3226">
        <v>1460.5</v>
      </c>
      <c r="O3226" s="12" t="str">
        <f t="shared" si="114"/>
        <v>MID</v>
      </c>
      <c r="P3226" s="12" t="str">
        <f t="shared" si="115"/>
        <v>E_SPV</v>
      </c>
    </row>
    <row r="3227" spans="1:16" x14ac:dyDescent="0.35">
      <c r="A3227" t="s">
        <v>1586</v>
      </c>
      <c r="B3227" t="s">
        <v>76</v>
      </c>
      <c r="C3227" t="s">
        <v>45</v>
      </c>
      <c r="D3227" t="s">
        <v>2128</v>
      </c>
      <c r="E3227" t="s">
        <v>96</v>
      </c>
      <c r="F3227" t="s">
        <v>96</v>
      </c>
      <c r="G3227" t="s">
        <v>96</v>
      </c>
      <c r="H3227">
        <v>2010</v>
      </c>
      <c r="I3227" t="s">
        <v>96</v>
      </c>
      <c r="J3227" t="s">
        <v>97</v>
      </c>
      <c r="K3227" t="s">
        <v>96</v>
      </c>
      <c r="L3227" t="s">
        <v>96</v>
      </c>
      <c r="M3227">
        <v>1460.5</v>
      </c>
      <c r="O3227" s="12" t="str">
        <f t="shared" si="114"/>
        <v>MID</v>
      </c>
      <c r="P3227" s="12" t="str">
        <f t="shared" si="115"/>
        <v>E_SPV</v>
      </c>
    </row>
    <row r="3228" spans="1:16" x14ac:dyDescent="0.35">
      <c r="A3228" t="s">
        <v>1586</v>
      </c>
      <c r="B3228" t="s">
        <v>76</v>
      </c>
      <c r="C3228" t="s">
        <v>45</v>
      </c>
      <c r="D3228" t="s">
        <v>2129</v>
      </c>
      <c r="E3228" t="s">
        <v>96</v>
      </c>
      <c r="F3228" t="s">
        <v>96</v>
      </c>
      <c r="G3228" t="s">
        <v>96</v>
      </c>
      <c r="H3228">
        <v>2010</v>
      </c>
      <c r="I3228" t="s">
        <v>96</v>
      </c>
      <c r="J3228" t="s">
        <v>97</v>
      </c>
      <c r="K3228" t="s">
        <v>96</v>
      </c>
      <c r="L3228" t="s">
        <v>96</v>
      </c>
      <c r="M3228">
        <v>1460.5</v>
      </c>
      <c r="O3228" s="12" t="str">
        <f t="shared" si="114"/>
        <v>MID</v>
      </c>
      <c r="P3228" s="12" t="str">
        <f t="shared" si="115"/>
        <v>E_SPV</v>
      </c>
    </row>
    <row r="3229" spans="1:16" x14ac:dyDescent="0.35">
      <c r="A3229" t="s">
        <v>1586</v>
      </c>
      <c r="B3229" t="s">
        <v>76</v>
      </c>
      <c r="C3229" t="s">
        <v>45</v>
      </c>
      <c r="D3229" t="s">
        <v>2130</v>
      </c>
      <c r="E3229" t="s">
        <v>96</v>
      </c>
      <c r="F3229" t="s">
        <v>96</v>
      </c>
      <c r="G3229" t="s">
        <v>96</v>
      </c>
      <c r="H3229">
        <v>2010</v>
      </c>
      <c r="I3229" t="s">
        <v>96</v>
      </c>
      <c r="J3229" t="s">
        <v>97</v>
      </c>
      <c r="K3229" t="s">
        <v>96</v>
      </c>
      <c r="L3229" t="s">
        <v>96</v>
      </c>
      <c r="M3229">
        <v>1460.5</v>
      </c>
      <c r="O3229" s="12" t="str">
        <f t="shared" si="114"/>
        <v>MID</v>
      </c>
      <c r="P3229" s="12" t="str">
        <f t="shared" si="115"/>
        <v>E_SPV</v>
      </c>
    </row>
    <row r="3230" spans="1:16" x14ac:dyDescent="0.35">
      <c r="A3230" t="s">
        <v>1586</v>
      </c>
      <c r="B3230" t="s">
        <v>76</v>
      </c>
      <c r="C3230" t="s">
        <v>45</v>
      </c>
      <c r="D3230" t="s">
        <v>2131</v>
      </c>
      <c r="E3230" t="s">
        <v>96</v>
      </c>
      <c r="F3230" t="s">
        <v>96</v>
      </c>
      <c r="G3230" t="s">
        <v>96</v>
      </c>
      <c r="H3230">
        <v>2010</v>
      </c>
      <c r="I3230" t="s">
        <v>96</v>
      </c>
      <c r="J3230" t="s">
        <v>97</v>
      </c>
      <c r="K3230" t="s">
        <v>96</v>
      </c>
      <c r="L3230" t="s">
        <v>96</v>
      </c>
      <c r="M3230">
        <v>1460.5</v>
      </c>
      <c r="O3230" s="12" t="str">
        <f t="shared" si="114"/>
        <v>MID</v>
      </c>
      <c r="P3230" s="12" t="str">
        <f t="shared" si="115"/>
        <v>E_SPV</v>
      </c>
    </row>
    <row r="3231" spans="1:16" x14ac:dyDescent="0.35">
      <c r="A3231" t="s">
        <v>1586</v>
      </c>
      <c r="B3231" t="s">
        <v>76</v>
      </c>
      <c r="C3231" t="s">
        <v>45</v>
      </c>
      <c r="D3231" t="s">
        <v>2132</v>
      </c>
      <c r="E3231" t="s">
        <v>96</v>
      </c>
      <c r="F3231" t="s">
        <v>96</v>
      </c>
      <c r="G3231" t="s">
        <v>96</v>
      </c>
      <c r="H3231">
        <v>2010</v>
      </c>
      <c r="I3231" t="s">
        <v>96</v>
      </c>
      <c r="J3231" t="s">
        <v>97</v>
      </c>
      <c r="K3231" t="s">
        <v>96</v>
      </c>
      <c r="L3231" t="s">
        <v>96</v>
      </c>
      <c r="M3231">
        <v>1712.1</v>
      </c>
      <c r="O3231" s="12" t="str">
        <f t="shared" si="114"/>
        <v>MID</v>
      </c>
      <c r="P3231" s="12" t="str">
        <f t="shared" si="115"/>
        <v>E_SPV</v>
      </c>
    </row>
    <row r="3232" spans="1:16" x14ac:dyDescent="0.35">
      <c r="A3232" t="s">
        <v>1586</v>
      </c>
      <c r="B3232" t="s">
        <v>76</v>
      </c>
      <c r="C3232" t="s">
        <v>45</v>
      </c>
      <c r="D3232" t="s">
        <v>2133</v>
      </c>
      <c r="E3232" t="s">
        <v>96</v>
      </c>
      <c r="F3232" t="s">
        <v>96</v>
      </c>
      <c r="G3232" t="s">
        <v>96</v>
      </c>
      <c r="H3232">
        <v>2010</v>
      </c>
      <c r="I3232" t="s">
        <v>96</v>
      </c>
      <c r="J3232" t="s">
        <v>97</v>
      </c>
      <c r="K3232" t="s">
        <v>96</v>
      </c>
      <c r="L3232" t="s">
        <v>96</v>
      </c>
      <c r="M3232">
        <v>1460.5</v>
      </c>
      <c r="O3232" s="12" t="str">
        <f t="shared" si="114"/>
        <v>MID</v>
      </c>
      <c r="P3232" s="12" t="str">
        <f t="shared" si="115"/>
        <v>E_SPV</v>
      </c>
    </row>
    <row r="3233" spans="1:16" x14ac:dyDescent="0.35">
      <c r="A3233" t="s">
        <v>1586</v>
      </c>
      <c r="B3233" t="s">
        <v>76</v>
      </c>
      <c r="C3233" t="s">
        <v>45</v>
      </c>
      <c r="D3233" t="s">
        <v>2134</v>
      </c>
      <c r="E3233" t="s">
        <v>96</v>
      </c>
      <c r="F3233" t="s">
        <v>96</v>
      </c>
      <c r="G3233" t="s">
        <v>96</v>
      </c>
      <c r="H3233">
        <v>2010</v>
      </c>
      <c r="I3233" t="s">
        <v>96</v>
      </c>
      <c r="J3233" t="s">
        <v>97</v>
      </c>
      <c r="K3233" t="s">
        <v>96</v>
      </c>
      <c r="L3233" t="s">
        <v>96</v>
      </c>
      <c r="M3233">
        <v>1460.5</v>
      </c>
      <c r="O3233" s="12" t="str">
        <f t="shared" si="114"/>
        <v>MID</v>
      </c>
      <c r="P3233" s="12" t="str">
        <f t="shared" si="115"/>
        <v>E_SPV</v>
      </c>
    </row>
    <row r="3234" spans="1:16" x14ac:dyDescent="0.35">
      <c r="A3234" t="s">
        <v>1586</v>
      </c>
      <c r="B3234" t="s">
        <v>77</v>
      </c>
      <c r="C3234" t="s">
        <v>45</v>
      </c>
      <c r="D3234" t="s">
        <v>2135</v>
      </c>
      <c r="E3234" t="s">
        <v>96</v>
      </c>
      <c r="F3234" t="s">
        <v>96</v>
      </c>
      <c r="G3234" t="s">
        <v>96</v>
      </c>
      <c r="H3234">
        <v>2010</v>
      </c>
      <c r="I3234" t="s">
        <v>96</v>
      </c>
      <c r="J3234" t="s">
        <v>97</v>
      </c>
      <c r="K3234" t="s">
        <v>96</v>
      </c>
      <c r="L3234" t="s">
        <v>96</v>
      </c>
      <c r="M3234">
        <v>1443</v>
      </c>
      <c r="O3234" s="12" t="str">
        <f t="shared" si="114"/>
        <v>MXC</v>
      </c>
      <c r="P3234" s="12" t="str">
        <f t="shared" si="115"/>
        <v>E_SPV</v>
      </c>
    </row>
    <row r="3235" spans="1:16" x14ac:dyDescent="0.35">
      <c r="A3235" t="s">
        <v>1586</v>
      </c>
      <c r="B3235" t="s">
        <v>77</v>
      </c>
      <c r="C3235" t="s">
        <v>45</v>
      </c>
      <c r="D3235" t="s">
        <v>1840</v>
      </c>
      <c r="E3235" t="s">
        <v>96</v>
      </c>
      <c r="F3235" t="s">
        <v>96</v>
      </c>
      <c r="G3235" t="s">
        <v>96</v>
      </c>
      <c r="H3235">
        <v>2010</v>
      </c>
      <c r="I3235" t="s">
        <v>96</v>
      </c>
      <c r="J3235" t="s">
        <v>97</v>
      </c>
      <c r="K3235" t="s">
        <v>96</v>
      </c>
      <c r="L3235" t="s">
        <v>96</v>
      </c>
      <c r="M3235">
        <v>2486.3000000000002</v>
      </c>
      <c r="O3235" s="12" t="str">
        <f t="shared" si="114"/>
        <v>MXC</v>
      </c>
      <c r="P3235" s="12" t="str">
        <f t="shared" si="115"/>
        <v>E_SPV</v>
      </c>
    </row>
    <row r="3236" spans="1:16" x14ac:dyDescent="0.35">
      <c r="A3236" t="s">
        <v>1586</v>
      </c>
      <c r="B3236" t="s">
        <v>77</v>
      </c>
      <c r="C3236" t="s">
        <v>45</v>
      </c>
      <c r="D3236" t="s">
        <v>2136</v>
      </c>
      <c r="E3236" t="s">
        <v>96</v>
      </c>
      <c r="F3236" t="s">
        <v>96</v>
      </c>
      <c r="G3236" t="s">
        <v>96</v>
      </c>
      <c r="H3236">
        <v>2010</v>
      </c>
      <c r="I3236" t="s">
        <v>96</v>
      </c>
      <c r="J3236" t="s">
        <v>97</v>
      </c>
      <c r="K3236" t="s">
        <v>96</v>
      </c>
      <c r="L3236" t="s">
        <v>96</v>
      </c>
      <c r="M3236">
        <v>1443</v>
      </c>
      <c r="O3236" s="12" t="str">
        <f t="shared" si="114"/>
        <v>MXC</v>
      </c>
      <c r="P3236" s="12" t="str">
        <f t="shared" si="115"/>
        <v>E_SPV</v>
      </c>
    </row>
    <row r="3237" spans="1:16" x14ac:dyDescent="0.35">
      <c r="A3237" t="s">
        <v>1586</v>
      </c>
      <c r="B3237" t="s">
        <v>77</v>
      </c>
      <c r="C3237" t="s">
        <v>45</v>
      </c>
      <c r="D3237" t="s">
        <v>1848</v>
      </c>
      <c r="E3237" t="s">
        <v>96</v>
      </c>
      <c r="F3237" t="s">
        <v>96</v>
      </c>
      <c r="G3237" t="s">
        <v>96</v>
      </c>
      <c r="H3237">
        <v>2010</v>
      </c>
      <c r="I3237" t="s">
        <v>96</v>
      </c>
      <c r="J3237" t="s">
        <v>97</v>
      </c>
      <c r="K3237" t="s">
        <v>96</v>
      </c>
      <c r="L3237" t="s">
        <v>96</v>
      </c>
      <c r="M3237">
        <v>2486.3000000000002</v>
      </c>
      <c r="O3237" s="12" t="str">
        <f t="shared" si="114"/>
        <v>MXC</v>
      </c>
      <c r="P3237" s="12" t="str">
        <f t="shared" si="115"/>
        <v>E_SPV</v>
      </c>
    </row>
    <row r="3238" spans="1:16" x14ac:dyDescent="0.35">
      <c r="A3238" t="s">
        <v>1586</v>
      </c>
      <c r="B3238" t="s">
        <v>77</v>
      </c>
      <c r="C3238" t="s">
        <v>45</v>
      </c>
      <c r="D3238" t="s">
        <v>2137</v>
      </c>
      <c r="E3238" t="s">
        <v>96</v>
      </c>
      <c r="F3238" t="s">
        <v>96</v>
      </c>
      <c r="G3238" t="s">
        <v>96</v>
      </c>
      <c r="H3238">
        <v>2010</v>
      </c>
      <c r="I3238" t="s">
        <v>96</v>
      </c>
      <c r="J3238" t="s">
        <v>97</v>
      </c>
      <c r="K3238" t="s">
        <v>96</v>
      </c>
      <c r="L3238" t="s">
        <v>96</v>
      </c>
      <c r="M3238">
        <v>1183</v>
      </c>
      <c r="O3238" s="12" t="str">
        <f t="shared" si="114"/>
        <v>MXC</v>
      </c>
      <c r="P3238" s="12" t="str">
        <f t="shared" si="115"/>
        <v>E_SPV</v>
      </c>
    </row>
    <row r="3239" spans="1:16" x14ac:dyDescent="0.35">
      <c r="A3239" t="s">
        <v>1586</v>
      </c>
      <c r="B3239" t="s">
        <v>77</v>
      </c>
      <c r="C3239" t="s">
        <v>45</v>
      </c>
      <c r="D3239" t="s">
        <v>2138</v>
      </c>
      <c r="E3239" t="s">
        <v>96</v>
      </c>
      <c r="F3239" t="s">
        <v>96</v>
      </c>
      <c r="G3239" t="s">
        <v>96</v>
      </c>
      <c r="H3239">
        <v>2010</v>
      </c>
      <c r="I3239" t="s">
        <v>96</v>
      </c>
      <c r="J3239" t="s">
        <v>97</v>
      </c>
      <c r="K3239" t="s">
        <v>96</v>
      </c>
      <c r="L3239" t="s">
        <v>96</v>
      </c>
      <c r="M3239">
        <v>1443</v>
      </c>
      <c r="O3239" s="12" t="str">
        <f t="shared" si="114"/>
        <v>MXC</v>
      </c>
      <c r="P3239" s="12" t="str">
        <f t="shared" si="115"/>
        <v>E_SPV</v>
      </c>
    </row>
    <row r="3240" spans="1:16" x14ac:dyDescent="0.35">
      <c r="A3240" t="s">
        <v>1586</v>
      </c>
      <c r="B3240" t="s">
        <v>77</v>
      </c>
      <c r="C3240" t="s">
        <v>45</v>
      </c>
      <c r="D3240" t="s">
        <v>1860</v>
      </c>
      <c r="E3240" t="s">
        <v>96</v>
      </c>
      <c r="F3240" t="s">
        <v>96</v>
      </c>
      <c r="G3240" t="s">
        <v>96</v>
      </c>
      <c r="H3240">
        <v>2010</v>
      </c>
      <c r="I3240" t="s">
        <v>96</v>
      </c>
      <c r="J3240" t="s">
        <v>97</v>
      </c>
      <c r="K3240" t="s">
        <v>96</v>
      </c>
      <c r="L3240" t="s">
        <v>96</v>
      </c>
      <c r="M3240">
        <v>2486.3000000000002</v>
      </c>
      <c r="O3240" s="12" t="str">
        <f t="shared" si="114"/>
        <v>MXC</v>
      </c>
      <c r="P3240" s="12" t="str">
        <f t="shared" si="115"/>
        <v>E_SPV</v>
      </c>
    </row>
    <row r="3241" spans="1:16" x14ac:dyDescent="0.35">
      <c r="A3241" t="s">
        <v>1586</v>
      </c>
      <c r="B3241" t="s">
        <v>77</v>
      </c>
      <c r="C3241" t="s">
        <v>45</v>
      </c>
      <c r="D3241" t="s">
        <v>2139</v>
      </c>
      <c r="E3241" t="s">
        <v>96</v>
      </c>
      <c r="F3241" t="s">
        <v>96</v>
      </c>
      <c r="G3241" t="s">
        <v>96</v>
      </c>
      <c r="H3241">
        <v>2010</v>
      </c>
      <c r="I3241" t="s">
        <v>96</v>
      </c>
      <c r="J3241" t="s">
        <v>97</v>
      </c>
      <c r="K3241" t="s">
        <v>96</v>
      </c>
      <c r="L3241" t="s">
        <v>96</v>
      </c>
      <c r="M3241">
        <v>1183</v>
      </c>
      <c r="O3241" s="12" t="str">
        <f t="shared" si="114"/>
        <v>MXC</v>
      </c>
      <c r="P3241" s="12" t="str">
        <f t="shared" si="115"/>
        <v>E_SPV</v>
      </c>
    </row>
    <row r="3242" spans="1:16" x14ac:dyDescent="0.35">
      <c r="A3242" t="s">
        <v>1586</v>
      </c>
      <c r="B3242" t="s">
        <v>77</v>
      </c>
      <c r="C3242" t="s">
        <v>45</v>
      </c>
      <c r="D3242" t="s">
        <v>2140</v>
      </c>
      <c r="E3242" t="s">
        <v>96</v>
      </c>
      <c r="F3242" t="s">
        <v>96</v>
      </c>
      <c r="G3242" t="s">
        <v>96</v>
      </c>
      <c r="H3242">
        <v>2010</v>
      </c>
      <c r="I3242" t="s">
        <v>96</v>
      </c>
      <c r="J3242" t="s">
        <v>97</v>
      </c>
      <c r="K3242" t="s">
        <v>96</v>
      </c>
      <c r="L3242" t="s">
        <v>96</v>
      </c>
      <c r="M3242">
        <v>1443</v>
      </c>
      <c r="O3242" s="12" t="str">
        <f t="shared" si="114"/>
        <v>MXC</v>
      </c>
      <c r="P3242" s="12" t="str">
        <f t="shared" si="115"/>
        <v>E_SPV</v>
      </c>
    </row>
    <row r="3243" spans="1:16" x14ac:dyDescent="0.35">
      <c r="A3243" t="s">
        <v>1586</v>
      </c>
      <c r="B3243" t="s">
        <v>77</v>
      </c>
      <c r="C3243" t="s">
        <v>45</v>
      </c>
      <c r="D3243" t="s">
        <v>1876</v>
      </c>
      <c r="E3243" t="s">
        <v>96</v>
      </c>
      <c r="F3243" t="s">
        <v>96</v>
      </c>
      <c r="G3243" t="s">
        <v>96</v>
      </c>
      <c r="H3243">
        <v>2010</v>
      </c>
      <c r="I3243" t="s">
        <v>96</v>
      </c>
      <c r="J3243" t="s">
        <v>97</v>
      </c>
      <c r="K3243" t="s">
        <v>96</v>
      </c>
      <c r="L3243" t="s">
        <v>96</v>
      </c>
      <c r="M3243">
        <v>2486.3000000000002</v>
      </c>
      <c r="O3243" s="12" t="str">
        <f t="shared" si="114"/>
        <v>MXC</v>
      </c>
      <c r="P3243" s="12" t="str">
        <f t="shared" si="115"/>
        <v>E_SPV</v>
      </c>
    </row>
    <row r="3244" spans="1:16" x14ac:dyDescent="0.35">
      <c r="A3244" t="s">
        <v>1586</v>
      </c>
      <c r="B3244" t="s">
        <v>77</v>
      </c>
      <c r="C3244" t="s">
        <v>45</v>
      </c>
      <c r="D3244" t="s">
        <v>2141</v>
      </c>
      <c r="E3244" t="s">
        <v>96</v>
      </c>
      <c r="F3244" t="s">
        <v>96</v>
      </c>
      <c r="G3244" t="s">
        <v>96</v>
      </c>
      <c r="H3244">
        <v>2010</v>
      </c>
      <c r="I3244" t="s">
        <v>96</v>
      </c>
      <c r="J3244" t="s">
        <v>97</v>
      </c>
      <c r="K3244" t="s">
        <v>96</v>
      </c>
      <c r="L3244" t="s">
        <v>96</v>
      </c>
      <c r="M3244">
        <v>1183</v>
      </c>
      <c r="O3244" s="12" t="str">
        <f t="shared" si="114"/>
        <v>MXC</v>
      </c>
      <c r="P3244" s="12" t="str">
        <f t="shared" si="115"/>
        <v>E_SPV</v>
      </c>
    </row>
    <row r="3245" spans="1:16" x14ac:dyDescent="0.35">
      <c r="A3245" t="s">
        <v>1586</v>
      </c>
      <c r="B3245" t="s">
        <v>77</v>
      </c>
      <c r="C3245" t="s">
        <v>45</v>
      </c>
      <c r="D3245" t="s">
        <v>2142</v>
      </c>
      <c r="E3245" t="s">
        <v>96</v>
      </c>
      <c r="F3245" t="s">
        <v>96</v>
      </c>
      <c r="G3245" t="s">
        <v>96</v>
      </c>
      <c r="H3245">
        <v>2010</v>
      </c>
      <c r="I3245" t="s">
        <v>96</v>
      </c>
      <c r="J3245" t="s">
        <v>97</v>
      </c>
      <c r="K3245" t="s">
        <v>96</v>
      </c>
      <c r="L3245" t="s">
        <v>96</v>
      </c>
      <c r="M3245">
        <v>1443</v>
      </c>
      <c r="O3245" s="12" t="str">
        <f t="shared" si="114"/>
        <v>MXC</v>
      </c>
      <c r="P3245" s="12" t="str">
        <f t="shared" si="115"/>
        <v>E_SPV</v>
      </c>
    </row>
    <row r="3246" spans="1:16" x14ac:dyDescent="0.35">
      <c r="A3246" t="s">
        <v>1586</v>
      </c>
      <c r="B3246" t="s">
        <v>77</v>
      </c>
      <c r="C3246" t="s">
        <v>45</v>
      </c>
      <c r="D3246" t="s">
        <v>1896</v>
      </c>
      <c r="E3246" t="s">
        <v>96</v>
      </c>
      <c r="F3246" t="s">
        <v>96</v>
      </c>
      <c r="G3246" t="s">
        <v>96</v>
      </c>
      <c r="H3246">
        <v>2010</v>
      </c>
      <c r="I3246" t="s">
        <v>96</v>
      </c>
      <c r="J3246" t="s">
        <v>97</v>
      </c>
      <c r="K3246" t="s">
        <v>96</v>
      </c>
      <c r="L3246" t="s">
        <v>96</v>
      </c>
      <c r="M3246">
        <v>2486.3000000000002</v>
      </c>
      <c r="O3246" s="12" t="str">
        <f t="shared" si="114"/>
        <v>MXC</v>
      </c>
      <c r="P3246" s="12" t="str">
        <f t="shared" si="115"/>
        <v>E_SPV</v>
      </c>
    </row>
    <row r="3247" spans="1:16" x14ac:dyDescent="0.35">
      <c r="A3247" t="s">
        <v>1586</v>
      </c>
      <c r="B3247" t="s">
        <v>77</v>
      </c>
      <c r="C3247" t="s">
        <v>45</v>
      </c>
      <c r="D3247" t="s">
        <v>2143</v>
      </c>
      <c r="E3247" t="s">
        <v>96</v>
      </c>
      <c r="F3247" t="s">
        <v>96</v>
      </c>
      <c r="G3247" t="s">
        <v>96</v>
      </c>
      <c r="H3247">
        <v>2010</v>
      </c>
      <c r="I3247" t="s">
        <v>96</v>
      </c>
      <c r="J3247" t="s">
        <v>97</v>
      </c>
      <c r="K3247" t="s">
        <v>96</v>
      </c>
      <c r="L3247" t="s">
        <v>96</v>
      </c>
      <c r="M3247">
        <v>1183</v>
      </c>
      <c r="O3247" s="12" t="str">
        <f t="shared" si="114"/>
        <v>MXC</v>
      </c>
      <c r="P3247" s="12" t="str">
        <f t="shared" si="115"/>
        <v>E_SPV</v>
      </c>
    </row>
    <row r="3248" spans="1:16" x14ac:dyDescent="0.35">
      <c r="A3248" t="s">
        <v>1586</v>
      </c>
      <c r="B3248" t="s">
        <v>77</v>
      </c>
      <c r="C3248" t="s">
        <v>45</v>
      </c>
      <c r="D3248" t="s">
        <v>1909</v>
      </c>
      <c r="E3248" t="s">
        <v>96</v>
      </c>
      <c r="F3248" t="s">
        <v>96</v>
      </c>
      <c r="G3248" t="s">
        <v>96</v>
      </c>
      <c r="H3248">
        <v>2010</v>
      </c>
      <c r="I3248" t="s">
        <v>96</v>
      </c>
      <c r="J3248" t="s">
        <v>97</v>
      </c>
      <c r="K3248" t="s">
        <v>96</v>
      </c>
      <c r="L3248" t="s">
        <v>96</v>
      </c>
      <c r="M3248">
        <v>4744.1000000000004</v>
      </c>
      <c r="O3248" s="12" t="str">
        <f t="shared" si="114"/>
        <v>MXC</v>
      </c>
      <c r="P3248" s="12" t="str">
        <f t="shared" si="115"/>
        <v>E_SPV</v>
      </c>
    </row>
    <row r="3249" spans="1:16" x14ac:dyDescent="0.35">
      <c r="A3249" t="s">
        <v>1586</v>
      </c>
      <c r="B3249" t="s">
        <v>77</v>
      </c>
      <c r="C3249" t="s">
        <v>45</v>
      </c>
      <c r="D3249" t="s">
        <v>2144</v>
      </c>
      <c r="E3249" t="s">
        <v>96</v>
      </c>
      <c r="F3249" t="s">
        <v>96</v>
      </c>
      <c r="G3249" t="s">
        <v>96</v>
      </c>
      <c r="H3249">
        <v>2010</v>
      </c>
      <c r="I3249" t="s">
        <v>96</v>
      </c>
      <c r="J3249" t="s">
        <v>97</v>
      </c>
      <c r="K3249" t="s">
        <v>96</v>
      </c>
      <c r="L3249" t="s">
        <v>96</v>
      </c>
      <c r="M3249">
        <v>1443</v>
      </c>
      <c r="O3249" s="12" t="str">
        <f t="shared" si="114"/>
        <v>MXC</v>
      </c>
      <c r="P3249" s="12" t="str">
        <f t="shared" si="115"/>
        <v>E_SPV</v>
      </c>
    </row>
    <row r="3250" spans="1:16" x14ac:dyDescent="0.35">
      <c r="A3250" t="s">
        <v>1586</v>
      </c>
      <c r="B3250" t="s">
        <v>77</v>
      </c>
      <c r="C3250" t="s">
        <v>45</v>
      </c>
      <c r="D3250" t="s">
        <v>1918</v>
      </c>
      <c r="E3250" t="s">
        <v>96</v>
      </c>
      <c r="F3250" t="s">
        <v>96</v>
      </c>
      <c r="G3250" t="s">
        <v>96</v>
      </c>
      <c r="H3250">
        <v>2010</v>
      </c>
      <c r="I3250" t="s">
        <v>96</v>
      </c>
      <c r="J3250" t="s">
        <v>97</v>
      </c>
      <c r="K3250" t="s">
        <v>96</v>
      </c>
      <c r="L3250" t="s">
        <v>96</v>
      </c>
      <c r="M3250">
        <v>2486.3000000000002</v>
      </c>
      <c r="O3250" s="12" t="str">
        <f t="shared" si="114"/>
        <v>MXC</v>
      </c>
      <c r="P3250" s="12" t="str">
        <f t="shared" si="115"/>
        <v>E_SPV</v>
      </c>
    </row>
    <row r="3251" spans="1:16" x14ac:dyDescent="0.35">
      <c r="A3251" t="s">
        <v>1586</v>
      </c>
      <c r="B3251" t="s">
        <v>77</v>
      </c>
      <c r="C3251" t="s">
        <v>45</v>
      </c>
      <c r="D3251" t="s">
        <v>2145</v>
      </c>
      <c r="E3251" t="s">
        <v>96</v>
      </c>
      <c r="F3251" t="s">
        <v>96</v>
      </c>
      <c r="G3251" t="s">
        <v>96</v>
      </c>
      <c r="H3251">
        <v>2010</v>
      </c>
      <c r="I3251" t="s">
        <v>96</v>
      </c>
      <c r="J3251" t="s">
        <v>97</v>
      </c>
      <c r="K3251" t="s">
        <v>96</v>
      </c>
      <c r="L3251" t="s">
        <v>96</v>
      </c>
      <c r="M3251">
        <v>1183</v>
      </c>
      <c r="O3251" s="12" t="str">
        <f t="shared" si="114"/>
        <v>MXC</v>
      </c>
      <c r="P3251" s="12" t="str">
        <f t="shared" si="115"/>
        <v>E_SPV</v>
      </c>
    </row>
    <row r="3252" spans="1:16" x14ac:dyDescent="0.35">
      <c r="A3252" t="s">
        <v>1586</v>
      </c>
      <c r="B3252" t="s">
        <v>77</v>
      </c>
      <c r="C3252" t="s">
        <v>45</v>
      </c>
      <c r="D3252" t="s">
        <v>1931</v>
      </c>
      <c r="E3252" t="s">
        <v>96</v>
      </c>
      <c r="F3252" t="s">
        <v>96</v>
      </c>
      <c r="G3252" t="s">
        <v>96</v>
      </c>
      <c r="H3252">
        <v>2010</v>
      </c>
      <c r="I3252" t="s">
        <v>96</v>
      </c>
      <c r="J3252" t="s">
        <v>97</v>
      </c>
      <c r="K3252" t="s">
        <v>96</v>
      </c>
      <c r="L3252" t="s">
        <v>96</v>
      </c>
      <c r="M3252">
        <v>4744.1000000000004</v>
      </c>
      <c r="O3252" s="12" t="str">
        <f t="shared" si="114"/>
        <v>MXC</v>
      </c>
      <c r="P3252" s="12" t="str">
        <f t="shared" si="115"/>
        <v>E_SPV</v>
      </c>
    </row>
    <row r="3253" spans="1:16" x14ac:dyDescent="0.35">
      <c r="A3253" t="s">
        <v>1586</v>
      </c>
      <c r="B3253" t="s">
        <v>77</v>
      </c>
      <c r="C3253" t="s">
        <v>45</v>
      </c>
      <c r="D3253" t="s">
        <v>2146</v>
      </c>
      <c r="E3253" t="s">
        <v>96</v>
      </c>
      <c r="F3253" t="s">
        <v>96</v>
      </c>
      <c r="G3253" t="s">
        <v>96</v>
      </c>
      <c r="H3253">
        <v>2010</v>
      </c>
      <c r="I3253" t="s">
        <v>96</v>
      </c>
      <c r="J3253" t="s">
        <v>97</v>
      </c>
      <c r="K3253" t="s">
        <v>96</v>
      </c>
      <c r="L3253" t="s">
        <v>96</v>
      </c>
      <c r="M3253">
        <v>1443</v>
      </c>
      <c r="O3253" s="12" t="str">
        <f t="shared" si="114"/>
        <v>MXC</v>
      </c>
      <c r="P3253" s="12" t="str">
        <f t="shared" si="115"/>
        <v>E_SPV</v>
      </c>
    </row>
    <row r="3254" spans="1:16" x14ac:dyDescent="0.35">
      <c r="A3254" t="s">
        <v>1586</v>
      </c>
      <c r="B3254" t="s">
        <v>77</v>
      </c>
      <c r="C3254" t="s">
        <v>45</v>
      </c>
      <c r="D3254" t="s">
        <v>1938</v>
      </c>
      <c r="E3254" t="s">
        <v>96</v>
      </c>
      <c r="F3254" t="s">
        <v>96</v>
      </c>
      <c r="G3254" t="s">
        <v>96</v>
      </c>
      <c r="H3254">
        <v>2010</v>
      </c>
      <c r="I3254" t="s">
        <v>96</v>
      </c>
      <c r="J3254" t="s">
        <v>97</v>
      </c>
      <c r="K3254" t="s">
        <v>96</v>
      </c>
      <c r="L3254" t="s">
        <v>96</v>
      </c>
      <c r="M3254">
        <v>2486.3000000000002</v>
      </c>
      <c r="O3254" s="12" t="str">
        <f t="shared" si="114"/>
        <v>MXC</v>
      </c>
      <c r="P3254" s="12" t="str">
        <f t="shared" si="115"/>
        <v>E_SPV</v>
      </c>
    </row>
    <row r="3255" spans="1:16" x14ac:dyDescent="0.35">
      <c r="A3255" t="s">
        <v>1586</v>
      </c>
      <c r="B3255" t="s">
        <v>77</v>
      </c>
      <c r="C3255" t="s">
        <v>45</v>
      </c>
      <c r="D3255" t="s">
        <v>2147</v>
      </c>
      <c r="E3255" t="s">
        <v>96</v>
      </c>
      <c r="F3255" t="s">
        <v>96</v>
      </c>
      <c r="G3255" t="s">
        <v>96</v>
      </c>
      <c r="H3255">
        <v>2010</v>
      </c>
      <c r="I3255" t="s">
        <v>96</v>
      </c>
      <c r="J3255" t="s">
        <v>97</v>
      </c>
      <c r="K3255" t="s">
        <v>96</v>
      </c>
      <c r="L3255" t="s">
        <v>96</v>
      </c>
      <c r="M3255">
        <v>1183</v>
      </c>
      <c r="O3255" s="12" t="str">
        <f t="shared" si="114"/>
        <v>MXC</v>
      </c>
      <c r="P3255" s="12" t="str">
        <f t="shared" si="115"/>
        <v>E_SPV</v>
      </c>
    </row>
    <row r="3256" spans="1:16" x14ac:dyDescent="0.35">
      <c r="A3256" t="s">
        <v>1586</v>
      </c>
      <c r="B3256" t="s">
        <v>77</v>
      </c>
      <c r="C3256" t="s">
        <v>45</v>
      </c>
      <c r="D3256" t="s">
        <v>1948</v>
      </c>
      <c r="E3256" t="s">
        <v>96</v>
      </c>
      <c r="F3256" t="s">
        <v>96</v>
      </c>
      <c r="G3256" t="s">
        <v>96</v>
      </c>
      <c r="H3256">
        <v>2010</v>
      </c>
      <c r="I3256" t="s">
        <v>96</v>
      </c>
      <c r="J3256" t="s">
        <v>97</v>
      </c>
      <c r="K3256" t="s">
        <v>96</v>
      </c>
      <c r="L3256" t="s">
        <v>96</v>
      </c>
      <c r="M3256">
        <v>4744.1000000000004</v>
      </c>
      <c r="O3256" s="12" t="str">
        <f t="shared" si="114"/>
        <v>MXC</v>
      </c>
      <c r="P3256" s="12" t="str">
        <f t="shared" si="115"/>
        <v>E_SPV</v>
      </c>
    </row>
    <row r="3257" spans="1:16" x14ac:dyDescent="0.35">
      <c r="A3257" t="s">
        <v>1586</v>
      </c>
      <c r="B3257" t="s">
        <v>77</v>
      </c>
      <c r="C3257" t="s">
        <v>45</v>
      </c>
      <c r="D3257" t="s">
        <v>2148</v>
      </c>
      <c r="E3257" t="s">
        <v>96</v>
      </c>
      <c r="F3257" t="s">
        <v>96</v>
      </c>
      <c r="G3257" t="s">
        <v>96</v>
      </c>
      <c r="H3257">
        <v>2010</v>
      </c>
      <c r="I3257" t="s">
        <v>96</v>
      </c>
      <c r="J3257" t="s">
        <v>97</v>
      </c>
      <c r="K3257" t="s">
        <v>96</v>
      </c>
      <c r="L3257" t="s">
        <v>96</v>
      </c>
      <c r="M3257">
        <v>1443</v>
      </c>
      <c r="O3257" s="12" t="str">
        <f t="shared" si="114"/>
        <v>MXC</v>
      </c>
      <c r="P3257" s="12" t="str">
        <f t="shared" si="115"/>
        <v>E_SPV</v>
      </c>
    </row>
    <row r="3258" spans="1:16" x14ac:dyDescent="0.35">
      <c r="A3258" t="s">
        <v>1586</v>
      </c>
      <c r="B3258" t="s">
        <v>77</v>
      </c>
      <c r="C3258" t="s">
        <v>45</v>
      </c>
      <c r="D3258" t="s">
        <v>1954</v>
      </c>
      <c r="E3258" t="s">
        <v>96</v>
      </c>
      <c r="F3258" t="s">
        <v>96</v>
      </c>
      <c r="G3258" t="s">
        <v>96</v>
      </c>
      <c r="H3258">
        <v>2010</v>
      </c>
      <c r="I3258" t="s">
        <v>96</v>
      </c>
      <c r="J3258" t="s">
        <v>97</v>
      </c>
      <c r="K3258" t="s">
        <v>96</v>
      </c>
      <c r="L3258" t="s">
        <v>96</v>
      </c>
      <c r="M3258">
        <v>2486.3000000000002</v>
      </c>
      <c r="O3258" s="12" t="str">
        <f t="shared" si="114"/>
        <v>MXC</v>
      </c>
      <c r="P3258" s="12" t="str">
        <f t="shared" si="115"/>
        <v>E_SPV</v>
      </c>
    </row>
    <row r="3259" spans="1:16" x14ac:dyDescent="0.35">
      <c r="A3259" t="s">
        <v>1586</v>
      </c>
      <c r="B3259" t="s">
        <v>77</v>
      </c>
      <c r="C3259" t="s">
        <v>45</v>
      </c>
      <c r="D3259" t="s">
        <v>2149</v>
      </c>
      <c r="E3259" t="s">
        <v>96</v>
      </c>
      <c r="F3259" t="s">
        <v>96</v>
      </c>
      <c r="G3259" t="s">
        <v>96</v>
      </c>
      <c r="H3259">
        <v>2010</v>
      </c>
      <c r="I3259" t="s">
        <v>96</v>
      </c>
      <c r="J3259" t="s">
        <v>97</v>
      </c>
      <c r="K3259" t="s">
        <v>96</v>
      </c>
      <c r="L3259" t="s">
        <v>96</v>
      </c>
      <c r="M3259">
        <v>1183</v>
      </c>
      <c r="O3259" s="12" t="str">
        <f t="shared" si="114"/>
        <v>MXC</v>
      </c>
      <c r="P3259" s="12" t="str">
        <f t="shared" si="115"/>
        <v>E_SPV</v>
      </c>
    </row>
    <row r="3260" spans="1:16" x14ac:dyDescent="0.35">
      <c r="A3260" t="s">
        <v>1586</v>
      </c>
      <c r="B3260" t="s">
        <v>78</v>
      </c>
      <c r="C3260" t="s">
        <v>45</v>
      </c>
      <c r="D3260" t="s">
        <v>2150</v>
      </c>
      <c r="E3260" t="s">
        <v>96</v>
      </c>
      <c r="F3260" t="s">
        <v>96</v>
      </c>
      <c r="G3260" t="s">
        <v>96</v>
      </c>
      <c r="H3260">
        <v>2010</v>
      </c>
      <c r="I3260" t="s">
        <v>96</v>
      </c>
      <c r="J3260" t="s">
        <v>97</v>
      </c>
      <c r="K3260" t="s">
        <v>96</v>
      </c>
      <c r="L3260" t="s">
        <v>96</v>
      </c>
      <c r="M3260">
        <v>1543.5</v>
      </c>
      <c r="O3260" s="12" t="str">
        <f t="shared" si="114"/>
        <v>OAS</v>
      </c>
      <c r="P3260" s="12" t="str">
        <f t="shared" si="115"/>
        <v>E_SPV</v>
      </c>
    </row>
    <row r="3261" spans="1:16" x14ac:dyDescent="0.35">
      <c r="A3261" t="s">
        <v>1586</v>
      </c>
      <c r="B3261" t="s">
        <v>78</v>
      </c>
      <c r="C3261" t="s">
        <v>45</v>
      </c>
      <c r="D3261" t="s">
        <v>2151</v>
      </c>
      <c r="E3261" t="s">
        <v>96</v>
      </c>
      <c r="F3261" t="s">
        <v>96</v>
      </c>
      <c r="G3261" t="s">
        <v>96</v>
      </c>
      <c r="H3261">
        <v>2010</v>
      </c>
      <c r="I3261" t="s">
        <v>96</v>
      </c>
      <c r="J3261" t="s">
        <v>97</v>
      </c>
      <c r="K3261" t="s">
        <v>96</v>
      </c>
      <c r="L3261" t="s">
        <v>96</v>
      </c>
      <c r="M3261">
        <v>1543.5</v>
      </c>
      <c r="O3261" s="12" t="str">
        <f t="shared" si="114"/>
        <v>OAS</v>
      </c>
      <c r="P3261" s="12" t="str">
        <f t="shared" si="115"/>
        <v>E_SPV</v>
      </c>
    </row>
    <row r="3262" spans="1:16" x14ac:dyDescent="0.35">
      <c r="A3262" t="s">
        <v>1586</v>
      </c>
      <c r="B3262" t="s">
        <v>78</v>
      </c>
      <c r="C3262" t="s">
        <v>45</v>
      </c>
      <c r="D3262" t="s">
        <v>2152</v>
      </c>
      <c r="E3262" t="s">
        <v>96</v>
      </c>
      <c r="F3262" t="s">
        <v>96</v>
      </c>
      <c r="G3262" t="s">
        <v>96</v>
      </c>
      <c r="H3262">
        <v>2010</v>
      </c>
      <c r="I3262" t="s">
        <v>96</v>
      </c>
      <c r="J3262" t="s">
        <v>97</v>
      </c>
      <c r="K3262" t="s">
        <v>96</v>
      </c>
      <c r="L3262" t="s">
        <v>96</v>
      </c>
      <c r="M3262">
        <v>1543.5</v>
      </c>
      <c r="O3262" s="12" t="str">
        <f t="shared" si="114"/>
        <v>OAS</v>
      </c>
      <c r="P3262" s="12" t="str">
        <f t="shared" si="115"/>
        <v>E_SPV</v>
      </c>
    </row>
    <row r="3263" spans="1:16" x14ac:dyDescent="0.35">
      <c r="A3263" t="s">
        <v>1586</v>
      </c>
      <c r="B3263" t="s">
        <v>78</v>
      </c>
      <c r="C3263" t="s">
        <v>45</v>
      </c>
      <c r="D3263" t="s">
        <v>2153</v>
      </c>
      <c r="E3263" t="s">
        <v>96</v>
      </c>
      <c r="F3263" t="s">
        <v>96</v>
      </c>
      <c r="G3263" t="s">
        <v>96</v>
      </c>
      <c r="H3263">
        <v>2010</v>
      </c>
      <c r="I3263" t="s">
        <v>96</v>
      </c>
      <c r="J3263" t="s">
        <v>97</v>
      </c>
      <c r="K3263" t="s">
        <v>96</v>
      </c>
      <c r="L3263" t="s">
        <v>96</v>
      </c>
      <c r="M3263">
        <v>1543.5</v>
      </c>
      <c r="O3263" s="12" t="str">
        <f t="shared" si="114"/>
        <v>OAS</v>
      </c>
      <c r="P3263" s="12" t="str">
        <f t="shared" si="115"/>
        <v>E_SPV</v>
      </c>
    </row>
    <row r="3264" spans="1:16" x14ac:dyDescent="0.35">
      <c r="A3264" t="s">
        <v>1586</v>
      </c>
      <c r="B3264" t="s">
        <v>78</v>
      </c>
      <c r="C3264" t="s">
        <v>45</v>
      </c>
      <c r="D3264" t="s">
        <v>2154</v>
      </c>
      <c r="E3264" t="s">
        <v>96</v>
      </c>
      <c r="F3264" t="s">
        <v>96</v>
      </c>
      <c r="G3264" t="s">
        <v>96</v>
      </c>
      <c r="H3264">
        <v>2010</v>
      </c>
      <c r="I3264" t="s">
        <v>96</v>
      </c>
      <c r="J3264" t="s">
        <v>97</v>
      </c>
      <c r="K3264" t="s">
        <v>96</v>
      </c>
      <c r="L3264" t="s">
        <v>96</v>
      </c>
      <c r="M3264">
        <v>1543.5</v>
      </c>
      <c r="O3264" s="12" t="str">
        <f t="shared" si="114"/>
        <v>OAS</v>
      </c>
      <c r="P3264" s="12" t="str">
        <f t="shared" si="115"/>
        <v>E_SPV</v>
      </c>
    </row>
    <row r="3265" spans="1:16" x14ac:dyDescent="0.35">
      <c r="A3265" t="s">
        <v>1586</v>
      </c>
      <c r="B3265" t="s">
        <v>78</v>
      </c>
      <c r="C3265" t="s">
        <v>45</v>
      </c>
      <c r="D3265" t="s">
        <v>2155</v>
      </c>
      <c r="E3265" t="s">
        <v>96</v>
      </c>
      <c r="F3265" t="s">
        <v>96</v>
      </c>
      <c r="G3265" t="s">
        <v>96</v>
      </c>
      <c r="H3265">
        <v>2010</v>
      </c>
      <c r="I3265" t="s">
        <v>96</v>
      </c>
      <c r="J3265" t="s">
        <v>97</v>
      </c>
      <c r="K3265" t="s">
        <v>96</v>
      </c>
      <c r="L3265" t="s">
        <v>96</v>
      </c>
      <c r="M3265">
        <v>1543.5</v>
      </c>
      <c r="O3265" s="12" t="str">
        <f t="shared" si="114"/>
        <v>OAS</v>
      </c>
      <c r="P3265" s="12" t="str">
        <f t="shared" si="115"/>
        <v>E_SPV</v>
      </c>
    </row>
    <row r="3266" spans="1:16" x14ac:dyDescent="0.35">
      <c r="A3266" t="s">
        <v>1586</v>
      </c>
      <c r="B3266" t="s">
        <v>78</v>
      </c>
      <c r="C3266" t="s">
        <v>45</v>
      </c>
      <c r="D3266" t="s">
        <v>2156</v>
      </c>
      <c r="E3266" t="s">
        <v>96</v>
      </c>
      <c r="F3266" t="s">
        <v>96</v>
      </c>
      <c r="G3266" t="s">
        <v>96</v>
      </c>
      <c r="H3266">
        <v>2010</v>
      </c>
      <c r="I3266" t="s">
        <v>96</v>
      </c>
      <c r="J3266" t="s">
        <v>97</v>
      </c>
      <c r="K3266" t="s">
        <v>96</v>
      </c>
      <c r="L3266" t="s">
        <v>96</v>
      </c>
      <c r="M3266">
        <v>1543.5</v>
      </c>
      <c r="O3266" s="12" t="str">
        <f t="shared" si="114"/>
        <v>OAS</v>
      </c>
      <c r="P3266" s="12" t="str">
        <f t="shared" si="115"/>
        <v>E_SPV</v>
      </c>
    </row>
    <row r="3267" spans="1:16" x14ac:dyDescent="0.35">
      <c r="A3267" t="s">
        <v>1586</v>
      </c>
      <c r="B3267" t="s">
        <v>78</v>
      </c>
      <c r="C3267" t="s">
        <v>45</v>
      </c>
      <c r="D3267" t="s">
        <v>2157</v>
      </c>
      <c r="E3267" t="s">
        <v>96</v>
      </c>
      <c r="F3267" t="s">
        <v>96</v>
      </c>
      <c r="G3267" t="s">
        <v>96</v>
      </c>
      <c r="H3267">
        <v>2010</v>
      </c>
      <c r="I3267" t="s">
        <v>96</v>
      </c>
      <c r="J3267" t="s">
        <v>97</v>
      </c>
      <c r="K3267" t="s">
        <v>96</v>
      </c>
      <c r="L3267" t="s">
        <v>96</v>
      </c>
      <c r="M3267">
        <v>1543.5</v>
      </c>
      <c r="O3267" s="12" t="str">
        <f t="shared" ref="O3267:O3330" si="116">LEFT(B3267,3)</f>
        <v>OAS</v>
      </c>
      <c r="P3267" s="12" t="str">
        <f t="shared" ref="P3267:P3330" si="117">LEFT(D3267,5)</f>
        <v>E_SPV</v>
      </c>
    </row>
    <row r="3268" spans="1:16" x14ac:dyDescent="0.35">
      <c r="A3268" t="s">
        <v>1586</v>
      </c>
      <c r="B3268" t="s">
        <v>78</v>
      </c>
      <c r="C3268" t="s">
        <v>45</v>
      </c>
      <c r="D3268" t="s">
        <v>2158</v>
      </c>
      <c r="E3268" t="s">
        <v>96</v>
      </c>
      <c r="F3268" t="s">
        <v>96</v>
      </c>
      <c r="G3268" t="s">
        <v>96</v>
      </c>
      <c r="H3268">
        <v>2010</v>
      </c>
      <c r="I3268" t="s">
        <v>96</v>
      </c>
      <c r="J3268" t="s">
        <v>97</v>
      </c>
      <c r="K3268" t="s">
        <v>96</v>
      </c>
      <c r="L3268" t="s">
        <v>96</v>
      </c>
      <c r="M3268">
        <v>1981.2</v>
      </c>
      <c r="O3268" s="12" t="str">
        <f t="shared" si="116"/>
        <v>OAS</v>
      </c>
      <c r="P3268" s="12" t="str">
        <f t="shared" si="117"/>
        <v>E_SPV</v>
      </c>
    </row>
    <row r="3269" spans="1:16" x14ac:dyDescent="0.35">
      <c r="A3269" t="s">
        <v>1586</v>
      </c>
      <c r="B3269" t="s">
        <v>78</v>
      </c>
      <c r="C3269" t="s">
        <v>45</v>
      </c>
      <c r="D3269" t="s">
        <v>2159</v>
      </c>
      <c r="E3269" t="s">
        <v>96</v>
      </c>
      <c r="F3269" t="s">
        <v>96</v>
      </c>
      <c r="G3269" t="s">
        <v>96</v>
      </c>
      <c r="H3269">
        <v>2010</v>
      </c>
      <c r="I3269" t="s">
        <v>96</v>
      </c>
      <c r="J3269" t="s">
        <v>97</v>
      </c>
      <c r="K3269" t="s">
        <v>96</v>
      </c>
      <c r="L3269" t="s">
        <v>96</v>
      </c>
      <c r="M3269">
        <v>1543.5</v>
      </c>
      <c r="O3269" s="12" t="str">
        <f t="shared" si="116"/>
        <v>OAS</v>
      </c>
      <c r="P3269" s="12" t="str">
        <f t="shared" si="117"/>
        <v>E_SPV</v>
      </c>
    </row>
    <row r="3270" spans="1:16" x14ac:dyDescent="0.35">
      <c r="A3270" t="s">
        <v>1586</v>
      </c>
      <c r="B3270" t="s">
        <v>78</v>
      </c>
      <c r="C3270" t="s">
        <v>45</v>
      </c>
      <c r="D3270" t="s">
        <v>2160</v>
      </c>
      <c r="E3270" t="s">
        <v>96</v>
      </c>
      <c r="F3270" t="s">
        <v>96</v>
      </c>
      <c r="G3270" t="s">
        <v>96</v>
      </c>
      <c r="H3270">
        <v>2010</v>
      </c>
      <c r="I3270" t="s">
        <v>96</v>
      </c>
      <c r="J3270" t="s">
        <v>97</v>
      </c>
      <c r="K3270" t="s">
        <v>96</v>
      </c>
      <c r="L3270" t="s">
        <v>96</v>
      </c>
      <c r="M3270">
        <v>1456</v>
      </c>
      <c r="O3270" s="12" t="str">
        <f t="shared" si="116"/>
        <v>OAS</v>
      </c>
      <c r="P3270" s="12" t="str">
        <f t="shared" si="117"/>
        <v>E_SPV</v>
      </c>
    </row>
    <row r="3271" spans="1:16" x14ac:dyDescent="0.35">
      <c r="A3271" t="s">
        <v>1586</v>
      </c>
      <c r="B3271" t="s">
        <v>78</v>
      </c>
      <c r="C3271" t="s">
        <v>45</v>
      </c>
      <c r="D3271" t="s">
        <v>2161</v>
      </c>
      <c r="E3271" t="s">
        <v>96</v>
      </c>
      <c r="F3271" t="s">
        <v>96</v>
      </c>
      <c r="G3271" t="s">
        <v>96</v>
      </c>
      <c r="H3271">
        <v>2010</v>
      </c>
      <c r="I3271" t="s">
        <v>96</v>
      </c>
      <c r="J3271" t="s">
        <v>97</v>
      </c>
      <c r="K3271" t="s">
        <v>96</v>
      </c>
      <c r="L3271" t="s">
        <v>96</v>
      </c>
      <c r="M3271">
        <v>1543.5</v>
      </c>
      <c r="O3271" s="12" t="str">
        <f t="shared" si="116"/>
        <v>OAS</v>
      </c>
      <c r="P3271" s="12" t="str">
        <f t="shared" si="117"/>
        <v>E_SPV</v>
      </c>
    </row>
    <row r="3272" spans="1:16" x14ac:dyDescent="0.35">
      <c r="A3272" t="s">
        <v>1586</v>
      </c>
      <c r="B3272" t="s">
        <v>78</v>
      </c>
      <c r="C3272" t="s">
        <v>45</v>
      </c>
      <c r="D3272" t="s">
        <v>2162</v>
      </c>
      <c r="E3272" t="s">
        <v>96</v>
      </c>
      <c r="F3272" t="s">
        <v>96</v>
      </c>
      <c r="G3272" t="s">
        <v>96</v>
      </c>
      <c r="H3272">
        <v>2010</v>
      </c>
      <c r="I3272" t="s">
        <v>96</v>
      </c>
      <c r="J3272" t="s">
        <v>97</v>
      </c>
      <c r="K3272" t="s">
        <v>96</v>
      </c>
      <c r="L3272" t="s">
        <v>96</v>
      </c>
      <c r="M3272">
        <v>1469</v>
      </c>
      <c r="O3272" s="12" t="str">
        <f t="shared" si="116"/>
        <v>OAS</v>
      </c>
      <c r="P3272" s="12" t="str">
        <f t="shared" si="117"/>
        <v>E_SPV</v>
      </c>
    </row>
    <row r="3273" spans="1:16" x14ac:dyDescent="0.35">
      <c r="A3273" t="s">
        <v>1586</v>
      </c>
      <c r="B3273" t="s">
        <v>78</v>
      </c>
      <c r="C3273" t="s">
        <v>45</v>
      </c>
      <c r="D3273" t="s">
        <v>2163</v>
      </c>
      <c r="E3273" t="s">
        <v>96</v>
      </c>
      <c r="F3273" t="s">
        <v>96</v>
      </c>
      <c r="G3273" t="s">
        <v>96</v>
      </c>
      <c r="H3273">
        <v>2010</v>
      </c>
      <c r="I3273" t="s">
        <v>96</v>
      </c>
      <c r="J3273" t="s">
        <v>97</v>
      </c>
      <c r="K3273" t="s">
        <v>96</v>
      </c>
      <c r="L3273" t="s">
        <v>96</v>
      </c>
      <c r="M3273">
        <v>1543.5</v>
      </c>
      <c r="O3273" s="12" t="str">
        <f t="shared" si="116"/>
        <v>OAS</v>
      </c>
      <c r="P3273" s="12" t="str">
        <f t="shared" si="117"/>
        <v>E_SPV</v>
      </c>
    </row>
    <row r="3274" spans="1:16" x14ac:dyDescent="0.35">
      <c r="A3274" t="s">
        <v>1586</v>
      </c>
      <c r="B3274" t="s">
        <v>78</v>
      </c>
      <c r="C3274" t="s">
        <v>45</v>
      </c>
      <c r="D3274" t="s">
        <v>2164</v>
      </c>
      <c r="E3274" t="s">
        <v>96</v>
      </c>
      <c r="F3274" t="s">
        <v>96</v>
      </c>
      <c r="G3274" t="s">
        <v>96</v>
      </c>
      <c r="H3274">
        <v>2010</v>
      </c>
      <c r="I3274" t="s">
        <v>96</v>
      </c>
      <c r="J3274" t="s">
        <v>97</v>
      </c>
      <c r="K3274" t="s">
        <v>96</v>
      </c>
      <c r="L3274" t="s">
        <v>96</v>
      </c>
      <c r="M3274">
        <v>1543.5</v>
      </c>
      <c r="O3274" s="12" t="str">
        <f t="shared" si="116"/>
        <v>OAS</v>
      </c>
      <c r="P3274" s="12" t="str">
        <f t="shared" si="117"/>
        <v>E_SPV</v>
      </c>
    </row>
    <row r="3275" spans="1:16" x14ac:dyDescent="0.35">
      <c r="A3275" t="s">
        <v>1586</v>
      </c>
      <c r="B3275" t="s">
        <v>78</v>
      </c>
      <c r="C3275" t="s">
        <v>45</v>
      </c>
      <c r="D3275" t="s">
        <v>2165</v>
      </c>
      <c r="E3275" t="s">
        <v>96</v>
      </c>
      <c r="F3275" t="s">
        <v>96</v>
      </c>
      <c r="G3275" t="s">
        <v>96</v>
      </c>
      <c r="H3275">
        <v>2010</v>
      </c>
      <c r="I3275" t="s">
        <v>96</v>
      </c>
      <c r="J3275" t="s">
        <v>97</v>
      </c>
      <c r="K3275" t="s">
        <v>96</v>
      </c>
      <c r="L3275" t="s">
        <v>96</v>
      </c>
      <c r="M3275">
        <v>1543.5</v>
      </c>
      <c r="O3275" s="12" t="str">
        <f t="shared" si="116"/>
        <v>OAS</v>
      </c>
      <c r="P3275" s="12" t="str">
        <f t="shared" si="117"/>
        <v>E_SPV</v>
      </c>
    </row>
    <row r="3276" spans="1:16" x14ac:dyDescent="0.35">
      <c r="A3276" t="s">
        <v>1586</v>
      </c>
      <c r="B3276" t="s">
        <v>78</v>
      </c>
      <c r="C3276" t="s">
        <v>45</v>
      </c>
      <c r="D3276" t="s">
        <v>2166</v>
      </c>
      <c r="E3276" t="s">
        <v>96</v>
      </c>
      <c r="F3276" t="s">
        <v>96</v>
      </c>
      <c r="G3276" t="s">
        <v>96</v>
      </c>
      <c r="H3276">
        <v>2010</v>
      </c>
      <c r="I3276" t="s">
        <v>96</v>
      </c>
      <c r="J3276" t="s">
        <v>97</v>
      </c>
      <c r="K3276" t="s">
        <v>96</v>
      </c>
      <c r="L3276" t="s">
        <v>96</v>
      </c>
      <c r="M3276">
        <v>1495</v>
      </c>
      <c r="O3276" s="12" t="str">
        <f t="shared" si="116"/>
        <v>OAS</v>
      </c>
      <c r="P3276" s="12" t="str">
        <f t="shared" si="117"/>
        <v>E_SPV</v>
      </c>
    </row>
    <row r="3277" spans="1:16" x14ac:dyDescent="0.35">
      <c r="A3277" t="s">
        <v>1586</v>
      </c>
      <c r="B3277" t="s">
        <v>78</v>
      </c>
      <c r="C3277" t="s">
        <v>45</v>
      </c>
      <c r="D3277" t="s">
        <v>2167</v>
      </c>
      <c r="E3277" t="s">
        <v>96</v>
      </c>
      <c r="F3277" t="s">
        <v>96</v>
      </c>
      <c r="G3277" t="s">
        <v>96</v>
      </c>
      <c r="H3277">
        <v>2010</v>
      </c>
      <c r="I3277" t="s">
        <v>96</v>
      </c>
      <c r="J3277" t="s">
        <v>97</v>
      </c>
      <c r="K3277" t="s">
        <v>96</v>
      </c>
      <c r="L3277" t="s">
        <v>96</v>
      </c>
      <c r="M3277">
        <v>1543.5</v>
      </c>
      <c r="O3277" s="12" t="str">
        <f t="shared" si="116"/>
        <v>OAS</v>
      </c>
      <c r="P3277" s="12" t="str">
        <f t="shared" si="117"/>
        <v>E_SPV</v>
      </c>
    </row>
    <row r="3278" spans="1:16" x14ac:dyDescent="0.35">
      <c r="A3278" t="s">
        <v>1586</v>
      </c>
      <c r="B3278" t="s">
        <v>78</v>
      </c>
      <c r="C3278" t="s">
        <v>45</v>
      </c>
      <c r="D3278" t="s">
        <v>2168</v>
      </c>
      <c r="E3278" t="s">
        <v>96</v>
      </c>
      <c r="F3278" t="s">
        <v>96</v>
      </c>
      <c r="G3278" t="s">
        <v>96</v>
      </c>
      <c r="H3278">
        <v>2010</v>
      </c>
      <c r="I3278" t="s">
        <v>96</v>
      </c>
      <c r="J3278" t="s">
        <v>97</v>
      </c>
      <c r="K3278" t="s">
        <v>96</v>
      </c>
      <c r="L3278" t="s">
        <v>96</v>
      </c>
      <c r="M3278">
        <v>1543.5</v>
      </c>
      <c r="O3278" s="12" t="str">
        <f t="shared" si="116"/>
        <v>OAS</v>
      </c>
      <c r="P3278" s="12" t="str">
        <f t="shared" si="117"/>
        <v>E_SPV</v>
      </c>
    </row>
    <row r="3279" spans="1:16" x14ac:dyDescent="0.35">
      <c r="A3279" t="s">
        <v>1586</v>
      </c>
      <c r="B3279" t="s">
        <v>78</v>
      </c>
      <c r="C3279" t="s">
        <v>45</v>
      </c>
      <c r="D3279" t="s">
        <v>2169</v>
      </c>
      <c r="E3279" t="s">
        <v>96</v>
      </c>
      <c r="F3279" t="s">
        <v>96</v>
      </c>
      <c r="G3279" t="s">
        <v>96</v>
      </c>
      <c r="H3279">
        <v>2010</v>
      </c>
      <c r="I3279" t="s">
        <v>96</v>
      </c>
      <c r="J3279" t="s">
        <v>97</v>
      </c>
      <c r="K3279" t="s">
        <v>96</v>
      </c>
      <c r="L3279" t="s">
        <v>96</v>
      </c>
      <c r="M3279">
        <v>1543.5</v>
      </c>
      <c r="O3279" s="12" t="str">
        <f t="shared" si="116"/>
        <v>OAS</v>
      </c>
      <c r="P3279" s="12" t="str">
        <f t="shared" si="117"/>
        <v>E_SPV</v>
      </c>
    </row>
    <row r="3280" spans="1:16" x14ac:dyDescent="0.35">
      <c r="A3280" t="s">
        <v>1586</v>
      </c>
      <c r="B3280" t="s">
        <v>78</v>
      </c>
      <c r="C3280" t="s">
        <v>45</v>
      </c>
      <c r="D3280" t="s">
        <v>2170</v>
      </c>
      <c r="E3280" t="s">
        <v>96</v>
      </c>
      <c r="F3280" t="s">
        <v>96</v>
      </c>
      <c r="G3280" t="s">
        <v>96</v>
      </c>
      <c r="H3280">
        <v>2010</v>
      </c>
      <c r="I3280" t="s">
        <v>96</v>
      </c>
      <c r="J3280" t="s">
        <v>97</v>
      </c>
      <c r="K3280" t="s">
        <v>96</v>
      </c>
      <c r="L3280" t="s">
        <v>96</v>
      </c>
      <c r="M3280">
        <v>1543.5</v>
      </c>
      <c r="O3280" s="12" t="str">
        <f t="shared" si="116"/>
        <v>OAS</v>
      </c>
      <c r="P3280" s="12" t="str">
        <f t="shared" si="117"/>
        <v>E_SPV</v>
      </c>
    </row>
    <row r="3281" spans="1:16" x14ac:dyDescent="0.35">
      <c r="A3281" t="s">
        <v>1586</v>
      </c>
      <c r="B3281" t="s">
        <v>78</v>
      </c>
      <c r="C3281" t="s">
        <v>45</v>
      </c>
      <c r="D3281" t="s">
        <v>2171</v>
      </c>
      <c r="E3281" t="s">
        <v>96</v>
      </c>
      <c r="F3281" t="s">
        <v>96</v>
      </c>
      <c r="G3281" t="s">
        <v>96</v>
      </c>
      <c r="H3281">
        <v>2010</v>
      </c>
      <c r="I3281" t="s">
        <v>96</v>
      </c>
      <c r="J3281" t="s">
        <v>97</v>
      </c>
      <c r="K3281" t="s">
        <v>96</v>
      </c>
      <c r="L3281" t="s">
        <v>96</v>
      </c>
      <c r="M3281">
        <v>1543.5</v>
      </c>
      <c r="O3281" s="12" t="str">
        <f t="shared" si="116"/>
        <v>OAS</v>
      </c>
      <c r="P3281" s="12" t="str">
        <f t="shared" si="117"/>
        <v>E_SPV</v>
      </c>
    </row>
    <row r="3282" spans="1:16" x14ac:dyDescent="0.35">
      <c r="A3282" t="s">
        <v>1586</v>
      </c>
      <c r="B3282" t="s">
        <v>78</v>
      </c>
      <c r="C3282" t="s">
        <v>45</v>
      </c>
      <c r="D3282" t="s">
        <v>2172</v>
      </c>
      <c r="E3282" t="s">
        <v>96</v>
      </c>
      <c r="F3282" t="s">
        <v>96</v>
      </c>
      <c r="G3282" t="s">
        <v>96</v>
      </c>
      <c r="H3282">
        <v>2010</v>
      </c>
      <c r="I3282" t="s">
        <v>96</v>
      </c>
      <c r="J3282" t="s">
        <v>97</v>
      </c>
      <c r="K3282" t="s">
        <v>96</v>
      </c>
      <c r="L3282" t="s">
        <v>96</v>
      </c>
      <c r="M3282">
        <v>1430</v>
      </c>
      <c r="O3282" s="12" t="str">
        <f t="shared" si="116"/>
        <v>OAS</v>
      </c>
      <c r="P3282" s="12" t="str">
        <f t="shared" si="117"/>
        <v>E_SPV</v>
      </c>
    </row>
    <row r="3283" spans="1:16" x14ac:dyDescent="0.35">
      <c r="A3283" t="s">
        <v>1586</v>
      </c>
      <c r="B3283" t="s">
        <v>78</v>
      </c>
      <c r="C3283" t="s">
        <v>45</v>
      </c>
      <c r="D3283" t="s">
        <v>2173</v>
      </c>
      <c r="E3283" t="s">
        <v>96</v>
      </c>
      <c r="F3283" t="s">
        <v>96</v>
      </c>
      <c r="G3283" t="s">
        <v>96</v>
      </c>
      <c r="H3283">
        <v>2010</v>
      </c>
      <c r="I3283" t="s">
        <v>96</v>
      </c>
      <c r="J3283" t="s">
        <v>97</v>
      </c>
      <c r="K3283" t="s">
        <v>96</v>
      </c>
      <c r="L3283" t="s">
        <v>96</v>
      </c>
      <c r="M3283">
        <v>1981.2</v>
      </c>
      <c r="O3283" s="12" t="str">
        <f t="shared" si="116"/>
        <v>OAS</v>
      </c>
      <c r="P3283" s="12" t="str">
        <f t="shared" si="117"/>
        <v>E_SPV</v>
      </c>
    </row>
    <row r="3284" spans="1:16" x14ac:dyDescent="0.35">
      <c r="A3284" t="s">
        <v>1586</v>
      </c>
      <c r="B3284" t="s">
        <v>78</v>
      </c>
      <c r="C3284" t="s">
        <v>45</v>
      </c>
      <c r="D3284" t="s">
        <v>2174</v>
      </c>
      <c r="E3284" t="s">
        <v>96</v>
      </c>
      <c r="F3284" t="s">
        <v>96</v>
      </c>
      <c r="G3284" t="s">
        <v>96</v>
      </c>
      <c r="H3284">
        <v>2010</v>
      </c>
      <c r="I3284" t="s">
        <v>96</v>
      </c>
      <c r="J3284" t="s">
        <v>97</v>
      </c>
      <c r="K3284" t="s">
        <v>96</v>
      </c>
      <c r="L3284" t="s">
        <v>96</v>
      </c>
      <c r="M3284">
        <v>1543.5</v>
      </c>
      <c r="O3284" s="12" t="str">
        <f t="shared" si="116"/>
        <v>OAS</v>
      </c>
      <c r="P3284" s="12" t="str">
        <f t="shared" si="117"/>
        <v>E_SPV</v>
      </c>
    </row>
    <row r="3285" spans="1:16" x14ac:dyDescent="0.35">
      <c r="A3285" t="s">
        <v>1586</v>
      </c>
      <c r="B3285" t="s">
        <v>78</v>
      </c>
      <c r="C3285" t="s">
        <v>45</v>
      </c>
      <c r="D3285" t="s">
        <v>2175</v>
      </c>
      <c r="E3285" t="s">
        <v>96</v>
      </c>
      <c r="F3285" t="s">
        <v>96</v>
      </c>
      <c r="G3285" t="s">
        <v>96</v>
      </c>
      <c r="H3285">
        <v>2010</v>
      </c>
      <c r="I3285" t="s">
        <v>96</v>
      </c>
      <c r="J3285" t="s">
        <v>97</v>
      </c>
      <c r="K3285" t="s">
        <v>96</v>
      </c>
      <c r="L3285" t="s">
        <v>96</v>
      </c>
      <c r="M3285">
        <v>1456</v>
      </c>
      <c r="O3285" s="12" t="str">
        <f t="shared" si="116"/>
        <v>OAS</v>
      </c>
      <c r="P3285" s="12" t="str">
        <f t="shared" si="117"/>
        <v>E_SPV</v>
      </c>
    </row>
    <row r="3286" spans="1:16" x14ac:dyDescent="0.35">
      <c r="A3286" t="s">
        <v>1586</v>
      </c>
      <c r="B3286" t="s">
        <v>78</v>
      </c>
      <c r="C3286" t="s">
        <v>45</v>
      </c>
      <c r="D3286" t="s">
        <v>2176</v>
      </c>
      <c r="E3286" t="s">
        <v>96</v>
      </c>
      <c r="F3286" t="s">
        <v>96</v>
      </c>
      <c r="G3286" t="s">
        <v>96</v>
      </c>
      <c r="H3286">
        <v>2010</v>
      </c>
      <c r="I3286" t="s">
        <v>96</v>
      </c>
      <c r="J3286" t="s">
        <v>97</v>
      </c>
      <c r="K3286" t="s">
        <v>96</v>
      </c>
      <c r="L3286" t="s">
        <v>96</v>
      </c>
      <c r="M3286">
        <v>1543.5</v>
      </c>
      <c r="O3286" s="12" t="str">
        <f t="shared" si="116"/>
        <v>OAS</v>
      </c>
      <c r="P3286" s="12" t="str">
        <f t="shared" si="117"/>
        <v>E_SPV</v>
      </c>
    </row>
    <row r="3287" spans="1:16" x14ac:dyDescent="0.35">
      <c r="A3287" t="s">
        <v>1586</v>
      </c>
      <c r="B3287" t="s">
        <v>78</v>
      </c>
      <c r="C3287" t="s">
        <v>45</v>
      </c>
      <c r="D3287" t="s">
        <v>2177</v>
      </c>
      <c r="E3287" t="s">
        <v>96</v>
      </c>
      <c r="F3287" t="s">
        <v>96</v>
      </c>
      <c r="G3287" t="s">
        <v>96</v>
      </c>
      <c r="H3287">
        <v>2010</v>
      </c>
      <c r="I3287" t="s">
        <v>96</v>
      </c>
      <c r="J3287" t="s">
        <v>97</v>
      </c>
      <c r="K3287" t="s">
        <v>96</v>
      </c>
      <c r="L3287" t="s">
        <v>96</v>
      </c>
      <c r="M3287">
        <v>1543.5</v>
      </c>
      <c r="O3287" s="12" t="str">
        <f t="shared" si="116"/>
        <v>OAS</v>
      </c>
      <c r="P3287" s="12" t="str">
        <f t="shared" si="117"/>
        <v>E_SPV</v>
      </c>
    </row>
    <row r="3288" spans="1:16" x14ac:dyDescent="0.35">
      <c r="A3288" t="s">
        <v>1586</v>
      </c>
      <c r="B3288" t="s">
        <v>78</v>
      </c>
      <c r="C3288" t="s">
        <v>45</v>
      </c>
      <c r="D3288" t="s">
        <v>2178</v>
      </c>
      <c r="E3288" t="s">
        <v>96</v>
      </c>
      <c r="F3288" t="s">
        <v>96</v>
      </c>
      <c r="G3288" t="s">
        <v>96</v>
      </c>
      <c r="H3288">
        <v>2010</v>
      </c>
      <c r="I3288" t="s">
        <v>96</v>
      </c>
      <c r="J3288" t="s">
        <v>97</v>
      </c>
      <c r="K3288" t="s">
        <v>96</v>
      </c>
      <c r="L3288" t="s">
        <v>96</v>
      </c>
      <c r="M3288">
        <v>1430</v>
      </c>
      <c r="O3288" s="12" t="str">
        <f t="shared" si="116"/>
        <v>OAS</v>
      </c>
      <c r="P3288" s="12" t="str">
        <f t="shared" si="117"/>
        <v>E_SPV</v>
      </c>
    </row>
    <row r="3289" spans="1:16" x14ac:dyDescent="0.35">
      <c r="A3289" t="s">
        <v>1586</v>
      </c>
      <c r="B3289" t="s">
        <v>78</v>
      </c>
      <c r="C3289" t="s">
        <v>45</v>
      </c>
      <c r="D3289" t="s">
        <v>2179</v>
      </c>
      <c r="E3289" t="s">
        <v>96</v>
      </c>
      <c r="F3289" t="s">
        <v>96</v>
      </c>
      <c r="G3289" t="s">
        <v>96</v>
      </c>
      <c r="H3289">
        <v>2010</v>
      </c>
      <c r="I3289" t="s">
        <v>96</v>
      </c>
      <c r="J3289" t="s">
        <v>97</v>
      </c>
      <c r="K3289" t="s">
        <v>96</v>
      </c>
      <c r="L3289" t="s">
        <v>96</v>
      </c>
      <c r="M3289">
        <v>1469</v>
      </c>
      <c r="O3289" s="12" t="str">
        <f t="shared" si="116"/>
        <v>OAS</v>
      </c>
      <c r="P3289" s="12" t="str">
        <f t="shared" si="117"/>
        <v>E_SPV</v>
      </c>
    </row>
    <row r="3290" spans="1:16" x14ac:dyDescent="0.35">
      <c r="A3290" t="s">
        <v>1586</v>
      </c>
      <c r="B3290" t="s">
        <v>78</v>
      </c>
      <c r="C3290" t="s">
        <v>45</v>
      </c>
      <c r="D3290" t="s">
        <v>2180</v>
      </c>
      <c r="E3290" t="s">
        <v>96</v>
      </c>
      <c r="F3290" t="s">
        <v>96</v>
      </c>
      <c r="G3290" t="s">
        <v>96</v>
      </c>
      <c r="H3290">
        <v>2010</v>
      </c>
      <c r="I3290" t="s">
        <v>96</v>
      </c>
      <c r="J3290" t="s">
        <v>97</v>
      </c>
      <c r="K3290" t="s">
        <v>96</v>
      </c>
      <c r="L3290" t="s">
        <v>96</v>
      </c>
      <c r="M3290">
        <v>1543.5</v>
      </c>
      <c r="O3290" s="12" t="str">
        <f t="shared" si="116"/>
        <v>OAS</v>
      </c>
      <c r="P3290" s="12" t="str">
        <f t="shared" si="117"/>
        <v>E_SPV</v>
      </c>
    </row>
    <row r="3291" spans="1:16" x14ac:dyDescent="0.35">
      <c r="A3291" t="s">
        <v>1586</v>
      </c>
      <c r="B3291" t="s">
        <v>78</v>
      </c>
      <c r="C3291" t="s">
        <v>45</v>
      </c>
      <c r="D3291" t="s">
        <v>2181</v>
      </c>
      <c r="E3291" t="s">
        <v>96</v>
      </c>
      <c r="F3291" t="s">
        <v>96</v>
      </c>
      <c r="G3291" t="s">
        <v>96</v>
      </c>
      <c r="H3291">
        <v>2010</v>
      </c>
      <c r="I3291" t="s">
        <v>96</v>
      </c>
      <c r="J3291" t="s">
        <v>97</v>
      </c>
      <c r="K3291" t="s">
        <v>96</v>
      </c>
      <c r="L3291" t="s">
        <v>96</v>
      </c>
      <c r="M3291">
        <v>1543.5</v>
      </c>
      <c r="O3291" s="12" t="str">
        <f t="shared" si="116"/>
        <v>OAS</v>
      </c>
      <c r="P3291" s="12" t="str">
        <f t="shared" si="117"/>
        <v>E_SPV</v>
      </c>
    </row>
    <row r="3292" spans="1:16" x14ac:dyDescent="0.35">
      <c r="A3292" t="s">
        <v>1586</v>
      </c>
      <c r="B3292" t="s">
        <v>78</v>
      </c>
      <c r="C3292" t="s">
        <v>45</v>
      </c>
      <c r="D3292" t="s">
        <v>2182</v>
      </c>
      <c r="E3292" t="s">
        <v>96</v>
      </c>
      <c r="F3292" t="s">
        <v>96</v>
      </c>
      <c r="G3292" t="s">
        <v>96</v>
      </c>
      <c r="H3292">
        <v>2010</v>
      </c>
      <c r="I3292" t="s">
        <v>96</v>
      </c>
      <c r="J3292" t="s">
        <v>97</v>
      </c>
      <c r="K3292" t="s">
        <v>96</v>
      </c>
      <c r="L3292" t="s">
        <v>96</v>
      </c>
      <c r="M3292">
        <v>1543.5</v>
      </c>
      <c r="O3292" s="12" t="str">
        <f t="shared" si="116"/>
        <v>OAS</v>
      </c>
      <c r="P3292" s="12" t="str">
        <f t="shared" si="117"/>
        <v>E_SPV</v>
      </c>
    </row>
    <row r="3293" spans="1:16" x14ac:dyDescent="0.35">
      <c r="A3293" t="s">
        <v>1586</v>
      </c>
      <c r="B3293" t="s">
        <v>78</v>
      </c>
      <c r="C3293" t="s">
        <v>45</v>
      </c>
      <c r="D3293" t="s">
        <v>2183</v>
      </c>
      <c r="E3293" t="s">
        <v>96</v>
      </c>
      <c r="F3293" t="s">
        <v>96</v>
      </c>
      <c r="G3293" t="s">
        <v>96</v>
      </c>
      <c r="H3293">
        <v>2010</v>
      </c>
      <c r="I3293" t="s">
        <v>96</v>
      </c>
      <c r="J3293" t="s">
        <v>97</v>
      </c>
      <c r="K3293" t="s">
        <v>96</v>
      </c>
      <c r="L3293" t="s">
        <v>96</v>
      </c>
      <c r="M3293">
        <v>1495</v>
      </c>
      <c r="O3293" s="12" t="str">
        <f t="shared" si="116"/>
        <v>OAS</v>
      </c>
      <c r="P3293" s="12" t="str">
        <f t="shared" si="117"/>
        <v>E_SPV</v>
      </c>
    </row>
    <row r="3294" spans="1:16" x14ac:dyDescent="0.35">
      <c r="A3294" t="s">
        <v>1586</v>
      </c>
      <c r="B3294" t="s">
        <v>78</v>
      </c>
      <c r="C3294" t="s">
        <v>45</v>
      </c>
      <c r="D3294" t="s">
        <v>2184</v>
      </c>
      <c r="E3294" t="s">
        <v>96</v>
      </c>
      <c r="F3294" t="s">
        <v>96</v>
      </c>
      <c r="G3294" t="s">
        <v>96</v>
      </c>
      <c r="H3294">
        <v>2010</v>
      </c>
      <c r="I3294" t="s">
        <v>96</v>
      </c>
      <c r="J3294" t="s">
        <v>97</v>
      </c>
      <c r="K3294" t="s">
        <v>96</v>
      </c>
      <c r="L3294" t="s">
        <v>96</v>
      </c>
      <c r="M3294">
        <v>1543.5</v>
      </c>
      <c r="O3294" s="12" t="str">
        <f t="shared" si="116"/>
        <v>OAS</v>
      </c>
      <c r="P3294" s="12" t="str">
        <f t="shared" si="117"/>
        <v>E_SPV</v>
      </c>
    </row>
    <row r="3295" spans="1:16" x14ac:dyDescent="0.35">
      <c r="A3295" t="s">
        <v>1586</v>
      </c>
      <c r="B3295" t="s">
        <v>78</v>
      </c>
      <c r="C3295" t="s">
        <v>45</v>
      </c>
      <c r="D3295" t="s">
        <v>2185</v>
      </c>
      <c r="E3295" t="s">
        <v>96</v>
      </c>
      <c r="F3295" t="s">
        <v>96</v>
      </c>
      <c r="G3295" t="s">
        <v>96</v>
      </c>
      <c r="H3295">
        <v>2010</v>
      </c>
      <c r="I3295" t="s">
        <v>96</v>
      </c>
      <c r="J3295" t="s">
        <v>97</v>
      </c>
      <c r="K3295" t="s">
        <v>96</v>
      </c>
      <c r="L3295" t="s">
        <v>96</v>
      </c>
      <c r="M3295">
        <v>1543.5</v>
      </c>
      <c r="O3295" s="12" t="str">
        <f t="shared" si="116"/>
        <v>OAS</v>
      </c>
      <c r="P3295" s="12" t="str">
        <f t="shared" si="117"/>
        <v>E_SPV</v>
      </c>
    </row>
    <row r="3296" spans="1:16" x14ac:dyDescent="0.35">
      <c r="A3296" t="s">
        <v>1586</v>
      </c>
      <c r="B3296" t="s">
        <v>78</v>
      </c>
      <c r="C3296" t="s">
        <v>45</v>
      </c>
      <c r="D3296" t="s">
        <v>2186</v>
      </c>
      <c r="E3296" t="s">
        <v>96</v>
      </c>
      <c r="F3296" t="s">
        <v>96</v>
      </c>
      <c r="G3296" t="s">
        <v>96</v>
      </c>
      <c r="H3296">
        <v>2010</v>
      </c>
      <c r="I3296" t="s">
        <v>96</v>
      </c>
      <c r="J3296" t="s">
        <v>97</v>
      </c>
      <c r="K3296" t="s">
        <v>96</v>
      </c>
      <c r="L3296" t="s">
        <v>96</v>
      </c>
      <c r="M3296">
        <v>1543.5</v>
      </c>
      <c r="O3296" s="12" t="str">
        <f t="shared" si="116"/>
        <v>OAS</v>
      </c>
      <c r="P3296" s="12" t="str">
        <f t="shared" si="117"/>
        <v>E_SPV</v>
      </c>
    </row>
    <row r="3297" spans="1:16" x14ac:dyDescent="0.35">
      <c r="A3297" t="s">
        <v>1586</v>
      </c>
      <c r="B3297" t="s">
        <v>78</v>
      </c>
      <c r="C3297" t="s">
        <v>45</v>
      </c>
      <c r="D3297" t="s">
        <v>2187</v>
      </c>
      <c r="E3297" t="s">
        <v>96</v>
      </c>
      <c r="F3297" t="s">
        <v>96</v>
      </c>
      <c r="G3297" t="s">
        <v>96</v>
      </c>
      <c r="H3297">
        <v>2010</v>
      </c>
      <c r="I3297" t="s">
        <v>96</v>
      </c>
      <c r="J3297" t="s">
        <v>97</v>
      </c>
      <c r="K3297" t="s">
        <v>96</v>
      </c>
      <c r="L3297" t="s">
        <v>96</v>
      </c>
      <c r="M3297">
        <v>1543.5</v>
      </c>
      <c r="O3297" s="12" t="str">
        <f t="shared" si="116"/>
        <v>OAS</v>
      </c>
      <c r="P3297" s="12" t="str">
        <f t="shared" si="117"/>
        <v>E_SPV</v>
      </c>
    </row>
    <row r="3298" spans="1:16" x14ac:dyDescent="0.35">
      <c r="A3298" t="s">
        <v>1586</v>
      </c>
      <c r="B3298" t="s">
        <v>78</v>
      </c>
      <c r="C3298" t="s">
        <v>45</v>
      </c>
      <c r="D3298" t="s">
        <v>2188</v>
      </c>
      <c r="E3298" t="s">
        <v>96</v>
      </c>
      <c r="F3298" t="s">
        <v>96</v>
      </c>
      <c r="G3298" t="s">
        <v>96</v>
      </c>
      <c r="H3298">
        <v>2010</v>
      </c>
      <c r="I3298" t="s">
        <v>96</v>
      </c>
      <c r="J3298" t="s">
        <v>97</v>
      </c>
      <c r="K3298" t="s">
        <v>96</v>
      </c>
      <c r="L3298" t="s">
        <v>96</v>
      </c>
      <c r="M3298">
        <v>1543.5</v>
      </c>
      <c r="O3298" s="12" t="str">
        <f t="shared" si="116"/>
        <v>OAS</v>
      </c>
      <c r="P3298" s="12" t="str">
        <f t="shared" si="117"/>
        <v>E_SPV</v>
      </c>
    </row>
    <row r="3299" spans="1:16" x14ac:dyDescent="0.35">
      <c r="A3299" t="s">
        <v>1586</v>
      </c>
      <c r="B3299" t="s">
        <v>78</v>
      </c>
      <c r="C3299" t="s">
        <v>45</v>
      </c>
      <c r="D3299" t="s">
        <v>2189</v>
      </c>
      <c r="E3299" t="s">
        <v>96</v>
      </c>
      <c r="F3299" t="s">
        <v>96</v>
      </c>
      <c r="G3299" t="s">
        <v>96</v>
      </c>
      <c r="H3299">
        <v>2010</v>
      </c>
      <c r="I3299" t="s">
        <v>96</v>
      </c>
      <c r="J3299" t="s">
        <v>97</v>
      </c>
      <c r="K3299" t="s">
        <v>96</v>
      </c>
      <c r="L3299" t="s">
        <v>96</v>
      </c>
      <c r="M3299">
        <v>1430</v>
      </c>
      <c r="O3299" s="12" t="str">
        <f t="shared" si="116"/>
        <v>OAS</v>
      </c>
      <c r="P3299" s="12" t="str">
        <f t="shared" si="117"/>
        <v>E_SPV</v>
      </c>
    </row>
    <row r="3300" spans="1:16" x14ac:dyDescent="0.35">
      <c r="A3300" t="s">
        <v>1586</v>
      </c>
      <c r="B3300" t="s">
        <v>78</v>
      </c>
      <c r="C3300" t="s">
        <v>45</v>
      </c>
      <c r="D3300" t="s">
        <v>2190</v>
      </c>
      <c r="E3300" t="s">
        <v>96</v>
      </c>
      <c r="F3300" t="s">
        <v>96</v>
      </c>
      <c r="G3300" t="s">
        <v>96</v>
      </c>
      <c r="H3300">
        <v>2010</v>
      </c>
      <c r="I3300" t="s">
        <v>96</v>
      </c>
      <c r="J3300" t="s">
        <v>97</v>
      </c>
      <c r="K3300" t="s">
        <v>96</v>
      </c>
      <c r="L3300" t="s">
        <v>96</v>
      </c>
      <c r="M3300">
        <v>1981.2</v>
      </c>
      <c r="O3300" s="12" t="str">
        <f t="shared" si="116"/>
        <v>OAS</v>
      </c>
      <c r="P3300" s="12" t="str">
        <f t="shared" si="117"/>
        <v>E_SPV</v>
      </c>
    </row>
    <row r="3301" spans="1:16" x14ac:dyDescent="0.35">
      <c r="A3301" t="s">
        <v>1586</v>
      </c>
      <c r="B3301" t="s">
        <v>78</v>
      </c>
      <c r="C3301" t="s">
        <v>45</v>
      </c>
      <c r="D3301" t="s">
        <v>2191</v>
      </c>
      <c r="E3301" t="s">
        <v>96</v>
      </c>
      <c r="F3301" t="s">
        <v>96</v>
      </c>
      <c r="G3301" t="s">
        <v>96</v>
      </c>
      <c r="H3301">
        <v>2010</v>
      </c>
      <c r="I3301" t="s">
        <v>96</v>
      </c>
      <c r="J3301" t="s">
        <v>97</v>
      </c>
      <c r="K3301" t="s">
        <v>96</v>
      </c>
      <c r="L3301" t="s">
        <v>96</v>
      </c>
      <c r="M3301">
        <v>1543.5</v>
      </c>
      <c r="O3301" s="12" t="str">
        <f t="shared" si="116"/>
        <v>OAS</v>
      </c>
      <c r="P3301" s="12" t="str">
        <f t="shared" si="117"/>
        <v>E_SPV</v>
      </c>
    </row>
    <row r="3302" spans="1:16" x14ac:dyDescent="0.35">
      <c r="A3302" t="s">
        <v>1586</v>
      </c>
      <c r="B3302" t="s">
        <v>78</v>
      </c>
      <c r="C3302" t="s">
        <v>45</v>
      </c>
      <c r="D3302" t="s">
        <v>2192</v>
      </c>
      <c r="E3302" t="s">
        <v>96</v>
      </c>
      <c r="F3302" t="s">
        <v>96</v>
      </c>
      <c r="G3302" t="s">
        <v>96</v>
      </c>
      <c r="H3302">
        <v>2010</v>
      </c>
      <c r="I3302" t="s">
        <v>96</v>
      </c>
      <c r="J3302" t="s">
        <v>97</v>
      </c>
      <c r="K3302" t="s">
        <v>96</v>
      </c>
      <c r="L3302" t="s">
        <v>96</v>
      </c>
      <c r="M3302">
        <v>1456</v>
      </c>
      <c r="O3302" s="12" t="str">
        <f t="shared" si="116"/>
        <v>OAS</v>
      </c>
      <c r="P3302" s="12" t="str">
        <f t="shared" si="117"/>
        <v>E_SPV</v>
      </c>
    </row>
    <row r="3303" spans="1:16" x14ac:dyDescent="0.35">
      <c r="A3303" t="s">
        <v>1586</v>
      </c>
      <c r="B3303" t="s">
        <v>78</v>
      </c>
      <c r="C3303" t="s">
        <v>45</v>
      </c>
      <c r="D3303" t="s">
        <v>2193</v>
      </c>
      <c r="E3303" t="s">
        <v>96</v>
      </c>
      <c r="F3303" t="s">
        <v>96</v>
      </c>
      <c r="G3303" t="s">
        <v>96</v>
      </c>
      <c r="H3303">
        <v>2010</v>
      </c>
      <c r="I3303" t="s">
        <v>96</v>
      </c>
      <c r="J3303" t="s">
        <v>97</v>
      </c>
      <c r="K3303" t="s">
        <v>96</v>
      </c>
      <c r="L3303" t="s">
        <v>96</v>
      </c>
      <c r="M3303">
        <v>1543.5</v>
      </c>
      <c r="O3303" s="12" t="str">
        <f t="shared" si="116"/>
        <v>OAS</v>
      </c>
      <c r="P3303" s="12" t="str">
        <f t="shared" si="117"/>
        <v>E_SPV</v>
      </c>
    </row>
    <row r="3304" spans="1:16" x14ac:dyDescent="0.35">
      <c r="A3304" t="s">
        <v>1586</v>
      </c>
      <c r="B3304" t="s">
        <v>78</v>
      </c>
      <c r="C3304" t="s">
        <v>45</v>
      </c>
      <c r="D3304" t="s">
        <v>2194</v>
      </c>
      <c r="E3304" t="s">
        <v>96</v>
      </c>
      <c r="F3304" t="s">
        <v>96</v>
      </c>
      <c r="G3304" t="s">
        <v>96</v>
      </c>
      <c r="H3304">
        <v>2010</v>
      </c>
      <c r="I3304" t="s">
        <v>96</v>
      </c>
      <c r="J3304" t="s">
        <v>97</v>
      </c>
      <c r="K3304" t="s">
        <v>96</v>
      </c>
      <c r="L3304" t="s">
        <v>96</v>
      </c>
      <c r="M3304">
        <v>1543.5</v>
      </c>
      <c r="O3304" s="12" t="str">
        <f t="shared" si="116"/>
        <v>OAS</v>
      </c>
      <c r="P3304" s="12" t="str">
        <f t="shared" si="117"/>
        <v>E_SPV</v>
      </c>
    </row>
    <row r="3305" spans="1:16" x14ac:dyDescent="0.35">
      <c r="A3305" t="s">
        <v>1586</v>
      </c>
      <c r="B3305" t="s">
        <v>78</v>
      </c>
      <c r="C3305" t="s">
        <v>45</v>
      </c>
      <c r="D3305" t="s">
        <v>2195</v>
      </c>
      <c r="E3305" t="s">
        <v>96</v>
      </c>
      <c r="F3305" t="s">
        <v>96</v>
      </c>
      <c r="G3305" t="s">
        <v>96</v>
      </c>
      <c r="H3305">
        <v>2010</v>
      </c>
      <c r="I3305" t="s">
        <v>96</v>
      </c>
      <c r="J3305" t="s">
        <v>97</v>
      </c>
      <c r="K3305" t="s">
        <v>96</v>
      </c>
      <c r="L3305" t="s">
        <v>96</v>
      </c>
      <c r="M3305">
        <v>1543.5</v>
      </c>
      <c r="O3305" s="12" t="str">
        <f t="shared" si="116"/>
        <v>OAS</v>
      </c>
      <c r="P3305" s="12" t="str">
        <f t="shared" si="117"/>
        <v>E_SPV</v>
      </c>
    </row>
    <row r="3306" spans="1:16" x14ac:dyDescent="0.35">
      <c r="A3306" t="s">
        <v>1586</v>
      </c>
      <c r="B3306" t="s">
        <v>78</v>
      </c>
      <c r="C3306" t="s">
        <v>45</v>
      </c>
      <c r="D3306" t="s">
        <v>2196</v>
      </c>
      <c r="E3306" t="s">
        <v>96</v>
      </c>
      <c r="F3306" t="s">
        <v>96</v>
      </c>
      <c r="G3306" t="s">
        <v>96</v>
      </c>
      <c r="H3306">
        <v>2010</v>
      </c>
      <c r="I3306" t="s">
        <v>96</v>
      </c>
      <c r="J3306" t="s">
        <v>97</v>
      </c>
      <c r="K3306" t="s">
        <v>96</v>
      </c>
      <c r="L3306" t="s">
        <v>96</v>
      </c>
      <c r="M3306">
        <v>1430</v>
      </c>
      <c r="O3306" s="12" t="str">
        <f t="shared" si="116"/>
        <v>OAS</v>
      </c>
      <c r="P3306" s="12" t="str">
        <f t="shared" si="117"/>
        <v>E_SPV</v>
      </c>
    </row>
    <row r="3307" spans="1:16" x14ac:dyDescent="0.35">
      <c r="A3307" t="s">
        <v>1586</v>
      </c>
      <c r="B3307" t="s">
        <v>78</v>
      </c>
      <c r="C3307" t="s">
        <v>45</v>
      </c>
      <c r="D3307" t="s">
        <v>2197</v>
      </c>
      <c r="E3307" t="s">
        <v>96</v>
      </c>
      <c r="F3307" t="s">
        <v>96</v>
      </c>
      <c r="G3307" t="s">
        <v>96</v>
      </c>
      <c r="H3307">
        <v>2010</v>
      </c>
      <c r="I3307" t="s">
        <v>96</v>
      </c>
      <c r="J3307" t="s">
        <v>97</v>
      </c>
      <c r="K3307" t="s">
        <v>96</v>
      </c>
      <c r="L3307" t="s">
        <v>96</v>
      </c>
      <c r="M3307">
        <v>1469</v>
      </c>
      <c r="O3307" s="12" t="str">
        <f t="shared" si="116"/>
        <v>OAS</v>
      </c>
      <c r="P3307" s="12" t="str">
        <f t="shared" si="117"/>
        <v>E_SPV</v>
      </c>
    </row>
    <row r="3308" spans="1:16" x14ac:dyDescent="0.35">
      <c r="A3308" t="s">
        <v>1586</v>
      </c>
      <c r="B3308" t="s">
        <v>78</v>
      </c>
      <c r="C3308" t="s">
        <v>45</v>
      </c>
      <c r="D3308" t="s">
        <v>2198</v>
      </c>
      <c r="E3308" t="s">
        <v>96</v>
      </c>
      <c r="F3308" t="s">
        <v>96</v>
      </c>
      <c r="G3308" t="s">
        <v>96</v>
      </c>
      <c r="H3308">
        <v>2010</v>
      </c>
      <c r="I3308" t="s">
        <v>96</v>
      </c>
      <c r="J3308" t="s">
        <v>97</v>
      </c>
      <c r="K3308" t="s">
        <v>96</v>
      </c>
      <c r="L3308" t="s">
        <v>96</v>
      </c>
      <c r="M3308">
        <v>1543.5</v>
      </c>
      <c r="O3308" s="12" t="str">
        <f t="shared" si="116"/>
        <v>OAS</v>
      </c>
      <c r="P3308" s="12" t="str">
        <f t="shared" si="117"/>
        <v>E_SPV</v>
      </c>
    </row>
    <row r="3309" spans="1:16" x14ac:dyDescent="0.35">
      <c r="A3309" t="s">
        <v>1586</v>
      </c>
      <c r="B3309" t="s">
        <v>78</v>
      </c>
      <c r="C3309" t="s">
        <v>45</v>
      </c>
      <c r="D3309" t="s">
        <v>2199</v>
      </c>
      <c r="E3309" t="s">
        <v>96</v>
      </c>
      <c r="F3309" t="s">
        <v>96</v>
      </c>
      <c r="G3309" t="s">
        <v>96</v>
      </c>
      <c r="H3309">
        <v>2010</v>
      </c>
      <c r="I3309" t="s">
        <v>96</v>
      </c>
      <c r="J3309" t="s">
        <v>97</v>
      </c>
      <c r="K3309" t="s">
        <v>96</v>
      </c>
      <c r="L3309" t="s">
        <v>96</v>
      </c>
      <c r="M3309">
        <v>1543.5</v>
      </c>
      <c r="O3309" s="12" t="str">
        <f t="shared" si="116"/>
        <v>OAS</v>
      </c>
      <c r="P3309" s="12" t="str">
        <f t="shared" si="117"/>
        <v>E_SPV</v>
      </c>
    </row>
    <row r="3310" spans="1:16" x14ac:dyDescent="0.35">
      <c r="A3310" t="s">
        <v>1586</v>
      </c>
      <c r="B3310" t="s">
        <v>78</v>
      </c>
      <c r="C3310" t="s">
        <v>45</v>
      </c>
      <c r="D3310" t="s">
        <v>2200</v>
      </c>
      <c r="E3310" t="s">
        <v>96</v>
      </c>
      <c r="F3310" t="s">
        <v>96</v>
      </c>
      <c r="G3310" t="s">
        <v>96</v>
      </c>
      <c r="H3310">
        <v>2010</v>
      </c>
      <c r="I3310" t="s">
        <v>96</v>
      </c>
      <c r="J3310" t="s">
        <v>97</v>
      </c>
      <c r="K3310" t="s">
        <v>96</v>
      </c>
      <c r="L3310" t="s">
        <v>96</v>
      </c>
      <c r="M3310">
        <v>1543.5</v>
      </c>
      <c r="O3310" s="12" t="str">
        <f t="shared" si="116"/>
        <v>OAS</v>
      </c>
      <c r="P3310" s="12" t="str">
        <f t="shared" si="117"/>
        <v>E_SPV</v>
      </c>
    </row>
    <row r="3311" spans="1:16" x14ac:dyDescent="0.35">
      <c r="A3311" t="s">
        <v>1586</v>
      </c>
      <c r="B3311" t="s">
        <v>78</v>
      </c>
      <c r="C3311" t="s">
        <v>45</v>
      </c>
      <c r="D3311" t="s">
        <v>2201</v>
      </c>
      <c r="E3311" t="s">
        <v>96</v>
      </c>
      <c r="F3311" t="s">
        <v>96</v>
      </c>
      <c r="G3311" t="s">
        <v>96</v>
      </c>
      <c r="H3311">
        <v>2010</v>
      </c>
      <c r="I3311" t="s">
        <v>96</v>
      </c>
      <c r="J3311" t="s">
        <v>97</v>
      </c>
      <c r="K3311" t="s">
        <v>96</v>
      </c>
      <c r="L3311" t="s">
        <v>96</v>
      </c>
      <c r="M3311">
        <v>1543.5</v>
      </c>
      <c r="O3311" s="12" t="str">
        <f t="shared" si="116"/>
        <v>OAS</v>
      </c>
      <c r="P3311" s="12" t="str">
        <f t="shared" si="117"/>
        <v>E_SPV</v>
      </c>
    </row>
    <row r="3312" spans="1:16" x14ac:dyDescent="0.35">
      <c r="A3312" t="s">
        <v>1586</v>
      </c>
      <c r="B3312" t="s">
        <v>78</v>
      </c>
      <c r="C3312" t="s">
        <v>45</v>
      </c>
      <c r="D3312" t="s">
        <v>2202</v>
      </c>
      <c r="E3312" t="s">
        <v>96</v>
      </c>
      <c r="F3312" t="s">
        <v>96</v>
      </c>
      <c r="G3312" t="s">
        <v>96</v>
      </c>
      <c r="H3312">
        <v>2010</v>
      </c>
      <c r="I3312" t="s">
        <v>96</v>
      </c>
      <c r="J3312" t="s">
        <v>97</v>
      </c>
      <c r="K3312" t="s">
        <v>96</v>
      </c>
      <c r="L3312" t="s">
        <v>96</v>
      </c>
      <c r="M3312">
        <v>1495</v>
      </c>
      <c r="O3312" s="12" t="str">
        <f t="shared" si="116"/>
        <v>OAS</v>
      </c>
      <c r="P3312" s="12" t="str">
        <f t="shared" si="117"/>
        <v>E_SPV</v>
      </c>
    </row>
    <row r="3313" spans="1:16" x14ac:dyDescent="0.35">
      <c r="A3313" t="s">
        <v>1586</v>
      </c>
      <c r="B3313" t="s">
        <v>78</v>
      </c>
      <c r="C3313" t="s">
        <v>45</v>
      </c>
      <c r="D3313" t="s">
        <v>2203</v>
      </c>
      <c r="E3313" t="s">
        <v>96</v>
      </c>
      <c r="F3313" t="s">
        <v>96</v>
      </c>
      <c r="G3313" t="s">
        <v>96</v>
      </c>
      <c r="H3313">
        <v>2010</v>
      </c>
      <c r="I3313" t="s">
        <v>96</v>
      </c>
      <c r="J3313" t="s">
        <v>97</v>
      </c>
      <c r="K3313" t="s">
        <v>96</v>
      </c>
      <c r="L3313" t="s">
        <v>96</v>
      </c>
      <c r="M3313">
        <v>1543.5</v>
      </c>
      <c r="O3313" s="12" t="str">
        <f t="shared" si="116"/>
        <v>OAS</v>
      </c>
      <c r="P3313" s="12" t="str">
        <f t="shared" si="117"/>
        <v>E_SPV</v>
      </c>
    </row>
    <row r="3314" spans="1:16" x14ac:dyDescent="0.35">
      <c r="A3314" t="s">
        <v>1586</v>
      </c>
      <c r="B3314" t="s">
        <v>78</v>
      </c>
      <c r="C3314" t="s">
        <v>45</v>
      </c>
      <c r="D3314" t="s">
        <v>2204</v>
      </c>
      <c r="E3314" t="s">
        <v>96</v>
      </c>
      <c r="F3314" t="s">
        <v>96</v>
      </c>
      <c r="G3314" t="s">
        <v>96</v>
      </c>
      <c r="H3314">
        <v>2010</v>
      </c>
      <c r="I3314" t="s">
        <v>96</v>
      </c>
      <c r="J3314" t="s">
        <v>97</v>
      </c>
      <c r="K3314" t="s">
        <v>96</v>
      </c>
      <c r="L3314" t="s">
        <v>96</v>
      </c>
      <c r="M3314">
        <v>1543.5</v>
      </c>
      <c r="O3314" s="12" t="str">
        <f t="shared" si="116"/>
        <v>OAS</v>
      </c>
      <c r="P3314" s="12" t="str">
        <f t="shared" si="117"/>
        <v>E_SPV</v>
      </c>
    </row>
    <row r="3315" spans="1:16" x14ac:dyDescent="0.35">
      <c r="A3315" t="s">
        <v>1586</v>
      </c>
      <c r="B3315" t="s">
        <v>78</v>
      </c>
      <c r="C3315" t="s">
        <v>45</v>
      </c>
      <c r="D3315" t="s">
        <v>2205</v>
      </c>
      <c r="E3315" t="s">
        <v>96</v>
      </c>
      <c r="F3315" t="s">
        <v>96</v>
      </c>
      <c r="G3315" t="s">
        <v>96</v>
      </c>
      <c r="H3315">
        <v>2010</v>
      </c>
      <c r="I3315" t="s">
        <v>96</v>
      </c>
      <c r="J3315" t="s">
        <v>97</v>
      </c>
      <c r="K3315" t="s">
        <v>96</v>
      </c>
      <c r="L3315" t="s">
        <v>96</v>
      </c>
      <c r="M3315">
        <v>1543.5</v>
      </c>
      <c r="O3315" s="12" t="str">
        <f t="shared" si="116"/>
        <v>OAS</v>
      </c>
      <c r="P3315" s="12" t="str">
        <f t="shared" si="117"/>
        <v>E_SPV</v>
      </c>
    </row>
    <row r="3316" spans="1:16" x14ac:dyDescent="0.35">
      <c r="A3316" t="s">
        <v>1586</v>
      </c>
      <c r="B3316" t="s">
        <v>78</v>
      </c>
      <c r="C3316" t="s">
        <v>45</v>
      </c>
      <c r="D3316" t="s">
        <v>2206</v>
      </c>
      <c r="E3316" t="s">
        <v>96</v>
      </c>
      <c r="F3316" t="s">
        <v>96</v>
      </c>
      <c r="G3316" t="s">
        <v>96</v>
      </c>
      <c r="H3316">
        <v>2010</v>
      </c>
      <c r="I3316" t="s">
        <v>96</v>
      </c>
      <c r="J3316" t="s">
        <v>97</v>
      </c>
      <c r="K3316" t="s">
        <v>96</v>
      </c>
      <c r="L3316" t="s">
        <v>96</v>
      </c>
      <c r="M3316">
        <v>1543.5</v>
      </c>
      <c r="O3316" s="12" t="str">
        <f t="shared" si="116"/>
        <v>OAS</v>
      </c>
      <c r="P3316" s="12" t="str">
        <f t="shared" si="117"/>
        <v>E_SPV</v>
      </c>
    </row>
    <row r="3317" spans="1:16" x14ac:dyDescent="0.35">
      <c r="A3317" t="s">
        <v>1586</v>
      </c>
      <c r="B3317" t="s">
        <v>78</v>
      </c>
      <c r="C3317" t="s">
        <v>45</v>
      </c>
      <c r="D3317" t="s">
        <v>2207</v>
      </c>
      <c r="E3317" t="s">
        <v>96</v>
      </c>
      <c r="F3317" t="s">
        <v>96</v>
      </c>
      <c r="G3317" t="s">
        <v>96</v>
      </c>
      <c r="H3317">
        <v>2010</v>
      </c>
      <c r="I3317" t="s">
        <v>96</v>
      </c>
      <c r="J3317" t="s">
        <v>97</v>
      </c>
      <c r="K3317" t="s">
        <v>96</v>
      </c>
      <c r="L3317" t="s">
        <v>96</v>
      </c>
      <c r="M3317">
        <v>1543.5</v>
      </c>
      <c r="O3317" s="12" t="str">
        <f t="shared" si="116"/>
        <v>OAS</v>
      </c>
      <c r="P3317" s="12" t="str">
        <f t="shared" si="117"/>
        <v>E_SPV</v>
      </c>
    </row>
    <row r="3318" spans="1:16" x14ac:dyDescent="0.35">
      <c r="A3318" t="s">
        <v>1586</v>
      </c>
      <c r="B3318" t="s">
        <v>78</v>
      </c>
      <c r="C3318" t="s">
        <v>45</v>
      </c>
      <c r="D3318" t="s">
        <v>2208</v>
      </c>
      <c r="E3318" t="s">
        <v>96</v>
      </c>
      <c r="F3318" t="s">
        <v>96</v>
      </c>
      <c r="G3318" t="s">
        <v>96</v>
      </c>
      <c r="H3318">
        <v>2010</v>
      </c>
      <c r="I3318" t="s">
        <v>96</v>
      </c>
      <c r="J3318" t="s">
        <v>97</v>
      </c>
      <c r="K3318" t="s">
        <v>96</v>
      </c>
      <c r="L3318" t="s">
        <v>96</v>
      </c>
      <c r="M3318">
        <v>1430</v>
      </c>
      <c r="O3318" s="12" t="str">
        <f t="shared" si="116"/>
        <v>OAS</v>
      </c>
      <c r="P3318" s="12" t="str">
        <f t="shared" si="117"/>
        <v>E_SPV</v>
      </c>
    </row>
    <row r="3319" spans="1:16" x14ac:dyDescent="0.35">
      <c r="A3319" t="s">
        <v>1586</v>
      </c>
      <c r="B3319" t="s">
        <v>78</v>
      </c>
      <c r="C3319" t="s">
        <v>45</v>
      </c>
      <c r="D3319" t="s">
        <v>2209</v>
      </c>
      <c r="E3319" t="s">
        <v>96</v>
      </c>
      <c r="F3319" t="s">
        <v>96</v>
      </c>
      <c r="G3319" t="s">
        <v>96</v>
      </c>
      <c r="H3319">
        <v>2010</v>
      </c>
      <c r="I3319" t="s">
        <v>96</v>
      </c>
      <c r="J3319" t="s">
        <v>97</v>
      </c>
      <c r="K3319" t="s">
        <v>96</v>
      </c>
      <c r="L3319" t="s">
        <v>96</v>
      </c>
      <c r="M3319">
        <v>1981.2</v>
      </c>
      <c r="O3319" s="12" t="str">
        <f t="shared" si="116"/>
        <v>OAS</v>
      </c>
      <c r="P3319" s="12" t="str">
        <f t="shared" si="117"/>
        <v>E_SPV</v>
      </c>
    </row>
    <row r="3320" spans="1:16" x14ac:dyDescent="0.35">
      <c r="A3320" t="s">
        <v>1586</v>
      </c>
      <c r="B3320" t="s">
        <v>78</v>
      </c>
      <c r="C3320" t="s">
        <v>45</v>
      </c>
      <c r="D3320" t="s">
        <v>2210</v>
      </c>
      <c r="E3320" t="s">
        <v>96</v>
      </c>
      <c r="F3320" t="s">
        <v>96</v>
      </c>
      <c r="G3320" t="s">
        <v>96</v>
      </c>
      <c r="H3320">
        <v>2010</v>
      </c>
      <c r="I3320" t="s">
        <v>96</v>
      </c>
      <c r="J3320" t="s">
        <v>97</v>
      </c>
      <c r="K3320" t="s">
        <v>96</v>
      </c>
      <c r="L3320" t="s">
        <v>96</v>
      </c>
      <c r="M3320">
        <v>1543.5</v>
      </c>
      <c r="O3320" s="12" t="str">
        <f t="shared" si="116"/>
        <v>OAS</v>
      </c>
      <c r="P3320" s="12" t="str">
        <f t="shared" si="117"/>
        <v>E_SPV</v>
      </c>
    </row>
    <row r="3321" spans="1:16" x14ac:dyDescent="0.35">
      <c r="A3321" t="s">
        <v>1586</v>
      </c>
      <c r="B3321" t="s">
        <v>78</v>
      </c>
      <c r="C3321" t="s">
        <v>45</v>
      </c>
      <c r="D3321" t="s">
        <v>2211</v>
      </c>
      <c r="E3321" t="s">
        <v>96</v>
      </c>
      <c r="F3321" t="s">
        <v>96</v>
      </c>
      <c r="G3321" t="s">
        <v>96</v>
      </c>
      <c r="H3321">
        <v>2010</v>
      </c>
      <c r="I3321" t="s">
        <v>96</v>
      </c>
      <c r="J3321" t="s">
        <v>97</v>
      </c>
      <c r="K3321" t="s">
        <v>96</v>
      </c>
      <c r="L3321" t="s">
        <v>96</v>
      </c>
      <c r="M3321">
        <v>1456</v>
      </c>
      <c r="O3321" s="12" t="str">
        <f t="shared" si="116"/>
        <v>OAS</v>
      </c>
      <c r="P3321" s="12" t="str">
        <f t="shared" si="117"/>
        <v>E_SPV</v>
      </c>
    </row>
    <row r="3322" spans="1:16" x14ac:dyDescent="0.35">
      <c r="A3322" t="s">
        <v>1586</v>
      </c>
      <c r="B3322" t="s">
        <v>78</v>
      </c>
      <c r="C3322" t="s">
        <v>45</v>
      </c>
      <c r="D3322" t="s">
        <v>2212</v>
      </c>
      <c r="E3322" t="s">
        <v>96</v>
      </c>
      <c r="F3322" t="s">
        <v>96</v>
      </c>
      <c r="G3322" t="s">
        <v>96</v>
      </c>
      <c r="H3322">
        <v>2010</v>
      </c>
      <c r="I3322" t="s">
        <v>96</v>
      </c>
      <c r="J3322" t="s">
        <v>97</v>
      </c>
      <c r="K3322" t="s">
        <v>96</v>
      </c>
      <c r="L3322" t="s">
        <v>96</v>
      </c>
      <c r="M3322">
        <v>1543.5</v>
      </c>
      <c r="O3322" s="12" t="str">
        <f t="shared" si="116"/>
        <v>OAS</v>
      </c>
      <c r="P3322" s="12" t="str">
        <f t="shared" si="117"/>
        <v>E_SPV</v>
      </c>
    </row>
    <row r="3323" spans="1:16" x14ac:dyDescent="0.35">
      <c r="A3323" t="s">
        <v>1586</v>
      </c>
      <c r="B3323" t="s">
        <v>78</v>
      </c>
      <c r="C3323" t="s">
        <v>45</v>
      </c>
      <c r="D3323" t="s">
        <v>2213</v>
      </c>
      <c r="E3323" t="s">
        <v>96</v>
      </c>
      <c r="F3323" t="s">
        <v>96</v>
      </c>
      <c r="G3323" t="s">
        <v>96</v>
      </c>
      <c r="H3323">
        <v>2010</v>
      </c>
      <c r="I3323" t="s">
        <v>96</v>
      </c>
      <c r="J3323" t="s">
        <v>97</v>
      </c>
      <c r="K3323" t="s">
        <v>96</v>
      </c>
      <c r="L3323" t="s">
        <v>96</v>
      </c>
      <c r="M3323">
        <v>1543.5</v>
      </c>
      <c r="O3323" s="12" t="str">
        <f t="shared" si="116"/>
        <v>OAS</v>
      </c>
      <c r="P3323" s="12" t="str">
        <f t="shared" si="117"/>
        <v>E_SPV</v>
      </c>
    </row>
    <row r="3324" spans="1:16" x14ac:dyDescent="0.35">
      <c r="A3324" t="s">
        <v>1586</v>
      </c>
      <c r="B3324" t="s">
        <v>78</v>
      </c>
      <c r="C3324" t="s">
        <v>45</v>
      </c>
      <c r="D3324" t="s">
        <v>2214</v>
      </c>
      <c r="E3324" t="s">
        <v>96</v>
      </c>
      <c r="F3324" t="s">
        <v>96</v>
      </c>
      <c r="G3324" t="s">
        <v>96</v>
      </c>
      <c r="H3324">
        <v>2010</v>
      </c>
      <c r="I3324" t="s">
        <v>96</v>
      </c>
      <c r="J3324" t="s">
        <v>97</v>
      </c>
      <c r="K3324" t="s">
        <v>96</v>
      </c>
      <c r="L3324" t="s">
        <v>96</v>
      </c>
      <c r="M3324">
        <v>1430</v>
      </c>
      <c r="O3324" s="12" t="str">
        <f t="shared" si="116"/>
        <v>OAS</v>
      </c>
      <c r="P3324" s="12" t="str">
        <f t="shared" si="117"/>
        <v>E_SPV</v>
      </c>
    </row>
    <row r="3325" spans="1:16" x14ac:dyDescent="0.35">
      <c r="A3325" t="s">
        <v>1586</v>
      </c>
      <c r="B3325" t="s">
        <v>78</v>
      </c>
      <c r="C3325" t="s">
        <v>45</v>
      </c>
      <c r="D3325" t="s">
        <v>2215</v>
      </c>
      <c r="E3325" t="s">
        <v>96</v>
      </c>
      <c r="F3325" t="s">
        <v>96</v>
      </c>
      <c r="G3325" t="s">
        <v>96</v>
      </c>
      <c r="H3325">
        <v>2010</v>
      </c>
      <c r="I3325" t="s">
        <v>96</v>
      </c>
      <c r="J3325" t="s">
        <v>97</v>
      </c>
      <c r="K3325" t="s">
        <v>96</v>
      </c>
      <c r="L3325" t="s">
        <v>96</v>
      </c>
      <c r="M3325">
        <v>1469</v>
      </c>
      <c r="O3325" s="12" t="str">
        <f t="shared" si="116"/>
        <v>OAS</v>
      </c>
      <c r="P3325" s="12" t="str">
        <f t="shared" si="117"/>
        <v>E_SPV</v>
      </c>
    </row>
    <row r="3326" spans="1:16" x14ac:dyDescent="0.35">
      <c r="A3326" t="s">
        <v>1586</v>
      </c>
      <c r="B3326" t="s">
        <v>78</v>
      </c>
      <c r="C3326" t="s">
        <v>45</v>
      </c>
      <c r="D3326" t="s">
        <v>2216</v>
      </c>
      <c r="E3326" t="s">
        <v>96</v>
      </c>
      <c r="F3326" t="s">
        <v>96</v>
      </c>
      <c r="G3326" t="s">
        <v>96</v>
      </c>
      <c r="H3326">
        <v>2010</v>
      </c>
      <c r="I3326" t="s">
        <v>96</v>
      </c>
      <c r="J3326" t="s">
        <v>97</v>
      </c>
      <c r="K3326" t="s">
        <v>96</v>
      </c>
      <c r="L3326" t="s">
        <v>96</v>
      </c>
      <c r="M3326">
        <v>1543.5</v>
      </c>
      <c r="O3326" s="12" t="str">
        <f t="shared" si="116"/>
        <v>OAS</v>
      </c>
      <c r="P3326" s="12" t="str">
        <f t="shared" si="117"/>
        <v>E_SPV</v>
      </c>
    </row>
    <row r="3327" spans="1:16" x14ac:dyDescent="0.35">
      <c r="A3327" t="s">
        <v>1586</v>
      </c>
      <c r="B3327" t="s">
        <v>78</v>
      </c>
      <c r="C3327" t="s">
        <v>45</v>
      </c>
      <c r="D3327" t="s">
        <v>2217</v>
      </c>
      <c r="E3327" t="s">
        <v>96</v>
      </c>
      <c r="F3327" t="s">
        <v>96</v>
      </c>
      <c r="G3327" t="s">
        <v>96</v>
      </c>
      <c r="H3327">
        <v>2010</v>
      </c>
      <c r="I3327" t="s">
        <v>96</v>
      </c>
      <c r="J3327" t="s">
        <v>97</v>
      </c>
      <c r="K3327" t="s">
        <v>96</v>
      </c>
      <c r="L3327" t="s">
        <v>96</v>
      </c>
      <c r="M3327">
        <v>1543.5</v>
      </c>
      <c r="O3327" s="12" t="str">
        <f t="shared" si="116"/>
        <v>OAS</v>
      </c>
      <c r="P3327" s="12" t="str">
        <f t="shared" si="117"/>
        <v>E_SPV</v>
      </c>
    </row>
    <row r="3328" spans="1:16" x14ac:dyDescent="0.35">
      <c r="A3328" t="s">
        <v>1586</v>
      </c>
      <c r="B3328" t="s">
        <v>78</v>
      </c>
      <c r="C3328" t="s">
        <v>45</v>
      </c>
      <c r="D3328" t="s">
        <v>2218</v>
      </c>
      <c r="E3328" t="s">
        <v>96</v>
      </c>
      <c r="F3328" t="s">
        <v>96</v>
      </c>
      <c r="G3328" t="s">
        <v>96</v>
      </c>
      <c r="H3328">
        <v>2010</v>
      </c>
      <c r="I3328" t="s">
        <v>96</v>
      </c>
      <c r="J3328" t="s">
        <v>97</v>
      </c>
      <c r="K3328" t="s">
        <v>96</v>
      </c>
      <c r="L3328" t="s">
        <v>96</v>
      </c>
      <c r="M3328">
        <v>1543.5</v>
      </c>
      <c r="O3328" s="12" t="str">
        <f t="shared" si="116"/>
        <v>OAS</v>
      </c>
      <c r="P3328" s="12" t="str">
        <f t="shared" si="117"/>
        <v>E_SPV</v>
      </c>
    </row>
    <row r="3329" spans="1:16" x14ac:dyDescent="0.35">
      <c r="A3329" t="s">
        <v>1586</v>
      </c>
      <c r="B3329" t="s">
        <v>78</v>
      </c>
      <c r="C3329" t="s">
        <v>45</v>
      </c>
      <c r="D3329" t="s">
        <v>2219</v>
      </c>
      <c r="E3329" t="s">
        <v>96</v>
      </c>
      <c r="F3329" t="s">
        <v>96</v>
      </c>
      <c r="G3329" t="s">
        <v>96</v>
      </c>
      <c r="H3329">
        <v>2010</v>
      </c>
      <c r="I3329" t="s">
        <v>96</v>
      </c>
      <c r="J3329" t="s">
        <v>97</v>
      </c>
      <c r="K3329" t="s">
        <v>96</v>
      </c>
      <c r="L3329" t="s">
        <v>96</v>
      </c>
      <c r="M3329">
        <v>1543.5</v>
      </c>
      <c r="O3329" s="12" t="str">
        <f t="shared" si="116"/>
        <v>OAS</v>
      </c>
      <c r="P3329" s="12" t="str">
        <f t="shared" si="117"/>
        <v>E_SPV</v>
      </c>
    </row>
    <row r="3330" spans="1:16" x14ac:dyDescent="0.35">
      <c r="A3330" t="s">
        <v>1586</v>
      </c>
      <c r="B3330" t="s">
        <v>78</v>
      </c>
      <c r="C3330" t="s">
        <v>45</v>
      </c>
      <c r="D3330" t="s">
        <v>2220</v>
      </c>
      <c r="E3330" t="s">
        <v>96</v>
      </c>
      <c r="F3330" t="s">
        <v>96</v>
      </c>
      <c r="G3330" t="s">
        <v>96</v>
      </c>
      <c r="H3330">
        <v>2010</v>
      </c>
      <c r="I3330" t="s">
        <v>96</v>
      </c>
      <c r="J3330" t="s">
        <v>97</v>
      </c>
      <c r="K3330" t="s">
        <v>96</v>
      </c>
      <c r="L3330" t="s">
        <v>96</v>
      </c>
      <c r="M3330">
        <v>1495</v>
      </c>
      <c r="O3330" s="12" t="str">
        <f t="shared" si="116"/>
        <v>OAS</v>
      </c>
      <c r="P3330" s="12" t="str">
        <f t="shared" si="117"/>
        <v>E_SPV</v>
      </c>
    </row>
    <row r="3331" spans="1:16" x14ac:dyDescent="0.35">
      <c r="A3331" t="s">
        <v>1586</v>
      </c>
      <c r="B3331" t="s">
        <v>78</v>
      </c>
      <c r="C3331" t="s">
        <v>45</v>
      </c>
      <c r="D3331" t="s">
        <v>2221</v>
      </c>
      <c r="E3331" t="s">
        <v>96</v>
      </c>
      <c r="F3331" t="s">
        <v>96</v>
      </c>
      <c r="G3331" t="s">
        <v>96</v>
      </c>
      <c r="H3331">
        <v>2010</v>
      </c>
      <c r="I3331" t="s">
        <v>96</v>
      </c>
      <c r="J3331" t="s">
        <v>97</v>
      </c>
      <c r="K3331" t="s">
        <v>96</v>
      </c>
      <c r="L3331" t="s">
        <v>96</v>
      </c>
      <c r="M3331">
        <v>1543.5</v>
      </c>
      <c r="O3331" s="12" t="str">
        <f t="shared" ref="O3331:O3394" si="118">LEFT(B3331,3)</f>
        <v>OAS</v>
      </c>
      <c r="P3331" s="12" t="str">
        <f t="shared" ref="P3331:P3394" si="119">LEFT(D3331,5)</f>
        <v>E_SPV</v>
      </c>
    </row>
    <row r="3332" spans="1:16" x14ac:dyDescent="0.35">
      <c r="A3332" t="s">
        <v>1586</v>
      </c>
      <c r="B3332" t="s">
        <v>78</v>
      </c>
      <c r="C3332" t="s">
        <v>45</v>
      </c>
      <c r="D3332" t="s">
        <v>2222</v>
      </c>
      <c r="E3332" t="s">
        <v>96</v>
      </c>
      <c r="F3332" t="s">
        <v>96</v>
      </c>
      <c r="G3332" t="s">
        <v>96</v>
      </c>
      <c r="H3332">
        <v>2010</v>
      </c>
      <c r="I3332" t="s">
        <v>96</v>
      </c>
      <c r="J3332" t="s">
        <v>97</v>
      </c>
      <c r="K3332" t="s">
        <v>96</v>
      </c>
      <c r="L3332" t="s">
        <v>96</v>
      </c>
      <c r="M3332">
        <v>1543.5</v>
      </c>
      <c r="O3332" s="12" t="str">
        <f t="shared" si="118"/>
        <v>OAS</v>
      </c>
      <c r="P3332" s="12" t="str">
        <f t="shared" si="119"/>
        <v>E_SPV</v>
      </c>
    </row>
    <row r="3333" spans="1:16" x14ac:dyDescent="0.35">
      <c r="A3333" t="s">
        <v>1586</v>
      </c>
      <c r="B3333" t="s">
        <v>78</v>
      </c>
      <c r="C3333" t="s">
        <v>45</v>
      </c>
      <c r="D3333" t="s">
        <v>2223</v>
      </c>
      <c r="E3333" t="s">
        <v>96</v>
      </c>
      <c r="F3333" t="s">
        <v>96</v>
      </c>
      <c r="G3333" t="s">
        <v>96</v>
      </c>
      <c r="H3333">
        <v>2010</v>
      </c>
      <c r="I3333" t="s">
        <v>96</v>
      </c>
      <c r="J3333" t="s">
        <v>97</v>
      </c>
      <c r="K3333" t="s">
        <v>96</v>
      </c>
      <c r="L3333" t="s">
        <v>96</v>
      </c>
      <c r="M3333">
        <v>1543.5</v>
      </c>
      <c r="O3333" s="12" t="str">
        <f t="shared" si="118"/>
        <v>OAS</v>
      </c>
      <c r="P3333" s="12" t="str">
        <f t="shared" si="119"/>
        <v>E_SPV</v>
      </c>
    </row>
    <row r="3334" spans="1:16" x14ac:dyDescent="0.35">
      <c r="A3334" t="s">
        <v>1586</v>
      </c>
      <c r="B3334" t="s">
        <v>78</v>
      </c>
      <c r="C3334" t="s">
        <v>45</v>
      </c>
      <c r="D3334" t="s">
        <v>2224</v>
      </c>
      <c r="E3334" t="s">
        <v>96</v>
      </c>
      <c r="F3334" t="s">
        <v>96</v>
      </c>
      <c r="G3334" t="s">
        <v>96</v>
      </c>
      <c r="H3334">
        <v>2010</v>
      </c>
      <c r="I3334" t="s">
        <v>96</v>
      </c>
      <c r="J3334" t="s">
        <v>97</v>
      </c>
      <c r="K3334" t="s">
        <v>96</v>
      </c>
      <c r="L3334" t="s">
        <v>96</v>
      </c>
      <c r="M3334">
        <v>1543.5</v>
      </c>
      <c r="O3334" s="12" t="str">
        <f t="shared" si="118"/>
        <v>OAS</v>
      </c>
      <c r="P3334" s="12" t="str">
        <f t="shared" si="119"/>
        <v>E_SPV</v>
      </c>
    </row>
    <row r="3335" spans="1:16" x14ac:dyDescent="0.35">
      <c r="A3335" t="s">
        <v>1586</v>
      </c>
      <c r="B3335" t="s">
        <v>78</v>
      </c>
      <c r="C3335" t="s">
        <v>45</v>
      </c>
      <c r="D3335" t="s">
        <v>2225</v>
      </c>
      <c r="E3335" t="s">
        <v>96</v>
      </c>
      <c r="F3335" t="s">
        <v>96</v>
      </c>
      <c r="G3335" t="s">
        <v>96</v>
      </c>
      <c r="H3335">
        <v>2010</v>
      </c>
      <c r="I3335" t="s">
        <v>96</v>
      </c>
      <c r="J3335" t="s">
        <v>97</v>
      </c>
      <c r="K3335" t="s">
        <v>96</v>
      </c>
      <c r="L3335" t="s">
        <v>96</v>
      </c>
      <c r="M3335">
        <v>1543.5</v>
      </c>
      <c r="O3335" s="12" t="str">
        <f t="shared" si="118"/>
        <v>OAS</v>
      </c>
      <c r="P3335" s="12" t="str">
        <f t="shared" si="119"/>
        <v>E_SPV</v>
      </c>
    </row>
    <row r="3336" spans="1:16" x14ac:dyDescent="0.35">
      <c r="A3336" t="s">
        <v>1586</v>
      </c>
      <c r="B3336" t="s">
        <v>78</v>
      </c>
      <c r="C3336" t="s">
        <v>45</v>
      </c>
      <c r="D3336" t="s">
        <v>2226</v>
      </c>
      <c r="E3336" t="s">
        <v>96</v>
      </c>
      <c r="F3336" t="s">
        <v>96</v>
      </c>
      <c r="G3336" t="s">
        <v>96</v>
      </c>
      <c r="H3336">
        <v>2010</v>
      </c>
      <c r="I3336" t="s">
        <v>96</v>
      </c>
      <c r="J3336" t="s">
        <v>97</v>
      </c>
      <c r="K3336" t="s">
        <v>96</v>
      </c>
      <c r="L3336" t="s">
        <v>96</v>
      </c>
      <c r="M3336">
        <v>1430</v>
      </c>
      <c r="O3336" s="12" t="str">
        <f t="shared" si="118"/>
        <v>OAS</v>
      </c>
      <c r="P3336" s="12" t="str">
        <f t="shared" si="119"/>
        <v>E_SPV</v>
      </c>
    </row>
    <row r="3337" spans="1:16" x14ac:dyDescent="0.35">
      <c r="A3337" t="s">
        <v>1586</v>
      </c>
      <c r="B3337" t="s">
        <v>78</v>
      </c>
      <c r="C3337" t="s">
        <v>45</v>
      </c>
      <c r="D3337" t="s">
        <v>2227</v>
      </c>
      <c r="E3337" t="s">
        <v>96</v>
      </c>
      <c r="F3337" t="s">
        <v>96</v>
      </c>
      <c r="G3337" t="s">
        <v>96</v>
      </c>
      <c r="H3337">
        <v>2010</v>
      </c>
      <c r="I3337" t="s">
        <v>96</v>
      </c>
      <c r="J3337" t="s">
        <v>97</v>
      </c>
      <c r="K3337" t="s">
        <v>96</v>
      </c>
      <c r="L3337" t="s">
        <v>96</v>
      </c>
      <c r="M3337">
        <v>1981.2</v>
      </c>
      <c r="O3337" s="12" t="str">
        <f t="shared" si="118"/>
        <v>OAS</v>
      </c>
      <c r="P3337" s="12" t="str">
        <f t="shared" si="119"/>
        <v>E_SPV</v>
      </c>
    </row>
    <row r="3338" spans="1:16" x14ac:dyDescent="0.35">
      <c r="A3338" t="s">
        <v>1586</v>
      </c>
      <c r="B3338" t="s">
        <v>78</v>
      </c>
      <c r="C3338" t="s">
        <v>45</v>
      </c>
      <c r="D3338" t="s">
        <v>2228</v>
      </c>
      <c r="E3338" t="s">
        <v>96</v>
      </c>
      <c r="F3338" t="s">
        <v>96</v>
      </c>
      <c r="G3338" t="s">
        <v>96</v>
      </c>
      <c r="H3338">
        <v>2010</v>
      </c>
      <c r="I3338" t="s">
        <v>96</v>
      </c>
      <c r="J3338" t="s">
        <v>97</v>
      </c>
      <c r="K3338" t="s">
        <v>96</v>
      </c>
      <c r="L3338" t="s">
        <v>96</v>
      </c>
      <c r="M3338">
        <v>1543.5</v>
      </c>
      <c r="O3338" s="12" t="str">
        <f t="shared" si="118"/>
        <v>OAS</v>
      </c>
      <c r="P3338" s="12" t="str">
        <f t="shared" si="119"/>
        <v>E_SPV</v>
      </c>
    </row>
    <row r="3339" spans="1:16" x14ac:dyDescent="0.35">
      <c r="A3339" t="s">
        <v>1586</v>
      </c>
      <c r="B3339" t="s">
        <v>78</v>
      </c>
      <c r="C3339" t="s">
        <v>45</v>
      </c>
      <c r="D3339" t="s">
        <v>2229</v>
      </c>
      <c r="E3339" t="s">
        <v>96</v>
      </c>
      <c r="F3339" t="s">
        <v>96</v>
      </c>
      <c r="G3339" t="s">
        <v>96</v>
      </c>
      <c r="H3339">
        <v>2010</v>
      </c>
      <c r="I3339" t="s">
        <v>96</v>
      </c>
      <c r="J3339" t="s">
        <v>97</v>
      </c>
      <c r="K3339" t="s">
        <v>96</v>
      </c>
      <c r="L3339" t="s">
        <v>96</v>
      </c>
      <c r="M3339">
        <v>1456</v>
      </c>
      <c r="O3339" s="12" t="str">
        <f t="shared" si="118"/>
        <v>OAS</v>
      </c>
      <c r="P3339" s="12" t="str">
        <f t="shared" si="119"/>
        <v>E_SPV</v>
      </c>
    </row>
    <row r="3340" spans="1:16" x14ac:dyDescent="0.35">
      <c r="A3340" t="s">
        <v>1586</v>
      </c>
      <c r="B3340" t="s">
        <v>78</v>
      </c>
      <c r="C3340" t="s">
        <v>45</v>
      </c>
      <c r="D3340" t="s">
        <v>2230</v>
      </c>
      <c r="E3340" t="s">
        <v>96</v>
      </c>
      <c r="F3340" t="s">
        <v>96</v>
      </c>
      <c r="G3340" t="s">
        <v>96</v>
      </c>
      <c r="H3340">
        <v>2010</v>
      </c>
      <c r="I3340" t="s">
        <v>96</v>
      </c>
      <c r="J3340" t="s">
        <v>97</v>
      </c>
      <c r="K3340" t="s">
        <v>96</v>
      </c>
      <c r="L3340" t="s">
        <v>96</v>
      </c>
      <c r="M3340">
        <v>1543.5</v>
      </c>
      <c r="O3340" s="12" t="str">
        <f t="shared" si="118"/>
        <v>OAS</v>
      </c>
      <c r="P3340" s="12" t="str">
        <f t="shared" si="119"/>
        <v>E_SPV</v>
      </c>
    </row>
    <row r="3341" spans="1:16" x14ac:dyDescent="0.35">
      <c r="A3341" t="s">
        <v>1586</v>
      </c>
      <c r="B3341" t="s">
        <v>78</v>
      </c>
      <c r="C3341" t="s">
        <v>45</v>
      </c>
      <c r="D3341" t="s">
        <v>2231</v>
      </c>
      <c r="E3341" t="s">
        <v>96</v>
      </c>
      <c r="F3341" t="s">
        <v>96</v>
      </c>
      <c r="G3341" t="s">
        <v>96</v>
      </c>
      <c r="H3341">
        <v>2010</v>
      </c>
      <c r="I3341" t="s">
        <v>96</v>
      </c>
      <c r="J3341" t="s">
        <v>97</v>
      </c>
      <c r="K3341" t="s">
        <v>96</v>
      </c>
      <c r="L3341" t="s">
        <v>96</v>
      </c>
      <c r="M3341">
        <v>1543.5</v>
      </c>
      <c r="O3341" s="12" t="str">
        <f t="shared" si="118"/>
        <v>OAS</v>
      </c>
      <c r="P3341" s="12" t="str">
        <f t="shared" si="119"/>
        <v>E_SPV</v>
      </c>
    </row>
    <row r="3342" spans="1:16" x14ac:dyDescent="0.35">
      <c r="A3342" t="s">
        <v>1586</v>
      </c>
      <c r="B3342" t="s">
        <v>78</v>
      </c>
      <c r="C3342" t="s">
        <v>45</v>
      </c>
      <c r="D3342" t="s">
        <v>2232</v>
      </c>
      <c r="E3342" t="s">
        <v>96</v>
      </c>
      <c r="F3342" t="s">
        <v>96</v>
      </c>
      <c r="G3342" t="s">
        <v>96</v>
      </c>
      <c r="H3342">
        <v>2010</v>
      </c>
      <c r="I3342" t="s">
        <v>96</v>
      </c>
      <c r="J3342" t="s">
        <v>97</v>
      </c>
      <c r="K3342" t="s">
        <v>96</v>
      </c>
      <c r="L3342" t="s">
        <v>96</v>
      </c>
      <c r="M3342">
        <v>1430</v>
      </c>
      <c r="O3342" s="12" t="str">
        <f t="shared" si="118"/>
        <v>OAS</v>
      </c>
      <c r="P3342" s="12" t="str">
        <f t="shared" si="119"/>
        <v>E_SPV</v>
      </c>
    </row>
    <row r="3343" spans="1:16" x14ac:dyDescent="0.35">
      <c r="A3343" t="s">
        <v>1586</v>
      </c>
      <c r="B3343" t="s">
        <v>78</v>
      </c>
      <c r="C3343" t="s">
        <v>45</v>
      </c>
      <c r="D3343" t="s">
        <v>2233</v>
      </c>
      <c r="E3343" t="s">
        <v>96</v>
      </c>
      <c r="F3343" t="s">
        <v>96</v>
      </c>
      <c r="G3343" t="s">
        <v>96</v>
      </c>
      <c r="H3343">
        <v>2010</v>
      </c>
      <c r="I3343" t="s">
        <v>96</v>
      </c>
      <c r="J3343" t="s">
        <v>97</v>
      </c>
      <c r="K3343" t="s">
        <v>96</v>
      </c>
      <c r="L3343" t="s">
        <v>96</v>
      </c>
      <c r="M3343">
        <v>1469</v>
      </c>
      <c r="O3343" s="12" t="str">
        <f t="shared" si="118"/>
        <v>OAS</v>
      </c>
      <c r="P3343" s="12" t="str">
        <f t="shared" si="119"/>
        <v>E_SPV</v>
      </c>
    </row>
    <row r="3344" spans="1:16" x14ac:dyDescent="0.35">
      <c r="A3344" t="s">
        <v>1586</v>
      </c>
      <c r="B3344" t="s">
        <v>78</v>
      </c>
      <c r="C3344" t="s">
        <v>45</v>
      </c>
      <c r="D3344" t="s">
        <v>2234</v>
      </c>
      <c r="E3344" t="s">
        <v>96</v>
      </c>
      <c r="F3344" t="s">
        <v>96</v>
      </c>
      <c r="G3344" t="s">
        <v>96</v>
      </c>
      <c r="H3344">
        <v>2010</v>
      </c>
      <c r="I3344" t="s">
        <v>96</v>
      </c>
      <c r="J3344" t="s">
        <v>97</v>
      </c>
      <c r="K3344" t="s">
        <v>96</v>
      </c>
      <c r="L3344" t="s">
        <v>96</v>
      </c>
      <c r="M3344">
        <v>1543.5</v>
      </c>
      <c r="O3344" s="12" t="str">
        <f t="shared" si="118"/>
        <v>OAS</v>
      </c>
      <c r="P3344" s="12" t="str">
        <f t="shared" si="119"/>
        <v>E_SPV</v>
      </c>
    </row>
    <row r="3345" spans="1:16" x14ac:dyDescent="0.35">
      <c r="A3345" t="s">
        <v>1586</v>
      </c>
      <c r="B3345" t="s">
        <v>78</v>
      </c>
      <c r="C3345" t="s">
        <v>45</v>
      </c>
      <c r="D3345" t="s">
        <v>2235</v>
      </c>
      <c r="E3345" t="s">
        <v>96</v>
      </c>
      <c r="F3345" t="s">
        <v>96</v>
      </c>
      <c r="G3345" t="s">
        <v>96</v>
      </c>
      <c r="H3345">
        <v>2010</v>
      </c>
      <c r="I3345" t="s">
        <v>96</v>
      </c>
      <c r="J3345" t="s">
        <v>97</v>
      </c>
      <c r="K3345" t="s">
        <v>96</v>
      </c>
      <c r="L3345" t="s">
        <v>96</v>
      </c>
      <c r="M3345">
        <v>1543.5</v>
      </c>
      <c r="O3345" s="12" t="str">
        <f t="shared" si="118"/>
        <v>OAS</v>
      </c>
      <c r="P3345" s="12" t="str">
        <f t="shared" si="119"/>
        <v>E_SPV</v>
      </c>
    </row>
    <row r="3346" spans="1:16" x14ac:dyDescent="0.35">
      <c r="A3346" t="s">
        <v>1586</v>
      </c>
      <c r="B3346" t="s">
        <v>78</v>
      </c>
      <c r="C3346" t="s">
        <v>45</v>
      </c>
      <c r="D3346" t="s">
        <v>2236</v>
      </c>
      <c r="E3346" t="s">
        <v>96</v>
      </c>
      <c r="F3346" t="s">
        <v>96</v>
      </c>
      <c r="G3346" t="s">
        <v>96</v>
      </c>
      <c r="H3346">
        <v>2010</v>
      </c>
      <c r="I3346" t="s">
        <v>96</v>
      </c>
      <c r="J3346" t="s">
        <v>97</v>
      </c>
      <c r="K3346" t="s">
        <v>96</v>
      </c>
      <c r="L3346" t="s">
        <v>96</v>
      </c>
      <c r="M3346">
        <v>1543.5</v>
      </c>
      <c r="O3346" s="12" t="str">
        <f t="shared" si="118"/>
        <v>OAS</v>
      </c>
      <c r="P3346" s="12" t="str">
        <f t="shared" si="119"/>
        <v>E_SPV</v>
      </c>
    </row>
    <row r="3347" spans="1:16" x14ac:dyDescent="0.35">
      <c r="A3347" t="s">
        <v>1586</v>
      </c>
      <c r="B3347" t="s">
        <v>78</v>
      </c>
      <c r="C3347" t="s">
        <v>45</v>
      </c>
      <c r="D3347" t="s">
        <v>2237</v>
      </c>
      <c r="E3347" t="s">
        <v>96</v>
      </c>
      <c r="F3347" t="s">
        <v>96</v>
      </c>
      <c r="G3347" t="s">
        <v>96</v>
      </c>
      <c r="H3347">
        <v>2010</v>
      </c>
      <c r="I3347" t="s">
        <v>96</v>
      </c>
      <c r="J3347" t="s">
        <v>97</v>
      </c>
      <c r="K3347" t="s">
        <v>96</v>
      </c>
      <c r="L3347" t="s">
        <v>96</v>
      </c>
      <c r="M3347">
        <v>1543.5</v>
      </c>
      <c r="O3347" s="12" t="str">
        <f t="shared" si="118"/>
        <v>OAS</v>
      </c>
      <c r="P3347" s="12" t="str">
        <f t="shared" si="119"/>
        <v>E_SPV</v>
      </c>
    </row>
    <row r="3348" spans="1:16" x14ac:dyDescent="0.35">
      <c r="A3348" t="s">
        <v>1586</v>
      </c>
      <c r="B3348" t="s">
        <v>78</v>
      </c>
      <c r="C3348" t="s">
        <v>45</v>
      </c>
      <c r="D3348" t="s">
        <v>2238</v>
      </c>
      <c r="E3348" t="s">
        <v>96</v>
      </c>
      <c r="F3348" t="s">
        <v>96</v>
      </c>
      <c r="G3348" t="s">
        <v>96</v>
      </c>
      <c r="H3348">
        <v>2010</v>
      </c>
      <c r="I3348" t="s">
        <v>96</v>
      </c>
      <c r="J3348" t="s">
        <v>97</v>
      </c>
      <c r="K3348" t="s">
        <v>96</v>
      </c>
      <c r="L3348" t="s">
        <v>96</v>
      </c>
      <c r="M3348">
        <v>1495</v>
      </c>
      <c r="O3348" s="12" t="str">
        <f t="shared" si="118"/>
        <v>OAS</v>
      </c>
      <c r="P3348" s="12" t="str">
        <f t="shared" si="119"/>
        <v>E_SPV</v>
      </c>
    </row>
    <row r="3349" spans="1:16" x14ac:dyDescent="0.35">
      <c r="A3349" t="s">
        <v>1586</v>
      </c>
      <c r="B3349" t="s">
        <v>78</v>
      </c>
      <c r="C3349" t="s">
        <v>45</v>
      </c>
      <c r="D3349" t="s">
        <v>2239</v>
      </c>
      <c r="E3349" t="s">
        <v>96</v>
      </c>
      <c r="F3349" t="s">
        <v>96</v>
      </c>
      <c r="G3349" t="s">
        <v>96</v>
      </c>
      <c r="H3349">
        <v>2010</v>
      </c>
      <c r="I3349" t="s">
        <v>96</v>
      </c>
      <c r="J3349" t="s">
        <v>97</v>
      </c>
      <c r="K3349" t="s">
        <v>96</v>
      </c>
      <c r="L3349" t="s">
        <v>96</v>
      </c>
      <c r="M3349">
        <v>1543.5</v>
      </c>
      <c r="O3349" s="12" t="str">
        <f t="shared" si="118"/>
        <v>OAS</v>
      </c>
      <c r="P3349" s="12" t="str">
        <f t="shared" si="119"/>
        <v>E_SPV</v>
      </c>
    </row>
    <row r="3350" spans="1:16" x14ac:dyDescent="0.35">
      <c r="A3350" t="s">
        <v>1586</v>
      </c>
      <c r="B3350" t="s">
        <v>78</v>
      </c>
      <c r="C3350" t="s">
        <v>45</v>
      </c>
      <c r="D3350" t="s">
        <v>2240</v>
      </c>
      <c r="E3350" t="s">
        <v>96</v>
      </c>
      <c r="F3350" t="s">
        <v>96</v>
      </c>
      <c r="G3350" t="s">
        <v>96</v>
      </c>
      <c r="H3350">
        <v>2010</v>
      </c>
      <c r="I3350" t="s">
        <v>96</v>
      </c>
      <c r="J3350" t="s">
        <v>97</v>
      </c>
      <c r="K3350" t="s">
        <v>96</v>
      </c>
      <c r="L3350" t="s">
        <v>96</v>
      </c>
      <c r="M3350">
        <v>1543.5</v>
      </c>
      <c r="O3350" s="12" t="str">
        <f t="shared" si="118"/>
        <v>OAS</v>
      </c>
      <c r="P3350" s="12" t="str">
        <f t="shared" si="119"/>
        <v>E_SPV</v>
      </c>
    </row>
    <row r="3351" spans="1:16" x14ac:dyDescent="0.35">
      <c r="A3351" t="s">
        <v>1586</v>
      </c>
      <c r="B3351" t="s">
        <v>78</v>
      </c>
      <c r="C3351" t="s">
        <v>45</v>
      </c>
      <c r="D3351" t="s">
        <v>2241</v>
      </c>
      <c r="E3351" t="s">
        <v>96</v>
      </c>
      <c r="F3351" t="s">
        <v>96</v>
      </c>
      <c r="G3351" t="s">
        <v>96</v>
      </c>
      <c r="H3351">
        <v>2010</v>
      </c>
      <c r="I3351" t="s">
        <v>96</v>
      </c>
      <c r="J3351" t="s">
        <v>97</v>
      </c>
      <c r="K3351" t="s">
        <v>96</v>
      </c>
      <c r="L3351" t="s">
        <v>96</v>
      </c>
      <c r="M3351">
        <v>1543.5</v>
      </c>
      <c r="O3351" s="12" t="str">
        <f t="shared" si="118"/>
        <v>OAS</v>
      </c>
      <c r="P3351" s="12" t="str">
        <f t="shared" si="119"/>
        <v>E_SPV</v>
      </c>
    </row>
    <row r="3352" spans="1:16" x14ac:dyDescent="0.35">
      <c r="A3352" t="s">
        <v>1586</v>
      </c>
      <c r="B3352" t="s">
        <v>78</v>
      </c>
      <c r="C3352" t="s">
        <v>45</v>
      </c>
      <c r="D3352" t="s">
        <v>2242</v>
      </c>
      <c r="E3352" t="s">
        <v>96</v>
      </c>
      <c r="F3352" t="s">
        <v>96</v>
      </c>
      <c r="G3352" t="s">
        <v>96</v>
      </c>
      <c r="H3352">
        <v>2010</v>
      </c>
      <c r="I3352" t="s">
        <v>96</v>
      </c>
      <c r="J3352" t="s">
        <v>97</v>
      </c>
      <c r="K3352" t="s">
        <v>96</v>
      </c>
      <c r="L3352" t="s">
        <v>96</v>
      </c>
      <c r="M3352">
        <v>1543.5</v>
      </c>
      <c r="O3352" s="12" t="str">
        <f t="shared" si="118"/>
        <v>OAS</v>
      </c>
      <c r="P3352" s="12" t="str">
        <f t="shared" si="119"/>
        <v>E_SPV</v>
      </c>
    </row>
    <row r="3353" spans="1:16" x14ac:dyDescent="0.35">
      <c r="A3353" t="s">
        <v>1586</v>
      </c>
      <c r="B3353" t="s">
        <v>78</v>
      </c>
      <c r="C3353" t="s">
        <v>45</v>
      </c>
      <c r="D3353" t="s">
        <v>2243</v>
      </c>
      <c r="E3353" t="s">
        <v>96</v>
      </c>
      <c r="F3353" t="s">
        <v>96</v>
      </c>
      <c r="G3353" t="s">
        <v>96</v>
      </c>
      <c r="H3353">
        <v>2010</v>
      </c>
      <c r="I3353" t="s">
        <v>96</v>
      </c>
      <c r="J3353" t="s">
        <v>97</v>
      </c>
      <c r="K3353" t="s">
        <v>96</v>
      </c>
      <c r="L3353" t="s">
        <v>96</v>
      </c>
      <c r="M3353">
        <v>1430</v>
      </c>
      <c r="O3353" s="12" t="str">
        <f t="shared" si="118"/>
        <v>OAS</v>
      </c>
      <c r="P3353" s="12" t="str">
        <f t="shared" si="119"/>
        <v>E_SPV</v>
      </c>
    </row>
    <row r="3354" spans="1:16" x14ac:dyDescent="0.35">
      <c r="A3354" t="s">
        <v>1586</v>
      </c>
      <c r="B3354" t="s">
        <v>78</v>
      </c>
      <c r="C3354" t="s">
        <v>45</v>
      </c>
      <c r="D3354" t="s">
        <v>2244</v>
      </c>
      <c r="E3354" t="s">
        <v>96</v>
      </c>
      <c r="F3354" t="s">
        <v>96</v>
      </c>
      <c r="G3354" t="s">
        <v>96</v>
      </c>
      <c r="H3354">
        <v>2010</v>
      </c>
      <c r="I3354" t="s">
        <v>96</v>
      </c>
      <c r="J3354" t="s">
        <v>97</v>
      </c>
      <c r="K3354" t="s">
        <v>96</v>
      </c>
      <c r="L3354" t="s">
        <v>96</v>
      </c>
      <c r="M3354">
        <v>1981.2</v>
      </c>
      <c r="O3354" s="12" t="str">
        <f t="shared" si="118"/>
        <v>OAS</v>
      </c>
      <c r="P3354" s="12" t="str">
        <f t="shared" si="119"/>
        <v>E_SPV</v>
      </c>
    </row>
    <row r="3355" spans="1:16" x14ac:dyDescent="0.35">
      <c r="A3355" t="s">
        <v>1586</v>
      </c>
      <c r="B3355" t="s">
        <v>78</v>
      </c>
      <c r="C3355" t="s">
        <v>45</v>
      </c>
      <c r="D3355" t="s">
        <v>2245</v>
      </c>
      <c r="E3355" t="s">
        <v>96</v>
      </c>
      <c r="F3355" t="s">
        <v>96</v>
      </c>
      <c r="G3355" t="s">
        <v>96</v>
      </c>
      <c r="H3355">
        <v>2010</v>
      </c>
      <c r="I3355" t="s">
        <v>96</v>
      </c>
      <c r="J3355" t="s">
        <v>97</v>
      </c>
      <c r="K3355" t="s">
        <v>96</v>
      </c>
      <c r="L3355" t="s">
        <v>96</v>
      </c>
      <c r="M3355">
        <v>1543.5</v>
      </c>
      <c r="O3355" s="12" t="str">
        <f t="shared" si="118"/>
        <v>OAS</v>
      </c>
      <c r="P3355" s="12" t="str">
        <f t="shared" si="119"/>
        <v>E_SPV</v>
      </c>
    </row>
    <row r="3356" spans="1:16" x14ac:dyDescent="0.35">
      <c r="A3356" t="s">
        <v>1586</v>
      </c>
      <c r="B3356" t="s">
        <v>78</v>
      </c>
      <c r="C3356" t="s">
        <v>45</v>
      </c>
      <c r="D3356" t="s">
        <v>2246</v>
      </c>
      <c r="E3356" t="s">
        <v>96</v>
      </c>
      <c r="F3356" t="s">
        <v>96</v>
      </c>
      <c r="G3356" t="s">
        <v>96</v>
      </c>
      <c r="H3356">
        <v>2010</v>
      </c>
      <c r="I3356" t="s">
        <v>96</v>
      </c>
      <c r="J3356" t="s">
        <v>97</v>
      </c>
      <c r="K3356" t="s">
        <v>96</v>
      </c>
      <c r="L3356" t="s">
        <v>96</v>
      </c>
      <c r="M3356">
        <v>1456</v>
      </c>
      <c r="O3356" s="12" t="str">
        <f t="shared" si="118"/>
        <v>OAS</v>
      </c>
      <c r="P3356" s="12" t="str">
        <f t="shared" si="119"/>
        <v>E_SPV</v>
      </c>
    </row>
    <row r="3357" spans="1:16" x14ac:dyDescent="0.35">
      <c r="A3357" t="s">
        <v>1586</v>
      </c>
      <c r="B3357" t="s">
        <v>78</v>
      </c>
      <c r="C3357" t="s">
        <v>45</v>
      </c>
      <c r="D3357" t="s">
        <v>2247</v>
      </c>
      <c r="E3357" t="s">
        <v>96</v>
      </c>
      <c r="F3357" t="s">
        <v>96</v>
      </c>
      <c r="G3357" t="s">
        <v>96</v>
      </c>
      <c r="H3357">
        <v>2010</v>
      </c>
      <c r="I3357" t="s">
        <v>96</v>
      </c>
      <c r="J3357" t="s">
        <v>97</v>
      </c>
      <c r="K3357" t="s">
        <v>96</v>
      </c>
      <c r="L3357" t="s">
        <v>96</v>
      </c>
      <c r="M3357">
        <v>1543.5</v>
      </c>
      <c r="O3357" s="12" t="str">
        <f t="shared" si="118"/>
        <v>OAS</v>
      </c>
      <c r="P3357" s="12" t="str">
        <f t="shared" si="119"/>
        <v>E_SPV</v>
      </c>
    </row>
    <row r="3358" spans="1:16" x14ac:dyDescent="0.35">
      <c r="A3358" t="s">
        <v>1586</v>
      </c>
      <c r="B3358" t="s">
        <v>78</v>
      </c>
      <c r="C3358" t="s">
        <v>45</v>
      </c>
      <c r="D3358" t="s">
        <v>2248</v>
      </c>
      <c r="E3358" t="s">
        <v>96</v>
      </c>
      <c r="F3358" t="s">
        <v>96</v>
      </c>
      <c r="G3358" t="s">
        <v>96</v>
      </c>
      <c r="H3358">
        <v>2010</v>
      </c>
      <c r="I3358" t="s">
        <v>96</v>
      </c>
      <c r="J3358" t="s">
        <v>97</v>
      </c>
      <c r="K3358" t="s">
        <v>96</v>
      </c>
      <c r="L3358" t="s">
        <v>96</v>
      </c>
      <c r="M3358">
        <v>1543.5</v>
      </c>
      <c r="O3358" s="12" t="str">
        <f t="shared" si="118"/>
        <v>OAS</v>
      </c>
      <c r="P3358" s="12" t="str">
        <f t="shared" si="119"/>
        <v>E_SPV</v>
      </c>
    </row>
    <row r="3359" spans="1:16" x14ac:dyDescent="0.35">
      <c r="A3359" t="s">
        <v>1586</v>
      </c>
      <c r="B3359" t="s">
        <v>78</v>
      </c>
      <c r="C3359" t="s">
        <v>45</v>
      </c>
      <c r="D3359" t="s">
        <v>2249</v>
      </c>
      <c r="E3359" t="s">
        <v>96</v>
      </c>
      <c r="F3359" t="s">
        <v>96</v>
      </c>
      <c r="G3359" t="s">
        <v>96</v>
      </c>
      <c r="H3359">
        <v>2010</v>
      </c>
      <c r="I3359" t="s">
        <v>96</v>
      </c>
      <c r="J3359" t="s">
        <v>97</v>
      </c>
      <c r="K3359" t="s">
        <v>96</v>
      </c>
      <c r="L3359" t="s">
        <v>96</v>
      </c>
      <c r="M3359">
        <v>1430</v>
      </c>
      <c r="O3359" s="12" t="str">
        <f t="shared" si="118"/>
        <v>OAS</v>
      </c>
      <c r="P3359" s="12" t="str">
        <f t="shared" si="119"/>
        <v>E_SPV</v>
      </c>
    </row>
    <row r="3360" spans="1:16" x14ac:dyDescent="0.35">
      <c r="A3360" t="s">
        <v>1586</v>
      </c>
      <c r="B3360" t="s">
        <v>78</v>
      </c>
      <c r="C3360" t="s">
        <v>45</v>
      </c>
      <c r="D3360" t="s">
        <v>2250</v>
      </c>
      <c r="E3360" t="s">
        <v>96</v>
      </c>
      <c r="F3360" t="s">
        <v>96</v>
      </c>
      <c r="G3360" t="s">
        <v>96</v>
      </c>
      <c r="H3360">
        <v>2010</v>
      </c>
      <c r="I3360" t="s">
        <v>96</v>
      </c>
      <c r="J3360" t="s">
        <v>97</v>
      </c>
      <c r="K3360" t="s">
        <v>96</v>
      </c>
      <c r="L3360" t="s">
        <v>96</v>
      </c>
      <c r="M3360">
        <v>1469</v>
      </c>
      <c r="O3360" s="12" t="str">
        <f t="shared" si="118"/>
        <v>OAS</v>
      </c>
      <c r="P3360" s="12" t="str">
        <f t="shared" si="119"/>
        <v>E_SPV</v>
      </c>
    </row>
    <row r="3361" spans="1:16" x14ac:dyDescent="0.35">
      <c r="A3361" t="s">
        <v>1586</v>
      </c>
      <c r="B3361" t="s">
        <v>78</v>
      </c>
      <c r="C3361" t="s">
        <v>45</v>
      </c>
      <c r="D3361" t="s">
        <v>2251</v>
      </c>
      <c r="E3361" t="s">
        <v>96</v>
      </c>
      <c r="F3361" t="s">
        <v>96</v>
      </c>
      <c r="G3361" t="s">
        <v>96</v>
      </c>
      <c r="H3361">
        <v>2010</v>
      </c>
      <c r="I3361" t="s">
        <v>96</v>
      </c>
      <c r="J3361" t="s">
        <v>97</v>
      </c>
      <c r="K3361" t="s">
        <v>96</v>
      </c>
      <c r="L3361" t="s">
        <v>96</v>
      </c>
      <c r="M3361">
        <v>1543.5</v>
      </c>
      <c r="O3361" s="12" t="str">
        <f t="shared" si="118"/>
        <v>OAS</v>
      </c>
      <c r="P3361" s="12" t="str">
        <f t="shared" si="119"/>
        <v>E_SPV</v>
      </c>
    </row>
    <row r="3362" spans="1:16" x14ac:dyDescent="0.35">
      <c r="A3362" t="s">
        <v>1586</v>
      </c>
      <c r="B3362" t="s">
        <v>78</v>
      </c>
      <c r="C3362" t="s">
        <v>45</v>
      </c>
      <c r="D3362" t="s">
        <v>2252</v>
      </c>
      <c r="E3362" t="s">
        <v>96</v>
      </c>
      <c r="F3362" t="s">
        <v>96</v>
      </c>
      <c r="G3362" t="s">
        <v>96</v>
      </c>
      <c r="H3362">
        <v>2010</v>
      </c>
      <c r="I3362" t="s">
        <v>96</v>
      </c>
      <c r="J3362" t="s">
        <v>97</v>
      </c>
      <c r="K3362" t="s">
        <v>96</v>
      </c>
      <c r="L3362" t="s">
        <v>96</v>
      </c>
      <c r="M3362">
        <v>1495</v>
      </c>
      <c r="O3362" s="12" t="str">
        <f t="shared" si="118"/>
        <v>OAS</v>
      </c>
      <c r="P3362" s="12" t="str">
        <f t="shared" si="119"/>
        <v>E_SPV</v>
      </c>
    </row>
    <row r="3363" spans="1:16" x14ac:dyDescent="0.35">
      <c r="A3363" t="s">
        <v>1586</v>
      </c>
      <c r="B3363" t="s">
        <v>78</v>
      </c>
      <c r="C3363" t="s">
        <v>45</v>
      </c>
      <c r="D3363" t="s">
        <v>2253</v>
      </c>
      <c r="E3363" t="s">
        <v>96</v>
      </c>
      <c r="F3363" t="s">
        <v>96</v>
      </c>
      <c r="G3363" t="s">
        <v>96</v>
      </c>
      <c r="H3363">
        <v>2010</v>
      </c>
      <c r="I3363" t="s">
        <v>96</v>
      </c>
      <c r="J3363" t="s">
        <v>97</v>
      </c>
      <c r="K3363" t="s">
        <v>96</v>
      </c>
      <c r="L3363" t="s">
        <v>96</v>
      </c>
      <c r="M3363">
        <v>1543.5</v>
      </c>
      <c r="O3363" s="12" t="str">
        <f t="shared" si="118"/>
        <v>OAS</v>
      </c>
      <c r="P3363" s="12" t="str">
        <f t="shared" si="119"/>
        <v>E_SPV</v>
      </c>
    </row>
    <row r="3364" spans="1:16" x14ac:dyDescent="0.35">
      <c r="A3364" t="s">
        <v>1586</v>
      </c>
      <c r="B3364" t="s">
        <v>78</v>
      </c>
      <c r="C3364" t="s">
        <v>45</v>
      </c>
      <c r="D3364" t="s">
        <v>2254</v>
      </c>
      <c r="E3364" t="s">
        <v>96</v>
      </c>
      <c r="F3364" t="s">
        <v>96</v>
      </c>
      <c r="G3364" t="s">
        <v>96</v>
      </c>
      <c r="H3364">
        <v>2010</v>
      </c>
      <c r="I3364" t="s">
        <v>96</v>
      </c>
      <c r="J3364" t="s">
        <v>97</v>
      </c>
      <c r="K3364" t="s">
        <v>96</v>
      </c>
      <c r="L3364" t="s">
        <v>96</v>
      </c>
      <c r="M3364">
        <v>1981.2</v>
      </c>
      <c r="O3364" s="12" t="str">
        <f t="shared" si="118"/>
        <v>OAS</v>
      </c>
      <c r="P3364" s="12" t="str">
        <f t="shared" si="119"/>
        <v>E_SPV</v>
      </c>
    </row>
    <row r="3365" spans="1:16" x14ac:dyDescent="0.35">
      <c r="A3365" t="s">
        <v>1586</v>
      </c>
      <c r="B3365" t="s">
        <v>78</v>
      </c>
      <c r="C3365" t="s">
        <v>45</v>
      </c>
      <c r="D3365" t="s">
        <v>2255</v>
      </c>
      <c r="E3365" t="s">
        <v>96</v>
      </c>
      <c r="F3365" t="s">
        <v>96</v>
      </c>
      <c r="G3365" t="s">
        <v>96</v>
      </c>
      <c r="H3365">
        <v>2010</v>
      </c>
      <c r="I3365" t="s">
        <v>96</v>
      </c>
      <c r="J3365" t="s">
        <v>97</v>
      </c>
      <c r="K3365" t="s">
        <v>96</v>
      </c>
      <c r="L3365" t="s">
        <v>96</v>
      </c>
      <c r="M3365">
        <v>1543.5</v>
      </c>
      <c r="O3365" s="12" t="str">
        <f t="shared" si="118"/>
        <v>OAS</v>
      </c>
      <c r="P3365" s="12" t="str">
        <f t="shared" si="119"/>
        <v>E_SPV</v>
      </c>
    </row>
    <row r="3366" spans="1:16" x14ac:dyDescent="0.35">
      <c r="A3366" t="s">
        <v>1586</v>
      </c>
      <c r="B3366" t="s">
        <v>78</v>
      </c>
      <c r="C3366" t="s">
        <v>45</v>
      </c>
      <c r="D3366" t="s">
        <v>2256</v>
      </c>
      <c r="E3366" t="s">
        <v>96</v>
      </c>
      <c r="F3366" t="s">
        <v>96</v>
      </c>
      <c r="G3366" t="s">
        <v>96</v>
      </c>
      <c r="H3366">
        <v>2010</v>
      </c>
      <c r="I3366" t="s">
        <v>96</v>
      </c>
      <c r="J3366" t="s">
        <v>97</v>
      </c>
      <c r="K3366" t="s">
        <v>96</v>
      </c>
      <c r="L3366" t="s">
        <v>96</v>
      </c>
      <c r="M3366">
        <v>1456</v>
      </c>
      <c r="O3366" s="12" t="str">
        <f t="shared" si="118"/>
        <v>OAS</v>
      </c>
      <c r="P3366" s="12" t="str">
        <f t="shared" si="119"/>
        <v>E_SPV</v>
      </c>
    </row>
    <row r="3367" spans="1:16" x14ac:dyDescent="0.35">
      <c r="A3367" t="s">
        <v>1586</v>
      </c>
      <c r="B3367" t="s">
        <v>78</v>
      </c>
      <c r="C3367" t="s">
        <v>45</v>
      </c>
      <c r="D3367" t="s">
        <v>2257</v>
      </c>
      <c r="E3367" t="s">
        <v>96</v>
      </c>
      <c r="F3367" t="s">
        <v>96</v>
      </c>
      <c r="G3367" t="s">
        <v>96</v>
      </c>
      <c r="H3367">
        <v>2010</v>
      </c>
      <c r="I3367" t="s">
        <v>96</v>
      </c>
      <c r="J3367" t="s">
        <v>97</v>
      </c>
      <c r="K3367" t="s">
        <v>96</v>
      </c>
      <c r="L3367" t="s">
        <v>96</v>
      </c>
      <c r="M3367">
        <v>1495</v>
      </c>
      <c r="O3367" s="12" t="str">
        <f t="shared" si="118"/>
        <v>OAS</v>
      </c>
      <c r="P3367" s="12" t="str">
        <f t="shared" si="119"/>
        <v>E_SPV</v>
      </c>
    </row>
    <row r="3368" spans="1:16" x14ac:dyDescent="0.35">
      <c r="A3368" t="s">
        <v>1586</v>
      </c>
      <c r="B3368" t="s">
        <v>78</v>
      </c>
      <c r="C3368" t="s">
        <v>45</v>
      </c>
      <c r="D3368" t="s">
        <v>2258</v>
      </c>
      <c r="E3368" t="s">
        <v>96</v>
      </c>
      <c r="F3368" t="s">
        <v>96</v>
      </c>
      <c r="G3368" t="s">
        <v>96</v>
      </c>
      <c r="H3368">
        <v>2010</v>
      </c>
      <c r="I3368" t="s">
        <v>96</v>
      </c>
      <c r="J3368" t="s">
        <v>97</v>
      </c>
      <c r="K3368" t="s">
        <v>96</v>
      </c>
      <c r="L3368" t="s">
        <v>96</v>
      </c>
      <c r="M3368">
        <v>1543.5</v>
      </c>
      <c r="O3368" s="12" t="str">
        <f t="shared" si="118"/>
        <v>OAS</v>
      </c>
      <c r="P3368" s="12" t="str">
        <f t="shared" si="119"/>
        <v>E_SPV</v>
      </c>
    </row>
    <row r="3369" spans="1:16" x14ac:dyDescent="0.35">
      <c r="A3369" t="s">
        <v>1586</v>
      </c>
      <c r="B3369" t="s">
        <v>79</v>
      </c>
      <c r="C3369" t="s">
        <v>45</v>
      </c>
      <c r="D3369" t="s">
        <v>2259</v>
      </c>
      <c r="E3369" t="s">
        <v>96</v>
      </c>
      <c r="F3369" t="s">
        <v>96</v>
      </c>
      <c r="G3369" t="s">
        <v>96</v>
      </c>
      <c r="H3369">
        <v>2010</v>
      </c>
      <c r="I3369" t="s">
        <v>96</v>
      </c>
      <c r="J3369" t="s">
        <v>97</v>
      </c>
      <c r="K3369" t="s">
        <v>96</v>
      </c>
      <c r="L3369" t="s">
        <v>96</v>
      </c>
      <c r="M3369">
        <v>2600</v>
      </c>
      <c r="O3369" s="12" t="str">
        <f t="shared" si="118"/>
        <v>RUS</v>
      </c>
      <c r="P3369" s="12" t="str">
        <f t="shared" si="119"/>
        <v>E_SPV</v>
      </c>
    </row>
    <row r="3370" spans="1:16" x14ac:dyDescent="0.35">
      <c r="A3370" t="s">
        <v>1586</v>
      </c>
      <c r="B3370" t="s">
        <v>79</v>
      </c>
      <c r="C3370" t="s">
        <v>45</v>
      </c>
      <c r="D3370" t="s">
        <v>2260</v>
      </c>
      <c r="E3370" t="s">
        <v>96</v>
      </c>
      <c r="F3370" t="s">
        <v>96</v>
      </c>
      <c r="G3370" t="s">
        <v>96</v>
      </c>
      <c r="H3370">
        <v>2010</v>
      </c>
      <c r="I3370" t="s">
        <v>96</v>
      </c>
      <c r="J3370" t="s">
        <v>97</v>
      </c>
      <c r="K3370" t="s">
        <v>96</v>
      </c>
      <c r="L3370" t="s">
        <v>96</v>
      </c>
      <c r="M3370">
        <v>2600</v>
      </c>
      <c r="O3370" s="12" t="str">
        <f t="shared" si="118"/>
        <v>RUS</v>
      </c>
      <c r="P3370" s="12" t="str">
        <f t="shared" si="119"/>
        <v>E_SPV</v>
      </c>
    </row>
    <row r="3371" spans="1:16" x14ac:dyDescent="0.35">
      <c r="A3371" t="s">
        <v>1586</v>
      </c>
      <c r="B3371" t="s">
        <v>79</v>
      </c>
      <c r="C3371" t="s">
        <v>45</v>
      </c>
      <c r="D3371" t="s">
        <v>2261</v>
      </c>
      <c r="E3371" t="s">
        <v>96</v>
      </c>
      <c r="F3371" t="s">
        <v>96</v>
      </c>
      <c r="G3371" t="s">
        <v>96</v>
      </c>
      <c r="H3371">
        <v>2010</v>
      </c>
      <c r="I3371" t="s">
        <v>96</v>
      </c>
      <c r="J3371" t="s">
        <v>97</v>
      </c>
      <c r="K3371" t="s">
        <v>96</v>
      </c>
      <c r="L3371" t="s">
        <v>96</v>
      </c>
      <c r="M3371">
        <v>2600</v>
      </c>
      <c r="O3371" s="12" t="str">
        <f t="shared" si="118"/>
        <v>RUS</v>
      </c>
      <c r="P3371" s="12" t="str">
        <f t="shared" si="119"/>
        <v>E_SPV</v>
      </c>
    </row>
    <row r="3372" spans="1:16" x14ac:dyDescent="0.35">
      <c r="A3372" t="s">
        <v>1586</v>
      </c>
      <c r="B3372" t="s">
        <v>79</v>
      </c>
      <c r="C3372" t="s">
        <v>45</v>
      </c>
      <c r="D3372" t="s">
        <v>2262</v>
      </c>
      <c r="E3372" t="s">
        <v>96</v>
      </c>
      <c r="F3372" t="s">
        <v>96</v>
      </c>
      <c r="G3372" t="s">
        <v>96</v>
      </c>
      <c r="H3372">
        <v>2010</v>
      </c>
      <c r="I3372" t="s">
        <v>96</v>
      </c>
      <c r="J3372" t="s">
        <v>97</v>
      </c>
      <c r="K3372" t="s">
        <v>96</v>
      </c>
      <c r="L3372" t="s">
        <v>96</v>
      </c>
      <c r="M3372">
        <v>2600</v>
      </c>
      <c r="O3372" s="12" t="str">
        <f t="shared" si="118"/>
        <v>RUS</v>
      </c>
      <c r="P3372" s="12" t="str">
        <f t="shared" si="119"/>
        <v>E_SPV</v>
      </c>
    </row>
    <row r="3373" spans="1:16" x14ac:dyDescent="0.35">
      <c r="A3373" t="s">
        <v>1586</v>
      </c>
      <c r="B3373" t="s">
        <v>79</v>
      </c>
      <c r="C3373" t="s">
        <v>45</v>
      </c>
      <c r="D3373" t="s">
        <v>2263</v>
      </c>
      <c r="E3373" t="s">
        <v>96</v>
      </c>
      <c r="F3373" t="s">
        <v>96</v>
      </c>
      <c r="G3373" t="s">
        <v>96</v>
      </c>
      <c r="H3373">
        <v>2010</v>
      </c>
      <c r="I3373" t="s">
        <v>96</v>
      </c>
      <c r="J3373" t="s">
        <v>97</v>
      </c>
      <c r="K3373" t="s">
        <v>96</v>
      </c>
      <c r="L3373" t="s">
        <v>96</v>
      </c>
      <c r="M3373">
        <v>2600</v>
      </c>
      <c r="O3373" s="12" t="str">
        <f t="shared" si="118"/>
        <v>RUS</v>
      </c>
      <c r="P3373" s="12" t="str">
        <f t="shared" si="119"/>
        <v>E_SPV</v>
      </c>
    </row>
    <row r="3374" spans="1:16" x14ac:dyDescent="0.35">
      <c r="A3374" t="s">
        <v>1586</v>
      </c>
      <c r="B3374" t="s">
        <v>79</v>
      </c>
      <c r="C3374" t="s">
        <v>45</v>
      </c>
      <c r="D3374" t="s">
        <v>2264</v>
      </c>
      <c r="E3374" t="s">
        <v>96</v>
      </c>
      <c r="F3374" t="s">
        <v>96</v>
      </c>
      <c r="G3374" t="s">
        <v>96</v>
      </c>
      <c r="H3374">
        <v>2010</v>
      </c>
      <c r="I3374" t="s">
        <v>96</v>
      </c>
      <c r="J3374" t="s">
        <v>97</v>
      </c>
      <c r="K3374" t="s">
        <v>96</v>
      </c>
      <c r="L3374" t="s">
        <v>96</v>
      </c>
      <c r="M3374">
        <v>2600</v>
      </c>
      <c r="O3374" s="12" t="str">
        <f t="shared" si="118"/>
        <v>RUS</v>
      </c>
      <c r="P3374" s="12" t="str">
        <f t="shared" si="119"/>
        <v>E_SPV</v>
      </c>
    </row>
    <row r="3375" spans="1:16" x14ac:dyDescent="0.35">
      <c r="A3375" t="s">
        <v>1586</v>
      </c>
      <c r="B3375" t="s">
        <v>79</v>
      </c>
      <c r="C3375" t="s">
        <v>45</v>
      </c>
      <c r="D3375" t="s">
        <v>2265</v>
      </c>
      <c r="E3375" t="s">
        <v>96</v>
      </c>
      <c r="F3375" t="s">
        <v>96</v>
      </c>
      <c r="G3375" t="s">
        <v>96</v>
      </c>
      <c r="H3375">
        <v>2010</v>
      </c>
      <c r="I3375" t="s">
        <v>96</v>
      </c>
      <c r="J3375" t="s">
        <v>97</v>
      </c>
      <c r="K3375" t="s">
        <v>96</v>
      </c>
      <c r="L3375" t="s">
        <v>96</v>
      </c>
      <c r="M3375">
        <v>2600</v>
      </c>
      <c r="O3375" s="12" t="str">
        <f t="shared" si="118"/>
        <v>RUS</v>
      </c>
      <c r="P3375" s="12" t="str">
        <f t="shared" si="119"/>
        <v>E_SPV</v>
      </c>
    </row>
    <row r="3376" spans="1:16" x14ac:dyDescent="0.35">
      <c r="A3376" t="s">
        <v>1586</v>
      </c>
      <c r="B3376" t="s">
        <v>80</v>
      </c>
      <c r="C3376" t="s">
        <v>45</v>
      </c>
      <c r="D3376" t="s">
        <v>2266</v>
      </c>
      <c r="E3376" t="s">
        <v>96</v>
      </c>
      <c r="F3376" t="s">
        <v>96</v>
      </c>
      <c r="G3376" t="s">
        <v>96</v>
      </c>
      <c r="H3376">
        <v>2010</v>
      </c>
      <c r="I3376" t="s">
        <v>96</v>
      </c>
      <c r="J3376" t="s">
        <v>97</v>
      </c>
      <c r="K3376" t="s">
        <v>96</v>
      </c>
      <c r="L3376" t="s">
        <v>96</v>
      </c>
      <c r="M3376">
        <v>1885</v>
      </c>
      <c r="O3376" s="12" t="str">
        <f t="shared" si="118"/>
        <v>SKO</v>
      </c>
      <c r="P3376" s="12" t="str">
        <f t="shared" si="119"/>
        <v>E_SPV</v>
      </c>
    </row>
    <row r="3377" spans="1:16" x14ac:dyDescent="0.35">
      <c r="A3377" t="s">
        <v>1586</v>
      </c>
      <c r="B3377" t="s">
        <v>80</v>
      </c>
      <c r="C3377" t="s">
        <v>45</v>
      </c>
      <c r="D3377" t="s">
        <v>2267</v>
      </c>
      <c r="E3377" t="s">
        <v>96</v>
      </c>
      <c r="F3377" t="s">
        <v>96</v>
      </c>
      <c r="G3377" t="s">
        <v>96</v>
      </c>
      <c r="H3377">
        <v>2010</v>
      </c>
      <c r="I3377" t="s">
        <v>96</v>
      </c>
      <c r="J3377" t="s">
        <v>97</v>
      </c>
      <c r="K3377" t="s">
        <v>96</v>
      </c>
      <c r="L3377" t="s">
        <v>96</v>
      </c>
      <c r="M3377">
        <v>1885</v>
      </c>
      <c r="O3377" s="12" t="str">
        <f t="shared" si="118"/>
        <v>SKO</v>
      </c>
      <c r="P3377" s="12" t="str">
        <f t="shared" si="119"/>
        <v>E_SPV</v>
      </c>
    </row>
    <row r="3378" spans="1:16" x14ac:dyDescent="0.35">
      <c r="A3378" t="s">
        <v>1586</v>
      </c>
      <c r="B3378" t="s">
        <v>80</v>
      </c>
      <c r="C3378" t="s">
        <v>45</v>
      </c>
      <c r="D3378" t="s">
        <v>2268</v>
      </c>
      <c r="E3378" t="s">
        <v>96</v>
      </c>
      <c r="F3378" t="s">
        <v>96</v>
      </c>
      <c r="G3378" t="s">
        <v>96</v>
      </c>
      <c r="H3378">
        <v>2010</v>
      </c>
      <c r="I3378" t="s">
        <v>96</v>
      </c>
      <c r="J3378" t="s">
        <v>97</v>
      </c>
      <c r="K3378" t="s">
        <v>96</v>
      </c>
      <c r="L3378" t="s">
        <v>96</v>
      </c>
      <c r="M3378">
        <v>1885</v>
      </c>
      <c r="O3378" s="12" t="str">
        <f t="shared" si="118"/>
        <v>SKO</v>
      </c>
      <c r="P3378" s="12" t="str">
        <f t="shared" si="119"/>
        <v>E_SPV</v>
      </c>
    </row>
    <row r="3379" spans="1:16" x14ac:dyDescent="0.35">
      <c r="A3379" t="s">
        <v>1586</v>
      </c>
      <c r="B3379" t="s">
        <v>80</v>
      </c>
      <c r="C3379" t="s">
        <v>45</v>
      </c>
      <c r="D3379" t="s">
        <v>2269</v>
      </c>
      <c r="E3379" t="s">
        <v>96</v>
      </c>
      <c r="F3379" t="s">
        <v>96</v>
      </c>
      <c r="G3379" t="s">
        <v>96</v>
      </c>
      <c r="H3379">
        <v>2010</v>
      </c>
      <c r="I3379" t="s">
        <v>96</v>
      </c>
      <c r="J3379" t="s">
        <v>97</v>
      </c>
      <c r="K3379" t="s">
        <v>96</v>
      </c>
      <c r="L3379" t="s">
        <v>96</v>
      </c>
      <c r="M3379">
        <v>1885</v>
      </c>
      <c r="O3379" s="12" t="str">
        <f t="shared" si="118"/>
        <v>SKO</v>
      </c>
      <c r="P3379" s="12" t="str">
        <f t="shared" si="119"/>
        <v>E_SPV</v>
      </c>
    </row>
    <row r="3380" spans="1:16" x14ac:dyDescent="0.35">
      <c r="A3380" t="s">
        <v>1586</v>
      </c>
      <c r="B3380" t="s">
        <v>80</v>
      </c>
      <c r="C3380" t="s">
        <v>45</v>
      </c>
      <c r="D3380" t="s">
        <v>2270</v>
      </c>
      <c r="E3380" t="s">
        <v>96</v>
      </c>
      <c r="F3380" t="s">
        <v>96</v>
      </c>
      <c r="G3380" t="s">
        <v>96</v>
      </c>
      <c r="H3380">
        <v>2010</v>
      </c>
      <c r="I3380" t="s">
        <v>96</v>
      </c>
      <c r="J3380" t="s">
        <v>97</v>
      </c>
      <c r="K3380" t="s">
        <v>96</v>
      </c>
      <c r="L3380" t="s">
        <v>96</v>
      </c>
      <c r="M3380">
        <v>1885</v>
      </c>
      <c r="O3380" s="12" t="str">
        <f t="shared" si="118"/>
        <v>SKO</v>
      </c>
      <c r="P3380" s="12" t="str">
        <f t="shared" si="119"/>
        <v>E_SPV</v>
      </c>
    </row>
    <row r="3381" spans="1:16" x14ac:dyDescent="0.35">
      <c r="A3381" t="s">
        <v>1586</v>
      </c>
      <c r="B3381" t="s">
        <v>80</v>
      </c>
      <c r="C3381" t="s">
        <v>45</v>
      </c>
      <c r="D3381" t="s">
        <v>2271</v>
      </c>
      <c r="E3381" t="s">
        <v>96</v>
      </c>
      <c r="F3381" t="s">
        <v>96</v>
      </c>
      <c r="G3381" t="s">
        <v>96</v>
      </c>
      <c r="H3381">
        <v>2010</v>
      </c>
      <c r="I3381" t="s">
        <v>96</v>
      </c>
      <c r="J3381" t="s">
        <v>97</v>
      </c>
      <c r="K3381" t="s">
        <v>96</v>
      </c>
      <c r="L3381" t="s">
        <v>96</v>
      </c>
      <c r="M3381">
        <v>1885</v>
      </c>
      <c r="O3381" s="12" t="str">
        <f t="shared" si="118"/>
        <v>SKO</v>
      </c>
      <c r="P3381" s="12" t="str">
        <f t="shared" si="119"/>
        <v>E_SPV</v>
      </c>
    </row>
    <row r="3382" spans="1:16" x14ac:dyDescent="0.35">
      <c r="A3382" t="s">
        <v>1586</v>
      </c>
      <c r="B3382" t="s">
        <v>81</v>
      </c>
      <c r="C3382" t="s">
        <v>45</v>
      </c>
      <c r="D3382" t="s">
        <v>2272</v>
      </c>
      <c r="E3382" t="s">
        <v>96</v>
      </c>
      <c r="F3382" t="s">
        <v>96</v>
      </c>
      <c r="G3382" t="s">
        <v>96</v>
      </c>
      <c r="H3382">
        <v>2010</v>
      </c>
      <c r="I3382" t="s">
        <v>96</v>
      </c>
      <c r="J3382" t="s">
        <v>97</v>
      </c>
      <c r="K3382" t="s">
        <v>96</v>
      </c>
      <c r="L3382" t="s">
        <v>96</v>
      </c>
      <c r="M3382">
        <v>1700.7</v>
      </c>
      <c r="O3382" s="12" t="str">
        <f t="shared" si="118"/>
        <v>URA</v>
      </c>
      <c r="P3382" s="12" t="str">
        <f t="shared" si="119"/>
        <v>E_SPV</v>
      </c>
    </row>
    <row r="3383" spans="1:16" x14ac:dyDescent="0.35">
      <c r="A3383" t="s">
        <v>1586</v>
      </c>
      <c r="B3383" t="s">
        <v>81</v>
      </c>
      <c r="C3383" t="s">
        <v>45</v>
      </c>
      <c r="D3383" t="s">
        <v>2273</v>
      </c>
      <c r="E3383" t="s">
        <v>96</v>
      </c>
      <c r="F3383" t="s">
        <v>96</v>
      </c>
      <c r="G3383" t="s">
        <v>96</v>
      </c>
      <c r="H3383">
        <v>2010</v>
      </c>
      <c r="I3383" t="s">
        <v>96</v>
      </c>
      <c r="J3383" t="s">
        <v>97</v>
      </c>
      <c r="K3383" t="s">
        <v>96</v>
      </c>
      <c r="L3383" t="s">
        <v>96</v>
      </c>
      <c r="M3383">
        <v>1700.7</v>
      </c>
      <c r="O3383" s="12" t="str">
        <f t="shared" si="118"/>
        <v>URA</v>
      </c>
      <c r="P3383" s="12" t="str">
        <f t="shared" si="119"/>
        <v>E_SPV</v>
      </c>
    </row>
    <row r="3384" spans="1:16" x14ac:dyDescent="0.35">
      <c r="A3384" t="s">
        <v>1586</v>
      </c>
      <c r="B3384" t="s">
        <v>81</v>
      </c>
      <c r="C3384" t="s">
        <v>45</v>
      </c>
      <c r="D3384" t="s">
        <v>2274</v>
      </c>
      <c r="E3384" t="s">
        <v>96</v>
      </c>
      <c r="F3384" t="s">
        <v>96</v>
      </c>
      <c r="G3384" t="s">
        <v>96</v>
      </c>
      <c r="H3384">
        <v>2010</v>
      </c>
      <c r="I3384" t="s">
        <v>96</v>
      </c>
      <c r="J3384" t="s">
        <v>97</v>
      </c>
      <c r="K3384" t="s">
        <v>96</v>
      </c>
      <c r="L3384" t="s">
        <v>96</v>
      </c>
      <c r="M3384">
        <v>1700.7</v>
      </c>
      <c r="O3384" s="12" t="str">
        <f t="shared" si="118"/>
        <v>URA</v>
      </c>
      <c r="P3384" s="12" t="str">
        <f t="shared" si="119"/>
        <v>E_SPV</v>
      </c>
    </row>
    <row r="3385" spans="1:16" x14ac:dyDescent="0.35">
      <c r="A3385" t="s">
        <v>1586</v>
      </c>
      <c r="B3385" t="s">
        <v>81</v>
      </c>
      <c r="C3385" t="s">
        <v>45</v>
      </c>
      <c r="D3385" t="s">
        <v>2275</v>
      </c>
      <c r="E3385" t="s">
        <v>96</v>
      </c>
      <c r="F3385" t="s">
        <v>96</v>
      </c>
      <c r="G3385" t="s">
        <v>96</v>
      </c>
      <c r="H3385">
        <v>2010</v>
      </c>
      <c r="I3385" t="s">
        <v>96</v>
      </c>
      <c r="J3385" t="s">
        <v>97</v>
      </c>
      <c r="K3385" t="s">
        <v>96</v>
      </c>
      <c r="L3385" t="s">
        <v>96</v>
      </c>
      <c r="M3385">
        <v>1500.2</v>
      </c>
      <c r="O3385" s="12" t="str">
        <f t="shared" si="118"/>
        <v>URA</v>
      </c>
      <c r="P3385" s="12" t="str">
        <f t="shared" si="119"/>
        <v>E_SPV</v>
      </c>
    </row>
    <row r="3386" spans="1:16" x14ac:dyDescent="0.35">
      <c r="A3386" t="s">
        <v>1586</v>
      </c>
      <c r="B3386" t="s">
        <v>81</v>
      </c>
      <c r="C3386" t="s">
        <v>45</v>
      </c>
      <c r="D3386" t="s">
        <v>2276</v>
      </c>
      <c r="E3386" t="s">
        <v>96</v>
      </c>
      <c r="F3386" t="s">
        <v>96</v>
      </c>
      <c r="G3386" t="s">
        <v>96</v>
      </c>
      <c r="H3386">
        <v>2010</v>
      </c>
      <c r="I3386" t="s">
        <v>96</v>
      </c>
      <c r="J3386" t="s">
        <v>97</v>
      </c>
      <c r="K3386" t="s">
        <v>96</v>
      </c>
      <c r="L3386" t="s">
        <v>96</v>
      </c>
      <c r="M3386">
        <v>1700.7</v>
      </c>
      <c r="O3386" s="12" t="str">
        <f t="shared" si="118"/>
        <v>URA</v>
      </c>
      <c r="P3386" s="12" t="str">
        <f t="shared" si="119"/>
        <v>E_SPV</v>
      </c>
    </row>
    <row r="3387" spans="1:16" x14ac:dyDescent="0.35">
      <c r="A3387" t="s">
        <v>1586</v>
      </c>
      <c r="B3387" t="s">
        <v>81</v>
      </c>
      <c r="C3387" t="s">
        <v>45</v>
      </c>
      <c r="D3387" t="s">
        <v>2277</v>
      </c>
      <c r="E3387" t="s">
        <v>96</v>
      </c>
      <c r="F3387" t="s">
        <v>96</v>
      </c>
      <c r="G3387" t="s">
        <v>96</v>
      </c>
      <c r="H3387">
        <v>2010</v>
      </c>
      <c r="I3387" t="s">
        <v>96</v>
      </c>
      <c r="J3387" t="s">
        <v>97</v>
      </c>
      <c r="K3387" t="s">
        <v>96</v>
      </c>
      <c r="L3387" t="s">
        <v>96</v>
      </c>
      <c r="M3387">
        <v>1700.7</v>
      </c>
      <c r="O3387" s="12" t="str">
        <f t="shared" si="118"/>
        <v>URA</v>
      </c>
      <c r="P3387" s="12" t="str">
        <f t="shared" si="119"/>
        <v>E_SPV</v>
      </c>
    </row>
    <row r="3388" spans="1:16" x14ac:dyDescent="0.35">
      <c r="A3388" t="s">
        <v>1586</v>
      </c>
      <c r="B3388" t="s">
        <v>81</v>
      </c>
      <c r="C3388" t="s">
        <v>45</v>
      </c>
      <c r="D3388" t="s">
        <v>2278</v>
      </c>
      <c r="E3388" t="s">
        <v>96</v>
      </c>
      <c r="F3388" t="s">
        <v>96</v>
      </c>
      <c r="G3388" t="s">
        <v>96</v>
      </c>
      <c r="H3388">
        <v>2010</v>
      </c>
      <c r="I3388" t="s">
        <v>96</v>
      </c>
      <c r="J3388" t="s">
        <v>97</v>
      </c>
      <c r="K3388" t="s">
        <v>96</v>
      </c>
      <c r="L3388" t="s">
        <v>96</v>
      </c>
      <c r="M3388">
        <v>1700.7</v>
      </c>
      <c r="O3388" s="12" t="str">
        <f t="shared" si="118"/>
        <v>URA</v>
      </c>
      <c r="P3388" s="12" t="str">
        <f t="shared" si="119"/>
        <v>E_SPV</v>
      </c>
    </row>
    <row r="3389" spans="1:16" x14ac:dyDescent="0.35">
      <c r="A3389" t="s">
        <v>1586</v>
      </c>
      <c r="B3389" t="s">
        <v>81</v>
      </c>
      <c r="C3389" t="s">
        <v>45</v>
      </c>
      <c r="D3389" t="s">
        <v>2279</v>
      </c>
      <c r="E3389" t="s">
        <v>96</v>
      </c>
      <c r="F3389" t="s">
        <v>96</v>
      </c>
      <c r="G3389" t="s">
        <v>96</v>
      </c>
      <c r="H3389">
        <v>2010</v>
      </c>
      <c r="I3389" t="s">
        <v>96</v>
      </c>
      <c r="J3389" t="s">
        <v>97</v>
      </c>
      <c r="K3389" t="s">
        <v>96</v>
      </c>
      <c r="L3389" t="s">
        <v>96</v>
      </c>
      <c r="M3389">
        <v>2112.5</v>
      </c>
      <c r="O3389" s="12" t="str">
        <f t="shared" si="118"/>
        <v>URA</v>
      </c>
      <c r="P3389" s="12" t="str">
        <f t="shared" si="119"/>
        <v>E_SPV</v>
      </c>
    </row>
    <row r="3390" spans="1:16" x14ac:dyDescent="0.35">
      <c r="A3390" t="s">
        <v>1586</v>
      </c>
      <c r="B3390" t="s">
        <v>81</v>
      </c>
      <c r="C3390" t="s">
        <v>45</v>
      </c>
      <c r="D3390" t="s">
        <v>2280</v>
      </c>
      <c r="E3390" t="s">
        <v>96</v>
      </c>
      <c r="F3390" t="s">
        <v>96</v>
      </c>
      <c r="G3390" t="s">
        <v>96</v>
      </c>
      <c r="H3390">
        <v>2010</v>
      </c>
      <c r="I3390" t="s">
        <v>96</v>
      </c>
      <c r="J3390" t="s">
        <v>97</v>
      </c>
      <c r="K3390" t="s">
        <v>96</v>
      </c>
      <c r="L3390" t="s">
        <v>96</v>
      </c>
      <c r="M3390">
        <v>1700.7</v>
      </c>
      <c r="O3390" s="12" t="str">
        <f t="shared" si="118"/>
        <v>URA</v>
      </c>
      <c r="P3390" s="12" t="str">
        <f t="shared" si="119"/>
        <v>E_SPV</v>
      </c>
    </row>
    <row r="3391" spans="1:16" x14ac:dyDescent="0.35">
      <c r="A3391" t="s">
        <v>1586</v>
      </c>
      <c r="B3391" t="s">
        <v>81</v>
      </c>
      <c r="C3391" t="s">
        <v>45</v>
      </c>
      <c r="D3391" t="s">
        <v>2281</v>
      </c>
      <c r="E3391" t="s">
        <v>96</v>
      </c>
      <c r="F3391" t="s">
        <v>96</v>
      </c>
      <c r="G3391" t="s">
        <v>96</v>
      </c>
      <c r="H3391">
        <v>2010</v>
      </c>
      <c r="I3391" t="s">
        <v>96</v>
      </c>
      <c r="J3391" t="s">
        <v>97</v>
      </c>
      <c r="K3391" t="s">
        <v>96</v>
      </c>
      <c r="L3391" t="s">
        <v>96</v>
      </c>
      <c r="M3391">
        <v>1700.7</v>
      </c>
      <c r="O3391" s="12" t="str">
        <f t="shared" si="118"/>
        <v>URA</v>
      </c>
      <c r="P3391" s="12" t="str">
        <f t="shared" si="119"/>
        <v>E_SPV</v>
      </c>
    </row>
    <row r="3392" spans="1:16" x14ac:dyDescent="0.35">
      <c r="A3392" t="s">
        <v>1586</v>
      </c>
      <c r="B3392" t="s">
        <v>81</v>
      </c>
      <c r="C3392" t="s">
        <v>45</v>
      </c>
      <c r="D3392" t="s">
        <v>2282</v>
      </c>
      <c r="E3392" t="s">
        <v>96</v>
      </c>
      <c r="F3392" t="s">
        <v>96</v>
      </c>
      <c r="G3392" t="s">
        <v>96</v>
      </c>
      <c r="H3392">
        <v>2010</v>
      </c>
      <c r="I3392" t="s">
        <v>96</v>
      </c>
      <c r="J3392" t="s">
        <v>97</v>
      </c>
      <c r="K3392" t="s">
        <v>96</v>
      </c>
      <c r="L3392" t="s">
        <v>96</v>
      </c>
      <c r="M3392">
        <v>1700.7</v>
      </c>
      <c r="O3392" s="12" t="str">
        <f t="shared" si="118"/>
        <v>URA</v>
      </c>
      <c r="P3392" s="12" t="str">
        <f t="shared" si="119"/>
        <v>E_SPV</v>
      </c>
    </row>
    <row r="3393" spans="1:16" x14ac:dyDescent="0.35">
      <c r="A3393" t="s">
        <v>1586</v>
      </c>
      <c r="B3393" t="s">
        <v>81</v>
      </c>
      <c r="C3393" t="s">
        <v>45</v>
      </c>
      <c r="D3393" t="s">
        <v>2283</v>
      </c>
      <c r="E3393" t="s">
        <v>96</v>
      </c>
      <c r="F3393" t="s">
        <v>96</v>
      </c>
      <c r="G3393" t="s">
        <v>96</v>
      </c>
      <c r="H3393">
        <v>2010</v>
      </c>
      <c r="I3393" t="s">
        <v>96</v>
      </c>
      <c r="J3393" t="s">
        <v>97</v>
      </c>
      <c r="K3393" t="s">
        <v>96</v>
      </c>
      <c r="L3393" t="s">
        <v>96</v>
      </c>
      <c r="M3393">
        <v>1700.7</v>
      </c>
      <c r="O3393" s="12" t="str">
        <f t="shared" si="118"/>
        <v>URA</v>
      </c>
      <c r="P3393" s="12" t="str">
        <f t="shared" si="119"/>
        <v>E_SPV</v>
      </c>
    </row>
    <row r="3394" spans="1:16" x14ac:dyDescent="0.35">
      <c r="A3394" t="s">
        <v>1586</v>
      </c>
      <c r="B3394" t="s">
        <v>81</v>
      </c>
      <c r="C3394" t="s">
        <v>45</v>
      </c>
      <c r="D3394" t="s">
        <v>2284</v>
      </c>
      <c r="E3394" t="s">
        <v>96</v>
      </c>
      <c r="F3394" t="s">
        <v>96</v>
      </c>
      <c r="G3394" t="s">
        <v>96</v>
      </c>
      <c r="H3394">
        <v>2010</v>
      </c>
      <c r="I3394" t="s">
        <v>96</v>
      </c>
      <c r="J3394" t="s">
        <v>97</v>
      </c>
      <c r="K3394" t="s">
        <v>96</v>
      </c>
      <c r="L3394" t="s">
        <v>96</v>
      </c>
      <c r="M3394">
        <v>1300</v>
      </c>
      <c r="O3394" s="12" t="str">
        <f t="shared" si="118"/>
        <v>URA</v>
      </c>
      <c r="P3394" s="12" t="str">
        <f t="shared" si="119"/>
        <v>E_SPV</v>
      </c>
    </row>
    <row r="3395" spans="1:16" x14ac:dyDescent="0.35">
      <c r="A3395" t="s">
        <v>1586</v>
      </c>
      <c r="B3395" t="s">
        <v>81</v>
      </c>
      <c r="C3395" t="s">
        <v>45</v>
      </c>
      <c r="D3395" t="s">
        <v>2285</v>
      </c>
      <c r="E3395" t="s">
        <v>96</v>
      </c>
      <c r="F3395" t="s">
        <v>96</v>
      </c>
      <c r="G3395" t="s">
        <v>96</v>
      </c>
      <c r="H3395">
        <v>2010</v>
      </c>
      <c r="I3395" t="s">
        <v>96</v>
      </c>
      <c r="J3395" t="s">
        <v>97</v>
      </c>
      <c r="K3395" t="s">
        <v>96</v>
      </c>
      <c r="L3395" t="s">
        <v>96</v>
      </c>
      <c r="M3395">
        <v>1700.7</v>
      </c>
      <c r="O3395" s="12" t="str">
        <f t="shared" ref="O3395:O3458" si="120">LEFT(B3395,3)</f>
        <v>URA</v>
      </c>
      <c r="P3395" s="12" t="str">
        <f t="shared" ref="P3395:P3458" si="121">LEFT(D3395,5)</f>
        <v>E_SPV</v>
      </c>
    </row>
    <row r="3396" spans="1:16" x14ac:dyDescent="0.35">
      <c r="A3396" t="s">
        <v>1586</v>
      </c>
      <c r="B3396" t="s">
        <v>81</v>
      </c>
      <c r="C3396" t="s">
        <v>45</v>
      </c>
      <c r="D3396" t="s">
        <v>2286</v>
      </c>
      <c r="E3396" t="s">
        <v>96</v>
      </c>
      <c r="F3396" t="s">
        <v>96</v>
      </c>
      <c r="G3396" t="s">
        <v>96</v>
      </c>
      <c r="H3396">
        <v>2010</v>
      </c>
      <c r="I3396" t="s">
        <v>96</v>
      </c>
      <c r="J3396" t="s">
        <v>97</v>
      </c>
      <c r="K3396" t="s">
        <v>96</v>
      </c>
      <c r="L3396" t="s">
        <v>96</v>
      </c>
      <c r="M3396">
        <v>1500.2</v>
      </c>
      <c r="O3396" s="12" t="str">
        <f t="shared" si="120"/>
        <v>URA</v>
      </c>
      <c r="P3396" s="12" t="str">
        <f t="shared" si="121"/>
        <v>E_SPV</v>
      </c>
    </row>
    <row r="3397" spans="1:16" x14ac:dyDescent="0.35">
      <c r="A3397" t="s">
        <v>1586</v>
      </c>
      <c r="B3397" t="s">
        <v>81</v>
      </c>
      <c r="C3397" t="s">
        <v>45</v>
      </c>
      <c r="D3397" t="s">
        <v>2287</v>
      </c>
      <c r="E3397" t="s">
        <v>96</v>
      </c>
      <c r="F3397" t="s">
        <v>96</v>
      </c>
      <c r="G3397" t="s">
        <v>96</v>
      </c>
      <c r="H3397">
        <v>2010</v>
      </c>
      <c r="I3397" t="s">
        <v>96</v>
      </c>
      <c r="J3397" t="s">
        <v>97</v>
      </c>
      <c r="K3397" t="s">
        <v>96</v>
      </c>
      <c r="L3397" t="s">
        <v>96</v>
      </c>
      <c r="M3397">
        <v>1700.7</v>
      </c>
      <c r="O3397" s="12" t="str">
        <f t="shared" si="120"/>
        <v>URA</v>
      </c>
      <c r="P3397" s="12" t="str">
        <f t="shared" si="121"/>
        <v>E_SPV</v>
      </c>
    </row>
    <row r="3398" spans="1:16" x14ac:dyDescent="0.35">
      <c r="A3398" t="s">
        <v>1586</v>
      </c>
      <c r="B3398" t="s">
        <v>81</v>
      </c>
      <c r="C3398" t="s">
        <v>45</v>
      </c>
      <c r="D3398" t="s">
        <v>2288</v>
      </c>
      <c r="E3398" t="s">
        <v>96</v>
      </c>
      <c r="F3398" t="s">
        <v>96</v>
      </c>
      <c r="G3398" t="s">
        <v>96</v>
      </c>
      <c r="H3398">
        <v>2010</v>
      </c>
      <c r="I3398" t="s">
        <v>96</v>
      </c>
      <c r="J3398" t="s">
        <v>97</v>
      </c>
      <c r="K3398" t="s">
        <v>96</v>
      </c>
      <c r="L3398" t="s">
        <v>96</v>
      </c>
      <c r="M3398">
        <v>1700.7</v>
      </c>
      <c r="O3398" s="12" t="str">
        <f t="shared" si="120"/>
        <v>URA</v>
      </c>
      <c r="P3398" s="12" t="str">
        <f t="shared" si="121"/>
        <v>E_SPV</v>
      </c>
    </row>
    <row r="3399" spans="1:16" x14ac:dyDescent="0.35">
      <c r="A3399" t="s">
        <v>1586</v>
      </c>
      <c r="B3399" t="s">
        <v>81</v>
      </c>
      <c r="C3399" t="s">
        <v>45</v>
      </c>
      <c r="D3399" t="s">
        <v>2289</v>
      </c>
      <c r="E3399" t="s">
        <v>96</v>
      </c>
      <c r="F3399" t="s">
        <v>96</v>
      </c>
      <c r="G3399" t="s">
        <v>96</v>
      </c>
      <c r="H3399">
        <v>2010</v>
      </c>
      <c r="I3399" t="s">
        <v>96</v>
      </c>
      <c r="J3399" t="s">
        <v>97</v>
      </c>
      <c r="K3399" t="s">
        <v>96</v>
      </c>
      <c r="L3399" t="s">
        <v>96</v>
      </c>
      <c r="M3399">
        <v>1700.7</v>
      </c>
      <c r="O3399" s="12" t="str">
        <f t="shared" si="120"/>
        <v>URA</v>
      </c>
      <c r="P3399" s="12" t="str">
        <f t="shared" si="121"/>
        <v>E_SPV</v>
      </c>
    </row>
    <row r="3400" spans="1:16" x14ac:dyDescent="0.35">
      <c r="A3400" t="s">
        <v>1586</v>
      </c>
      <c r="B3400" t="s">
        <v>81</v>
      </c>
      <c r="C3400" t="s">
        <v>45</v>
      </c>
      <c r="D3400" t="s">
        <v>2290</v>
      </c>
      <c r="E3400" t="s">
        <v>96</v>
      </c>
      <c r="F3400" t="s">
        <v>96</v>
      </c>
      <c r="G3400" t="s">
        <v>96</v>
      </c>
      <c r="H3400">
        <v>2010</v>
      </c>
      <c r="I3400" t="s">
        <v>96</v>
      </c>
      <c r="J3400" t="s">
        <v>97</v>
      </c>
      <c r="K3400" t="s">
        <v>96</v>
      </c>
      <c r="L3400" t="s">
        <v>96</v>
      </c>
      <c r="M3400">
        <v>1700.7</v>
      </c>
      <c r="O3400" s="12" t="str">
        <f t="shared" si="120"/>
        <v>URA</v>
      </c>
      <c r="P3400" s="12" t="str">
        <f t="shared" si="121"/>
        <v>E_SPV</v>
      </c>
    </row>
    <row r="3401" spans="1:16" x14ac:dyDescent="0.35">
      <c r="A3401" t="s">
        <v>1586</v>
      </c>
      <c r="B3401" t="s">
        <v>81</v>
      </c>
      <c r="C3401" t="s">
        <v>45</v>
      </c>
      <c r="D3401" t="s">
        <v>2291</v>
      </c>
      <c r="E3401" t="s">
        <v>96</v>
      </c>
      <c r="F3401" t="s">
        <v>96</v>
      </c>
      <c r="G3401" t="s">
        <v>96</v>
      </c>
      <c r="H3401">
        <v>2010</v>
      </c>
      <c r="I3401" t="s">
        <v>96</v>
      </c>
      <c r="J3401" t="s">
        <v>97</v>
      </c>
      <c r="K3401" t="s">
        <v>96</v>
      </c>
      <c r="L3401" t="s">
        <v>96</v>
      </c>
      <c r="M3401">
        <v>2112.5</v>
      </c>
      <c r="O3401" s="12" t="str">
        <f t="shared" si="120"/>
        <v>URA</v>
      </c>
      <c r="P3401" s="12" t="str">
        <f t="shared" si="121"/>
        <v>E_SPV</v>
      </c>
    </row>
    <row r="3402" spans="1:16" x14ac:dyDescent="0.35">
      <c r="A3402" t="s">
        <v>1586</v>
      </c>
      <c r="B3402" t="s">
        <v>81</v>
      </c>
      <c r="C3402" t="s">
        <v>45</v>
      </c>
      <c r="D3402" t="s">
        <v>2292</v>
      </c>
      <c r="E3402" t="s">
        <v>96</v>
      </c>
      <c r="F3402" t="s">
        <v>96</v>
      </c>
      <c r="G3402" t="s">
        <v>96</v>
      </c>
      <c r="H3402">
        <v>2010</v>
      </c>
      <c r="I3402" t="s">
        <v>96</v>
      </c>
      <c r="J3402" t="s">
        <v>97</v>
      </c>
      <c r="K3402" t="s">
        <v>96</v>
      </c>
      <c r="L3402" t="s">
        <v>96</v>
      </c>
      <c r="M3402">
        <v>1700.7</v>
      </c>
      <c r="O3402" s="12" t="str">
        <f t="shared" si="120"/>
        <v>URA</v>
      </c>
      <c r="P3402" s="12" t="str">
        <f t="shared" si="121"/>
        <v>E_SPV</v>
      </c>
    </row>
    <row r="3403" spans="1:16" x14ac:dyDescent="0.35">
      <c r="A3403" t="s">
        <v>1586</v>
      </c>
      <c r="B3403" t="s">
        <v>81</v>
      </c>
      <c r="C3403" t="s">
        <v>45</v>
      </c>
      <c r="D3403" t="s">
        <v>2293</v>
      </c>
      <c r="E3403" t="s">
        <v>96</v>
      </c>
      <c r="F3403" t="s">
        <v>96</v>
      </c>
      <c r="G3403" t="s">
        <v>96</v>
      </c>
      <c r="H3403">
        <v>2010</v>
      </c>
      <c r="I3403" t="s">
        <v>96</v>
      </c>
      <c r="J3403" t="s">
        <v>97</v>
      </c>
      <c r="K3403" t="s">
        <v>96</v>
      </c>
      <c r="L3403" t="s">
        <v>96</v>
      </c>
      <c r="M3403">
        <v>1700.7</v>
      </c>
      <c r="O3403" s="12" t="str">
        <f t="shared" si="120"/>
        <v>URA</v>
      </c>
      <c r="P3403" s="12" t="str">
        <f t="shared" si="121"/>
        <v>E_SPV</v>
      </c>
    </row>
    <row r="3404" spans="1:16" x14ac:dyDescent="0.35">
      <c r="A3404" t="s">
        <v>1586</v>
      </c>
      <c r="B3404" t="s">
        <v>81</v>
      </c>
      <c r="C3404" t="s">
        <v>45</v>
      </c>
      <c r="D3404" t="s">
        <v>2294</v>
      </c>
      <c r="E3404" t="s">
        <v>96</v>
      </c>
      <c r="F3404" t="s">
        <v>96</v>
      </c>
      <c r="G3404" t="s">
        <v>96</v>
      </c>
      <c r="H3404">
        <v>2010</v>
      </c>
      <c r="I3404" t="s">
        <v>96</v>
      </c>
      <c r="J3404" t="s">
        <v>97</v>
      </c>
      <c r="K3404" t="s">
        <v>96</v>
      </c>
      <c r="L3404" t="s">
        <v>96</v>
      </c>
      <c r="M3404">
        <v>1700.7</v>
      </c>
      <c r="O3404" s="12" t="str">
        <f t="shared" si="120"/>
        <v>URA</v>
      </c>
      <c r="P3404" s="12" t="str">
        <f t="shared" si="121"/>
        <v>E_SPV</v>
      </c>
    </row>
    <row r="3405" spans="1:16" x14ac:dyDescent="0.35">
      <c r="A3405" t="s">
        <v>1586</v>
      </c>
      <c r="B3405" t="s">
        <v>81</v>
      </c>
      <c r="C3405" t="s">
        <v>45</v>
      </c>
      <c r="D3405" t="s">
        <v>2295</v>
      </c>
      <c r="E3405" t="s">
        <v>96</v>
      </c>
      <c r="F3405" t="s">
        <v>96</v>
      </c>
      <c r="G3405" t="s">
        <v>96</v>
      </c>
      <c r="H3405">
        <v>2010</v>
      </c>
      <c r="I3405" t="s">
        <v>96</v>
      </c>
      <c r="J3405" t="s">
        <v>97</v>
      </c>
      <c r="K3405" t="s">
        <v>96</v>
      </c>
      <c r="L3405" t="s">
        <v>96</v>
      </c>
      <c r="M3405">
        <v>1700.7</v>
      </c>
      <c r="O3405" s="12" t="str">
        <f t="shared" si="120"/>
        <v>URA</v>
      </c>
      <c r="P3405" s="12" t="str">
        <f t="shared" si="121"/>
        <v>E_SPV</v>
      </c>
    </row>
    <row r="3406" spans="1:16" x14ac:dyDescent="0.35">
      <c r="A3406" t="s">
        <v>1586</v>
      </c>
      <c r="B3406" t="s">
        <v>81</v>
      </c>
      <c r="C3406" t="s">
        <v>45</v>
      </c>
      <c r="D3406" t="s">
        <v>2296</v>
      </c>
      <c r="E3406" t="s">
        <v>96</v>
      </c>
      <c r="F3406" t="s">
        <v>96</v>
      </c>
      <c r="G3406" t="s">
        <v>96</v>
      </c>
      <c r="H3406">
        <v>2010</v>
      </c>
      <c r="I3406" t="s">
        <v>96</v>
      </c>
      <c r="J3406" t="s">
        <v>97</v>
      </c>
      <c r="K3406" t="s">
        <v>96</v>
      </c>
      <c r="L3406" t="s">
        <v>96</v>
      </c>
      <c r="M3406">
        <v>1700.7</v>
      </c>
      <c r="O3406" s="12" t="str">
        <f t="shared" si="120"/>
        <v>URA</v>
      </c>
      <c r="P3406" s="12" t="str">
        <f t="shared" si="121"/>
        <v>E_SPV</v>
      </c>
    </row>
    <row r="3407" spans="1:16" x14ac:dyDescent="0.35">
      <c r="A3407" t="s">
        <v>1586</v>
      </c>
      <c r="B3407" t="s">
        <v>81</v>
      </c>
      <c r="C3407" t="s">
        <v>45</v>
      </c>
      <c r="D3407" t="s">
        <v>2297</v>
      </c>
      <c r="E3407" t="s">
        <v>96</v>
      </c>
      <c r="F3407" t="s">
        <v>96</v>
      </c>
      <c r="G3407" t="s">
        <v>96</v>
      </c>
      <c r="H3407">
        <v>2010</v>
      </c>
      <c r="I3407" t="s">
        <v>96</v>
      </c>
      <c r="J3407" t="s">
        <v>97</v>
      </c>
      <c r="K3407" t="s">
        <v>96</v>
      </c>
      <c r="L3407" t="s">
        <v>96</v>
      </c>
      <c r="M3407">
        <v>1300</v>
      </c>
      <c r="O3407" s="12" t="str">
        <f t="shared" si="120"/>
        <v>URA</v>
      </c>
      <c r="P3407" s="12" t="str">
        <f t="shared" si="121"/>
        <v>E_SPV</v>
      </c>
    </row>
    <row r="3408" spans="1:16" x14ac:dyDescent="0.35">
      <c r="A3408" t="s">
        <v>1586</v>
      </c>
      <c r="B3408" t="s">
        <v>81</v>
      </c>
      <c r="C3408" t="s">
        <v>45</v>
      </c>
      <c r="D3408" t="s">
        <v>2298</v>
      </c>
      <c r="E3408" t="s">
        <v>96</v>
      </c>
      <c r="F3408" t="s">
        <v>96</v>
      </c>
      <c r="G3408" t="s">
        <v>96</v>
      </c>
      <c r="H3408">
        <v>2010</v>
      </c>
      <c r="I3408" t="s">
        <v>96</v>
      </c>
      <c r="J3408" t="s">
        <v>97</v>
      </c>
      <c r="K3408" t="s">
        <v>96</v>
      </c>
      <c r="L3408" t="s">
        <v>96</v>
      </c>
      <c r="M3408">
        <v>1700.7</v>
      </c>
      <c r="O3408" s="12" t="str">
        <f t="shared" si="120"/>
        <v>URA</v>
      </c>
      <c r="P3408" s="12" t="str">
        <f t="shared" si="121"/>
        <v>E_SPV</v>
      </c>
    </row>
    <row r="3409" spans="1:16" x14ac:dyDescent="0.35">
      <c r="A3409" t="s">
        <v>1586</v>
      </c>
      <c r="B3409" t="s">
        <v>81</v>
      </c>
      <c r="C3409" t="s">
        <v>45</v>
      </c>
      <c r="D3409" t="s">
        <v>2299</v>
      </c>
      <c r="E3409" t="s">
        <v>96</v>
      </c>
      <c r="F3409" t="s">
        <v>96</v>
      </c>
      <c r="G3409" t="s">
        <v>96</v>
      </c>
      <c r="H3409">
        <v>2010</v>
      </c>
      <c r="I3409" t="s">
        <v>96</v>
      </c>
      <c r="J3409" t="s">
        <v>97</v>
      </c>
      <c r="K3409" t="s">
        <v>96</v>
      </c>
      <c r="L3409" t="s">
        <v>96</v>
      </c>
      <c r="M3409">
        <v>1890.2</v>
      </c>
      <c r="O3409" s="12" t="str">
        <f t="shared" si="120"/>
        <v>URA</v>
      </c>
      <c r="P3409" s="12" t="str">
        <f t="shared" si="121"/>
        <v>E_SPV</v>
      </c>
    </row>
    <row r="3410" spans="1:16" x14ac:dyDescent="0.35">
      <c r="A3410" t="s">
        <v>1586</v>
      </c>
      <c r="B3410" t="s">
        <v>81</v>
      </c>
      <c r="C3410" t="s">
        <v>45</v>
      </c>
      <c r="D3410" t="s">
        <v>2300</v>
      </c>
      <c r="E3410" t="s">
        <v>96</v>
      </c>
      <c r="F3410" t="s">
        <v>96</v>
      </c>
      <c r="G3410" t="s">
        <v>96</v>
      </c>
      <c r="H3410">
        <v>2010</v>
      </c>
      <c r="I3410" t="s">
        <v>96</v>
      </c>
      <c r="J3410" t="s">
        <v>97</v>
      </c>
      <c r="K3410" t="s">
        <v>96</v>
      </c>
      <c r="L3410" t="s">
        <v>96</v>
      </c>
      <c r="M3410">
        <v>1500.2</v>
      </c>
      <c r="O3410" s="12" t="str">
        <f t="shared" si="120"/>
        <v>URA</v>
      </c>
      <c r="P3410" s="12" t="str">
        <f t="shared" si="121"/>
        <v>E_SPV</v>
      </c>
    </row>
    <row r="3411" spans="1:16" x14ac:dyDescent="0.35">
      <c r="A3411" t="s">
        <v>1586</v>
      </c>
      <c r="B3411" t="s">
        <v>81</v>
      </c>
      <c r="C3411" t="s">
        <v>45</v>
      </c>
      <c r="D3411" t="s">
        <v>2301</v>
      </c>
      <c r="E3411" t="s">
        <v>96</v>
      </c>
      <c r="F3411" t="s">
        <v>96</v>
      </c>
      <c r="G3411" t="s">
        <v>96</v>
      </c>
      <c r="H3411">
        <v>2010</v>
      </c>
      <c r="I3411" t="s">
        <v>96</v>
      </c>
      <c r="J3411" t="s">
        <v>97</v>
      </c>
      <c r="K3411" t="s">
        <v>96</v>
      </c>
      <c r="L3411" t="s">
        <v>96</v>
      </c>
      <c r="M3411">
        <v>1700.7</v>
      </c>
      <c r="O3411" s="12" t="str">
        <f t="shared" si="120"/>
        <v>URA</v>
      </c>
      <c r="P3411" s="12" t="str">
        <f t="shared" si="121"/>
        <v>E_SPV</v>
      </c>
    </row>
    <row r="3412" spans="1:16" x14ac:dyDescent="0.35">
      <c r="A3412" t="s">
        <v>1586</v>
      </c>
      <c r="B3412" t="s">
        <v>81</v>
      </c>
      <c r="C3412" t="s">
        <v>45</v>
      </c>
      <c r="D3412" t="s">
        <v>2302</v>
      </c>
      <c r="E3412" t="s">
        <v>96</v>
      </c>
      <c r="F3412" t="s">
        <v>96</v>
      </c>
      <c r="G3412" t="s">
        <v>96</v>
      </c>
      <c r="H3412">
        <v>2010</v>
      </c>
      <c r="I3412" t="s">
        <v>96</v>
      </c>
      <c r="J3412" t="s">
        <v>97</v>
      </c>
      <c r="K3412" t="s">
        <v>96</v>
      </c>
      <c r="L3412" t="s">
        <v>96</v>
      </c>
      <c r="M3412">
        <v>1700.7</v>
      </c>
      <c r="O3412" s="12" t="str">
        <f t="shared" si="120"/>
        <v>URA</v>
      </c>
      <c r="P3412" s="12" t="str">
        <f t="shared" si="121"/>
        <v>E_SPV</v>
      </c>
    </row>
    <row r="3413" spans="1:16" x14ac:dyDescent="0.35">
      <c r="A3413" t="s">
        <v>1586</v>
      </c>
      <c r="B3413" t="s">
        <v>81</v>
      </c>
      <c r="C3413" t="s">
        <v>45</v>
      </c>
      <c r="D3413" t="s">
        <v>2303</v>
      </c>
      <c r="E3413" t="s">
        <v>96</v>
      </c>
      <c r="F3413" t="s">
        <v>96</v>
      </c>
      <c r="G3413" t="s">
        <v>96</v>
      </c>
      <c r="H3413">
        <v>2010</v>
      </c>
      <c r="I3413" t="s">
        <v>96</v>
      </c>
      <c r="J3413" t="s">
        <v>97</v>
      </c>
      <c r="K3413" t="s">
        <v>96</v>
      </c>
      <c r="L3413" t="s">
        <v>96</v>
      </c>
      <c r="M3413">
        <v>1700.7</v>
      </c>
      <c r="O3413" s="12" t="str">
        <f t="shared" si="120"/>
        <v>URA</v>
      </c>
      <c r="P3413" s="12" t="str">
        <f t="shared" si="121"/>
        <v>E_SPV</v>
      </c>
    </row>
    <row r="3414" spans="1:16" x14ac:dyDescent="0.35">
      <c r="A3414" t="s">
        <v>1586</v>
      </c>
      <c r="B3414" t="s">
        <v>81</v>
      </c>
      <c r="C3414" t="s">
        <v>45</v>
      </c>
      <c r="D3414" t="s">
        <v>2304</v>
      </c>
      <c r="E3414" t="s">
        <v>96</v>
      </c>
      <c r="F3414" t="s">
        <v>96</v>
      </c>
      <c r="G3414" t="s">
        <v>96</v>
      </c>
      <c r="H3414">
        <v>2010</v>
      </c>
      <c r="I3414" t="s">
        <v>96</v>
      </c>
      <c r="J3414" t="s">
        <v>97</v>
      </c>
      <c r="K3414" t="s">
        <v>96</v>
      </c>
      <c r="L3414" t="s">
        <v>96</v>
      </c>
      <c r="M3414">
        <v>1700.7</v>
      </c>
      <c r="O3414" s="12" t="str">
        <f t="shared" si="120"/>
        <v>URA</v>
      </c>
      <c r="P3414" s="12" t="str">
        <f t="shared" si="121"/>
        <v>E_SPV</v>
      </c>
    </row>
    <row r="3415" spans="1:16" x14ac:dyDescent="0.35">
      <c r="A3415" t="s">
        <v>1586</v>
      </c>
      <c r="B3415" t="s">
        <v>81</v>
      </c>
      <c r="C3415" t="s">
        <v>45</v>
      </c>
      <c r="D3415" t="s">
        <v>2305</v>
      </c>
      <c r="E3415" t="s">
        <v>96</v>
      </c>
      <c r="F3415" t="s">
        <v>96</v>
      </c>
      <c r="G3415" t="s">
        <v>96</v>
      </c>
      <c r="H3415">
        <v>2010</v>
      </c>
      <c r="I3415" t="s">
        <v>96</v>
      </c>
      <c r="J3415" t="s">
        <v>97</v>
      </c>
      <c r="K3415" t="s">
        <v>96</v>
      </c>
      <c r="L3415" t="s">
        <v>96</v>
      </c>
      <c r="M3415">
        <v>1700.7</v>
      </c>
      <c r="O3415" s="12" t="str">
        <f t="shared" si="120"/>
        <v>URA</v>
      </c>
      <c r="P3415" s="12" t="str">
        <f t="shared" si="121"/>
        <v>E_SPV</v>
      </c>
    </row>
    <row r="3416" spans="1:16" x14ac:dyDescent="0.35">
      <c r="A3416" t="s">
        <v>1586</v>
      </c>
      <c r="B3416" t="s">
        <v>81</v>
      </c>
      <c r="C3416" t="s">
        <v>45</v>
      </c>
      <c r="D3416" t="s">
        <v>2306</v>
      </c>
      <c r="E3416" t="s">
        <v>96</v>
      </c>
      <c r="F3416" t="s">
        <v>96</v>
      </c>
      <c r="G3416" t="s">
        <v>96</v>
      </c>
      <c r="H3416">
        <v>2010</v>
      </c>
      <c r="I3416" t="s">
        <v>96</v>
      </c>
      <c r="J3416" t="s">
        <v>97</v>
      </c>
      <c r="K3416" t="s">
        <v>96</v>
      </c>
      <c r="L3416" t="s">
        <v>96</v>
      </c>
      <c r="M3416">
        <v>2112.5</v>
      </c>
      <c r="O3416" s="12" t="str">
        <f t="shared" si="120"/>
        <v>URA</v>
      </c>
      <c r="P3416" s="12" t="str">
        <f t="shared" si="121"/>
        <v>E_SPV</v>
      </c>
    </row>
    <row r="3417" spans="1:16" x14ac:dyDescent="0.35">
      <c r="A3417" t="s">
        <v>1586</v>
      </c>
      <c r="B3417" t="s">
        <v>81</v>
      </c>
      <c r="C3417" t="s">
        <v>45</v>
      </c>
      <c r="D3417" t="s">
        <v>2307</v>
      </c>
      <c r="E3417" t="s">
        <v>96</v>
      </c>
      <c r="F3417" t="s">
        <v>96</v>
      </c>
      <c r="G3417" t="s">
        <v>96</v>
      </c>
      <c r="H3417">
        <v>2010</v>
      </c>
      <c r="I3417" t="s">
        <v>96</v>
      </c>
      <c r="J3417" t="s">
        <v>97</v>
      </c>
      <c r="K3417" t="s">
        <v>96</v>
      </c>
      <c r="L3417" t="s">
        <v>96</v>
      </c>
      <c r="M3417">
        <v>1700.7</v>
      </c>
      <c r="O3417" s="12" t="str">
        <f t="shared" si="120"/>
        <v>URA</v>
      </c>
      <c r="P3417" s="12" t="str">
        <f t="shared" si="121"/>
        <v>E_SPV</v>
      </c>
    </row>
    <row r="3418" spans="1:16" x14ac:dyDescent="0.35">
      <c r="A3418" t="s">
        <v>1586</v>
      </c>
      <c r="B3418" t="s">
        <v>81</v>
      </c>
      <c r="C3418" t="s">
        <v>45</v>
      </c>
      <c r="D3418" t="s">
        <v>2308</v>
      </c>
      <c r="E3418" t="s">
        <v>96</v>
      </c>
      <c r="F3418" t="s">
        <v>96</v>
      </c>
      <c r="G3418" t="s">
        <v>96</v>
      </c>
      <c r="H3418">
        <v>2010</v>
      </c>
      <c r="I3418" t="s">
        <v>96</v>
      </c>
      <c r="J3418" t="s">
        <v>97</v>
      </c>
      <c r="K3418" t="s">
        <v>96</v>
      </c>
      <c r="L3418" t="s">
        <v>96</v>
      </c>
      <c r="M3418">
        <v>1700.7</v>
      </c>
      <c r="O3418" s="12" t="str">
        <f t="shared" si="120"/>
        <v>URA</v>
      </c>
      <c r="P3418" s="12" t="str">
        <f t="shared" si="121"/>
        <v>E_SPV</v>
      </c>
    </row>
    <row r="3419" spans="1:16" x14ac:dyDescent="0.35">
      <c r="A3419" t="s">
        <v>1586</v>
      </c>
      <c r="B3419" t="s">
        <v>81</v>
      </c>
      <c r="C3419" t="s">
        <v>45</v>
      </c>
      <c r="D3419" t="s">
        <v>2309</v>
      </c>
      <c r="E3419" t="s">
        <v>96</v>
      </c>
      <c r="F3419" t="s">
        <v>96</v>
      </c>
      <c r="G3419" t="s">
        <v>96</v>
      </c>
      <c r="H3419">
        <v>2010</v>
      </c>
      <c r="I3419" t="s">
        <v>96</v>
      </c>
      <c r="J3419" t="s">
        <v>97</v>
      </c>
      <c r="K3419" t="s">
        <v>96</v>
      </c>
      <c r="L3419" t="s">
        <v>96</v>
      </c>
      <c r="M3419">
        <v>1700.7</v>
      </c>
      <c r="O3419" s="12" t="str">
        <f t="shared" si="120"/>
        <v>URA</v>
      </c>
      <c r="P3419" s="12" t="str">
        <f t="shared" si="121"/>
        <v>E_SPV</v>
      </c>
    </row>
    <row r="3420" spans="1:16" x14ac:dyDescent="0.35">
      <c r="A3420" t="s">
        <v>1586</v>
      </c>
      <c r="B3420" t="s">
        <v>81</v>
      </c>
      <c r="C3420" t="s">
        <v>45</v>
      </c>
      <c r="D3420" t="s">
        <v>2310</v>
      </c>
      <c r="E3420" t="s">
        <v>96</v>
      </c>
      <c r="F3420" t="s">
        <v>96</v>
      </c>
      <c r="G3420" t="s">
        <v>96</v>
      </c>
      <c r="H3420">
        <v>2010</v>
      </c>
      <c r="I3420" t="s">
        <v>96</v>
      </c>
      <c r="J3420" t="s">
        <v>97</v>
      </c>
      <c r="K3420" t="s">
        <v>96</v>
      </c>
      <c r="L3420" t="s">
        <v>96</v>
      </c>
      <c r="M3420">
        <v>1700.7</v>
      </c>
      <c r="O3420" s="12" t="str">
        <f t="shared" si="120"/>
        <v>URA</v>
      </c>
      <c r="P3420" s="12" t="str">
        <f t="shared" si="121"/>
        <v>E_SPV</v>
      </c>
    </row>
    <row r="3421" spans="1:16" x14ac:dyDescent="0.35">
      <c r="A3421" t="s">
        <v>1586</v>
      </c>
      <c r="B3421" t="s">
        <v>81</v>
      </c>
      <c r="C3421" t="s">
        <v>45</v>
      </c>
      <c r="D3421" t="s">
        <v>2311</v>
      </c>
      <c r="E3421" t="s">
        <v>96</v>
      </c>
      <c r="F3421" t="s">
        <v>96</v>
      </c>
      <c r="G3421" t="s">
        <v>96</v>
      </c>
      <c r="H3421">
        <v>2010</v>
      </c>
      <c r="I3421" t="s">
        <v>96</v>
      </c>
      <c r="J3421" t="s">
        <v>97</v>
      </c>
      <c r="K3421" t="s">
        <v>96</v>
      </c>
      <c r="L3421" t="s">
        <v>96</v>
      </c>
      <c r="M3421">
        <v>1700.7</v>
      </c>
      <c r="O3421" s="12" t="str">
        <f t="shared" si="120"/>
        <v>URA</v>
      </c>
      <c r="P3421" s="12" t="str">
        <f t="shared" si="121"/>
        <v>E_SPV</v>
      </c>
    </row>
    <row r="3422" spans="1:16" x14ac:dyDescent="0.35">
      <c r="A3422" t="s">
        <v>1586</v>
      </c>
      <c r="B3422" t="s">
        <v>81</v>
      </c>
      <c r="C3422" t="s">
        <v>45</v>
      </c>
      <c r="D3422" t="s">
        <v>2312</v>
      </c>
      <c r="E3422" t="s">
        <v>96</v>
      </c>
      <c r="F3422" t="s">
        <v>96</v>
      </c>
      <c r="G3422" t="s">
        <v>96</v>
      </c>
      <c r="H3422">
        <v>2010</v>
      </c>
      <c r="I3422" t="s">
        <v>96</v>
      </c>
      <c r="J3422" t="s">
        <v>97</v>
      </c>
      <c r="K3422" t="s">
        <v>96</v>
      </c>
      <c r="L3422" t="s">
        <v>96</v>
      </c>
      <c r="M3422">
        <v>1700.7</v>
      </c>
      <c r="O3422" s="12" t="str">
        <f t="shared" si="120"/>
        <v>URA</v>
      </c>
      <c r="P3422" s="12" t="str">
        <f t="shared" si="121"/>
        <v>E_SPV</v>
      </c>
    </row>
    <row r="3423" spans="1:16" x14ac:dyDescent="0.35">
      <c r="A3423" t="s">
        <v>1586</v>
      </c>
      <c r="B3423" t="s">
        <v>81</v>
      </c>
      <c r="C3423" t="s">
        <v>45</v>
      </c>
      <c r="D3423" t="s">
        <v>2313</v>
      </c>
      <c r="E3423" t="s">
        <v>96</v>
      </c>
      <c r="F3423" t="s">
        <v>96</v>
      </c>
      <c r="G3423" t="s">
        <v>96</v>
      </c>
      <c r="H3423">
        <v>2010</v>
      </c>
      <c r="I3423" t="s">
        <v>96</v>
      </c>
      <c r="J3423" t="s">
        <v>97</v>
      </c>
      <c r="K3423" t="s">
        <v>96</v>
      </c>
      <c r="L3423" t="s">
        <v>96</v>
      </c>
      <c r="M3423">
        <v>1300</v>
      </c>
      <c r="O3423" s="12" t="str">
        <f t="shared" si="120"/>
        <v>URA</v>
      </c>
      <c r="P3423" s="12" t="str">
        <f t="shared" si="121"/>
        <v>E_SPV</v>
      </c>
    </row>
    <row r="3424" spans="1:16" x14ac:dyDescent="0.35">
      <c r="A3424" t="s">
        <v>1586</v>
      </c>
      <c r="B3424" t="s">
        <v>81</v>
      </c>
      <c r="C3424" t="s">
        <v>45</v>
      </c>
      <c r="D3424" t="s">
        <v>2314</v>
      </c>
      <c r="E3424" t="s">
        <v>96</v>
      </c>
      <c r="F3424" t="s">
        <v>96</v>
      </c>
      <c r="G3424" t="s">
        <v>96</v>
      </c>
      <c r="H3424">
        <v>2010</v>
      </c>
      <c r="I3424" t="s">
        <v>96</v>
      </c>
      <c r="J3424" t="s">
        <v>97</v>
      </c>
      <c r="K3424" t="s">
        <v>96</v>
      </c>
      <c r="L3424" t="s">
        <v>96</v>
      </c>
      <c r="M3424">
        <v>1700.7</v>
      </c>
      <c r="O3424" s="12" t="str">
        <f t="shared" si="120"/>
        <v>URA</v>
      </c>
      <c r="P3424" s="12" t="str">
        <f t="shared" si="121"/>
        <v>E_SPV</v>
      </c>
    </row>
    <row r="3425" spans="1:16" x14ac:dyDescent="0.35">
      <c r="A3425" t="s">
        <v>1586</v>
      </c>
      <c r="B3425" t="s">
        <v>81</v>
      </c>
      <c r="C3425" t="s">
        <v>45</v>
      </c>
      <c r="D3425" t="s">
        <v>2315</v>
      </c>
      <c r="E3425" t="s">
        <v>96</v>
      </c>
      <c r="F3425" t="s">
        <v>96</v>
      </c>
      <c r="G3425" t="s">
        <v>96</v>
      </c>
      <c r="H3425">
        <v>2010</v>
      </c>
      <c r="I3425" t="s">
        <v>96</v>
      </c>
      <c r="J3425" t="s">
        <v>97</v>
      </c>
      <c r="K3425" t="s">
        <v>96</v>
      </c>
      <c r="L3425" t="s">
        <v>96</v>
      </c>
      <c r="M3425">
        <v>1500.2</v>
      </c>
      <c r="O3425" s="12" t="str">
        <f t="shared" si="120"/>
        <v>URA</v>
      </c>
      <c r="P3425" s="12" t="str">
        <f t="shared" si="121"/>
        <v>E_SPV</v>
      </c>
    </row>
    <row r="3426" spans="1:16" x14ac:dyDescent="0.35">
      <c r="A3426" t="s">
        <v>1586</v>
      </c>
      <c r="B3426" t="s">
        <v>81</v>
      </c>
      <c r="C3426" t="s">
        <v>45</v>
      </c>
      <c r="D3426" t="s">
        <v>2316</v>
      </c>
      <c r="E3426" t="s">
        <v>96</v>
      </c>
      <c r="F3426" t="s">
        <v>96</v>
      </c>
      <c r="G3426" t="s">
        <v>96</v>
      </c>
      <c r="H3426">
        <v>2010</v>
      </c>
      <c r="I3426" t="s">
        <v>96</v>
      </c>
      <c r="J3426" t="s">
        <v>97</v>
      </c>
      <c r="K3426" t="s">
        <v>96</v>
      </c>
      <c r="L3426" t="s">
        <v>96</v>
      </c>
      <c r="M3426">
        <v>1700.7</v>
      </c>
      <c r="O3426" s="12" t="str">
        <f t="shared" si="120"/>
        <v>URA</v>
      </c>
      <c r="P3426" s="12" t="str">
        <f t="shared" si="121"/>
        <v>E_SPV</v>
      </c>
    </row>
    <row r="3427" spans="1:16" x14ac:dyDescent="0.35">
      <c r="A3427" t="s">
        <v>1586</v>
      </c>
      <c r="B3427" t="s">
        <v>81</v>
      </c>
      <c r="C3427" t="s">
        <v>45</v>
      </c>
      <c r="D3427" t="s">
        <v>2317</v>
      </c>
      <c r="E3427" t="s">
        <v>96</v>
      </c>
      <c r="F3427" t="s">
        <v>96</v>
      </c>
      <c r="G3427" t="s">
        <v>96</v>
      </c>
      <c r="H3427">
        <v>2010</v>
      </c>
      <c r="I3427" t="s">
        <v>96</v>
      </c>
      <c r="J3427" t="s">
        <v>97</v>
      </c>
      <c r="K3427" t="s">
        <v>96</v>
      </c>
      <c r="L3427" t="s">
        <v>96</v>
      </c>
      <c r="M3427">
        <v>1700.7</v>
      </c>
      <c r="O3427" s="12" t="str">
        <f t="shared" si="120"/>
        <v>URA</v>
      </c>
      <c r="P3427" s="12" t="str">
        <f t="shared" si="121"/>
        <v>E_SPV</v>
      </c>
    </row>
    <row r="3428" spans="1:16" x14ac:dyDescent="0.35">
      <c r="A3428" t="s">
        <v>1586</v>
      </c>
      <c r="B3428" t="s">
        <v>81</v>
      </c>
      <c r="C3428" t="s">
        <v>45</v>
      </c>
      <c r="D3428" t="s">
        <v>2318</v>
      </c>
      <c r="E3428" t="s">
        <v>96</v>
      </c>
      <c r="F3428" t="s">
        <v>96</v>
      </c>
      <c r="G3428" t="s">
        <v>96</v>
      </c>
      <c r="H3428">
        <v>2010</v>
      </c>
      <c r="I3428" t="s">
        <v>96</v>
      </c>
      <c r="J3428" t="s">
        <v>97</v>
      </c>
      <c r="K3428" t="s">
        <v>96</v>
      </c>
      <c r="L3428" t="s">
        <v>96</v>
      </c>
      <c r="M3428">
        <v>1700.7</v>
      </c>
      <c r="O3428" s="12" t="str">
        <f t="shared" si="120"/>
        <v>URA</v>
      </c>
      <c r="P3428" s="12" t="str">
        <f t="shared" si="121"/>
        <v>E_SPV</v>
      </c>
    </row>
    <row r="3429" spans="1:16" x14ac:dyDescent="0.35">
      <c r="A3429" t="s">
        <v>1586</v>
      </c>
      <c r="B3429" t="s">
        <v>81</v>
      </c>
      <c r="C3429" t="s">
        <v>45</v>
      </c>
      <c r="D3429" t="s">
        <v>2319</v>
      </c>
      <c r="E3429" t="s">
        <v>96</v>
      </c>
      <c r="F3429" t="s">
        <v>96</v>
      </c>
      <c r="G3429" t="s">
        <v>96</v>
      </c>
      <c r="H3429">
        <v>2010</v>
      </c>
      <c r="I3429" t="s">
        <v>96</v>
      </c>
      <c r="J3429" t="s">
        <v>97</v>
      </c>
      <c r="K3429" t="s">
        <v>96</v>
      </c>
      <c r="L3429" t="s">
        <v>96</v>
      </c>
      <c r="M3429">
        <v>1700.7</v>
      </c>
      <c r="O3429" s="12" t="str">
        <f t="shared" si="120"/>
        <v>URA</v>
      </c>
      <c r="P3429" s="12" t="str">
        <f t="shared" si="121"/>
        <v>E_SPV</v>
      </c>
    </row>
    <row r="3430" spans="1:16" x14ac:dyDescent="0.35">
      <c r="A3430" t="s">
        <v>1586</v>
      </c>
      <c r="B3430" t="s">
        <v>81</v>
      </c>
      <c r="C3430" t="s">
        <v>45</v>
      </c>
      <c r="D3430" t="s">
        <v>2320</v>
      </c>
      <c r="E3430" t="s">
        <v>96</v>
      </c>
      <c r="F3430" t="s">
        <v>96</v>
      </c>
      <c r="G3430" t="s">
        <v>96</v>
      </c>
      <c r="H3430">
        <v>2010</v>
      </c>
      <c r="I3430" t="s">
        <v>96</v>
      </c>
      <c r="J3430" t="s">
        <v>97</v>
      </c>
      <c r="K3430" t="s">
        <v>96</v>
      </c>
      <c r="L3430" t="s">
        <v>96</v>
      </c>
      <c r="M3430">
        <v>1700.7</v>
      </c>
      <c r="O3430" s="12" t="str">
        <f t="shared" si="120"/>
        <v>URA</v>
      </c>
      <c r="P3430" s="12" t="str">
        <f t="shared" si="121"/>
        <v>E_SPV</v>
      </c>
    </row>
    <row r="3431" spans="1:16" x14ac:dyDescent="0.35">
      <c r="A3431" t="s">
        <v>1586</v>
      </c>
      <c r="B3431" t="s">
        <v>81</v>
      </c>
      <c r="C3431" t="s">
        <v>45</v>
      </c>
      <c r="D3431" t="s">
        <v>2321</v>
      </c>
      <c r="E3431" t="s">
        <v>96</v>
      </c>
      <c r="F3431" t="s">
        <v>96</v>
      </c>
      <c r="G3431" t="s">
        <v>96</v>
      </c>
      <c r="H3431">
        <v>2010</v>
      </c>
      <c r="I3431" t="s">
        <v>96</v>
      </c>
      <c r="J3431" t="s">
        <v>97</v>
      </c>
      <c r="K3431" t="s">
        <v>96</v>
      </c>
      <c r="L3431" t="s">
        <v>96</v>
      </c>
      <c r="M3431">
        <v>1700.7</v>
      </c>
      <c r="O3431" s="12" t="str">
        <f t="shared" si="120"/>
        <v>URA</v>
      </c>
      <c r="P3431" s="12" t="str">
        <f t="shared" si="121"/>
        <v>E_SPV</v>
      </c>
    </row>
    <row r="3432" spans="1:16" x14ac:dyDescent="0.35">
      <c r="A3432" t="s">
        <v>1586</v>
      </c>
      <c r="B3432" t="s">
        <v>81</v>
      </c>
      <c r="C3432" t="s">
        <v>45</v>
      </c>
      <c r="D3432" t="s">
        <v>2322</v>
      </c>
      <c r="E3432" t="s">
        <v>96</v>
      </c>
      <c r="F3432" t="s">
        <v>96</v>
      </c>
      <c r="G3432" t="s">
        <v>96</v>
      </c>
      <c r="H3432">
        <v>2010</v>
      </c>
      <c r="I3432" t="s">
        <v>96</v>
      </c>
      <c r="J3432" t="s">
        <v>97</v>
      </c>
      <c r="K3432" t="s">
        <v>96</v>
      </c>
      <c r="L3432" t="s">
        <v>96</v>
      </c>
      <c r="M3432">
        <v>2112.5</v>
      </c>
      <c r="O3432" s="12" t="str">
        <f t="shared" si="120"/>
        <v>URA</v>
      </c>
      <c r="P3432" s="12" t="str">
        <f t="shared" si="121"/>
        <v>E_SPV</v>
      </c>
    </row>
    <row r="3433" spans="1:16" x14ac:dyDescent="0.35">
      <c r="A3433" t="s">
        <v>1586</v>
      </c>
      <c r="B3433" t="s">
        <v>81</v>
      </c>
      <c r="C3433" t="s">
        <v>45</v>
      </c>
      <c r="D3433" t="s">
        <v>2323</v>
      </c>
      <c r="E3433" t="s">
        <v>96</v>
      </c>
      <c r="F3433" t="s">
        <v>96</v>
      </c>
      <c r="G3433" t="s">
        <v>96</v>
      </c>
      <c r="H3433">
        <v>2010</v>
      </c>
      <c r="I3433" t="s">
        <v>96</v>
      </c>
      <c r="J3433" t="s">
        <v>97</v>
      </c>
      <c r="K3433" t="s">
        <v>96</v>
      </c>
      <c r="L3433" t="s">
        <v>96</v>
      </c>
      <c r="M3433">
        <v>1700.7</v>
      </c>
      <c r="O3433" s="12" t="str">
        <f t="shared" si="120"/>
        <v>URA</v>
      </c>
      <c r="P3433" s="12" t="str">
        <f t="shared" si="121"/>
        <v>E_SPV</v>
      </c>
    </row>
    <row r="3434" spans="1:16" x14ac:dyDescent="0.35">
      <c r="A3434" t="s">
        <v>1586</v>
      </c>
      <c r="B3434" t="s">
        <v>81</v>
      </c>
      <c r="C3434" t="s">
        <v>45</v>
      </c>
      <c r="D3434" t="s">
        <v>2324</v>
      </c>
      <c r="E3434" t="s">
        <v>96</v>
      </c>
      <c r="F3434" t="s">
        <v>96</v>
      </c>
      <c r="G3434" t="s">
        <v>96</v>
      </c>
      <c r="H3434">
        <v>2010</v>
      </c>
      <c r="I3434" t="s">
        <v>96</v>
      </c>
      <c r="J3434" t="s">
        <v>97</v>
      </c>
      <c r="K3434" t="s">
        <v>96</v>
      </c>
      <c r="L3434" t="s">
        <v>96</v>
      </c>
      <c r="M3434">
        <v>1700.7</v>
      </c>
      <c r="O3434" s="12" t="str">
        <f t="shared" si="120"/>
        <v>URA</v>
      </c>
      <c r="P3434" s="12" t="str">
        <f t="shared" si="121"/>
        <v>E_SPV</v>
      </c>
    </row>
    <row r="3435" spans="1:16" x14ac:dyDescent="0.35">
      <c r="A3435" t="s">
        <v>1586</v>
      </c>
      <c r="B3435" t="s">
        <v>81</v>
      </c>
      <c r="C3435" t="s">
        <v>45</v>
      </c>
      <c r="D3435" t="s">
        <v>2325</v>
      </c>
      <c r="E3435" t="s">
        <v>96</v>
      </c>
      <c r="F3435" t="s">
        <v>96</v>
      </c>
      <c r="G3435" t="s">
        <v>96</v>
      </c>
      <c r="H3435">
        <v>2010</v>
      </c>
      <c r="I3435" t="s">
        <v>96</v>
      </c>
      <c r="J3435" t="s">
        <v>97</v>
      </c>
      <c r="K3435" t="s">
        <v>96</v>
      </c>
      <c r="L3435" t="s">
        <v>96</v>
      </c>
      <c r="M3435">
        <v>1700.7</v>
      </c>
      <c r="O3435" s="12" t="str">
        <f t="shared" si="120"/>
        <v>URA</v>
      </c>
      <c r="P3435" s="12" t="str">
        <f t="shared" si="121"/>
        <v>E_SPV</v>
      </c>
    </row>
    <row r="3436" spans="1:16" x14ac:dyDescent="0.35">
      <c r="A3436" t="s">
        <v>1586</v>
      </c>
      <c r="B3436" t="s">
        <v>81</v>
      </c>
      <c r="C3436" t="s">
        <v>45</v>
      </c>
      <c r="D3436" t="s">
        <v>2326</v>
      </c>
      <c r="E3436" t="s">
        <v>96</v>
      </c>
      <c r="F3436" t="s">
        <v>96</v>
      </c>
      <c r="G3436" t="s">
        <v>96</v>
      </c>
      <c r="H3436">
        <v>2010</v>
      </c>
      <c r="I3436" t="s">
        <v>96</v>
      </c>
      <c r="J3436" t="s">
        <v>97</v>
      </c>
      <c r="K3436" t="s">
        <v>96</v>
      </c>
      <c r="L3436" t="s">
        <v>96</v>
      </c>
      <c r="M3436">
        <v>1700.7</v>
      </c>
      <c r="O3436" s="12" t="str">
        <f t="shared" si="120"/>
        <v>URA</v>
      </c>
      <c r="P3436" s="12" t="str">
        <f t="shared" si="121"/>
        <v>E_SPV</v>
      </c>
    </row>
    <row r="3437" spans="1:16" x14ac:dyDescent="0.35">
      <c r="A3437" t="s">
        <v>1586</v>
      </c>
      <c r="B3437" t="s">
        <v>81</v>
      </c>
      <c r="C3437" t="s">
        <v>45</v>
      </c>
      <c r="D3437" t="s">
        <v>2327</v>
      </c>
      <c r="E3437" t="s">
        <v>96</v>
      </c>
      <c r="F3437" t="s">
        <v>96</v>
      </c>
      <c r="G3437" t="s">
        <v>96</v>
      </c>
      <c r="H3437">
        <v>2010</v>
      </c>
      <c r="I3437" t="s">
        <v>96</v>
      </c>
      <c r="J3437" t="s">
        <v>97</v>
      </c>
      <c r="K3437" t="s">
        <v>96</v>
      </c>
      <c r="L3437" t="s">
        <v>96</v>
      </c>
      <c r="M3437">
        <v>1700.7</v>
      </c>
      <c r="O3437" s="12" t="str">
        <f t="shared" si="120"/>
        <v>URA</v>
      </c>
      <c r="P3437" s="12" t="str">
        <f t="shared" si="121"/>
        <v>E_SPV</v>
      </c>
    </row>
    <row r="3438" spans="1:16" x14ac:dyDescent="0.35">
      <c r="A3438" t="s">
        <v>1586</v>
      </c>
      <c r="B3438" t="s">
        <v>81</v>
      </c>
      <c r="C3438" t="s">
        <v>45</v>
      </c>
      <c r="D3438" t="s">
        <v>2328</v>
      </c>
      <c r="E3438" t="s">
        <v>96</v>
      </c>
      <c r="F3438" t="s">
        <v>96</v>
      </c>
      <c r="G3438" t="s">
        <v>96</v>
      </c>
      <c r="H3438">
        <v>2010</v>
      </c>
      <c r="I3438" t="s">
        <v>96</v>
      </c>
      <c r="J3438" t="s">
        <v>97</v>
      </c>
      <c r="K3438" t="s">
        <v>96</v>
      </c>
      <c r="L3438" t="s">
        <v>96</v>
      </c>
      <c r="M3438">
        <v>1700.7</v>
      </c>
      <c r="O3438" s="12" t="str">
        <f t="shared" si="120"/>
        <v>URA</v>
      </c>
      <c r="P3438" s="12" t="str">
        <f t="shared" si="121"/>
        <v>E_SPV</v>
      </c>
    </row>
    <row r="3439" spans="1:16" x14ac:dyDescent="0.35">
      <c r="A3439" t="s">
        <v>1586</v>
      </c>
      <c r="B3439" t="s">
        <v>81</v>
      </c>
      <c r="C3439" t="s">
        <v>45</v>
      </c>
      <c r="D3439" t="s">
        <v>2329</v>
      </c>
      <c r="E3439" t="s">
        <v>96</v>
      </c>
      <c r="F3439" t="s">
        <v>96</v>
      </c>
      <c r="G3439" t="s">
        <v>96</v>
      </c>
      <c r="H3439">
        <v>2010</v>
      </c>
      <c r="I3439" t="s">
        <v>96</v>
      </c>
      <c r="J3439" t="s">
        <v>97</v>
      </c>
      <c r="K3439" t="s">
        <v>96</v>
      </c>
      <c r="L3439" t="s">
        <v>96</v>
      </c>
      <c r="M3439">
        <v>1700.7</v>
      </c>
      <c r="O3439" s="12" t="str">
        <f t="shared" si="120"/>
        <v>URA</v>
      </c>
      <c r="P3439" s="12" t="str">
        <f t="shared" si="121"/>
        <v>E_SPV</v>
      </c>
    </row>
    <row r="3440" spans="1:16" x14ac:dyDescent="0.35">
      <c r="A3440" t="s">
        <v>1586</v>
      </c>
      <c r="B3440" t="s">
        <v>81</v>
      </c>
      <c r="C3440" t="s">
        <v>45</v>
      </c>
      <c r="D3440" t="s">
        <v>2330</v>
      </c>
      <c r="E3440" t="s">
        <v>96</v>
      </c>
      <c r="F3440" t="s">
        <v>96</v>
      </c>
      <c r="G3440" t="s">
        <v>96</v>
      </c>
      <c r="H3440">
        <v>2010</v>
      </c>
      <c r="I3440" t="s">
        <v>96</v>
      </c>
      <c r="J3440" t="s">
        <v>97</v>
      </c>
      <c r="K3440" t="s">
        <v>96</v>
      </c>
      <c r="L3440" t="s">
        <v>96</v>
      </c>
      <c r="M3440">
        <v>1700.7</v>
      </c>
      <c r="O3440" s="12" t="str">
        <f t="shared" si="120"/>
        <v>URA</v>
      </c>
      <c r="P3440" s="12" t="str">
        <f t="shared" si="121"/>
        <v>E_SPV</v>
      </c>
    </row>
    <row r="3441" spans="1:16" x14ac:dyDescent="0.35">
      <c r="A3441" t="s">
        <v>1586</v>
      </c>
      <c r="B3441" t="s">
        <v>81</v>
      </c>
      <c r="C3441" t="s">
        <v>45</v>
      </c>
      <c r="D3441" t="s">
        <v>2331</v>
      </c>
      <c r="E3441" t="s">
        <v>96</v>
      </c>
      <c r="F3441" t="s">
        <v>96</v>
      </c>
      <c r="G3441" t="s">
        <v>96</v>
      </c>
      <c r="H3441">
        <v>2010</v>
      </c>
      <c r="I3441" t="s">
        <v>96</v>
      </c>
      <c r="J3441" t="s">
        <v>97</v>
      </c>
      <c r="K3441" t="s">
        <v>96</v>
      </c>
      <c r="L3441" t="s">
        <v>96</v>
      </c>
      <c r="M3441">
        <v>1700.7</v>
      </c>
      <c r="O3441" s="12" t="str">
        <f t="shared" si="120"/>
        <v>URA</v>
      </c>
      <c r="P3441" s="12" t="str">
        <f t="shared" si="121"/>
        <v>E_SPV</v>
      </c>
    </row>
    <row r="3442" spans="1:16" x14ac:dyDescent="0.35">
      <c r="A3442" t="s">
        <v>1586</v>
      </c>
      <c r="B3442" t="s">
        <v>81</v>
      </c>
      <c r="C3442" t="s">
        <v>45</v>
      </c>
      <c r="D3442" t="s">
        <v>2332</v>
      </c>
      <c r="E3442" t="s">
        <v>96</v>
      </c>
      <c r="F3442" t="s">
        <v>96</v>
      </c>
      <c r="G3442" t="s">
        <v>96</v>
      </c>
      <c r="H3442">
        <v>2010</v>
      </c>
      <c r="I3442" t="s">
        <v>96</v>
      </c>
      <c r="J3442" t="s">
        <v>97</v>
      </c>
      <c r="K3442" t="s">
        <v>96</v>
      </c>
      <c r="L3442" t="s">
        <v>96</v>
      </c>
      <c r="M3442">
        <v>1300</v>
      </c>
      <c r="O3442" s="12" t="str">
        <f t="shared" si="120"/>
        <v>URA</v>
      </c>
      <c r="P3442" s="12" t="str">
        <f t="shared" si="121"/>
        <v>E_SPV</v>
      </c>
    </row>
    <row r="3443" spans="1:16" x14ac:dyDescent="0.35">
      <c r="A3443" t="s">
        <v>1586</v>
      </c>
      <c r="B3443" t="s">
        <v>81</v>
      </c>
      <c r="C3443" t="s">
        <v>45</v>
      </c>
      <c r="D3443" t="s">
        <v>2333</v>
      </c>
      <c r="E3443" t="s">
        <v>96</v>
      </c>
      <c r="F3443" t="s">
        <v>96</v>
      </c>
      <c r="G3443" t="s">
        <v>96</v>
      </c>
      <c r="H3443">
        <v>2010</v>
      </c>
      <c r="I3443" t="s">
        <v>96</v>
      </c>
      <c r="J3443" t="s">
        <v>97</v>
      </c>
      <c r="K3443" t="s">
        <v>96</v>
      </c>
      <c r="L3443" t="s">
        <v>96</v>
      </c>
      <c r="M3443">
        <v>1700.7</v>
      </c>
      <c r="O3443" s="12" t="str">
        <f t="shared" si="120"/>
        <v>URA</v>
      </c>
      <c r="P3443" s="12" t="str">
        <f t="shared" si="121"/>
        <v>E_SPV</v>
      </c>
    </row>
    <row r="3444" spans="1:16" x14ac:dyDescent="0.35">
      <c r="A3444" t="s">
        <v>1586</v>
      </c>
      <c r="B3444" t="s">
        <v>81</v>
      </c>
      <c r="C3444" t="s">
        <v>45</v>
      </c>
      <c r="D3444" t="s">
        <v>2334</v>
      </c>
      <c r="E3444" t="s">
        <v>96</v>
      </c>
      <c r="F3444" t="s">
        <v>96</v>
      </c>
      <c r="G3444" t="s">
        <v>96</v>
      </c>
      <c r="H3444">
        <v>2010</v>
      </c>
      <c r="I3444" t="s">
        <v>96</v>
      </c>
      <c r="J3444" t="s">
        <v>97</v>
      </c>
      <c r="K3444" t="s">
        <v>96</v>
      </c>
      <c r="L3444" t="s">
        <v>96</v>
      </c>
      <c r="M3444">
        <v>1890.2</v>
      </c>
      <c r="O3444" s="12" t="str">
        <f t="shared" si="120"/>
        <v>URA</v>
      </c>
      <c r="P3444" s="12" t="str">
        <f t="shared" si="121"/>
        <v>E_SPV</v>
      </c>
    </row>
    <row r="3445" spans="1:16" x14ac:dyDescent="0.35">
      <c r="A3445" t="s">
        <v>1586</v>
      </c>
      <c r="B3445" t="s">
        <v>81</v>
      </c>
      <c r="C3445" t="s">
        <v>45</v>
      </c>
      <c r="D3445" t="s">
        <v>2335</v>
      </c>
      <c r="E3445" t="s">
        <v>96</v>
      </c>
      <c r="F3445" t="s">
        <v>96</v>
      </c>
      <c r="G3445" t="s">
        <v>96</v>
      </c>
      <c r="H3445">
        <v>2010</v>
      </c>
      <c r="I3445" t="s">
        <v>96</v>
      </c>
      <c r="J3445" t="s">
        <v>97</v>
      </c>
      <c r="K3445" t="s">
        <v>96</v>
      </c>
      <c r="L3445" t="s">
        <v>96</v>
      </c>
      <c r="M3445">
        <v>1500.2</v>
      </c>
      <c r="O3445" s="12" t="str">
        <f t="shared" si="120"/>
        <v>URA</v>
      </c>
      <c r="P3445" s="12" t="str">
        <f t="shared" si="121"/>
        <v>E_SPV</v>
      </c>
    </row>
    <row r="3446" spans="1:16" x14ac:dyDescent="0.35">
      <c r="A3446" t="s">
        <v>1586</v>
      </c>
      <c r="B3446" t="s">
        <v>81</v>
      </c>
      <c r="C3446" t="s">
        <v>45</v>
      </c>
      <c r="D3446" t="s">
        <v>2336</v>
      </c>
      <c r="E3446" t="s">
        <v>96</v>
      </c>
      <c r="F3446" t="s">
        <v>96</v>
      </c>
      <c r="G3446" t="s">
        <v>96</v>
      </c>
      <c r="H3446">
        <v>2010</v>
      </c>
      <c r="I3446" t="s">
        <v>96</v>
      </c>
      <c r="J3446" t="s">
        <v>97</v>
      </c>
      <c r="K3446" t="s">
        <v>96</v>
      </c>
      <c r="L3446" t="s">
        <v>96</v>
      </c>
      <c r="M3446">
        <v>1700.7</v>
      </c>
      <c r="O3446" s="12" t="str">
        <f t="shared" si="120"/>
        <v>URA</v>
      </c>
      <c r="P3446" s="12" t="str">
        <f t="shared" si="121"/>
        <v>E_SPV</v>
      </c>
    </row>
    <row r="3447" spans="1:16" x14ac:dyDescent="0.35">
      <c r="A3447" t="s">
        <v>1586</v>
      </c>
      <c r="B3447" t="s">
        <v>81</v>
      </c>
      <c r="C3447" t="s">
        <v>45</v>
      </c>
      <c r="D3447" t="s">
        <v>2337</v>
      </c>
      <c r="E3447" t="s">
        <v>96</v>
      </c>
      <c r="F3447" t="s">
        <v>96</v>
      </c>
      <c r="G3447" t="s">
        <v>96</v>
      </c>
      <c r="H3447">
        <v>2010</v>
      </c>
      <c r="I3447" t="s">
        <v>96</v>
      </c>
      <c r="J3447" t="s">
        <v>97</v>
      </c>
      <c r="K3447" t="s">
        <v>96</v>
      </c>
      <c r="L3447" t="s">
        <v>96</v>
      </c>
      <c r="M3447">
        <v>1700.7</v>
      </c>
      <c r="O3447" s="12" t="str">
        <f t="shared" si="120"/>
        <v>URA</v>
      </c>
      <c r="P3447" s="12" t="str">
        <f t="shared" si="121"/>
        <v>E_SPV</v>
      </c>
    </row>
    <row r="3448" spans="1:16" x14ac:dyDescent="0.35">
      <c r="A3448" t="s">
        <v>1586</v>
      </c>
      <c r="B3448" t="s">
        <v>81</v>
      </c>
      <c r="C3448" t="s">
        <v>45</v>
      </c>
      <c r="D3448" t="s">
        <v>2338</v>
      </c>
      <c r="E3448" t="s">
        <v>96</v>
      </c>
      <c r="F3448" t="s">
        <v>96</v>
      </c>
      <c r="G3448" t="s">
        <v>96</v>
      </c>
      <c r="H3448">
        <v>2010</v>
      </c>
      <c r="I3448" t="s">
        <v>96</v>
      </c>
      <c r="J3448" t="s">
        <v>97</v>
      </c>
      <c r="K3448" t="s">
        <v>96</v>
      </c>
      <c r="L3448" t="s">
        <v>96</v>
      </c>
      <c r="M3448">
        <v>1700.7</v>
      </c>
      <c r="O3448" s="12" t="str">
        <f t="shared" si="120"/>
        <v>URA</v>
      </c>
      <c r="P3448" s="12" t="str">
        <f t="shared" si="121"/>
        <v>E_SPV</v>
      </c>
    </row>
    <row r="3449" spans="1:16" x14ac:dyDescent="0.35">
      <c r="A3449" t="s">
        <v>1586</v>
      </c>
      <c r="B3449" t="s">
        <v>81</v>
      </c>
      <c r="C3449" t="s">
        <v>45</v>
      </c>
      <c r="D3449" t="s">
        <v>2339</v>
      </c>
      <c r="E3449" t="s">
        <v>96</v>
      </c>
      <c r="F3449" t="s">
        <v>96</v>
      </c>
      <c r="G3449" t="s">
        <v>96</v>
      </c>
      <c r="H3449">
        <v>2010</v>
      </c>
      <c r="I3449" t="s">
        <v>96</v>
      </c>
      <c r="J3449" t="s">
        <v>97</v>
      </c>
      <c r="K3449" t="s">
        <v>96</v>
      </c>
      <c r="L3449" t="s">
        <v>96</v>
      </c>
      <c r="M3449">
        <v>1700.7</v>
      </c>
      <c r="O3449" s="12" t="str">
        <f t="shared" si="120"/>
        <v>URA</v>
      </c>
      <c r="P3449" s="12" t="str">
        <f t="shared" si="121"/>
        <v>E_SPV</v>
      </c>
    </row>
    <row r="3450" spans="1:16" x14ac:dyDescent="0.35">
      <c r="A3450" t="s">
        <v>1586</v>
      </c>
      <c r="B3450" t="s">
        <v>81</v>
      </c>
      <c r="C3450" t="s">
        <v>45</v>
      </c>
      <c r="D3450" t="s">
        <v>2340</v>
      </c>
      <c r="E3450" t="s">
        <v>96</v>
      </c>
      <c r="F3450" t="s">
        <v>96</v>
      </c>
      <c r="G3450" t="s">
        <v>96</v>
      </c>
      <c r="H3450">
        <v>2010</v>
      </c>
      <c r="I3450" t="s">
        <v>96</v>
      </c>
      <c r="J3450" t="s">
        <v>97</v>
      </c>
      <c r="K3450" t="s">
        <v>96</v>
      </c>
      <c r="L3450" t="s">
        <v>96</v>
      </c>
      <c r="M3450">
        <v>1700.7</v>
      </c>
      <c r="O3450" s="12" t="str">
        <f t="shared" si="120"/>
        <v>URA</v>
      </c>
      <c r="P3450" s="12" t="str">
        <f t="shared" si="121"/>
        <v>E_SPV</v>
      </c>
    </row>
    <row r="3451" spans="1:16" x14ac:dyDescent="0.35">
      <c r="A3451" t="s">
        <v>1586</v>
      </c>
      <c r="B3451" t="s">
        <v>81</v>
      </c>
      <c r="C3451" t="s">
        <v>45</v>
      </c>
      <c r="D3451" t="s">
        <v>2341</v>
      </c>
      <c r="E3451" t="s">
        <v>96</v>
      </c>
      <c r="F3451" t="s">
        <v>96</v>
      </c>
      <c r="G3451" t="s">
        <v>96</v>
      </c>
      <c r="H3451">
        <v>2010</v>
      </c>
      <c r="I3451" t="s">
        <v>96</v>
      </c>
      <c r="J3451" t="s">
        <v>97</v>
      </c>
      <c r="K3451" t="s">
        <v>96</v>
      </c>
      <c r="L3451" t="s">
        <v>96</v>
      </c>
      <c r="M3451">
        <v>2112.5</v>
      </c>
      <c r="O3451" s="12" t="str">
        <f t="shared" si="120"/>
        <v>URA</v>
      </c>
      <c r="P3451" s="12" t="str">
        <f t="shared" si="121"/>
        <v>E_SPV</v>
      </c>
    </row>
    <row r="3452" spans="1:16" x14ac:dyDescent="0.35">
      <c r="A3452" t="s">
        <v>1586</v>
      </c>
      <c r="B3452" t="s">
        <v>81</v>
      </c>
      <c r="C3452" t="s">
        <v>45</v>
      </c>
      <c r="D3452" t="s">
        <v>2342</v>
      </c>
      <c r="E3452" t="s">
        <v>96</v>
      </c>
      <c r="F3452" t="s">
        <v>96</v>
      </c>
      <c r="G3452" t="s">
        <v>96</v>
      </c>
      <c r="H3452">
        <v>2010</v>
      </c>
      <c r="I3452" t="s">
        <v>96</v>
      </c>
      <c r="J3452" t="s">
        <v>97</v>
      </c>
      <c r="K3452" t="s">
        <v>96</v>
      </c>
      <c r="L3452" t="s">
        <v>96</v>
      </c>
      <c r="M3452">
        <v>1700.7</v>
      </c>
      <c r="O3452" s="12" t="str">
        <f t="shared" si="120"/>
        <v>URA</v>
      </c>
      <c r="P3452" s="12" t="str">
        <f t="shared" si="121"/>
        <v>E_SPV</v>
      </c>
    </row>
    <row r="3453" spans="1:16" x14ac:dyDescent="0.35">
      <c r="A3453" t="s">
        <v>1586</v>
      </c>
      <c r="B3453" t="s">
        <v>81</v>
      </c>
      <c r="C3453" t="s">
        <v>45</v>
      </c>
      <c r="D3453" t="s">
        <v>2343</v>
      </c>
      <c r="E3453" t="s">
        <v>96</v>
      </c>
      <c r="F3453" t="s">
        <v>96</v>
      </c>
      <c r="G3453" t="s">
        <v>96</v>
      </c>
      <c r="H3453">
        <v>2010</v>
      </c>
      <c r="I3453" t="s">
        <v>96</v>
      </c>
      <c r="J3453" t="s">
        <v>97</v>
      </c>
      <c r="K3453" t="s">
        <v>96</v>
      </c>
      <c r="L3453" t="s">
        <v>96</v>
      </c>
      <c r="M3453">
        <v>1700.7</v>
      </c>
      <c r="O3453" s="12" t="str">
        <f t="shared" si="120"/>
        <v>URA</v>
      </c>
      <c r="P3453" s="12" t="str">
        <f t="shared" si="121"/>
        <v>E_SPV</v>
      </c>
    </row>
    <row r="3454" spans="1:16" x14ac:dyDescent="0.35">
      <c r="A3454" t="s">
        <v>1586</v>
      </c>
      <c r="B3454" t="s">
        <v>81</v>
      </c>
      <c r="C3454" t="s">
        <v>45</v>
      </c>
      <c r="D3454" t="s">
        <v>2344</v>
      </c>
      <c r="E3454" t="s">
        <v>96</v>
      </c>
      <c r="F3454" t="s">
        <v>96</v>
      </c>
      <c r="G3454" t="s">
        <v>96</v>
      </c>
      <c r="H3454">
        <v>2010</v>
      </c>
      <c r="I3454" t="s">
        <v>96</v>
      </c>
      <c r="J3454" t="s">
        <v>97</v>
      </c>
      <c r="K3454" t="s">
        <v>96</v>
      </c>
      <c r="L3454" t="s">
        <v>96</v>
      </c>
      <c r="M3454">
        <v>1700.7</v>
      </c>
      <c r="O3454" s="12" t="str">
        <f t="shared" si="120"/>
        <v>URA</v>
      </c>
      <c r="P3454" s="12" t="str">
        <f t="shared" si="121"/>
        <v>E_SPV</v>
      </c>
    </row>
    <row r="3455" spans="1:16" x14ac:dyDescent="0.35">
      <c r="A3455" t="s">
        <v>1586</v>
      </c>
      <c r="B3455" t="s">
        <v>81</v>
      </c>
      <c r="C3455" t="s">
        <v>45</v>
      </c>
      <c r="D3455" t="s">
        <v>2345</v>
      </c>
      <c r="E3455" t="s">
        <v>96</v>
      </c>
      <c r="F3455" t="s">
        <v>96</v>
      </c>
      <c r="G3455" t="s">
        <v>96</v>
      </c>
      <c r="H3455">
        <v>2010</v>
      </c>
      <c r="I3455" t="s">
        <v>96</v>
      </c>
      <c r="J3455" t="s">
        <v>97</v>
      </c>
      <c r="K3455" t="s">
        <v>96</v>
      </c>
      <c r="L3455" t="s">
        <v>96</v>
      </c>
      <c r="M3455">
        <v>1700.7</v>
      </c>
      <c r="O3455" s="12" t="str">
        <f t="shared" si="120"/>
        <v>URA</v>
      </c>
      <c r="P3455" s="12" t="str">
        <f t="shared" si="121"/>
        <v>E_SPV</v>
      </c>
    </row>
    <row r="3456" spans="1:16" x14ac:dyDescent="0.35">
      <c r="A3456" t="s">
        <v>1586</v>
      </c>
      <c r="B3456" t="s">
        <v>81</v>
      </c>
      <c r="C3456" t="s">
        <v>45</v>
      </c>
      <c r="D3456" t="s">
        <v>2346</v>
      </c>
      <c r="E3456" t="s">
        <v>96</v>
      </c>
      <c r="F3456" t="s">
        <v>96</v>
      </c>
      <c r="G3456" t="s">
        <v>96</v>
      </c>
      <c r="H3456">
        <v>2010</v>
      </c>
      <c r="I3456" t="s">
        <v>96</v>
      </c>
      <c r="J3456" t="s">
        <v>97</v>
      </c>
      <c r="K3456" t="s">
        <v>96</v>
      </c>
      <c r="L3456" t="s">
        <v>96</v>
      </c>
      <c r="M3456">
        <v>1700.7</v>
      </c>
      <c r="O3456" s="12" t="str">
        <f t="shared" si="120"/>
        <v>URA</v>
      </c>
      <c r="P3456" s="12" t="str">
        <f t="shared" si="121"/>
        <v>E_SPV</v>
      </c>
    </row>
    <row r="3457" spans="1:16" x14ac:dyDescent="0.35">
      <c r="A3457" t="s">
        <v>1586</v>
      </c>
      <c r="B3457" t="s">
        <v>81</v>
      </c>
      <c r="C3457" t="s">
        <v>45</v>
      </c>
      <c r="D3457" t="s">
        <v>2347</v>
      </c>
      <c r="E3457" t="s">
        <v>96</v>
      </c>
      <c r="F3457" t="s">
        <v>96</v>
      </c>
      <c r="G3457" t="s">
        <v>96</v>
      </c>
      <c r="H3457">
        <v>2010</v>
      </c>
      <c r="I3457" t="s">
        <v>96</v>
      </c>
      <c r="J3457" t="s">
        <v>97</v>
      </c>
      <c r="K3457" t="s">
        <v>96</v>
      </c>
      <c r="L3457" t="s">
        <v>96</v>
      </c>
      <c r="M3457">
        <v>1700.7</v>
      </c>
      <c r="O3457" s="12" t="str">
        <f t="shared" si="120"/>
        <v>URA</v>
      </c>
      <c r="P3457" s="12" t="str">
        <f t="shared" si="121"/>
        <v>E_SPV</v>
      </c>
    </row>
    <row r="3458" spans="1:16" x14ac:dyDescent="0.35">
      <c r="A3458" t="s">
        <v>1586</v>
      </c>
      <c r="B3458" t="s">
        <v>81</v>
      </c>
      <c r="C3458" t="s">
        <v>45</v>
      </c>
      <c r="D3458" t="s">
        <v>2348</v>
      </c>
      <c r="E3458" t="s">
        <v>96</v>
      </c>
      <c r="F3458" t="s">
        <v>96</v>
      </c>
      <c r="G3458" t="s">
        <v>96</v>
      </c>
      <c r="H3458">
        <v>2010</v>
      </c>
      <c r="I3458" t="s">
        <v>96</v>
      </c>
      <c r="J3458" t="s">
        <v>97</v>
      </c>
      <c r="K3458" t="s">
        <v>96</v>
      </c>
      <c r="L3458" t="s">
        <v>96</v>
      </c>
      <c r="M3458">
        <v>1700.7</v>
      </c>
      <c r="O3458" s="12" t="str">
        <f t="shared" si="120"/>
        <v>URA</v>
      </c>
      <c r="P3458" s="12" t="str">
        <f t="shared" si="121"/>
        <v>E_SPV</v>
      </c>
    </row>
    <row r="3459" spans="1:16" x14ac:dyDescent="0.35">
      <c r="A3459" t="s">
        <v>1586</v>
      </c>
      <c r="B3459" t="s">
        <v>81</v>
      </c>
      <c r="C3459" t="s">
        <v>45</v>
      </c>
      <c r="D3459" t="s">
        <v>2349</v>
      </c>
      <c r="E3459" t="s">
        <v>96</v>
      </c>
      <c r="F3459" t="s">
        <v>96</v>
      </c>
      <c r="G3459" t="s">
        <v>96</v>
      </c>
      <c r="H3459">
        <v>2010</v>
      </c>
      <c r="I3459" t="s">
        <v>96</v>
      </c>
      <c r="J3459" t="s">
        <v>97</v>
      </c>
      <c r="K3459" t="s">
        <v>96</v>
      </c>
      <c r="L3459" t="s">
        <v>96</v>
      </c>
      <c r="M3459">
        <v>1700.7</v>
      </c>
      <c r="O3459" s="12" t="str">
        <f t="shared" ref="O3459:O3477" si="122">LEFT(B3459,3)</f>
        <v>URA</v>
      </c>
      <c r="P3459" s="12" t="str">
        <f t="shared" ref="P3459:P3477" si="123">LEFT(D3459,5)</f>
        <v>E_SPV</v>
      </c>
    </row>
    <row r="3460" spans="1:16" x14ac:dyDescent="0.35">
      <c r="A3460" t="s">
        <v>1586</v>
      </c>
      <c r="B3460" t="s">
        <v>81</v>
      </c>
      <c r="C3460" t="s">
        <v>45</v>
      </c>
      <c r="D3460" t="s">
        <v>2350</v>
      </c>
      <c r="E3460" t="s">
        <v>96</v>
      </c>
      <c r="F3460" t="s">
        <v>96</v>
      </c>
      <c r="G3460" t="s">
        <v>96</v>
      </c>
      <c r="H3460">
        <v>2010</v>
      </c>
      <c r="I3460" t="s">
        <v>96</v>
      </c>
      <c r="J3460" t="s">
        <v>97</v>
      </c>
      <c r="K3460" t="s">
        <v>96</v>
      </c>
      <c r="L3460" t="s">
        <v>96</v>
      </c>
      <c r="M3460">
        <v>1300</v>
      </c>
      <c r="O3460" s="12" t="str">
        <f t="shared" si="122"/>
        <v>URA</v>
      </c>
      <c r="P3460" s="12" t="str">
        <f t="shared" si="123"/>
        <v>E_SPV</v>
      </c>
    </row>
    <row r="3461" spans="1:16" x14ac:dyDescent="0.35">
      <c r="A3461" t="s">
        <v>1586</v>
      </c>
      <c r="B3461" t="s">
        <v>81</v>
      </c>
      <c r="C3461" t="s">
        <v>45</v>
      </c>
      <c r="D3461" t="s">
        <v>2351</v>
      </c>
      <c r="E3461" t="s">
        <v>96</v>
      </c>
      <c r="F3461" t="s">
        <v>96</v>
      </c>
      <c r="G3461" t="s">
        <v>96</v>
      </c>
      <c r="H3461">
        <v>2010</v>
      </c>
      <c r="I3461" t="s">
        <v>96</v>
      </c>
      <c r="J3461" t="s">
        <v>97</v>
      </c>
      <c r="K3461" t="s">
        <v>96</v>
      </c>
      <c r="L3461" t="s">
        <v>96</v>
      </c>
      <c r="M3461">
        <v>1700.7</v>
      </c>
      <c r="O3461" s="12" t="str">
        <f t="shared" si="122"/>
        <v>URA</v>
      </c>
      <c r="P3461" s="12" t="str">
        <f t="shared" si="123"/>
        <v>E_SPV</v>
      </c>
    </row>
    <row r="3462" spans="1:16" x14ac:dyDescent="0.35">
      <c r="A3462" t="s">
        <v>1586</v>
      </c>
      <c r="B3462" t="s">
        <v>81</v>
      </c>
      <c r="C3462" t="s">
        <v>45</v>
      </c>
      <c r="D3462" t="s">
        <v>2352</v>
      </c>
      <c r="E3462" t="s">
        <v>96</v>
      </c>
      <c r="F3462" t="s">
        <v>96</v>
      </c>
      <c r="G3462" t="s">
        <v>96</v>
      </c>
      <c r="H3462">
        <v>2010</v>
      </c>
      <c r="I3462" t="s">
        <v>96</v>
      </c>
      <c r="J3462" t="s">
        <v>97</v>
      </c>
      <c r="K3462" t="s">
        <v>96</v>
      </c>
      <c r="L3462" t="s">
        <v>96</v>
      </c>
      <c r="M3462">
        <v>1890.2</v>
      </c>
      <c r="O3462" s="12" t="str">
        <f t="shared" si="122"/>
        <v>URA</v>
      </c>
      <c r="P3462" s="12" t="str">
        <f t="shared" si="123"/>
        <v>E_SPV</v>
      </c>
    </row>
    <row r="3463" spans="1:16" x14ac:dyDescent="0.35">
      <c r="A3463" t="s">
        <v>1586</v>
      </c>
      <c r="B3463" t="s">
        <v>81</v>
      </c>
      <c r="C3463" t="s">
        <v>45</v>
      </c>
      <c r="D3463" t="s">
        <v>2353</v>
      </c>
      <c r="E3463" t="s">
        <v>96</v>
      </c>
      <c r="F3463" t="s">
        <v>96</v>
      </c>
      <c r="G3463" t="s">
        <v>96</v>
      </c>
      <c r="H3463">
        <v>2010</v>
      </c>
      <c r="I3463" t="s">
        <v>96</v>
      </c>
      <c r="J3463" t="s">
        <v>97</v>
      </c>
      <c r="K3463" t="s">
        <v>96</v>
      </c>
      <c r="L3463" t="s">
        <v>96</v>
      </c>
      <c r="M3463">
        <v>1700.7</v>
      </c>
      <c r="O3463" s="12" t="str">
        <f t="shared" si="122"/>
        <v>URA</v>
      </c>
      <c r="P3463" s="12" t="str">
        <f t="shared" si="123"/>
        <v>E_SPV</v>
      </c>
    </row>
    <row r="3464" spans="1:16" x14ac:dyDescent="0.35">
      <c r="A3464" t="s">
        <v>1586</v>
      </c>
      <c r="B3464" t="s">
        <v>81</v>
      </c>
      <c r="C3464" t="s">
        <v>45</v>
      </c>
      <c r="D3464" t="s">
        <v>2354</v>
      </c>
      <c r="E3464" t="s">
        <v>96</v>
      </c>
      <c r="F3464" t="s">
        <v>96</v>
      </c>
      <c r="G3464" t="s">
        <v>96</v>
      </c>
      <c r="H3464">
        <v>2010</v>
      </c>
      <c r="I3464" t="s">
        <v>96</v>
      </c>
      <c r="J3464" t="s">
        <v>97</v>
      </c>
      <c r="K3464" t="s">
        <v>96</v>
      </c>
      <c r="L3464" t="s">
        <v>96</v>
      </c>
      <c r="M3464">
        <v>1700.7</v>
      </c>
      <c r="O3464" s="12" t="str">
        <f t="shared" si="122"/>
        <v>URA</v>
      </c>
      <c r="P3464" s="12" t="str">
        <f t="shared" si="123"/>
        <v>E_SPV</v>
      </c>
    </row>
    <row r="3465" spans="1:16" x14ac:dyDescent="0.35">
      <c r="A3465" t="s">
        <v>1586</v>
      </c>
      <c r="B3465" t="s">
        <v>81</v>
      </c>
      <c r="C3465" t="s">
        <v>45</v>
      </c>
      <c r="D3465" t="s">
        <v>2355</v>
      </c>
      <c r="E3465" t="s">
        <v>96</v>
      </c>
      <c r="F3465" t="s">
        <v>96</v>
      </c>
      <c r="G3465" t="s">
        <v>96</v>
      </c>
      <c r="H3465">
        <v>2010</v>
      </c>
      <c r="I3465" t="s">
        <v>96</v>
      </c>
      <c r="J3465" t="s">
        <v>97</v>
      </c>
      <c r="K3465" t="s">
        <v>96</v>
      </c>
      <c r="L3465" t="s">
        <v>96</v>
      </c>
      <c r="M3465">
        <v>1700.7</v>
      </c>
      <c r="O3465" s="12" t="str">
        <f t="shared" si="122"/>
        <v>URA</v>
      </c>
      <c r="P3465" s="12" t="str">
        <f t="shared" si="123"/>
        <v>E_SPV</v>
      </c>
    </row>
    <row r="3466" spans="1:16" x14ac:dyDescent="0.35">
      <c r="A3466" t="s">
        <v>1586</v>
      </c>
      <c r="B3466" t="s">
        <v>81</v>
      </c>
      <c r="C3466" t="s">
        <v>45</v>
      </c>
      <c r="D3466" t="s">
        <v>2356</v>
      </c>
      <c r="E3466" t="s">
        <v>96</v>
      </c>
      <c r="F3466" t="s">
        <v>96</v>
      </c>
      <c r="G3466" t="s">
        <v>96</v>
      </c>
      <c r="H3466">
        <v>2010</v>
      </c>
      <c r="I3466" t="s">
        <v>96</v>
      </c>
      <c r="J3466" t="s">
        <v>97</v>
      </c>
      <c r="K3466" t="s">
        <v>96</v>
      </c>
      <c r="L3466" t="s">
        <v>96</v>
      </c>
      <c r="M3466">
        <v>1700.7</v>
      </c>
      <c r="O3466" s="12" t="str">
        <f t="shared" si="122"/>
        <v>URA</v>
      </c>
      <c r="P3466" s="12" t="str">
        <f t="shared" si="123"/>
        <v>E_SPV</v>
      </c>
    </row>
    <row r="3467" spans="1:16" x14ac:dyDescent="0.35">
      <c r="A3467" t="s">
        <v>1586</v>
      </c>
      <c r="B3467" t="s">
        <v>81</v>
      </c>
      <c r="C3467" t="s">
        <v>45</v>
      </c>
      <c r="D3467" t="s">
        <v>2357</v>
      </c>
      <c r="E3467" t="s">
        <v>96</v>
      </c>
      <c r="F3467" t="s">
        <v>96</v>
      </c>
      <c r="G3467" t="s">
        <v>96</v>
      </c>
      <c r="H3467">
        <v>2010</v>
      </c>
      <c r="I3467" t="s">
        <v>96</v>
      </c>
      <c r="J3467" t="s">
        <v>97</v>
      </c>
      <c r="K3467" t="s">
        <v>96</v>
      </c>
      <c r="L3467" t="s">
        <v>96</v>
      </c>
      <c r="M3467">
        <v>1700.7</v>
      </c>
      <c r="O3467" s="12" t="str">
        <f t="shared" si="122"/>
        <v>URA</v>
      </c>
      <c r="P3467" s="12" t="str">
        <f t="shared" si="123"/>
        <v>E_SPV</v>
      </c>
    </row>
    <row r="3468" spans="1:16" x14ac:dyDescent="0.35">
      <c r="A3468" t="s">
        <v>1586</v>
      </c>
      <c r="B3468" t="s">
        <v>81</v>
      </c>
      <c r="C3468" t="s">
        <v>45</v>
      </c>
      <c r="D3468" t="s">
        <v>2358</v>
      </c>
      <c r="E3468" t="s">
        <v>96</v>
      </c>
      <c r="F3468" t="s">
        <v>96</v>
      </c>
      <c r="G3468" t="s">
        <v>96</v>
      </c>
      <c r="H3468">
        <v>2010</v>
      </c>
      <c r="I3468" t="s">
        <v>96</v>
      </c>
      <c r="J3468" t="s">
        <v>97</v>
      </c>
      <c r="K3468" t="s">
        <v>96</v>
      </c>
      <c r="L3468" t="s">
        <v>96</v>
      </c>
      <c r="M3468">
        <v>1700.7</v>
      </c>
      <c r="O3468" s="12" t="str">
        <f t="shared" si="122"/>
        <v>URA</v>
      </c>
      <c r="P3468" s="12" t="str">
        <f t="shared" si="123"/>
        <v>E_SPV</v>
      </c>
    </row>
    <row r="3469" spans="1:16" x14ac:dyDescent="0.35">
      <c r="A3469" t="s">
        <v>1586</v>
      </c>
      <c r="B3469" t="s">
        <v>81</v>
      </c>
      <c r="C3469" t="s">
        <v>45</v>
      </c>
      <c r="D3469" t="s">
        <v>2359</v>
      </c>
      <c r="E3469" t="s">
        <v>96</v>
      </c>
      <c r="F3469" t="s">
        <v>96</v>
      </c>
      <c r="G3469" t="s">
        <v>96</v>
      </c>
      <c r="H3469">
        <v>2010</v>
      </c>
      <c r="I3469" t="s">
        <v>96</v>
      </c>
      <c r="J3469" t="s">
        <v>97</v>
      </c>
      <c r="K3469" t="s">
        <v>96</v>
      </c>
      <c r="L3469" t="s">
        <v>96</v>
      </c>
      <c r="M3469">
        <v>1700.7</v>
      </c>
      <c r="O3469" s="12" t="str">
        <f t="shared" si="122"/>
        <v>URA</v>
      </c>
      <c r="P3469" s="12" t="str">
        <f t="shared" si="123"/>
        <v>E_SPV</v>
      </c>
    </row>
    <row r="3470" spans="1:16" x14ac:dyDescent="0.35">
      <c r="A3470" t="s">
        <v>1586</v>
      </c>
      <c r="B3470" t="s">
        <v>82</v>
      </c>
      <c r="C3470" t="s">
        <v>45</v>
      </c>
      <c r="D3470" t="s">
        <v>2360</v>
      </c>
      <c r="E3470" t="s">
        <v>96</v>
      </c>
      <c r="F3470" t="s">
        <v>96</v>
      </c>
      <c r="G3470" t="s">
        <v>96</v>
      </c>
      <c r="H3470">
        <v>2010</v>
      </c>
      <c r="I3470" t="s">
        <v>96</v>
      </c>
      <c r="J3470" t="s">
        <v>97</v>
      </c>
      <c r="K3470" t="s">
        <v>96</v>
      </c>
      <c r="L3470" t="s">
        <v>96</v>
      </c>
      <c r="M3470">
        <v>1417</v>
      </c>
      <c r="O3470" s="12" t="str">
        <f t="shared" si="122"/>
        <v>USA</v>
      </c>
      <c r="P3470" s="12" t="str">
        <f t="shared" si="123"/>
        <v>E_SPV</v>
      </c>
    </row>
    <row r="3471" spans="1:16" x14ac:dyDescent="0.35">
      <c r="A3471" t="s">
        <v>1586</v>
      </c>
      <c r="B3471" t="s">
        <v>82</v>
      </c>
      <c r="C3471" t="s">
        <v>45</v>
      </c>
      <c r="D3471" t="s">
        <v>2361</v>
      </c>
      <c r="E3471" t="s">
        <v>96</v>
      </c>
      <c r="F3471" t="s">
        <v>96</v>
      </c>
      <c r="G3471" t="s">
        <v>96</v>
      </c>
      <c r="H3471">
        <v>2010</v>
      </c>
      <c r="I3471" t="s">
        <v>96</v>
      </c>
      <c r="J3471" t="s">
        <v>97</v>
      </c>
      <c r="K3471" t="s">
        <v>96</v>
      </c>
      <c r="L3471" t="s">
        <v>96</v>
      </c>
      <c r="M3471">
        <v>1417</v>
      </c>
      <c r="O3471" s="12" t="str">
        <f t="shared" si="122"/>
        <v>USA</v>
      </c>
      <c r="P3471" s="12" t="str">
        <f t="shared" si="123"/>
        <v>E_SPV</v>
      </c>
    </row>
    <row r="3472" spans="1:16" x14ac:dyDescent="0.35">
      <c r="A3472" t="s">
        <v>1586</v>
      </c>
      <c r="B3472" t="s">
        <v>82</v>
      </c>
      <c r="C3472" t="s">
        <v>45</v>
      </c>
      <c r="D3472" t="s">
        <v>2362</v>
      </c>
      <c r="E3472" t="s">
        <v>96</v>
      </c>
      <c r="F3472" t="s">
        <v>96</v>
      </c>
      <c r="G3472" t="s">
        <v>96</v>
      </c>
      <c r="H3472">
        <v>2010</v>
      </c>
      <c r="I3472" t="s">
        <v>96</v>
      </c>
      <c r="J3472" t="s">
        <v>97</v>
      </c>
      <c r="K3472" t="s">
        <v>96</v>
      </c>
      <c r="L3472" t="s">
        <v>96</v>
      </c>
      <c r="M3472">
        <v>1417</v>
      </c>
      <c r="O3472" s="12" t="str">
        <f t="shared" si="122"/>
        <v>USA</v>
      </c>
      <c r="P3472" s="12" t="str">
        <f t="shared" si="123"/>
        <v>E_SPV</v>
      </c>
    </row>
    <row r="3473" spans="1:16" x14ac:dyDescent="0.35">
      <c r="A3473" t="s">
        <v>1586</v>
      </c>
      <c r="B3473" t="s">
        <v>82</v>
      </c>
      <c r="C3473" t="s">
        <v>45</v>
      </c>
      <c r="D3473" t="s">
        <v>2363</v>
      </c>
      <c r="E3473" t="s">
        <v>96</v>
      </c>
      <c r="F3473" t="s">
        <v>96</v>
      </c>
      <c r="G3473" t="s">
        <v>96</v>
      </c>
      <c r="H3473">
        <v>2010</v>
      </c>
      <c r="I3473" t="s">
        <v>96</v>
      </c>
      <c r="J3473" t="s">
        <v>97</v>
      </c>
      <c r="K3473" t="s">
        <v>96</v>
      </c>
      <c r="L3473" t="s">
        <v>96</v>
      </c>
      <c r="M3473">
        <v>1417</v>
      </c>
      <c r="O3473" s="12" t="str">
        <f t="shared" si="122"/>
        <v>USA</v>
      </c>
      <c r="P3473" s="12" t="str">
        <f t="shared" si="123"/>
        <v>E_SPV</v>
      </c>
    </row>
    <row r="3474" spans="1:16" x14ac:dyDescent="0.35">
      <c r="A3474" t="s">
        <v>1586</v>
      </c>
      <c r="B3474" t="s">
        <v>82</v>
      </c>
      <c r="C3474" t="s">
        <v>45</v>
      </c>
      <c r="D3474" t="s">
        <v>2364</v>
      </c>
      <c r="E3474" t="s">
        <v>96</v>
      </c>
      <c r="F3474" t="s">
        <v>96</v>
      </c>
      <c r="G3474" t="s">
        <v>96</v>
      </c>
      <c r="H3474">
        <v>2010</v>
      </c>
      <c r="I3474" t="s">
        <v>96</v>
      </c>
      <c r="J3474" t="s">
        <v>97</v>
      </c>
      <c r="K3474" t="s">
        <v>96</v>
      </c>
      <c r="L3474" t="s">
        <v>96</v>
      </c>
      <c r="M3474">
        <v>1417</v>
      </c>
      <c r="O3474" s="12" t="str">
        <f t="shared" si="122"/>
        <v>USA</v>
      </c>
      <c r="P3474" s="12" t="str">
        <f t="shared" si="123"/>
        <v>E_SPV</v>
      </c>
    </row>
    <row r="3475" spans="1:16" x14ac:dyDescent="0.35">
      <c r="A3475" t="s">
        <v>1586</v>
      </c>
      <c r="B3475" t="s">
        <v>82</v>
      </c>
      <c r="C3475" t="s">
        <v>45</v>
      </c>
      <c r="D3475" t="s">
        <v>2365</v>
      </c>
      <c r="E3475" t="s">
        <v>96</v>
      </c>
      <c r="F3475" t="s">
        <v>96</v>
      </c>
      <c r="G3475" t="s">
        <v>96</v>
      </c>
      <c r="H3475">
        <v>2010</v>
      </c>
      <c r="I3475" t="s">
        <v>96</v>
      </c>
      <c r="J3475" t="s">
        <v>97</v>
      </c>
      <c r="K3475" t="s">
        <v>96</v>
      </c>
      <c r="L3475" t="s">
        <v>96</v>
      </c>
      <c r="M3475">
        <v>1417</v>
      </c>
      <c r="O3475" s="12" t="str">
        <f t="shared" si="122"/>
        <v>USA</v>
      </c>
      <c r="P3475" s="12" t="str">
        <f t="shared" si="123"/>
        <v>E_SPV</v>
      </c>
    </row>
    <row r="3476" spans="1:16" x14ac:dyDescent="0.35">
      <c r="A3476" t="s">
        <v>1586</v>
      </c>
      <c r="B3476" t="s">
        <v>82</v>
      </c>
      <c r="C3476" t="s">
        <v>45</v>
      </c>
      <c r="D3476" t="s">
        <v>2366</v>
      </c>
      <c r="E3476" t="s">
        <v>96</v>
      </c>
      <c r="F3476" t="s">
        <v>96</v>
      </c>
      <c r="G3476" t="s">
        <v>96</v>
      </c>
      <c r="H3476">
        <v>2010</v>
      </c>
      <c r="I3476" t="s">
        <v>96</v>
      </c>
      <c r="J3476" t="s">
        <v>97</v>
      </c>
      <c r="K3476" t="s">
        <v>96</v>
      </c>
      <c r="L3476" t="s">
        <v>96</v>
      </c>
      <c r="M3476">
        <v>1417</v>
      </c>
      <c r="O3476" s="12" t="str">
        <f t="shared" si="122"/>
        <v>USA</v>
      </c>
      <c r="P3476" s="12" t="str">
        <f t="shared" si="123"/>
        <v>E_SPV</v>
      </c>
    </row>
    <row r="3477" spans="1:16" x14ac:dyDescent="0.35">
      <c r="A3477" t="s">
        <v>1586</v>
      </c>
      <c r="B3477" t="s">
        <v>82</v>
      </c>
      <c r="C3477" t="s">
        <v>45</v>
      </c>
      <c r="D3477" t="s">
        <v>2367</v>
      </c>
      <c r="E3477" t="s">
        <v>96</v>
      </c>
      <c r="F3477" t="s">
        <v>96</v>
      </c>
      <c r="G3477" t="s">
        <v>96</v>
      </c>
      <c r="H3477">
        <v>2010</v>
      </c>
      <c r="I3477" t="s">
        <v>96</v>
      </c>
      <c r="J3477" t="s">
        <v>97</v>
      </c>
      <c r="K3477" t="s">
        <v>96</v>
      </c>
      <c r="L3477" t="s">
        <v>96</v>
      </c>
      <c r="M3477">
        <v>1417</v>
      </c>
      <c r="O3477" s="12" t="str">
        <f t="shared" si="122"/>
        <v>USA</v>
      </c>
      <c r="P3477" s="12" t="str">
        <f t="shared" si="123"/>
        <v>E_SPV</v>
      </c>
    </row>
    <row r="3478" spans="1:16" x14ac:dyDescent="0.35">
      <c r="O3478" s="12" t="str">
        <f t="shared" ref="O3478:O3541" si="124">LEFT(B3478,3)</f>
        <v/>
      </c>
      <c r="P3478" s="12" t="str">
        <f t="shared" ref="P3478:P3541" si="125">LEFT(D3478,5)</f>
        <v/>
      </c>
    </row>
    <row r="3479" spans="1:16" x14ac:dyDescent="0.35">
      <c r="O3479" s="12" t="str">
        <f t="shared" si="124"/>
        <v/>
      </c>
      <c r="P3479" s="12" t="str">
        <f t="shared" si="125"/>
        <v/>
      </c>
    </row>
    <row r="3480" spans="1:16" x14ac:dyDescent="0.35">
      <c r="O3480" s="12" t="str">
        <f t="shared" si="124"/>
        <v/>
      </c>
      <c r="P3480" s="12" t="str">
        <f t="shared" si="125"/>
        <v/>
      </c>
    </row>
    <row r="3481" spans="1:16" x14ac:dyDescent="0.35">
      <c r="O3481" s="12" t="str">
        <f t="shared" si="124"/>
        <v/>
      </c>
      <c r="P3481" s="12" t="str">
        <f t="shared" si="125"/>
        <v/>
      </c>
    </row>
    <row r="3482" spans="1:16" x14ac:dyDescent="0.35">
      <c r="O3482" s="12" t="str">
        <f t="shared" si="124"/>
        <v/>
      </c>
      <c r="P3482" s="12" t="str">
        <f t="shared" si="125"/>
        <v/>
      </c>
    </row>
    <row r="3483" spans="1:16" x14ac:dyDescent="0.35">
      <c r="O3483" s="12" t="str">
        <f t="shared" si="124"/>
        <v/>
      </c>
      <c r="P3483" s="12" t="str">
        <f t="shared" si="125"/>
        <v/>
      </c>
    </row>
    <row r="3484" spans="1:16" x14ac:dyDescent="0.35">
      <c r="O3484" s="12" t="str">
        <f t="shared" si="124"/>
        <v/>
      </c>
      <c r="P3484" s="12" t="str">
        <f t="shared" si="125"/>
        <v/>
      </c>
    </row>
    <row r="3485" spans="1:16" x14ac:dyDescent="0.35">
      <c r="O3485" s="12" t="str">
        <f t="shared" si="124"/>
        <v/>
      </c>
      <c r="P3485" s="12" t="str">
        <f t="shared" si="125"/>
        <v/>
      </c>
    </row>
    <row r="3486" spans="1:16" x14ac:dyDescent="0.35">
      <c r="O3486" s="12" t="str">
        <f t="shared" si="124"/>
        <v/>
      </c>
      <c r="P3486" s="12" t="str">
        <f t="shared" si="125"/>
        <v/>
      </c>
    </row>
    <row r="3487" spans="1:16" x14ac:dyDescent="0.35">
      <c r="O3487" s="12" t="str">
        <f t="shared" si="124"/>
        <v/>
      </c>
      <c r="P3487" s="12" t="str">
        <f t="shared" si="125"/>
        <v/>
      </c>
    </row>
    <row r="3488" spans="1:16" x14ac:dyDescent="0.35">
      <c r="O3488" s="12" t="str">
        <f t="shared" si="124"/>
        <v/>
      </c>
      <c r="P3488" s="12" t="str">
        <f t="shared" si="125"/>
        <v/>
      </c>
    </row>
    <row r="3489" spans="15:16" x14ac:dyDescent="0.35">
      <c r="O3489" s="12" t="str">
        <f t="shared" si="124"/>
        <v/>
      </c>
      <c r="P3489" s="12" t="str">
        <f t="shared" si="125"/>
        <v/>
      </c>
    </row>
    <row r="3490" spans="15:16" x14ac:dyDescent="0.35">
      <c r="O3490" s="12" t="str">
        <f t="shared" si="124"/>
        <v/>
      </c>
      <c r="P3490" s="12" t="str">
        <f t="shared" si="125"/>
        <v/>
      </c>
    </row>
    <row r="3491" spans="15:16" x14ac:dyDescent="0.35">
      <c r="O3491" s="12" t="str">
        <f t="shared" si="124"/>
        <v/>
      </c>
      <c r="P3491" s="12" t="str">
        <f t="shared" si="125"/>
        <v/>
      </c>
    </row>
    <row r="3492" spans="15:16" x14ac:dyDescent="0.35">
      <c r="O3492" s="12" t="str">
        <f t="shared" si="124"/>
        <v/>
      </c>
      <c r="P3492" s="12" t="str">
        <f t="shared" si="125"/>
        <v/>
      </c>
    </row>
    <row r="3493" spans="15:16" x14ac:dyDescent="0.35">
      <c r="O3493" s="12" t="str">
        <f t="shared" si="124"/>
        <v/>
      </c>
      <c r="P3493" s="12" t="str">
        <f t="shared" si="125"/>
        <v/>
      </c>
    </row>
    <row r="3494" spans="15:16" x14ac:dyDescent="0.35">
      <c r="O3494" s="12" t="str">
        <f t="shared" si="124"/>
        <v/>
      </c>
      <c r="P3494" s="12" t="str">
        <f t="shared" si="125"/>
        <v/>
      </c>
    </row>
    <row r="3495" spans="15:16" x14ac:dyDescent="0.35">
      <c r="O3495" s="12" t="str">
        <f t="shared" si="124"/>
        <v/>
      </c>
      <c r="P3495" s="12" t="str">
        <f t="shared" si="125"/>
        <v/>
      </c>
    </row>
    <row r="3496" spans="15:16" x14ac:dyDescent="0.35">
      <c r="O3496" s="12" t="str">
        <f t="shared" si="124"/>
        <v/>
      </c>
      <c r="P3496" s="12" t="str">
        <f t="shared" si="125"/>
        <v/>
      </c>
    </row>
    <row r="3497" spans="15:16" x14ac:dyDescent="0.35">
      <c r="O3497" s="12" t="str">
        <f t="shared" si="124"/>
        <v/>
      </c>
      <c r="P3497" s="12" t="str">
        <f t="shared" si="125"/>
        <v/>
      </c>
    </row>
    <row r="3498" spans="15:16" x14ac:dyDescent="0.35">
      <c r="O3498" s="12" t="str">
        <f t="shared" si="124"/>
        <v/>
      </c>
      <c r="P3498" s="12" t="str">
        <f t="shared" si="125"/>
        <v/>
      </c>
    </row>
    <row r="3499" spans="15:16" x14ac:dyDescent="0.35">
      <c r="O3499" s="12" t="str">
        <f t="shared" si="124"/>
        <v/>
      </c>
      <c r="P3499" s="12" t="str">
        <f t="shared" si="125"/>
        <v/>
      </c>
    </row>
    <row r="3500" spans="15:16" x14ac:dyDescent="0.35">
      <c r="O3500" s="12" t="str">
        <f t="shared" si="124"/>
        <v/>
      </c>
      <c r="P3500" s="12" t="str">
        <f t="shared" si="125"/>
        <v/>
      </c>
    </row>
    <row r="3501" spans="15:16" x14ac:dyDescent="0.35">
      <c r="O3501" s="12" t="str">
        <f t="shared" si="124"/>
        <v/>
      </c>
      <c r="P3501" s="12" t="str">
        <f t="shared" si="125"/>
        <v/>
      </c>
    </row>
    <row r="3502" spans="15:16" x14ac:dyDescent="0.35">
      <c r="O3502" s="12" t="str">
        <f t="shared" si="124"/>
        <v/>
      </c>
      <c r="P3502" s="12" t="str">
        <f t="shared" si="125"/>
        <v/>
      </c>
    </row>
    <row r="3503" spans="15:16" x14ac:dyDescent="0.35">
      <c r="O3503" s="12" t="str">
        <f t="shared" si="124"/>
        <v/>
      </c>
      <c r="P3503" s="12" t="str">
        <f t="shared" si="125"/>
        <v/>
      </c>
    </row>
    <row r="3504" spans="15:16" x14ac:dyDescent="0.35">
      <c r="O3504" s="12" t="str">
        <f t="shared" si="124"/>
        <v/>
      </c>
      <c r="P3504" s="12" t="str">
        <f t="shared" si="125"/>
        <v/>
      </c>
    </row>
    <row r="3505" spans="15:16" x14ac:dyDescent="0.35">
      <c r="O3505" s="12" t="str">
        <f t="shared" si="124"/>
        <v/>
      </c>
      <c r="P3505" s="12" t="str">
        <f t="shared" si="125"/>
        <v/>
      </c>
    </row>
    <row r="3506" spans="15:16" x14ac:dyDescent="0.35">
      <c r="O3506" s="12" t="str">
        <f t="shared" si="124"/>
        <v/>
      </c>
      <c r="P3506" s="12" t="str">
        <f t="shared" si="125"/>
        <v/>
      </c>
    </row>
    <row r="3507" spans="15:16" x14ac:dyDescent="0.35">
      <c r="O3507" s="12" t="str">
        <f t="shared" si="124"/>
        <v/>
      </c>
      <c r="P3507" s="12" t="str">
        <f t="shared" si="125"/>
        <v/>
      </c>
    </row>
    <row r="3508" spans="15:16" x14ac:dyDescent="0.35">
      <c r="O3508" s="12" t="str">
        <f t="shared" si="124"/>
        <v/>
      </c>
      <c r="P3508" s="12" t="str">
        <f t="shared" si="125"/>
        <v/>
      </c>
    </row>
    <row r="3509" spans="15:16" x14ac:dyDescent="0.35">
      <c r="O3509" s="12" t="str">
        <f t="shared" si="124"/>
        <v/>
      </c>
      <c r="P3509" s="12" t="str">
        <f t="shared" si="125"/>
        <v/>
      </c>
    </row>
    <row r="3510" spans="15:16" x14ac:dyDescent="0.35">
      <c r="O3510" s="12" t="str">
        <f t="shared" si="124"/>
        <v/>
      </c>
      <c r="P3510" s="12" t="str">
        <f t="shared" si="125"/>
        <v/>
      </c>
    </row>
    <row r="3511" spans="15:16" x14ac:dyDescent="0.35">
      <c r="O3511" s="12" t="str">
        <f t="shared" si="124"/>
        <v/>
      </c>
      <c r="P3511" s="12" t="str">
        <f t="shared" si="125"/>
        <v/>
      </c>
    </row>
    <row r="3512" spans="15:16" x14ac:dyDescent="0.35">
      <c r="O3512" s="12" t="str">
        <f t="shared" si="124"/>
        <v/>
      </c>
      <c r="P3512" s="12" t="str">
        <f t="shared" si="125"/>
        <v/>
      </c>
    </row>
    <row r="3513" spans="15:16" x14ac:dyDescent="0.35">
      <c r="O3513" s="12" t="str">
        <f t="shared" si="124"/>
        <v/>
      </c>
      <c r="P3513" s="12" t="str">
        <f t="shared" si="125"/>
        <v/>
      </c>
    </row>
    <row r="3514" spans="15:16" x14ac:dyDescent="0.35">
      <c r="O3514" s="12" t="str">
        <f t="shared" si="124"/>
        <v/>
      </c>
      <c r="P3514" s="12" t="str">
        <f t="shared" si="125"/>
        <v/>
      </c>
    </row>
    <row r="3515" spans="15:16" x14ac:dyDescent="0.35">
      <c r="O3515" s="12" t="str">
        <f t="shared" si="124"/>
        <v/>
      </c>
      <c r="P3515" s="12" t="str">
        <f t="shared" si="125"/>
        <v/>
      </c>
    </row>
    <row r="3516" spans="15:16" x14ac:dyDescent="0.35">
      <c r="O3516" s="12" t="str">
        <f t="shared" si="124"/>
        <v/>
      </c>
      <c r="P3516" s="12" t="str">
        <f t="shared" si="125"/>
        <v/>
      </c>
    </row>
    <row r="3517" spans="15:16" x14ac:dyDescent="0.35">
      <c r="O3517" s="12" t="str">
        <f t="shared" si="124"/>
        <v/>
      </c>
      <c r="P3517" s="12" t="str">
        <f t="shared" si="125"/>
        <v/>
      </c>
    </row>
    <row r="3518" spans="15:16" x14ac:dyDescent="0.35">
      <c r="O3518" s="12" t="str">
        <f t="shared" si="124"/>
        <v/>
      </c>
      <c r="P3518" s="12" t="str">
        <f t="shared" si="125"/>
        <v/>
      </c>
    </row>
    <row r="3519" spans="15:16" x14ac:dyDescent="0.35">
      <c r="O3519" s="12" t="str">
        <f t="shared" si="124"/>
        <v/>
      </c>
      <c r="P3519" s="12" t="str">
        <f t="shared" si="125"/>
        <v/>
      </c>
    </row>
    <row r="3520" spans="15:16" x14ac:dyDescent="0.35">
      <c r="O3520" s="12" t="str">
        <f t="shared" si="124"/>
        <v/>
      </c>
      <c r="P3520" s="12" t="str">
        <f t="shared" si="125"/>
        <v/>
      </c>
    </row>
    <row r="3521" spans="15:16" x14ac:dyDescent="0.35">
      <c r="O3521" s="12" t="str">
        <f t="shared" si="124"/>
        <v/>
      </c>
      <c r="P3521" s="12" t="str">
        <f t="shared" si="125"/>
        <v/>
      </c>
    </row>
    <row r="3522" spans="15:16" x14ac:dyDescent="0.35">
      <c r="O3522" s="12" t="str">
        <f t="shared" si="124"/>
        <v/>
      </c>
      <c r="P3522" s="12" t="str">
        <f t="shared" si="125"/>
        <v/>
      </c>
    </row>
    <row r="3523" spans="15:16" x14ac:dyDescent="0.35">
      <c r="O3523" s="12" t="str">
        <f t="shared" si="124"/>
        <v/>
      </c>
      <c r="P3523" s="12" t="str">
        <f t="shared" si="125"/>
        <v/>
      </c>
    </row>
    <row r="3524" spans="15:16" x14ac:dyDescent="0.35">
      <c r="O3524" s="12" t="str">
        <f t="shared" si="124"/>
        <v/>
      </c>
      <c r="P3524" s="12" t="str">
        <f t="shared" si="125"/>
        <v/>
      </c>
    </row>
    <row r="3525" spans="15:16" x14ac:dyDescent="0.35">
      <c r="O3525" s="12" t="str">
        <f t="shared" si="124"/>
        <v/>
      </c>
      <c r="P3525" s="12" t="str">
        <f t="shared" si="125"/>
        <v/>
      </c>
    </row>
    <row r="3526" spans="15:16" x14ac:dyDescent="0.35">
      <c r="O3526" s="12" t="str">
        <f t="shared" si="124"/>
        <v/>
      </c>
      <c r="P3526" s="12" t="str">
        <f t="shared" si="125"/>
        <v/>
      </c>
    </row>
    <row r="3527" spans="15:16" x14ac:dyDescent="0.35">
      <c r="O3527" s="12" t="str">
        <f t="shared" si="124"/>
        <v/>
      </c>
      <c r="P3527" s="12" t="str">
        <f t="shared" si="125"/>
        <v/>
      </c>
    </row>
    <row r="3528" spans="15:16" x14ac:dyDescent="0.35">
      <c r="O3528" s="12" t="str">
        <f t="shared" si="124"/>
        <v/>
      </c>
      <c r="P3528" s="12" t="str">
        <f t="shared" si="125"/>
        <v/>
      </c>
    </row>
    <row r="3529" spans="15:16" x14ac:dyDescent="0.35">
      <c r="O3529" s="12" t="str">
        <f t="shared" si="124"/>
        <v/>
      </c>
      <c r="P3529" s="12" t="str">
        <f t="shared" si="125"/>
        <v/>
      </c>
    </row>
    <row r="3530" spans="15:16" x14ac:dyDescent="0.35">
      <c r="O3530" s="12" t="str">
        <f t="shared" si="124"/>
        <v/>
      </c>
      <c r="P3530" s="12" t="str">
        <f t="shared" si="125"/>
        <v/>
      </c>
    </row>
    <row r="3531" spans="15:16" x14ac:dyDescent="0.35">
      <c r="O3531" s="12" t="str">
        <f t="shared" si="124"/>
        <v/>
      </c>
      <c r="P3531" s="12" t="str">
        <f t="shared" si="125"/>
        <v/>
      </c>
    </row>
    <row r="3532" spans="15:16" x14ac:dyDescent="0.35">
      <c r="O3532" s="12" t="str">
        <f t="shared" si="124"/>
        <v/>
      </c>
      <c r="P3532" s="12" t="str">
        <f t="shared" si="125"/>
        <v/>
      </c>
    </row>
    <row r="3533" spans="15:16" x14ac:dyDescent="0.35">
      <c r="O3533" s="12" t="str">
        <f t="shared" si="124"/>
        <v/>
      </c>
      <c r="P3533" s="12" t="str">
        <f t="shared" si="125"/>
        <v/>
      </c>
    </row>
    <row r="3534" spans="15:16" x14ac:dyDescent="0.35">
      <c r="O3534" s="12" t="str">
        <f t="shared" si="124"/>
        <v/>
      </c>
      <c r="P3534" s="12" t="str">
        <f t="shared" si="125"/>
        <v/>
      </c>
    </row>
    <row r="3535" spans="15:16" x14ac:dyDescent="0.35">
      <c r="O3535" s="12" t="str">
        <f t="shared" si="124"/>
        <v/>
      </c>
      <c r="P3535" s="12" t="str">
        <f t="shared" si="125"/>
        <v/>
      </c>
    </row>
    <row r="3536" spans="15:16" x14ac:dyDescent="0.35">
      <c r="O3536" s="12" t="str">
        <f t="shared" si="124"/>
        <v/>
      </c>
      <c r="P3536" s="12" t="str">
        <f t="shared" si="125"/>
        <v/>
      </c>
    </row>
    <row r="3537" spans="15:16" x14ac:dyDescent="0.35">
      <c r="O3537" s="12" t="str">
        <f t="shared" si="124"/>
        <v/>
      </c>
      <c r="P3537" s="12" t="str">
        <f t="shared" si="125"/>
        <v/>
      </c>
    </row>
    <row r="3538" spans="15:16" x14ac:dyDescent="0.35">
      <c r="O3538" s="12" t="str">
        <f t="shared" si="124"/>
        <v/>
      </c>
      <c r="P3538" s="12" t="str">
        <f t="shared" si="125"/>
        <v/>
      </c>
    </row>
    <row r="3539" spans="15:16" x14ac:dyDescent="0.35">
      <c r="O3539" s="12" t="str">
        <f t="shared" si="124"/>
        <v/>
      </c>
      <c r="P3539" s="12" t="str">
        <f t="shared" si="125"/>
        <v/>
      </c>
    </row>
    <row r="3540" spans="15:16" x14ac:dyDescent="0.35">
      <c r="O3540" s="12" t="str">
        <f t="shared" si="124"/>
        <v/>
      </c>
      <c r="P3540" s="12" t="str">
        <f t="shared" si="125"/>
        <v/>
      </c>
    </row>
    <row r="3541" spans="15:16" x14ac:dyDescent="0.35">
      <c r="O3541" s="12" t="str">
        <f t="shared" si="124"/>
        <v/>
      </c>
      <c r="P3541" s="12" t="str">
        <f t="shared" si="125"/>
        <v/>
      </c>
    </row>
    <row r="3542" spans="15:16" x14ac:dyDescent="0.35">
      <c r="O3542" s="12" t="str">
        <f t="shared" ref="O3542:O3605" si="126">LEFT(B3542,3)</f>
        <v/>
      </c>
      <c r="P3542" s="12" t="str">
        <f t="shared" ref="P3542:P3605" si="127">LEFT(D3542,5)</f>
        <v/>
      </c>
    </row>
    <row r="3543" spans="15:16" x14ac:dyDescent="0.35">
      <c r="O3543" s="12" t="str">
        <f t="shared" si="126"/>
        <v/>
      </c>
      <c r="P3543" s="12" t="str">
        <f t="shared" si="127"/>
        <v/>
      </c>
    </row>
    <row r="3544" spans="15:16" x14ac:dyDescent="0.35">
      <c r="O3544" s="12" t="str">
        <f t="shared" si="126"/>
        <v/>
      </c>
      <c r="P3544" s="12" t="str">
        <f t="shared" si="127"/>
        <v/>
      </c>
    </row>
    <row r="3545" spans="15:16" x14ac:dyDescent="0.35">
      <c r="O3545" s="12" t="str">
        <f t="shared" si="126"/>
        <v/>
      </c>
      <c r="P3545" s="12" t="str">
        <f t="shared" si="127"/>
        <v/>
      </c>
    </row>
    <row r="3546" spans="15:16" x14ac:dyDescent="0.35">
      <c r="O3546" s="12" t="str">
        <f t="shared" si="126"/>
        <v/>
      </c>
      <c r="P3546" s="12" t="str">
        <f t="shared" si="127"/>
        <v/>
      </c>
    </row>
    <row r="3547" spans="15:16" x14ac:dyDescent="0.35">
      <c r="O3547" s="12" t="str">
        <f t="shared" si="126"/>
        <v/>
      </c>
      <c r="P3547" s="12" t="str">
        <f t="shared" si="127"/>
        <v/>
      </c>
    </row>
    <row r="3548" spans="15:16" x14ac:dyDescent="0.35">
      <c r="O3548" s="12" t="str">
        <f t="shared" si="126"/>
        <v/>
      </c>
      <c r="P3548" s="12" t="str">
        <f t="shared" si="127"/>
        <v/>
      </c>
    </row>
    <row r="3549" spans="15:16" x14ac:dyDescent="0.35">
      <c r="O3549" s="12" t="str">
        <f t="shared" si="126"/>
        <v/>
      </c>
      <c r="P3549" s="12" t="str">
        <f t="shared" si="127"/>
        <v/>
      </c>
    </row>
    <row r="3550" spans="15:16" x14ac:dyDescent="0.35">
      <c r="O3550" s="12" t="str">
        <f t="shared" si="126"/>
        <v/>
      </c>
      <c r="P3550" s="12" t="str">
        <f t="shared" si="127"/>
        <v/>
      </c>
    </row>
    <row r="3551" spans="15:16" x14ac:dyDescent="0.35">
      <c r="O3551" s="12" t="str">
        <f t="shared" si="126"/>
        <v/>
      </c>
      <c r="P3551" s="12" t="str">
        <f t="shared" si="127"/>
        <v/>
      </c>
    </row>
    <row r="3552" spans="15:16" x14ac:dyDescent="0.35">
      <c r="O3552" s="12" t="str">
        <f t="shared" si="126"/>
        <v/>
      </c>
      <c r="P3552" s="12" t="str">
        <f t="shared" si="127"/>
        <v/>
      </c>
    </row>
    <row r="3553" spans="15:16" x14ac:dyDescent="0.35">
      <c r="O3553" s="12" t="str">
        <f t="shared" si="126"/>
        <v/>
      </c>
      <c r="P3553" s="12" t="str">
        <f t="shared" si="127"/>
        <v/>
      </c>
    </row>
    <row r="3554" spans="15:16" x14ac:dyDescent="0.35">
      <c r="O3554" s="12" t="str">
        <f t="shared" si="126"/>
        <v/>
      </c>
      <c r="P3554" s="12" t="str">
        <f t="shared" si="127"/>
        <v/>
      </c>
    </row>
    <row r="3555" spans="15:16" x14ac:dyDescent="0.35">
      <c r="O3555" s="12" t="str">
        <f t="shared" si="126"/>
        <v/>
      </c>
      <c r="P3555" s="12" t="str">
        <f t="shared" si="127"/>
        <v/>
      </c>
    </row>
    <row r="3556" spans="15:16" x14ac:dyDescent="0.35">
      <c r="O3556" s="12" t="str">
        <f t="shared" si="126"/>
        <v/>
      </c>
      <c r="P3556" s="12" t="str">
        <f t="shared" si="127"/>
        <v/>
      </c>
    </row>
    <row r="3557" spans="15:16" x14ac:dyDescent="0.35">
      <c r="O3557" s="12" t="str">
        <f t="shared" si="126"/>
        <v/>
      </c>
      <c r="P3557" s="12" t="str">
        <f t="shared" si="127"/>
        <v/>
      </c>
    </row>
    <row r="3558" spans="15:16" x14ac:dyDescent="0.35">
      <c r="O3558" s="12" t="str">
        <f t="shared" si="126"/>
        <v/>
      </c>
      <c r="P3558" s="12" t="str">
        <f t="shared" si="127"/>
        <v/>
      </c>
    </row>
    <row r="3559" spans="15:16" x14ac:dyDescent="0.35">
      <c r="O3559" s="12" t="str">
        <f t="shared" si="126"/>
        <v/>
      </c>
      <c r="P3559" s="12" t="str">
        <f t="shared" si="127"/>
        <v/>
      </c>
    </row>
    <row r="3560" spans="15:16" x14ac:dyDescent="0.35">
      <c r="O3560" s="12" t="str">
        <f t="shared" si="126"/>
        <v/>
      </c>
      <c r="P3560" s="12" t="str">
        <f t="shared" si="127"/>
        <v/>
      </c>
    </row>
    <row r="3561" spans="15:16" x14ac:dyDescent="0.35">
      <c r="O3561" s="12" t="str">
        <f t="shared" si="126"/>
        <v/>
      </c>
      <c r="P3561" s="12" t="str">
        <f t="shared" si="127"/>
        <v/>
      </c>
    </row>
    <row r="3562" spans="15:16" x14ac:dyDescent="0.35">
      <c r="O3562" s="12" t="str">
        <f t="shared" si="126"/>
        <v/>
      </c>
      <c r="P3562" s="12" t="str">
        <f t="shared" si="127"/>
        <v/>
      </c>
    </row>
    <row r="3563" spans="15:16" x14ac:dyDescent="0.35">
      <c r="O3563" s="12" t="str">
        <f t="shared" si="126"/>
        <v/>
      </c>
      <c r="P3563" s="12" t="str">
        <f t="shared" si="127"/>
        <v/>
      </c>
    </row>
    <row r="3564" spans="15:16" x14ac:dyDescent="0.35">
      <c r="O3564" s="12" t="str">
        <f t="shared" si="126"/>
        <v/>
      </c>
      <c r="P3564" s="12" t="str">
        <f t="shared" si="127"/>
        <v/>
      </c>
    </row>
    <row r="3565" spans="15:16" x14ac:dyDescent="0.35">
      <c r="O3565" s="12" t="str">
        <f t="shared" si="126"/>
        <v/>
      </c>
      <c r="P3565" s="12" t="str">
        <f t="shared" si="127"/>
        <v/>
      </c>
    </row>
    <row r="3566" spans="15:16" x14ac:dyDescent="0.35">
      <c r="O3566" s="12" t="str">
        <f t="shared" si="126"/>
        <v/>
      </c>
      <c r="P3566" s="12" t="str">
        <f t="shared" si="127"/>
        <v/>
      </c>
    </row>
    <row r="3567" spans="15:16" x14ac:dyDescent="0.35">
      <c r="O3567" s="12" t="str">
        <f t="shared" si="126"/>
        <v/>
      </c>
      <c r="P3567" s="12" t="str">
        <f t="shared" si="127"/>
        <v/>
      </c>
    </row>
    <row r="3568" spans="15:16" x14ac:dyDescent="0.35">
      <c r="O3568" s="12" t="str">
        <f t="shared" si="126"/>
        <v/>
      </c>
      <c r="P3568" s="12" t="str">
        <f t="shared" si="127"/>
        <v/>
      </c>
    </row>
    <row r="3569" spans="15:16" x14ac:dyDescent="0.35">
      <c r="O3569" s="12" t="str">
        <f t="shared" si="126"/>
        <v/>
      </c>
      <c r="P3569" s="12" t="str">
        <f t="shared" si="127"/>
        <v/>
      </c>
    </row>
    <row r="3570" spans="15:16" x14ac:dyDescent="0.35">
      <c r="O3570" s="12" t="str">
        <f t="shared" si="126"/>
        <v/>
      </c>
      <c r="P3570" s="12" t="str">
        <f t="shared" si="127"/>
        <v/>
      </c>
    </row>
    <row r="3571" spans="15:16" x14ac:dyDescent="0.35">
      <c r="O3571" s="12" t="str">
        <f t="shared" si="126"/>
        <v/>
      </c>
      <c r="P3571" s="12" t="str">
        <f t="shared" si="127"/>
        <v/>
      </c>
    </row>
    <row r="3572" spans="15:16" x14ac:dyDescent="0.35">
      <c r="O3572" s="12" t="str">
        <f t="shared" si="126"/>
        <v/>
      </c>
      <c r="P3572" s="12" t="str">
        <f t="shared" si="127"/>
        <v/>
      </c>
    </row>
    <row r="3573" spans="15:16" x14ac:dyDescent="0.35">
      <c r="O3573" s="12" t="str">
        <f t="shared" si="126"/>
        <v/>
      </c>
      <c r="P3573" s="12" t="str">
        <f t="shared" si="127"/>
        <v/>
      </c>
    </row>
    <row r="3574" spans="15:16" x14ac:dyDescent="0.35">
      <c r="O3574" s="12" t="str">
        <f t="shared" si="126"/>
        <v/>
      </c>
      <c r="P3574" s="12" t="str">
        <f t="shared" si="127"/>
        <v/>
      </c>
    </row>
    <row r="3575" spans="15:16" x14ac:dyDescent="0.35">
      <c r="O3575" s="12" t="str">
        <f t="shared" si="126"/>
        <v/>
      </c>
      <c r="P3575" s="12" t="str">
        <f t="shared" si="127"/>
        <v/>
      </c>
    </row>
    <row r="3576" spans="15:16" x14ac:dyDescent="0.35">
      <c r="O3576" s="12" t="str">
        <f t="shared" si="126"/>
        <v/>
      </c>
      <c r="P3576" s="12" t="str">
        <f t="shared" si="127"/>
        <v/>
      </c>
    </row>
    <row r="3577" spans="15:16" x14ac:dyDescent="0.35">
      <c r="O3577" s="12" t="str">
        <f t="shared" si="126"/>
        <v/>
      </c>
      <c r="P3577" s="12" t="str">
        <f t="shared" si="127"/>
        <v/>
      </c>
    </row>
    <row r="3578" spans="15:16" x14ac:dyDescent="0.35">
      <c r="O3578" s="12" t="str">
        <f t="shared" si="126"/>
        <v/>
      </c>
      <c r="P3578" s="12" t="str">
        <f t="shared" si="127"/>
        <v/>
      </c>
    </row>
    <row r="3579" spans="15:16" x14ac:dyDescent="0.35">
      <c r="O3579" s="12" t="str">
        <f t="shared" si="126"/>
        <v/>
      </c>
      <c r="P3579" s="12" t="str">
        <f t="shared" si="127"/>
        <v/>
      </c>
    </row>
    <row r="3580" spans="15:16" x14ac:dyDescent="0.35">
      <c r="O3580" s="12" t="str">
        <f t="shared" si="126"/>
        <v/>
      </c>
      <c r="P3580" s="12" t="str">
        <f t="shared" si="127"/>
        <v/>
      </c>
    </row>
    <row r="3581" spans="15:16" x14ac:dyDescent="0.35">
      <c r="O3581" s="12" t="str">
        <f t="shared" si="126"/>
        <v/>
      </c>
      <c r="P3581" s="12" t="str">
        <f t="shared" si="127"/>
        <v/>
      </c>
    </row>
    <row r="3582" spans="15:16" x14ac:dyDescent="0.35">
      <c r="O3582" s="12" t="str">
        <f t="shared" si="126"/>
        <v/>
      </c>
      <c r="P3582" s="12" t="str">
        <f t="shared" si="127"/>
        <v/>
      </c>
    </row>
    <row r="3583" spans="15:16" x14ac:dyDescent="0.35">
      <c r="O3583" s="12" t="str">
        <f t="shared" si="126"/>
        <v/>
      </c>
      <c r="P3583" s="12" t="str">
        <f t="shared" si="127"/>
        <v/>
      </c>
    </row>
    <row r="3584" spans="15:16" x14ac:dyDescent="0.35">
      <c r="O3584" s="12" t="str">
        <f t="shared" si="126"/>
        <v/>
      </c>
      <c r="P3584" s="12" t="str">
        <f t="shared" si="127"/>
        <v/>
      </c>
    </row>
    <row r="3585" spans="15:16" x14ac:dyDescent="0.35">
      <c r="O3585" s="12" t="str">
        <f t="shared" si="126"/>
        <v/>
      </c>
      <c r="P3585" s="12" t="str">
        <f t="shared" si="127"/>
        <v/>
      </c>
    </row>
    <row r="3586" spans="15:16" x14ac:dyDescent="0.35">
      <c r="O3586" s="12" t="str">
        <f t="shared" si="126"/>
        <v/>
      </c>
      <c r="P3586" s="12" t="str">
        <f t="shared" si="127"/>
        <v/>
      </c>
    </row>
    <row r="3587" spans="15:16" x14ac:dyDescent="0.35">
      <c r="O3587" s="12" t="str">
        <f t="shared" si="126"/>
        <v/>
      </c>
      <c r="P3587" s="12" t="str">
        <f t="shared" si="127"/>
        <v/>
      </c>
    </row>
    <row r="3588" spans="15:16" x14ac:dyDescent="0.35">
      <c r="O3588" s="12" t="str">
        <f t="shared" si="126"/>
        <v/>
      </c>
      <c r="P3588" s="12" t="str">
        <f t="shared" si="127"/>
        <v/>
      </c>
    </row>
    <row r="3589" spans="15:16" x14ac:dyDescent="0.35">
      <c r="O3589" s="12" t="str">
        <f t="shared" si="126"/>
        <v/>
      </c>
      <c r="P3589" s="12" t="str">
        <f t="shared" si="127"/>
        <v/>
      </c>
    </row>
    <row r="3590" spans="15:16" x14ac:dyDescent="0.35">
      <c r="O3590" s="12" t="str">
        <f t="shared" si="126"/>
        <v/>
      </c>
      <c r="P3590" s="12" t="str">
        <f t="shared" si="127"/>
        <v/>
      </c>
    </row>
    <row r="3591" spans="15:16" x14ac:dyDescent="0.35">
      <c r="O3591" s="12" t="str">
        <f t="shared" si="126"/>
        <v/>
      </c>
      <c r="P3591" s="12" t="str">
        <f t="shared" si="127"/>
        <v/>
      </c>
    </row>
    <row r="3592" spans="15:16" x14ac:dyDescent="0.35">
      <c r="O3592" s="12" t="str">
        <f t="shared" si="126"/>
        <v/>
      </c>
      <c r="P3592" s="12" t="str">
        <f t="shared" si="127"/>
        <v/>
      </c>
    </row>
    <row r="3593" spans="15:16" x14ac:dyDescent="0.35">
      <c r="O3593" s="12" t="str">
        <f t="shared" si="126"/>
        <v/>
      </c>
      <c r="P3593" s="12" t="str">
        <f t="shared" si="127"/>
        <v/>
      </c>
    </row>
    <row r="3594" spans="15:16" x14ac:dyDescent="0.35">
      <c r="O3594" s="12" t="str">
        <f t="shared" si="126"/>
        <v/>
      </c>
      <c r="P3594" s="12" t="str">
        <f t="shared" si="127"/>
        <v/>
      </c>
    </row>
    <row r="3595" spans="15:16" x14ac:dyDescent="0.35">
      <c r="O3595" s="12" t="str">
        <f t="shared" si="126"/>
        <v/>
      </c>
      <c r="P3595" s="12" t="str">
        <f t="shared" si="127"/>
        <v/>
      </c>
    </row>
    <row r="3596" spans="15:16" x14ac:dyDescent="0.35">
      <c r="O3596" s="12" t="str">
        <f t="shared" si="126"/>
        <v/>
      </c>
      <c r="P3596" s="12" t="str">
        <f t="shared" si="127"/>
        <v/>
      </c>
    </row>
    <row r="3597" spans="15:16" x14ac:dyDescent="0.35">
      <c r="O3597" s="12" t="str">
        <f t="shared" si="126"/>
        <v/>
      </c>
      <c r="P3597" s="12" t="str">
        <f t="shared" si="127"/>
        <v/>
      </c>
    </row>
    <row r="3598" spans="15:16" x14ac:dyDescent="0.35">
      <c r="O3598" s="12" t="str">
        <f t="shared" si="126"/>
        <v/>
      </c>
      <c r="P3598" s="12" t="str">
        <f t="shared" si="127"/>
        <v/>
      </c>
    </row>
    <row r="3599" spans="15:16" x14ac:dyDescent="0.35">
      <c r="O3599" s="12" t="str">
        <f t="shared" si="126"/>
        <v/>
      </c>
      <c r="P3599" s="12" t="str">
        <f t="shared" si="127"/>
        <v/>
      </c>
    </row>
    <row r="3600" spans="15:16" x14ac:dyDescent="0.35">
      <c r="O3600" s="12" t="str">
        <f t="shared" si="126"/>
        <v/>
      </c>
      <c r="P3600" s="12" t="str">
        <f t="shared" si="127"/>
        <v/>
      </c>
    </row>
    <row r="3601" spans="15:16" x14ac:dyDescent="0.35">
      <c r="O3601" s="12" t="str">
        <f t="shared" si="126"/>
        <v/>
      </c>
      <c r="P3601" s="12" t="str">
        <f t="shared" si="127"/>
        <v/>
      </c>
    </row>
    <row r="3602" spans="15:16" x14ac:dyDescent="0.35">
      <c r="O3602" s="12" t="str">
        <f t="shared" si="126"/>
        <v/>
      </c>
      <c r="P3602" s="12" t="str">
        <f t="shared" si="127"/>
        <v/>
      </c>
    </row>
    <row r="3603" spans="15:16" x14ac:dyDescent="0.35">
      <c r="O3603" s="12" t="str">
        <f t="shared" si="126"/>
        <v/>
      </c>
      <c r="P3603" s="12" t="str">
        <f t="shared" si="127"/>
        <v/>
      </c>
    </row>
    <row r="3604" spans="15:16" x14ac:dyDescent="0.35">
      <c r="O3604" s="12" t="str">
        <f t="shared" si="126"/>
        <v/>
      </c>
      <c r="P3604" s="12" t="str">
        <f t="shared" si="127"/>
        <v/>
      </c>
    </row>
    <row r="3605" spans="15:16" x14ac:dyDescent="0.35">
      <c r="O3605" s="12" t="str">
        <f t="shared" si="126"/>
        <v/>
      </c>
      <c r="P3605" s="12" t="str">
        <f t="shared" si="127"/>
        <v/>
      </c>
    </row>
    <row r="3606" spans="15:16" x14ac:dyDescent="0.35">
      <c r="O3606" s="12" t="str">
        <f t="shared" ref="O3606:O3669" si="128">LEFT(B3606,3)</f>
        <v/>
      </c>
      <c r="P3606" s="12" t="str">
        <f t="shared" ref="P3606:P3669" si="129">LEFT(D3606,5)</f>
        <v/>
      </c>
    </row>
    <row r="3607" spans="15:16" x14ac:dyDescent="0.35">
      <c r="O3607" s="12" t="str">
        <f t="shared" si="128"/>
        <v/>
      </c>
      <c r="P3607" s="12" t="str">
        <f t="shared" si="129"/>
        <v/>
      </c>
    </row>
    <row r="3608" spans="15:16" x14ac:dyDescent="0.35">
      <c r="O3608" s="12" t="str">
        <f t="shared" si="128"/>
        <v/>
      </c>
      <c r="P3608" s="12" t="str">
        <f t="shared" si="129"/>
        <v/>
      </c>
    </row>
    <row r="3609" spans="15:16" x14ac:dyDescent="0.35">
      <c r="O3609" s="12" t="str">
        <f t="shared" si="128"/>
        <v/>
      </c>
      <c r="P3609" s="12" t="str">
        <f t="shared" si="129"/>
        <v/>
      </c>
    </row>
    <row r="3610" spans="15:16" x14ac:dyDescent="0.35">
      <c r="O3610" s="12" t="str">
        <f t="shared" si="128"/>
        <v/>
      </c>
      <c r="P3610" s="12" t="str">
        <f t="shared" si="129"/>
        <v/>
      </c>
    </row>
    <row r="3611" spans="15:16" x14ac:dyDescent="0.35">
      <c r="O3611" s="12" t="str">
        <f t="shared" si="128"/>
        <v/>
      </c>
      <c r="P3611" s="12" t="str">
        <f t="shared" si="129"/>
        <v/>
      </c>
    </row>
    <row r="3612" spans="15:16" x14ac:dyDescent="0.35">
      <c r="O3612" s="12" t="str">
        <f t="shared" si="128"/>
        <v/>
      </c>
      <c r="P3612" s="12" t="str">
        <f t="shared" si="129"/>
        <v/>
      </c>
    </row>
    <row r="3613" spans="15:16" x14ac:dyDescent="0.35">
      <c r="O3613" s="12" t="str">
        <f t="shared" si="128"/>
        <v/>
      </c>
      <c r="P3613" s="12" t="str">
        <f t="shared" si="129"/>
        <v/>
      </c>
    </row>
    <row r="3614" spans="15:16" x14ac:dyDescent="0.35">
      <c r="O3614" s="12" t="str">
        <f t="shared" si="128"/>
        <v/>
      </c>
      <c r="P3614" s="12" t="str">
        <f t="shared" si="129"/>
        <v/>
      </c>
    </row>
    <row r="3615" spans="15:16" x14ac:dyDescent="0.35">
      <c r="O3615" s="12" t="str">
        <f t="shared" si="128"/>
        <v/>
      </c>
      <c r="P3615" s="12" t="str">
        <f t="shared" si="129"/>
        <v/>
      </c>
    </row>
    <row r="3616" spans="15:16" x14ac:dyDescent="0.35">
      <c r="O3616" s="12" t="str">
        <f t="shared" si="128"/>
        <v/>
      </c>
      <c r="P3616" s="12" t="str">
        <f t="shared" si="129"/>
        <v/>
      </c>
    </row>
    <row r="3617" spans="15:16" x14ac:dyDescent="0.35">
      <c r="O3617" s="12" t="str">
        <f t="shared" si="128"/>
        <v/>
      </c>
      <c r="P3617" s="12" t="str">
        <f t="shared" si="129"/>
        <v/>
      </c>
    </row>
    <row r="3618" spans="15:16" x14ac:dyDescent="0.35">
      <c r="O3618" s="12" t="str">
        <f t="shared" si="128"/>
        <v/>
      </c>
      <c r="P3618" s="12" t="str">
        <f t="shared" si="129"/>
        <v/>
      </c>
    </row>
    <row r="3619" spans="15:16" x14ac:dyDescent="0.35">
      <c r="O3619" s="12" t="str">
        <f t="shared" si="128"/>
        <v/>
      </c>
      <c r="P3619" s="12" t="str">
        <f t="shared" si="129"/>
        <v/>
      </c>
    </row>
    <row r="3620" spans="15:16" x14ac:dyDescent="0.35">
      <c r="O3620" s="12" t="str">
        <f t="shared" si="128"/>
        <v/>
      </c>
      <c r="P3620" s="12" t="str">
        <f t="shared" si="129"/>
        <v/>
      </c>
    </row>
    <row r="3621" spans="15:16" x14ac:dyDescent="0.35">
      <c r="O3621" s="12" t="str">
        <f t="shared" si="128"/>
        <v/>
      </c>
      <c r="P3621" s="12" t="str">
        <f t="shared" si="129"/>
        <v/>
      </c>
    </row>
    <row r="3622" spans="15:16" x14ac:dyDescent="0.35">
      <c r="O3622" s="12" t="str">
        <f t="shared" si="128"/>
        <v/>
      </c>
      <c r="P3622" s="12" t="str">
        <f t="shared" si="129"/>
        <v/>
      </c>
    </row>
    <row r="3623" spans="15:16" x14ac:dyDescent="0.35">
      <c r="O3623" s="12" t="str">
        <f t="shared" si="128"/>
        <v/>
      </c>
      <c r="P3623" s="12" t="str">
        <f t="shared" si="129"/>
        <v/>
      </c>
    </row>
    <row r="3624" spans="15:16" x14ac:dyDescent="0.35">
      <c r="O3624" s="12" t="str">
        <f t="shared" si="128"/>
        <v/>
      </c>
      <c r="P3624" s="12" t="str">
        <f t="shared" si="129"/>
        <v/>
      </c>
    </row>
    <row r="3625" spans="15:16" x14ac:dyDescent="0.35">
      <c r="O3625" s="12" t="str">
        <f t="shared" si="128"/>
        <v/>
      </c>
      <c r="P3625" s="12" t="str">
        <f t="shared" si="129"/>
        <v/>
      </c>
    </row>
    <row r="3626" spans="15:16" x14ac:dyDescent="0.35">
      <c r="O3626" s="12" t="str">
        <f t="shared" si="128"/>
        <v/>
      </c>
      <c r="P3626" s="12" t="str">
        <f t="shared" si="129"/>
        <v/>
      </c>
    </row>
    <row r="3627" spans="15:16" x14ac:dyDescent="0.35">
      <c r="O3627" s="12" t="str">
        <f t="shared" si="128"/>
        <v/>
      </c>
      <c r="P3627" s="12" t="str">
        <f t="shared" si="129"/>
        <v/>
      </c>
    </row>
    <row r="3628" spans="15:16" x14ac:dyDescent="0.35">
      <c r="O3628" s="12" t="str">
        <f t="shared" si="128"/>
        <v/>
      </c>
      <c r="P3628" s="12" t="str">
        <f t="shared" si="129"/>
        <v/>
      </c>
    </row>
    <row r="3629" spans="15:16" x14ac:dyDescent="0.35">
      <c r="O3629" s="12" t="str">
        <f t="shared" si="128"/>
        <v/>
      </c>
      <c r="P3629" s="12" t="str">
        <f t="shared" si="129"/>
        <v/>
      </c>
    </row>
    <row r="3630" spans="15:16" x14ac:dyDescent="0.35">
      <c r="O3630" s="12" t="str">
        <f t="shared" si="128"/>
        <v/>
      </c>
      <c r="P3630" s="12" t="str">
        <f t="shared" si="129"/>
        <v/>
      </c>
    </row>
    <row r="3631" spans="15:16" x14ac:dyDescent="0.35">
      <c r="O3631" s="12" t="str">
        <f t="shared" si="128"/>
        <v/>
      </c>
      <c r="P3631" s="12" t="str">
        <f t="shared" si="129"/>
        <v/>
      </c>
    </row>
    <row r="3632" spans="15:16" x14ac:dyDescent="0.35">
      <c r="O3632" s="12" t="str">
        <f t="shared" si="128"/>
        <v/>
      </c>
      <c r="P3632" s="12" t="str">
        <f t="shared" si="129"/>
        <v/>
      </c>
    </row>
    <row r="3633" spans="15:16" x14ac:dyDescent="0.35">
      <c r="O3633" s="12" t="str">
        <f t="shared" si="128"/>
        <v/>
      </c>
      <c r="P3633" s="12" t="str">
        <f t="shared" si="129"/>
        <v/>
      </c>
    </row>
    <row r="3634" spans="15:16" x14ac:dyDescent="0.35">
      <c r="O3634" s="12" t="str">
        <f t="shared" si="128"/>
        <v/>
      </c>
      <c r="P3634" s="12" t="str">
        <f t="shared" si="129"/>
        <v/>
      </c>
    </row>
    <row r="3635" spans="15:16" x14ac:dyDescent="0.35">
      <c r="O3635" s="12" t="str">
        <f t="shared" si="128"/>
        <v/>
      </c>
      <c r="P3635" s="12" t="str">
        <f t="shared" si="129"/>
        <v/>
      </c>
    </row>
    <row r="3636" spans="15:16" x14ac:dyDescent="0.35">
      <c r="O3636" s="12" t="str">
        <f t="shared" si="128"/>
        <v/>
      </c>
      <c r="P3636" s="12" t="str">
        <f t="shared" si="129"/>
        <v/>
      </c>
    </row>
    <row r="3637" spans="15:16" x14ac:dyDescent="0.35">
      <c r="O3637" s="12" t="str">
        <f t="shared" si="128"/>
        <v/>
      </c>
      <c r="P3637" s="12" t="str">
        <f t="shared" si="129"/>
        <v/>
      </c>
    </row>
    <row r="3638" spans="15:16" x14ac:dyDescent="0.35">
      <c r="O3638" s="12" t="str">
        <f t="shared" si="128"/>
        <v/>
      </c>
      <c r="P3638" s="12" t="str">
        <f t="shared" si="129"/>
        <v/>
      </c>
    </row>
    <row r="3639" spans="15:16" x14ac:dyDescent="0.35">
      <c r="O3639" s="12" t="str">
        <f t="shared" si="128"/>
        <v/>
      </c>
      <c r="P3639" s="12" t="str">
        <f t="shared" si="129"/>
        <v/>
      </c>
    </row>
    <row r="3640" spans="15:16" x14ac:dyDescent="0.35">
      <c r="O3640" s="12" t="str">
        <f t="shared" si="128"/>
        <v/>
      </c>
      <c r="P3640" s="12" t="str">
        <f t="shared" si="129"/>
        <v/>
      </c>
    </row>
    <row r="3641" spans="15:16" x14ac:dyDescent="0.35">
      <c r="O3641" s="12" t="str">
        <f t="shared" si="128"/>
        <v/>
      </c>
      <c r="P3641" s="12" t="str">
        <f t="shared" si="129"/>
        <v/>
      </c>
    </row>
    <row r="3642" spans="15:16" x14ac:dyDescent="0.35">
      <c r="O3642" s="12" t="str">
        <f t="shared" si="128"/>
        <v/>
      </c>
      <c r="P3642" s="12" t="str">
        <f t="shared" si="129"/>
        <v/>
      </c>
    </row>
    <row r="3643" spans="15:16" x14ac:dyDescent="0.35">
      <c r="O3643" s="12" t="str">
        <f t="shared" si="128"/>
        <v/>
      </c>
      <c r="P3643" s="12" t="str">
        <f t="shared" si="129"/>
        <v/>
      </c>
    </row>
    <row r="3644" spans="15:16" x14ac:dyDescent="0.35">
      <c r="O3644" s="12" t="str">
        <f t="shared" si="128"/>
        <v/>
      </c>
      <c r="P3644" s="12" t="str">
        <f t="shared" si="129"/>
        <v/>
      </c>
    </row>
    <row r="3645" spans="15:16" x14ac:dyDescent="0.35">
      <c r="O3645" s="12" t="str">
        <f t="shared" si="128"/>
        <v/>
      </c>
      <c r="P3645" s="12" t="str">
        <f t="shared" si="129"/>
        <v/>
      </c>
    </row>
    <row r="3646" spans="15:16" x14ac:dyDescent="0.35">
      <c r="O3646" s="12" t="str">
        <f t="shared" si="128"/>
        <v/>
      </c>
      <c r="P3646" s="12" t="str">
        <f t="shared" si="129"/>
        <v/>
      </c>
    </row>
    <row r="3647" spans="15:16" x14ac:dyDescent="0.35">
      <c r="O3647" s="12" t="str">
        <f t="shared" si="128"/>
        <v/>
      </c>
      <c r="P3647" s="12" t="str">
        <f t="shared" si="129"/>
        <v/>
      </c>
    </row>
    <row r="3648" spans="15:16" x14ac:dyDescent="0.35">
      <c r="O3648" s="12" t="str">
        <f t="shared" si="128"/>
        <v/>
      </c>
      <c r="P3648" s="12" t="str">
        <f t="shared" si="129"/>
        <v/>
      </c>
    </row>
    <row r="3649" spans="15:16" x14ac:dyDescent="0.35">
      <c r="O3649" s="12" t="str">
        <f t="shared" si="128"/>
        <v/>
      </c>
      <c r="P3649" s="12" t="str">
        <f t="shared" si="129"/>
        <v/>
      </c>
    </row>
    <row r="3650" spans="15:16" x14ac:dyDescent="0.35">
      <c r="O3650" s="12" t="str">
        <f t="shared" si="128"/>
        <v/>
      </c>
      <c r="P3650" s="12" t="str">
        <f t="shared" si="129"/>
        <v/>
      </c>
    </row>
    <row r="3651" spans="15:16" x14ac:dyDescent="0.35">
      <c r="O3651" s="12" t="str">
        <f t="shared" si="128"/>
        <v/>
      </c>
      <c r="P3651" s="12" t="str">
        <f t="shared" si="129"/>
        <v/>
      </c>
    </row>
    <row r="3652" spans="15:16" x14ac:dyDescent="0.35">
      <c r="O3652" s="12" t="str">
        <f t="shared" si="128"/>
        <v/>
      </c>
      <c r="P3652" s="12" t="str">
        <f t="shared" si="129"/>
        <v/>
      </c>
    </row>
    <row r="3653" spans="15:16" x14ac:dyDescent="0.35">
      <c r="O3653" s="12" t="str">
        <f t="shared" si="128"/>
        <v/>
      </c>
      <c r="P3653" s="12" t="str">
        <f t="shared" si="129"/>
        <v/>
      </c>
    </row>
    <row r="3654" spans="15:16" x14ac:dyDescent="0.35">
      <c r="O3654" s="12" t="str">
        <f t="shared" si="128"/>
        <v/>
      </c>
      <c r="P3654" s="12" t="str">
        <f t="shared" si="129"/>
        <v/>
      </c>
    </row>
    <row r="3655" spans="15:16" x14ac:dyDescent="0.35">
      <c r="O3655" s="12" t="str">
        <f t="shared" si="128"/>
        <v/>
      </c>
      <c r="P3655" s="12" t="str">
        <f t="shared" si="129"/>
        <v/>
      </c>
    </row>
    <row r="3656" spans="15:16" x14ac:dyDescent="0.35">
      <c r="O3656" s="12" t="str">
        <f t="shared" si="128"/>
        <v/>
      </c>
      <c r="P3656" s="12" t="str">
        <f t="shared" si="129"/>
        <v/>
      </c>
    </row>
    <row r="3657" spans="15:16" x14ac:dyDescent="0.35">
      <c r="O3657" s="12" t="str">
        <f t="shared" si="128"/>
        <v/>
      </c>
      <c r="P3657" s="12" t="str">
        <f t="shared" si="129"/>
        <v/>
      </c>
    </row>
    <row r="3658" spans="15:16" x14ac:dyDescent="0.35">
      <c r="O3658" s="12" t="str">
        <f t="shared" si="128"/>
        <v/>
      </c>
      <c r="P3658" s="12" t="str">
        <f t="shared" si="129"/>
        <v/>
      </c>
    </row>
    <row r="3659" spans="15:16" x14ac:dyDescent="0.35">
      <c r="O3659" s="12" t="str">
        <f t="shared" si="128"/>
        <v/>
      </c>
      <c r="P3659" s="12" t="str">
        <f t="shared" si="129"/>
        <v/>
      </c>
    </row>
    <row r="3660" spans="15:16" x14ac:dyDescent="0.35">
      <c r="O3660" s="12" t="str">
        <f t="shared" si="128"/>
        <v/>
      </c>
      <c r="P3660" s="12" t="str">
        <f t="shared" si="129"/>
        <v/>
      </c>
    </row>
    <row r="3661" spans="15:16" x14ac:dyDescent="0.35">
      <c r="O3661" s="12" t="str">
        <f t="shared" si="128"/>
        <v/>
      </c>
      <c r="P3661" s="12" t="str">
        <f t="shared" si="129"/>
        <v/>
      </c>
    </row>
    <row r="3662" spans="15:16" x14ac:dyDescent="0.35">
      <c r="O3662" s="12" t="str">
        <f t="shared" si="128"/>
        <v/>
      </c>
      <c r="P3662" s="12" t="str">
        <f t="shared" si="129"/>
        <v/>
      </c>
    </row>
    <row r="3663" spans="15:16" x14ac:dyDescent="0.35">
      <c r="O3663" s="12" t="str">
        <f t="shared" si="128"/>
        <v/>
      </c>
      <c r="P3663" s="12" t="str">
        <f t="shared" si="129"/>
        <v/>
      </c>
    </row>
    <row r="3664" spans="15:16" x14ac:dyDescent="0.35">
      <c r="O3664" s="12" t="str">
        <f t="shared" si="128"/>
        <v/>
      </c>
      <c r="P3664" s="12" t="str">
        <f t="shared" si="129"/>
        <v/>
      </c>
    </row>
    <row r="3665" spans="15:16" x14ac:dyDescent="0.35">
      <c r="O3665" s="12" t="str">
        <f t="shared" si="128"/>
        <v/>
      </c>
      <c r="P3665" s="12" t="str">
        <f t="shared" si="129"/>
        <v/>
      </c>
    </row>
    <row r="3666" spans="15:16" x14ac:dyDescent="0.35">
      <c r="O3666" s="12" t="str">
        <f t="shared" si="128"/>
        <v/>
      </c>
      <c r="P3666" s="12" t="str">
        <f t="shared" si="129"/>
        <v/>
      </c>
    </row>
    <row r="3667" spans="15:16" x14ac:dyDescent="0.35">
      <c r="O3667" s="12" t="str">
        <f t="shared" si="128"/>
        <v/>
      </c>
      <c r="P3667" s="12" t="str">
        <f t="shared" si="129"/>
        <v/>
      </c>
    </row>
    <row r="3668" spans="15:16" x14ac:dyDescent="0.35">
      <c r="O3668" s="12" t="str">
        <f t="shared" si="128"/>
        <v/>
      </c>
      <c r="P3668" s="12" t="str">
        <f t="shared" si="129"/>
        <v/>
      </c>
    </row>
    <row r="3669" spans="15:16" x14ac:dyDescent="0.35">
      <c r="O3669" s="12" t="str">
        <f t="shared" si="128"/>
        <v/>
      </c>
      <c r="P3669" s="12" t="str">
        <f t="shared" si="129"/>
        <v/>
      </c>
    </row>
    <row r="3670" spans="15:16" x14ac:dyDescent="0.35">
      <c r="O3670" s="12" t="str">
        <f t="shared" ref="O3670:O3733" si="130">LEFT(B3670,3)</f>
        <v/>
      </c>
      <c r="P3670" s="12" t="str">
        <f t="shared" ref="P3670:P3733" si="131">LEFT(D3670,5)</f>
        <v/>
      </c>
    </row>
    <row r="3671" spans="15:16" x14ac:dyDescent="0.35">
      <c r="O3671" s="12" t="str">
        <f t="shared" si="130"/>
        <v/>
      </c>
      <c r="P3671" s="12" t="str">
        <f t="shared" si="131"/>
        <v/>
      </c>
    </row>
    <row r="3672" spans="15:16" x14ac:dyDescent="0.35">
      <c r="O3672" s="12" t="str">
        <f t="shared" si="130"/>
        <v/>
      </c>
      <c r="P3672" s="12" t="str">
        <f t="shared" si="131"/>
        <v/>
      </c>
    </row>
    <row r="3673" spans="15:16" x14ac:dyDescent="0.35">
      <c r="O3673" s="12" t="str">
        <f t="shared" si="130"/>
        <v/>
      </c>
      <c r="P3673" s="12" t="str">
        <f t="shared" si="131"/>
        <v/>
      </c>
    </row>
    <row r="3674" spans="15:16" x14ac:dyDescent="0.35">
      <c r="O3674" s="12" t="str">
        <f t="shared" si="130"/>
        <v/>
      </c>
      <c r="P3674" s="12" t="str">
        <f t="shared" si="131"/>
        <v/>
      </c>
    </row>
    <row r="3675" spans="15:16" x14ac:dyDescent="0.35">
      <c r="O3675" s="12" t="str">
        <f t="shared" si="130"/>
        <v/>
      </c>
      <c r="P3675" s="12" t="str">
        <f t="shared" si="131"/>
        <v/>
      </c>
    </row>
    <row r="3676" spans="15:16" x14ac:dyDescent="0.35">
      <c r="O3676" s="12" t="str">
        <f t="shared" si="130"/>
        <v/>
      </c>
      <c r="P3676" s="12" t="str">
        <f t="shared" si="131"/>
        <v/>
      </c>
    </row>
    <row r="3677" spans="15:16" x14ac:dyDescent="0.35">
      <c r="O3677" s="12" t="str">
        <f t="shared" si="130"/>
        <v/>
      </c>
      <c r="P3677" s="12" t="str">
        <f t="shared" si="131"/>
        <v/>
      </c>
    </row>
    <row r="3678" spans="15:16" x14ac:dyDescent="0.35">
      <c r="O3678" s="12" t="str">
        <f t="shared" si="130"/>
        <v/>
      </c>
      <c r="P3678" s="12" t="str">
        <f t="shared" si="131"/>
        <v/>
      </c>
    </row>
    <row r="3679" spans="15:16" x14ac:dyDescent="0.35">
      <c r="O3679" s="12" t="str">
        <f t="shared" si="130"/>
        <v/>
      </c>
      <c r="P3679" s="12" t="str">
        <f t="shared" si="131"/>
        <v/>
      </c>
    </row>
    <row r="3680" spans="15:16" x14ac:dyDescent="0.35">
      <c r="O3680" s="12" t="str">
        <f t="shared" si="130"/>
        <v/>
      </c>
      <c r="P3680" s="12" t="str">
        <f t="shared" si="131"/>
        <v/>
      </c>
    </row>
    <row r="3681" spans="15:16" x14ac:dyDescent="0.35">
      <c r="O3681" s="12" t="str">
        <f t="shared" si="130"/>
        <v/>
      </c>
      <c r="P3681" s="12" t="str">
        <f t="shared" si="131"/>
        <v/>
      </c>
    </row>
    <row r="3682" spans="15:16" x14ac:dyDescent="0.35">
      <c r="O3682" s="12" t="str">
        <f t="shared" si="130"/>
        <v/>
      </c>
      <c r="P3682" s="12" t="str">
        <f t="shared" si="131"/>
        <v/>
      </c>
    </row>
    <row r="3683" spans="15:16" x14ac:dyDescent="0.35">
      <c r="O3683" s="12" t="str">
        <f t="shared" si="130"/>
        <v/>
      </c>
      <c r="P3683" s="12" t="str">
        <f t="shared" si="131"/>
        <v/>
      </c>
    </row>
    <row r="3684" spans="15:16" x14ac:dyDescent="0.35">
      <c r="O3684" s="12" t="str">
        <f t="shared" si="130"/>
        <v/>
      </c>
      <c r="P3684" s="12" t="str">
        <f t="shared" si="131"/>
        <v/>
      </c>
    </row>
    <row r="3685" spans="15:16" x14ac:dyDescent="0.35">
      <c r="O3685" s="12" t="str">
        <f t="shared" si="130"/>
        <v/>
      </c>
      <c r="P3685" s="12" t="str">
        <f t="shared" si="131"/>
        <v/>
      </c>
    </row>
    <row r="3686" spans="15:16" x14ac:dyDescent="0.35">
      <c r="O3686" s="12" t="str">
        <f t="shared" si="130"/>
        <v/>
      </c>
      <c r="P3686" s="12" t="str">
        <f t="shared" si="131"/>
        <v/>
      </c>
    </row>
    <row r="3687" spans="15:16" x14ac:dyDescent="0.35">
      <c r="O3687" s="12" t="str">
        <f t="shared" si="130"/>
        <v/>
      </c>
      <c r="P3687" s="12" t="str">
        <f t="shared" si="131"/>
        <v/>
      </c>
    </row>
    <row r="3688" spans="15:16" x14ac:dyDescent="0.35">
      <c r="O3688" s="12" t="str">
        <f t="shared" si="130"/>
        <v/>
      </c>
      <c r="P3688" s="12" t="str">
        <f t="shared" si="131"/>
        <v/>
      </c>
    </row>
    <row r="3689" spans="15:16" x14ac:dyDescent="0.35">
      <c r="O3689" s="12" t="str">
        <f t="shared" si="130"/>
        <v/>
      </c>
      <c r="P3689" s="12" t="str">
        <f t="shared" si="131"/>
        <v/>
      </c>
    </row>
    <row r="3690" spans="15:16" x14ac:dyDescent="0.35">
      <c r="O3690" s="12" t="str">
        <f t="shared" si="130"/>
        <v/>
      </c>
      <c r="P3690" s="12" t="str">
        <f t="shared" si="131"/>
        <v/>
      </c>
    </row>
    <row r="3691" spans="15:16" x14ac:dyDescent="0.35">
      <c r="O3691" s="12" t="str">
        <f t="shared" si="130"/>
        <v/>
      </c>
      <c r="P3691" s="12" t="str">
        <f t="shared" si="131"/>
        <v/>
      </c>
    </row>
    <row r="3692" spans="15:16" x14ac:dyDescent="0.35">
      <c r="O3692" s="12" t="str">
        <f t="shared" si="130"/>
        <v/>
      </c>
      <c r="P3692" s="12" t="str">
        <f t="shared" si="131"/>
        <v/>
      </c>
    </row>
    <row r="3693" spans="15:16" x14ac:dyDescent="0.35">
      <c r="O3693" s="12" t="str">
        <f t="shared" si="130"/>
        <v/>
      </c>
      <c r="P3693" s="12" t="str">
        <f t="shared" si="131"/>
        <v/>
      </c>
    </row>
    <row r="3694" spans="15:16" x14ac:dyDescent="0.35">
      <c r="O3694" s="12" t="str">
        <f t="shared" si="130"/>
        <v/>
      </c>
      <c r="P3694" s="12" t="str">
        <f t="shared" si="131"/>
        <v/>
      </c>
    </row>
    <row r="3695" spans="15:16" x14ac:dyDescent="0.35">
      <c r="O3695" s="12" t="str">
        <f t="shared" si="130"/>
        <v/>
      </c>
      <c r="P3695" s="12" t="str">
        <f t="shared" si="131"/>
        <v/>
      </c>
    </row>
    <row r="3696" spans="15:16" x14ac:dyDescent="0.35">
      <c r="O3696" s="12" t="str">
        <f t="shared" si="130"/>
        <v/>
      </c>
      <c r="P3696" s="12" t="str">
        <f t="shared" si="131"/>
        <v/>
      </c>
    </row>
    <row r="3697" spans="15:16" x14ac:dyDescent="0.35">
      <c r="O3697" s="12" t="str">
        <f t="shared" si="130"/>
        <v/>
      </c>
      <c r="P3697" s="12" t="str">
        <f t="shared" si="131"/>
        <v/>
      </c>
    </row>
    <row r="3698" spans="15:16" x14ac:dyDescent="0.35">
      <c r="O3698" s="12" t="str">
        <f t="shared" si="130"/>
        <v/>
      </c>
      <c r="P3698" s="12" t="str">
        <f t="shared" si="131"/>
        <v/>
      </c>
    </row>
    <row r="3699" spans="15:16" x14ac:dyDescent="0.35">
      <c r="O3699" s="12" t="str">
        <f t="shared" si="130"/>
        <v/>
      </c>
      <c r="P3699" s="12" t="str">
        <f t="shared" si="131"/>
        <v/>
      </c>
    </row>
    <row r="3700" spans="15:16" x14ac:dyDescent="0.35">
      <c r="O3700" s="12" t="str">
        <f t="shared" si="130"/>
        <v/>
      </c>
      <c r="P3700" s="12" t="str">
        <f t="shared" si="131"/>
        <v/>
      </c>
    </row>
    <row r="3701" spans="15:16" x14ac:dyDescent="0.35">
      <c r="O3701" s="12" t="str">
        <f t="shared" si="130"/>
        <v/>
      </c>
      <c r="P3701" s="12" t="str">
        <f t="shared" si="131"/>
        <v/>
      </c>
    </row>
    <row r="3702" spans="15:16" x14ac:dyDescent="0.35">
      <c r="O3702" s="12" t="str">
        <f t="shared" si="130"/>
        <v/>
      </c>
      <c r="P3702" s="12" t="str">
        <f t="shared" si="131"/>
        <v/>
      </c>
    </row>
    <row r="3703" spans="15:16" x14ac:dyDescent="0.35">
      <c r="O3703" s="12" t="str">
        <f t="shared" si="130"/>
        <v/>
      </c>
      <c r="P3703" s="12" t="str">
        <f t="shared" si="131"/>
        <v/>
      </c>
    </row>
    <row r="3704" spans="15:16" x14ac:dyDescent="0.35">
      <c r="O3704" s="12" t="str">
        <f t="shared" si="130"/>
        <v/>
      </c>
      <c r="P3704" s="12" t="str">
        <f t="shared" si="131"/>
        <v/>
      </c>
    </row>
    <row r="3705" spans="15:16" x14ac:dyDescent="0.35">
      <c r="O3705" s="12" t="str">
        <f t="shared" si="130"/>
        <v/>
      </c>
      <c r="P3705" s="12" t="str">
        <f t="shared" si="131"/>
        <v/>
      </c>
    </row>
    <row r="3706" spans="15:16" x14ac:dyDescent="0.35">
      <c r="O3706" s="12" t="str">
        <f t="shared" si="130"/>
        <v/>
      </c>
      <c r="P3706" s="12" t="str">
        <f t="shared" si="131"/>
        <v/>
      </c>
    </row>
    <row r="3707" spans="15:16" x14ac:dyDescent="0.35">
      <c r="O3707" s="12" t="str">
        <f t="shared" si="130"/>
        <v/>
      </c>
      <c r="P3707" s="12" t="str">
        <f t="shared" si="131"/>
        <v/>
      </c>
    </row>
    <row r="3708" spans="15:16" x14ac:dyDescent="0.35">
      <c r="O3708" s="12" t="str">
        <f t="shared" si="130"/>
        <v/>
      </c>
      <c r="P3708" s="12" t="str">
        <f t="shared" si="131"/>
        <v/>
      </c>
    </row>
    <row r="3709" spans="15:16" x14ac:dyDescent="0.35">
      <c r="O3709" s="12" t="str">
        <f t="shared" si="130"/>
        <v/>
      </c>
      <c r="P3709" s="12" t="str">
        <f t="shared" si="131"/>
        <v/>
      </c>
    </row>
    <row r="3710" spans="15:16" x14ac:dyDescent="0.35">
      <c r="O3710" s="12" t="str">
        <f t="shared" si="130"/>
        <v/>
      </c>
      <c r="P3710" s="12" t="str">
        <f t="shared" si="131"/>
        <v/>
      </c>
    </row>
    <row r="3711" spans="15:16" x14ac:dyDescent="0.35">
      <c r="O3711" s="12" t="str">
        <f t="shared" si="130"/>
        <v/>
      </c>
      <c r="P3711" s="12" t="str">
        <f t="shared" si="131"/>
        <v/>
      </c>
    </row>
    <row r="3712" spans="15:16" x14ac:dyDescent="0.35">
      <c r="O3712" s="12" t="str">
        <f t="shared" si="130"/>
        <v/>
      </c>
      <c r="P3712" s="12" t="str">
        <f t="shared" si="131"/>
        <v/>
      </c>
    </row>
    <row r="3713" spans="15:16" x14ac:dyDescent="0.35">
      <c r="O3713" s="12" t="str">
        <f t="shared" si="130"/>
        <v/>
      </c>
      <c r="P3713" s="12" t="str">
        <f t="shared" si="131"/>
        <v/>
      </c>
    </row>
    <row r="3714" spans="15:16" x14ac:dyDescent="0.35">
      <c r="O3714" s="12" t="str">
        <f t="shared" si="130"/>
        <v/>
      </c>
      <c r="P3714" s="12" t="str">
        <f t="shared" si="131"/>
        <v/>
      </c>
    </row>
    <row r="3715" spans="15:16" x14ac:dyDescent="0.35">
      <c r="O3715" s="12" t="str">
        <f t="shared" si="130"/>
        <v/>
      </c>
      <c r="P3715" s="12" t="str">
        <f t="shared" si="131"/>
        <v/>
      </c>
    </row>
    <row r="3716" spans="15:16" x14ac:dyDescent="0.35">
      <c r="O3716" s="12" t="str">
        <f t="shared" si="130"/>
        <v/>
      </c>
      <c r="P3716" s="12" t="str">
        <f t="shared" si="131"/>
        <v/>
      </c>
    </row>
    <row r="3717" spans="15:16" x14ac:dyDescent="0.35">
      <c r="O3717" s="12" t="str">
        <f t="shared" si="130"/>
        <v/>
      </c>
      <c r="P3717" s="12" t="str">
        <f t="shared" si="131"/>
        <v/>
      </c>
    </row>
    <row r="3718" spans="15:16" x14ac:dyDescent="0.35">
      <c r="O3718" s="12" t="str">
        <f t="shared" si="130"/>
        <v/>
      </c>
      <c r="P3718" s="12" t="str">
        <f t="shared" si="131"/>
        <v/>
      </c>
    </row>
    <row r="3719" spans="15:16" x14ac:dyDescent="0.35">
      <c r="O3719" s="12" t="str">
        <f t="shared" si="130"/>
        <v/>
      </c>
      <c r="P3719" s="12" t="str">
        <f t="shared" si="131"/>
        <v/>
      </c>
    </row>
    <row r="3720" spans="15:16" x14ac:dyDescent="0.35">
      <c r="O3720" s="12" t="str">
        <f t="shared" si="130"/>
        <v/>
      </c>
      <c r="P3720" s="12" t="str">
        <f t="shared" si="131"/>
        <v/>
      </c>
    </row>
    <row r="3721" spans="15:16" x14ac:dyDescent="0.35">
      <c r="O3721" s="12" t="str">
        <f t="shared" si="130"/>
        <v/>
      </c>
      <c r="P3721" s="12" t="str">
        <f t="shared" si="131"/>
        <v/>
      </c>
    </row>
    <row r="3722" spans="15:16" x14ac:dyDescent="0.35">
      <c r="O3722" s="12" t="str">
        <f t="shared" si="130"/>
        <v/>
      </c>
      <c r="P3722" s="12" t="str">
        <f t="shared" si="131"/>
        <v/>
      </c>
    </row>
    <row r="3723" spans="15:16" x14ac:dyDescent="0.35">
      <c r="O3723" s="12" t="str">
        <f t="shared" si="130"/>
        <v/>
      </c>
      <c r="P3723" s="12" t="str">
        <f t="shared" si="131"/>
        <v/>
      </c>
    </row>
    <row r="3724" spans="15:16" x14ac:dyDescent="0.35">
      <c r="O3724" s="12" t="str">
        <f t="shared" si="130"/>
        <v/>
      </c>
      <c r="P3724" s="12" t="str">
        <f t="shared" si="131"/>
        <v/>
      </c>
    </row>
    <row r="3725" spans="15:16" x14ac:dyDescent="0.35">
      <c r="O3725" s="12" t="str">
        <f t="shared" si="130"/>
        <v/>
      </c>
      <c r="P3725" s="12" t="str">
        <f t="shared" si="131"/>
        <v/>
      </c>
    </row>
    <row r="3726" spans="15:16" x14ac:dyDescent="0.35">
      <c r="O3726" s="12" t="str">
        <f t="shared" si="130"/>
        <v/>
      </c>
      <c r="P3726" s="12" t="str">
        <f t="shared" si="131"/>
        <v/>
      </c>
    </row>
    <row r="3727" spans="15:16" x14ac:dyDescent="0.35">
      <c r="O3727" s="12" t="str">
        <f t="shared" si="130"/>
        <v/>
      </c>
      <c r="P3727" s="12" t="str">
        <f t="shared" si="131"/>
        <v/>
      </c>
    </row>
    <row r="3728" spans="15:16" x14ac:dyDescent="0.35">
      <c r="O3728" s="12" t="str">
        <f t="shared" si="130"/>
        <v/>
      </c>
      <c r="P3728" s="12" t="str">
        <f t="shared" si="131"/>
        <v/>
      </c>
    </row>
    <row r="3729" spans="15:16" x14ac:dyDescent="0.35">
      <c r="O3729" s="12" t="str">
        <f t="shared" si="130"/>
        <v/>
      </c>
      <c r="P3729" s="12" t="str">
        <f t="shared" si="131"/>
        <v/>
      </c>
    </row>
    <row r="3730" spans="15:16" x14ac:dyDescent="0.35">
      <c r="O3730" s="12" t="str">
        <f t="shared" si="130"/>
        <v/>
      </c>
      <c r="P3730" s="12" t="str">
        <f t="shared" si="131"/>
        <v/>
      </c>
    </row>
    <row r="3731" spans="15:16" x14ac:dyDescent="0.35">
      <c r="O3731" s="12" t="str">
        <f t="shared" si="130"/>
        <v/>
      </c>
      <c r="P3731" s="12" t="str">
        <f t="shared" si="131"/>
        <v/>
      </c>
    </row>
    <row r="3732" spans="15:16" x14ac:dyDescent="0.35">
      <c r="O3732" s="12" t="str">
        <f t="shared" si="130"/>
        <v/>
      </c>
      <c r="P3732" s="12" t="str">
        <f t="shared" si="131"/>
        <v/>
      </c>
    </row>
    <row r="3733" spans="15:16" x14ac:dyDescent="0.35">
      <c r="O3733" s="12" t="str">
        <f t="shared" si="130"/>
        <v/>
      </c>
      <c r="P3733" s="12" t="str">
        <f t="shared" si="131"/>
        <v/>
      </c>
    </row>
    <row r="3734" spans="15:16" x14ac:dyDescent="0.35">
      <c r="O3734" s="12" t="str">
        <f t="shared" ref="O3734:O3797" si="132">LEFT(B3734,3)</f>
        <v/>
      </c>
      <c r="P3734" s="12" t="str">
        <f t="shared" ref="P3734:P3797" si="133">LEFT(D3734,5)</f>
        <v/>
      </c>
    </row>
    <row r="3735" spans="15:16" x14ac:dyDescent="0.35">
      <c r="O3735" s="12" t="str">
        <f t="shared" si="132"/>
        <v/>
      </c>
      <c r="P3735" s="12" t="str">
        <f t="shared" si="133"/>
        <v/>
      </c>
    </row>
    <row r="3736" spans="15:16" x14ac:dyDescent="0.35">
      <c r="O3736" s="12" t="str">
        <f t="shared" si="132"/>
        <v/>
      </c>
      <c r="P3736" s="12" t="str">
        <f t="shared" si="133"/>
        <v/>
      </c>
    </row>
    <row r="3737" spans="15:16" x14ac:dyDescent="0.35">
      <c r="O3737" s="12" t="str">
        <f t="shared" si="132"/>
        <v/>
      </c>
      <c r="P3737" s="12" t="str">
        <f t="shared" si="133"/>
        <v/>
      </c>
    </row>
    <row r="3738" spans="15:16" x14ac:dyDescent="0.35">
      <c r="O3738" s="12" t="str">
        <f t="shared" si="132"/>
        <v/>
      </c>
      <c r="P3738" s="12" t="str">
        <f t="shared" si="133"/>
        <v/>
      </c>
    </row>
    <row r="3739" spans="15:16" x14ac:dyDescent="0.35">
      <c r="O3739" s="12" t="str">
        <f t="shared" si="132"/>
        <v/>
      </c>
      <c r="P3739" s="12" t="str">
        <f t="shared" si="133"/>
        <v/>
      </c>
    </row>
    <row r="3740" spans="15:16" x14ac:dyDescent="0.35">
      <c r="O3740" s="12" t="str">
        <f t="shared" si="132"/>
        <v/>
      </c>
      <c r="P3740" s="12" t="str">
        <f t="shared" si="133"/>
        <v/>
      </c>
    </row>
    <row r="3741" spans="15:16" x14ac:dyDescent="0.35">
      <c r="O3741" s="12" t="str">
        <f t="shared" si="132"/>
        <v/>
      </c>
      <c r="P3741" s="12" t="str">
        <f t="shared" si="133"/>
        <v/>
      </c>
    </row>
    <row r="3742" spans="15:16" x14ac:dyDescent="0.35">
      <c r="O3742" s="12" t="str">
        <f t="shared" si="132"/>
        <v/>
      </c>
      <c r="P3742" s="12" t="str">
        <f t="shared" si="133"/>
        <v/>
      </c>
    </row>
    <row r="3743" spans="15:16" x14ac:dyDescent="0.35">
      <c r="O3743" s="12" t="str">
        <f t="shared" si="132"/>
        <v/>
      </c>
      <c r="P3743" s="12" t="str">
        <f t="shared" si="133"/>
        <v/>
      </c>
    </row>
    <row r="3744" spans="15:16" x14ac:dyDescent="0.35">
      <c r="O3744" s="12" t="str">
        <f t="shared" si="132"/>
        <v/>
      </c>
      <c r="P3744" s="12" t="str">
        <f t="shared" si="133"/>
        <v/>
      </c>
    </row>
    <row r="3745" spans="15:16" x14ac:dyDescent="0.35">
      <c r="O3745" s="12" t="str">
        <f t="shared" si="132"/>
        <v/>
      </c>
      <c r="P3745" s="12" t="str">
        <f t="shared" si="133"/>
        <v/>
      </c>
    </row>
    <row r="3746" spans="15:16" x14ac:dyDescent="0.35">
      <c r="O3746" s="12" t="str">
        <f t="shared" si="132"/>
        <v/>
      </c>
      <c r="P3746" s="12" t="str">
        <f t="shared" si="133"/>
        <v/>
      </c>
    </row>
    <row r="3747" spans="15:16" x14ac:dyDescent="0.35">
      <c r="O3747" s="12" t="str">
        <f t="shared" si="132"/>
        <v/>
      </c>
      <c r="P3747" s="12" t="str">
        <f t="shared" si="133"/>
        <v/>
      </c>
    </row>
    <row r="3748" spans="15:16" x14ac:dyDescent="0.35">
      <c r="O3748" s="12" t="str">
        <f t="shared" si="132"/>
        <v/>
      </c>
      <c r="P3748" s="12" t="str">
        <f t="shared" si="133"/>
        <v/>
      </c>
    </row>
    <row r="3749" spans="15:16" x14ac:dyDescent="0.35">
      <c r="O3749" s="12" t="str">
        <f t="shared" si="132"/>
        <v/>
      </c>
      <c r="P3749" s="12" t="str">
        <f t="shared" si="133"/>
        <v/>
      </c>
    </row>
    <row r="3750" spans="15:16" x14ac:dyDescent="0.35">
      <c r="O3750" s="12" t="str">
        <f t="shared" si="132"/>
        <v/>
      </c>
      <c r="P3750" s="12" t="str">
        <f t="shared" si="133"/>
        <v/>
      </c>
    </row>
    <row r="3751" spans="15:16" x14ac:dyDescent="0.35">
      <c r="O3751" s="12" t="str">
        <f t="shared" si="132"/>
        <v/>
      </c>
      <c r="P3751" s="12" t="str">
        <f t="shared" si="133"/>
        <v/>
      </c>
    </row>
    <row r="3752" spans="15:16" x14ac:dyDescent="0.35">
      <c r="O3752" s="12" t="str">
        <f t="shared" si="132"/>
        <v/>
      </c>
      <c r="P3752" s="12" t="str">
        <f t="shared" si="133"/>
        <v/>
      </c>
    </row>
    <row r="3753" spans="15:16" x14ac:dyDescent="0.35">
      <c r="O3753" s="12" t="str">
        <f t="shared" si="132"/>
        <v/>
      </c>
      <c r="P3753" s="12" t="str">
        <f t="shared" si="133"/>
        <v/>
      </c>
    </row>
    <row r="3754" spans="15:16" x14ac:dyDescent="0.35">
      <c r="O3754" s="12" t="str">
        <f t="shared" si="132"/>
        <v/>
      </c>
      <c r="P3754" s="12" t="str">
        <f t="shared" si="133"/>
        <v/>
      </c>
    </row>
    <row r="3755" spans="15:16" x14ac:dyDescent="0.35">
      <c r="O3755" s="12" t="str">
        <f t="shared" si="132"/>
        <v/>
      </c>
      <c r="P3755" s="12" t="str">
        <f t="shared" si="133"/>
        <v/>
      </c>
    </row>
    <row r="3756" spans="15:16" x14ac:dyDescent="0.35">
      <c r="O3756" s="12" t="str">
        <f t="shared" si="132"/>
        <v/>
      </c>
      <c r="P3756" s="12" t="str">
        <f t="shared" si="133"/>
        <v/>
      </c>
    </row>
    <row r="3757" spans="15:16" x14ac:dyDescent="0.35">
      <c r="O3757" s="12" t="str">
        <f t="shared" si="132"/>
        <v/>
      </c>
      <c r="P3757" s="12" t="str">
        <f t="shared" si="133"/>
        <v/>
      </c>
    </row>
    <row r="3758" spans="15:16" x14ac:dyDescent="0.35">
      <c r="O3758" s="12" t="str">
        <f t="shared" si="132"/>
        <v/>
      </c>
      <c r="P3758" s="12" t="str">
        <f t="shared" si="133"/>
        <v/>
      </c>
    </row>
    <row r="3759" spans="15:16" x14ac:dyDescent="0.35">
      <c r="O3759" s="12" t="str">
        <f t="shared" si="132"/>
        <v/>
      </c>
      <c r="P3759" s="12" t="str">
        <f t="shared" si="133"/>
        <v/>
      </c>
    </row>
    <row r="3760" spans="15:16" x14ac:dyDescent="0.35">
      <c r="O3760" s="12" t="str">
        <f t="shared" si="132"/>
        <v/>
      </c>
      <c r="P3760" s="12" t="str">
        <f t="shared" si="133"/>
        <v/>
      </c>
    </row>
    <row r="3761" spans="15:16" x14ac:dyDescent="0.35">
      <c r="O3761" s="12" t="str">
        <f t="shared" si="132"/>
        <v/>
      </c>
      <c r="P3761" s="12" t="str">
        <f t="shared" si="133"/>
        <v/>
      </c>
    </row>
    <row r="3762" spans="15:16" x14ac:dyDescent="0.35">
      <c r="O3762" s="12" t="str">
        <f t="shared" si="132"/>
        <v/>
      </c>
      <c r="P3762" s="12" t="str">
        <f t="shared" si="133"/>
        <v/>
      </c>
    </row>
    <row r="3763" spans="15:16" x14ac:dyDescent="0.35">
      <c r="O3763" s="12" t="str">
        <f t="shared" si="132"/>
        <v/>
      </c>
      <c r="P3763" s="12" t="str">
        <f t="shared" si="133"/>
        <v/>
      </c>
    </row>
    <row r="3764" spans="15:16" x14ac:dyDescent="0.35">
      <c r="O3764" s="12" t="str">
        <f t="shared" si="132"/>
        <v/>
      </c>
      <c r="P3764" s="12" t="str">
        <f t="shared" si="133"/>
        <v/>
      </c>
    </row>
    <row r="3765" spans="15:16" x14ac:dyDescent="0.35">
      <c r="O3765" s="12" t="str">
        <f t="shared" si="132"/>
        <v/>
      </c>
      <c r="P3765" s="12" t="str">
        <f t="shared" si="133"/>
        <v/>
      </c>
    </row>
    <row r="3766" spans="15:16" x14ac:dyDescent="0.35">
      <c r="O3766" s="12" t="str">
        <f t="shared" si="132"/>
        <v/>
      </c>
      <c r="P3766" s="12" t="str">
        <f t="shared" si="133"/>
        <v/>
      </c>
    </row>
    <row r="3767" spans="15:16" x14ac:dyDescent="0.35">
      <c r="O3767" s="12" t="str">
        <f t="shared" si="132"/>
        <v/>
      </c>
      <c r="P3767" s="12" t="str">
        <f t="shared" si="133"/>
        <v/>
      </c>
    </row>
    <row r="3768" spans="15:16" x14ac:dyDescent="0.35">
      <c r="O3768" s="12" t="str">
        <f t="shared" si="132"/>
        <v/>
      </c>
      <c r="P3768" s="12" t="str">
        <f t="shared" si="133"/>
        <v/>
      </c>
    </row>
    <row r="3769" spans="15:16" x14ac:dyDescent="0.35">
      <c r="O3769" s="12" t="str">
        <f t="shared" si="132"/>
        <v/>
      </c>
      <c r="P3769" s="12" t="str">
        <f t="shared" si="133"/>
        <v/>
      </c>
    </row>
    <row r="3770" spans="15:16" x14ac:dyDescent="0.35">
      <c r="O3770" s="12" t="str">
        <f t="shared" si="132"/>
        <v/>
      </c>
      <c r="P3770" s="12" t="str">
        <f t="shared" si="133"/>
        <v/>
      </c>
    </row>
    <row r="3771" spans="15:16" x14ac:dyDescent="0.35">
      <c r="O3771" s="12" t="str">
        <f t="shared" si="132"/>
        <v/>
      </c>
      <c r="P3771" s="12" t="str">
        <f t="shared" si="133"/>
        <v/>
      </c>
    </row>
    <row r="3772" spans="15:16" x14ac:dyDescent="0.35">
      <c r="O3772" s="12" t="str">
        <f t="shared" si="132"/>
        <v/>
      </c>
      <c r="P3772" s="12" t="str">
        <f t="shared" si="133"/>
        <v/>
      </c>
    </row>
    <row r="3773" spans="15:16" x14ac:dyDescent="0.35">
      <c r="O3773" s="12" t="str">
        <f t="shared" si="132"/>
        <v/>
      </c>
      <c r="P3773" s="12" t="str">
        <f t="shared" si="133"/>
        <v/>
      </c>
    </row>
    <row r="3774" spans="15:16" x14ac:dyDescent="0.35">
      <c r="O3774" s="12" t="str">
        <f t="shared" si="132"/>
        <v/>
      </c>
      <c r="P3774" s="12" t="str">
        <f t="shared" si="133"/>
        <v/>
      </c>
    </row>
    <row r="3775" spans="15:16" x14ac:dyDescent="0.35">
      <c r="O3775" s="12" t="str">
        <f t="shared" si="132"/>
        <v/>
      </c>
      <c r="P3775" s="12" t="str">
        <f t="shared" si="133"/>
        <v/>
      </c>
    </row>
    <row r="3776" spans="15:16" x14ac:dyDescent="0.35">
      <c r="O3776" s="12" t="str">
        <f t="shared" si="132"/>
        <v/>
      </c>
      <c r="P3776" s="12" t="str">
        <f t="shared" si="133"/>
        <v/>
      </c>
    </row>
    <row r="3777" spans="15:16" x14ac:dyDescent="0.35">
      <c r="O3777" s="12" t="str">
        <f t="shared" si="132"/>
        <v/>
      </c>
      <c r="P3777" s="12" t="str">
        <f t="shared" si="133"/>
        <v/>
      </c>
    </row>
    <row r="3778" spans="15:16" x14ac:dyDescent="0.35">
      <c r="O3778" s="12" t="str">
        <f t="shared" si="132"/>
        <v/>
      </c>
      <c r="P3778" s="12" t="str">
        <f t="shared" si="133"/>
        <v/>
      </c>
    </row>
    <row r="3779" spans="15:16" x14ac:dyDescent="0.35">
      <c r="O3779" s="12" t="str">
        <f t="shared" si="132"/>
        <v/>
      </c>
      <c r="P3779" s="12" t="str">
        <f t="shared" si="133"/>
        <v/>
      </c>
    </row>
    <row r="3780" spans="15:16" x14ac:dyDescent="0.35">
      <c r="O3780" s="12" t="str">
        <f t="shared" si="132"/>
        <v/>
      </c>
      <c r="P3780" s="12" t="str">
        <f t="shared" si="133"/>
        <v/>
      </c>
    </row>
    <row r="3781" spans="15:16" x14ac:dyDescent="0.35">
      <c r="O3781" s="12" t="str">
        <f t="shared" si="132"/>
        <v/>
      </c>
      <c r="P3781" s="12" t="str">
        <f t="shared" si="133"/>
        <v/>
      </c>
    </row>
    <row r="3782" spans="15:16" x14ac:dyDescent="0.35">
      <c r="O3782" s="12" t="str">
        <f t="shared" si="132"/>
        <v/>
      </c>
      <c r="P3782" s="12" t="str">
        <f t="shared" si="133"/>
        <v/>
      </c>
    </row>
    <row r="3783" spans="15:16" x14ac:dyDescent="0.35">
      <c r="O3783" s="12" t="str">
        <f t="shared" si="132"/>
        <v/>
      </c>
      <c r="P3783" s="12" t="str">
        <f t="shared" si="133"/>
        <v/>
      </c>
    </row>
    <row r="3784" spans="15:16" x14ac:dyDescent="0.35">
      <c r="O3784" s="12" t="str">
        <f t="shared" si="132"/>
        <v/>
      </c>
      <c r="P3784" s="12" t="str">
        <f t="shared" si="133"/>
        <v/>
      </c>
    </row>
    <row r="3785" spans="15:16" x14ac:dyDescent="0.35">
      <c r="O3785" s="12" t="str">
        <f t="shared" si="132"/>
        <v/>
      </c>
      <c r="P3785" s="12" t="str">
        <f t="shared" si="133"/>
        <v/>
      </c>
    </row>
    <row r="3786" spans="15:16" x14ac:dyDescent="0.35">
      <c r="O3786" s="12" t="str">
        <f t="shared" si="132"/>
        <v/>
      </c>
      <c r="P3786" s="12" t="str">
        <f t="shared" si="133"/>
        <v/>
      </c>
    </row>
    <row r="3787" spans="15:16" x14ac:dyDescent="0.35">
      <c r="O3787" s="12" t="str">
        <f t="shared" si="132"/>
        <v/>
      </c>
      <c r="P3787" s="12" t="str">
        <f t="shared" si="133"/>
        <v/>
      </c>
    </row>
    <row r="3788" spans="15:16" x14ac:dyDescent="0.35">
      <c r="O3788" s="12" t="str">
        <f t="shared" si="132"/>
        <v/>
      </c>
      <c r="P3788" s="12" t="str">
        <f t="shared" si="133"/>
        <v/>
      </c>
    </row>
    <row r="3789" spans="15:16" x14ac:dyDescent="0.35">
      <c r="O3789" s="12" t="str">
        <f t="shared" si="132"/>
        <v/>
      </c>
      <c r="P3789" s="12" t="str">
        <f t="shared" si="133"/>
        <v/>
      </c>
    </row>
    <row r="3790" spans="15:16" x14ac:dyDescent="0.35">
      <c r="O3790" s="12" t="str">
        <f t="shared" si="132"/>
        <v/>
      </c>
      <c r="P3790" s="12" t="str">
        <f t="shared" si="133"/>
        <v/>
      </c>
    </row>
    <row r="3791" spans="15:16" x14ac:dyDescent="0.35">
      <c r="O3791" s="12" t="str">
        <f t="shared" si="132"/>
        <v/>
      </c>
      <c r="P3791" s="12" t="str">
        <f t="shared" si="133"/>
        <v/>
      </c>
    </row>
    <row r="3792" spans="15:16" x14ac:dyDescent="0.35">
      <c r="O3792" s="12" t="str">
        <f t="shared" si="132"/>
        <v/>
      </c>
      <c r="P3792" s="12" t="str">
        <f t="shared" si="133"/>
        <v/>
      </c>
    </row>
    <row r="3793" spans="15:16" x14ac:dyDescent="0.35">
      <c r="O3793" s="12" t="str">
        <f t="shared" si="132"/>
        <v/>
      </c>
      <c r="P3793" s="12" t="str">
        <f t="shared" si="133"/>
        <v/>
      </c>
    </row>
    <row r="3794" spans="15:16" x14ac:dyDescent="0.35">
      <c r="O3794" s="12" t="str">
        <f t="shared" si="132"/>
        <v/>
      </c>
      <c r="P3794" s="12" t="str">
        <f t="shared" si="133"/>
        <v/>
      </c>
    </row>
    <row r="3795" spans="15:16" x14ac:dyDescent="0.35">
      <c r="O3795" s="12" t="str">
        <f t="shared" si="132"/>
        <v/>
      </c>
      <c r="P3795" s="12" t="str">
        <f t="shared" si="133"/>
        <v/>
      </c>
    </row>
    <row r="3796" spans="15:16" x14ac:dyDescent="0.35">
      <c r="O3796" s="12" t="str">
        <f t="shared" si="132"/>
        <v/>
      </c>
      <c r="P3796" s="12" t="str">
        <f t="shared" si="133"/>
        <v/>
      </c>
    </row>
    <row r="3797" spans="15:16" x14ac:dyDescent="0.35">
      <c r="O3797" s="12" t="str">
        <f t="shared" si="132"/>
        <v/>
      </c>
      <c r="P3797" s="12" t="str">
        <f t="shared" si="133"/>
        <v/>
      </c>
    </row>
    <row r="3798" spans="15:16" x14ac:dyDescent="0.35">
      <c r="O3798" s="12" t="str">
        <f t="shared" ref="O3798:O3861" si="134">LEFT(B3798,3)</f>
        <v/>
      </c>
      <c r="P3798" s="12" t="str">
        <f t="shared" ref="P3798:P3861" si="135">LEFT(D3798,5)</f>
        <v/>
      </c>
    </row>
    <row r="3799" spans="15:16" x14ac:dyDescent="0.35">
      <c r="O3799" s="12" t="str">
        <f t="shared" si="134"/>
        <v/>
      </c>
      <c r="P3799" s="12" t="str">
        <f t="shared" si="135"/>
        <v/>
      </c>
    </row>
    <row r="3800" spans="15:16" x14ac:dyDescent="0.35">
      <c r="O3800" s="12" t="str">
        <f t="shared" si="134"/>
        <v/>
      </c>
      <c r="P3800" s="12" t="str">
        <f t="shared" si="135"/>
        <v/>
      </c>
    </row>
    <row r="3801" spans="15:16" x14ac:dyDescent="0.35">
      <c r="O3801" s="12" t="str">
        <f t="shared" si="134"/>
        <v/>
      </c>
      <c r="P3801" s="12" t="str">
        <f t="shared" si="135"/>
        <v/>
      </c>
    </row>
    <row r="3802" spans="15:16" x14ac:dyDescent="0.35">
      <c r="O3802" s="12" t="str">
        <f t="shared" si="134"/>
        <v/>
      </c>
      <c r="P3802" s="12" t="str">
        <f t="shared" si="135"/>
        <v/>
      </c>
    </row>
    <row r="3803" spans="15:16" x14ac:dyDescent="0.35">
      <c r="O3803" s="12" t="str">
        <f t="shared" si="134"/>
        <v/>
      </c>
      <c r="P3803" s="12" t="str">
        <f t="shared" si="135"/>
        <v/>
      </c>
    </row>
    <row r="3804" spans="15:16" x14ac:dyDescent="0.35">
      <c r="O3804" s="12" t="str">
        <f t="shared" si="134"/>
        <v/>
      </c>
      <c r="P3804" s="12" t="str">
        <f t="shared" si="135"/>
        <v/>
      </c>
    </row>
    <row r="3805" spans="15:16" x14ac:dyDescent="0.35">
      <c r="O3805" s="12" t="str">
        <f t="shared" si="134"/>
        <v/>
      </c>
      <c r="P3805" s="12" t="str">
        <f t="shared" si="135"/>
        <v/>
      </c>
    </row>
    <row r="3806" spans="15:16" x14ac:dyDescent="0.35">
      <c r="O3806" s="12" t="str">
        <f t="shared" si="134"/>
        <v/>
      </c>
      <c r="P3806" s="12" t="str">
        <f t="shared" si="135"/>
        <v/>
      </c>
    </row>
    <row r="3807" spans="15:16" x14ac:dyDescent="0.35">
      <c r="O3807" s="12" t="str">
        <f t="shared" si="134"/>
        <v/>
      </c>
      <c r="P3807" s="12" t="str">
        <f t="shared" si="135"/>
        <v/>
      </c>
    </row>
    <row r="3808" spans="15:16" x14ac:dyDescent="0.35">
      <c r="O3808" s="12" t="str">
        <f t="shared" si="134"/>
        <v/>
      </c>
      <c r="P3808" s="12" t="str">
        <f t="shared" si="135"/>
        <v/>
      </c>
    </row>
    <row r="3809" spans="15:16" x14ac:dyDescent="0.35">
      <c r="O3809" s="12" t="str">
        <f t="shared" si="134"/>
        <v/>
      </c>
      <c r="P3809" s="12" t="str">
        <f t="shared" si="135"/>
        <v/>
      </c>
    </row>
    <row r="3810" spans="15:16" x14ac:dyDescent="0.35">
      <c r="O3810" s="12" t="str">
        <f t="shared" si="134"/>
        <v/>
      </c>
      <c r="P3810" s="12" t="str">
        <f t="shared" si="135"/>
        <v/>
      </c>
    </row>
    <row r="3811" spans="15:16" x14ac:dyDescent="0.35">
      <c r="O3811" s="12" t="str">
        <f t="shared" si="134"/>
        <v/>
      </c>
      <c r="P3811" s="12" t="str">
        <f t="shared" si="135"/>
        <v/>
      </c>
    </row>
    <row r="3812" spans="15:16" x14ac:dyDescent="0.35">
      <c r="O3812" s="12" t="str">
        <f t="shared" si="134"/>
        <v/>
      </c>
      <c r="P3812" s="12" t="str">
        <f t="shared" si="135"/>
        <v/>
      </c>
    </row>
    <row r="3813" spans="15:16" x14ac:dyDescent="0.35">
      <c r="O3813" s="12" t="str">
        <f t="shared" si="134"/>
        <v/>
      </c>
      <c r="P3813" s="12" t="str">
        <f t="shared" si="135"/>
        <v/>
      </c>
    </row>
    <row r="3814" spans="15:16" x14ac:dyDescent="0.35">
      <c r="O3814" s="12" t="str">
        <f t="shared" si="134"/>
        <v/>
      </c>
      <c r="P3814" s="12" t="str">
        <f t="shared" si="135"/>
        <v/>
      </c>
    </row>
    <row r="3815" spans="15:16" x14ac:dyDescent="0.35">
      <c r="O3815" s="12" t="str">
        <f t="shared" si="134"/>
        <v/>
      </c>
      <c r="P3815" s="12" t="str">
        <f t="shared" si="135"/>
        <v/>
      </c>
    </row>
    <row r="3816" spans="15:16" x14ac:dyDescent="0.35">
      <c r="O3816" s="12" t="str">
        <f t="shared" si="134"/>
        <v/>
      </c>
      <c r="P3816" s="12" t="str">
        <f t="shared" si="135"/>
        <v/>
      </c>
    </row>
    <row r="3817" spans="15:16" x14ac:dyDescent="0.35">
      <c r="O3817" s="12" t="str">
        <f t="shared" si="134"/>
        <v/>
      </c>
      <c r="P3817" s="12" t="str">
        <f t="shared" si="135"/>
        <v/>
      </c>
    </row>
    <row r="3818" spans="15:16" x14ac:dyDescent="0.35">
      <c r="O3818" s="12" t="str">
        <f t="shared" si="134"/>
        <v/>
      </c>
      <c r="P3818" s="12" t="str">
        <f t="shared" si="135"/>
        <v/>
      </c>
    </row>
    <row r="3819" spans="15:16" x14ac:dyDescent="0.35">
      <c r="O3819" s="12" t="str">
        <f t="shared" si="134"/>
        <v/>
      </c>
      <c r="P3819" s="12" t="str">
        <f t="shared" si="135"/>
        <v/>
      </c>
    </row>
    <row r="3820" spans="15:16" x14ac:dyDescent="0.35">
      <c r="O3820" s="12" t="str">
        <f t="shared" si="134"/>
        <v/>
      </c>
      <c r="P3820" s="12" t="str">
        <f t="shared" si="135"/>
        <v/>
      </c>
    </row>
    <row r="3821" spans="15:16" x14ac:dyDescent="0.35">
      <c r="O3821" s="12" t="str">
        <f t="shared" si="134"/>
        <v/>
      </c>
      <c r="P3821" s="12" t="str">
        <f t="shared" si="135"/>
        <v/>
      </c>
    </row>
    <row r="3822" spans="15:16" x14ac:dyDescent="0.35">
      <c r="O3822" s="12" t="str">
        <f t="shared" si="134"/>
        <v/>
      </c>
      <c r="P3822" s="12" t="str">
        <f t="shared" si="135"/>
        <v/>
      </c>
    </row>
    <row r="3823" spans="15:16" x14ac:dyDescent="0.35">
      <c r="O3823" s="12" t="str">
        <f t="shared" si="134"/>
        <v/>
      </c>
      <c r="P3823" s="12" t="str">
        <f t="shared" si="135"/>
        <v/>
      </c>
    </row>
    <row r="3824" spans="15:16" x14ac:dyDescent="0.35">
      <c r="O3824" s="12" t="str">
        <f t="shared" si="134"/>
        <v/>
      </c>
      <c r="P3824" s="12" t="str">
        <f t="shared" si="135"/>
        <v/>
      </c>
    </row>
    <row r="3825" spans="15:16" x14ac:dyDescent="0.35">
      <c r="O3825" s="12" t="str">
        <f t="shared" si="134"/>
        <v/>
      </c>
      <c r="P3825" s="12" t="str">
        <f t="shared" si="135"/>
        <v/>
      </c>
    </row>
    <row r="3826" spans="15:16" x14ac:dyDescent="0.35">
      <c r="O3826" s="12" t="str">
        <f t="shared" si="134"/>
        <v/>
      </c>
      <c r="P3826" s="12" t="str">
        <f t="shared" si="135"/>
        <v/>
      </c>
    </row>
    <row r="3827" spans="15:16" x14ac:dyDescent="0.35">
      <c r="O3827" s="12" t="str">
        <f t="shared" si="134"/>
        <v/>
      </c>
      <c r="P3827" s="12" t="str">
        <f t="shared" si="135"/>
        <v/>
      </c>
    </row>
    <row r="3828" spans="15:16" x14ac:dyDescent="0.35">
      <c r="O3828" s="12" t="str">
        <f t="shared" si="134"/>
        <v/>
      </c>
      <c r="P3828" s="12" t="str">
        <f t="shared" si="135"/>
        <v/>
      </c>
    </row>
    <row r="3829" spans="15:16" x14ac:dyDescent="0.35">
      <c r="O3829" s="12" t="str">
        <f t="shared" si="134"/>
        <v/>
      </c>
      <c r="P3829" s="12" t="str">
        <f t="shared" si="135"/>
        <v/>
      </c>
    </row>
    <row r="3830" spans="15:16" x14ac:dyDescent="0.35">
      <c r="O3830" s="12" t="str">
        <f t="shared" si="134"/>
        <v/>
      </c>
      <c r="P3830" s="12" t="str">
        <f t="shared" si="135"/>
        <v/>
      </c>
    </row>
    <row r="3831" spans="15:16" x14ac:dyDescent="0.35">
      <c r="O3831" s="12" t="str">
        <f t="shared" si="134"/>
        <v/>
      </c>
      <c r="P3831" s="12" t="str">
        <f t="shared" si="135"/>
        <v/>
      </c>
    </row>
    <row r="3832" spans="15:16" x14ac:dyDescent="0.35">
      <c r="O3832" s="12" t="str">
        <f t="shared" si="134"/>
        <v/>
      </c>
      <c r="P3832" s="12" t="str">
        <f t="shared" si="135"/>
        <v/>
      </c>
    </row>
    <row r="3833" spans="15:16" x14ac:dyDescent="0.35">
      <c r="O3833" s="12" t="str">
        <f t="shared" si="134"/>
        <v/>
      </c>
      <c r="P3833" s="12" t="str">
        <f t="shared" si="135"/>
        <v/>
      </c>
    </row>
    <row r="3834" spans="15:16" x14ac:dyDescent="0.35">
      <c r="O3834" s="12" t="str">
        <f t="shared" si="134"/>
        <v/>
      </c>
      <c r="P3834" s="12" t="str">
        <f t="shared" si="135"/>
        <v/>
      </c>
    </row>
    <row r="3835" spans="15:16" x14ac:dyDescent="0.35">
      <c r="O3835" s="12" t="str">
        <f t="shared" si="134"/>
        <v/>
      </c>
      <c r="P3835" s="12" t="str">
        <f t="shared" si="135"/>
        <v/>
      </c>
    </row>
    <row r="3836" spans="15:16" x14ac:dyDescent="0.35">
      <c r="O3836" s="12" t="str">
        <f t="shared" si="134"/>
        <v/>
      </c>
      <c r="P3836" s="12" t="str">
        <f t="shared" si="135"/>
        <v/>
      </c>
    </row>
    <row r="3837" spans="15:16" x14ac:dyDescent="0.35">
      <c r="O3837" s="12" t="str">
        <f t="shared" si="134"/>
        <v/>
      </c>
      <c r="P3837" s="12" t="str">
        <f t="shared" si="135"/>
        <v/>
      </c>
    </row>
    <row r="3838" spans="15:16" x14ac:dyDescent="0.35">
      <c r="O3838" s="12" t="str">
        <f t="shared" si="134"/>
        <v/>
      </c>
      <c r="P3838" s="12" t="str">
        <f t="shared" si="135"/>
        <v/>
      </c>
    </row>
    <row r="3839" spans="15:16" x14ac:dyDescent="0.35">
      <c r="O3839" s="12" t="str">
        <f t="shared" si="134"/>
        <v/>
      </c>
      <c r="P3839" s="12" t="str">
        <f t="shared" si="135"/>
        <v/>
      </c>
    </row>
    <row r="3840" spans="15:16" x14ac:dyDescent="0.35">
      <c r="O3840" s="12" t="str">
        <f t="shared" si="134"/>
        <v/>
      </c>
      <c r="P3840" s="12" t="str">
        <f t="shared" si="135"/>
        <v/>
      </c>
    </row>
    <row r="3841" spans="15:16" x14ac:dyDescent="0.35">
      <c r="O3841" s="12" t="str">
        <f t="shared" si="134"/>
        <v/>
      </c>
      <c r="P3841" s="12" t="str">
        <f t="shared" si="135"/>
        <v/>
      </c>
    </row>
    <row r="3842" spans="15:16" x14ac:dyDescent="0.35">
      <c r="O3842" s="12" t="str">
        <f t="shared" si="134"/>
        <v/>
      </c>
      <c r="P3842" s="12" t="str">
        <f t="shared" si="135"/>
        <v/>
      </c>
    </row>
    <row r="3843" spans="15:16" x14ac:dyDescent="0.35">
      <c r="O3843" s="12" t="str">
        <f t="shared" si="134"/>
        <v/>
      </c>
      <c r="P3843" s="12" t="str">
        <f t="shared" si="135"/>
        <v/>
      </c>
    </row>
    <row r="3844" spans="15:16" x14ac:dyDescent="0.35">
      <c r="O3844" s="12" t="str">
        <f t="shared" si="134"/>
        <v/>
      </c>
      <c r="P3844" s="12" t="str">
        <f t="shared" si="135"/>
        <v/>
      </c>
    </row>
    <row r="3845" spans="15:16" x14ac:dyDescent="0.35">
      <c r="O3845" s="12" t="str">
        <f t="shared" si="134"/>
        <v/>
      </c>
      <c r="P3845" s="12" t="str">
        <f t="shared" si="135"/>
        <v/>
      </c>
    </row>
    <row r="3846" spans="15:16" x14ac:dyDescent="0.35">
      <c r="O3846" s="12" t="str">
        <f t="shared" si="134"/>
        <v/>
      </c>
      <c r="P3846" s="12" t="str">
        <f t="shared" si="135"/>
        <v/>
      </c>
    </row>
    <row r="3847" spans="15:16" x14ac:dyDescent="0.35">
      <c r="O3847" s="12" t="str">
        <f t="shared" si="134"/>
        <v/>
      </c>
      <c r="P3847" s="12" t="str">
        <f t="shared" si="135"/>
        <v/>
      </c>
    </row>
    <row r="3848" spans="15:16" x14ac:dyDescent="0.35">
      <c r="O3848" s="12" t="str">
        <f t="shared" si="134"/>
        <v/>
      </c>
      <c r="P3848" s="12" t="str">
        <f t="shared" si="135"/>
        <v/>
      </c>
    </row>
    <row r="3849" spans="15:16" x14ac:dyDescent="0.35">
      <c r="O3849" s="12" t="str">
        <f t="shared" si="134"/>
        <v/>
      </c>
      <c r="P3849" s="12" t="str">
        <f t="shared" si="135"/>
        <v/>
      </c>
    </row>
    <row r="3850" spans="15:16" x14ac:dyDescent="0.35">
      <c r="O3850" s="12" t="str">
        <f t="shared" si="134"/>
        <v/>
      </c>
      <c r="P3850" s="12" t="str">
        <f t="shared" si="135"/>
        <v/>
      </c>
    </row>
    <row r="3851" spans="15:16" x14ac:dyDescent="0.35">
      <c r="O3851" s="12" t="str">
        <f t="shared" si="134"/>
        <v/>
      </c>
      <c r="P3851" s="12" t="str">
        <f t="shared" si="135"/>
        <v/>
      </c>
    </row>
    <row r="3852" spans="15:16" x14ac:dyDescent="0.35">
      <c r="O3852" s="12" t="str">
        <f t="shared" si="134"/>
        <v/>
      </c>
      <c r="P3852" s="12" t="str">
        <f t="shared" si="135"/>
        <v/>
      </c>
    </row>
    <row r="3853" spans="15:16" x14ac:dyDescent="0.35">
      <c r="O3853" s="12" t="str">
        <f t="shared" si="134"/>
        <v/>
      </c>
      <c r="P3853" s="12" t="str">
        <f t="shared" si="135"/>
        <v/>
      </c>
    </row>
    <row r="3854" spans="15:16" x14ac:dyDescent="0.35">
      <c r="O3854" s="12" t="str">
        <f t="shared" si="134"/>
        <v/>
      </c>
      <c r="P3854" s="12" t="str">
        <f t="shared" si="135"/>
        <v/>
      </c>
    </row>
    <row r="3855" spans="15:16" x14ac:dyDescent="0.35">
      <c r="O3855" s="12" t="str">
        <f t="shared" si="134"/>
        <v/>
      </c>
      <c r="P3855" s="12" t="str">
        <f t="shared" si="135"/>
        <v/>
      </c>
    </row>
    <row r="3856" spans="15:16" x14ac:dyDescent="0.35">
      <c r="O3856" s="12" t="str">
        <f t="shared" si="134"/>
        <v/>
      </c>
      <c r="P3856" s="12" t="str">
        <f t="shared" si="135"/>
        <v/>
      </c>
    </row>
    <row r="3857" spans="15:16" x14ac:dyDescent="0.35">
      <c r="O3857" s="12" t="str">
        <f t="shared" si="134"/>
        <v/>
      </c>
      <c r="P3857" s="12" t="str">
        <f t="shared" si="135"/>
        <v/>
      </c>
    </row>
    <row r="3858" spans="15:16" x14ac:dyDescent="0.35">
      <c r="O3858" s="12" t="str">
        <f t="shared" si="134"/>
        <v/>
      </c>
      <c r="P3858" s="12" t="str">
        <f t="shared" si="135"/>
        <v/>
      </c>
    </row>
    <row r="3859" spans="15:16" x14ac:dyDescent="0.35">
      <c r="O3859" s="12" t="str">
        <f t="shared" si="134"/>
        <v/>
      </c>
      <c r="P3859" s="12" t="str">
        <f t="shared" si="135"/>
        <v/>
      </c>
    </row>
    <row r="3860" spans="15:16" x14ac:dyDescent="0.35">
      <c r="O3860" s="12" t="str">
        <f t="shared" si="134"/>
        <v/>
      </c>
      <c r="P3860" s="12" t="str">
        <f t="shared" si="135"/>
        <v/>
      </c>
    </row>
    <row r="3861" spans="15:16" x14ac:dyDescent="0.35">
      <c r="O3861" s="12" t="str">
        <f t="shared" si="134"/>
        <v/>
      </c>
      <c r="P3861" s="12" t="str">
        <f t="shared" si="135"/>
        <v/>
      </c>
    </row>
    <row r="3862" spans="15:16" x14ac:dyDescent="0.35">
      <c r="O3862" s="12" t="str">
        <f t="shared" ref="O3862:O3925" si="136">LEFT(B3862,3)</f>
        <v/>
      </c>
      <c r="P3862" s="12" t="str">
        <f t="shared" ref="P3862:P3925" si="137">LEFT(D3862,5)</f>
        <v/>
      </c>
    </row>
    <row r="3863" spans="15:16" x14ac:dyDescent="0.35">
      <c r="O3863" s="12" t="str">
        <f t="shared" si="136"/>
        <v/>
      </c>
      <c r="P3863" s="12" t="str">
        <f t="shared" si="137"/>
        <v/>
      </c>
    </row>
    <row r="3864" spans="15:16" x14ac:dyDescent="0.35">
      <c r="O3864" s="12" t="str">
        <f t="shared" si="136"/>
        <v/>
      </c>
      <c r="P3864" s="12" t="str">
        <f t="shared" si="137"/>
        <v/>
      </c>
    </row>
    <row r="3865" spans="15:16" x14ac:dyDescent="0.35">
      <c r="O3865" s="12" t="str">
        <f t="shared" si="136"/>
        <v/>
      </c>
      <c r="P3865" s="12" t="str">
        <f t="shared" si="137"/>
        <v/>
      </c>
    </row>
    <row r="3866" spans="15:16" x14ac:dyDescent="0.35">
      <c r="O3866" s="12" t="str">
        <f t="shared" si="136"/>
        <v/>
      </c>
      <c r="P3866" s="12" t="str">
        <f t="shared" si="137"/>
        <v/>
      </c>
    </row>
    <row r="3867" spans="15:16" x14ac:dyDescent="0.35">
      <c r="O3867" s="12" t="str">
        <f t="shared" si="136"/>
        <v/>
      </c>
      <c r="P3867" s="12" t="str">
        <f t="shared" si="137"/>
        <v/>
      </c>
    </row>
    <row r="3868" spans="15:16" x14ac:dyDescent="0.35">
      <c r="O3868" s="12" t="str">
        <f t="shared" si="136"/>
        <v/>
      </c>
      <c r="P3868" s="12" t="str">
        <f t="shared" si="137"/>
        <v/>
      </c>
    </row>
    <row r="3869" spans="15:16" x14ac:dyDescent="0.35">
      <c r="O3869" s="12" t="str">
        <f t="shared" si="136"/>
        <v/>
      </c>
      <c r="P3869" s="12" t="str">
        <f t="shared" si="137"/>
        <v/>
      </c>
    </row>
    <row r="3870" spans="15:16" x14ac:dyDescent="0.35">
      <c r="O3870" s="12" t="str">
        <f t="shared" si="136"/>
        <v/>
      </c>
      <c r="P3870" s="12" t="str">
        <f t="shared" si="137"/>
        <v/>
      </c>
    </row>
    <row r="3871" spans="15:16" x14ac:dyDescent="0.35">
      <c r="O3871" s="12" t="str">
        <f t="shared" si="136"/>
        <v/>
      </c>
      <c r="P3871" s="12" t="str">
        <f t="shared" si="137"/>
        <v/>
      </c>
    </row>
    <row r="3872" spans="15:16" x14ac:dyDescent="0.35">
      <c r="O3872" s="12" t="str">
        <f t="shared" si="136"/>
        <v/>
      </c>
      <c r="P3872" s="12" t="str">
        <f t="shared" si="137"/>
        <v/>
      </c>
    </row>
    <row r="3873" spans="15:16" x14ac:dyDescent="0.35">
      <c r="O3873" s="12" t="str">
        <f t="shared" si="136"/>
        <v/>
      </c>
      <c r="P3873" s="12" t="str">
        <f t="shared" si="137"/>
        <v/>
      </c>
    </row>
    <row r="3874" spans="15:16" x14ac:dyDescent="0.35">
      <c r="O3874" s="12" t="str">
        <f t="shared" si="136"/>
        <v/>
      </c>
      <c r="P3874" s="12" t="str">
        <f t="shared" si="137"/>
        <v/>
      </c>
    </row>
    <row r="3875" spans="15:16" x14ac:dyDescent="0.35">
      <c r="O3875" s="12" t="str">
        <f t="shared" si="136"/>
        <v/>
      </c>
      <c r="P3875" s="12" t="str">
        <f t="shared" si="137"/>
        <v/>
      </c>
    </row>
    <row r="3876" spans="15:16" x14ac:dyDescent="0.35">
      <c r="O3876" s="12" t="str">
        <f t="shared" si="136"/>
        <v/>
      </c>
      <c r="P3876" s="12" t="str">
        <f t="shared" si="137"/>
        <v/>
      </c>
    </row>
    <row r="3877" spans="15:16" x14ac:dyDescent="0.35">
      <c r="O3877" s="12" t="str">
        <f t="shared" si="136"/>
        <v/>
      </c>
      <c r="P3877" s="12" t="str">
        <f t="shared" si="137"/>
        <v/>
      </c>
    </row>
    <row r="3878" spans="15:16" x14ac:dyDescent="0.35">
      <c r="O3878" s="12" t="str">
        <f t="shared" si="136"/>
        <v/>
      </c>
      <c r="P3878" s="12" t="str">
        <f t="shared" si="137"/>
        <v/>
      </c>
    </row>
    <row r="3879" spans="15:16" x14ac:dyDescent="0.35">
      <c r="O3879" s="12" t="str">
        <f t="shared" si="136"/>
        <v/>
      </c>
      <c r="P3879" s="12" t="str">
        <f t="shared" si="137"/>
        <v/>
      </c>
    </row>
    <row r="3880" spans="15:16" x14ac:dyDescent="0.35">
      <c r="O3880" s="12" t="str">
        <f t="shared" si="136"/>
        <v/>
      </c>
      <c r="P3880" s="12" t="str">
        <f t="shared" si="137"/>
        <v/>
      </c>
    </row>
    <row r="3881" spans="15:16" x14ac:dyDescent="0.35">
      <c r="O3881" s="12" t="str">
        <f t="shared" si="136"/>
        <v/>
      </c>
      <c r="P3881" s="12" t="str">
        <f t="shared" si="137"/>
        <v/>
      </c>
    </row>
    <row r="3882" spans="15:16" x14ac:dyDescent="0.35">
      <c r="O3882" s="12" t="str">
        <f t="shared" si="136"/>
        <v/>
      </c>
      <c r="P3882" s="12" t="str">
        <f t="shared" si="137"/>
        <v/>
      </c>
    </row>
    <row r="3883" spans="15:16" x14ac:dyDescent="0.35">
      <c r="O3883" s="12" t="str">
        <f t="shared" si="136"/>
        <v/>
      </c>
      <c r="P3883" s="12" t="str">
        <f t="shared" si="137"/>
        <v/>
      </c>
    </row>
    <row r="3884" spans="15:16" x14ac:dyDescent="0.35">
      <c r="O3884" s="12" t="str">
        <f t="shared" si="136"/>
        <v/>
      </c>
      <c r="P3884" s="12" t="str">
        <f t="shared" si="137"/>
        <v/>
      </c>
    </row>
    <row r="3885" spans="15:16" x14ac:dyDescent="0.35">
      <c r="O3885" s="12" t="str">
        <f t="shared" si="136"/>
        <v/>
      </c>
      <c r="P3885" s="12" t="str">
        <f t="shared" si="137"/>
        <v/>
      </c>
    </row>
    <row r="3886" spans="15:16" x14ac:dyDescent="0.35">
      <c r="O3886" s="12" t="str">
        <f t="shared" si="136"/>
        <v/>
      </c>
      <c r="P3886" s="12" t="str">
        <f t="shared" si="137"/>
        <v/>
      </c>
    </row>
    <row r="3887" spans="15:16" x14ac:dyDescent="0.35">
      <c r="O3887" s="12" t="str">
        <f t="shared" si="136"/>
        <v/>
      </c>
      <c r="P3887" s="12" t="str">
        <f t="shared" si="137"/>
        <v/>
      </c>
    </row>
    <row r="3888" spans="15:16" x14ac:dyDescent="0.35">
      <c r="O3888" s="12" t="str">
        <f t="shared" si="136"/>
        <v/>
      </c>
      <c r="P3888" s="12" t="str">
        <f t="shared" si="137"/>
        <v/>
      </c>
    </row>
    <row r="3889" spans="15:16" x14ac:dyDescent="0.35">
      <c r="O3889" s="12" t="str">
        <f t="shared" si="136"/>
        <v/>
      </c>
      <c r="P3889" s="12" t="str">
        <f t="shared" si="137"/>
        <v/>
      </c>
    </row>
    <row r="3890" spans="15:16" x14ac:dyDescent="0.35">
      <c r="O3890" s="12" t="str">
        <f t="shared" si="136"/>
        <v/>
      </c>
      <c r="P3890" s="12" t="str">
        <f t="shared" si="137"/>
        <v/>
      </c>
    </row>
    <row r="3891" spans="15:16" x14ac:dyDescent="0.35">
      <c r="O3891" s="12" t="str">
        <f t="shared" si="136"/>
        <v/>
      </c>
      <c r="P3891" s="12" t="str">
        <f t="shared" si="137"/>
        <v/>
      </c>
    </row>
    <row r="3892" spans="15:16" x14ac:dyDescent="0.35">
      <c r="O3892" s="12" t="str">
        <f t="shared" si="136"/>
        <v/>
      </c>
      <c r="P3892" s="12" t="str">
        <f t="shared" si="137"/>
        <v/>
      </c>
    </row>
    <row r="3893" spans="15:16" x14ac:dyDescent="0.35">
      <c r="O3893" s="12" t="str">
        <f t="shared" si="136"/>
        <v/>
      </c>
      <c r="P3893" s="12" t="str">
        <f t="shared" si="137"/>
        <v/>
      </c>
    </row>
    <row r="3894" spans="15:16" x14ac:dyDescent="0.35">
      <c r="O3894" s="12" t="str">
        <f t="shared" si="136"/>
        <v/>
      </c>
      <c r="P3894" s="12" t="str">
        <f t="shared" si="137"/>
        <v/>
      </c>
    </row>
    <row r="3895" spans="15:16" x14ac:dyDescent="0.35">
      <c r="O3895" s="12" t="str">
        <f t="shared" si="136"/>
        <v/>
      </c>
      <c r="P3895" s="12" t="str">
        <f t="shared" si="137"/>
        <v/>
      </c>
    </row>
    <row r="3896" spans="15:16" x14ac:dyDescent="0.35">
      <c r="O3896" s="12" t="str">
        <f t="shared" si="136"/>
        <v/>
      </c>
      <c r="P3896" s="12" t="str">
        <f t="shared" si="137"/>
        <v/>
      </c>
    </row>
    <row r="3897" spans="15:16" x14ac:dyDescent="0.35">
      <c r="O3897" s="12" t="str">
        <f t="shared" si="136"/>
        <v/>
      </c>
      <c r="P3897" s="12" t="str">
        <f t="shared" si="137"/>
        <v/>
      </c>
    </row>
    <row r="3898" spans="15:16" x14ac:dyDescent="0.35">
      <c r="O3898" s="12" t="str">
        <f t="shared" si="136"/>
        <v/>
      </c>
      <c r="P3898" s="12" t="str">
        <f t="shared" si="137"/>
        <v/>
      </c>
    </row>
    <row r="3899" spans="15:16" x14ac:dyDescent="0.35">
      <c r="O3899" s="12" t="str">
        <f t="shared" si="136"/>
        <v/>
      </c>
      <c r="P3899" s="12" t="str">
        <f t="shared" si="137"/>
        <v/>
      </c>
    </row>
    <row r="3900" spans="15:16" x14ac:dyDescent="0.35">
      <c r="O3900" s="12" t="str">
        <f t="shared" si="136"/>
        <v/>
      </c>
      <c r="P3900" s="12" t="str">
        <f t="shared" si="137"/>
        <v/>
      </c>
    </row>
    <row r="3901" spans="15:16" x14ac:dyDescent="0.35">
      <c r="O3901" s="12" t="str">
        <f t="shared" si="136"/>
        <v/>
      </c>
      <c r="P3901" s="12" t="str">
        <f t="shared" si="137"/>
        <v/>
      </c>
    </row>
    <row r="3902" spans="15:16" x14ac:dyDescent="0.35">
      <c r="O3902" s="12" t="str">
        <f t="shared" si="136"/>
        <v/>
      </c>
      <c r="P3902" s="12" t="str">
        <f t="shared" si="137"/>
        <v/>
      </c>
    </row>
    <row r="3903" spans="15:16" x14ac:dyDescent="0.35">
      <c r="O3903" s="12" t="str">
        <f t="shared" si="136"/>
        <v/>
      </c>
      <c r="P3903" s="12" t="str">
        <f t="shared" si="137"/>
        <v/>
      </c>
    </row>
    <row r="3904" spans="15:16" x14ac:dyDescent="0.35">
      <c r="O3904" s="12" t="str">
        <f t="shared" si="136"/>
        <v/>
      </c>
      <c r="P3904" s="12" t="str">
        <f t="shared" si="137"/>
        <v/>
      </c>
    </row>
    <row r="3905" spans="15:16" x14ac:dyDescent="0.35">
      <c r="O3905" s="12" t="str">
        <f t="shared" si="136"/>
        <v/>
      </c>
      <c r="P3905" s="12" t="str">
        <f t="shared" si="137"/>
        <v/>
      </c>
    </row>
    <row r="3906" spans="15:16" x14ac:dyDescent="0.35">
      <c r="O3906" s="12" t="str">
        <f t="shared" si="136"/>
        <v/>
      </c>
      <c r="P3906" s="12" t="str">
        <f t="shared" si="137"/>
        <v/>
      </c>
    </row>
    <row r="3907" spans="15:16" x14ac:dyDescent="0.35">
      <c r="O3907" s="12" t="str">
        <f t="shared" si="136"/>
        <v/>
      </c>
      <c r="P3907" s="12" t="str">
        <f t="shared" si="137"/>
        <v/>
      </c>
    </row>
    <row r="3908" spans="15:16" x14ac:dyDescent="0.35">
      <c r="O3908" s="12" t="str">
        <f t="shared" si="136"/>
        <v/>
      </c>
      <c r="P3908" s="12" t="str">
        <f t="shared" si="137"/>
        <v/>
      </c>
    </row>
    <row r="3909" spans="15:16" x14ac:dyDescent="0.35">
      <c r="O3909" s="12" t="str">
        <f t="shared" si="136"/>
        <v/>
      </c>
      <c r="P3909" s="12" t="str">
        <f t="shared" si="137"/>
        <v/>
      </c>
    </row>
    <row r="3910" spans="15:16" x14ac:dyDescent="0.35">
      <c r="O3910" s="12" t="str">
        <f t="shared" si="136"/>
        <v/>
      </c>
      <c r="P3910" s="12" t="str">
        <f t="shared" si="137"/>
        <v/>
      </c>
    </row>
    <row r="3911" spans="15:16" x14ac:dyDescent="0.35">
      <c r="O3911" s="12" t="str">
        <f t="shared" si="136"/>
        <v/>
      </c>
      <c r="P3911" s="12" t="str">
        <f t="shared" si="137"/>
        <v/>
      </c>
    </row>
    <row r="3912" spans="15:16" x14ac:dyDescent="0.35">
      <c r="O3912" s="12" t="str">
        <f t="shared" si="136"/>
        <v/>
      </c>
      <c r="P3912" s="12" t="str">
        <f t="shared" si="137"/>
        <v/>
      </c>
    </row>
    <row r="3913" spans="15:16" x14ac:dyDescent="0.35">
      <c r="O3913" s="12" t="str">
        <f t="shared" si="136"/>
        <v/>
      </c>
      <c r="P3913" s="12" t="str">
        <f t="shared" si="137"/>
        <v/>
      </c>
    </row>
    <row r="3914" spans="15:16" x14ac:dyDescent="0.35">
      <c r="O3914" s="12" t="str">
        <f t="shared" si="136"/>
        <v/>
      </c>
      <c r="P3914" s="12" t="str">
        <f t="shared" si="137"/>
        <v/>
      </c>
    </row>
    <row r="3915" spans="15:16" x14ac:dyDescent="0.35">
      <c r="O3915" s="12" t="str">
        <f t="shared" si="136"/>
        <v/>
      </c>
      <c r="P3915" s="12" t="str">
        <f t="shared" si="137"/>
        <v/>
      </c>
    </row>
    <row r="3916" spans="15:16" x14ac:dyDescent="0.35">
      <c r="O3916" s="12" t="str">
        <f t="shared" si="136"/>
        <v/>
      </c>
      <c r="P3916" s="12" t="str">
        <f t="shared" si="137"/>
        <v/>
      </c>
    </row>
    <row r="3917" spans="15:16" x14ac:dyDescent="0.35">
      <c r="O3917" s="12" t="str">
        <f t="shared" si="136"/>
        <v/>
      </c>
      <c r="P3917" s="12" t="str">
        <f t="shared" si="137"/>
        <v/>
      </c>
    </row>
    <row r="3918" spans="15:16" x14ac:dyDescent="0.35">
      <c r="O3918" s="12" t="str">
        <f t="shared" si="136"/>
        <v/>
      </c>
      <c r="P3918" s="12" t="str">
        <f t="shared" si="137"/>
        <v/>
      </c>
    </row>
    <row r="3919" spans="15:16" x14ac:dyDescent="0.35">
      <c r="O3919" s="12" t="str">
        <f t="shared" si="136"/>
        <v/>
      </c>
      <c r="P3919" s="12" t="str">
        <f t="shared" si="137"/>
        <v/>
      </c>
    </row>
    <row r="3920" spans="15:16" x14ac:dyDescent="0.35">
      <c r="O3920" s="12" t="str">
        <f t="shared" si="136"/>
        <v/>
      </c>
      <c r="P3920" s="12" t="str">
        <f t="shared" si="137"/>
        <v/>
      </c>
    </row>
    <row r="3921" spans="15:16" x14ac:dyDescent="0.35">
      <c r="O3921" s="12" t="str">
        <f t="shared" si="136"/>
        <v/>
      </c>
      <c r="P3921" s="12" t="str">
        <f t="shared" si="137"/>
        <v/>
      </c>
    </row>
    <row r="3922" spans="15:16" x14ac:dyDescent="0.35">
      <c r="O3922" s="12" t="str">
        <f t="shared" si="136"/>
        <v/>
      </c>
      <c r="P3922" s="12" t="str">
        <f t="shared" si="137"/>
        <v/>
      </c>
    </row>
    <row r="3923" spans="15:16" x14ac:dyDescent="0.35">
      <c r="O3923" s="12" t="str">
        <f t="shared" si="136"/>
        <v/>
      </c>
      <c r="P3923" s="12" t="str">
        <f t="shared" si="137"/>
        <v/>
      </c>
    </row>
    <row r="3924" spans="15:16" x14ac:dyDescent="0.35">
      <c r="O3924" s="12" t="str">
        <f t="shared" si="136"/>
        <v/>
      </c>
      <c r="P3924" s="12" t="str">
        <f t="shared" si="137"/>
        <v/>
      </c>
    </row>
    <row r="3925" spans="15:16" x14ac:dyDescent="0.35">
      <c r="O3925" s="12" t="str">
        <f t="shared" si="136"/>
        <v/>
      </c>
      <c r="P3925" s="12" t="str">
        <f t="shared" si="137"/>
        <v/>
      </c>
    </row>
    <row r="3926" spans="15:16" x14ac:dyDescent="0.35">
      <c r="O3926" s="12" t="str">
        <f t="shared" ref="O3926:O3989" si="138">LEFT(B3926,3)</f>
        <v/>
      </c>
      <c r="P3926" s="12" t="str">
        <f t="shared" ref="P3926:P3989" si="139">LEFT(D3926,5)</f>
        <v/>
      </c>
    </row>
    <row r="3927" spans="15:16" x14ac:dyDescent="0.35">
      <c r="O3927" s="12" t="str">
        <f t="shared" si="138"/>
        <v/>
      </c>
      <c r="P3927" s="12" t="str">
        <f t="shared" si="139"/>
        <v/>
      </c>
    </row>
    <row r="3928" spans="15:16" x14ac:dyDescent="0.35">
      <c r="O3928" s="12" t="str">
        <f t="shared" si="138"/>
        <v/>
      </c>
      <c r="P3928" s="12" t="str">
        <f t="shared" si="139"/>
        <v/>
      </c>
    </row>
    <row r="3929" spans="15:16" x14ac:dyDescent="0.35">
      <c r="O3929" s="12" t="str">
        <f t="shared" si="138"/>
        <v/>
      </c>
      <c r="P3929" s="12" t="str">
        <f t="shared" si="139"/>
        <v/>
      </c>
    </row>
    <row r="3930" spans="15:16" x14ac:dyDescent="0.35">
      <c r="O3930" s="12" t="str">
        <f t="shared" si="138"/>
        <v/>
      </c>
      <c r="P3930" s="12" t="str">
        <f t="shared" si="139"/>
        <v/>
      </c>
    </row>
    <row r="3931" spans="15:16" x14ac:dyDescent="0.35">
      <c r="O3931" s="12" t="str">
        <f t="shared" si="138"/>
        <v/>
      </c>
      <c r="P3931" s="12" t="str">
        <f t="shared" si="139"/>
        <v/>
      </c>
    </row>
    <row r="3932" spans="15:16" x14ac:dyDescent="0.35">
      <c r="O3932" s="12" t="str">
        <f t="shared" si="138"/>
        <v/>
      </c>
      <c r="P3932" s="12" t="str">
        <f t="shared" si="139"/>
        <v/>
      </c>
    </row>
    <row r="3933" spans="15:16" x14ac:dyDescent="0.35">
      <c r="O3933" s="12" t="str">
        <f t="shared" si="138"/>
        <v/>
      </c>
      <c r="P3933" s="12" t="str">
        <f t="shared" si="139"/>
        <v/>
      </c>
    </row>
    <row r="3934" spans="15:16" x14ac:dyDescent="0.35">
      <c r="O3934" s="12" t="str">
        <f t="shared" si="138"/>
        <v/>
      </c>
      <c r="P3934" s="12" t="str">
        <f t="shared" si="139"/>
        <v/>
      </c>
    </row>
    <row r="3935" spans="15:16" x14ac:dyDescent="0.35">
      <c r="O3935" s="12" t="str">
        <f t="shared" si="138"/>
        <v/>
      </c>
      <c r="P3935" s="12" t="str">
        <f t="shared" si="139"/>
        <v/>
      </c>
    </row>
    <row r="3936" spans="15:16" x14ac:dyDescent="0.35">
      <c r="O3936" s="12" t="str">
        <f t="shared" si="138"/>
        <v/>
      </c>
      <c r="P3936" s="12" t="str">
        <f t="shared" si="139"/>
        <v/>
      </c>
    </row>
    <row r="3937" spans="15:16" x14ac:dyDescent="0.35">
      <c r="O3937" s="12" t="str">
        <f t="shared" si="138"/>
        <v/>
      </c>
      <c r="P3937" s="12" t="str">
        <f t="shared" si="139"/>
        <v/>
      </c>
    </row>
    <row r="3938" spans="15:16" x14ac:dyDescent="0.35">
      <c r="O3938" s="12" t="str">
        <f t="shared" si="138"/>
        <v/>
      </c>
      <c r="P3938" s="12" t="str">
        <f t="shared" si="139"/>
        <v/>
      </c>
    </row>
    <row r="3939" spans="15:16" x14ac:dyDescent="0.35">
      <c r="O3939" s="12" t="str">
        <f t="shared" si="138"/>
        <v/>
      </c>
      <c r="P3939" s="12" t="str">
        <f t="shared" si="139"/>
        <v/>
      </c>
    </row>
    <row r="3940" spans="15:16" x14ac:dyDescent="0.35">
      <c r="O3940" s="12" t="str">
        <f t="shared" si="138"/>
        <v/>
      </c>
      <c r="P3940" s="12" t="str">
        <f t="shared" si="139"/>
        <v/>
      </c>
    </row>
    <row r="3941" spans="15:16" x14ac:dyDescent="0.35">
      <c r="O3941" s="12" t="str">
        <f t="shared" si="138"/>
        <v/>
      </c>
      <c r="P3941" s="12" t="str">
        <f t="shared" si="139"/>
        <v/>
      </c>
    </row>
    <row r="3942" spans="15:16" x14ac:dyDescent="0.35">
      <c r="O3942" s="12" t="str">
        <f t="shared" si="138"/>
        <v/>
      </c>
      <c r="P3942" s="12" t="str">
        <f t="shared" si="139"/>
        <v/>
      </c>
    </row>
    <row r="3943" spans="15:16" x14ac:dyDescent="0.35">
      <c r="O3943" s="12" t="str">
        <f t="shared" si="138"/>
        <v/>
      </c>
      <c r="P3943" s="12" t="str">
        <f t="shared" si="139"/>
        <v/>
      </c>
    </row>
    <row r="3944" spans="15:16" x14ac:dyDescent="0.35">
      <c r="O3944" s="12" t="str">
        <f t="shared" si="138"/>
        <v/>
      </c>
      <c r="P3944" s="12" t="str">
        <f t="shared" si="139"/>
        <v/>
      </c>
    </row>
    <row r="3945" spans="15:16" x14ac:dyDescent="0.35">
      <c r="O3945" s="12" t="str">
        <f t="shared" si="138"/>
        <v/>
      </c>
      <c r="P3945" s="12" t="str">
        <f t="shared" si="139"/>
        <v/>
      </c>
    </row>
    <row r="3946" spans="15:16" x14ac:dyDescent="0.35">
      <c r="O3946" s="12" t="str">
        <f t="shared" si="138"/>
        <v/>
      </c>
      <c r="P3946" s="12" t="str">
        <f t="shared" si="139"/>
        <v/>
      </c>
    </row>
    <row r="3947" spans="15:16" x14ac:dyDescent="0.35">
      <c r="O3947" s="12" t="str">
        <f t="shared" si="138"/>
        <v/>
      </c>
      <c r="P3947" s="12" t="str">
        <f t="shared" si="139"/>
        <v/>
      </c>
    </row>
    <row r="3948" spans="15:16" x14ac:dyDescent="0.35">
      <c r="O3948" s="12" t="str">
        <f t="shared" si="138"/>
        <v/>
      </c>
      <c r="P3948" s="12" t="str">
        <f t="shared" si="139"/>
        <v/>
      </c>
    </row>
    <row r="3949" spans="15:16" x14ac:dyDescent="0.35">
      <c r="O3949" s="12" t="str">
        <f t="shared" si="138"/>
        <v/>
      </c>
      <c r="P3949" s="12" t="str">
        <f t="shared" si="139"/>
        <v/>
      </c>
    </row>
    <row r="3950" spans="15:16" x14ac:dyDescent="0.35">
      <c r="O3950" s="12" t="str">
        <f t="shared" si="138"/>
        <v/>
      </c>
      <c r="P3950" s="12" t="str">
        <f t="shared" si="139"/>
        <v/>
      </c>
    </row>
    <row r="3951" spans="15:16" x14ac:dyDescent="0.35">
      <c r="O3951" s="12" t="str">
        <f t="shared" si="138"/>
        <v/>
      </c>
      <c r="P3951" s="12" t="str">
        <f t="shared" si="139"/>
        <v/>
      </c>
    </row>
    <row r="3952" spans="15:16" x14ac:dyDescent="0.35">
      <c r="O3952" s="12" t="str">
        <f t="shared" si="138"/>
        <v/>
      </c>
      <c r="P3952" s="12" t="str">
        <f t="shared" si="139"/>
        <v/>
      </c>
    </row>
    <row r="3953" spans="15:16" x14ac:dyDescent="0.35">
      <c r="O3953" s="12" t="str">
        <f t="shared" si="138"/>
        <v/>
      </c>
      <c r="P3953" s="12" t="str">
        <f t="shared" si="139"/>
        <v/>
      </c>
    </row>
    <row r="3954" spans="15:16" x14ac:dyDescent="0.35">
      <c r="O3954" s="12" t="str">
        <f t="shared" si="138"/>
        <v/>
      </c>
      <c r="P3954" s="12" t="str">
        <f t="shared" si="139"/>
        <v/>
      </c>
    </row>
    <row r="3955" spans="15:16" x14ac:dyDescent="0.35">
      <c r="O3955" s="12" t="str">
        <f t="shared" si="138"/>
        <v/>
      </c>
      <c r="P3955" s="12" t="str">
        <f t="shared" si="139"/>
        <v/>
      </c>
    </row>
    <row r="3956" spans="15:16" x14ac:dyDescent="0.35">
      <c r="O3956" s="12" t="str">
        <f t="shared" si="138"/>
        <v/>
      </c>
      <c r="P3956" s="12" t="str">
        <f t="shared" si="139"/>
        <v/>
      </c>
    </row>
    <row r="3957" spans="15:16" x14ac:dyDescent="0.35">
      <c r="O3957" s="12" t="str">
        <f t="shared" si="138"/>
        <v/>
      </c>
      <c r="P3957" s="12" t="str">
        <f t="shared" si="139"/>
        <v/>
      </c>
    </row>
    <row r="3958" spans="15:16" x14ac:dyDescent="0.35">
      <c r="O3958" s="12" t="str">
        <f t="shared" si="138"/>
        <v/>
      </c>
      <c r="P3958" s="12" t="str">
        <f t="shared" si="139"/>
        <v/>
      </c>
    </row>
    <row r="3959" spans="15:16" x14ac:dyDescent="0.35">
      <c r="O3959" s="12" t="str">
        <f t="shared" si="138"/>
        <v/>
      </c>
      <c r="P3959" s="12" t="str">
        <f t="shared" si="139"/>
        <v/>
      </c>
    </row>
    <row r="3960" spans="15:16" x14ac:dyDescent="0.35">
      <c r="O3960" s="12" t="str">
        <f t="shared" si="138"/>
        <v/>
      </c>
      <c r="P3960" s="12" t="str">
        <f t="shared" si="139"/>
        <v/>
      </c>
    </row>
    <row r="3961" spans="15:16" x14ac:dyDescent="0.35">
      <c r="O3961" s="12" t="str">
        <f t="shared" si="138"/>
        <v/>
      </c>
      <c r="P3961" s="12" t="str">
        <f t="shared" si="139"/>
        <v/>
      </c>
    </row>
    <row r="3962" spans="15:16" x14ac:dyDescent="0.35">
      <c r="O3962" s="12" t="str">
        <f t="shared" si="138"/>
        <v/>
      </c>
      <c r="P3962" s="12" t="str">
        <f t="shared" si="139"/>
        <v/>
      </c>
    </row>
    <row r="3963" spans="15:16" x14ac:dyDescent="0.35">
      <c r="O3963" s="12" t="str">
        <f t="shared" si="138"/>
        <v/>
      </c>
      <c r="P3963" s="12" t="str">
        <f t="shared" si="139"/>
        <v/>
      </c>
    </row>
    <row r="3964" spans="15:16" x14ac:dyDescent="0.35">
      <c r="O3964" s="12" t="str">
        <f t="shared" si="138"/>
        <v/>
      </c>
      <c r="P3964" s="12" t="str">
        <f t="shared" si="139"/>
        <v/>
      </c>
    </row>
    <row r="3965" spans="15:16" x14ac:dyDescent="0.35">
      <c r="O3965" s="12" t="str">
        <f t="shared" si="138"/>
        <v/>
      </c>
      <c r="P3965" s="12" t="str">
        <f t="shared" si="139"/>
        <v/>
      </c>
    </row>
    <row r="3966" spans="15:16" x14ac:dyDescent="0.35">
      <c r="O3966" s="12" t="str">
        <f t="shared" si="138"/>
        <v/>
      </c>
      <c r="P3966" s="12" t="str">
        <f t="shared" si="139"/>
        <v/>
      </c>
    </row>
    <row r="3967" spans="15:16" x14ac:dyDescent="0.35">
      <c r="O3967" s="12" t="str">
        <f t="shared" si="138"/>
        <v/>
      </c>
      <c r="P3967" s="12" t="str">
        <f t="shared" si="139"/>
        <v/>
      </c>
    </row>
    <row r="3968" spans="15:16" x14ac:dyDescent="0.35">
      <c r="O3968" s="12" t="str">
        <f t="shared" si="138"/>
        <v/>
      </c>
      <c r="P3968" s="12" t="str">
        <f t="shared" si="139"/>
        <v/>
      </c>
    </row>
    <row r="3969" spans="15:16" x14ac:dyDescent="0.35">
      <c r="O3969" s="12" t="str">
        <f t="shared" si="138"/>
        <v/>
      </c>
      <c r="P3969" s="12" t="str">
        <f t="shared" si="139"/>
        <v/>
      </c>
    </row>
    <row r="3970" spans="15:16" x14ac:dyDescent="0.35">
      <c r="O3970" s="12" t="str">
        <f t="shared" si="138"/>
        <v/>
      </c>
      <c r="P3970" s="12" t="str">
        <f t="shared" si="139"/>
        <v/>
      </c>
    </row>
    <row r="3971" spans="15:16" x14ac:dyDescent="0.35">
      <c r="O3971" s="12" t="str">
        <f t="shared" si="138"/>
        <v/>
      </c>
      <c r="P3971" s="12" t="str">
        <f t="shared" si="139"/>
        <v/>
      </c>
    </row>
    <row r="3972" spans="15:16" x14ac:dyDescent="0.35">
      <c r="O3972" s="12" t="str">
        <f t="shared" si="138"/>
        <v/>
      </c>
      <c r="P3972" s="12" t="str">
        <f t="shared" si="139"/>
        <v/>
      </c>
    </row>
    <row r="3973" spans="15:16" x14ac:dyDescent="0.35">
      <c r="O3973" s="12" t="str">
        <f t="shared" si="138"/>
        <v/>
      </c>
      <c r="P3973" s="12" t="str">
        <f t="shared" si="139"/>
        <v/>
      </c>
    </row>
    <row r="3974" spans="15:16" x14ac:dyDescent="0.35">
      <c r="O3974" s="12" t="str">
        <f t="shared" si="138"/>
        <v/>
      </c>
      <c r="P3974" s="12" t="str">
        <f t="shared" si="139"/>
        <v/>
      </c>
    </row>
    <row r="3975" spans="15:16" x14ac:dyDescent="0.35">
      <c r="O3975" s="12" t="str">
        <f t="shared" si="138"/>
        <v/>
      </c>
      <c r="P3975" s="12" t="str">
        <f t="shared" si="139"/>
        <v/>
      </c>
    </row>
    <row r="3976" spans="15:16" x14ac:dyDescent="0.35">
      <c r="O3976" s="12" t="str">
        <f t="shared" si="138"/>
        <v/>
      </c>
      <c r="P3976" s="12" t="str">
        <f t="shared" si="139"/>
        <v/>
      </c>
    </row>
    <row r="3977" spans="15:16" x14ac:dyDescent="0.35">
      <c r="O3977" s="12" t="str">
        <f t="shared" si="138"/>
        <v/>
      </c>
      <c r="P3977" s="12" t="str">
        <f t="shared" si="139"/>
        <v/>
      </c>
    </row>
    <row r="3978" spans="15:16" x14ac:dyDescent="0.35">
      <c r="O3978" s="12" t="str">
        <f t="shared" si="138"/>
        <v/>
      </c>
      <c r="P3978" s="12" t="str">
        <f t="shared" si="139"/>
        <v/>
      </c>
    </row>
    <row r="3979" spans="15:16" x14ac:dyDescent="0.35">
      <c r="O3979" s="12" t="str">
        <f t="shared" si="138"/>
        <v/>
      </c>
      <c r="P3979" s="12" t="str">
        <f t="shared" si="139"/>
        <v/>
      </c>
    </row>
    <row r="3980" spans="15:16" x14ac:dyDescent="0.35">
      <c r="O3980" s="12" t="str">
        <f t="shared" si="138"/>
        <v/>
      </c>
      <c r="P3980" s="12" t="str">
        <f t="shared" si="139"/>
        <v/>
      </c>
    </row>
    <row r="3981" spans="15:16" x14ac:dyDescent="0.35">
      <c r="O3981" s="12" t="str">
        <f t="shared" si="138"/>
        <v/>
      </c>
      <c r="P3981" s="12" t="str">
        <f t="shared" si="139"/>
        <v/>
      </c>
    </row>
    <row r="3982" spans="15:16" x14ac:dyDescent="0.35">
      <c r="O3982" s="12" t="str">
        <f t="shared" si="138"/>
        <v/>
      </c>
      <c r="P3982" s="12" t="str">
        <f t="shared" si="139"/>
        <v/>
      </c>
    </row>
    <row r="3983" spans="15:16" x14ac:dyDescent="0.35">
      <c r="O3983" s="12" t="str">
        <f t="shared" si="138"/>
        <v/>
      </c>
      <c r="P3983" s="12" t="str">
        <f t="shared" si="139"/>
        <v/>
      </c>
    </row>
    <row r="3984" spans="15:16" x14ac:dyDescent="0.35">
      <c r="O3984" s="12" t="str">
        <f t="shared" si="138"/>
        <v/>
      </c>
      <c r="P3984" s="12" t="str">
        <f t="shared" si="139"/>
        <v/>
      </c>
    </row>
    <row r="3985" spans="15:16" x14ac:dyDescent="0.35">
      <c r="O3985" s="12" t="str">
        <f t="shared" si="138"/>
        <v/>
      </c>
      <c r="P3985" s="12" t="str">
        <f t="shared" si="139"/>
        <v/>
      </c>
    </row>
    <row r="3986" spans="15:16" x14ac:dyDescent="0.35">
      <c r="O3986" s="12" t="str">
        <f t="shared" si="138"/>
        <v/>
      </c>
      <c r="P3986" s="12" t="str">
        <f t="shared" si="139"/>
        <v/>
      </c>
    </row>
    <row r="3987" spans="15:16" x14ac:dyDescent="0.35">
      <c r="O3987" s="12" t="str">
        <f t="shared" si="138"/>
        <v/>
      </c>
      <c r="P3987" s="12" t="str">
        <f t="shared" si="139"/>
        <v/>
      </c>
    </row>
    <row r="3988" spans="15:16" x14ac:dyDescent="0.35">
      <c r="O3988" s="12" t="str">
        <f t="shared" si="138"/>
        <v/>
      </c>
      <c r="P3988" s="12" t="str">
        <f t="shared" si="139"/>
        <v/>
      </c>
    </row>
    <row r="3989" spans="15:16" x14ac:dyDescent="0.35">
      <c r="O3989" s="12" t="str">
        <f t="shared" si="138"/>
        <v/>
      </c>
      <c r="P3989" s="12" t="str">
        <f t="shared" si="139"/>
        <v/>
      </c>
    </row>
    <row r="3990" spans="15:16" x14ac:dyDescent="0.35">
      <c r="O3990" s="12" t="str">
        <f t="shared" ref="O3990:O4053" si="140">LEFT(B3990,3)</f>
        <v/>
      </c>
      <c r="P3990" s="12" t="str">
        <f t="shared" ref="P3990:P4053" si="141">LEFT(D3990,5)</f>
        <v/>
      </c>
    </row>
    <row r="3991" spans="15:16" x14ac:dyDescent="0.35">
      <c r="O3991" s="12" t="str">
        <f t="shared" si="140"/>
        <v/>
      </c>
      <c r="P3991" s="12" t="str">
        <f t="shared" si="141"/>
        <v/>
      </c>
    </row>
    <row r="3992" spans="15:16" x14ac:dyDescent="0.35">
      <c r="O3992" s="12" t="str">
        <f t="shared" si="140"/>
        <v/>
      </c>
      <c r="P3992" s="12" t="str">
        <f t="shared" si="141"/>
        <v/>
      </c>
    </row>
    <row r="3993" spans="15:16" x14ac:dyDescent="0.35">
      <c r="O3993" s="12" t="str">
        <f t="shared" si="140"/>
        <v/>
      </c>
      <c r="P3993" s="12" t="str">
        <f t="shared" si="141"/>
        <v/>
      </c>
    </row>
    <row r="3994" spans="15:16" x14ac:dyDescent="0.35">
      <c r="O3994" s="12" t="str">
        <f t="shared" si="140"/>
        <v/>
      </c>
      <c r="P3994" s="12" t="str">
        <f t="shared" si="141"/>
        <v/>
      </c>
    </row>
    <row r="3995" spans="15:16" x14ac:dyDescent="0.35">
      <c r="O3995" s="12" t="str">
        <f t="shared" si="140"/>
        <v/>
      </c>
      <c r="P3995" s="12" t="str">
        <f t="shared" si="141"/>
        <v/>
      </c>
    </row>
    <row r="3996" spans="15:16" x14ac:dyDescent="0.35">
      <c r="O3996" s="12" t="str">
        <f t="shared" si="140"/>
        <v/>
      </c>
      <c r="P3996" s="12" t="str">
        <f t="shared" si="141"/>
        <v/>
      </c>
    </row>
    <row r="3997" spans="15:16" x14ac:dyDescent="0.35">
      <c r="O3997" s="12" t="str">
        <f t="shared" si="140"/>
        <v/>
      </c>
      <c r="P3997" s="12" t="str">
        <f t="shared" si="141"/>
        <v/>
      </c>
    </row>
    <row r="3998" spans="15:16" x14ac:dyDescent="0.35">
      <c r="O3998" s="12" t="str">
        <f t="shared" si="140"/>
        <v/>
      </c>
      <c r="P3998" s="12" t="str">
        <f t="shared" si="141"/>
        <v/>
      </c>
    </row>
    <row r="3999" spans="15:16" x14ac:dyDescent="0.35">
      <c r="O3999" s="12" t="str">
        <f t="shared" si="140"/>
        <v/>
      </c>
      <c r="P3999" s="12" t="str">
        <f t="shared" si="141"/>
        <v/>
      </c>
    </row>
    <row r="4000" spans="15:16" x14ac:dyDescent="0.35">
      <c r="O4000" s="12" t="str">
        <f t="shared" si="140"/>
        <v/>
      </c>
      <c r="P4000" s="12" t="str">
        <f t="shared" si="141"/>
        <v/>
      </c>
    </row>
    <row r="4001" spans="15:16" x14ac:dyDescent="0.35">
      <c r="O4001" s="12" t="str">
        <f t="shared" si="140"/>
        <v/>
      </c>
      <c r="P4001" s="12" t="str">
        <f t="shared" si="141"/>
        <v/>
      </c>
    </row>
    <row r="4002" spans="15:16" x14ac:dyDescent="0.35">
      <c r="O4002" s="12" t="str">
        <f t="shared" si="140"/>
        <v/>
      </c>
      <c r="P4002" s="12" t="str">
        <f t="shared" si="141"/>
        <v/>
      </c>
    </row>
    <row r="4003" spans="15:16" x14ac:dyDescent="0.35">
      <c r="O4003" s="12" t="str">
        <f t="shared" si="140"/>
        <v/>
      </c>
      <c r="P4003" s="12" t="str">
        <f t="shared" si="141"/>
        <v/>
      </c>
    </row>
    <row r="4004" spans="15:16" x14ac:dyDescent="0.35">
      <c r="O4004" s="12" t="str">
        <f t="shared" si="140"/>
        <v/>
      </c>
      <c r="P4004" s="12" t="str">
        <f t="shared" si="141"/>
        <v/>
      </c>
    </row>
    <row r="4005" spans="15:16" x14ac:dyDescent="0.35">
      <c r="O4005" s="12" t="str">
        <f t="shared" si="140"/>
        <v/>
      </c>
      <c r="P4005" s="12" t="str">
        <f t="shared" si="141"/>
        <v/>
      </c>
    </row>
    <row r="4006" spans="15:16" x14ac:dyDescent="0.35">
      <c r="O4006" s="12" t="str">
        <f t="shared" si="140"/>
        <v/>
      </c>
      <c r="P4006" s="12" t="str">
        <f t="shared" si="141"/>
        <v/>
      </c>
    </row>
    <row r="4007" spans="15:16" x14ac:dyDescent="0.35">
      <c r="O4007" s="12" t="str">
        <f t="shared" si="140"/>
        <v/>
      </c>
      <c r="P4007" s="12" t="str">
        <f t="shared" si="141"/>
        <v/>
      </c>
    </row>
    <row r="4008" spans="15:16" x14ac:dyDescent="0.35">
      <c r="O4008" s="12" t="str">
        <f t="shared" si="140"/>
        <v/>
      </c>
      <c r="P4008" s="12" t="str">
        <f t="shared" si="141"/>
        <v/>
      </c>
    </row>
    <row r="4009" spans="15:16" x14ac:dyDescent="0.35">
      <c r="O4009" s="12" t="str">
        <f t="shared" si="140"/>
        <v/>
      </c>
      <c r="P4009" s="12" t="str">
        <f t="shared" si="141"/>
        <v/>
      </c>
    </row>
    <row r="4010" spans="15:16" x14ac:dyDescent="0.35">
      <c r="O4010" s="12" t="str">
        <f t="shared" si="140"/>
        <v/>
      </c>
      <c r="P4010" s="12" t="str">
        <f t="shared" si="141"/>
        <v/>
      </c>
    </row>
    <row r="4011" spans="15:16" x14ac:dyDescent="0.35">
      <c r="O4011" s="12" t="str">
        <f t="shared" si="140"/>
        <v/>
      </c>
      <c r="P4011" s="12" t="str">
        <f t="shared" si="141"/>
        <v/>
      </c>
    </row>
    <row r="4012" spans="15:16" x14ac:dyDescent="0.35">
      <c r="O4012" s="12" t="str">
        <f t="shared" si="140"/>
        <v/>
      </c>
      <c r="P4012" s="12" t="str">
        <f t="shared" si="141"/>
        <v/>
      </c>
    </row>
    <row r="4013" spans="15:16" x14ac:dyDescent="0.35">
      <c r="O4013" s="12" t="str">
        <f t="shared" si="140"/>
        <v/>
      </c>
      <c r="P4013" s="12" t="str">
        <f t="shared" si="141"/>
        <v/>
      </c>
    </row>
    <row r="4014" spans="15:16" x14ac:dyDescent="0.35">
      <c r="O4014" s="12" t="str">
        <f t="shared" si="140"/>
        <v/>
      </c>
      <c r="P4014" s="12" t="str">
        <f t="shared" si="141"/>
        <v/>
      </c>
    </row>
    <row r="4015" spans="15:16" x14ac:dyDescent="0.35">
      <c r="O4015" s="12" t="str">
        <f t="shared" si="140"/>
        <v/>
      </c>
      <c r="P4015" s="12" t="str">
        <f t="shared" si="141"/>
        <v/>
      </c>
    </row>
    <row r="4016" spans="15:16" x14ac:dyDescent="0.35">
      <c r="O4016" s="12" t="str">
        <f t="shared" si="140"/>
        <v/>
      </c>
      <c r="P4016" s="12" t="str">
        <f t="shared" si="141"/>
        <v/>
      </c>
    </row>
    <row r="4017" spans="15:16" x14ac:dyDescent="0.35">
      <c r="O4017" s="12" t="str">
        <f t="shared" si="140"/>
        <v/>
      </c>
      <c r="P4017" s="12" t="str">
        <f t="shared" si="141"/>
        <v/>
      </c>
    </row>
    <row r="4018" spans="15:16" x14ac:dyDescent="0.35">
      <c r="O4018" s="12" t="str">
        <f t="shared" si="140"/>
        <v/>
      </c>
      <c r="P4018" s="12" t="str">
        <f t="shared" si="141"/>
        <v/>
      </c>
    </row>
    <row r="4019" spans="15:16" x14ac:dyDescent="0.35">
      <c r="O4019" s="12" t="str">
        <f t="shared" si="140"/>
        <v/>
      </c>
      <c r="P4019" s="12" t="str">
        <f t="shared" si="141"/>
        <v/>
      </c>
    </row>
    <row r="4020" spans="15:16" x14ac:dyDescent="0.35">
      <c r="O4020" s="12" t="str">
        <f t="shared" si="140"/>
        <v/>
      </c>
      <c r="P4020" s="12" t="str">
        <f t="shared" si="141"/>
        <v/>
      </c>
    </row>
    <row r="4021" spans="15:16" x14ac:dyDescent="0.35">
      <c r="O4021" s="12" t="str">
        <f t="shared" si="140"/>
        <v/>
      </c>
      <c r="P4021" s="12" t="str">
        <f t="shared" si="141"/>
        <v/>
      </c>
    </row>
    <row r="4022" spans="15:16" x14ac:dyDescent="0.35">
      <c r="O4022" s="12" t="str">
        <f t="shared" si="140"/>
        <v/>
      </c>
      <c r="P4022" s="12" t="str">
        <f t="shared" si="141"/>
        <v/>
      </c>
    </row>
    <row r="4023" spans="15:16" x14ac:dyDescent="0.35">
      <c r="O4023" s="12" t="str">
        <f t="shared" si="140"/>
        <v/>
      </c>
      <c r="P4023" s="12" t="str">
        <f t="shared" si="141"/>
        <v/>
      </c>
    </row>
    <row r="4024" spans="15:16" x14ac:dyDescent="0.35">
      <c r="O4024" s="12" t="str">
        <f t="shared" si="140"/>
        <v/>
      </c>
      <c r="P4024" s="12" t="str">
        <f t="shared" si="141"/>
        <v/>
      </c>
    </row>
    <row r="4025" spans="15:16" x14ac:dyDescent="0.35">
      <c r="O4025" s="12" t="str">
        <f t="shared" si="140"/>
        <v/>
      </c>
      <c r="P4025" s="12" t="str">
        <f t="shared" si="141"/>
        <v/>
      </c>
    </row>
    <row r="4026" spans="15:16" x14ac:dyDescent="0.35">
      <c r="O4026" s="12" t="str">
        <f t="shared" si="140"/>
        <v/>
      </c>
      <c r="P4026" s="12" t="str">
        <f t="shared" si="141"/>
        <v/>
      </c>
    </row>
    <row r="4027" spans="15:16" x14ac:dyDescent="0.35">
      <c r="O4027" s="12" t="str">
        <f t="shared" si="140"/>
        <v/>
      </c>
      <c r="P4027" s="12" t="str">
        <f t="shared" si="141"/>
        <v/>
      </c>
    </row>
    <row r="4028" spans="15:16" x14ac:dyDescent="0.35">
      <c r="O4028" s="12" t="str">
        <f t="shared" si="140"/>
        <v/>
      </c>
      <c r="P4028" s="12" t="str">
        <f t="shared" si="141"/>
        <v/>
      </c>
    </row>
    <row r="4029" spans="15:16" x14ac:dyDescent="0.35">
      <c r="O4029" s="12" t="str">
        <f t="shared" si="140"/>
        <v/>
      </c>
      <c r="P4029" s="12" t="str">
        <f t="shared" si="141"/>
        <v/>
      </c>
    </row>
    <row r="4030" spans="15:16" x14ac:dyDescent="0.35">
      <c r="O4030" s="12" t="str">
        <f t="shared" si="140"/>
        <v/>
      </c>
      <c r="P4030" s="12" t="str">
        <f t="shared" si="141"/>
        <v/>
      </c>
    </row>
    <row r="4031" spans="15:16" x14ac:dyDescent="0.35">
      <c r="O4031" s="12" t="str">
        <f t="shared" si="140"/>
        <v/>
      </c>
      <c r="P4031" s="12" t="str">
        <f t="shared" si="141"/>
        <v/>
      </c>
    </row>
    <row r="4032" spans="15:16" x14ac:dyDescent="0.35">
      <c r="O4032" s="12" t="str">
        <f t="shared" si="140"/>
        <v/>
      </c>
      <c r="P4032" s="12" t="str">
        <f t="shared" si="141"/>
        <v/>
      </c>
    </row>
    <row r="4033" spans="15:16" x14ac:dyDescent="0.35">
      <c r="O4033" s="12" t="str">
        <f t="shared" si="140"/>
        <v/>
      </c>
      <c r="P4033" s="12" t="str">
        <f t="shared" si="141"/>
        <v/>
      </c>
    </row>
    <row r="4034" spans="15:16" x14ac:dyDescent="0.35">
      <c r="O4034" s="12" t="str">
        <f t="shared" si="140"/>
        <v/>
      </c>
      <c r="P4034" s="12" t="str">
        <f t="shared" si="141"/>
        <v/>
      </c>
    </row>
    <row r="4035" spans="15:16" x14ac:dyDescent="0.35">
      <c r="O4035" s="12" t="str">
        <f t="shared" si="140"/>
        <v/>
      </c>
      <c r="P4035" s="12" t="str">
        <f t="shared" si="141"/>
        <v/>
      </c>
    </row>
    <row r="4036" spans="15:16" x14ac:dyDescent="0.35">
      <c r="O4036" s="12" t="str">
        <f t="shared" si="140"/>
        <v/>
      </c>
      <c r="P4036" s="12" t="str">
        <f t="shared" si="141"/>
        <v/>
      </c>
    </row>
    <row r="4037" spans="15:16" x14ac:dyDescent="0.35">
      <c r="O4037" s="12" t="str">
        <f t="shared" si="140"/>
        <v/>
      </c>
      <c r="P4037" s="12" t="str">
        <f t="shared" si="141"/>
        <v/>
      </c>
    </row>
    <row r="4038" spans="15:16" x14ac:dyDescent="0.35">
      <c r="O4038" s="12" t="str">
        <f t="shared" si="140"/>
        <v/>
      </c>
      <c r="P4038" s="12" t="str">
        <f t="shared" si="141"/>
        <v/>
      </c>
    </row>
    <row r="4039" spans="15:16" x14ac:dyDescent="0.35">
      <c r="O4039" s="12" t="str">
        <f t="shared" si="140"/>
        <v/>
      </c>
      <c r="P4039" s="12" t="str">
        <f t="shared" si="141"/>
        <v/>
      </c>
    </row>
    <row r="4040" spans="15:16" x14ac:dyDescent="0.35">
      <c r="O4040" s="12" t="str">
        <f t="shared" si="140"/>
        <v/>
      </c>
      <c r="P4040" s="12" t="str">
        <f t="shared" si="141"/>
        <v/>
      </c>
    </row>
    <row r="4041" spans="15:16" x14ac:dyDescent="0.35">
      <c r="O4041" s="12" t="str">
        <f t="shared" si="140"/>
        <v/>
      </c>
      <c r="P4041" s="12" t="str">
        <f t="shared" si="141"/>
        <v/>
      </c>
    </row>
    <row r="4042" spans="15:16" x14ac:dyDescent="0.35">
      <c r="O4042" s="12" t="str">
        <f t="shared" si="140"/>
        <v/>
      </c>
      <c r="P4042" s="12" t="str">
        <f t="shared" si="141"/>
        <v/>
      </c>
    </row>
    <row r="4043" spans="15:16" x14ac:dyDescent="0.35">
      <c r="O4043" s="12" t="str">
        <f t="shared" si="140"/>
        <v/>
      </c>
      <c r="P4043" s="12" t="str">
        <f t="shared" si="141"/>
        <v/>
      </c>
    </row>
    <row r="4044" spans="15:16" x14ac:dyDescent="0.35">
      <c r="O4044" s="12" t="str">
        <f t="shared" si="140"/>
        <v/>
      </c>
      <c r="P4044" s="12" t="str">
        <f t="shared" si="141"/>
        <v/>
      </c>
    </row>
    <row r="4045" spans="15:16" x14ac:dyDescent="0.35">
      <c r="O4045" s="12" t="str">
        <f t="shared" si="140"/>
        <v/>
      </c>
      <c r="P4045" s="12" t="str">
        <f t="shared" si="141"/>
        <v/>
      </c>
    </row>
    <row r="4046" spans="15:16" x14ac:dyDescent="0.35">
      <c r="O4046" s="12" t="str">
        <f t="shared" si="140"/>
        <v/>
      </c>
      <c r="P4046" s="12" t="str">
        <f t="shared" si="141"/>
        <v/>
      </c>
    </row>
    <row r="4047" spans="15:16" x14ac:dyDescent="0.35">
      <c r="O4047" s="12" t="str">
        <f t="shared" si="140"/>
        <v/>
      </c>
      <c r="P4047" s="12" t="str">
        <f t="shared" si="141"/>
        <v/>
      </c>
    </row>
    <row r="4048" spans="15:16" x14ac:dyDescent="0.35">
      <c r="O4048" s="12" t="str">
        <f t="shared" si="140"/>
        <v/>
      </c>
      <c r="P4048" s="12" t="str">
        <f t="shared" si="141"/>
        <v/>
      </c>
    </row>
    <row r="4049" spans="15:16" x14ac:dyDescent="0.35">
      <c r="O4049" s="12" t="str">
        <f t="shared" si="140"/>
        <v/>
      </c>
      <c r="P4049" s="12" t="str">
        <f t="shared" si="141"/>
        <v/>
      </c>
    </row>
    <row r="4050" spans="15:16" x14ac:dyDescent="0.35">
      <c r="O4050" s="12" t="str">
        <f t="shared" si="140"/>
        <v/>
      </c>
      <c r="P4050" s="12" t="str">
        <f t="shared" si="141"/>
        <v/>
      </c>
    </row>
    <row r="4051" spans="15:16" x14ac:dyDescent="0.35">
      <c r="O4051" s="12" t="str">
        <f t="shared" si="140"/>
        <v/>
      </c>
      <c r="P4051" s="12" t="str">
        <f t="shared" si="141"/>
        <v/>
      </c>
    </row>
    <row r="4052" spans="15:16" x14ac:dyDescent="0.35">
      <c r="O4052" s="12" t="str">
        <f t="shared" si="140"/>
        <v/>
      </c>
      <c r="P4052" s="12" t="str">
        <f t="shared" si="141"/>
        <v/>
      </c>
    </row>
    <row r="4053" spans="15:16" x14ac:dyDescent="0.35">
      <c r="O4053" s="12" t="str">
        <f t="shared" si="140"/>
        <v/>
      </c>
      <c r="P4053" s="12" t="str">
        <f t="shared" si="141"/>
        <v/>
      </c>
    </row>
    <row r="4054" spans="15:16" x14ac:dyDescent="0.35">
      <c r="O4054" s="12" t="str">
        <f t="shared" ref="O4054:O4117" si="142">LEFT(B4054,3)</f>
        <v/>
      </c>
      <c r="P4054" s="12" t="str">
        <f t="shared" ref="P4054:P4117" si="143">LEFT(D4054,5)</f>
        <v/>
      </c>
    </row>
    <row r="4055" spans="15:16" x14ac:dyDescent="0.35">
      <c r="O4055" s="12" t="str">
        <f t="shared" si="142"/>
        <v/>
      </c>
      <c r="P4055" s="12" t="str">
        <f t="shared" si="143"/>
        <v/>
      </c>
    </row>
    <row r="4056" spans="15:16" x14ac:dyDescent="0.35">
      <c r="O4056" s="12" t="str">
        <f t="shared" si="142"/>
        <v/>
      </c>
      <c r="P4056" s="12" t="str">
        <f t="shared" si="143"/>
        <v/>
      </c>
    </row>
    <row r="4057" spans="15:16" x14ac:dyDescent="0.35">
      <c r="O4057" s="12" t="str">
        <f t="shared" si="142"/>
        <v/>
      </c>
      <c r="P4057" s="12" t="str">
        <f t="shared" si="143"/>
        <v/>
      </c>
    </row>
    <row r="4058" spans="15:16" x14ac:dyDescent="0.35">
      <c r="O4058" s="12" t="str">
        <f t="shared" si="142"/>
        <v/>
      </c>
      <c r="P4058" s="12" t="str">
        <f t="shared" si="143"/>
        <v/>
      </c>
    </row>
    <row r="4059" spans="15:16" x14ac:dyDescent="0.35">
      <c r="O4059" s="12" t="str">
        <f t="shared" si="142"/>
        <v/>
      </c>
      <c r="P4059" s="12" t="str">
        <f t="shared" si="143"/>
        <v/>
      </c>
    </row>
    <row r="4060" spans="15:16" x14ac:dyDescent="0.35">
      <c r="O4060" s="12" t="str">
        <f t="shared" si="142"/>
        <v/>
      </c>
      <c r="P4060" s="12" t="str">
        <f t="shared" si="143"/>
        <v/>
      </c>
    </row>
    <row r="4061" spans="15:16" x14ac:dyDescent="0.35">
      <c r="O4061" s="12" t="str">
        <f t="shared" si="142"/>
        <v/>
      </c>
      <c r="P4061" s="12" t="str">
        <f t="shared" si="143"/>
        <v/>
      </c>
    </row>
    <row r="4062" spans="15:16" x14ac:dyDescent="0.35">
      <c r="O4062" s="12" t="str">
        <f t="shared" si="142"/>
        <v/>
      </c>
      <c r="P4062" s="12" t="str">
        <f t="shared" si="143"/>
        <v/>
      </c>
    </row>
    <row r="4063" spans="15:16" x14ac:dyDescent="0.35">
      <c r="O4063" s="12" t="str">
        <f t="shared" si="142"/>
        <v/>
      </c>
      <c r="P4063" s="12" t="str">
        <f t="shared" si="143"/>
        <v/>
      </c>
    </row>
    <row r="4064" spans="15:16" x14ac:dyDescent="0.35">
      <c r="O4064" s="12" t="str">
        <f t="shared" si="142"/>
        <v/>
      </c>
      <c r="P4064" s="12" t="str">
        <f t="shared" si="143"/>
        <v/>
      </c>
    </row>
    <row r="4065" spans="15:16" x14ac:dyDescent="0.35">
      <c r="O4065" s="12" t="str">
        <f t="shared" si="142"/>
        <v/>
      </c>
      <c r="P4065" s="12" t="str">
        <f t="shared" si="143"/>
        <v/>
      </c>
    </row>
    <row r="4066" spans="15:16" x14ac:dyDescent="0.35">
      <c r="O4066" s="12" t="str">
        <f t="shared" si="142"/>
        <v/>
      </c>
      <c r="P4066" s="12" t="str">
        <f t="shared" si="143"/>
        <v/>
      </c>
    </row>
    <row r="4067" spans="15:16" x14ac:dyDescent="0.35">
      <c r="O4067" s="12" t="str">
        <f t="shared" si="142"/>
        <v/>
      </c>
      <c r="P4067" s="12" t="str">
        <f t="shared" si="143"/>
        <v/>
      </c>
    </row>
    <row r="4068" spans="15:16" x14ac:dyDescent="0.35">
      <c r="O4068" s="12" t="str">
        <f t="shared" si="142"/>
        <v/>
      </c>
      <c r="P4068" s="12" t="str">
        <f t="shared" si="143"/>
        <v/>
      </c>
    </row>
    <row r="4069" spans="15:16" x14ac:dyDescent="0.35">
      <c r="O4069" s="12" t="str">
        <f t="shared" si="142"/>
        <v/>
      </c>
      <c r="P4069" s="12" t="str">
        <f t="shared" si="143"/>
        <v/>
      </c>
    </row>
    <row r="4070" spans="15:16" x14ac:dyDescent="0.35">
      <c r="O4070" s="12" t="str">
        <f t="shared" si="142"/>
        <v/>
      </c>
      <c r="P4070" s="12" t="str">
        <f t="shared" si="143"/>
        <v/>
      </c>
    </row>
    <row r="4071" spans="15:16" x14ac:dyDescent="0.35">
      <c r="O4071" s="12" t="str">
        <f t="shared" si="142"/>
        <v/>
      </c>
      <c r="P4071" s="12" t="str">
        <f t="shared" si="143"/>
        <v/>
      </c>
    </row>
    <row r="4072" spans="15:16" x14ac:dyDescent="0.35">
      <c r="O4072" s="12" t="str">
        <f t="shared" si="142"/>
        <v/>
      </c>
      <c r="P4072" s="12" t="str">
        <f t="shared" si="143"/>
        <v/>
      </c>
    </row>
    <row r="4073" spans="15:16" x14ac:dyDescent="0.35">
      <c r="O4073" s="12" t="str">
        <f t="shared" si="142"/>
        <v/>
      </c>
      <c r="P4073" s="12" t="str">
        <f t="shared" si="143"/>
        <v/>
      </c>
    </row>
    <row r="4074" spans="15:16" x14ac:dyDescent="0.35">
      <c r="O4074" s="12" t="str">
        <f t="shared" si="142"/>
        <v/>
      </c>
      <c r="P4074" s="12" t="str">
        <f t="shared" si="143"/>
        <v/>
      </c>
    </row>
    <row r="4075" spans="15:16" x14ac:dyDescent="0.35">
      <c r="O4075" s="12" t="str">
        <f t="shared" si="142"/>
        <v/>
      </c>
      <c r="P4075" s="12" t="str">
        <f t="shared" si="143"/>
        <v/>
      </c>
    </row>
    <row r="4076" spans="15:16" x14ac:dyDescent="0.35">
      <c r="O4076" s="12" t="str">
        <f t="shared" si="142"/>
        <v/>
      </c>
      <c r="P4076" s="12" t="str">
        <f t="shared" si="143"/>
        <v/>
      </c>
    </row>
    <row r="4077" spans="15:16" x14ac:dyDescent="0.35">
      <c r="O4077" s="12" t="str">
        <f t="shared" si="142"/>
        <v/>
      </c>
      <c r="P4077" s="12" t="str">
        <f t="shared" si="143"/>
        <v/>
      </c>
    </row>
    <row r="4078" spans="15:16" x14ac:dyDescent="0.35">
      <c r="O4078" s="12" t="str">
        <f t="shared" si="142"/>
        <v/>
      </c>
      <c r="P4078" s="12" t="str">
        <f t="shared" si="143"/>
        <v/>
      </c>
    </row>
    <row r="4079" spans="15:16" x14ac:dyDescent="0.35">
      <c r="O4079" s="12" t="str">
        <f t="shared" si="142"/>
        <v/>
      </c>
      <c r="P4079" s="12" t="str">
        <f t="shared" si="143"/>
        <v/>
      </c>
    </row>
    <row r="4080" spans="15:16" x14ac:dyDescent="0.35">
      <c r="O4080" s="12" t="str">
        <f t="shared" si="142"/>
        <v/>
      </c>
      <c r="P4080" s="12" t="str">
        <f t="shared" si="143"/>
        <v/>
      </c>
    </row>
    <row r="4081" spans="15:16" x14ac:dyDescent="0.35">
      <c r="O4081" s="12" t="str">
        <f t="shared" si="142"/>
        <v/>
      </c>
      <c r="P4081" s="12" t="str">
        <f t="shared" si="143"/>
        <v/>
      </c>
    </row>
    <row r="4082" spans="15:16" x14ac:dyDescent="0.35">
      <c r="O4082" s="12" t="str">
        <f t="shared" si="142"/>
        <v/>
      </c>
      <c r="P4082" s="12" t="str">
        <f t="shared" si="143"/>
        <v/>
      </c>
    </row>
    <row r="4083" spans="15:16" x14ac:dyDescent="0.35">
      <c r="O4083" s="12" t="str">
        <f t="shared" si="142"/>
        <v/>
      </c>
      <c r="P4083" s="12" t="str">
        <f t="shared" si="143"/>
        <v/>
      </c>
    </row>
    <row r="4084" spans="15:16" x14ac:dyDescent="0.35">
      <c r="O4084" s="12" t="str">
        <f t="shared" si="142"/>
        <v/>
      </c>
      <c r="P4084" s="12" t="str">
        <f t="shared" si="143"/>
        <v/>
      </c>
    </row>
    <row r="4085" spans="15:16" x14ac:dyDescent="0.35">
      <c r="O4085" s="12" t="str">
        <f t="shared" si="142"/>
        <v/>
      </c>
      <c r="P4085" s="12" t="str">
        <f t="shared" si="143"/>
        <v/>
      </c>
    </row>
    <row r="4086" spans="15:16" x14ac:dyDescent="0.35">
      <c r="O4086" s="12" t="str">
        <f t="shared" si="142"/>
        <v/>
      </c>
      <c r="P4086" s="12" t="str">
        <f t="shared" si="143"/>
        <v/>
      </c>
    </row>
    <row r="4087" spans="15:16" x14ac:dyDescent="0.35">
      <c r="O4087" s="12" t="str">
        <f t="shared" si="142"/>
        <v/>
      </c>
      <c r="P4087" s="12" t="str">
        <f t="shared" si="143"/>
        <v/>
      </c>
    </row>
    <row r="4088" spans="15:16" x14ac:dyDescent="0.35">
      <c r="O4088" s="12" t="str">
        <f t="shared" si="142"/>
        <v/>
      </c>
      <c r="P4088" s="12" t="str">
        <f t="shared" si="143"/>
        <v/>
      </c>
    </row>
    <row r="4089" spans="15:16" x14ac:dyDescent="0.35">
      <c r="O4089" s="12" t="str">
        <f t="shared" si="142"/>
        <v/>
      </c>
      <c r="P4089" s="12" t="str">
        <f t="shared" si="143"/>
        <v/>
      </c>
    </row>
    <row r="4090" spans="15:16" x14ac:dyDescent="0.35">
      <c r="O4090" s="12" t="str">
        <f t="shared" si="142"/>
        <v/>
      </c>
      <c r="P4090" s="12" t="str">
        <f t="shared" si="143"/>
        <v/>
      </c>
    </row>
    <row r="4091" spans="15:16" x14ac:dyDescent="0.35">
      <c r="O4091" s="12" t="str">
        <f t="shared" si="142"/>
        <v/>
      </c>
      <c r="P4091" s="12" t="str">
        <f t="shared" si="143"/>
        <v/>
      </c>
    </row>
    <row r="4092" spans="15:16" x14ac:dyDescent="0.35">
      <c r="O4092" s="12" t="str">
        <f t="shared" si="142"/>
        <v/>
      </c>
      <c r="P4092" s="12" t="str">
        <f t="shared" si="143"/>
        <v/>
      </c>
    </row>
    <row r="4093" spans="15:16" x14ac:dyDescent="0.35">
      <c r="O4093" s="12" t="str">
        <f t="shared" si="142"/>
        <v/>
      </c>
      <c r="P4093" s="12" t="str">
        <f t="shared" si="143"/>
        <v/>
      </c>
    </row>
    <row r="4094" spans="15:16" x14ac:dyDescent="0.35">
      <c r="O4094" s="12" t="str">
        <f t="shared" si="142"/>
        <v/>
      </c>
      <c r="P4094" s="12" t="str">
        <f t="shared" si="143"/>
        <v/>
      </c>
    </row>
    <row r="4095" spans="15:16" x14ac:dyDescent="0.35">
      <c r="O4095" s="12" t="str">
        <f t="shared" si="142"/>
        <v/>
      </c>
      <c r="P4095" s="12" t="str">
        <f t="shared" si="143"/>
        <v/>
      </c>
    </row>
    <row r="4096" spans="15:16" x14ac:dyDescent="0.35">
      <c r="O4096" s="12" t="str">
        <f t="shared" si="142"/>
        <v/>
      </c>
      <c r="P4096" s="12" t="str">
        <f t="shared" si="143"/>
        <v/>
      </c>
    </row>
    <row r="4097" spans="15:16" x14ac:dyDescent="0.35">
      <c r="O4097" s="12" t="str">
        <f t="shared" si="142"/>
        <v/>
      </c>
      <c r="P4097" s="12" t="str">
        <f t="shared" si="143"/>
        <v/>
      </c>
    </row>
    <row r="4098" spans="15:16" x14ac:dyDescent="0.35">
      <c r="O4098" s="12" t="str">
        <f t="shared" si="142"/>
        <v/>
      </c>
      <c r="P4098" s="12" t="str">
        <f t="shared" si="143"/>
        <v/>
      </c>
    </row>
    <row r="4099" spans="15:16" x14ac:dyDescent="0.35">
      <c r="O4099" s="12" t="str">
        <f t="shared" si="142"/>
        <v/>
      </c>
      <c r="P4099" s="12" t="str">
        <f t="shared" si="143"/>
        <v/>
      </c>
    </row>
    <row r="4100" spans="15:16" x14ac:dyDescent="0.35">
      <c r="O4100" s="12" t="str">
        <f t="shared" si="142"/>
        <v/>
      </c>
      <c r="P4100" s="12" t="str">
        <f t="shared" si="143"/>
        <v/>
      </c>
    </row>
    <row r="4101" spans="15:16" x14ac:dyDescent="0.35">
      <c r="O4101" s="12" t="str">
        <f t="shared" si="142"/>
        <v/>
      </c>
      <c r="P4101" s="12" t="str">
        <f t="shared" si="143"/>
        <v/>
      </c>
    </row>
    <row r="4102" spans="15:16" x14ac:dyDescent="0.35">
      <c r="O4102" s="12" t="str">
        <f t="shared" si="142"/>
        <v/>
      </c>
      <c r="P4102" s="12" t="str">
        <f t="shared" si="143"/>
        <v/>
      </c>
    </row>
    <row r="4103" spans="15:16" x14ac:dyDescent="0.35">
      <c r="O4103" s="12" t="str">
        <f t="shared" si="142"/>
        <v/>
      </c>
      <c r="P4103" s="12" t="str">
        <f t="shared" si="143"/>
        <v/>
      </c>
    </row>
    <row r="4104" spans="15:16" x14ac:dyDescent="0.35">
      <c r="O4104" s="12" t="str">
        <f t="shared" si="142"/>
        <v/>
      </c>
      <c r="P4104" s="12" t="str">
        <f t="shared" si="143"/>
        <v/>
      </c>
    </row>
    <row r="4105" spans="15:16" x14ac:dyDescent="0.35">
      <c r="O4105" s="12" t="str">
        <f t="shared" si="142"/>
        <v/>
      </c>
      <c r="P4105" s="12" t="str">
        <f t="shared" si="143"/>
        <v/>
      </c>
    </row>
    <row r="4106" spans="15:16" x14ac:dyDescent="0.35">
      <c r="O4106" s="12" t="str">
        <f t="shared" si="142"/>
        <v/>
      </c>
      <c r="P4106" s="12" t="str">
        <f t="shared" si="143"/>
        <v/>
      </c>
    </row>
    <row r="4107" spans="15:16" x14ac:dyDescent="0.35">
      <c r="O4107" s="12" t="str">
        <f t="shared" si="142"/>
        <v/>
      </c>
      <c r="P4107" s="12" t="str">
        <f t="shared" si="143"/>
        <v/>
      </c>
    </row>
    <row r="4108" spans="15:16" x14ac:dyDescent="0.35">
      <c r="O4108" s="12" t="str">
        <f t="shared" si="142"/>
        <v/>
      </c>
      <c r="P4108" s="12" t="str">
        <f t="shared" si="143"/>
        <v/>
      </c>
    </row>
    <row r="4109" spans="15:16" x14ac:dyDescent="0.35">
      <c r="O4109" s="12" t="str">
        <f t="shared" si="142"/>
        <v/>
      </c>
      <c r="P4109" s="12" t="str">
        <f t="shared" si="143"/>
        <v/>
      </c>
    </row>
    <row r="4110" spans="15:16" x14ac:dyDescent="0.35">
      <c r="O4110" s="12" t="str">
        <f t="shared" si="142"/>
        <v/>
      </c>
      <c r="P4110" s="12" t="str">
        <f t="shared" si="143"/>
        <v/>
      </c>
    </row>
    <row r="4111" spans="15:16" x14ac:dyDescent="0.35">
      <c r="O4111" s="12" t="str">
        <f t="shared" si="142"/>
        <v/>
      </c>
      <c r="P4111" s="12" t="str">
        <f t="shared" si="143"/>
        <v/>
      </c>
    </row>
    <row r="4112" spans="15:16" x14ac:dyDescent="0.35">
      <c r="O4112" s="12" t="str">
        <f t="shared" si="142"/>
        <v/>
      </c>
      <c r="P4112" s="12" t="str">
        <f t="shared" si="143"/>
        <v/>
      </c>
    </row>
    <row r="4113" spans="15:16" x14ac:dyDescent="0.35">
      <c r="O4113" s="12" t="str">
        <f t="shared" si="142"/>
        <v/>
      </c>
      <c r="P4113" s="12" t="str">
        <f t="shared" si="143"/>
        <v/>
      </c>
    </row>
    <row r="4114" spans="15:16" x14ac:dyDescent="0.35">
      <c r="O4114" s="12" t="str">
        <f t="shared" si="142"/>
        <v/>
      </c>
      <c r="P4114" s="12" t="str">
        <f t="shared" si="143"/>
        <v/>
      </c>
    </row>
    <row r="4115" spans="15:16" x14ac:dyDescent="0.35">
      <c r="O4115" s="12" t="str">
        <f t="shared" si="142"/>
        <v/>
      </c>
      <c r="P4115" s="12" t="str">
        <f t="shared" si="143"/>
        <v/>
      </c>
    </row>
    <row r="4116" spans="15:16" x14ac:dyDescent="0.35">
      <c r="O4116" s="12" t="str">
        <f t="shared" si="142"/>
        <v/>
      </c>
      <c r="P4116" s="12" t="str">
        <f t="shared" si="143"/>
        <v/>
      </c>
    </row>
    <row r="4117" spans="15:16" x14ac:dyDescent="0.35">
      <c r="O4117" s="12" t="str">
        <f t="shared" si="142"/>
        <v/>
      </c>
      <c r="P4117" s="12" t="str">
        <f t="shared" si="143"/>
        <v/>
      </c>
    </row>
    <row r="4118" spans="15:16" x14ac:dyDescent="0.35">
      <c r="O4118" s="12" t="str">
        <f t="shared" ref="O4118:O4181" si="144">LEFT(B4118,3)</f>
        <v/>
      </c>
      <c r="P4118" s="12" t="str">
        <f t="shared" ref="P4118:P4181" si="145">LEFT(D4118,5)</f>
        <v/>
      </c>
    </row>
    <row r="4119" spans="15:16" x14ac:dyDescent="0.35">
      <c r="O4119" s="12" t="str">
        <f t="shared" si="144"/>
        <v/>
      </c>
      <c r="P4119" s="12" t="str">
        <f t="shared" si="145"/>
        <v/>
      </c>
    </row>
    <row r="4120" spans="15:16" x14ac:dyDescent="0.35">
      <c r="O4120" s="12" t="str">
        <f t="shared" si="144"/>
        <v/>
      </c>
      <c r="P4120" s="12" t="str">
        <f t="shared" si="145"/>
        <v/>
      </c>
    </row>
    <row r="4121" spans="15:16" x14ac:dyDescent="0.35">
      <c r="O4121" s="12" t="str">
        <f t="shared" si="144"/>
        <v/>
      </c>
      <c r="P4121" s="12" t="str">
        <f t="shared" si="145"/>
        <v/>
      </c>
    </row>
    <row r="4122" spans="15:16" x14ac:dyDescent="0.35">
      <c r="O4122" s="12" t="str">
        <f t="shared" si="144"/>
        <v/>
      </c>
      <c r="P4122" s="12" t="str">
        <f t="shared" si="145"/>
        <v/>
      </c>
    </row>
    <row r="4123" spans="15:16" x14ac:dyDescent="0.35">
      <c r="O4123" s="12" t="str">
        <f t="shared" si="144"/>
        <v/>
      </c>
      <c r="P4123" s="12" t="str">
        <f t="shared" si="145"/>
        <v/>
      </c>
    </row>
    <row r="4124" spans="15:16" x14ac:dyDescent="0.35">
      <c r="O4124" s="12" t="str">
        <f t="shared" si="144"/>
        <v/>
      </c>
      <c r="P4124" s="12" t="str">
        <f t="shared" si="145"/>
        <v/>
      </c>
    </row>
    <row r="4125" spans="15:16" x14ac:dyDescent="0.35">
      <c r="O4125" s="12" t="str">
        <f t="shared" si="144"/>
        <v/>
      </c>
      <c r="P4125" s="12" t="str">
        <f t="shared" si="145"/>
        <v/>
      </c>
    </row>
    <row r="4126" spans="15:16" x14ac:dyDescent="0.35">
      <c r="O4126" s="12" t="str">
        <f t="shared" si="144"/>
        <v/>
      </c>
      <c r="P4126" s="12" t="str">
        <f t="shared" si="145"/>
        <v/>
      </c>
    </row>
    <row r="4127" spans="15:16" x14ac:dyDescent="0.35">
      <c r="O4127" s="12" t="str">
        <f t="shared" si="144"/>
        <v/>
      </c>
      <c r="P4127" s="12" t="str">
        <f t="shared" si="145"/>
        <v/>
      </c>
    </row>
    <row r="4128" spans="15:16" x14ac:dyDescent="0.35">
      <c r="O4128" s="12" t="str">
        <f t="shared" si="144"/>
        <v/>
      </c>
      <c r="P4128" s="12" t="str">
        <f t="shared" si="145"/>
        <v/>
      </c>
    </row>
    <row r="4129" spans="15:16" x14ac:dyDescent="0.35">
      <c r="O4129" s="12" t="str">
        <f t="shared" si="144"/>
        <v/>
      </c>
      <c r="P4129" s="12" t="str">
        <f t="shared" si="145"/>
        <v/>
      </c>
    </row>
    <row r="4130" spans="15:16" x14ac:dyDescent="0.35">
      <c r="O4130" s="12" t="str">
        <f t="shared" si="144"/>
        <v/>
      </c>
      <c r="P4130" s="12" t="str">
        <f t="shared" si="145"/>
        <v/>
      </c>
    </row>
    <row r="4131" spans="15:16" x14ac:dyDescent="0.35">
      <c r="O4131" s="12" t="str">
        <f t="shared" si="144"/>
        <v/>
      </c>
      <c r="P4131" s="12" t="str">
        <f t="shared" si="145"/>
        <v/>
      </c>
    </row>
    <row r="4132" spans="15:16" x14ac:dyDescent="0.35">
      <c r="O4132" s="12" t="str">
        <f t="shared" si="144"/>
        <v/>
      </c>
      <c r="P4132" s="12" t="str">
        <f t="shared" si="145"/>
        <v/>
      </c>
    </row>
    <row r="4133" spans="15:16" x14ac:dyDescent="0.35">
      <c r="O4133" s="12" t="str">
        <f t="shared" si="144"/>
        <v/>
      </c>
      <c r="P4133" s="12" t="str">
        <f t="shared" si="145"/>
        <v/>
      </c>
    </row>
    <row r="4134" spans="15:16" x14ac:dyDescent="0.35">
      <c r="O4134" s="12" t="str">
        <f t="shared" si="144"/>
        <v/>
      </c>
      <c r="P4134" s="12" t="str">
        <f t="shared" si="145"/>
        <v/>
      </c>
    </row>
    <row r="4135" spans="15:16" x14ac:dyDescent="0.35">
      <c r="O4135" s="12" t="str">
        <f t="shared" si="144"/>
        <v/>
      </c>
      <c r="P4135" s="12" t="str">
        <f t="shared" si="145"/>
        <v/>
      </c>
    </row>
    <row r="4136" spans="15:16" x14ac:dyDescent="0.35">
      <c r="O4136" s="12" t="str">
        <f t="shared" si="144"/>
        <v/>
      </c>
      <c r="P4136" s="12" t="str">
        <f t="shared" si="145"/>
        <v/>
      </c>
    </row>
    <row r="4137" spans="15:16" x14ac:dyDescent="0.35">
      <c r="O4137" s="12" t="str">
        <f t="shared" si="144"/>
        <v/>
      </c>
      <c r="P4137" s="12" t="str">
        <f t="shared" si="145"/>
        <v/>
      </c>
    </row>
    <row r="4138" spans="15:16" x14ac:dyDescent="0.35">
      <c r="O4138" s="12" t="str">
        <f t="shared" si="144"/>
        <v/>
      </c>
      <c r="P4138" s="12" t="str">
        <f t="shared" si="145"/>
        <v/>
      </c>
    </row>
    <row r="4139" spans="15:16" x14ac:dyDescent="0.35">
      <c r="O4139" s="12" t="str">
        <f t="shared" si="144"/>
        <v/>
      </c>
      <c r="P4139" s="12" t="str">
        <f t="shared" si="145"/>
        <v/>
      </c>
    </row>
    <row r="4140" spans="15:16" x14ac:dyDescent="0.35">
      <c r="O4140" s="12" t="str">
        <f t="shared" si="144"/>
        <v/>
      </c>
      <c r="P4140" s="12" t="str">
        <f t="shared" si="145"/>
        <v/>
      </c>
    </row>
    <row r="4141" spans="15:16" x14ac:dyDescent="0.35">
      <c r="O4141" s="12" t="str">
        <f t="shared" si="144"/>
        <v/>
      </c>
      <c r="P4141" s="12" t="str">
        <f t="shared" si="145"/>
        <v/>
      </c>
    </row>
    <row r="4142" spans="15:16" x14ac:dyDescent="0.35">
      <c r="O4142" s="12" t="str">
        <f t="shared" si="144"/>
        <v/>
      </c>
      <c r="P4142" s="12" t="str">
        <f t="shared" si="145"/>
        <v/>
      </c>
    </row>
    <row r="4143" spans="15:16" x14ac:dyDescent="0.35">
      <c r="O4143" s="12" t="str">
        <f t="shared" si="144"/>
        <v/>
      </c>
      <c r="P4143" s="12" t="str">
        <f t="shared" si="145"/>
        <v/>
      </c>
    </row>
    <row r="4144" spans="15:16" x14ac:dyDescent="0.35">
      <c r="O4144" s="12" t="str">
        <f t="shared" si="144"/>
        <v/>
      </c>
      <c r="P4144" s="12" t="str">
        <f t="shared" si="145"/>
        <v/>
      </c>
    </row>
    <row r="4145" spans="15:16" x14ac:dyDescent="0.35">
      <c r="O4145" s="12" t="str">
        <f t="shared" si="144"/>
        <v/>
      </c>
      <c r="P4145" s="12" t="str">
        <f t="shared" si="145"/>
        <v/>
      </c>
    </row>
    <row r="4146" spans="15:16" x14ac:dyDescent="0.35">
      <c r="O4146" s="12" t="str">
        <f t="shared" si="144"/>
        <v/>
      </c>
      <c r="P4146" s="12" t="str">
        <f t="shared" si="145"/>
        <v/>
      </c>
    </row>
    <row r="4147" spans="15:16" x14ac:dyDescent="0.35">
      <c r="O4147" s="12" t="str">
        <f t="shared" si="144"/>
        <v/>
      </c>
      <c r="P4147" s="12" t="str">
        <f t="shared" si="145"/>
        <v/>
      </c>
    </row>
    <row r="4148" spans="15:16" x14ac:dyDescent="0.35">
      <c r="O4148" s="12" t="str">
        <f t="shared" si="144"/>
        <v/>
      </c>
      <c r="P4148" s="12" t="str">
        <f t="shared" si="145"/>
        <v/>
      </c>
    </row>
    <row r="4149" spans="15:16" x14ac:dyDescent="0.35">
      <c r="O4149" s="12" t="str">
        <f t="shared" si="144"/>
        <v/>
      </c>
      <c r="P4149" s="12" t="str">
        <f t="shared" si="145"/>
        <v/>
      </c>
    </row>
    <row r="4150" spans="15:16" x14ac:dyDescent="0.35">
      <c r="O4150" s="12" t="str">
        <f t="shared" si="144"/>
        <v/>
      </c>
      <c r="P4150" s="12" t="str">
        <f t="shared" si="145"/>
        <v/>
      </c>
    </row>
    <row r="4151" spans="15:16" x14ac:dyDescent="0.35">
      <c r="O4151" s="12" t="str">
        <f t="shared" si="144"/>
        <v/>
      </c>
      <c r="P4151" s="12" t="str">
        <f t="shared" si="145"/>
        <v/>
      </c>
    </row>
    <row r="4152" spans="15:16" x14ac:dyDescent="0.35">
      <c r="O4152" s="12" t="str">
        <f t="shared" si="144"/>
        <v/>
      </c>
      <c r="P4152" s="12" t="str">
        <f t="shared" si="145"/>
        <v/>
      </c>
    </row>
    <row r="4153" spans="15:16" x14ac:dyDescent="0.35">
      <c r="O4153" s="12" t="str">
        <f t="shared" si="144"/>
        <v/>
      </c>
      <c r="P4153" s="12" t="str">
        <f t="shared" si="145"/>
        <v/>
      </c>
    </row>
    <row r="4154" spans="15:16" x14ac:dyDescent="0.35">
      <c r="O4154" s="12" t="str">
        <f t="shared" si="144"/>
        <v/>
      </c>
      <c r="P4154" s="12" t="str">
        <f t="shared" si="145"/>
        <v/>
      </c>
    </row>
    <row r="4155" spans="15:16" x14ac:dyDescent="0.35">
      <c r="O4155" s="12" t="str">
        <f t="shared" si="144"/>
        <v/>
      </c>
      <c r="P4155" s="12" t="str">
        <f t="shared" si="145"/>
        <v/>
      </c>
    </row>
    <row r="4156" spans="15:16" x14ac:dyDescent="0.35">
      <c r="O4156" s="12" t="str">
        <f t="shared" si="144"/>
        <v/>
      </c>
      <c r="P4156" s="12" t="str">
        <f t="shared" si="145"/>
        <v/>
      </c>
    </row>
    <row r="4157" spans="15:16" x14ac:dyDescent="0.35">
      <c r="O4157" s="12" t="str">
        <f t="shared" si="144"/>
        <v/>
      </c>
      <c r="P4157" s="12" t="str">
        <f t="shared" si="145"/>
        <v/>
      </c>
    </row>
    <row r="4158" spans="15:16" x14ac:dyDescent="0.35">
      <c r="O4158" s="12" t="str">
        <f t="shared" si="144"/>
        <v/>
      </c>
      <c r="P4158" s="12" t="str">
        <f t="shared" si="145"/>
        <v/>
      </c>
    </row>
    <row r="4159" spans="15:16" x14ac:dyDescent="0.35">
      <c r="O4159" s="12" t="str">
        <f t="shared" si="144"/>
        <v/>
      </c>
      <c r="P4159" s="12" t="str">
        <f t="shared" si="145"/>
        <v/>
      </c>
    </row>
    <row r="4160" spans="15:16" x14ac:dyDescent="0.35">
      <c r="O4160" s="12" t="str">
        <f t="shared" si="144"/>
        <v/>
      </c>
      <c r="P4160" s="12" t="str">
        <f t="shared" si="145"/>
        <v/>
      </c>
    </row>
    <row r="4161" spans="15:16" x14ac:dyDescent="0.35">
      <c r="O4161" s="12" t="str">
        <f t="shared" si="144"/>
        <v/>
      </c>
      <c r="P4161" s="12" t="str">
        <f t="shared" si="145"/>
        <v/>
      </c>
    </row>
    <row r="4162" spans="15:16" x14ac:dyDescent="0.35">
      <c r="O4162" s="12" t="str">
        <f t="shared" si="144"/>
        <v/>
      </c>
      <c r="P4162" s="12" t="str">
        <f t="shared" si="145"/>
        <v/>
      </c>
    </row>
    <row r="4163" spans="15:16" x14ac:dyDescent="0.35">
      <c r="O4163" s="12" t="str">
        <f t="shared" si="144"/>
        <v/>
      </c>
      <c r="P4163" s="12" t="str">
        <f t="shared" si="145"/>
        <v/>
      </c>
    </row>
    <row r="4164" spans="15:16" x14ac:dyDescent="0.35">
      <c r="O4164" s="12" t="str">
        <f t="shared" si="144"/>
        <v/>
      </c>
      <c r="P4164" s="12" t="str">
        <f t="shared" si="145"/>
        <v/>
      </c>
    </row>
    <row r="4165" spans="15:16" x14ac:dyDescent="0.35">
      <c r="O4165" s="12" t="str">
        <f t="shared" si="144"/>
        <v/>
      </c>
      <c r="P4165" s="12" t="str">
        <f t="shared" si="145"/>
        <v/>
      </c>
    </row>
    <row r="4166" spans="15:16" x14ac:dyDescent="0.35">
      <c r="O4166" s="12" t="str">
        <f t="shared" si="144"/>
        <v/>
      </c>
      <c r="P4166" s="12" t="str">
        <f t="shared" si="145"/>
        <v/>
      </c>
    </row>
    <row r="4167" spans="15:16" x14ac:dyDescent="0.35">
      <c r="O4167" s="12" t="str">
        <f t="shared" si="144"/>
        <v/>
      </c>
      <c r="P4167" s="12" t="str">
        <f t="shared" si="145"/>
        <v/>
      </c>
    </row>
    <row r="4168" spans="15:16" x14ac:dyDescent="0.35">
      <c r="O4168" s="12" t="str">
        <f t="shared" si="144"/>
        <v/>
      </c>
      <c r="P4168" s="12" t="str">
        <f t="shared" si="145"/>
        <v/>
      </c>
    </row>
    <row r="4169" spans="15:16" x14ac:dyDescent="0.35">
      <c r="O4169" s="12" t="str">
        <f t="shared" si="144"/>
        <v/>
      </c>
      <c r="P4169" s="12" t="str">
        <f t="shared" si="145"/>
        <v/>
      </c>
    </row>
    <row r="4170" spans="15:16" x14ac:dyDescent="0.35">
      <c r="O4170" s="12" t="str">
        <f t="shared" si="144"/>
        <v/>
      </c>
      <c r="P4170" s="12" t="str">
        <f t="shared" si="145"/>
        <v/>
      </c>
    </row>
    <row r="4171" spans="15:16" x14ac:dyDescent="0.35">
      <c r="O4171" s="12" t="str">
        <f t="shared" si="144"/>
        <v/>
      </c>
      <c r="P4171" s="12" t="str">
        <f t="shared" si="145"/>
        <v/>
      </c>
    </row>
    <row r="4172" spans="15:16" x14ac:dyDescent="0.35">
      <c r="O4172" s="12" t="str">
        <f t="shared" si="144"/>
        <v/>
      </c>
      <c r="P4172" s="12" t="str">
        <f t="shared" si="145"/>
        <v/>
      </c>
    </row>
    <row r="4173" spans="15:16" x14ac:dyDescent="0.35">
      <c r="O4173" s="12" t="str">
        <f t="shared" si="144"/>
        <v/>
      </c>
      <c r="P4173" s="12" t="str">
        <f t="shared" si="145"/>
        <v/>
      </c>
    </row>
    <row r="4174" spans="15:16" x14ac:dyDescent="0.35">
      <c r="O4174" s="12" t="str">
        <f t="shared" si="144"/>
        <v/>
      </c>
      <c r="P4174" s="12" t="str">
        <f t="shared" si="145"/>
        <v/>
      </c>
    </row>
    <row r="4175" spans="15:16" x14ac:dyDescent="0.35">
      <c r="O4175" s="12" t="str">
        <f t="shared" si="144"/>
        <v/>
      </c>
      <c r="P4175" s="12" t="str">
        <f t="shared" si="145"/>
        <v/>
      </c>
    </row>
    <row r="4176" spans="15:16" x14ac:dyDescent="0.35">
      <c r="O4176" s="12" t="str">
        <f t="shared" si="144"/>
        <v/>
      </c>
      <c r="P4176" s="12" t="str">
        <f t="shared" si="145"/>
        <v/>
      </c>
    </row>
    <row r="4177" spans="15:16" x14ac:dyDescent="0.35">
      <c r="O4177" s="12" t="str">
        <f t="shared" si="144"/>
        <v/>
      </c>
      <c r="P4177" s="12" t="str">
        <f t="shared" si="145"/>
        <v/>
      </c>
    </row>
    <row r="4178" spans="15:16" x14ac:dyDescent="0.35">
      <c r="O4178" s="12" t="str">
        <f t="shared" si="144"/>
        <v/>
      </c>
      <c r="P4178" s="12" t="str">
        <f t="shared" si="145"/>
        <v/>
      </c>
    </row>
    <row r="4179" spans="15:16" x14ac:dyDescent="0.35">
      <c r="O4179" s="12" t="str">
        <f t="shared" si="144"/>
        <v/>
      </c>
      <c r="P4179" s="12" t="str">
        <f t="shared" si="145"/>
        <v/>
      </c>
    </row>
    <row r="4180" spans="15:16" x14ac:dyDescent="0.35">
      <c r="O4180" s="12" t="str">
        <f t="shared" si="144"/>
        <v/>
      </c>
      <c r="P4180" s="12" t="str">
        <f t="shared" si="145"/>
        <v/>
      </c>
    </row>
    <row r="4181" spans="15:16" x14ac:dyDescent="0.35">
      <c r="O4181" s="12" t="str">
        <f t="shared" si="144"/>
        <v/>
      </c>
      <c r="P4181" s="12" t="str">
        <f t="shared" si="145"/>
        <v/>
      </c>
    </row>
    <row r="4182" spans="15:16" x14ac:dyDescent="0.35">
      <c r="O4182" s="12" t="str">
        <f t="shared" ref="O4182:O4245" si="146">LEFT(B4182,3)</f>
        <v/>
      </c>
      <c r="P4182" s="12" t="str">
        <f t="shared" ref="P4182:P4245" si="147">LEFT(D4182,5)</f>
        <v/>
      </c>
    </row>
    <row r="4183" spans="15:16" x14ac:dyDescent="0.35">
      <c r="O4183" s="12" t="str">
        <f t="shared" si="146"/>
        <v/>
      </c>
      <c r="P4183" s="12" t="str">
        <f t="shared" si="147"/>
        <v/>
      </c>
    </row>
    <row r="4184" spans="15:16" x14ac:dyDescent="0.35">
      <c r="O4184" s="12" t="str">
        <f t="shared" si="146"/>
        <v/>
      </c>
      <c r="P4184" s="12" t="str">
        <f t="shared" si="147"/>
        <v/>
      </c>
    </row>
    <row r="4185" spans="15:16" x14ac:dyDescent="0.35">
      <c r="O4185" s="12" t="str">
        <f t="shared" si="146"/>
        <v/>
      </c>
      <c r="P4185" s="12" t="str">
        <f t="shared" si="147"/>
        <v/>
      </c>
    </row>
    <row r="4186" spans="15:16" x14ac:dyDescent="0.35">
      <c r="O4186" s="12" t="str">
        <f t="shared" si="146"/>
        <v/>
      </c>
      <c r="P4186" s="12" t="str">
        <f t="shared" si="147"/>
        <v/>
      </c>
    </row>
    <row r="4187" spans="15:16" x14ac:dyDescent="0.35">
      <c r="O4187" s="12" t="str">
        <f t="shared" si="146"/>
        <v/>
      </c>
      <c r="P4187" s="12" t="str">
        <f t="shared" si="147"/>
        <v/>
      </c>
    </row>
    <row r="4188" spans="15:16" x14ac:dyDescent="0.35">
      <c r="O4188" s="12" t="str">
        <f t="shared" si="146"/>
        <v/>
      </c>
      <c r="P4188" s="12" t="str">
        <f t="shared" si="147"/>
        <v/>
      </c>
    </row>
    <row r="4189" spans="15:16" x14ac:dyDescent="0.35">
      <c r="O4189" s="12" t="str">
        <f t="shared" si="146"/>
        <v/>
      </c>
      <c r="P4189" s="12" t="str">
        <f t="shared" si="147"/>
        <v/>
      </c>
    </row>
    <row r="4190" spans="15:16" x14ac:dyDescent="0.35">
      <c r="O4190" s="12" t="str">
        <f t="shared" si="146"/>
        <v/>
      </c>
      <c r="P4190" s="12" t="str">
        <f t="shared" si="147"/>
        <v/>
      </c>
    </row>
    <row r="4191" spans="15:16" x14ac:dyDescent="0.35">
      <c r="O4191" s="12" t="str">
        <f t="shared" si="146"/>
        <v/>
      </c>
      <c r="P4191" s="12" t="str">
        <f t="shared" si="147"/>
        <v/>
      </c>
    </row>
    <row r="4192" spans="15:16" x14ac:dyDescent="0.35">
      <c r="O4192" s="12" t="str">
        <f t="shared" si="146"/>
        <v/>
      </c>
      <c r="P4192" s="12" t="str">
        <f t="shared" si="147"/>
        <v/>
      </c>
    </row>
    <row r="4193" spans="15:16" x14ac:dyDescent="0.35">
      <c r="O4193" s="12" t="str">
        <f t="shared" si="146"/>
        <v/>
      </c>
      <c r="P4193" s="12" t="str">
        <f t="shared" si="147"/>
        <v/>
      </c>
    </row>
    <row r="4194" spans="15:16" x14ac:dyDescent="0.35">
      <c r="O4194" s="12" t="str">
        <f t="shared" si="146"/>
        <v/>
      </c>
      <c r="P4194" s="12" t="str">
        <f t="shared" si="147"/>
        <v/>
      </c>
    </row>
    <row r="4195" spans="15:16" x14ac:dyDescent="0.35">
      <c r="O4195" s="12" t="str">
        <f t="shared" si="146"/>
        <v/>
      </c>
      <c r="P4195" s="12" t="str">
        <f t="shared" si="147"/>
        <v/>
      </c>
    </row>
    <row r="4196" spans="15:16" x14ac:dyDescent="0.35">
      <c r="O4196" s="12" t="str">
        <f t="shared" si="146"/>
        <v/>
      </c>
      <c r="P4196" s="12" t="str">
        <f t="shared" si="147"/>
        <v/>
      </c>
    </row>
    <row r="4197" spans="15:16" x14ac:dyDescent="0.35">
      <c r="O4197" s="12" t="str">
        <f t="shared" si="146"/>
        <v/>
      </c>
      <c r="P4197" s="12" t="str">
        <f t="shared" si="147"/>
        <v/>
      </c>
    </row>
    <row r="4198" spans="15:16" x14ac:dyDescent="0.35">
      <c r="O4198" s="12" t="str">
        <f t="shared" si="146"/>
        <v/>
      </c>
      <c r="P4198" s="12" t="str">
        <f t="shared" si="147"/>
        <v/>
      </c>
    </row>
    <row r="4199" spans="15:16" x14ac:dyDescent="0.35">
      <c r="O4199" s="12" t="str">
        <f t="shared" si="146"/>
        <v/>
      </c>
      <c r="P4199" s="12" t="str">
        <f t="shared" si="147"/>
        <v/>
      </c>
    </row>
    <row r="4200" spans="15:16" x14ac:dyDescent="0.35">
      <c r="O4200" s="12" t="str">
        <f t="shared" si="146"/>
        <v/>
      </c>
      <c r="P4200" s="12" t="str">
        <f t="shared" si="147"/>
        <v/>
      </c>
    </row>
    <row r="4201" spans="15:16" x14ac:dyDescent="0.35">
      <c r="O4201" s="12" t="str">
        <f t="shared" si="146"/>
        <v/>
      </c>
      <c r="P4201" s="12" t="str">
        <f t="shared" si="147"/>
        <v/>
      </c>
    </row>
    <row r="4202" spans="15:16" x14ac:dyDescent="0.35">
      <c r="O4202" s="12" t="str">
        <f t="shared" si="146"/>
        <v/>
      </c>
      <c r="P4202" s="12" t="str">
        <f t="shared" si="147"/>
        <v/>
      </c>
    </row>
    <row r="4203" spans="15:16" x14ac:dyDescent="0.35">
      <c r="O4203" s="12" t="str">
        <f t="shared" si="146"/>
        <v/>
      </c>
      <c r="P4203" s="12" t="str">
        <f t="shared" si="147"/>
        <v/>
      </c>
    </row>
    <row r="4204" spans="15:16" x14ac:dyDescent="0.35">
      <c r="O4204" s="12" t="str">
        <f t="shared" si="146"/>
        <v/>
      </c>
      <c r="P4204" s="12" t="str">
        <f t="shared" si="147"/>
        <v/>
      </c>
    </row>
    <row r="4205" spans="15:16" x14ac:dyDescent="0.35">
      <c r="O4205" s="12" t="str">
        <f t="shared" si="146"/>
        <v/>
      </c>
      <c r="P4205" s="12" t="str">
        <f t="shared" si="147"/>
        <v/>
      </c>
    </row>
    <row r="4206" spans="15:16" x14ac:dyDescent="0.35">
      <c r="O4206" s="12" t="str">
        <f t="shared" si="146"/>
        <v/>
      </c>
      <c r="P4206" s="12" t="str">
        <f t="shared" si="147"/>
        <v/>
      </c>
    </row>
    <row r="4207" spans="15:16" x14ac:dyDescent="0.35">
      <c r="O4207" s="12" t="str">
        <f t="shared" si="146"/>
        <v/>
      </c>
      <c r="P4207" s="12" t="str">
        <f t="shared" si="147"/>
        <v/>
      </c>
    </row>
    <row r="4208" spans="15:16" x14ac:dyDescent="0.35">
      <c r="O4208" s="12" t="str">
        <f t="shared" si="146"/>
        <v/>
      </c>
      <c r="P4208" s="12" t="str">
        <f t="shared" si="147"/>
        <v/>
      </c>
    </row>
    <row r="4209" spans="15:16" x14ac:dyDescent="0.35">
      <c r="O4209" s="12" t="str">
        <f t="shared" si="146"/>
        <v/>
      </c>
      <c r="P4209" s="12" t="str">
        <f t="shared" si="147"/>
        <v/>
      </c>
    </row>
    <row r="4210" spans="15:16" x14ac:dyDescent="0.35">
      <c r="O4210" s="12" t="str">
        <f t="shared" si="146"/>
        <v/>
      </c>
      <c r="P4210" s="12" t="str">
        <f t="shared" si="147"/>
        <v/>
      </c>
    </row>
    <row r="4211" spans="15:16" x14ac:dyDescent="0.35">
      <c r="O4211" s="12" t="str">
        <f t="shared" si="146"/>
        <v/>
      </c>
      <c r="P4211" s="12" t="str">
        <f t="shared" si="147"/>
        <v/>
      </c>
    </row>
    <row r="4212" spans="15:16" x14ac:dyDescent="0.35">
      <c r="O4212" s="12" t="str">
        <f t="shared" si="146"/>
        <v/>
      </c>
      <c r="P4212" s="12" t="str">
        <f t="shared" si="147"/>
        <v/>
      </c>
    </row>
    <row r="4213" spans="15:16" x14ac:dyDescent="0.35">
      <c r="O4213" s="12" t="str">
        <f t="shared" si="146"/>
        <v/>
      </c>
      <c r="P4213" s="12" t="str">
        <f t="shared" si="147"/>
        <v/>
      </c>
    </row>
    <row r="4214" spans="15:16" x14ac:dyDescent="0.35">
      <c r="O4214" s="12" t="str">
        <f t="shared" si="146"/>
        <v/>
      </c>
      <c r="P4214" s="12" t="str">
        <f t="shared" si="147"/>
        <v/>
      </c>
    </row>
    <row r="4215" spans="15:16" x14ac:dyDescent="0.35">
      <c r="O4215" s="12" t="str">
        <f t="shared" si="146"/>
        <v/>
      </c>
      <c r="P4215" s="12" t="str">
        <f t="shared" si="147"/>
        <v/>
      </c>
    </row>
    <row r="4216" spans="15:16" x14ac:dyDescent="0.35">
      <c r="O4216" s="12" t="str">
        <f t="shared" si="146"/>
        <v/>
      </c>
      <c r="P4216" s="12" t="str">
        <f t="shared" si="147"/>
        <v/>
      </c>
    </row>
    <row r="4217" spans="15:16" x14ac:dyDescent="0.35">
      <c r="O4217" s="12" t="str">
        <f t="shared" si="146"/>
        <v/>
      </c>
      <c r="P4217" s="12" t="str">
        <f t="shared" si="147"/>
        <v/>
      </c>
    </row>
    <row r="4218" spans="15:16" x14ac:dyDescent="0.35">
      <c r="O4218" s="12" t="str">
        <f t="shared" si="146"/>
        <v/>
      </c>
      <c r="P4218" s="12" t="str">
        <f t="shared" si="147"/>
        <v/>
      </c>
    </row>
    <row r="4219" spans="15:16" x14ac:dyDescent="0.35">
      <c r="O4219" s="12" t="str">
        <f t="shared" si="146"/>
        <v/>
      </c>
      <c r="P4219" s="12" t="str">
        <f t="shared" si="147"/>
        <v/>
      </c>
    </row>
    <row r="4220" spans="15:16" x14ac:dyDescent="0.35">
      <c r="O4220" s="12" t="str">
        <f t="shared" si="146"/>
        <v/>
      </c>
      <c r="P4220" s="12" t="str">
        <f t="shared" si="147"/>
        <v/>
      </c>
    </row>
    <row r="4221" spans="15:16" x14ac:dyDescent="0.35">
      <c r="O4221" s="12" t="str">
        <f t="shared" si="146"/>
        <v/>
      </c>
      <c r="P4221" s="12" t="str">
        <f t="shared" si="147"/>
        <v/>
      </c>
    </row>
    <row r="4222" spans="15:16" x14ac:dyDescent="0.35">
      <c r="O4222" s="12" t="str">
        <f t="shared" si="146"/>
        <v/>
      </c>
      <c r="P4222" s="12" t="str">
        <f t="shared" si="147"/>
        <v/>
      </c>
    </row>
    <row r="4223" spans="15:16" x14ac:dyDescent="0.35">
      <c r="O4223" s="12" t="str">
        <f t="shared" si="146"/>
        <v/>
      </c>
      <c r="P4223" s="12" t="str">
        <f t="shared" si="147"/>
        <v/>
      </c>
    </row>
    <row r="4224" spans="15:16" x14ac:dyDescent="0.35">
      <c r="O4224" s="12" t="str">
        <f t="shared" si="146"/>
        <v/>
      </c>
      <c r="P4224" s="12" t="str">
        <f t="shared" si="147"/>
        <v/>
      </c>
    </row>
    <row r="4225" spans="15:16" x14ac:dyDescent="0.35">
      <c r="O4225" s="12" t="str">
        <f t="shared" si="146"/>
        <v/>
      </c>
      <c r="P4225" s="12" t="str">
        <f t="shared" si="147"/>
        <v/>
      </c>
    </row>
    <row r="4226" spans="15:16" x14ac:dyDescent="0.35">
      <c r="O4226" s="12" t="str">
        <f t="shared" si="146"/>
        <v/>
      </c>
      <c r="P4226" s="12" t="str">
        <f t="shared" si="147"/>
        <v/>
      </c>
    </row>
    <row r="4227" spans="15:16" x14ac:dyDescent="0.35">
      <c r="O4227" s="12" t="str">
        <f t="shared" si="146"/>
        <v/>
      </c>
      <c r="P4227" s="12" t="str">
        <f t="shared" si="147"/>
        <v/>
      </c>
    </row>
    <row r="4228" spans="15:16" x14ac:dyDescent="0.35">
      <c r="O4228" s="12" t="str">
        <f t="shared" si="146"/>
        <v/>
      </c>
      <c r="P4228" s="12" t="str">
        <f t="shared" si="147"/>
        <v/>
      </c>
    </row>
    <row r="4229" spans="15:16" x14ac:dyDescent="0.35">
      <c r="O4229" s="12" t="str">
        <f t="shared" si="146"/>
        <v/>
      </c>
      <c r="P4229" s="12" t="str">
        <f t="shared" si="147"/>
        <v/>
      </c>
    </row>
    <row r="4230" spans="15:16" x14ac:dyDescent="0.35">
      <c r="O4230" s="12" t="str">
        <f t="shared" si="146"/>
        <v/>
      </c>
      <c r="P4230" s="12" t="str">
        <f t="shared" si="147"/>
        <v/>
      </c>
    </row>
    <row r="4231" spans="15:16" x14ac:dyDescent="0.35">
      <c r="O4231" s="12" t="str">
        <f t="shared" si="146"/>
        <v/>
      </c>
      <c r="P4231" s="12" t="str">
        <f t="shared" si="147"/>
        <v/>
      </c>
    </row>
    <row r="4232" spans="15:16" x14ac:dyDescent="0.35">
      <c r="O4232" s="12" t="str">
        <f t="shared" si="146"/>
        <v/>
      </c>
      <c r="P4232" s="12" t="str">
        <f t="shared" si="147"/>
        <v/>
      </c>
    </row>
    <row r="4233" spans="15:16" x14ac:dyDescent="0.35">
      <c r="O4233" s="12" t="str">
        <f t="shared" si="146"/>
        <v/>
      </c>
      <c r="P4233" s="12" t="str">
        <f t="shared" si="147"/>
        <v/>
      </c>
    </row>
    <row r="4234" spans="15:16" x14ac:dyDescent="0.35">
      <c r="O4234" s="12" t="str">
        <f t="shared" si="146"/>
        <v/>
      </c>
      <c r="P4234" s="12" t="str">
        <f t="shared" si="147"/>
        <v/>
      </c>
    </row>
    <row r="4235" spans="15:16" x14ac:dyDescent="0.35">
      <c r="O4235" s="12" t="str">
        <f t="shared" si="146"/>
        <v/>
      </c>
      <c r="P4235" s="12" t="str">
        <f t="shared" si="147"/>
        <v/>
      </c>
    </row>
    <row r="4236" spans="15:16" x14ac:dyDescent="0.35">
      <c r="O4236" s="12" t="str">
        <f t="shared" si="146"/>
        <v/>
      </c>
      <c r="P4236" s="12" t="str">
        <f t="shared" si="147"/>
        <v/>
      </c>
    </row>
    <row r="4237" spans="15:16" x14ac:dyDescent="0.35">
      <c r="O4237" s="12" t="str">
        <f t="shared" si="146"/>
        <v/>
      </c>
      <c r="P4237" s="12" t="str">
        <f t="shared" si="147"/>
        <v/>
      </c>
    </row>
    <row r="4238" spans="15:16" x14ac:dyDescent="0.35">
      <c r="O4238" s="12" t="str">
        <f t="shared" si="146"/>
        <v/>
      </c>
      <c r="P4238" s="12" t="str">
        <f t="shared" si="147"/>
        <v/>
      </c>
    </row>
    <row r="4239" spans="15:16" x14ac:dyDescent="0.35">
      <c r="O4239" s="12" t="str">
        <f t="shared" si="146"/>
        <v/>
      </c>
      <c r="P4239" s="12" t="str">
        <f t="shared" si="147"/>
        <v/>
      </c>
    </row>
    <row r="4240" spans="15:16" x14ac:dyDescent="0.35">
      <c r="O4240" s="12" t="str">
        <f t="shared" si="146"/>
        <v/>
      </c>
      <c r="P4240" s="12" t="str">
        <f t="shared" si="147"/>
        <v/>
      </c>
    </row>
    <row r="4241" spans="15:16" x14ac:dyDescent="0.35">
      <c r="O4241" s="12" t="str">
        <f t="shared" si="146"/>
        <v/>
      </c>
      <c r="P4241" s="12" t="str">
        <f t="shared" si="147"/>
        <v/>
      </c>
    </row>
    <row r="4242" spans="15:16" x14ac:dyDescent="0.35">
      <c r="O4242" s="12" t="str">
        <f t="shared" si="146"/>
        <v/>
      </c>
      <c r="P4242" s="12" t="str">
        <f t="shared" si="147"/>
        <v/>
      </c>
    </row>
    <row r="4243" spans="15:16" x14ac:dyDescent="0.35">
      <c r="O4243" s="12" t="str">
        <f t="shared" si="146"/>
        <v/>
      </c>
      <c r="P4243" s="12" t="str">
        <f t="shared" si="147"/>
        <v/>
      </c>
    </row>
    <row r="4244" spans="15:16" x14ac:dyDescent="0.35">
      <c r="O4244" s="12" t="str">
        <f t="shared" si="146"/>
        <v/>
      </c>
      <c r="P4244" s="12" t="str">
        <f t="shared" si="147"/>
        <v/>
      </c>
    </row>
    <row r="4245" spans="15:16" x14ac:dyDescent="0.35">
      <c r="O4245" s="12" t="str">
        <f t="shared" si="146"/>
        <v/>
      </c>
      <c r="P4245" s="12" t="str">
        <f t="shared" si="147"/>
        <v/>
      </c>
    </row>
    <row r="4246" spans="15:16" x14ac:dyDescent="0.35">
      <c r="O4246" s="12" t="str">
        <f t="shared" ref="O4246:O4309" si="148">LEFT(B4246,3)</f>
        <v/>
      </c>
      <c r="P4246" s="12" t="str">
        <f t="shared" ref="P4246:P4309" si="149">LEFT(D4246,5)</f>
        <v/>
      </c>
    </row>
    <row r="4247" spans="15:16" x14ac:dyDescent="0.35">
      <c r="O4247" s="12" t="str">
        <f t="shared" si="148"/>
        <v/>
      </c>
      <c r="P4247" s="12" t="str">
        <f t="shared" si="149"/>
        <v/>
      </c>
    </row>
    <row r="4248" spans="15:16" x14ac:dyDescent="0.35">
      <c r="O4248" s="12" t="str">
        <f t="shared" si="148"/>
        <v/>
      </c>
      <c r="P4248" s="12" t="str">
        <f t="shared" si="149"/>
        <v/>
      </c>
    </row>
    <row r="4249" spans="15:16" x14ac:dyDescent="0.35">
      <c r="O4249" s="12" t="str">
        <f t="shared" si="148"/>
        <v/>
      </c>
      <c r="P4249" s="12" t="str">
        <f t="shared" si="149"/>
        <v/>
      </c>
    </row>
    <row r="4250" spans="15:16" x14ac:dyDescent="0.35">
      <c r="O4250" s="12" t="str">
        <f t="shared" si="148"/>
        <v/>
      </c>
      <c r="P4250" s="12" t="str">
        <f t="shared" si="149"/>
        <v/>
      </c>
    </row>
    <row r="4251" spans="15:16" x14ac:dyDescent="0.35">
      <c r="O4251" s="12" t="str">
        <f t="shared" si="148"/>
        <v/>
      </c>
      <c r="P4251" s="12" t="str">
        <f t="shared" si="149"/>
        <v/>
      </c>
    </row>
    <row r="4252" spans="15:16" x14ac:dyDescent="0.35">
      <c r="O4252" s="12" t="str">
        <f t="shared" si="148"/>
        <v/>
      </c>
      <c r="P4252" s="12" t="str">
        <f t="shared" si="149"/>
        <v/>
      </c>
    </row>
    <row r="4253" spans="15:16" x14ac:dyDescent="0.35">
      <c r="O4253" s="12" t="str">
        <f t="shared" si="148"/>
        <v/>
      </c>
      <c r="P4253" s="12" t="str">
        <f t="shared" si="149"/>
        <v/>
      </c>
    </row>
    <row r="4254" spans="15:16" x14ac:dyDescent="0.35">
      <c r="O4254" s="12" t="str">
        <f t="shared" si="148"/>
        <v/>
      </c>
      <c r="P4254" s="12" t="str">
        <f t="shared" si="149"/>
        <v/>
      </c>
    </row>
    <row r="4255" spans="15:16" x14ac:dyDescent="0.35">
      <c r="O4255" s="12" t="str">
        <f t="shared" si="148"/>
        <v/>
      </c>
      <c r="P4255" s="12" t="str">
        <f t="shared" si="149"/>
        <v/>
      </c>
    </row>
    <row r="4256" spans="15:16" x14ac:dyDescent="0.35">
      <c r="O4256" s="12" t="str">
        <f t="shared" si="148"/>
        <v/>
      </c>
      <c r="P4256" s="12" t="str">
        <f t="shared" si="149"/>
        <v/>
      </c>
    </row>
    <row r="4257" spans="15:16" x14ac:dyDescent="0.35">
      <c r="O4257" s="12" t="str">
        <f t="shared" si="148"/>
        <v/>
      </c>
      <c r="P4257" s="12" t="str">
        <f t="shared" si="149"/>
        <v/>
      </c>
    </row>
    <row r="4258" spans="15:16" x14ac:dyDescent="0.35">
      <c r="O4258" s="12" t="str">
        <f t="shared" si="148"/>
        <v/>
      </c>
      <c r="P4258" s="12" t="str">
        <f t="shared" si="149"/>
        <v/>
      </c>
    </row>
    <row r="4259" spans="15:16" x14ac:dyDescent="0.35">
      <c r="O4259" s="12" t="str">
        <f t="shared" si="148"/>
        <v/>
      </c>
      <c r="P4259" s="12" t="str">
        <f t="shared" si="149"/>
        <v/>
      </c>
    </row>
    <row r="4260" spans="15:16" x14ac:dyDescent="0.35">
      <c r="O4260" s="12" t="str">
        <f t="shared" si="148"/>
        <v/>
      </c>
      <c r="P4260" s="12" t="str">
        <f t="shared" si="149"/>
        <v/>
      </c>
    </row>
    <row r="4261" spans="15:16" x14ac:dyDescent="0.35">
      <c r="O4261" s="12" t="str">
        <f t="shared" si="148"/>
        <v/>
      </c>
      <c r="P4261" s="12" t="str">
        <f t="shared" si="149"/>
        <v/>
      </c>
    </row>
    <row r="4262" spans="15:16" x14ac:dyDescent="0.35">
      <c r="O4262" s="12" t="str">
        <f t="shared" si="148"/>
        <v/>
      </c>
      <c r="P4262" s="12" t="str">
        <f t="shared" si="149"/>
        <v/>
      </c>
    </row>
    <row r="4263" spans="15:16" x14ac:dyDescent="0.35">
      <c r="O4263" s="12" t="str">
        <f t="shared" si="148"/>
        <v/>
      </c>
      <c r="P4263" s="12" t="str">
        <f t="shared" si="149"/>
        <v/>
      </c>
    </row>
    <row r="4264" spans="15:16" x14ac:dyDescent="0.35">
      <c r="O4264" s="12" t="str">
        <f t="shared" si="148"/>
        <v/>
      </c>
      <c r="P4264" s="12" t="str">
        <f t="shared" si="149"/>
        <v/>
      </c>
    </row>
    <row r="4265" spans="15:16" x14ac:dyDescent="0.35">
      <c r="O4265" s="12" t="str">
        <f t="shared" si="148"/>
        <v/>
      </c>
      <c r="P4265" s="12" t="str">
        <f t="shared" si="149"/>
        <v/>
      </c>
    </row>
    <row r="4266" spans="15:16" x14ac:dyDescent="0.35">
      <c r="O4266" s="12" t="str">
        <f t="shared" si="148"/>
        <v/>
      </c>
      <c r="P4266" s="12" t="str">
        <f t="shared" si="149"/>
        <v/>
      </c>
    </row>
    <row r="4267" spans="15:16" x14ac:dyDescent="0.35">
      <c r="O4267" s="12" t="str">
        <f t="shared" si="148"/>
        <v/>
      </c>
      <c r="P4267" s="12" t="str">
        <f t="shared" si="149"/>
        <v/>
      </c>
    </row>
    <row r="4268" spans="15:16" x14ac:dyDescent="0.35">
      <c r="O4268" s="12" t="str">
        <f t="shared" si="148"/>
        <v/>
      </c>
      <c r="P4268" s="12" t="str">
        <f t="shared" si="149"/>
        <v/>
      </c>
    </row>
    <row r="4269" spans="15:16" x14ac:dyDescent="0.35">
      <c r="O4269" s="12" t="str">
        <f t="shared" si="148"/>
        <v/>
      </c>
      <c r="P4269" s="12" t="str">
        <f t="shared" si="149"/>
        <v/>
      </c>
    </row>
    <row r="4270" spans="15:16" x14ac:dyDescent="0.35">
      <c r="O4270" s="12" t="str">
        <f t="shared" si="148"/>
        <v/>
      </c>
      <c r="P4270" s="12" t="str">
        <f t="shared" si="149"/>
        <v/>
      </c>
    </row>
    <row r="4271" spans="15:16" x14ac:dyDescent="0.35">
      <c r="O4271" s="12" t="str">
        <f t="shared" si="148"/>
        <v/>
      </c>
      <c r="P4271" s="12" t="str">
        <f t="shared" si="149"/>
        <v/>
      </c>
    </row>
    <row r="4272" spans="15:16" x14ac:dyDescent="0.35">
      <c r="O4272" s="12" t="str">
        <f t="shared" si="148"/>
        <v/>
      </c>
      <c r="P4272" s="12" t="str">
        <f t="shared" si="149"/>
        <v/>
      </c>
    </row>
    <row r="4273" spans="15:16" x14ac:dyDescent="0.35">
      <c r="O4273" s="12" t="str">
        <f t="shared" si="148"/>
        <v/>
      </c>
      <c r="P4273" s="12" t="str">
        <f t="shared" si="149"/>
        <v/>
      </c>
    </row>
    <row r="4274" spans="15:16" x14ac:dyDescent="0.35">
      <c r="O4274" s="12" t="str">
        <f t="shared" si="148"/>
        <v/>
      </c>
      <c r="P4274" s="12" t="str">
        <f t="shared" si="149"/>
        <v/>
      </c>
    </row>
    <row r="4275" spans="15:16" x14ac:dyDescent="0.35">
      <c r="O4275" s="12" t="str">
        <f t="shared" si="148"/>
        <v/>
      </c>
      <c r="P4275" s="12" t="str">
        <f t="shared" si="149"/>
        <v/>
      </c>
    </row>
    <row r="4276" spans="15:16" x14ac:dyDescent="0.35">
      <c r="O4276" s="12" t="str">
        <f t="shared" si="148"/>
        <v/>
      </c>
      <c r="P4276" s="12" t="str">
        <f t="shared" si="149"/>
        <v/>
      </c>
    </row>
    <row r="4277" spans="15:16" x14ac:dyDescent="0.35">
      <c r="O4277" s="12" t="str">
        <f t="shared" si="148"/>
        <v/>
      </c>
      <c r="P4277" s="12" t="str">
        <f t="shared" si="149"/>
        <v/>
      </c>
    </row>
    <row r="4278" spans="15:16" x14ac:dyDescent="0.35">
      <c r="O4278" s="12" t="str">
        <f t="shared" si="148"/>
        <v/>
      </c>
      <c r="P4278" s="12" t="str">
        <f t="shared" si="149"/>
        <v/>
      </c>
    </row>
    <row r="4279" spans="15:16" x14ac:dyDescent="0.35">
      <c r="O4279" s="12" t="str">
        <f t="shared" si="148"/>
        <v/>
      </c>
      <c r="P4279" s="12" t="str">
        <f t="shared" si="149"/>
        <v/>
      </c>
    </row>
    <row r="4280" spans="15:16" x14ac:dyDescent="0.35">
      <c r="O4280" s="12" t="str">
        <f t="shared" si="148"/>
        <v/>
      </c>
      <c r="P4280" s="12" t="str">
        <f t="shared" si="149"/>
        <v/>
      </c>
    </row>
    <row r="4281" spans="15:16" x14ac:dyDescent="0.35">
      <c r="O4281" s="12" t="str">
        <f t="shared" si="148"/>
        <v/>
      </c>
      <c r="P4281" s="12" t="str">
        <f t="shared" si="149"/>
        <v/>
      </c>
    </row>
    <row r="4282" spans="15:16" x14ac:dyDescent="0.35">
      <c r="O4282" s="12" t="str">
        <f t="shared" si="148"/>
        <v/>
      </c>
      <c r="P4282" s="12" t="str">
        <f t="shared" si="149"/>
        <v/>
      </c>
    </row>
    <row r="4283" spans="15:16" x14ac:dyDescent="0.35">
      <c r="O4283" s="12" t="str">
        <f t="shared" si="148"/>
        <v/>
      </c>
      <c r="P4283" s="12" t="str">
        <f t="shared" si="149"/>
        <v/>
      </c>
    </row>
    <row r="4284" spans="15:16" x14ac:dyDescent="0.35">
      <c r="O4284" s="12" t="str">
        <f t="shared" si="148"/>
        <v/>
      </c>
      <c r="P4284" s="12" t="str">
        <f t="shared" si="149"/>
        <v/>
      </c>
    </row>
    <row r="4285" spans="15:16" x14ac:dyDescent="0.35">
      <c r="O4285" s="12" t="str">
        <f t="shared" si="148"/>
        <v/>
      </c>
      <c r="P4285" s="12" t="str">
        <f t="shared" si="149"/>
        <v/>
      </c>
    </row>
    <row r="4286" spans="15:16" x14ac:dyDescent="0.35">
      <c r="O4286" s="12" t="str">
        <f t="shared" si="148"/>
        <v/>
      </c>
      <c r="P4286" s="12" t="str">
        <f t="shared" si="149"/>
        <v/>
      </c>
    </row>
    <row r="4287" spans="15:16" x14ac:dyDescent="0.35">
      <c r="O4287" s="12" t="str">
        <f t="shared" si="148"/>
        <v/>
      </c>
      <c r="P4287" s="12" t="str">
        <f t="shared" si="149"/>
        <v/>
      </c>
    </row>
    <row r="4288" spans="15:16" x14ac:dyDescent="0.35">
      <c r="O4288" s="12" t="str">
        <f t="shared" si="148"/>
        <v/>
      </c>
      <c r="P4288" s="12" t="str">
        <f t="shared" si="149"/>
        <v/>
      </c>
    </row>
    <row r="4289" spans="15:16" x14ac:dyDescent="0.35">
      <c r="O4289" s="12" t="str">
        <f t="shared" si="148"/>
        <v/>
      </c>
      <c r="P4289" s="12" t="str">
        <f t="shared" si="149"/>
        <v/>
      </c>
    </row>
    <row r="4290" spans="15:16" x14ac:dyDescent="0.35">
      <c r="O4290" s="12" t="str">
        <f t="shared" si="148"/>
        <v/>
      </c>
      <c r="P4290" s="12" t="str">
        <f t="shared" si="149"/>
        <v/>
      </c>
    </row>
    <row r="4291" spans="15:16" x14ac:dyDescent="0.35">
      <c r="O4291" s="12" t="str">
        <f t="shared" si="148"/>
        <v/>
      </c>
      <c r="P4291" s="12" t="str">
        <f t="shared" si="149"/>
        <v/>
      </c>
    </row>
    <row r="4292" spans="15:16" x14ac:dyDescent="0.35">
      <c r="O4292" s="12" t="str">
        <f t="shared" si="148"/>
        <v/>
      </c>
      <c r="P4292" s="12" t="str">
        <f t="shared" si="149"/>
        <v/>
      </c>
    </row>
    <row r="4293" spans="15:16" x14ac:dyDescent="0.35">
      <c r="O4293" s="12" t="str">
        <f t="shared" si="148"/>
        <v/>
      </c>
      <c r="P4293" s="12" t="str">
        <f t="shared" si="149"/>
        <v/>
      </c>
    </row>
    <row r="4294" spans="15:16" x14ac:dyDescent="0.35">
      <c r="O4294" s="12" t="str">
        <f t="shared" si="148"/>
        <v/>
      </c>
      <c r="P4294" s="12" t="str">
        <f t="shared" si="149"/>
        <v/>
      </c>
    </row>
    <row r="4295" spans="15:16" x14ac:dyDescent="0.35">
      <c r="O4295" s="12" t="str">
        <f t="shared" si="148"/>
        <v/>
      </c>
      <c r="P4295" s="12" t="str">
        <f t="shared" si="149"/>
        <v/>
      </c>
    </row>
    <row r="4296" spans="15:16" x14ac:dyDescent="0.35">
      <c r="O4296" s="12" t="str">
        <f t="shared" si="148"/>
        <v/>
      </c>
      <c r="P4296" s="12" t="str">
        <f t="shared" si="149"/>
        <v/>
      </c>
    </row>
    <row r="4297" spans="15:16" x14ac:dyDescent="0.35">
      <c r="O4297" s="12" t="str">
        <f t="shared" si="148"/>
        <v/>
      </c>
      <c r="P4297" s="12" t="str">
        <f t="shared" si="149"/>
        <v/>
      </c>
    </row>
    <row r="4298" spans="15:16" x14ac:dyDescent="0.35">
      <c r="O4298" s="12" t="str">
        <f t="shared" si="148"/>
        <v/>
      </c>
      <c r="P4298" s="12" t="str">
        <f t="shared" si="149"/>
        <v/>
      </c>
    </row>
    <row r="4299" spans="15:16" x14ac:dyDescent="0.35">
      <c r="O4299" s="12" t="str">
        <f t="shared" si="148"/>
        <v/>
      </c>
      <c r="P4299" s="12" t="str">
        <f t="shared" si="149"/>
        <v/>
      </c>
    </row>
    <row r="4300" spans="15:16" x14ac:dyDescent="0.35">
      <c r="O4300" s="12" t="str">
        <f t="shared" si="148"/>
        <v/>
      </c>
      <c r="P4300" s="12" t="str">
        <f t="shared" si="149"/>
        <v/>
      </c>
    </row>
    <row r="4301" spans="15:16" x14ac:dyDescent="0.35">
      <c r="O4301" s="12" t="str">
        <f t="shared" si="148"/>
        <v/>
      </c>
      <c r="P4301" s="12" t="str">
        <f t="shared" si="149"/>
        <v/>
      </c>
    </row>
    <row r="4302" spans="15:16" x14ac:dyDescent="0.35">
      <c r="O4302" s="12" t="str">
        <f t="shared" si="148"/>
        <v/>
      </c>
      <c r="P4302" s="12" t="str">
        <f t="shared" si="149"/>
        <v/>
      </c>
    </row>
    <row r="4303" spans="15:16" x14ac:dyDescent="0.35">
      <c r="O4303" s="12" t="str">
        <f t="shared" si="148"/>
        <v/>
      </c>
      <c r="P4303" s="12" t="str">
        <f t="shared" si="149"/>
        <v/>
      </c>
    </row>
    <row r="4304" spans="15:16" x14ac:dyDescent="0.35">
      <c r="O4304" s="12" t="str">
        <f t="shared" si="148"/>
        <v/>
      </c>
      <c r="P4304" s="12" t="str">
        <f t="shared" si="149"/>
        <v/>
      </c>
    </row>
    <row r="4305" spans="15:16" x14ac:dyDescent="0.35">
      <c r="O4305" s="12" t="str">
        <f t="shared" si="148"/>
        <v/>
      </c>
      <c r="P4305" s="12" t="str">
        <f t="shared" si="149"/>
        <v/>
      </c>
    </row>
    <row r="4306" spans="15:16" x14ac:dyDescent="0.35">
      <c r="O4306" s="12" t="str">
        <f t="shared" si="148"/>
        <v/>
      </c>
      <c r="P4306" s="12" t="str">
        <f t="shared" si="149"/>
        <v/>
      </c>
    </row>
    <row r="4307" spans="15:16" x14ac:dyDescent="0.35">
      <c r="O4307" s="12" t="str">
        <f t="shared" si="148"/>
        <v/>
      </c>
      <c r="P4307" s="12" t="str">
        <f t="shared" si="149"/>
        <v/>
      </c>
    </row>
    <row r="4308" spans="15:16" x14ac:dyDescent="0.35">
      <c r="O4308" s="12" t="str">
        <f t="shared" si="148"/>
        <v/>
      </c>
      <c r="P4308" s="12" t="str">
        <f t="shared" si="149"/>
        <v/>
      </c>
    </row>
    <row r="4309" spans="15:16" x14ac:dyDescent="0.35">
      <c r="O4309" s="12" t="str">
        <f t="shared" si="148"/>
        <v/>
      </c>
      <c r="P4309" s="12" t="str">
        <f t="shared" si="149"/>
        <v/>
      </c>
    </row>
    <row r="4310" spans="15:16" x14ac:dyDescent="0.35">
      <c r="O4310" s="12" t="str">
        <f t="shared" ref="O4310:O4373" si="150">LEFT(B4310,3)</f>
        <v/>
      </c>
      <c r="P4310" s="12" t="str">
        <f t="shared" ref="P4310:P4373" si="151">LEFT(D4310,5)</f>
        <v/>
      </c>
    </row>
    <row r="4311" spans="15:16" x14ac:dyDescent="0.35">
      <c r="O4311" s="12" t="str">
        <f t="shared" si="150"/>
        <v/>
      </c>
      <c r="P4311" s="12" t="str">
        <f t="shared" si="151"/>
        <v/>
      </c>
    </row>
    <row r="4312" spans="15:16" x14ac:dyDescent="0.35">
      <c r="O4312" s="12" t="str">
        <f t="shared" si="150"/>
        <v/>
      </c>
      <c r="P4312" s="12" t="str">
        <f t="shared" si="151"/>
        <v/>
      </c>
    </row>
    <row r="4313" spans="15:16" x14ac:dyDescent="0.35">
      <c r="O4313" s="12" t="str">
        <f t="shared" si="150"/>
        <v/>
      </c>
      <c r="P4313" s="12" t="str">
        <f t="shared" si="151"/>
        <v/>
      </c>
    </row>
    <row r="4314" spans="15:16" x14ac:dyDescent="0.35">
      <c r="O4314" s="12" t="str">
        <f t="shared" si="150"/>
        <v/>
      </c>
      <c r="P4314" s="12" t="str">
        <f t="shared" si="151"/>
        <v/>
      </c>
    </row>
    <row r="4315" spans="15:16" x14ac:dyDescent="0.35">
      <c r="O4315" s="12" t="str">
        <f t="shared" si="150"/>
        <v/>
      </c>
      <c r="P4315" s="12" t="str">
        <f t="shared" si="151"/>
        <v/>
      </c>
    </row>
    <row r="4316" spans="15:16" x14ac:dyDescent="0.35">
      <c r="O4316" s="12" t="str">
        <f t="shared" si="150"/>
        <v/>
      </c>
      <c r="P4316" s="12" t="str">
        <f t="shared" si="151"/>
        <v/>
      </c>
    </row>
    <row r="4317" spans="15:16" x14ac:dyDescent="0.35">
      <c r="O4317" s="12" t="str">
        <f t="shared" si="150"/>
        <v/>
      </c>
      <c r="P4317" s="12" t="str">
        <f t="shared" si="151"/>
        <v/>
      </c>
    </row>
    <row r="4318" spans="15:16" x14ac:dyDescent="0.35">
      <c r="O4318" s="12" t="str">
        <f t="shared" si="150"/>
        <v/>
      </c>
      <c r="P4318" s="12" t="str">
        <f t="shared" si="151"/>
        <v/>
      </c>
    </row>
    <row r="4319" spans="15:16" x14ac:dyDescent="0.35">
      <c r="O4319" s="12" t="str">
        <f t="shared" si="150"/>
        <v/>
      </c>
      <c r="P4319" s="12" t="str">
        <f t="shared" si="151"/>
        <v/>
      </c>
    </row>
    <row r="4320" spans="15:16" x14ac:dyDescent="0.35">
      <c r="O4320" s="12" t="str">
        <f t="shared" si="150"/>
        <v/>
      </c>
      <c r="P4320" s="12" t="str">
        <f t="shared" si="151"/>
        <v/>
      </c>
    </row>
    <row r="4321" spans="15:16" x14ac:dyDescent="0.35">
      <c r="O4321" s="12" t="str">
        <f t="shared" si="150"/>
        <v/>
      </c>
      <c r="P4321" s="12" t="str">
        <f t="shared" si="151"/>
        <v/>
      </c>
    </row>
    <row r="4322" spans="15:16" x14ac:dyDescent="0.35">
      <c r="O4322" s="12" t="str">
        <f t="shared" si="150"/>
        <v/>
      </c>
      <c r="P4322" s="12" t="str">
        <f t="shared" si="151"/>
        <v/>
      </c>
    </row>
    <row r="4323" spans="15:16" x14ac:dyDescent="0.35">
      <c r="O4323" s="12" t="str">
        <f t="shared" si="150"/>
        <v/>
      </c>
      <c r="P4323" s="12" t="str">
        <f t="shared" si="151"/>
        <v/>
      </c>
    </row>
    <row r="4324" spans="15:16" x14ac:dyDescent="0.35">
      <c r="O4324" s="12" t="str">
        <f t="shared" si="150"/>
        <v/>
      </c>
      <c r="P4324" s="12" t="str">
        <f t="shared" si="151"/>
        <v/>
      </c>
    </row>
    <row r="4325" spans="15:16" x14ac:dyDescent="0.35">
      <c r="O4325" s="12" t="str">
        <f t="shared" si="150"/>
        <v/>
      </c>
      <c r="P4325" s="12" t="str">
        <f t="shared" si="151"/>
        <v/>
      </c>
    </row>
    <row r="4326" spans="15:16" x14ac:dyDescent="0.35">
      <c r="O4326" s="12" t="str">
        <f t="shared" si="150"/>
        <v/>
      </c>
      <c r="P4326" s="12" t="str">
        <f t="shared" si="151"/>
        <v/>
      </c>
    </row>
    <row r="4327" spans="15:16" x14ac:dyDescent="0.35">
      <c r="O4327" s="12" t="str">
        <f t="shared" si="150"/>
        <v/>
      </c>
      <c r="P4327" s="12" t="str">
        <f t="shared" si="151"/>
        <v/>
      </c>
    </row>
    <row r="4328" spans="15:16" x14ac:dyDescent="0.35">
      <c r="O4328" s="12" t="str">
        <f t="shared" si="150"/>
        <v/>
      </c>
      <c r="P4328" s="12" t="str">
        <f t="shared" si="151"/>
        <v/>
      </c>
    </row>
    <row r="4329" spans="15:16" x14ac:dyDescent="0.35">
      <c r="O4329" s="12" t="str">
        <f t="shared" si="150"/>
        <v/>
      </c>
      <c r="P4329" s="12" t="str">
        <f t="shared" si="151"/>
        <v/>
      </c>
    </row>
    <row r="4330" spans="15:16" x14ac:dyDescent="0.35">
      <c r="O4330" s="12" t="str">
        <f t="shared" si="150"/>
        <v/>
      </c>
      <c r="P4330" s="12" t="str">
        <f t="shared" si="151"/>
        <v/>
      </c>
    </row>
    <row r="4331" spans="15:16" x14ac:dyDescent="0.35">
      <c r="O4331" s="12" t="str">
        <f t="shared" si="150"/>
        <v/>
      </c>
      <c r="P4331" s="12" t="str">
        <f t="shared" si="151"/>
        <v/>
      </c>
    </row>
    <row r="4332" spans="15:16" x14ac:dyDescent="0.35">
      <c r="O4332" s="12" t="str">
        <f t="shared" si="150"/>
        <v/>
      </c>
      <c r="P4332" s="12" t="str">
        <f t="shared" si="151"/>
        <v/>
      </c>
    </row>
    <row r="4333" spans="15:16" x14ac:dyDescent="0.35">
      <c r="O4333" s="12" t="str">
        <f t="shared" si="150"/>
        <v/>
      </c>
      <c r="P4333" s="12" t="str">
        <f t="shared" si="151"/>
        <v/>
      </c>
    </row>
    <row r="4334" spans="15:16" x14ac:dyDescent="0.35">
      <c r="O4334" s="12" t="str">
        <f t="shared" si="150"/>
        <v/>
      </c>
      <c r="P4334" s="12" t="str">
        <f t="shared" si="151"/>
        <v/>
      </c>
    </row>
    <row r="4335" spans="15:16" x14ac:dyDescent="0.35">
      <c r="O4335" s="12" t="str">
        <f t="shared" si="150"/>
        <v/>
      </c>
      <c r="P4335" s="12" t="str">
        <f t="shared" si="151"/>
        <v/>
      </c>
    </row>
    <row r="4336" spans="15:16" x14ac:dyDescent="0.35">
      <c r="O4336" s="12" t="str">
        <f t="shared" si="150"/>
        <v/>
      </c>
      <c r="P4336" s="12" t="str">
        <f t="shared" si="151"/>
        <v/>
      </c>
    </row>
    <row r="4337" spans="15:16" x14ac:dyDescent="0.35">
      <c r="O4337" s="12" t="str">
        <f t="shared" si="150"/>
        <v/>
      </c>
      <c r="P4337" s="12" t="str">
        <f t="shared" si="151"/>
        <v/>
      </c>
    </row>
    <row r="4338" spans="15:16" x14ac:dyDescent="0.35">
      <c r="O4338" s="12" t="str">
        <f t="shared" si="150"/>
        <v/>
      </c>
      <c r="P4338" s="12" t="str">
        <f t="shared" si="151"/>
        <v/>
      </c>
    </row>
    <row r="4339" spans="15:16" x14ac:dyDescent="0.35">
      <c r="O4339" s="12" t="str">
        <f t="shared" si="150"/>
        <v/>
      </c>
      <c r="P4339" s="12" t="str">
        <f t="shared" si="151"/>
        <v/>
      </c>
    </row>
    <row r="4340" spans="15:16" x14ac:dyDescent="0.35">
      <c r="O4340" s="12" t="str">
        <f t="shared" si="150"/>
        <v/>
      </c>
      <c r="P4340" s="12" t="str">
        <f t="shared" si="151"/>
        <v/>
      </c>
    </row>
    <row r="4341" spans="15:16" x14ac:dyDescent="0.35">
      <c r="O4341" s="12" t="str">
        <f t="shared" si="150"/>
        <v/>
      </c>
      <c r="P4341" s="12" t="str">
        <f t="shared" si="151"/>
        <v/>
      </c>
    </row>
    <row r="4342" spans="15:16" x14ac:dyDescent="0.35">
      <c r="O4342" s="12" t="str">
        <f t="shared" si="150"/>
        <v/>
      </c>
      <c r="P4342" s="12" t="str">
        <f t="shared" si="151"/>
        <v/>
      </c>
    </row>
    <row r="4343" spans="15:16" x14ac:dyDescent="0.35">
      <c r="O4343" s="12" t="str">
        <f t="shared" si="150"/>
        <v/>
      </c>
      <c r="P4343" s="12" t="str">
        <f t="shared" si="151"/>
        <v/>
      </c>
    </row>
    <row r="4344" spans="15:16" x14ac:dyDescent="0.35">
      <c r="O4344" s="12" t="str">
        <f t="shared" si="150"/>
        <v/>
      </c>
      <c r="P4344" s="12" t="str">
        <f t="shared" si="151"/>
        <v/>
      </c>
    </row>
    <row r="4345" spans="15:16" x14ac:dyDescent="0.35">
      <c r="O4345" s="12" t="str">
        <f t="shared" si="150"/>
        <v/>
      </c>
      <c r="P4345" s="12" t="str">
        <f t="shared" si="151"/>
        <v/>
      </c>
    </row>
    <row r="4346" spans="15:16" x14ac:dyDescent="0.35">
      <c r="O4346" s="12" t="str">
        <f t="shared" si="150"/>
        <v/>
      </c>
      <c r="P4346" s="12" t="str">
        <f t="shared" si="151"/>
        <v/>
      </c>
    </row>
    <row r="4347" spans="15:16" x14ac:dyDescent="0.35">
      <c r="O4347" s="12" t="str">
        <f t="shared" si="150"/>
        <v/>
      </c>
      <c r="P4347" s="12" t="str">
        <f t="shared" si="151"/>
        <v/>
      </c>
    </row>
    <row r="4348" spans="15:16" x14ac:dyDescent="0.35">
      <c r="O4348" s="12" t="str">
        <f t="shared" si="150"/>
        <v/>
      </c>
      <c r="P4348" s="12" t="str">
        <f t="shared" si="151"/>
        <v/>
      </c>
    </row>
    <row r="4349" spans="15:16" x14ac:dyDescent="0.35">
      <c r="O4349" s="12" t="str">
        <f t="shared" si="150"/>
        <v/>
      </c>
      <c r="P4349" s="12" t="str">
        <f t="shared" si="151"/>
        <v/>
      </c>
    </row>
    <row r="4350" spans="15:16" x14ac:dyDescent="0.35">
      <c r="O4350" s="12" t="str">
        <f t="shared" si="150"/>
        <v/>
      </c>
      <c r="P4350" s="12" t="str">
        <f t="shared" si="151"/>
        <v/>
      </c>
    </row>
    <row r="4351" spans="15:16" x14ac:dyDescent="0.35">
      <c r="O4351" s="12" t="str">
        <f t="shared" si="150"/>
        <v/>
      </c>
      <c r="P4351" s="12" t="str">
        <f t="shared" si="151"/>
        <v/>
      </c>
    </row>
    <row r="4352" spans="15:16" x14ac:dyDescent="0.35">
      <c r="O4352" s="12" t="str">
        <f t="shared" si="150"/>
        <v/>
      </c>
      <c r="P4352" s="12" t="str">
        <f t="shared" si="151"/>
        <v/>
      </c>
    </row>
    <row r="4353" spans="15:16" x14ac:dyDescent="0.35">
      <c r="O4353" s="12" t="str">
        <f t="shared" si="150"/>
        <v/>
      </c>
      <c r="P4353" s="12" t="str">
        <f t="shared" si="151"/>
        <v/>
      </c>
    </row>
    <row r="4354" spans="15:16" x14ac:dyDescent="0.35">
      <c r="O4354" s="12" t="str">
        <f t="shared" si="150"/>
        <v/>
      </c>
      <c r="P4354" s="12" t="str">
        <f t="shared" si="151"/>
        <v/>
      </c>
    </row>
    <row r="4355" spans="15:16" x14ac:dyDescent="0.35">
      <c r="O4355" s="12" t="str">
        <f t="shared" si="150"/>
        <v/>
      </c>
      <c r="P4355" s="12" t="str">
        <f t="shared" si="151"/>
        <v/>
      </c>
    </row>
    <row r="4356" spans="15:16" x14ac:dyDescent="0.35">
      <c r="O4356" s="12" t="str">
        <f t="shared" si="150"/>
        <v/>
      </c>
      <c r="P4356" s="12" t="str">
        <f t="shared" si="151"/>
        <v/>
      </c>
    </row>
    <row r="4357" spans="15:16" x14ac:dyDescent="0.35">
      <c r="O4357" s="12" t="str">
        <f t="shared" si="150"/>
        <v/>
      </c>
      <c r="P4357" s="12" t="str">
        <f t="shared" si="151"/>
        <v/>
      </c>
    </row>
    <row r="4358" spans="15:16" x14ac:dyDescent="0.35">
      <c r="O4358" s="12" t="str">
        <f t="shared" si="150"/>
        <v/>
      </c>
      <c r="P4358" s="12" t="str">
        <f t="shared" si="151"/>
        <v/>
      </c>
    </row>
    <row r="4359" spans="15:16" x14ac:dyDescent="0.35">
      <c r="O4359" s="12" t="str">
        <f t="shared" si="150"/>
        <v/>
      </c>
      <c r="P4359" s="12" t="str">
        <f t="shared" si="151"/>
        <v/>
      </c>
    </row>
    <row r="4360" spans="15:16" x14ac:dyDescent="0.35">
      <c r="O4360" s="12" t="str">
        <f t="shared" si="150"/>
        <v/>
      </c>
      <c r="P4360" s="12" t="str">
        <f t="shared" si="151"/>
        <v/>
      </c>
    </row>
    <row r="4361" spans="15:16" x14ac:dyDescent="0.35">
      <c r="O4361" s="12" t="str">
        <f t="shared" si="150"/>
        <v/>
      </c>
      <c r="P4361" s="12" t="str">
        <f t="shared" si="151"/>
        <v/>
      </c>
    </row>
    <row r="4362" spans="15:16" x14ac:dyDescent="0.35">
      <c r="O4362" s="12" t="str">
        <f t="shared" si="150"/>
        <v/>
      </c>
      <c r="P4362" s="12" t="str">
        <f t="shared" si="151"/>
        <v/>
      </c>
    </row>
    <row r="4363" spans="15:16" x14ac:dyDescent="0.35">
      <c r="O4363" s="12" t="str">
        <f t="shared" si="150"/>
        <v/>
      </c>
      <c r="P4363" s="12" t="str">
        <f t="shared" si="151"/>
        <v/>
      </c>
    </row>
    <row r="4364" spans="15:16" x14ac:dyDescent="0.35">
      <c r="O4364" s="12" t="str">
        <f t="shared" si="150"/>
        <v/>
      </c>
      <c r="P4364" s="12" t="str">
        <f t="shared" si="151"/>
        <v/>
      </c>
    </row>
    <row r="4365" spans="15:16" x14ac:dyDescent="0.35">
      <c r="O4365" s="12" t="str">
        <f t="shared" si="150"/>
        <v/>
      </c>
      <c r="P4365" s="12" t="str">
        <f t="shared" si="151"/>
        <v/>
      </c>
    </row>
    <row r="4366" spans="15:16" x14ac:dyDescent="0.35">
      <c r="O4366" s="12" t="str">
        <f t="shared" si="150"/>
        <v/>
      </c>
      <c r="P4366" s="12" t="str">
        <f t="shared" si="151"/>
        <v/>
      </c>
    </row>
    <row r="4367" spans="15:16" x14ac:dyDescent="0.35">
      <c r="O4367" s="12" t="str">
        <f t="shared" si="150"/>
        <v/>
      </c>
      <c r="P4367" s="12" t="str">
        <f t="shared" si="151"/>
        <v/>
      </c>
    </row>
    <row r="4368" spans="15:16" x14ac:dyDescent="0.35">
      <c r="O4368" s="12" t="str">
        <f t="shared" si="150"/>
        <v/>
      </c>
      <c r="P4368" s="12" t="str">
        <f t="shared" si="151"/>
        <v/>
      </c>
    </row>
    <row r="4369" spans="15:16" x14ac:dyDescent="0.35">
      <c r="O4369" s="12" t="str">
        <f t="shared" si="150"/>
        <v/>
      </c>
      <c r="P4369" s="12" t="str">
        <f t="shared" si="151"/>
        <v/>
      </c>
    </row>
    <row r="4370" spans="15:16" x14ac:dyDescent="0.35">
      <c r="O4370" s="12" t="str">
        <f t="shared" si="150"/>
        <v/>
      </c>
      <c r="P4370" s="12" t="str">
        <f t="shared" si="151"/>
        <v/>
      </c>
    </row>
    <row r="4371" spans="15:16" x14ac:dyDescent="0.35">
      <c r="O4371" s="12" t="str">
        <f t="shared" si="150"/>
        <v/>
      </c>
      <c r="P4371" s="12" t="str">
        <f t="shared" si="151"/>
        <v/>
      </c>
    </row>
    <row r="4372" spans="15:16" x14ac:dyDescent="0.35">
      <c r="O4372" s="12" t="str">
        <f t="shared" si="150"/>
        <v/>
      </c>
      <c r="P4372" s="12" t="str">
        <f t="shared" si="151"/>
        <v/>
      </c>
    </row>
    <row r="4373" spans="15:16" x14ac:dyDescent="0.35">
      <c r="O4373" s="12" t="str">
        <f t="shared" si="150"/>
        <v/>
      </c>
      <c r="P4373" s="12" t="str">
        <f t="shared" si="151"/>
        <v/>
      </c>
    </row>
    <row r="4374" spans="15:16" x14ac:dyDescent="0.35">
      <c r="O4374" s="12" t="str">
        <f t="shared" ref="O4374:O4437" si="152">LEFT(B4374,3)</f>
        <v/>
      </c>
      <c r="P4374" s="12" t="str">
        <f t="shared" ref="P4374:P4437" si="153">LEFT(D4374,5)</f>
        <v/>
      </c>
    </row>
    <row r="4375" spans="15:16" x14ac:dyDescent="0.35">
      <c r="O4375" s="12" t="str">
        <f t="shared" si="152"/>
        <v/>
      </c>
      <c r="P4375" s="12" t="str">
        <f t="shared" si="153"/>
        <v/>
      </c>
    </row>
    <row r="4376" spans="15:16" x14ac:dyDescent="0.35">
      <c r="O4376" s="12" t="str">
        <f t="shared" si="152"/>
        <v/>
      </c>
      <c r="P4376" s="12" t="str">
        <f t="shared" si="153"/>
        <v/>
      </c>
    </row>
    <row r="4377" spans="15:16" x14ac:dyDescent="0.35">
      <c r="O4377" s="12" t="str">
        <f t="shared" si="152"/>
        <v/>
      </c>
      <c r="P4377" s="12" t="str">
        <f t="shared" si="153"/>
        <v/>
      </c>
    </row>
    <row r="4378" spans="15:16" x14ac:dyDescent="0.35">
      <c r="O4378" s="12" t="str">
        <f t="shared" si="152"/>
        <v/>
      </c>
      <c r="P4378" s="12" t="str">
        <f t="shared" si="153"/>
        <v/>
      </c>
    </row>
    <row r="4379" spans="15:16" x14ac:dyDescent="0.35">
      <c r="O4379" s="12" t="str">
        <f t="shared" si="152"/>
        <v/>
      </c>
      <c r="P4379" s="12" t="str">
        <f t="shared" si="153"/>
        <v/>
      </c>
    </row>
    <row r="4380" spans="15:16" x14ac:dyDescent="0.35">
      <c r="O4380" s="12" t="str">
        <f t="shared" si="152"/>
        <v/>
      </c>
      <c r="P4380" s="12" t="str">
        <f t="shared" si="153"/>
        <v/>
      </c>
    </row>
    <row r="4381" spans="15:16" x14ac:dyDescent="0.35">
      <c r="O4381" s="12" t="str">
        <f t="shared" si="152"/>
        <v/>
      </c>
      <c r="P4381" s="12" t="str">
        <f t="shared" si="153"/>
        <v/>
      </c>
    </row>
    <row r="4382" spans="15:16" x14ac:dyDescent="0.35">
      <c r="O4382" s="12" t="str">
        <f t="shared" si="152"/>
        <v/>
      </c>
      <c r="P4382" s="12" t="str">
        <f t="shared" si="153"/>
        <v/>
      </c>
    </row>
    <row r="4383" spans="15:16" x14ac:dyDescent="0.35">
      <c r="O4383" s="12" t="str">
        <f t="shared" si="152"/>
        <v/>
      </c>
      <c r="P4383" s="12" t="str">
        <f t="shared" si="153"/>
        <v/>
      </c>
    </row>
    <row r="4384" spans="15:16" x14ac:dyDescent="0.35">
      <c r="O4384" s="12" t="str">
        <f t="shared" si="152"/>
        <v/>
      </c>
      <c r="P4384" s="12" t="str">
        <f t="shared" si="153"/>
        <v/>
      </c>
    </row>
    <row r="4385" spans="15:16" x14ac:dyDescent="0.35">
      <c r="O4385" s="12" t="str">
        <f t="shared" si="152"/>
        <v/>
      </c>
      <c r="P4385" s="12" t="str">
        <f t="shared" si="153"/>
        <v/>
      </c>
    </row>
    <row r="4386" spans="15:16" x14ac:dyDescent="0.35">
      <c r="O4386" s="12" t="str">
        <f t="shared" si="152"/>
        <v/>
      </c>
      <c r="P4386" s="12" t="str">
        <f t="shared" si="153"/>
        <v/>
      </c>
    </row>
    <row r="4387" spans="15:16" x14ac:dyDescent="0.35">
      <c r="O4387" s="12" t="str">
        <f t="shared" si="152"/>
        <v/>
      </c>
      <c r="P4387" s="12" t="str">
        <f t="shared" si="153"/>
        <v/>
      </c>
    </row>
    <row r="4388" spans="15:16" x14ac:dyDescent="0.35">
      <c r="O4388" s="12" t="str">
        <f t="shared" si="152"/>
        <v/>
      </c>
      <c r="P4388" s="12" t="str">
        <f t="shared" si="153"/>
        <v/>
      </c>
    </row>
    <row r="4389" spans="15:16" x14ac:dyDescent="0.35">
      <c r="O4389" s="12" t="str">
        <f t="shared" si="152"/>
        <v/>
      </c>
      <c r="P4389" s="12" t="str">
        <f t="shared" si="153"/>
        <v/>
      </c>
    </row>
    <row r="4390" spans="15:16" x14ac:dyDescent="0.35">
      <c r="O4390" s="12" t="str">
        <f t="shared" si="152"/>
        <v/>
      </c>
      <c r="P4390" s="12" t="str">
        <f t="shared" si="153"/>
        <v/>
      </c>
    </row>
    <row r="4391" spans="15:16" x14ac:dyDescent="0.35">
      <c r="O4391" s="12" t="str">
        <f t="shared" si="152"/>
        <v/>
      </c>
      <c r="P4391" s="12" t="str">
        <f t="shared" si="153"/>
        <v/>
      </c>
    </row>
    <row r="4392" spans="15:16" x14ac:dyDescent="0.35">
      <c r="O4392" s="12" t="str">
        <f t="shared" si="152"/>
        <v/>
      </c>
      <c r="P4392" s="12" t="str">
        <f t="shared" si="153"/>
        <v/>
      </c>
    </row>
    <row r="4393" spans="15:16" x14ac:dyDescent="0.35">
      <c r="O4393" s="12" t="str">
        <f t="shared" si="152"/>
        <v/>
      </c>
      <c r="P4393" s="12" t="str">
        <f t="shared" si="153"/>
        <v/>
      </c>
    </row>
    <row r="4394" spans="15:16" x14ac:dyDescent="0.35">
      <c r="O4394" s="12" t="str">
        <f t="shared" si="152"/>
        <v/>
      </c>
      <c r="P4394" s="12" t="str">
        <f t="shared" si="153"/>
        <v/>
      </c>
    </row>
    <row r="4395" spans="15:16" x14ac:dyDescent="0.35">
      <c r="O4395" s="12" t="str">
        <f t="shared" si="152"/>
        <v/>
      </c>
      <c r="P4395" s="12" t="str">
        <f t="shared" si="153"/>
        <v/>
      </c>
    </row>
    <row r="4396" spans="15:16" x14ac:dyDescent="0.35">
      <c r="O4396" s="12" t="str">
        <f t="shared" si="152"/>
        <v/>
      </c>
      <c r="P4396" s="12" t="str">
        <f t="shared" si="153"/>
        <v/>
      </c>
    </row>
    <row r="4397" spans="15:16" x14ac:dyDescent="0.35">
      <c r="O4397" s="12" t="str">
        <f t="shared" si="152"/>
        <v/>
      </c>
      <c r="P4397" s="12" t="str">
        <f t="shared" si="153"/>
        <v/>
      </c>
    </row>
    <row r="4398" spans="15:16" x14ac:dyDescent="0.35">
      <c r="O4398" s="12" t="str">
        <f t="shared" si="152"/>
        <v/>
      </c>
      <c r="P4398" s="12" t="str">
        <f t="shared" si="153"/>
        <v/>
      </c>
    </row>
    <row r="4399" spans="15:16" x14ac:dyDescent="0.35">
      <c r="O4399" s="12" t="str">
        <f t="shared" si="152"/>
        <v/>
      </c>
      <c r="P4399" s="12" t="str">
        <f t="shared" si="153"/>
        <v/>
      </c>
    </row>
    <row r="4400" spans="15:16" x14ac:dyDescent="0.35">
      <c r="O4400" s="12" t="str">
        <f t="shared" si="152"/>
        <v/>
      </c>
      <c r="P4400" s="12" t="str">
        <f t="shared" si="153"/>
        <v/>
      </c>
    </row>
    <row r="4401" spans="15:16" x14ac:dyDescent="0.35">
      <c r="O4401" s="12" t="str">
        <f t="shared" si="152"/>
        <v/>
      </c>
      <c r="P4401" s="12" t="str">
        <f t="shared" si="153"/>
        <v/>
      </c>
    </row>
    <row r="4402" spans="15:16" x14ac:dyDescent="0.35">
      <c r="O4402" s="12" t="str">
        <f t="shared" si="152"/>
        <v/>
      </c>
      <c r="P4402" s="12" t="str">
        <f t="shared" si="153"/>
        <v/>
      </c>
    </row>
    <row r="4403" spans="15:16" x14ac:dyDescent="0.35">
      <c r="O4403" s="12" t="str">
        <f t="shared" si="152"/>
        <v/>
      </c>
      <c r="P4403" s="12" t="str">
        <f t="shared" si="153"/>
        <v/>
      </c>
    </row>
    <row r="4404" spans="15:16" x14ac:dyDescent="0.35">
      <c r="O4404" s="12" t="str">
        <f t="shared" si="152"/>
        <v/>
      </c>
      <c r="P4404" s="12" t="str">
        <f t="shared" si="153"/>
        <v/>
      </c>
    </row>
    <row r="4405" spans="15:16" x14ac:dyDescent="0.35">
      <c r="O4405" s="12" t="str">
        <f t="shared" si="152"/>
        <v/>
      </c>
      <c r="P4405" s="12" t="str">
        <f t="shared" si="153"/>
        <v/>
      </c>
    </row>
    <row r="4406" spans="15:16" x14ac:dyDescent="0.35">
      <c r="O4406" s="12" t="str">
        <f t="shared" si="152"/>
        <v/>
      </c>
      <c r="P4406" s="12" t="str">
        <f t="shared" si="153"/>
        <v/>
      </c>
    </row>
    <row r="4407" spans="15:16" x14ac:dyDescent="0.35">
      <c r="O4407" s="12" t="str">
        <f t="shared" si="152"/>
        <v/>
      </c>
      <c r="P4407" s="12" t="str">
        <f t="shared" si="153"/>
        <v/>
      </c>
    </row>
    <row r="4408" spans="15:16" x14ac:dyDescent="0.35">
      <c r="O4408" s="12" t="str">
        <f t="shared" si="152"/>
        <v/>
      </c>
      <c r="P4408" s="12" t="str">
        <f t="shared" si="153"/>
        <v/>
      </c>
    </row>
    <row r="4409" spans="15:16" x14ac:dyDescent="0.35">
      <c r="O4409" s="12" t="str">
        <f t="shared" si="152"/>
        <v/>
      </c>
      <c r="P4409" s="12" t="str">
        <f t="shared" si="153"/>
        <v/>
      </c>
    </row>
    <row r="4410" spans="15:16" x14ac:dyDescent="0.35">
      <c r="O4410" s="12" t="str">
        <f t="shared" si="152"/>
        <v/>
      </c>
      <c r="P4410" s="12" t="str">
        <f t="shared" si="153"/>
        <v/>
      </c>
    </row>
    <row r="4411" spans="15:16" x14ac:dyDescent="0.35">
      <c r="O4411" s="12" t="str">
        <f t="shared" si="152"/>
        <v/>
      </c>
      <c r="P4411" s="12" t="str">
        <f t="shared" si="153"/>
        <v/>
      </c>
    </row>
    <row r="4412" spans="15:16" x14ac:dyDescent="0.35">
      <c r="O4412" s="12" t="str">
        <f t="shared" si="152"/>
        <v/>
      </c>
      <c r="P4412" s="12" t="str">
        <f t="shared" si="153"/>
        <v/>
      </c>
    </row>
    <row r="4413" spans="15:16" x14ac:dyDescent="0.35">
      <c r="O4413" s="12" t="str">
        <f t="shared" si="152"/>
        <v/>
      </c>
      <c r="P4413" s="12" t="str">
        <f t="shared" si="153"/>
        <v/>
      </c>
    </row>
    <row r="4414" spans="15:16" x14ac:dyDescent="0.35">
      <c r="O4414" s="12" t="str">
        <f t="shared" si="152"/>
        <v/>
      </c>
      <c r="P4414" s="12" t="str">
        <f t="shared" si="153"/>
        <v/>
      </c>
    </row>
    <row r="4415" spans="15:16" x14ac:dyDescent="0.35">
      <c r="O4415" s="12" t="str">
        <f t="shared" si="152"/>
        <v/>
      </c>
      <c r="P4415" s="12" t="str">
        <f t="shared" si="153"/>
        <v/>
      </c>
    </row>
    <row r="4416" spans="15:16" x14ac:dyDescent="0.35">
      <c r="O4416" s="12" t="str">
        <f t="shared" si="152"/>
        <v/>
      </c>
      <c r="P4416" s="12" t="str">
        <f t="shared" si="153"/>
        <v/>
      </c>
    </row>
    <row r="4417" spans="15:16" x14ac:dyDescent="0.35">
      <c r="O4417" s="12" t="str">
        <f t="shared" si="152"/>
        <v/>
      </c>
      <c r="P4417" s="12" t="str">
        <f t="shared" si="153"/>
        <v/>
      </c>
    </row>
    <row r="4418" spans="15:16" x14ac:dyDescent="0.35">
      <c r="O4418" s="12" t="str">
        <f t="shared" si="152"/>
        <v/>
      </c>
      <c r="P4418" s="12" t="str">
        <f t="shared" si="153"/>
        <v/>
      </c>
    </row>
    <row r="4419" spans="15:16" x14ac:dyDescent="0.35">
      <c r="O4419" s="12" t="str">
        <f t="shared" si="152"/>
        <v/>
      </c>
      <c r="P4419" s="12" t="str">
        <f t="shared" si="153"/>
        <v/>
      </c>
    </row>
    <row r="4420" spans="15:16" x14ac:dyDescent="0.35">
      <c r="O4420" s="12" t="str">
        <f t="shared" si="152"/>
        <v/>
      </c>
      <c r="P4420" s="12" t="str">
        <f t="shared" si="153"/>
        <v/>
      </c>
    </row>
    <row r="4421" spans="15:16" x14ac:dyDescent="0.35">
      <c r="O4421" s="12" t="str">
        <f t="shared" si="152"/>
        <v/>
      </c>
      <c r="P4421" s="12" t="str">
        <f t="shared" si="153"/>
        <v/>
      </c>
    </row>
    <row r="4422" spans="15:16" x14ac:dyDescent="0.35">
      <c r="O4422" s="12" t="str">
        <f t="shared" si="152"/>
        <v/>
      </c>
      <c r="P4422" s="12" t="str">
        <f t="shared" si="153"/>
        <v/>
      </c>
    </row>
    <row r="4423" spans="15:16" x14ac:dyDescent="0.35">
      <c r="O4423" s="12" t="str">
        <f t="shared" si="152"/>
        <v/>
      </c>
      <c r="P4423" s="12" t="str">
        <f t="shared" si="153"/>
        <v/>
      </c>
    </row>
    <row r="4424" spans="15:16" x14ac:dyDescent="0.35">
      <c r="O4424" s="12" t="str">
        <f t="shared" si="152"/>
        <v/>
      </c>
      <c r="P4424" s="12" t="str">
        <f t="shared" si="153"/>
        <v/>
      </c>
    </row>
    <row r="4425" spans="15:16" x14ac:dyDescent="0.35">
      <c r="O4425" s="12" t="str">
        <f t="shared" si="152"/>
        <v/>
      </c>
      <c r="P4425" s="12" t="str">
        <f t="shared" si="153"/>
        <v/>
      </c>
    </row>
    <row r="4426" spans="15:16" x14ac:dyDescent="0.35">
      <c r="O4426" s="12" t="str">
        <f t="shared" si="152"/>
        <v/>
      </c>
      <c r="P4426" s="12" t="str">
        <f t="shared" si="153"/>
        <v/>
      </c>
    </row>
    <row r="4427" spans="15:16" x14ac:dyDescent="0.35">
      <c r="O4427" s="12" t="str">
        <f t="shared" si="152"/>
        <v/>
      </c>
      <c r="P4427" s="12" t="str">
        <f t="shared" si="153"/>
        <v/>
      </c>
    </row>
    <row r="4428" spans="15:16" x14ac:dyDescent="0.35">
      <c r="O4428" s="12" t="str">
        <f t="shared" si="152"/>
        <v/>
      </c>
      <c r="P4428" s="12" t="str">
        <f t="shared" si="153"/>
        <v/>
      </c>
    </row>
    <row r="4429" spans="15:16" x14ac:dyDescent="0.35">
      <c r="O4429" s="12" t="str">
        <f t="shared" si="152"/>
        <v/>
      </c>
      <c r="P4429" s="12" t="str">
        <f t="shared" si="153"/>
        <v/>
      </c>
    </row>
    <row r="4430" spans="15:16" x14ac:dyDescent="0.35">
      <c r="O4430" s="12" t="str">
        <f t="shared" si="152"/>
        <v/>
      </c>
      <c r="P4430" s="12" t="str">
        <f t="shared" si="153"/>
        <v/>
      </c>
    </row>
    <row r="4431" spans="15:16" x14ac:dyDescent="0.35">
      <c r="O4431" s="12" t="str">
        <f t="shared" si="152"/>
        <v/>
      </c>
      <c r="P4431" s="12" t="str">
        <f t="shared" si="153"/>
        <v/>
      </c>
    </row>
    <row r="4432" spans="15:16" x14ac:dyDescent="0.35">
      <c r="O4432" s="12" t="str">
        <f t="shared" si="152"/>
        <v/>
      </c>
      <c r="P4432" s="12" t="str">
        <f t="shared" si="153"/>
        <v/>
      </c>
    </row>
    <row r="4433" spans="15:16" x14ac:dyDescent="0.35">
      <c r="O4433" s="12" t="str">
        <f t="shared" si="152"/>
        <v/>
      </c>
      <c r="P4433" s="12" t="str">
        <f t="shared" si="153"/>
        <v/>
      </c>
    </row>
    <row r="4434" spans="15:16" x14ac:dyDescent="0.35">
      <c r="O4434" s="12" t="str">
        <f t="shared" si="152"/>
        <v/>
      </c>
      <c r="P4434" s="12" t="str">
        <f t="shared" si="153"/>
        <v/>
      </c>
    </row>
    <row r="4435" spans="15:16" x14ac:dyDescent="0.35">
      <c r="O4435" s="12" t="str">
        <f t="shared" si="152"/>
        <v/>
      </c>
      <c r="P4435" s="12" t="str">
        <f t="shared" si="153"/>
        <v/>
      </c>
    </row>
    <row r="4436" spans="15:16" x14ac:dyDescent="0.35">
      <c r="O4436" s="12" t="str">
        <f t="shared" si="152"/>
        <v/>
      </c>
      <c r="P4436" s="12" t="str">
        <f t="shared" si="153"/>
        <v/>
      </c>
    </row>
    <row r="4437" spans="15:16" x14ac:dyDescent="0.35">
      <c r="O4437" s="12" t="str">
        <f t="shared" si="152"/>
        <v/>
      </c>
      <c r="P4437" s="12" t="str">
        <f t="shared" si="153"/>
        <v/>
      </c>
    </row>
    <row r="4438" spans="15:16" x14ac:dyDescent="0.35">
      <c r="O4438" s="12" t="str">
        <f t="shared" ref="O4438:O4501" si="154">LEFT(B4438,3)</f>
        <v/>
      </c>
      <c r="P4438" s="12" t="str">
        <f t="shared" ref="P4438:P4501" si="155">LEFT(D4438,5)</f>
        <v/>
      </c>
    </row>
    <row r="4439" spans="15:16" x14ac:dyDescent="0.35">
      <c r="O4439" s="12" t="str">
        <f t="shared" si="154"/>
        <v/>
      </c>
      <c r="P4439" s="12" t="str">
        <f t="shared" si="155"/>
        <v/>
      </c>
    </row>
    <row r="4440" spans="15:16" x14ac:dyDescent="0.35">
      <c r="O4440" s="12" t="str">
        <f t="shared" si="154"/>
        <v/>
      </c>
      <c r="P4440" s="12" t="str">
        <f t="shared" si="155"/>
        <v/>
      </c>
    </row>
    <row r="4441" spans="15:16" x14ac:dyDescent="0.35">
      <c r="O4441" s="12" t="str">
        <f t="shared" si="154"/>
        <v/>
      </c>
      <c r="P4441" s="12" t="str">
        <f t="shared" si="155"/>
        <v/>
      </c>
    </row>
    <row r="4442" spans="15:16" x14ac:dyDescent="0.35">
      <c r="O4442" s="12" t="str">
        <f t="shared" si="154"/>
        <v/>
      </c>
      <c r="P4442" s="12" t="str">
        <f t="shared" si="155"/>
        <v/>
      </c>
    </row>
    <row r="4443" spans="15:16" x14ac:dyDescent="0.35">
      <c r="O4443" s="12" t="str">
        <f t="shared" si="154"/>
        <v/>
      </c>
      <c r="P4443" s="12" t="str">
        <f t="shared" si="155"/>
        <v/>
      </c>
    </row>
    <row r="4444" spans="15:16" x14ac:dyDescent="0.35">
      <c r="O4444" s="12" t="str">
        <f t="shared" si="154"/>
        <v/>
      </c>
      <c r="P4444" s="12" t="str">
        <f t="shared" si="155"/>
        <v/>
      </c>
    </row>
    <row r="4445" spans="15:16" x14ac:dyDescent="0.35">
      <c r="O4445" s="12" t="str">
        <f t="shared" si="154"/>
        <v/>
      </c>
      <c r="P4445" s="12" t="str">
        <f t="shared" si="155"/>
        <v/>
      </c>
    </row>
    <row r="4446" spans="15:16" x14ac:dyDescent="0.35">
      <c r="O4446" s="12" t="str">
        <f t="shared" si="154"/>
        <v/>
      </c>
      <c r="P4446" s="12" t="str">
        <f t="shared" si="155"/>
        <v/>
      </c>
    </row>
    <row r="4447" spans="15:16" x14ac:dyDescent="0.35">
      <c r="O4447" s="12" t="str">
        <f t="shared" si="154"/>
        <v/>
      </c>
      <c r="P4447" s="12" t="str">
        <f t="shared" si="155"/>
        <v/>
      </c>
    </row>
    <row r="4448" spans="15:16" x14ac:dyDescent="0.35">
      <c r="O4448" s="12" t="str">
        <f t="shared" si="154"/>
        <v/>
      </c>
      <c r="P4448" s="12" t="str">
        <f t="shared" si="155"/>
        <v/>
      </c>
    </row>
    <row r="4449" spans="15:16" x14ac:dyDescent="0.35">
      <c r="O4449" s="12" t="str">
        <f t="shared" si="154"/>
        <v/>
      </c>
      <c r="P4449" s="12" t="str">
        <f t="shared" si="155"/>
        <v/>
      </c>
    </row>
    <row r="4450" spans="15:16" x14ac:dyDescent="0.35">
      <c r="O4450" s="12" t="str">
        <f t="shared" si="154"/>
        <v/>
      </c>
      <c r="P4450" s="12" t="str">
        <f t="shared" si="155"/>
        <v/>
      </c>
    </row>
    <row r="4451" spans="15:16" x14ac:dyDescent="0.35">
      <c r="O4451" s="12" t="str">
        <f t="shared" si="154"/>
        <v/>
      </c>
      <c r="P4451" s="12" t="str">
        <f t="shared" si="155"/>
        <v/>
      </c>
    </row>
    <row r="4452" spans="15:16" x14ac:dyDescent="0.35">
      <c r="O4452" s="12" t="str">
        <f t="shared" si="154"/>
        <v/>
      </c>
      <c r="P4452" s="12" t="str">
        <f t="shared" si="155"/>
        <v/>
      </c>
    </row>
    <row r="4453" spans="15:16" x14ac:dyDescent="0.35">
      <c r="O4453" s="12" t="str">
        <f t="shared" si="154"/>
        <v/>
      </c>
      <c r="P4453" s="12" t="str">
        <f t="shared" si="155"/>
        <v/>
      </c>
    </row>
    <row r="4454" spans="15:16" x14ac:dyDescent="0.35">
      <c r="O4454" s="12" t="str">
        <f t="shared" si="154"/>
        <v/>
      </c>
      <c r="P4454" s="12" t="str">
        <f t="shared" si="155"/>
        <v/>
      </c>
    </row>
    <row r="4455" spans="15:16" x14ac:dyDescent="0.35">
      <c r="O4455" s="12" t="str">
        <f t="shared" si="154"/>
        <v/>
      </c>
      <c r="P4455" s="12" t="str">
        <f t="shared" si="155"/>
        <v/>
      </c>
    </row>
    <row r="4456" spans="15:16" x14ac:dyDescent="0.35">
      <c r="O4456" s="12" t="str">
        <f t="shared" si="154"/>
        <v/>
      </c>
      <c r="P4456" s="12" t="str">
        <f t="shared" si="155"/>
        <v/>
      </c>
    </row>
    <row r="4457" spans="15:16" x14ac:dyDescent="0.35">
      <c r="O4457" s="12" t="str">
        <f t="shared" si="154"/>
        <v/>
      </c>
      <c r="P4457" s="12" t="str">
        <f t="shared" si="155"/>
        <v/>
      </c>
    </row>
    <row r="4458" spans="15:16" x14ac:dyDescent="0.35">
      <c r="O4458" s="12" t="str">
        <f t="shared" si="154"/>
        <v/>
      </c>
      <c r="P4458" s="12" t="str">
        <f t="shared" si="155"/>
        <v/>
      </c>
    </row>
    <row r="4459" spans="15:16" x14ac:dyDescent="0.35">
      <c r="O4459" s="12" t="str">
        <f t="shared" si="154"/>
        <v/>
      </c>
      <c r="P4459" s="12" t="str">
        <f t="shared" si="155"/>
        <v/>
      </c>
    </row>
    <row r="4460" spans="15:16" x14ac:dyDescent="0.35">
      <c r="O4460" s="12" t="str">
        <f t="shared" si="154"/>
        <v/>
      </c>
      <c r="P4460" s="12" t="str">
        <f t="shared" si="155"/>
        <v/>
      </c>
    </row>
    <row r="4461" spans="15:16" x14ac:dyDescent="0.35">
      <c r="O4461" s="12" t="str">
        <f t="shared" si="154"/>
        <v/>
      </c>
      <c r="P4461" s="12" t="str">
        <f t="shared" si="155"/>
        <v/>
      </c>
    </row>
    <row r="4462" spans="15:16" x14ac:dyDescent="0.35">
      <c r="O4462" s="12" t="str">
        <f t="shared" si="154"/>
        <v/>
      </c>
      <c r="P4462" s="12" t="str">
        <f t="shared" si="155"/>
        <v/>
      </c>
    </row>
    <row r="4463" spans="15:16" x14ac:dyDescent="0.35">
      <c r="O4463" s="12" t="str">
        <f t="shared" si="154"/>
        <v/>
      </c>
      <c r="P4463" s="12" t="str">
        <f t="shared" si="155"/>
        <v/>
      </c>
    </row>
    <row r="4464" spans="15:16" x14ac:dyDescent="0.35">
      <c r="O4464" s="12" t="str">
        <f t="shared" si="154"/>
        <v/>
      </c>
      <c r="P4464" s="12" t="str">
        <f t="shared" si="155"/>
        <v/>
      </c>
    </row>
    <row r="4465" spans="15:16" x14ac:dyDescent="0.35">
      <c r="O4465" s="12" t="str">
        <f t="shared" si="154"/>
        <v/>
      </c>
      <c r="P4465" s="12" t="str">
        <f t="shared" si="155"/>
        <v/>
      </c>
    </row>
    <row r="4466" spans="15:16" x14ac:dyDescent="0.35">
      <c r="O4466" s="12" t="str">
        <f t="shared" si="154"/>
        <v/>
      </c>
      <c r="P4466" s="12" t="str">
        <f t="shared" si="155"/>
        <v/>
      </c>
    </row>
    <row r="4467" spans="15:16" x14ac:dyDescent="0.35">
      <c r="O4467" s="12" t="str">
        <f t="shared" si="154"/>
        <v/>
      </c>
      <c r="P4467" s="12" t="str">
        <f t="shared" si="155"/>
        <v/>
      </c>
    </row>
    <row r="4468" spans="15:16" x14ac:dyDescent="0.35">
      <c r="O4468" s="12" t="str">
        <f t="shared" si="154"/>
        <v/>
      </c>
      <c r="P4468" s="12" t="str">
        <f t="shared" si="155"/>
        <v/>
      </c>
    </row>
    <row r="4469" spans="15:16" x14ac:dyDescent="0.35">
      <c r="O4469" s="12" t="str">
        <f t="shared" si="154"/>
        <v/>
      </c>
      <c r="P4469" s="12" t="str">
        <f t="shared" si="155"/>
        <v/>
      </c>
    </row>
    <row r="4470" spans="15:16" x14ac:dyDescent="0.35">
      <c r="O4470" s="12" t="str">
        <f t="shared" si="154"/>
        <v/>
      </c>
      <c r="P4470" s="12" t="str">
        <f t="shared" si="155"/>
        <v/>
      </c>
    </row>
    <row r="4471" spans="15:16" x14ac:dyDescent="0.35">
      <c r="O4471" s="12" t="str">
        <f t="shared" si="154"/>
        <v/>
      </c>
      <c r="P4471" s="12" t="str">
        <f t="shared" si="155"/>
        <v/>
      </c>
    </row>
    <row r="4472" spans="15:16" x14ac:dyDescent="0.35">
      <c r="O4472" s="12" t="str">
        <f t="shared" si="154"/>
        <v/>
      </c>
      <c r="P4472" s="12" t="str">
        <f t="shared" si="155"/>
        <v/>
      </c>
    </row>
    <row r="4473" spans="15:16" x14ac:dyDescent="0.35">
      <c r="O4473" s="12" t="str">
        <f t="shared" si="154"/>
        <v/>
      </c>
      <c r="P4473" s="12" t="str">
        <f t="shared" si="155"/>
        <v/>
      </c>
    </row>
    <row r="4474" spans="15:16" x14ac:dyDescent="0.35">
      <c r="O4474" s="12" t="str">
        <f t="shared" si="154"/>
        <v/>
      </c>
      <c r="P4474" s="12" t="str">
        <f t="shared" si="155"/>
        <v/>
      </c>
    </row>
    <row r="4475" spans="15:16" x14ac:dyDescent="0.35">
      <c r="O4475" s="12" t="str">
        <f t="shared" si="154"/>
        <v/>
      </c>
      <c r="P4475" s="12" t="str">
        <f t="shared" si="155"/>
        <v/>
      </c>
    </row>
    <row r="4476" spans="15:16" x14ac:dyDescent="0.35">
      <c r="O4476" s="12" t="str">
        <f t="shared" si="154"/>
        <v/>
      </c>
      <c r="P4476" s="12" t="str">
        <f t="shared" si="155"/>
        <v/>
      </c>
    </row>
    <row r="4477" spans="15:16" x14ac:dyDescent="0.35">
      <c r="O4477" s="12" t="str">
        <f t="shared" si="154"/>
        <v/>
      </c>
      <c r="P4477" s="12" t="str">
        <f t="shared" si="155"/>
        <v/>
      </c>
    </row>
    <row r="4478" spans="15:16" x14ac:dyDescent="0.35">
      <c r="O4478" s="12" t="str">
        <f t="shared" si="154"/>
        <v/>
      </c>
      <c r="P4478" s="12" t="str">
        <f t="shared" si="155"/>
        <v/>
      </c>
    </row>
    <row r="4479" spans="15:16" x14ac:dyDescent="0.35">
      <c r="O4479" s="12" t="str">
        <f t="shared" si="154"/>
        <v/>
      </c>
      <c r="P4479" s="12" t="str">
        <f t="shared" si="155"/>
        <v/>
      </c>
    </row>
    <row r="4480" spans="15:16" x14ac:dyDescent="0.35">
      <c r="O4480" s="12" t="str">
        <f t="shared" si="154"/>
        <v/>
      </c>
      <c r="P4480" s="12" t="str">
        <f t="shared" si="155"/>
        <v/>
      </c>
    </row>
    <row r="4481" spans="15:16" x14ac:dyDescent="0.35">
      <c r="O4481" s="12" t="str">
        <f t="shared" si="154"/>
        <v/>
      </c>
      <c r="P4481" s="12" t="str">
        <f t="shared" si="155"/>
        <v/>
      </c>
    </row>
    <row r="4482" spans="15:16" x14ac:dyDescent="0.35">
      <c r="O4482" s="12" t="str">
        <f t="shared" si="154"/>
        <v/>
      </c>
      <c r="P4482" s="12" t="str">
        <f t="shared" si="155"/>
        <v/>
      </c>
    </row>
    <row r="4483" spans="15:16" x14ac:dyDescent="0.35">
      <c r="O4483" s="12" t="str">
        <f t="shared" si="154"/>
        <v/>
      </c>
      <c r="P4483" s="12" t="str">
        <f t="shared" si="155"/>
        <v/>
      </c>
    </row>
    <row r="4484" spans="15:16" x14ac:dyDescent="0.35">
      <c r="O4484" s="12" t="str">
        <f t="shared" si="154"/>
        <v/>
      </c>
      <c r="P4484" s="12" t="str">
        <f t="shared" si="155"/>
        <v/>
      </c>
    </row>
    <row r="4485" spans="15:16" x14ac:dyDescent="0.35">
      <c r="O4485" s="12" t="str">
        <f t="shared" si="154"/>
        <v/>
      </c>
      <c r="P4485" s="12" t="str">
        <f t="shared" si="155"/>
        <v/>
      </c>
    </row>
    <row r="4486" spans="15:16" x14ac:dyDescent="0.35">
      <c r="O4486" s="12" t="str">
        <f t="shared" si="154"/>
        <v/>
      </c>
      <c r="P4486" s="12" t="str">
        <f t="shared" si="155"/>
        <v/>
      </c>
    </row>
    <row r="4487" spans="15:16" x14ac:dyDescent="0.35">
      <c r="O4487" s="12" t="str">
        <f t="shared" si="154"/>
        <v/>
      </c>
      <c r="P4487" s="12" t="str">
        <f t="shared" si="155"/>
        <v/>
      </c>
    </row>
    <row r="4488" spans="15:16" x14ac:dyDescent="0.35">
      <c r="O4488" s="12" t="str">
        <f t="shared" si="154"/>
        <v/>
      </c>
      <c r="P4488" s="12" t="str">
        <f t="shared" si="155"/>
        <v/>
      </c>
    </row>
    <row r="4489" spans="15:16" x14ac:dyDescent="0.35">
      <c r="O4489" s="12" t="str">
        <f t="shared" si="154"/>
        <v/>
      </c>
      <c r="P4489" s="12" t="str">
        <f t="shared" si="155"/>
        <v/>
      </c>
    </row>
    <row r="4490" spans="15:16" x14ac:dyDescent="0.35">
      <c r="O4490" s="12" t="str">
        <f t="shared" si="154"/>
        <v/>
      </c>
      <c r="P4490" s="12" t="str">
        <f t="shared" si="155"/>
        <v/>
      </c>
    </row>
    <row r="4491" spans="15:16" x14ac:dyDescent="0.35">
      <c r="O4491" s="12" t="str">
        <f t="shared" si="154"/>
        <v/>
      </c>
      <c r="P4491" s="12" t="str">
        <f t="shared" si="155"/>
        <v/>
      </c>
    </row>
    <row r="4492" spans="15:16" x14ac:dyDescent="0.35">
      <c r="O4492" s="12" t="str">
        <f t="shared" si="154"/>
        <v/>
      </c>
      <c r="P4492" s="12" t="str">
        <f t="shared" si="155"/>
        <v/>
      </c>
    </row>
    <row r="4493" spans="15:16" x14ac:dyDescent="0.35">
      <c r="O4493" s="12" t="str">
        <f t="shared" si="154"/>
        <v/>
      </c>
      <c r="P4493" s="12" t="str">
        <f t="shared" si="155"/>
        <v/>
      </c>
    </row>
    <row r="4494" spans="15:16" x14ac:dyDescent="0.35">
      <c r="O4494" s="12" t="str">
        <f t="shared" si="154"/>
        <v/>
      </c>
      <c r="P4494" s="12" t="str">
        <f t="shared" si="155"/>
        <v/>
      </c>
    </row>
    <row r="4495" spans="15:16" x14ac:dyDescent="0.35">
      <c r="O4495" s="12" t="str">
        <f t="shared" si="154"/>
        <v/>
      </c>
      <c r="P4495" s="12" t="str">
        <f t="shared" si="155"/>
        <v/>
      </c>
    </row>
    <row r="4496" spans="15:16" x14ac:dyDescent="0.35">
      <c r="O4496" s="12" t="str">
        <f t="shared" si="154"/>
        <v/>
      </c>
      <c r="P4496" s="12" t="str">
        <f t="shared" si="155"/>
        <v/>
      </c>
    </row>
    <row r="4497" spans="15:16" x14ac:dyDescent="0.35">
      <c r="O4497" s="12" t="str">
        <f t="shared" si="154"/>
        <v/>
      </c>
      <c r="P4497" s="12" t="str">
        <f t="shared" si="155"/>
        <v/>
      </c>
    </row>
    <row r="4498" spans="15:16" x14ac:dyDescent="0.35">
      <c r="O4498" s="12" t="str">
        <f t="shared" si="154"/>
        <v/>
      </c>
      <c r="P4498" s="12" t="str">
        <f t="shared" si="155"/>
        <v/>
      </c>
    </row>
    <row r="4499" spans="15:16" x14ac:dyDescent="0.35">
      <c r="O4499" s="12" t="str">
        <f t="shared" si="154"/>
        <v/>
      </c>
      <c r="P4499" s="12" t="str">
        <f t="shared" si="155"/>
        <v/>
      </c>
    </row>
    <row r="4500" spans="15:16" x14ac:dyDescent="0.35">
      <c r="O4500" s="12" t="str">
        <f t="shared" si="154"/>
        <v/>
      </c>
      <c r="P4500" s="12" t="str">
        <f t="shared" si="155"/>
        <v/>
      </c>
    </row>
    <row r="4501" spans="15:16" x14ac:dyDescent="0.35">
      <c r="O4501" s="12" t="str">
        <f t="shared" si="154"/>
        <v/>
      </c>
      <c r="P4501" s="12" t="str">
        <f t="shared" si="155"/>
        <v/>
      </c>
    </row>
    <row r="4502" spans="15:16" x14ac:dyDescent="0.35">
      <c r="O4502" s="12" t="str">
        <f t="shared" ref="O4502:O4565" si="156">LEFT(B4502,3)</f>
        <v/>
      </c>
      <c r="P4502" s="12" t="str">
        <f t="shared" ref="P4502:P4565" si="157">LEFT(D4502,5)</f>
        <v/>
      </c>
    </row>
    <row r="4503" spans="15:16" x14ac:dyDescent="0.35">
      <c r="O4503" s="12" t="str">
        <f t="shared" si="156"/>
        <v/>
      </c>
      <c r="P4503" s="12" t="str">
        <f t="shared" si="157"/>
        <v/>
      </c>
    </row>
    <row r="4504" spans="15:16" x14ac:dyDescent="0.35">
      <c r="O4504" s="12" t="str">
        <f t="shared" si="156"/>
        <v/>
      </c>
      <c r="P4504" s="12" t="str">
        <f t="shared" si="157"/>
        <v/>
      </c>
    </row>
    <row r="4505" spans="15:16" x14ac:dyDescent="0.35">
      <c r="O4505" s="12" t="str">
        <f t="shared" si="156"/>
        <v/>
      </c>
      <c r="P4505" s="12" t="str">
        <f t="shared" si="157"/>
        <v/>
      </c>
    </row>
    <row r="4506" spans="15:16" x14ac:dyDescent="0.35">
      <c r="O4506" s="12" t="str">
        <f t="shared" si="156"/>
        <v/>
      </c>
      <c r="P4506" s="12" t="str">
        <f t="shared" si="157"/>
        <v/>
      </c>
    </row>
    <row r="4507" spans="15:16" x14ac:dyDescent="0.35">
      <c r="O4507" s="12" t="str">
        <f t="shared" si="156"/>
        <v/>
      </c>
      <c r="P4507" s="12" t="str">
        <f t="shared" si="157"/>
        <v/>
      </c>
    </row>
    <row r="4508" spans="15:16" x14ac:dyDescent="0.35">
      <c r="O4508" s="12" t="str">
        <f t="shared" si="156"/>
        <v/>
      </c>
      <c r="P4508" s="12" t="str">
        <f t="shared" si="157"/>
        <v/>
      </c>
    </row>
    <row r="4509" spans="15:16" x14ac:dyDescent="0.35">
      <c r="O4509" s="12" t="str">
        <f t="shared" si="156"/>
        <v/>
      </c>
      <c r="P4509" s="12" t="str">
        <f t="shared" si="157"/>
        <v/>
      </c>
    </row>
    <row r="4510" spans="15:16" x14ac:dyDescent="0.35">
      <c r="O4510" s="12" t="str">
        <f t="shared" si="156"/>
        <v/>
      </c>
      <c r="P4510" s="12" t="str">
        <f t="shared" si="157"/>
        <v/>
      </c>
    </row>
    <row r="4511" spans="15:16" x14ac:dyDescent="0.35">
      <c r="O4511" s="12" t="str">
        <f t="shared" si="156"/>
        <v/>
      </c>
      <c r="P4511" s="12" t="str">
        <f t="shared" si="157"/>
        <v/>
      </c>
    </row>
    <row r="4512" spans="15:16" x14ac:dyDescent="0.35">
      <c r="O4512" s="12" t="str">
        <f t="shared" si="156"/>
        <v/>
      </c>
      <c r="P4512" s="12" t="str">
        <f t="shared" si="157"/>
        <v/>
      </c>
    </row>
    <row r="4513" spans="15:16" x14ac:dyDescent="0.35">
      <c r="O4513" s="12" t="str">
        <f t="shared" si="156"/>
        <v/>
      </c>
      <c r="P4513" s="12" t="str">
        <f t="shared" si="157"/>
        <v/>
      </c>
    </row>
    <row r="4514" spans="15:16" x14ac:dyDescent="0.35">
      <c r="O4514" s="12" t="str">
        <f t="shared" si="156"/>
        <v/>
      </c>
      <c r="P4514" s="12" t="str">
        <f t="shared" si="157"/>
        <v/>
      </c>
    </row>
    <row r="4515" spans="15:16" x14ac:dyDescent="0.35">
      <c r="O4515" s="12" t="str">
        <f t="shared" si="156"/>
        <v/>
      </c>
      <c r="P4515" s="12" t="str">
        <f t="shared" si="157"/>
        <v/>
      </c>
    </row>
    <row r="4516" spans="15:16" x14ac:dyDescent="0.35">
      <c r="O4516" s="12" t="str">
        <f t="shared" si="156"/>
        <v/>
      </c>
      <c r="P4516" s="12" t="str">
        <f t="shared" si="157"/>
        <v/>
      </c>
    </row>
    <row r="4517" spans="15:16" x14ac:dyDescent="0.35">
      <c r="O4517" s="12" t="str">
        <f t="shared" si="156"/>
        <v/>
      </c>
      <c r="P4517" s="12" t="str">
        <f t="shared" si="157"/>
        <v/>
      </c>
    </row>
    <row r="4518" spans="15:16" x14ac:dyDescent="0.35">
      <c r="O4518" s="12" t="str">
        <f t="shared" si="156"/>
        <v/>
      </c>
      <c r="P4518" s="12" t="str">
        <f t="shared" si="157"/>
        <v/>
      </c>
    </row>
    <row r="4519" spans="15:16" x14ac:dyDescent="0.35">
      <c r="O4519" s="12" t="str">
        <f t="shared" si="156"/>
        <v/>
      </c>
      <c r="P4519" s="12" t="str">
        <f t="shared" si="157"/>
        <v/>
      </c>
    </row>
    <row r="4520" spans="15:16" x14ac:dyDescent="0.35">
      <c r="O4520" s="12" t="str">
        <f t="shared" si="156"/>
        <v/>
      </c>
      <c r="P4520" s="12" t="str">
        <f t="shared" si="157"/>
        <v/>
      </c>
    </row>
    <row r="4521" spans="15:16" x14ac:dyDescent="0.35">
      <c r="O4521" s="12" t="str">
        <f t="shared" si="156"/>
        <v/>
      </c>
      <c r="P4521" s="12" t="str">
        <f t="shared" si="157"/>
        <v/>
      </c>
    </row>
    <row r="4522" spans="15:16" x14ac:dyDescent="0.35">
      <c r="O4522" s="12" t="str">
        <f t="shared" si="156"/>
        <v/>
      </c>
      <c r="P4522" s="12" t="str">
        <f t="shared" si="157"/>
        <v/>
      </c>
    </row>
    <row r="4523" spans="15:16" x14ac:dyDescent="0.35">
      <c r="O4523" s="12" t="str">
        <f t="shared" si="156"/>
        <v/>
      </c>
      <c r="P4523" s="12" t="str">
        <f t="shared" si="157"/>
        <v/>
      </c>
    </row>
    <row r="4524" spans="15:16" x14ac:dyDescent="0.35">
      <c r="O4524" s="12" t="str">
        <f t="shared" si="156"/>
        <v/>
      </c>
      <c r="P4524" s="12" t="str">
        <f t="shared" si="157"/>
        <v/>
      </c>
    </row>
    <row r="4525" spans="15:16" x14ac:dyDescent="0.35">
      <c r="O4525" s="12" t="str">
        <f t="shared" si="156"/>
        <v/>
      </c>
      <c r="P4525" s="12" t="str">
        <f t="shared" si="157"/>
        <v/>
      </c>
    </row>
    <row r="4526" spans="15:16" x14ac:dyDescent="0.35">
      <c r="O4526" s="12" t="str">
        <f t="shared" si="156"/>
        <v/>
      </c>
      <c r="P4526" s="12" t="str">
        <f t="shared" si="157"/>
        <v/>
      </c>
    </row>
    <row r="4527" spans="15:16" x14ac:dyDescent="0.35">
      <c r="O4527" s="12" t="str">
        <f t="shared" si="156"/>
        <v/>
      </c>
      <c r="P4527" s="12" t="str">
        <f t="shared" si="157"/>
        <v/>
      </c>
    </row>
    <row r="4528" spans="15:16" x14ac:dyDescent="0.35">
      <c r="O4528" s="12" t="str">
        <f t="shared" si="156"/>
        <v/>
      </c>
      <c r="P4528" s="12" t="str">
        <f t="shared" si="157"/>
        <v/>
      </c>
    </row>
    <row r="4529" spans="15:16" x14ac:dyDescent="0.35">
      <c r="O4529" s="12" t="str">
        <f t="shared" si="156"/>
        <v/>
      </c>
      <c r="P4529" s="12" t="str">
        <f t="shared" si="157"/>
        <v/>
      </c>
    </row>
    <row r="4530" spans="15:16" x14ac:dyDescent="0.35">
      <c r="O4530" s="12" t="str">
        <f t="shared" si="156"/>
        <v/>
      </c>
      <c r="P4530" s="12" t="str">
        <f t="shared" si="157"/>
        <v/>
      </c>
    </row>
    <row r="4531" spans="15:16" x14ac:dyDescent="0.35">
      <c r="O4531" s="12" t="str">
        <f t="shared" si="156"/>
        <v/>
      </c>
      <c r="P4531" s="12" t="str">
        <f t="shared" si="157"/>
        <v/>
      </c>
    </row>
    <row r="4532" spans="15:16" x14ac:dyDescent="0.35">
      <c r="O4532" s="12" t="str">
        <f t="shared" si="156"/>
        <v/>
      </c>
      <c r="P4532" s="12" t="str">
        <f t="shared" si="157"/>
        <v/>
      </c>
    </row>
    <row r="4533" spans="15:16" x14ac:dyDescent="0.35">
      <c r="O4533" s="12" t="str">
        <f t="shared" si="156"/>
        <v/>
      </c>
      <c r="P4533" s="12" t="str">
        <f t="shared" si="157"/>
        <v/>
      </c>
    </row>
    <row r="4534" spans="15:16" x14ac:dyDescent="0.35">
      <c r="O4534" s="12" t="str">
        <f t="shared" si="156"/>
        <v/>
      </c>
      <c r="P4534" s="12" t="str">
        <f t="shared" si="157"/>
        <v/>
      </c>
    </row>
    <row r="4535" spans="15:16" x14ac:dyDescent="0.35">
      <c r="O4535" s="12" t="str">
        <f t="shared" si="156"/>
        <v/>
      </c>
      <c r="P4535" s="12" t="str">
        <f t="shared" si="157"/>
        <v/>
      </c>
    </row>
    <row r="4536" spans="15:16" x14ac:dyDescent="0.35">
      <c r="O4536" s="12" t="str">
        <f t="shared" si="156"/>
        <v/>
      </c>
      <c r="P4536" s="12" t="str">
        <f t="shared" si="157"/>
        <v/>
      </c>
    </row>
    <row r="4537" spans="15:16" x14ac:dyDescent="0.35">
      <c r="O4537" s="12" t="str">
        <f t="shared" si="156"/>
        <v/>
      </c>
      <c r="P4537" s="12" t="str">
        <f t="shared" si="157"/>
        <v/>
      </c>
    </row>
    <row r="4538" spans="15:16" x14ac:dyDescent="0.35">
      <c r="O4538" s="12" t="str">
        <f t="shared" si="156"/>
        <v/>
      </c>
      <c r="P4538" s="12" t="str">
        <f t="shared" si="157"/>
        <v/>
      </c>
    </row>
    <row r="4539" spans="15:16" x14ac:dyDescent="0.35">
      <c r="O4539" s="12" t="str">
        <f t="shared" si="156"/>
        <v/>
      </c>
      <c r="P4539" s="12" t="str">
        <f t="shared" si="157"/>
        <v/>
      </c>
    </row>
    <row r="4540" spans="15:16" x14ac:dyDescent="0.35">
      <c r="O4540" s="12" t="str">
        <f t="shared" si="156"/>
        <v/>
      </c>
      <c r="P4540" s="12" t="str">
        <f t="shared" si="157"/>
        <v/>
      </c>
    </row>
    <row r="4541" spans="15:16" x14ac:dyDescent="0.35">
      <c r="O4541" s="12" t="str">
        <f t="shared" si="156"/>
        <v/>
      </c>
      <c r="P4541" s="12" t="str">
        <f t="shared" si="157"/>
        <v/>
      </c>
    </row>
    <row r="4542" spans="15:16" x14ac:dyDescent="0.35">
      <c r="O4542" s="12" t="str">
        <f t="shared" si="156"/>
        <v/>
      </c>
      <c r="P4542" s="12" t="str">
        <f t="shared" si="157"/>
        <v/>
      </c>
    </row>
    <row r="4543" spans="15:16" x14ac:dyDescent="0.35">
      <c r="O4543" s="12" t="str">
        <f t="shared" si="156"/>
        <v/>
      </c>
      <c r="P4543" s="12" t="str">
        <f t="shared" si="157"/>
        <v/>
      </c>
    </row>
    <row r="4544" spans="15:16" x14ac:dyDescent="0.35">
      <c r="O4544" s="12" t="str">
        <f t="shared" si="156"/>
        <v/>
      </c>
      <c r="P4544" s="12" t="str">
        <f t="shared" si="157"/>
        <v/>
      </c>
    </row>
    <row r="4545" spans="15:16" x14ac:dyDescent="0.35">
      <c r="O4545" s="12" t="str">
        <f t="shared" si="156"/>
        <v/>
      </c>
      <c r="P4545" s="12" t="str">
        <f t="shared" si="157"/>
        <v/>
      </c>
    </row>
    <row r="4546" spans="15:16" x14ac:dyDescent="0.35">
      <c r="O4546" s="12" t="str">
        <f t="shared" si="156"/>
        <v/>
      </c>
      <c r="P4546" s="12" t="str">
        <f t="shared" si="157"/>
        <v/>
      </c>
    </row>
    <row r="4547" spans="15:16" x14ac:dyDescent="0.35">
      <c r="O4547" s="12" t="str">
        <f t="shared" si="156"/>
        <v/>
      </c>
      <c r="P4547" s="12" t="str">
        <f t="shared" si="157"/>
        <v/>
      </c>
    </row>
    <row r="4548" spans="15:16" x14ac:dyDescent="0.35">
      <c r="O4548" s="12" t="str">
        <f t="shared" si="156"/>
        <v/>
      </c>
      <c r="P4548" s="12" t="str">
        <f t="shared" si="157"/>
        <v/>
      </c>
    </row>
    <row r="4549" spans="15:16" x14ac:dyDescent="0.35">
      <c r="O4549" s="12" t="str">
        <f t="shared" si="156"/>
        <v/>
      </c>
      <c r="P4549" s="12" t="str">
        <f t="shared" si="157"/>
        <v/>
      </c>
    </row>
    <row r="4550" spans="15:16" x14ac:dyDescent="0.35">
      <c r="O4550" s="12" t="str">
        <f t="shared" si="156"/>
        <v/>
      </c>
      <c r="P4550" s="12" t="str">
        <f t="shared" si="157"/>
        <v/>
      </c>
    </row>
    <row r="4551" spans="15:16" x14ac:dyDescent="0.35">
      <c r="O4551" s="12" t="str">
        <f t="shared" si="156"/>
        <v/>
      </c>
      <c r="P4551" s="12" t="str">
        <f t="shared" si="157"/>
        <v/>
      </c>
    </row>
    <row r="4552" spans="15:16" x14ac:dyDescent="0.35">
      <c r="O4552" s="12" t="str">
        <f t="shared" si="156"/>
        <v/>
      </c>
      <c r="P4552" s="12" t="str">
        <f t="shared" si="157"/>
        <v/>
      </c>
    </row>
    <row r="4553" spans="15:16" x14ac:dyDescent="0.35">
      <c r="O4553" s="12" t="str">
        <f t="shared" si="156"/>
        <v/>
      </c>
      <c r="P4553" s="12" t="str">
        <f t="shared" si="157"/>
        <v/>
      </c>
    </row>
    <row r="4554" spans="15:16" x14ac:dyDescent="0.35">
      <c r="O4554" s="12" t="str">
        <f t="shared" si="156"/>
        <v/>
      </c>
      <c r="P4554" s="12" t="str">
        <f t="shared" si="157"/>
        <v/>
      </c>
    </row>
    <row r="4555" spans="15:16" x14ac:dyDescent="0.35">
      <c r="O4555" s="12" t="str">
        <f t="shared" si="156"/>
        <v/>
      </c>
      <c r="P4555" s="12" t="str">
        <f t="shared" si="157"/>
        <v/>
      </c>
    </row>
    <row r="4556" spans="15:16" x14ac:dyDescent="0.35">
      <c r="O4556" s="12" t="str">
        <f t="shared" si="156"/>
        <v/>
      </c>
      <c r="P4556" s="12" t="str">
        <f t="shared" si="157"/>
        <v/>
      </c>
    </row>
    <row r="4557" spans="15:16" x14ac:dyDescent="0.35">
      <c r="O4557" s="12" t="str">
        <f t="shared" si="156"/>
        <v/>
      </c>
      <c r="P4557" s="12" t="str">
        <f t="shared" si="157"/>
        <v/>
      </c>
    </row>
    <row r="4558" spans="15:16" x14ac:dyDescent="0.35">
      <c r="O4558" s="12" t="str">
        <f t="shared" si="156"/>
        <v/>
      </c>
      <c r="P4558" s="12" t="str">
        <f t="shared" si="157"/>
        <v/>
      </c>
    </row>
    <row r="4559" spans="15:16" x14ac:dyDescent="0.35">
      <c r="O4559" s="12" t="str">
        <f t="shared" si="156"/>
        <v/>
      </c>
      <c r="P4559" s="12" t="str">
        <f t="shared" si="157"/>
        <v/>
      </c>
    </row>
    <row r="4560" spans="15:16" x14ac:dyDescent="0.35">
      <c r="O4560" s="12" t="str">
        <f t="shared" si="156"/>
        <v/>
      </c>
      <c r="P4560" s="12" t="str">
        <f t="shared" si="157"/>
        <v/>
      </c>
    </row>
    <row r="4561" spans="15:16" x14ac:dyDescent="0.35">
      <c r="O4561" s="12" t="str">
        <f t="shared" si="156"/>
        <v/>
      </c>
      <c r="P4561" s="12" t="str">
        <f t="shared" si="157"/>
        <v/>
      </c>
    </row>
    <row r="4562" spans="15:16" x14ac:dyDescent="0.35">
      <c r="O4562" s="12" t="str">
        <f t="shared" si="156"/>
        <v/>
      </c>
      <c r="P4562" s="12" t="str">
        <f t="shared" si="157"/>
        <v/>
      </c>
    </row>
    <row r="4563" spans="15:16" x14ac:dyDescent="0.35">
      <c r="O4563" s="12" t="str">
        <f t="shared" si="156"/>
        <v/>
      </c>
      <c r="P4563" s="12" t="str">
        <f t="shared" si="157"/>
        <v/>
      </c>
    </row>
    <row r="4564" spans="15:16" x14ac:dyDescent="0.35">
      <c r="O4564" s="12" t="str">
        <f t="shared" si="156"/>
        <v/>
      </c>
      <c r="P4564" s="12" t="str">
        <f t="shared" si="157"/>
        <v/>
      </c>
    </row>
    <row r="4565" spans="15:16" x14ac:dyDescent="0.35">
      <c r="O4565" s="12" t="str">
        <f t="shared" si="156"/>
        <v/>
      </c>
      <c r="P4565" s="12" t="str">
        <f t="shared" si="157"/>
        <v/>
      </c>
    </row>
    <row r="4566" spans="15:16" x14ac:dyDescent="0.35">
      <c r="O4566" s="12" t="str">
        <f t="shared" ref="O4566:O4629" si="158">LEFT(B4566,3)</f>
        <v/>
      </c>
      <c r="P4566" s="12" t="str">
        <f t="shared" ref="P4566:P4629" si="159">LEFT(D4566,5)</f>
        <v/>
      </c>
    </row>
    <row r="4567" spans="15:16" x14ac:dyDescent="0.35">
      <c r="O4567" s="12" t="str">
        <f t="shared" si="158"/>
        <v/>
      </c>
      <c r="P4567" s="12" t="str">
        <f t="shared" si="159"/>
        <v/>
      </c>
    </row>
    <row r="4568" spans="15:16" x14ac:dyDescent="0.35">
      <c r="O4568" s="12" t="str">
        <f t="shared" si="158"/>
        <v/>
      </c>
      <c r="P4568" s="12" t="str">
        <f t="shared" si="159"/>
        <v/>
      </c>
    </row>
    <row r="4569" spans="15:16" x14ac:dyDescent="0.35">
      <c r="O4569" s="12" t="str">
        <f t="shared" si="158"/>
        <v/>
      </c>
      <c r="P4569" s="12" t="str">
        <f t="shared" si="159"/>
        <v/>
      </c>
    </row>
    <row r="4570" spans="15:16" x14ac:dyDescent="0.35">
      <c r="O4570" s="12" t="str">
        <f t="shared" si="158"/>
        <v/>
      </c>
      <c r="P4570" s="12" t="str">
        <f t="shared" si="159"/>
        <v/>
      </c>
    </row>
    <row r="4571" spans="15:16" x14ac:dyDescent="0.35">
      <c r="O4571" s="12" t="str">
        <f t="shared" si="158"/>
        <v/>
      </c>
      <c r="P4571" s="12" t="str">
        <f t="shared" si="159"/>
        <v/>
      </c>
    </row>
    <row r="4572" spans="15:16" x14ac:dyDescent="0.35">
      <c r="O4572" s="12" t="str">
        <f t="shared" si="158"/>
        <v/>
      </c>
      <c r="P4572" s="12" t="str">
        <f t="shared" si="159"/>
        <v/>
      </c>
    </row>
    <row r="4573" spans="15:16" x14ac:dyDescent="0.35">
      <c r="O4573" s="12" t="str">
        <f t="shared" si="158"/>
        <v/>
      </c>
      <c r="P4573" s="12" t="str">
        <f t="shared" si="159"/>
        <v/>
      </c>
    </row>
    <row r="4574" spans="15:16" x14ac:dyDescent="0.35">
      <c r="O4574" s="12" t="str">
        <f t="shared" si="158"/>
        <v/>
      </c>
      <c r="P4574" s="12" t="str">
        <f t="shared" si="159"/>
        <v/>
      </c>
    </row>
    <row r="4575" spans="15:16" x14ac:dyDescent="0.35">
      <c r="O4575" s="12" t="str">
        <f t="shared" si="158"/>
        <v/>
      </c>
      <c r="P4575" s="12" t="str">
        <f t="shared" si="159"/>
        <v/>
      </c>
    </row>
    <row r="4576" spans="15:16" x14ac:dyDescent="0.35">
      <c r="O4576" s="12" t="str">
        <f t="shared" si="158"/>
        <v/>
      </c>
      <c r="P4576" s="12" t="str">
        <f t="shared" si="159"/>
        <v/>
      </c>
    </row>
    <row r="4577" spans="15:16" x14ac:dyDescent="0.35">
      <c r="O4577" s="12" t="str">
        <f t="shared" si="158"/>
        <v/>
      </c>
      <c r="P4577" s="12" t="str">
        <f t="shared" si="159"/>
        <v/>
      </c>
    </row>
    <row r="4578" spans="15:16" x14ac:dyDescent="0.35">
      <c r="O4578" s="12" t="str">
        <f t="shared" si="158"/>
        <v/>
      </c>
      <c r="P4578" s="12" t="str">
        <f t="shared" si="159"/>
        <v/>
      </c>
    </row>
    <row r="4579" spans="15:16" x14ac:dyDescent="0.35">
      <c r="O4579" s="12" t="str">
        <f t="shared" si="158"/>
        <v/>
      </c>
      <c r="P4579" s="12" t="str">
        <f t="shared" si="159"/>
        <v/>
      </c>
    </row>
    <row r="4580" spans="15:16" x14ac:dyDescent="0.35">
      <c r="O4580" s="12" t="str">
        <f t="shared" si="158"/>
        <v/>
      </c>
      <c r="P4580" s="12" t="str">
        <f t="shared" si="159"/>
        <v/>
      </c>
    </row>
    <row r="4581" spans="15:16" x14ac:dyDescent="0.35">
      <c r="O4581" s="12" t="str">
        <f t="shared" si="158"/>
        <v/>
      </c>
      <c r="P4581" s="12" t="str">
        <f t="shared" si="159"/>
        <v/>
      </c>
    </row>
    <row r="4582" spans="15:16" x14ac:dyDescent="0.35">
      <c r="O4582" s="12" t="str">
        <f t="shared" si="158"/>
        <v/>
      </c>
      <c r="P4582" s="12" t="str">
        <f t="shared" si="159"/>
        <v/>
      </c>
    </row>
    <row r="4583" spans="15:16" x14ac:dyDescent="0.35">
      <c r="O4583" s="12" t="str">
        <f t="shared" si="158"/>
        <v/>
      </c>
      <c r="P4583" s="12" t="str">
        <f t="shared" si="159"/>
        <v/>
      </c>
    </row>
    <row r="4584" spans="15:16" x14ac:dyDescent="0.35">
      <c r="O4584" s="12" t="str">
        <f t="shared" si="158"/>
        <v/>
      </c>
      <c r="P4584" s="12" t="str">
        <f t="shared" si="159"/>
        <v/>
      </c>
    </row>
    <row r="4585" spans="15:16" x14ac:dyDescent="0.35">
      <c r="O4585" s="12" t="str">
        <f t="shared" si="158"/>
        <v/>
      </c>
      <c r="P4585" s="12" t="str">
        <f t="shared" si="159"/>
        <v/>
      </c>
    </row>
    <row r="4586" spans="15:16" x14ac:dyDescent="0.35">
      <c r="O4586" s="12" t="str">
        <f t="shared" si="158"/>
        <v/>
      </c>
      <c r="P4586" s="12" t="str">
        <f t="shared" si="159"/>
        <v/>
      </c>
    </row>
    <row r="4587" spans="15:16" x14ac:dyDescent="0.35">
      <c r="O4587" s="12" t="str">
        <f t="shared" si="158"/>
        <v/>
      </c>
      <c r="P4587" s="12" t="str">
        <f t="shared" si="159"/>
        <v/>
      </c>
    </row>
    <row r="4588" spans="15:16" x14ac:dyDescent="0.35">
      <c r="O4588" s="12" t="str">
        <f t="shared" si="158"/>
        <v/>
      </c>
      <c r="P4588" s="12" t="str">
        <f t="shared" si="159"/>
        <v/>
      </c>
    </row>
    <row r="4589" spans="15:16" x14ac:dyDescent="0.35">
      <c r="O4589" s="12" t="str">
        <f t="shared" si="158"/>
        <v/>
      </c>
      <c r="P4589" s="12" t="str">
        <f t="shared" si="159"/>
        <v/>
      </c>
    </row>
    <row r="4590" spans="15:16" x14ac:dyDescent="0.35">
      <c r="O4590" s="12" t="str">
        <f t="shared" si="158"/>
        <v/>
      </c>
      <c r="P4590" s="12" t="str">
        <f t="shared" si="159"/>
        <v/>
      </c>
    </row>
    <row r="4591" spans="15:16" x14ac:dyDescent="0.35">
      <c r="O4591" s="12" t="str">
        <f t="shared" si="158"/>
        <v/>
      </c>
      <c r="P4591" s="12" t="str">
        <f t="shared" si="159"/>
        <v/>
      </c>
    </row>
    <row r="4592" spans="15:16" x14ac:dyDescent="0.35">
      <c r="O4592" s="12" t="str">
        <f t="shared" si="158"/>
        <v/>
      </c>
      <c r="P4592" s="12" t="str">
        <f t="shared" si="159"/>
        <v/>
      </c>
    </row>
    <row r="4593" spans="15:16" x14ac:dyDescent="0.35">
      <c r="O4593" s="12" t="str">
        <f t="shared" si="158"/>
        <v/>
      </c>
      <c r="P4593" s="12" t="str">
        <f t="shared" si="159"/>
        <v/>
      </c>
    </row>
    <row r="4594" spans="15:16" x14ac:dyDescent="0.35">
      <c r="O4594" s="12" t="str">
        <f t="shared" si="158"/>
        <v/>
      </c>
      <c r="P4594" s="12" t="str">
        <f t="shared" si="159"/>
        <v/>
      </c>
    </row>
    <row r="4595" spans="15:16" x14ac:dyDescent="0.35">
      <c r="O4595" s="12" t="str">
        <f t="shared" si="158"/>
        <v/>
      </c>
      <c r="P4595" s="12" t="str">
        <f t="shared" si="159"/>
        <v/>
      </c>
    </row>
    <row r="4596" spans="15:16" x14ac:dyDescent="0.35">
      <c r="O4596" s="12" t="str">
        <f t="shared" si="158"/>
        <v/>
      </c>
      <c r="P4596" s="12" t="str">
        <f t="shared" si="159"/>
        <v/>
      </c>
    </row>
    <row r="4597" spans="15:16" x14ac:dyDescent="0.35">
      <c r="O4597" s="12" t="str">
        <f t="shared" si="158"/>
        <v/>
      </c>
      <c r="P4597" s="12" t="str">
        <f t="shared" si="159"/>
        <v/>
      </c>
    </row>
    <row r="4598" spans="15:16" x14ac:dyDescent="0.35">
      <c r="O4598" s="12" t="str">
        <f t="shared" si="158"/>
        <v/>
      </c>
      <c r="P4598" s="12" t="str">
        <f t="shared" si="159"/>
        <v/>
      </c>
    </row>
    <row r="4599" spans="15:16" x14ac:dyDescent="0.35">
      <c r="O4599" s="12" t="str">
        <f t="shared" si="158"/>
        <v/>
      </c>
      <c r="P4599" s="12" t="str">
        <f t="shared" si="159"/>
        <v/>
      </c>
    </row>
    <row r="4600" spans="15:16" x14ac:dyDescent="0.35">
      <c r="O4600" s="12" t="str">
        <f t="shared" si="158"/>
        <v/>
      </c>
      <c r="P4600" s="12" t="str">
        <f t="shared" si="159"/>
        <v/>
      </c>
    </row>
    <row r="4601" spans="15:16" x14ac:dyDescent="0.35">
      <c r="O4601" s="12" t="str">
        <f t="shared" si="158"/>
        <v/>
      </c>
      <c r="P4601" s="12" t="str">
        <f t="shared" si="159"/>
        <v/>
      </c>
    </row>
    <row r="4602" spans="15:16" x14ac:dyDescent="0.35">
      <c r="O4602" s="12" t="str">
        <f t="shared" si="158"/>
        <v/>
      </c>
      <c r="P4602" s="12" t="str">
        <f t="shared" si="159"/>
        <v/>
      </c>
    </row>
    <row r="4603" spans="15:16" x14ac:dyDescent="0.35">
      <c r="O4603" s="12" t="str">
        <f t="shared" si="158"/>
        <v/>
      </c>
      <c r="P4603" s="12" t="str">
        <f t="shared" si="159"/>
        <v/>
      </c>
    </row>
    <row r="4604" spans="15:16" x14ac:dyDescent="0.35">
      <c r="O4604" s="12" t="str">
        <f t="shared" si="158"/>
        <v/>
      </c>
      <c r="P4604" s="12" t="str">
        <f t="shared" si="159"/>
        <v/>
      </c>
    </row>
    <row r="4605" spans="15:16" x14ac:dyDescent="0.35">
      <c r="O4605" s="12" t="str">
        <f t="shared" si="158"/>
        <v/>
      </c>
      <c r="P4605" s="12" t="str">
        <f t="shared" si="159"/>
        <v/>
      </c>
    </row>
    <row r="4606" spans="15:16" x14ac:dyDescent="0.35">
      <c r="O4606" s="12" t="str">
        <f t="shared" si="158"/>
        <v/>
      </c>
      <c r="P4606" s="12" t="str">
        <f t="shared" si="159"/>
        <v/>
      </c>
    </row>
    <row r="4607" spans="15:16" x14ac:dyDescent="0.35">
      <c r="O4607" s="12" t="str">
        <f t="shared" si="158"/>
        <v/>
      </c>
      <c r="P4607" s="12" t="str">
        <f t="shared" si="159"/>
        <v/>
      </c>
    </row>
    <row r="4608" spans="15:16" x14ac:dyDescent="0.35">
      <c r="O4608" s="12" t="str">
        <f t="shared" si="158"/>
        <v/>
      </c>
      <c r="P4608" s="12" t="str">
        <f t="shared" si="159"/>
        <v/>
      </c>
    </row>
    <row r="4609" spans="15:16" x14ac:dyDescent="0.35">
      <c r="O4609" s="12" t="str">
        <f t="shared" si="158"/>
        <v/>
      </c>
      <c r="P4609" s="12" t="str">
        <f t="shared" si="159"/>
        <v/>
      </c>
    </row>
    <row r="4610" spans="15:16" x14ac:dyDescent="0.35">
      <c r="O4610" s="12" t="str">
        <f t="shared" si="158"/>
        <v/>
      </c>
      <c r="P4610" s="12" t="str">
        <f t="shared" si="159"/>
        <v/>
      </c>
    </row>
    <row r="4611" spans="15:16" x14ac:dyDescent="0.35">
      <c r="O4611" s="12" t="str">
        <f t="shared" si="158"/>
        <v/>
      </c>
      <c r="P4611" s="12" t="str">
        <f t="shared" si="159"/>
        <v/>
      </c>
    </row>
    <row r="4612" spans="15:16" x14ac:dyDescent="0.35">
      <c r="O4612" s="12" t="str">
        <f t="shared" si="158"/>
        <v/>
      </c>
      <c r="P4612" s="12" t="str">
        <f t="shared" si="159"/>
        <v/>
      </c>
    </row>
    <row r="4613" spans="15:16" x14ac:dyDescent="0.35">
      <c r="O4613" s="12" t="str">
        <f t="shared" si="158"/>
        <v/>
      </c>
      <c r="P4613" s="12" t="str">
        <f t="shared" si="159"/>
        <v/>
      </c>
    </row>
    <row r="4614" spans="15:16" x14ac:dyDescent="0.35">
      <c r="O4614" s="12" t="str">
        <f t="shared" si="158"/>
        <v/>
      </c>
      <c r="P4614" s="12" t="str">
        <f t="shared" si="159"/>
        <v/>
      </c>
    </row>
    <row r="4615" spans="15:16" x14ac:dyDescent="0.35">
      <c r="O4615" s="12" t="str">
        <f t="shared" si="158"/>
        <v/>
      </c>
      <c r="P4615" s="12" t="str">
        <f t="shared" si="159"/>
        <v/>
      </c>
    </row>
    <row r="4616" spans="15:16" x14ac:dyDescent="0.35">
      <c r="O4616" s="12" t="str">
        <f t="shared" si="158"/>
        <v/>
      </c>
      <c r="P4616" s="12" t="str">
        <f t="shared" si="159"/>
        <v/>
      </c>
    </row>
    <row r="4617" spans="15:16" x14ac:dyDescent="0.35">
      <c r="O4617" s="12" t="str">
        <f t="shared" si="158"/>
        <v/>
      </c>
      <c r="P4617" s="12" t="str">
        <f t="shared" si="159"/>
        <v/>
      </c>
    </row>
    <row r="4618" spans="15:16" x14ac:dyDescent="0.35">
      <c r="O4618" s="12" t="str">
        <f t="shared" si="158"/>
        <v/>
      </c>
      <c r="P4618" s="12" t="str">
        <f t="shared" si="159"/>
        <v/>
      </c>
    </row>
    <row r="4619" spans="15:16" x14ac:dyDescent="0.35">
      <c r="O4619" s="12" t="str">
        <f t="shared" si="158"/>
        <v/>
      </c>
      <c r="P4619" s="12" t="str">
        <f t="shared" si="159"/>
        <v/>
      </c>
    </row>
    <row r="4620" spans="15:16" x14ac:dyDescent="0.35">
      <c r="O4620" s="12" t="str">
        <f t="shared" si="158"/>
        <v/>
      </c>
      <c r="P4620" s="12" t="str">
        <f t="shared" si="159"/>
        <v/>
      </c>
    </row>
    <row r="4621" spans="15:16" x14ac:dyDescent="0.35">
      <c r="O4621" s="12" t="str">
        <f t="shared" si="158"/>
        <v/>
      </c>
      <c r="P4621" s="12" t="str">
        <f t="shared" si="159"/>
        <v/>
      </c>
    </row>
    <row r="4622" spans="15:16" x14ac:dyDescent="0.35">
      <c r="O4622" s="12" t="str">
        <f t="shared" si="158"/>
        <v/>
      </c>
      <c r="P4622" s="12" t="str">
        <f t="shared" si="159"/>
        <v/>
      </c>
    </row>
    <row r="4623" spans="15:16" x14ac:dyDescent="0.35">
      <c r="O4623" s="12" t="str">
        <f t="shared" si="158"/>
        <v/>
      </c>
      <c r="P4623" s="12" t="str">
        <f t="shared" si="159"/>
        <v/>
      </c>
    </row>
    <row r="4624" spans="15:16" x14ac:dyDescent="0.35">
      <c r="O4624" s="12" t="str">
        <f t="shared" si="158"/>
        <v/>
      </c>
      <c r="P4624" s="12" t="str">
        <f t="shared" si="159"/>
        <v/>
      </c>
    </row>
    <row r="4625" spans="15:16" x14ac:dyDescent="0.35">
      <c r="O4625" s="12" t="str">
        <f t="shared" si="158"/>
        <v/>
      </c>
      <c r="P4625" s="12" t="str">
        <f t="shared" si="159"/>
        <v/>
      </c>
    </row>
    <row r="4626" spans="15:16" x14ac:dyDescent="0.35">
      <c r="O4626" s="12" t="str">
        <f t="shared" si="158"/>
        <v/>
      </c>
      <c r="P4626" s="12" t="str">
        <f t="shared" si="159"/>
        <v/>
      </c>
    </row>
    <row r="4627" spans="15:16" x14ac:dyDescent="0.35">
      <c r="O4627" s="12" t="str">
        <f t="shared" si="158"/>
        <v/>
      </c>
      <c r="P4627" s="12" t="str">
        <f t="shared" si="159"/>
        <v/>
      </c>
    </row>
    <row r="4628" spans="15:16" x14ac:dyDescent="0.35">
      <c r="O4628" s="12" t="str">
        <f t="shared" si="158"/>
        <v/>
      </c>
      <c r="P4628" s="12" t="str">
        <f t="shared" si="159"/>
        <v/>
      </c>
    </row>
    <row r="4629" spans="15:16" x14ac:dyDescent="0.35">
      <c r="O4629" s="12" t="str">
        <f t="shared" si="158"/>
        <v/>
      </c>
      <c r="P4629" s="12" t="str">
        <f t="shared" si="159"/>
        <v/>
      </c>
    </row>
    <row r="4630" spans="15:16" x14ac:dyDescent="0.35">
      <c r="O4630" s="12" t="str">
        <f t="shared" ref="O4630:O4693" si="160">LEFT(B4630,3)</f>
        <v/>
      </c>
      <c r="P4630" s="12" t="str">
        <f t="shared" ref="P4630:P4693" si="161">LEFT(D4630,5)</f>
        <v/>
      </c>
    </row>
    <row r="4631" spans="15:16" x14ac:dyDescent="0.35">
      <c r="O4631" s="12" t="str">
        <f t="shared" si="160"/>
        <v/>
      </c>
      <c r="P4631" s="12" t="str">
        <f t="shared" si="161"/>
        <v/>
      </c>
    </row>
    <row r="4632" spans="15:16" x14ac:dyDescent="0.35">
      <c r="O4632" s="12" t="str">
        <f t="shared" si="160"/>
        <v/>
      </c>
      <c r="P4632" s="12" t="str">
        <f t="shared" si="161"/>
        <v/>
      </c>
    </row>
    <row r="4633" spans="15:16" x14ac:dyDescent="0.35">
      <c r="O4633" s="12" t="str">
        <f t="shared" si="160"/>
        <v/>
      </c>
      <c r="P4633" s="12" t="str">
        <f t="shared" si="161"/>
        <v/>
      </c>
    </row>
    <row r="4634" spans="15:16" x14ac:dyDescent="0.35">
      <c r="O4634" s="12" t="str">
        <f t="shared" si="160"/>
        <v/>
      </c>
      <c r="P4634" s="12" t="str">
        <f t="shared" si="161"/>
        <v/>
      </c>
    </row>
    <row r="4635" spans="15:16" x14ac:dyDescent="0.35">
      <c r="O4635" s="12" t="str">
        <f t="shared" si="160"/>
        <v/>
      </c>
      <c r="P4635" s="12" t="str">
        <f t="shared" si="161"/>
        <v/>
      </c>
    </row>
    <row r="4636" spans="15:16" x14ac:dyDescent="0.35">
      <c r="O4636" s="12" t="str">
        <f t="shared" si="160"/>
        <v/>
      </c>
      <c r="P4636" s="12" t="str">
        <f t="shared" si="161"/>
        <v/>
      </c>
    </row>
    <row r="4637" spans="15:16" x14ac:dyDescent="0.35">
      <c r="O4637" s="12" t="str">
        <f t="shared" si="160"/>
        <v/>
      </c>
      <c r="P4637" s="12" t="str">
        <f t="shared" si="161"/>
        <v/>
      </c>
    </row>
    <row r="4638" spans="15:16" x14ac:dyDescent="0.35">
      <c r="O4638" s="12" t="str">
        <f t="shared" si="160"/>
        <v/>
      </c>
      <c r="P4638" s="12" t="str">
        <f t="shared" si="161"/>
        <v/>
      </c>
    </row>
    <row r="4639" spans="15:16" x14ac:dyDescent="0.35">
      <c r="O4639" s="12" t="str">
        <f t="shared" si="160"/>
        <v/>
      </c>
      <c r="P4639" s="12" t="str">
        <f t="shared" si="161"/>
        <v/>
      </c>
    </row>
    <row r="4640" spans="15:16" x14ac:dyDescent="0.35">
      <c r="O4640" s="12" t="str">
        <f t="shared" si="160"/>
        <v/>
      </c>
      <c r="P4640" s="12" t="str">
        <f t="shared" si="161"/>
        <v/>
      </c>
    </row>
    <row r="4641" spans="15:16" x14ac:dyDescent="0.35">
      <c r="O4641" s="12" t="str">
        <f t="shared" si="160"/>
        <v/>
      </c>
      <c r="P4641" s="12" t="str">
        <f t="shared" si="161"/>
        <v/>
      </c>
    </row>
    <row r="4642" spans="15:16" x14ac:dyDescent="0.35">
      <c r="O4642" s="12" t="str">
        <f t="shared" si="160"/>
        <v/>
      </c>
      <c r="P4642" s="12" t="str">
        <f t="shared" si="161"/>
        <v/>
      </c>
    </row>
    <row r="4643" spans="15:16" x14ac:dyDescent="0.35">
      <c r="O4643" s="12" t="str">
        <f t="shared" si="160"/>
        <v/>
      </c>
      <c r="P4643" s="12" t="str">
        <f t="shared" si="161"/>
        <v/>
      </c>
    </row>
    <row r="4644" spans="15:16" x14ac:dyDescent="0.35">
      <c r="O4644" s="12" t="str">
        <f t="shared" si="160"/>
        <v/>
      </c>
      <c r="P4644" s="12" t="str">
        <f t="shared" si="161"/>
        <v/>
      </c>
    </row>
    <row r="4645" spans="15:16" x14ac:dyDescent="0.35">
      <c r="O4645" s="12" t="str">
        <f t="shared" si="160"/>
        <v/>
      </c>
      <c r="P4645" s="12" t="str">
        <f t="shared" si="161"/>
        <v/>
      </c>
    </row>
    <row r="4646" spans="15:16" x14ac:dyDescent="0.35">
      <c r="O4646" s="12" t="str">
        <f t="shared" si="160"/>
        <v/>
      </c>
      <c r="P4646" s="12" t="str">
        <f t="shared" si="161"/>
        <v/>
      </c>
    </row>
    <row r="4647" spans="15:16" x14ac:dyDescent="0.35">
      <c r="O4647" s="12" t="str">
        <f t="shared" si="160"/>
        <v/>
      </c>
      <c r="P4647" s="12" t="str">
        <f t="shared" si="161"/>
        <v/>
      </c>
    </row>
    <row r="4648" spans="15:16" x14ac:dyDescent="0.35">
      <c r="O4648" s="12" t="str">
        <f t="shared" si="160"/>
        <v/>
      </c>
      <c r="P4648" s="12" t="str">
        <f t="shared" si="161"/>
        <v/>
      </c>
    </row>
    <row r="4649" spans="15:16" x14ac:dyDescent="0.35">
      <c r="O4649" s="12" t="str">
        <f t="shared" si="160"/>
        <v/>
      </c>
      <c r="P4649" s="12" t="str">
        <f t="shared" si="161"/>
        <v/>
      </c>
    </row>
    <row r="4650" spans="15:16" x14ac:dyDescent="0.35">
      <c r="O4650" s="12" t="str">
        <f t="shared" si="160"/>
        <v/>
      </c>
      <c r="P4650" s="12" t="str">
        <f t="shared" si="161"/>
        <v/>
      </c>
    </row>
    <row r="4651" spans="15:16" x14ac:dyDescent="0.35">
      <c r="O4651" s="12" t="str">
        <f t="shared" si="160"/>
        <v/>
      </c>
      <c r="P4651" s="12" t="str">
        <f t="shared" si="161"/>
        <v/>
      </c>
    </row>
    <row r="4652" spans="15:16" x14ac:dyDescent="0.35">
      <c r="O4652" s="12" t="str">
        <f t="shared" si="160"/>
        <v/>
      </c>
      <c r="P4652" s="12" t="str">
        <f t="shared" si="161"/>
        <v/>
      </c>
    </row>
    <row r="4653" spans="15:16" x14ac:dyDescent="0.35">
      <c r="O4653" s="12" t="str">
        <f t="shared" si="160"/>
        <v/>
      </c>
      <c r="P4653" s="12" t="str">
        <f t="shared" si="161"/>
        <v/>
      </c>
    </row>
    <row r="4654" spans="15:16" x14ac:dyDescent="0.35">
      <c r="O4654" s="12" t="str">
        <f t="shared" si="160"/>
        <v/>
      </c>
      <c r="P4654" s="12" t="str">
        <f t="shared" si="161"/>
        <v/>
      </c>
    </row>
    <row r="4655" spans="15:16" x14ac:dyDescent="0.35">
      <c r="O4655" s="12" t="str">
        <f t="shared" si="160"/>
        <v/>
      </c>
      <c r="P4655" s="12" t="str">
        <f t="shared" si="161"/>
        <v/>
      </c>
    </row>
    <row r="4656" spans="15:16" x14ac:dyDescent="0.35">
      <c r="O4656" s="12" t="str">
        <f t="shared" si="160"/>
        <v/>
      </c>
      <c r="P4656" s="12" t="str">
        <f t="shared" si="161"/>
        <v/>
      </c>
    </row>
    <row r="4657" spans="15:16" x14ac:dyDescent="0.35">
      <c r="O4657" s="12" t="str">
        <f t="shared" si="160"/>
        <v/>
      </c>
      <c r="P4657" s="12" t="str">
        <f t="shared" si="161"/>
        <v/>
      </c>
    </row>
    <row r="4658" spans="15:16" x14ac:dyDescent="0.35">
      <c r="O4658" s="12" t="str">
        <f t="shared" si="160"/>
        <v/>
      </c>
      <c r="P4658" s="12" t="str">
        <f t="shared" si="161"/>
        <v/>
      </c>
    </row>
    <row r="4659" spans="15:16" x14ac:dyDescent="0.35">
      <c r="O4659" s="12" t="str">
        <f t="shared" si="160"/>
        <v/>
      </c>
      <c r="P4659" s="12" t="str">
        <f t="shared" si="161"/>
        <v/>
      </c>
    </row>
    <row r="4660" spans="15:16" x14ac:dyDescent="0.35">
      <c r="O4660" s="12" t="str">
        <f t="shared" si="160"/>
        <v/>
      </c>
      <c r="P4660" s="12" t="str">
        <f t="shared" si="161"/>
        <v/>
      </c>
    </row>
    <row r="4661" spans="15:16" x14ac:dyDescent="0.35">
      <c r="O4661" s="12" t="str">
        <f t="shared" si="160"/>
        <v/>
      </c>
      <c r="P4661" s="12" t="str">
        <f t="shared" si="161"/>
        <v/>
      </c>
    </row>
    <row r="4662" spans="15:16" x14ac:dyDescent="0.35">
      <c r="O4662" s="12" t="str">
        <f t="shared" si="160"/>
        <v/>
      </c>
      <c r="P4662" s="12" t="str">
        <f t="shared" si="161"/>
        <v/>
      </c>
    </row>
    <row r="4663" spans="15:16" x14ac:dyDescent="0.35">
      <c r="O4663" s="12" t="str">
        <f t="shared" si="160"/>
        <v/>
      </c>
      <c r="P4663" s="12" t="str">
        <f t="shared" si="161"/>
        <v/>
      </c>
    </row>
    <row r="4664" spans="15:16" x14ac:dyDescent="0.35">
      <c r="O4664" s="12" t="str">
        <f t="shared" si="160"/>
        <v/>
      </c>
      <c r="P4664" s="12" t="str">
        <f t="shared" si="161"/>
        <v/>
      </c>
    </row>
    <row r="4665" spans="15:16" x14ac:dyDescent="0.35">
      <c r="O4665" s="12" t="str">
        <f t="shared" si="160"/>
        <v/>
      </c>
      <c r="P4665" s="12" t="str">
        <f t="shared" si="161"/>
        <v/>
      </c>
    </row>
    <row r="4666" spans="15:16" x14ac:dyDescent="0.35">
      <c r="O4666" s="12" t="str">
        <f t="shared" si="160"/>
        <v/>
      </c>
      <c r="P4666" s="12" t="str">
        <f t="shared" si="161"/>
        <v/>
      </c>
    </row>
    <row r="4667" spans="15:16" x14ac:dyDescent="0.35">
      <c r="O4667" s="12" t="str">
        <f t="shared" si="160"/>
        <v/>
      </c>
      <c r="P4667" s="12" t="str">
        <f t="shared" si="161"/>
        <v/>
      </c>
    </row>
    <row r="4668" spans="15:16" x14ac:dyDescent="0.35">
      <c r="O4668" s="12" t="str">
        <f t="shared" si="160"/>
        <v/>
      </c>
      <c r="P4668" s="12" t="str">
        <f t="shared" si="161"/>
        <v/>
      </c>
    </row>
    <row r="4669" spans="15:16" x14ac:dyDescent="0.35">
      <c r="O4669" s="12" t="str">
        <f t="shared" si="160"/>
        <v/>
      </c>
      <c r="P4669" s="12" t="str">
        <f t="shared" si="161"/>
        <v/>
      </c>
    </row>
    <row r="4670" spans="15:16" x14ac:dyDescent="0.35">
      <c r="O4670" s="12" t="str">
        <f t="shared" si="160"/>
        <v/>
      </c>
      <c r="P4670" s="12" t="str">
        <f t="shared" si="161"/>
        <v/>
      </c>
    </row>
    <row r="4671" spans="15:16" x14ac:dyDescent="0.35">
      <c r="O4671" s="12" t="str">
        <f t="shared" si="160"/>
        <v/>
      </c>
      <c r="P4671" s="12" t="str">
        <f t="shared" si="161"/>
        <v/>
      </c>
    </row>
    <row r="4672" spans="15:16" x14ac:dyDescent="0.35">
      <c r="O4672" s="12" t="str">
        <f t="shared" si="160"/>
        <v/>
      </c>
      <c r="P4672" s="12" t="str">
        <f t="shared" si="161"/>
        <v/>
      </c>
    </row>
    <row r="4673" spans="15:16" x14ac:dyDescent="0.35">
      <c r="O4673" s="12" t="str">
        <f t="shared" si="160"/>
        <v/>
      </c>
      <c r="P4673" s="12" t="str">
        <f t="shared" si="161"/>
        <v/>
      </c>
    </row>
    <row r="4674" spans="15:16" x14ac:dyDescent="0.35">
      <c r="O4674" s="12" t="str">
        <f t="shared" si="160"/>
        <v/>
      </c>
      <c r="P4674" s="12" t="str">
        <f t="shared" si="161"/>
        <v/>
      </c>
    </row>
    <row r="4675" spans="15:16" x14ac:dyDescent="0.35">
      <c r="O4675" s="12" t="str">
        <f t="shared" si="160"/>
        <v/>
      </c>
      <c r="P4675" s="12" t="str">
        <f t="shared" si="161"/>
        <v/>
      </c>
    </row>
    <row r="4676" spans="15:16" x14ac:dyDescent="0.35">
      <c r="O4676" s="12" t="str">
        <f t="shared" si="160"/>
        <v/>
      </c>
      <c r="P4676" s="12" t="str">
        <f t="shared" si="161"/>
        <v/>
      </c>
    </row>
    <row r="4677" spans="15:16" x14ac:dyDescent="0.35">
      <c r="O4677" s="12" t="str">
        <f t="shared" si="160"/>
        <v/>
      </c>
      <c r="P4677" s="12" t="str">
        <f t="shared" si="161"/>
        <v/>
      </c>
    </row>
    <row r="4678" spans="15:16" x14ac:dyDescent="0.35">
      <c r="O4678" s="12" t="str">
        <f t="shared" si="160"/>
        <v/>
      </c>
      <c r="P4678" s="12" t="str">
        <f t="shared" si="161"/>
        <v/>
      </c>
    </row>
    <row r="4679" spans="15:16" x14ac:dyDescent="0.35">
      <c r="O4679" s="12" t="str">
        <f t="shared" si="160"/>
        <v/>
      </c>
      <c r="P4679" s="12" t="str">
        <f t="shared" si="161"/>
        <v/>
      </c>
    </row>
    <row r="4680" spans="15:16" x14ac:dyDescent="0.35">
      <c r="O4680" s="12" t="str">
        <f t="shared" si="160"/>
        <v/>
      </c>
      <c r="P4680" s="12" t="str">
        <f t="shared" si="161"/>
        <v/>
      </c>
    </row>
    <row r="4681" spans="15:16" x14ac:dyDescent="0.35">
      <c r="O4681" s="12" t="str">
        <f t="shared" si="160"/>
        <v/>
      </c>
      <c r="P4681" s="12" t="str">
        <f t="shared" si="161"/>
        <v/>
      </c>
    </row>
    <row r="4682" spans="15:16" x14ac:dyDescent="0.35">
      <c r="O4682" s="12" t="str">
        <f t="shared" si="160"/>
        <v/>
      </c>
      <c r="P4682" s="12" t="str">
        <f t="shared" si="161"/>
        <v/>
      </c>
    </row>
    <row r="4683" spans="15:16" x14ac:dyDescent="0.35">
      <c r="O4683" s="12" t="str">
        <f t="shared" si="160"/>
        <v/>
      </c>
      <c r="P4683" s="12" t="str">
        <f t="shared" si="161"/>
        <v/>
      </c>
    </row>
    <row r="4684" spans="15:16" x14ac:dyDescent="0.35">
      <c r="O4684" s="12" t="str">
        <f t="shared" si="160"/>
        <v/>
      </c>
      <c r="P4684" s="12" t="str">
        <f t="shared" si="161"/>
        <v/>
      </c>
    </row>
    <row r="4685" spans="15:16" x14ac:dyDescent="0.35">
      <c r="O4685" s="12" t="str">
        <f t="shared" si="160"/>
        <v/>
      </c>
      <c r="P4685" s="12" t="str">
        <f t="shared" si="161"/>
        <v/>
      </c>
    </row>
    <row r="4686" spans="15:16" x14ac:dyDescent="0.35">
      <c r="O4686" s="12" t="str">
        <f t="shared" si="160"/>
        <v/>
      </c>
      <c r="P4686" s="12" t="str">
        <f t="shared" si="161"/>
        <v/>
      </c>
    </row>
    <row r="4687" spans="15:16" x14ac:dyDescent="0.35">
      <c r="O4687" s="12" t="str">
        <f t="shared" si="160"/>
        <v/>
      </c>
      <c r="P4687" s="12" t="str">
        <f t="shared" si="161"/>
        <v/>
      </c>
    </row>
    <row r="4688" spans="15:16" x14ac:dyDescent="0.35">
      <c r="O4688" s="12" t="str">
        <f t="shared" si="160"/>
        <v/>
      </c>
      <c r="P4688" s="12" t="str">
        <f t="shared" si="161"/>
        <v/>
      </c>
    </row>
    <row r="4689" spans="15:16" x14ac:dyDescent="0.35">
      <c r="O4689" s="12" t="str">
        <f t="shared" si="160"/>
        <v/>
      </c>
      <c r="P4689" s="12" t="str">
        <f t="shared" si="161"/>
        <v/>
      </c>
    </row>
    <row r="4690" spans="15:16" x14ac:dyDescent="0.35">
      <c r="O4690" s="12" t="str">
        <f t="shared" si="160"/>
        <v/>
      </c>
      <c r="P4690" s="12" t="str">
        <f t="shared" si="161"/>
        <v/>
      </c>
    </row>
    <row r="4691" spans="15:16" x14ac:dyDescent="0.35">
      <c r="O4691" s="12" t="str">
        <f t="shared" si="160"/>
        <v/>
      </c>
      <c r="P4691" s="12" t="str">
        <f t="shared" si="161"/>
        <v/>
      </c>
    </row>
    <row r="4692" spans="15:16" x14ac:dyDescent="0.35">
      <c r="O4692" s="12" t="str">
        <f t="shared" si="160"/>
        <v/>
      </c>
      <c r="P4692" s="12" t="str">
        <f t="shared" si="161"/>
        <v/>
      </c>
    </row>
    <row r="4693" spans="15:16" x14ac:dyDescent="0.35">
      <c r="O4693" s="12" t="str">
        <f t="shared" si="160"/>
        <v/>
      </c>
      <c r="P4693" s="12" t="str">
        <f t="shared" si="161"/>
        <v/>
      </c>
    </row>
    <row r="4694" spans="15:16" x14ac:dyDescent="0.35">
      <c r="O4694" s="12" t="str">
        <f t="shared" ref="O4694:O4757" si="162">LEFT(B4694,3)</f>
        <v/>
      </c>
      <c r="P4694" s="12" t="str">
        <f t="shared" ref="P4694:P4757" si="163">LEFT(D4694,5)</f>
        <v/>
      </c>
    </row>
    <row r="4695" spans="15:16" x14ac:dyDescent="0.35">
      <c r="O4695" s="12" t="str">
        <f t="shared" si="162"/>
        <v/>
      </c>
      <c r="P4695" s="12" t="str">
        <f t="shared" si="163"/>
        <v/>
      </c>
    </row>
    <row r="4696" spans="15:16" x14ac:dyDescent="0.35">
      <c r="O4696" s="12" t="str">
        <f t="shared" si="162"/>
        <v/>
      </c>
      <c r="P4696" s="12" t="str">
        <f t="shared" si="163"/>
        <v/>
      </c>
    </row>
    <row r="4697" spans="15:16" x14ac:dyDescent="0.35">
      <c r="O4697" s="12" t="str">
        <f t="shared" si="162"/>
        <v/>
      </c>
      <c r="P4697" s="12" t="str">
        <f t="shared" si="163"/>
        <v/>
      </c>
    </row>
    <row r="4698" spans="15:16" x14ac:dyDescent="0.35">
      <c r="O4698" s="12" t="str">
        <f t="shared" si="162"/>
        <v/>
      </c>
      <c r="P4698" s="12" t="str">
        <f t="shared" si="163"/>
        <v/>
      </c>
    </row>
    <row r="4699" spans="15:16" x14ac:dyDescent="0.35">
      <c r="O4699" s="12" t="str">
        <f t="shared" si="162"/>
        <v/>
      </c>
      <c r="P4699" s="12" t="str">
        <f t="shared" si="163"/>
        <v/>
      </c>
    </row>
    <row r="4700" spans="15:16" x14ac:dyDescent="0.35">
      <c r="O4700" s="12" t="str">
        <f t="shared" si="162"/>
        <v/>
      </c>
      <c r="P4700" s="12" t="str">
        <f t="shared" si="163"/>
        <v/>
      </c>
    </row>
    <row r="4701" spans="15:16" x14ac:dyDescent="0.35">
      <c r="O4701" s="12" t="str">
        <f t="shared" si="162"/>
        <v/>
      </c>
      <c r="P4701" s="12" t="str">
        <f t="shared" si="163"/>
        <v/>
      </c>
    </row>
    <row r="4702" spans="15:16" x14ac:dyDescent="0.35">
      <c r="O4702" s="12" t="str">
        <f t="shared" si="162"/>
        <v/>
      </c>
      <c r="P4702" s="12" t="str">
        <f t="shared" si="163"/>
        <v/>
      </c>
    </row>
    <row r="4703" spans="15:16" x14ac:dyDescent="0.35">
      <c r="O4703" s="12" t="str">
        <f t="shared" si="162"/>
        <v/>
      </c>
      <c r="P4703" s="12" t="str">
        <f t="shared" si="163"/>
        <v/>
      </c>
    </row>
    <row r="4704" spans="15:16" x14ac:dyDescent="0.35">
      <c r="O4704" s="12" t="str">
        <f t="shared" si="162"/>
        <v/>
      </c>
      <c r="P4704" s="12" t="str">
        <f t="shared" si="163"/>
        <v/>
      </c>
    </row>
    <row r="4705" spans="15:16" x14ac:dyDescent="0.35">
      <c r="O4705" s="12" t="str">
        <f t="shared" si="162"/>
        <v/>
      </c>
      <c r="P4705" s="12" t="str">
        <f t="shared" si="163"/>
        <v/>
      </c>
    </row>
    <row r="4706" spans="15:16" x14ac:dyDescent="0.35">
      <c r="O4706" s="12" t="str">
        <f t="shared" si="162"/>
        <v/>
      </c>
      <c r="P4706" s="12" t="str">
        <f t="shared" si="163"/>
        <v/>
      </c>
    </row>
    <row r="4707" spans="15:16" x14ac:dyDescent="0.35">
      <c r="O4707" s="12" t="str">
        <f t="shared" si="162"/>
        <v/>
      </c>
      <c r="P4707" s="12" t="str">
        <f t="shared" si="163"/>
        <v/>
      </c>
    </row>
    <row r="4708" spans="15:16" x14ac:dyDescent="0.35">
      <c r="O4708" s="12" t="str">
        <f t="shared" si="162"/>
        <v/>
      </c>
      <c r="P4708" s="12" t="str">
        <f t="shared" si="163"/>
        <v/>
      </c>
    </row>
    <row r="4709" spans="15:16" x14ac:dyDescent="0.35">
      <c r="O4709" s="12" t="str">
        <f t="shared" si="162"/>
        <v/>
      </c>
      <c r="P4709" s="12" t="str">
        <f t="shared" si="163"/>
        <v/>
      </c>
    </row>
    <row r="4710" spans="15:16" x14ac:dyDescent="0.35">
      <c r="O4710" s="12" t="str">
        <f t="shared" si="162"/>
        <v/>
      </c>
      <c r="P4710" s="12" t="str">
        <f t="shared" si="163"/>
        <v/>
      </c>
    </row>
    <row r="4711" spans="15:16" x14ac:dyDescent="0.35">
      <c r="O4711" s="12" t="str">
        <f t="shared" si="162"/>
        <v/>
      </c>
      <c r="P4711" s="12" t="str">
        <f t="shared" si="163"/>
        <v/>
      </c>
    </row>
    <row r="4712" spans="15:16" x14ac:dyDescent="0.35">
      <c r="O4712" s="12" t="str">
        <f t="shared" si="162"/>
        <v/>
      </c>
      <c r="P4712" s="12" t="str">
        <f t="shared" si="163"/>
        <v/>
      </c>
    </row>
    <row r="4713" spans="15:16" x14ac:dyDescent="0.35">
      <c r="O4713" s="12" t="str">
        <f t="shared" si="162"/>
        <v/>
      </c>
      <c r="P4713" s="12" t="str">
        <f t="shared" si="163"/>
        <v/>
      </c>
    </row>
    <row r="4714" spans="15:16" x14ac:dyDescent="0.35">
      <c r="O4714" s="12" t="str">
        <f t="shared" si="162"/>
        <v/>
      </c>
      <c r="P4714" s="12" t="str">
        <f t="shared" si="163"/>
        <v/>
      </c>
    </row>
    <row r="4715" spans="15:16" x14ac:dyDescent="0.35">
      <c r="O4715" s="12" t="str">
        <f t="shared" si="162"/>
        <v/>
      </c>
      <c r="P4715" s="12" t="str">
        <f t="shared" si="163"/>
        <v/>
      </c>
    </row>
    <row r="4716" spans="15:16" x14ac:dyDescent="0.35">
      <c r="O4716" s="12" t="str">
        <f t="shared" si="162"/>
        <v/>
      </c>
      <c r="P4716" s="12" t="str">
        <f t="shared" si="163"/>
        <v/>
      </c>
    </row>
    <row r="4717" spans="15:16" x14ac:dyDescent="0.35">
      <c r="O4717" s="12" t="str">
        <f t="shared" si="162"/>
        <v/>
      </c>
      <c r="P4717" s="12" t="str">
        <f t="shared" si="163"/>
        <v/>
      </c>
    </row>
    <row r="4718" spans="15:16" x14ac:dyDescent="0.35">
      <c r="O4718" s="12" t="str">
        <f t="shared" si="162"/>
        <v/>
      </c>
      <c r="P4718" s="12" t="str">
        <f t="shared" si="163"/>
        <v/>
      </c>
    </row>
    <row r="4719" spans="15:16" x14ac:dyDescent="0.35">
      <c r="O4719" s="12" t="str">
        <f t="shared" si="162"/>
        <v/>
      </c>
      <c r="P4719" s="12" t="str">
        <f t="shared" si="163"/>
        <v/>
      </c>
    </row>
    <row r="4720" spans="15:16" x14ac:dyDescent="0.35">
      <c r="O4720" s="12" t="str">
        <f t="shared" si="162"/>
        <v/>
      </c>
      <c r="P4720" s="12" t="str">
        <f t="shared" si="163"/>
        <v/>
      </c>
    </row>
    <row r="4721" spans="15:16" x14ac:dyDescent="0.35">
      <c r="O4721" s="12" t="str">
        <f t="shared" si="162"/>
        <v/>
      </c>
      <c r="P4721" s="12" t="str">
        <f t="shared" si="163"/>
        <v/>
      </c>
    </row>
    <row r="4722" spans="15:16" x14ac:dyDescent="0.35">
      <c r="O4722" s="12" t="str">
        <f t="shared" si="162"/>
        <v/>
      </c>
      <c r="P4722" s="12" t="str">
        <f t="shared" si="163"/>
        <v/>
      </c>
    </row>
    <row r="4723" spans="15:16" x14ac:dyDescent="0.35">
      <c r="O4723" s="12" t="str">
        <f t="shared" si="162"/>
        <v/>
      </c>
      <c r="P4723" s="12" t="str">
        <f t="shared" si="163"/>
        <v/>
      </c>
    </row>
    <row r="4724" spans="15:16" x14ac:dyDescent="0.35">
      <c r="O4724" s="12" t="str">
        <f t="shared" si="162"/>
        <v/>
      </c>
      <c r="P4724" s="12" t="str">
        <f t="shared" si="163"/>
        <v/>
      </c>
    </row>
    <row r="4725" spans="15:16" x14ac:dyDescent="0.35">
      <c r="O4725" s="12" t="str">
        <f t="shared" si="162"/>
        <v/>
      </c>
      <c r="P4725" s="12" t="str">
        <f t="shared" si="163"/>
        <v/>
      </c>
    </row>
    <row r="4726" spans="15:16" x14ac:dyDescent="0.35">
      <c r="O4726" s="12" t="str">
        <f t="shared" si="162"/>
        <v/>
      </c>
      <c r="P4726" s="12" t="str">
        <f t="shared" si="163"/>
        <v/>
      </c>
    </row>
    <row r="4727" spans="15:16" x14ac:dyDescent="0.35">
      <c r="O4727" s="12" t="str">
        <f t="shared" si="162"/>
        <v/>
      </c>
      <c r="P4727" s="12" t="str">
        <f t="shared" si="163"/>
        <v/>
      </c>
    </row>
    <row r="4728" spans="15:16" x14ac:dyDescent="0.35">
      <c r="O4728" s="12" t="str">
        <f t="shared" si="162"/>
        <v/>
      </c>
      <c r="P4728" s="12" t="str">
        <f t="shared" si="163"/>
        <v/>
      </c>
    </row>
    <row r="4729" spans="15:16" x14ac:dyDescent="0.35">
      <c r="O4729" s="12" t="str">
        <f t="shared" si="162"/>
        <v/>
      </c>
      <c r="P4729" s="12" t="str">
        <f t="shared" si="163"/>
        <v/>
      </c>
    </row>
    <row r="4730" spans="15:16" x14ac:dyDescent="0.35">
      <c r="O4730" s="12" t="str">
        <f t="shared" si="162"/>
        <v/>
      </c>
      <c r="P4730" s="12" t="str">
        <f t="shared" si="163"/>
        <v/>
      </c>
    </row>
    <row r="4731" spans="15:16" x14ac:dyDescent="0.35">
      <c r="O4731" s="12" t="str">
        <f t="shared" si="162"/>
        <v/>
      </c>
      <c r="P4731" s="12" t="str">
        <f t="shared" si="163"/>
        <v/>
      </c>
    </row>
    <row r="4732" spans="15:16" x14ac:dyDescent="0.35">
      <c r="O4732" s="12" t="str">
        <f t="shared" si="162"/>
        <v/>
      </c>
      <c r="P4732" s="12" t="str">
        <f t="shared" si="163"/>
        <v/>
      </c>
    </row>
    <row r="4733" spans="15:16" x14ac:dyDescent="0.35">
      <c r="O4733" s="12" t="str">
        <f t="shared" si="162"/>
        <v/>
      </c>
      <c r="P4733" s="12" t="str">
        <f t="shared" si="163"/>
        <v/>
      </c>
    </row>
    <row r="4734" spans="15:16" x14ac:dyDescent="0.35">
      <c r="O4734" s="12" t="str">
        <f t="shared" si="162"/>
        <v/>
      </c>
      <c r="P4734" s="12" t="str">
        <f t="shared" si="163"/>
        <v/>
      </c>
    </row>
    <row r="4735" spans="15:16" x14ac:dyDescent="0.35">
      <c r="O4735" s="12" t="str">
        <f t="shared" si="162"/>
        <v/>
      </c>
      <c r="P4735" s="12" t="str">
        <f t="shared" si="163"/>
        <v/>
      </c>
    </row>
    <row r="4736" spans="15:16" x14ac:dyDescent="0.35">
      <c r="O4736" s="12" t="str">
        <f t="shared" si="162"/>
        <v/>
      </c>
      <c r="P4736" s="12" t="str">
        <f t="shared" si="163"/>
        <v/>
      </c>
    </row>
    <row r="4737" spans="15:16" x14ac:dyDescent="0.35">
      <c r="O4737" s="12" t="str">
        <f t="shared" si="162"/>
        <v/>
      </c>
      <c r="P4737" s="12" t="str">
        <f t="shared" si="163"/>
        <v/>
      </c>
    </row>
    <row r="4738" spans="15:16" x14ac:dyDescent="0.35">
      <c r="O4738" s="12" t="str">
        <f t="shared" si="162"/>
        <v/>
      </c>
      <c r="P4738" s="12" t="str">
        <f t="shared" si="163"/>
        <v/>
      </c>
    </row>
    <row r="4739" spans="15:16" x14ac:dyDescent="0.35">
      <c r="O4739" s="12" t="str">
        <f t="shared" si="162"/>
        <v/>
      </c>
      <c r="P4739" s="12" t="str">
        <f t="shared" si="163"/>
        <v/>
      </c>
    </row>
    <row r="4740" spans="15:16" x14ac:dyDescent="0.35">
      <c r="O4740" s="12" t="str">
        <f t="shared" si="162"/>
        <v/>
      </c>
      <c r="P4740" s="12" t="str">
        <f t="shared" si="163"/>
        <v/>
      </c>
    </row>
    <row r="4741" spans="15:16" x14ac:dyDescent="0.35">
      <c r="O4741" s="12" t="str">
        <f t="shared" si="162"/>
        <v/>
      </c>
      <c r="P4741" s="12" t="str">
        <f t="shared" si="163"/>
        <v/>
      </c>
    </row>
    <row r="4742" spans="15:16" x14ac:dyDescent="0.35">
      <c r="O4742" s="12" t="str">
        <f t="shared" si="162"/>
        <v/>
      </c>
      <c r="P4742" s="12" t="str">
        <f t="shared" si="163"/>
        <v/>
      </c>
    </row>
    <row r="4743" spans="15:16" x14ac:dyDescent="0.35">
      <c r="O4743" s="12" t="str">
        <f t="shared" si="162"/>
        <v/>
      </c>
      <c r="P4743" s="12" t="str">
        <f t="shared" si="163"/>
        <v/>
      </c>
    </row>
    <row r="4744" spans="15:16" x14ac:dyDescent="0.35">
      <c r="O4744" s="12" t="str">
        <f t="shared" si="162"/>
        <v/>
      </c>
      <c r="P4744" s="12" t="str">
        <f t="shared" si="163"/>
        <v/>
      </c>
    </row>
    <row r="4745" spans="15:16" x14ac:dyDescent="0.35">
      <c r="O4745" s="12" t="str">
        <f t="shared" si="162"/>
        <v/>
      </c>
      <c r="P4745" s="12" t="str">
        <f t="shared" si="163"/>
        <v/>
      </c>
    </row>
    <row r="4746" spans="15:16" x14ac:dyDescent="0.35">
      <c r="O4746" s="12" t="str">
        <f t="shared" si="162"/>
        <v/>
      </c>
      <c r="P4746" s="12" t="str">
        <f t="shared" si="163"/>
        <v/>
      </c>
    </row>
    <row r="4747" spans="15:16" x14ac:dyDescent="0.35">
      <c r="O4747" s="12" t="str">
        <f t="shared" si="162"/>
        <v/>
      </c>
      <c r="P4747" s="12" t="str">
        <f t="shared" si="163"/>
        <v/>
      </c>
    </row>
    <row r="4748" spans="15:16" x14ac:dyDescent="0.35">
      <c r="O4748" s="12" t="str">
        <f t="shared" si="162"/>
        <v/>
      </c>
      <c r="P4748" s="12" t="str">
        <f t="shared" si="163"/>
        <v/>
      </c>
    </row>
    <row r="4749" spans="15:16" x14ac:dyDescent="0.35">
      <c r="O4749" s="12" t="str">
        <f t="shared" si="162"/>
        <v/>
      </c>
      <c r="P4749" s="12" t="str">
        <f t="shared" si="163"/>
        <v/>
      </c>
    </row>
    <row r="4750" spans="15:16" x14ac:dyDescent="0.35">
      <c r="O4750" s="12" t="str">
        <f t="shared" si="162"/>
        <v/>
      </c>
      <c r="P4750" s="12" t="str">
        <f t="shared" si="163"/>
        <v/>
      </c>
    </row>
    <row r="4751" spans="15:16" x14ac:dyDescent="0.35">
      <c r="O4751" s="12" t="str">
        <f t="shared" si="162"/>
        <v/>
      </c>
      <c r="P4751" s="12" t="str">
        <f t="shared" si="163"/>
        <v/>
      </c>
    </row>
    <row r="4752" spans="15:16" x14ac:dyDescent="0.35">
      <c r="O4752" s="12" t="str">
        <f t="shared" si="162"/>
        <v/>
      </c>
      <c r="P4752" s="12" t="str">
        <f t="shared" si="163"/>
        <v/>
      </c>
    </row>
    <row r="4753" spans="15:16" x14ac:dyDescent="0.35">
      <c r="O4753" s="12" t="str">
        <f t="shared" si="162"/>
        <v/>
      </c>
      <c r="P4753" s="12" t="str">
        <f t="shared" si="163"/>
        <v/>
      </c>
    </row>
    <row r="4754" spans="15:16" x14ac:dyDescent="0.35">
      <c r="O4754" s="12" t="str">
        <f t="shared" si="162"/>
        <v/>
      </c>
      <c r="P4754" s="12" t="str">
        <f t="shared" si="163"/>
        <v/>
      </c>
    </row>
    <row r="4755" spans="15:16" x14ac:dyDescent="0.35">
      <c r="O4755" s="12" t="str">
        <f t="shared" si="162"/>
        <v/>
      </c>
      <c r="P4755" s="12" t="str">
        <f t="shared" si="163"/>
        <v/>
      </c>
    </row>
    <row r="4756" spans="15:16" x14ac:dyDescent="0.35">
      <c r="O4756" s="12" t="str">
        <f t="shared" si="162"/>
        <v/>
      </c>
      <c r="P4756" s="12" t="str">
        <f t="shared" si="163"/>
        <v/>
      </c>
    </row>
    <row r="4757" spans="15:16" x14ac:dyDescent="0.35">
      <c r="O4757" s="12" t="str">
        <f t="shared" si="162"/>
        <v/>
      </c>
      <c r="P4757" s="12" t="str">
        <f t="shared" si="163"/>
        <v/>
      </c>
    </row>
    <row r="4758" spans="15:16" x14ac:dyDescent="0.35">
      <c r="O4758" s="12" t="str">
        <f t="shared" ref="O4758:O4821" si="164">LEFT(B4758,3)</f>
        <v/>
      </c>
      <c r="P4758" s="12" t="str">
        <f t="shared" ref="P4758:P4821" si="165">LEFT(D4758,5)</f>
        <v/>
      </c>
    </row>
    <row r="4759" spans="15:16" x14ac:dyDescent="0.35">
      <c r="O4759" s="12" t="str">
        <f t="shared" si="164"/>
        <v/>
      </c>
      <c r="P4759" s="12" t="str">
        <f t="shared" si="165"/>
        <v/>
      </c>
    </row>
    <row r="4760" spans="15:16" x14ac:dyDescent="0.35">
      <c r="O4760" s="12" t="str">
        <f t="shared" si="164"/>
        <v/>
      </c>
      <c r="P4760" s="12" t="str">
        <f t="shared" si="165"/>
        <v/>
      </c>
    </row>
    <row r="4761" spans="15:16" x14ac:dyDescent="0.35">
      <c r="O4761" s="12" t="str">
        <f t="shared" si="164"/>
        <v/>
      </c>
      <c r="P4761" s="12" t="str">
        <f t="shared" si="165"/>
        <v/>
      </c>
    </row>
    <row r="4762" spans="15:16" x14ac:dyDescent="0.35">
      <c r="O4762" s="12" t="str">
        <f t="shared" si="164"/>
        <v/>
      </c>
      <c r="P4762" s="12" t="str">
        <f t="shared" si="165"/>
        <v/>
      </c>
    </row>
    <row r="4763" spans="15:16" x14ac:dyDescent="0.35">
      <c r="O4763" s="12" t="str">
        <f t="shared" si="164"/>
        <v/>
      </c>
      <c r="P4763" s="12" t="str">
        <f t="shared" si="165"/>
        <v/>
      </c>
    </row>
    <row r="4764" spans="15:16" x14ac:dyDescent="0.35">
      <c r="O4764" s="12" t="str">
        <f t="shared" si="164"/>
        <v/>
      </c>
      <c r="P4764" s="12" t="str">
        <f t="shared" si="165"/>
        <v/>
      </c>
    </row>
    <row r="4765" spans="15:16" x14ac:dyDescent="0.35">
      <c r="O4765" s="12" t="str">
        <f t="shared" si="164"/>
        <v/>
      </c>
      <c r="P4765" s="12" t="str">
        <f t="shared" si="165"/>
        <v/>
      </c>
    </row>
    <row r="4766" spans="15:16" x14ac:dyDescent="0.35">
      <c r="O4766" s="12" t="str">
        <f t="shared" si="164"/>
        <v/>
      </c>
      <c r="P4766" s="12" t="str">
        <f t="shared" si="165"/>
        <v/>
      </c>
    </row>
    <row r="4767" spans="15:16" x14ac:dyDescent="0.35">
      <c r="O4767" s="12" t="str">
        <f t="shared" si="164"/>
        <v/>
      </c>
      <c r="P4767" s="12" t="str">
        <f t="shared" si="165"/>
        <v/>
      </c>
    </row>
    <row r="4768" spans="15:16" x14ac:dyDescent="0.35">
      <c r="O4768" s="12" t="str">
        <f t="shared" si="164"/>
        <v/>
      </c>
      <c r="P4768" s="12" t="str">
        <f t="shared" si="165"/>
        <v/>
      </c>
    </row>
    <row r="4769" spans="15:16" x14ac:dyDescent="0.35">
      <c r="O4769" s="12" t="str">
        <f t="shared" si="164"/>
        <v/>
      </c>
      <c r="P4769" s="12" t="str">
        <f t="shared" si="165"/>
        <v/>
      </c>
    </row>
    <row r="4770" spans="15:16" x14ac:dyDescent="0.35">
      <c r="O4770" s="12" t="str">
        <f t="shared" si="164"/>
        <v/>
      </c>
      <c r="P4770" s="12" t="str">
        <f t="shared" si="165"/>
        <v/>
      </c>
    </row>
    <row r="4771" spans="15:16" x14ac:dyDescent="0.35">
      <c r="O4771" s="12" t="str">
        <f t="shared" si="164"/>
        <v/>
      </c>
      <c r="P4771" s="12" t="str">
        <f t="shared" si="165"/>
        <v/>
      </c>
    </row>
    <row r="4772" spans="15:16" x14ac:dyDescent="0.35">
      <c r="O4772" s="12" t="str">
        <f t="shared" si="164"/>
        <v/>
      </c>
      <c r="P4772" s="12" t="str">
        <f t="shared" si="165"/>
        <v/>
      </c>
    </row>
    <row r="4773" spans="15:16" x14ac:dyDescent="0.35">
      <c r="O4773" s="12" t="str">
        <f t="shared" si="164"/>
        <v/>
      </c>
      <c r="P4773" s="12" t="str">
        <f t="shared" si="165"/>
        <v/>
      </c>
    </row>
    <row r="4774" spans="15:16" x14ac:dyDescent="0.35">
      <c r="O4774" s="12" t="str">
        <f t="shared" si="164"/>
        <v/>
      </c>
      <c r="P4774" s="12" t="str">
        <f t="shared" si="165"/>
        <v/>
      </c>
    </row>
    <row r="4775" spans="15:16" x14ac:dyDescent="0.35">
      <c r="O4775" s="12" t="str">
        <f t="shared" si="164"/>
        <v/>
      </c>
      <c r="P4775" s="12" t="str">
        <f t="shared" si="165"/>
        <v/>
      </c>
    </row>
    <row r="4776" spans="15:16" x14ac:dyDescent="0.35">
      <c r="O4776" s="12" t="str">
        <f t="shared" si="164"/>
        <v/>
      </c>
      <c r="P4776" s="12" t="str">
        <f t="shared" si="165"/>
        <v/>
      </c>
    </row>
    <row r="4777" spans="15:16" x14ac:dyDescent="0.35">
      <c r="O4777" s="12" t="str">
        <f t="shared" si="164"/>
        <v/>
      </c>
      <c r="P4777" s="12" t="str">
        <f t="shared" si="165"/>
        <v/>
      </c>
    </row>
    <row r="4778" spans="15:16" x14ac:dyDescent="0.35">
      <c r="O4778" s="12" t="str">
        <f t="shared" si="164"/>
        <v/>
      </c>
      <c r="P4778" s="12" t="str">
        <f t="shared" si="165"/>
        <v/>
      </c>
    </row>
    <row r="4779" spans="15:16" x14ac:dyDescent="0.35">
      <c r="O4779" s="12" t="str">
        <f t="shared" si="164"/>
        <v/>
      </c>
      <c r="P4779" s="12" t="str">
        <f t="shared" si="165"/>
        <v/>
      </c>
    </row>
    <row r="4780" spans="15:16" x14ac:dyDescent="0.35">
      <c r="O4780" s="12" t="str">
        <f t="shared" si="164"/>
        <v/>
      </c>
      <c r="P4780" s="12" t="str">
        <f t="shared" si="165"/>
        <v/>
      </c>
    </row>
    <row r="4781" spans="15:16" x14ac:dyDescent="0.35">
      <c r="O4781" s="12" t="str">
        <f t="shared" si="164"/>
        <v/>
      </c>
      <c r="P4781" s="12" t="str">
        <f t="shared" si="165"/>
        <v/>
      </c>
    </row>
    <row r="4782" spans="15:16" x14ac:dyDescent="0.35">
      <c r="O4782" s="12" t="str">
        <f t="shared" si="164"/>
        <v/>
      </c>
      <c r="P4782" s="12" t="str">
        <f t="shared" si="165"/>
        <v/>
      </c>
    </row>
    <row r="4783" spans="15:16" x14ac:dyDescent="0.35">
      <c r="O4783" s="12" t="str">
        <f t="shared" si="164"/>
        <v/>
      </c>
      <c r="P4783" s="12" t="str">
        <f t="shared" si="165"/>
        <v/>
      </c>
    </row>
    <row r="4784" spans="15:16" x14ac:dyDescent="0.35">
      <c r="O4784" s="12" t="str">
        <f t="shared" si="164"/>
        <v/>
      </c>
      <c r="P4784" s="12" t="str">
        <f t="shared" si="165"/>
        <v/>
      </c>
    </row>
    <row r="4785" spans="15:16" x14ac:dyDescent="0.35">
      <c r="O4785" s="12" t="str">
        <f t="shared" si="164"/>
        <v/>
      </c>
      <c r="P4785" s="12" t="str">
        <f t="shared" si="165"/>
        <v/>
      </c>
    </row>
    <row r="4786" spans="15:16" x14ac:dyDescent="0.35">
      <c r="O4786" s="12" t="str">
        <f t="shared" si="164"/>
        <v/>
      </c>
      <c r="P4786" s="12" t="str">
        <f t="shared" si="165"/>
        <v/>
      </c>
    </row>
    <row r="4787" spans="15:16" x14ac:dyDescent="0.35">
      <c r="O4787" s="12" t="str">
        <f t="shared" si="164"/>
        <v/>
      </c>
      <c r="P4787" s="12" t="str">
        <f t="shared" si="165"/>
        <v/>
      </c>
    </row>
    <row r="4788" spans="15:16" x14ac:dyDescent="0.35">
      <c r="O4788" s="12" t="str">
        <f t="shared" si="164"/>
        <v/>
      </c>
      <c r="P4788" s="12" t="str">
        <f t="shared" si="165"/>
        <v/>
      </c>
    </row>
    <row r="4789" spans="15:16" x14ac:dyDescent="0.35">
      <c r="O4789" s="12" t="str">
        <f t="shared" si="164"/>
        <v/>
      </c>
      <c r="P4789" s="12" t="str">
        <f t="shared" si="165"/>
        <v/>
      </c>
    </row>
    <row r="4790" spans="15:16" x14ac:dyDescent="0.35">
      <c r="O4790" s="12" t="str">
        <f t="shared" si="164"/>
        <v/>
      </c>
      <c r="P4790" s="12" t="str">
        <f t="shared" si="165"/>
        <v/>
      </c>
    </row>
    <row r="4791" spans="15:16" x14ac:dyDescent="0.35">
      <c r="O4791" s="12" t="str">
        <f t="shared" si="164"/>
        <v/>
      </c>
      <c r="P4791" s="12" t="str">
        <f t="shared" si="165"/>
        <v/>
      </c>
    </row>
    <row r="4792" spans="15:16" x14ac:dyDescent="0.35">
      <c r="O4792" s="12" t="str">
        <f t="shared" si="164"/>
        <v/>
      </c>
      <c r="P4792" s="12" t="str">
        <f t="shared" si="165"/>
        <v/>
      </c>
    </row>
    <row r="4793" spans="15:16" x14ac:dyDescent="0.35">
      <c r="O4793" s="12" t="str">
        <f t="shared" si="164"/>
        <v/>
      </c>
      <c r="P4793" s="12" t="str">
        <f t="shared" si="165"/>
        <v/>
      </c>
    </row>
    <row r="4794" spans="15:16" x14ac:dyDescent="0.35">
      <c r="O4794" s="12" t="str">
        <f t="shared" si="164"/>
        <v/>
      </c>
      <c r="P4794" s="12" t="str">
        <f t="shared" si="165"/>
        <v/>
      </c>
    </row>
    <row r="4795" spans="15:16" x14ac:dyDescent="0.35">
      <c r="O4795" s="12" t="str">
        <f t="shared" si="164"/>
        <v/>
      </c>
      <c r="P4795" s="12" t="str">
        <f t="shared" si="165"/>
        <v/>
      </c>
    </row>
    <row r="4796" spans="15:16" x14ac:dyDescent="0.35">
      <c r="O4796" s="12" t="str">
        <f t="shared" si="164"/>
        <v/>
      </c>
      <c r="P4796" s="12" t="str">
        <f t="shared" si="165"/>
        <v/>
      </c>
    </row>
    <row r="4797" spans="15:16" x14ac:dyDescent="0.35">
      <c r="O4797" s="12" t="str">
        <f t="shared" si="164"/>
        <v/>
      </c>
      <c r="P4797" s="12" t="str">
        <f t="shared" si="165"/>
        <v/>
      </c>
    </row>
    <row r="4798" spans="15:16" x14ac:dyDescent="0.35">
      <c r="O4798" s="12" t="str">
        <f t="shared" si="164"/>
        <v/>
      </c>
      <c r="P4798" s="12" t="str">
        <f t="shared" si="165"/>
        <v/>
      </c>
    </row>
    <row r="4799" spans="15:16" x14ac:dyDescent="0.35">
      <c r="O4799" s="12" t="str">
        <f t="shared" si="164"/>
        <v/>
      </c>
      <c r="P4799" s="12" t="str">
        <f t="shared" si="165"/>
        <v/>
      </c>
    </row>
    <row r="4800" spans="15:16" x14ac:dyDescent="0.35">
      <c r="O4800" s="12" t="str">
        <f t="shared" si="164"/>
        <v/>
      </c>
      <c r="P4800" s="12" t="str">
        <f t="shared" si="165"/>
        <v/>
      </c>
    </row>
    <row r="4801" spans="15:16" x14ac:dyDescent="0.35">
      <c r="O4801" s="12" t="str">
        <f t="shared" si="164"/>
        <v/>
      </c>
      <c r="P4801" s="12" t="str">
        <f t="shared" si="165"/>
        <v/>
      </c>
    </row>
    <row r="4802" spans="15:16" x14ac:dyDescent="0.35">
      <c r="O4802" s="12" t="str">
        <f t="shared" si="164"/>
        <v/>
      </c>
      <c r="P4802" s="12" t="str">
        <f t="shared" si="165"/>
        <v/>
      </c>
    </row>
    <row r="4803" spans="15:16" x14ac:dyDescent="0.35">
      <c r="O4803" s="12" t="str">
        <f t="shared" si="164"/>
        <v/>
      </c>
      <c r="P4803" s="12" t="str">
        <f t="shared" si="165"/>
        <v/>
      </c>
    </row>
    <row r="4804" spans="15:16" x14ac:dyDescent="0.35">
      <c r="O4804" s="12" t="str">
        <f t="shared" si="164"/>
        <v/>
      </c>
      <c r="P4804" s="12" t="str">
        <f t="shared" si="165"/>
        <v/>
      </c>
    </row>
    <row r="4805" spans="15:16" x14ac:dyDescent="0.35">
      <c r="O4805" s="12" t="str">
        <f t="shared" si="164"/>
        <v/>
      </c>
      <c r="P4805" s="12" t="str">
        <f t="shared" si="165"/>
        <v/>
      </c>
    </row>
    <row r="4806" spans="15:16" x14ac:dyDescent="0.35">
      <c r="O4806" s="12" t="str">
        <f t="shared" si="164"/>
        <v/>
      </c>
      <c r="P4806" s="12" t="str">
        <f t="shared" si="165"/>
        <v/>
      </c>
    </row>
    <row r="4807" spans="15:16" x14ac:dyDescent="0.35">
      <c r="O4807" s="12" t="str">
        <f t="shared" si="164"/>
        <v/>
      </c>
      <c r="P4807" s="12" t="str">
        <f t="shared" si="165"/>
        <v/>
      </c>
    </row>
    <row r="4808" spans="15:16" x14ac:dyDescent="0.35">
      <c r="O4808" s="12" t="str">
        <f t="shared" si="164"/>
        <v/>
      </c>
      <c r="P4808" s="12" t="str">
        <f t="shared" si="165"/>
        <v/>
      </c>
    </row>
    <row r="4809" spans="15:16" x14ac:dyDescent="0.35">
      <c r="O4809" s="12" t="str">
        <f t="shared" si="164"/>
        <v/>
      </c>
      <c r="P4809" s="12" t="str">
        <f t="shared" si="165"/>
        <v/>
      </c>
    </row>
    <row r="4810" spans="15:16" x14ac:dyDescent="0.35">
      <c r="O4810" s="12" t="str">
        <f t="shared" si="164"/>
        <v/>
      </c>
      <c r="P4810" s="12" t="str">
        <f t="shared" si="165"/>
        <v/>
      </c>
    </row>
    <row r="4811" spans="15:16" x14ac:dyDescent="0.35">
      <c r="O4811" s="12" t="str">
        <f t="shared" si="164"/>
        <v/>
      </c>
      <c r="P4811" s="12" t="str">
        <f t="shared" si="165"/>
        <v/>
      </c>
    </row>
    <row r="4812" spans="15:16" x14ac:dyDescent="0.35">
      <c r="O4812" s="12" t="str">
        <f t="shared" si="164"/>
        <v/>
      </c>
      <c r="P4812" s="12" t="str">
        <f t="shared" si="165"/>
        <v/>
      </c>
    </row>
    <row r="4813" spans="15:16" x14ac:dyDescent="0.35">
      <c r="O4813" s="12" t="str">
        <f t="shared" si="164"/>
        <v/>
      </c>
      <c r="P4813" s="12" t="str">
        <f t="shared" si="165"/>
        <v/>
      </c>
    </row>
    <row r="4814" spans="15:16" x14ac:dyDescent="0.35">
      <c r="O4814" s="12" t="str">
        <f t="shared" si="164"/>
        <v/>
      </c>
      <c r="P4814" s="12" t="str">
        <f t="shared" si="165"/>
        <v/>
      </c>
    </row>
    <row r="4815" spans="15:16" x14ac:dyDescent="0.35">
      <c r="O4815" s="12" t="str">
        <f t="shared" si="164"/>
        <v/>
      </c>
      <c r="P4815" s="12" t="str">
        <f t="shared" si="165"/>
        <v/>
      </c>
    </row>
    <row r="4816" spans="15:16" x14ac:dyDescent="0.35">
      <c r="O4816" s="12" t="str">
        <f t="shared" si="164"/>
        <v/>
      </c>
      <c r="P4816" s="12" t="str">
        <f t="shared" si="165"/>
        <v/>
      </c>
    </row>
    <row r="4817" spans="15:16" x14ac:dyDescent="0.35">
      <c r="O4817" s="12" t="str">
        <f t="shared" si="164"/>
        <v/>
      </c>
      <c r="P4817" s="12" t="str">
        <f t="shared" si="165"/>
        <v/>
      </c>
    </row>
    <row r="4818" spans="15:16" x14ac:dyDescent="0.35">
      <c r="O4818" s="12" t="str">
        <f t="shared" si="164"/>
        <v/>
      </c>
      <c r="P4818" s="12" t="str">
        <f t="shared" si="165"/>
        <v/>
      </c>
    </row>
    <row r="4819" spans="15:16" x14ac:dyDescent="0.35">
      <c r="O4819" s="12" t="str">
        <f t="shared" si="164"/>
        <v/>
      </c>
      <c r="P4819" s="12" t="str">
        <f t="shared" si="165"/>
        <v/>
      </c>
    </row>
    <row r="4820" spans="15:16" x14ac:dyDescent="0.35">
      <c r="O4820" s="12" t="str">
        <f t="shared" si="164"/>
        <v/>
      </c>
      <c r="P4820" s="12" t="str">
        <f t="shared" si="165"/>
        <v/>
      </c>
    </row>
    <row r="4821" spans="15:16" x14ac:dyDescent="0.35">
      <c r="O4821" s="12" t="str">
        <f t="shared" si="164"/>
        <v/>
      </c>
      <c r="P4821" s="12" t="str">
        <f t="shared" si="165"/>
        <v/>
      </c>
    </row>
    <row r="4822" spans="15:16" x14ac:dyDescent="0.35">
      <c r="O4822" s="12" t="str">
        <f t="shared" ref="O4822:O4885" si="166">LEFT(B4822,3)</f>
        <v/>
      </c>
      <c r="P4822" s="12" t="str">
        <f t="shared" ref="P4822:P4885" si="167">LEFT(D4822,5)</f>
        <v/>
      </c>
    </row>
    <row r="4823" spans="15:16" x14ac:dyDescent="0.35">
      <c r="O4823" s="12" t="str">
        <f t="shared" si="166"/>
        <v/>
      </c>
      <c r="P4823" s="12" t="str">
        <f t="shared" si="167"/>
        <v/>
      </c>
    </row>
    <row r="4824" spans="15:16" x14ac:dyDescent="0.35">
      <c r="O4824" s="12" t="str">
        <f t="shared" si="166"/>
        <v/>
      </c>
      <c r="P4824" s="12" t="str">
        <f t="shared" si="167"/>
        <v/>
      </c>
    </row>
    <row r="4825" spans="15:16" x14ac:dyDescent="0.35">
      <c r="O4825" s="12" t="str">
        <f t="shared" si="166"/>
        <v/>
      </c>
      <c r="P4825" s="12" t="str">
        <f t="shared" si="167"/>
        <v/>
      </c>
    </row>
    <row r="4826" spans="15:16" x14ac:dyDescent="0.35">
      <c r="O4826" s="12" t="str">
        <f t="shared" si="166"/>
        <v/>
      </c>
      <c r="P4826" s="12" t="str">
        <f t="shared" si="167"/>
        <v/>
      </c>
    </row>
    <row r="4827" spans="15:16" x14ac:dyDescent="0.35">
      <c r="O4827" s="12" t="str">
        <f t="shared" si="166"/>
        <v/>
      </c>
      <c r="P4827" s="12" t="str">
        <f t="shared" si="167"/>
        <v/>
      </c>
    </row>
    <row r="4828" spans="15:16" x14ac:dyDescent="0.35">
      <c r="O4828" s="12" t="str">
        <f t="shared" si="166"/>
        <v/>
      </c>
      <c r="P4828" s="12" t="str">
        <f t="shared" si="167"/>
        <v/>
      </c>
    </row>
    <row r="4829" spans="15:16" x14ac:dyDescent="0.35">
      <c r="O4829" s="12" t="str">
        <f t="shared" si="166"/>
        <v/>
      </c>
      <c r="P4829" s="12" t="str">
        <f t="shared" si="167"/>
        <v/>
      </c>
    </row>
    <row r="4830" spans="15:16" x14ac:dyDescent="0.35">
      <c r="O4830" s="12" t="str">
        <f t="shared" si="166"/>
        <v/>
      </c>
      <c r="P4830" s="12" t="str">
        <f t="shared" si="167"/>
        <v/>
      </c>
    </row>
    <row r="4831" spans="15:16" x14ac:dyDescent="0.35">
      <c r="O4831" s="12" t="str">
        <f t="shared" si="166"/>
        <v/>
      </c>
      <c r="P4831" s="12" t="str">
        <f t="shared" si="167"/>
        <v/>
      </c>
    </row>
    <row r="4832" spans="15:16" x14ac:dyDescent="0.35">
      <c r="O4832" s="12" t="str">
        <f t="shared" si="166"/>
        <v/>
      </c>
      <c r="P4832" s="12" t="str">
        <f t="shared" si="167"/>
        <v/>
      </c>
    </row>
    <row r="4833" spans="15:16" x14ac:dyDescent="0.35">
      <c r="O4833" s="12" t="str">
        <f t="shared" si="166"/>
        <v/>
      </c>
      <c r="P4833" s="12" t="str">
        <f t="shared" si="167"/>
        <v/>
      </c>
    </row>
    <row r="4834" spans="15:16" x14ac:dyDescent="0.35">
      <c r="O4834" s="12" t="str">
        <f t="shared" si="166"/>
        <v/>
      </c>
      <c r="P4834" s="12" t="str">
        <f t="shared" si="167"/>
        <v/>
      </c>
    </row>
    <row r="4835" spans="15:16" x14ac:dyDescent="0.35">
      <c r="O4835" s="12" t="str">
        <f t="shared" si="166"/>
        <v/>
      </c>
      <c r="P4835" s="12" t="str">
        <f t="shared" si="167"/>
        <v/>
      </c>
    </row>
    <row r="4836" spans="15:16" x14ac:dyDescent="0.35">
      <c r="O4836" s="12" t="str">
        <f t="shared" si="166"/>
        <v/>
      </c>
      <c r="P4836" s="12" t="str">
        <f t="shared" si="167"/>
        <v/>
      </c>
    </row>
    <row r="4837" spans="15:16" x14ac:dyDescent="0.35">
      <c r="O4837" s="12" t="str">
        <f t="shared" si="166"/>
        <v/>
      </c>
      <c r="P4837" s="12" t="str">
        <f t="shared" si="167"/>
        <v/>
      </c>
    </row>
    <row r="4838" spans="15:16" x14ac:dyDescent="0.35">
      <c r="O4838" s="12" t="str">
        <f t="shared" si="166"/>
        <v/>
      </c>
      <c r="P4838" s="12" t="str">
        <f t="shared" si="167"/>
        <v/>
      </c>
    </row>
    <row r="4839" spans="15:16" x14ac:dyDescent="0.35">
      <c r="O4839" s="12" t="str">
        <f t="shared" si="166"/>
        <v/>
      </c>
      <c r="P4839" s="12" t="str">
        <f t="shared" si="167"/>
        <v/>
      </c>
    </row>
    <row r="4840" spans="15:16" x14ac:dyDescent="0.35">
      <c r="O4840" s="12" t="str">
        <f t="shared" si="166"/>
        <v/>
      </c>
      <c r="P4840" s="12" t="str">
        <f t="shared" si="167"/>
        <v/>
      </c>
    </row>
    <row r="4841" spans="15:16" x14ac:dyDescent="0.35">
      <c r="O4841" s="12" t="str">
        <f t="shared" si="166"/>
        <v/>
      </c>
      <c r="P4841" s="12" t="str">
        <f t="shared" si="167"/>
        <v/>
      </c>
    </row>
    <row r="4842" spans="15:16" x14ac:dyDescent="0.35">
      <c r="O4842" s="12" t="str">
        <f t="shared" si="166"/>
        <v/>
      </c>
      <c r="P4842" s="12" t="str">
        <f t="shared" si="167"/>
        <v/>
      </c>
    </row>
    <row r="4843" spans="15:16" x14ac:dyDescent="0.35">
      <c r="O4843" s="12" t="str">
        <f t="shared" si="166"/>
        <v/>
      </c>
      <c r="P4843" s="12" t="str">
        <f t="shared" si="167"/>
        <v/>
      </c>
    </row>
    <row r="4844" spans="15:16" x14ac:dyDescent="0.35">
      <c r="O4844" s="12" t="str">
        <f t="shared" si="166"/>
        <v/>
      </c>
      <c r="P4844" s="12" t="str">
        <f t="shared" si="167"/>
        <v/>
      </c>
    </row>
    <row r="4845" spans="15:16" x14ac:dyDescent="0.35">
      <c r="O4845" s="12" t="str">
        <f t="shared" si="166"/>
        <v/>
      </c>
      <c r="P4845" s="12" t="str">
        <f t="shared" si="167"/>
        <v/>
      </c>
    </row>
    <row r="4846" spans="15:16" x14ac:dyDescent="0.35">
      <c r="O4846" s="12" t="str">
        <f t="shared" si="166"/>
        <v/>
      </c>
      <c r="P4846" s="12" t="str">
        <f t="shared" si="167"/>
        <v/>
      </c>
    </row>
    <row r="4847" spans="15:16" x14ac:dyDescent="0.35">
      <c r="O4847" s="12" t="str">
        <f t="shared" si="166"/>
        <v/>
      </c>
      <c r="P4847" s="12" t="str">
        <f t="shared" si="167"/>
        <v/>
      </c>
    </row>
    <row r="4848" spans="15:16" x14ac:dyDescent="0.35">
      <c r="O4848" s="12" t="str">
        <f t="shared" si="166"/>
        <v/>
      </c>
      <c r="P4848" s="12" t="str">
        <f t="shared" si="167"/>
        <v/>
      </c>
    </row>
    <row r="4849" spans="15:16" x14ac:dyDescent="0.35">
      <c r="O4849" s="12" t="str">
        <f t="shared" si="166"/>
        <v/>
      </c>
      <c r="P4849" s="12" t="str">
        <f t="shared" si="167"/>
        <v/>
      </c>
    </row>
    <row r="4850" spans="15:16" x14ac:dyDescent="0.35">
      <c r="O4850" s="12" t="str">
        <f t="shared" si="166"/>
        <v/>
      </c>
      <c r="P4850" s="12" t="str">
        <f t="shared" si="167"/>
        <v/>
      </c>
    </row>
    <row r="4851" spans="15:16" x14ac:dyDescent="0.35">
      <c r="O4851" s="12" t="str">
        <f t="shared" si="166"/>
        <v/>
      </c>
      <c r="P4851" s="12" t="str">
        <f t="shared" si="167"/>
        <v/>
      </c>
    </row>
    <row r="4852" spans="15:16" x14ac:dyDescent="0.35">
      <c r="O4852" s="12" t="str">
        <f t="shared" si="166"/>
        <v/>
      </c>
      <c r="P4852" s="12" t="str">
        <f t="shared" si="167"/>
        <v/>
      </c>
    </row>
    <row r="4853" spans="15:16" x14ac:dyDescent="0.35">
      <c r="O4853" s="12" t="str">
        <f t="shared" si="166"/>
        <v/>
      </c>
      <c r="P4853" s="12" t="str">
        <f t="shared" si="167"/>
        <v/>
      </c>
    </row>
    <row r="4854" spans="15:16" x14ac:dyDescent="0.35">
      <c r="O4854" s="12" t="str">
        <f t="shared" si="166"/>
        <v/>
      </c>
      <c r="P4854" s="12" t="str">
        <f t="shared" si="167"/>
        <v/>
      </c>
    </row>
    <row r="4855" spans="15:16" x14ac:dyDescent="0.35">
      <c r="O4855" s="12" t="str">
        <f t="shared" si="166"/>
        <v/>
      </c>
      <c r="P4855" s="12" t="str">
        <f t="shared" si="167"/>
        <v/>
      </c>
    </row>
    <row r="4856" spans="15:16" x14ac:dyDescent="0.35">
      <c r="O4856" s="12" t="str">
        <f t="shared" si="166"/>
        <v/>
      </c>
      <c r="P4856" s="12" t="str">
        <f t="shared" si="167"/>
        <v/>
      </c>
    </row>
    <row r="4857" spans="15:16" x14ac:dyDescent="0.35">
      <c r="O4857" s="12" t="str">
        <f t="shared" si="166"/>
        <v/>
      </c>
      <c r="P4857" s="12" t="str">
        <f t="shared" si="167"/>
        <v/>
      </c>
    </row>
    <row r="4858" spans="15:16" x14ac:dyDescent="0.35">
      <c r="O4858" s="12" t="str">
        <f t="shared" si="166"/>
        <v/>
      </c>
      <c r="P4858" s="12" t="str">
        <f t="shared" si="167"/>
        <v/>
      </c>
    </row>
    <row r="4859" spans="15:16" x14ac:dyDescent="0.35">
      <c r="O4859" s="12" t="str">
        <f t="shared" si="166"/>
        <v/>
      </c>
      <c r="P4859" s="12" t="str">
        <f t="shared" si="167"/>
        <v/>
      </c>
    </row>
    <row r="4860" spans="15:16" x14ac:dyDescent="0.35">
      <c r="O4860" s="12" t="str">
        <f t="shared" si="166"/>
        <v/>
      </c>
      <c r="P4860" s="12" t="str">
        <f t="shared" si="167"/>
        <v/>
      </c>
    </row>
    <row r="4861" spans="15:16" x14ac:dyDescent="0.35">
      <c r="O4861" s="12" t="str">
        <f t="shared" si="166"/>
        <v/>
      </c>
      <c r="P4861" s="12" t="str">
        <f t="shared" si="167"/>
        <v/>
      </c>
    </row>
    <row r="4862" spans="15:16" x14ac:dyDescent="0.35">
      <c r="O4862" s="12" t="str">
        <f t="shared" si="166"/>
        <v/>
      </c>
      <c r="P4862" s="12" t="str">
        <f t="shared" si="167"/>
        <v/>
      </c>
    </row>
    <row r="4863" spans="15:16" x14ac:dyDescent="0.35">
      <c r="O4863" s="12" t="str">
        <f t="shared" si="166"/>
        <v/>
      </c>
      <c r="P4863" s="12" t="str">
        <f t="shared" si="167"/>
        <v/>
      </c>
    </row>
    <row r="4864" spans="15:16" x14ac:dyDescent="0.35">
      <c r="O4864" s="12" t="str">
        <f t="shared" si="166"/>
        <v/>
      </c>
      <c r="P4864" s="12" t="str">
        <f t="shared" si="167"/>
        <v/>
      </c>
    </row>
    <row r="4865" spans="15:16" x14ac:dyDescent="0.35">
      <c r="O4865" s="12" t="str">
        <f t="shared" si="166"/>
        <v/>
      </c>
      <c r="P4865" s="12" t="str">
        <f t="shared" si="167"/>
        <v/>
      </c>
    </row>
    <row r="4866" spans="15:16" x14ac:dyDescent="0.35">
      <c r="O4866" s="12" t="str">
        <f t="shared" si="166"/>
        <v/>
      </c>
      <c r="P4866" s="12" t="str">
        <f t="shared" si="167"/>
        <v/>
      </c>
    </row>
    <row r="4867" spans="15:16" x14ac:dyDescent="0.35">
      <c r="O4867" s="12" t="str">
        <f t="shared" si="166"/>
        <v/>
      </c>
      <c r="P4867" s="12" t="str">
        <f t="shared" si="167"/>
        <v/>
      </c>
    </row>
    <row r="4868" spans="15:16" x14ac:dyDescent="0.35">
      <c r="O4868" s="12" t="str">
        <f t="shared" si="166"/>
        <v/>
      </c>
      <c r="P4868" s="12" t="str">
        <f t="shared" si="167"/>
        <v/>
      </c>
    </row>
    <row r="4869" spans="15:16" x14ac:dyDescent="0.35">
      <c r="O4869" s="12" t="str">
        <f t="shared" si="166"/>
        <v/>
      </c>
      <c r="P4869" s="12" t="str">
        <f t="shared" si="167"/>
        <v/>
      </c>
    </row>
    <row r="4870" spans="15:16" x14ac:dyDescent="0.35">
      <c r="O4870" s="12" t="str">
        <f t="shared" si="166"/>
        <v/>
      </c>
      <c r="P4870" s="12" t="str">
        <f t="shared" si="167"/>
        <v/>
      </c>
    </row>
    <row r="4871" spans="15:16" x14ac:dyDescent="0.35">
      <c r="O4871" s="12" t="str">
        <f t="shared" si="166"/>
        <v/>
      </c>
      <c r="P4871" s="12" t="str">
        <f t="shared" si="167"/>
        <v/>
      </c>
    </row>
    <row r="4872" spans="15:16" x14ac:dyDescent="0.35">
      <c r="O4872" s="12" t="str">
        <f t="shared" si="166"/>
        <v/>
      </c>
      <c r="P4872" s="12" t="str">
        <f t="shared" si="167"/>
        <v/>
      </c>
    </row>
    <row r="4873" spans="15:16" x14ac:dyDescent="0.35">
      <c r="O4873" s="12" t="str">
        <f t="shared" si="166"/>
        <v/>
      </c>
      <c r="P4873" s="12" t="str">
        <f t="shared" si="167"/>
        <v/>
      </c>
    </row>
    <row r="4874" spans="15:16" x14ac:dyDescent="0.35">
      <c r="O4874" s="12" t="str">
        <f t="shared" si="166"/>
        <v/>
      </c>
      <c r="P4874" s="12" t="str">
        <f t="shared" si="167"/>
        <v/>
      </c>
    </row>
    <row r="4875" spans="15:16" x14ac:dyDescent="0.35">
      <c r="O4875" s="12" t="str">
        <f t="shared" si="166"/>
        <v/>
      </c>
      <c r="P4875" s="12" t="str">
        <f t="shared" si="167"/>
        <v/>
      </c>
    </row>
    <row r="4876" spans="15:16" x14ac:dyDescent="0.35">
      <c r="O4876" s="12" t="str">
        <f t="shared" si="166"/>
        <v/>
      </c>
      <c r="P4876" s="12" t="str">
        <f t="shared" si="167"/>
        <v/>
      </c>
    </row>
    <row r="4877" spans="15:16" x14ac:dyDescent="0.35">
      <c r="O4877" s="12" t="str">
        <f t="shared" si="166"/>
        <v/>
      </c>
      <c r="P4877" s="12" t="str">
        <f t="shared" si="167"/>
        <v/>
      </c>
    </row>
    <row r="4878" spans="15:16" x14ac:dyDescent="0.35">
      <c r="O4878" s="12" t="str">
        <f t="shared" si="166"/>
        <v/>
      </c>
      <c r="P4878" s="12" t="str">
        <f t="shared" si="167"/>
        <v/>
      </c>
    </row>
    <row r="4879" spans="15:16" x14ac:dyDescent="0.35">
      <c r="O4879" s="12" t="str">
        <f t="shared" si="166"/>
        <v/>
      </c>
      <c r="P4879" s="12" t="str">
        <f t="shared" si="167"/>
        <v/>
      </c>
    </row>
    <row r="4880" spans="15:16" x14ac:dyDescent="0.35">
      <c r="O4880" s="12" t="str">
        <f t="shared" si="166"/>
        <v/>
      </c>
      <c r="P4880" s="12" t="str">
        <f t="shared" si="167"/>
        <v/>
      </c>
    </row>
    <row r="4881" spans="15:16" x14ac:dyDescent="0.35">
      <c r="O4881" s="12" t="str">
        <f t="shared" si="166"/>
        <v/>
      </c>
      <c r="P4881" s="12" t="str">
        <f t="shared" si="167"/>
        <v/>
      </c>
    </row>
    <row r="4882" spans="15:16" x14ac:dyDescent="0.35">
      <c r="O4882" s="12" t="str">
        <f t="shared" si="166"/>
        <v/>
      </c>
      <c r="P4882" s="12" t="str">
        <f t="shared" si="167"/>
        <v/>
      </c>
    </row>
    <row r="4883" spans="15:16" x14ac:dyDescent="0.35">
      <c r="O4883" s="12" t="str">
        <f t="shared" si="166"/>
        <v/>
      </c>
      <c r="P4883" s="12" t="str">
        <f t="shared" si="167"/>
        <v/>
      </c>
    </row>
    <row r="4884" spans="15:16" x14ac:dyDescent="0.35">
      <c r="O4884" s="12" t="str">
        <f t="shared" si="166"/>
        <v/>
      </c>
      <c r="P4884" s="12" t="str">
        <f t="shared" si="167"/>
        <v/>
      </c>
    </row>
    <row r="4885" spans="15:16" x14ac:dyDescent="0.35">
      <c r="O4885" s="12" t="str">
        <f t="shared" si="166"/>
        <v/>
      </c>
      <c r="P4885" s="12" t="str">
        <f t="shared" si="167"/>
        <v/>
      </c>
    </row>
    <row r="4886" spans="15:16" x14ac:dyDescent="0.35">
      <c r="O4886" s="12" t="str">
        <f t="shared" ref="O4886:O4949" si="168">LEFT(B4886,3)</f>
        <v/>
      </c>
      <c r="P4886" s="12" t="str">
        <f t="shared" ref="P4886:P4949" si="169">LEFT(D4886,5)</f>
        <v/>
      </c>
    </row>
    <row r="4887" spans="15:16" x14ac:dyDescent="0.35">
      <c r="O4887" s="12" t="str">
        <f t="shared" si="168"/>
        <v/>
      </c>
      <c r="P4887" s="12" t="str">
        <f t="shared" si="169"/>
        <v/>
      </c>
    </row>
    <row r="4888" spans="15:16" x14ac:dyDescent="0.35">
      <c r="O4888" s="12" t="str">
        <f t="shared" si="168"/>
        <v/>
      </c>
      <c r="P4888" s="12" t="str">
        <f t="shared" si="169"/>
        <v/>
      </c>
    </row>
    <row r="4889" spans="15:16" x14ac:dyDescent="0.35">
      <c r="O4889" s="12" t="str">
        <f t="shared" si="168"/>
        <v/>
      </c>
      <c r="P4889" s="12" t="str">
        <f t="shared" si="169"/>
        <v/>
      </c>
    </row>
    <row r="4890" spans="15:16" x14ac:dyDescent="0.35">
      <c r="O4890" s="12" t="str">
        <f t="shared" si="168"/>
        <v/>
      </c>
      <c r="P4890" s="12" t="str">
        <f t="shared" si="169"/>
        <v/>
      </c>
    </row>
    <row r="4891" spans="15:16" x14ac:dyDescent="0.35">
      <c r="O4891" s="12" t="str">
        <f t="shared" si="168"/>
        <v/>
      </c>
      <c r="P4891" s="12" t="str">
        <f t="shared" si="169"/>
        <v/>
      </c>
    </row>
    <row r="4892" spans="15:16" x14ac:dyDescent="0.35">
      <c r="O4892" s="12" t="str">
        <f t="shared" si="168"/>
        <v/>
      </c>
      <c r="P4892" s="12" t="str">
        <f t="shared" si="169"/>
        <v/>
      </c>
    </row>
    <row r="4893" spans="15:16" x14ac:dyDescent="0.35">
      <c r="O4893" s="12" t="str">
        <f t="shared" si="168"/>
        <v/>
      </c>
      <c r="P4893" s="12" t="str">
        <f t="shared" si="169"/>
        <v/>
      </c>
    </row>
    <row r="4894" spans="15:16" x14ac:dyDescent="0.35">
      <c r="O4894" s="12" t="str">
        <f t="shared" si="168"/>
        <v/>
      </c>
      <c r="P4894" s="12" t="str">
        <f t="shared" si="169"/>
        <v/>
      </c>
    </row>
    <row r="4895" spans="15:16" x14ac:dyDescent="0.35">
      <c r="O4895" s="12" t="str">
        <f t="shared" si="168"/>
        <v/>
      </c>
      <c r="P4895" s="12" t="str">
        <f t="shared" si="169"/>
        <v/>
      </c>
    </row>
    <row r="4896" spans="15:16" x14ac:dyDescent="0.35">
      <c r="O4896" s="12" t="str">
        <f t="shared" si="168"/>
        <v/>
      </c>
      <c r="P4896" s="12" t="str">
        <f t="shared" si="169"/>
        <v/>
      </c>
    </row>
    <row r="4897" spans="15:16" x14ac:dyDescent="0.35">
      <c r="O4897" s="12" t="str">
        <f t="shared" si="168"/>
        <v/>
      </c>
      <c r="P4897" s="12" t="str">
        <f t="shared" si="169"/>
        <v/>
      </c>
    </row>
    <row r="4898" spans="15:16" x14ac:dyDescent="0.35">
      <c r="O4898" s="12" t="str">
        <f t="shared" si="168"/>
        <v/>
      </c>
      <c r="P4898" s="12" t="str">
        <f t="shared" si="169"/>
        <v/>
      </c>
    </row>
    <row r="4899" spans="15:16" x14ac:dyDescent="0.35">
      <c r="O4899" s="12" t="str">
        <f t="shared" si="168"/>
        <v/>
      </c>
      <c r="P4899" s="12" t="str">
        <f t="shared" si="169"/>
        <v/>
      </c>
    </row>
    <row r="4900" spans="15:16" x14ac:dyDescent="0.35">
      <c r="O4900" s="12" t="str">
        <f t="shared" si="168"/>
        <v/>
      </c>
      <c r="P4900" s="12" t="str">
        <f t="shared" si="169"/>
        <v/>
      </c>
    </row>
    <row r="4901" spans="15:16" x14ac:dyDescent="0.35">
      <c r="O4901" s="12" t="str">
        <f t="shared" si="168"/>
        <v/>
      </c>
      <c r="P4901" s="12" t="str">
        <f t="shared" si="169"/>
        <v/>
      </c>
    </row>
    <row r="4902" spans="15:16" x14ac:dyDescent="0.35">
      <c r="O4902" s="12" t="str">
        <f t="shared" si="168"/>
        <v/>
      </c>
      <c r="P4902" s="12" t="str">
        <f t="shared" si="169"/>
        <v/>
      </c>
    </row>
    <row r="4903" spans="15:16" x14ac:dyDescent="0.35">
      <c r="O4903" s="12" t="str">
        <f t="shared" si="168"/>
        <v/>
      </c>
      <c r="P4903" s="12" t="str">
        <f t="shared" si="169"/>
        <v/>
      </c>
    </row>
    <row r="4904" spans="15:16" x14ac:dyDescent="0.35">
      <c r="O4904" s="12" t="str">
        <f t="shared" si="168"/>
        <v/>
      </c>
      <c r="P4904" s="12" t="str">
        <f t="shared" si="169"/>
        <v/>
      </c>
    </row>
    <row r="4905" spans="15:16" x14ac:dyDescent="0.35">
      <c r="O4905" s="12" t="str">
        <f t="shared" si="168"/>
        <v/>
      </c>
      <c r="P4905" s="12" t="str">
        <f t="shared" si="169"/>
        <v/>
      </c>
    </row>
    <row r="4906" spans="15:16" x14ac:dyDescent="0.35">
      <c r="O4906" s="12" t="str">
        <f t="shared" si="168"/>
        <v/>
      </c>
      <c r="P4906" s="12" t="str">
        <f t="shared" si="169"/>
        <v/>
      </c>
    </row>
    <row r="4907" spans="15:16" x14ac:dyDescent="0.35">
      <c r="O4907" s="12" t="str">
        <f t="shared" si="168"/>
        <v/>
      </c>
      <c r="P4907" s="12" t="str">
        <f t="shared" si="169"/>
        <v/>
      </c>
    </row>
    <row r="4908" spans="15:16" x14ac:dyDescent="0.35">
      <c r="O4908" s="12" t="str">
        <f t="shared" si="168"/>
        <v/>
      </c>
      <c r="P4908" s="12" t="str">
        <f t="shared" si="169"/>
        <v/>
      </c>
    </row>
    <row r="4909" spans="15:16" x14ac:dyDescent="0.35">
      <c r="O4909" s="12" t="str">
        <f t="shared" si="168"/>
        <v/>
      </c>
      <c r="P4909" s="12" t="str">
        <f t="shared" si="169"/>
        <v/>
      </c>
    </row>
    <row r="4910" spans="15:16" x14ac:dyDescent="0.35">
      <c r="O4910" s="12" t="str">
        <f t="shared" si="168"/>
        <v/>
      </c>
      <c r="P4910" s="12" t="str">
        <f t="shared" si="169"/>
        <v/>
      </c>
    </row>
    <row r="4911" spans="15:16" x14ac:dyDescent="0.35">
      <c r="O4911" s="12" t="str">
        <f t="shared" si="168"/>
        <v/>
      </c>
      <c r="P4911" s="12" t="str">
        <f t="shared" si="169"/>
        <v/>
      </c>
    </row>
    <row r="4912" spans="15:16" x14ac:dyDescent="0.35">
      <c r="O4912" s="12" t="str">
        <f t="shared" si="168"/>
        <v/>
      </c>
      <c r="P4912" s="12" t="str">
        <f t="shared" si="169"/>
        <v/>
      </c>
    </row>
    <row r="4913" spans="15:16" x14ac:dyDescent="0.35">
      <c r="O4913" s="12" t="str">
        <f t="shared" si="168"/>
        <v/>
      </c>
      <c r="P4913" s="12" t="str">
        <f t="shared" si="169"/>
        <v/>
      </c>
    </row>
    <row r="4914" spans="15:16" x14ac:dyDescent="0.35">
      <c r="O4914" s="12" t="str">
        <f t="shared" si="168"/>
        <v/>
      </c>
      <c r="P4914" s="12" t="str">
        <f t="shared" si="169"/>
        <v/>
      </c>
    </row>
    <row r="4915" spans="15:16" x14ac:dyDescent="0.35">
      <c r="O4915" s="12" t="str">
        <f t="shared" si="168"/>
        <v/>
      </c>
      <c r="P4915" s="12" t="str">
        <f t="shared" si="169"/>
        <v/>
      </c>
    </row>
    <row r="4916" spans="15:16" x14ac:dyDescent="0.35">
      <c r="O4916" s="12" t="str">
        <f t="shared" si="168"/>
        <v/>
      </c>
      <c r="P4916" s="12" t="str">
        <f t="shared" si="169"/>
        <v/>
      </c>
    </row>
    <row r="4917" spans="15:16" x14ac:dyDescent="0.35">
      <c r="O4917" s="12" t="str">
        <f t="shared" si="168"/>
        <v/>
      </c>
      <c r="P4917" s="12" t="str">
        <f t="shared" si="169"/>
        <v/>
      </c>
    </row>
    <row r="4918" spans="15:16" x14ac:dyDescent="0.35">
      <c r="O4918" s="12" t="str">
        <f t="shared" si="168"/>
        <v/>
      </c>
      <c r="P4918" s="12" t="str">
        <f t="shared" si="169"/>
        <v/>
      </c>
    </row>
    <row r="4919" spans="15:16" x14ac:dyDescent="0.35">
      <c r="O4919" s="12" t="str">
        <f t="shared" si="168"/>
        <v/>
      </c>
      <c r="P4919" s="12" t="str">
        <f t="shared" si="169"/>
        <v/>
      </c>
    </row>
    <row r="4920" spans="15:16" x14ac:dyDescent="0.35">
      <c r="O4920" s="12" t="str">
        <f t="shared" si="168"/>
        <v/>
      </c>
      <c r="P4920" s="12" t="str">
        <f t="shared" si="169"/>
        <v/>
      </c>
    </row>
    <row r="4921" spans="15:16" x14ac:dyDescent="0.35">
      <c r="O4921" s="12" t="str">
        <f t="shared" si="168"/>
        <v/>
      </c>
      <c r="P4921" s="12" t="str">
        <f t="shared" si="169"/>
        <v/>
      </c>
    </row>
    <row r="4922" spans="15:16" x14ac:dyDescent="0.35">
      <c r="O4922" s="12" t="str">
        <f t="shared" si="168"/>
        <v/>
      </c>
      <c r="P4922" s="12" t="str">
        <f t="shared" si="169"/>
        <v/>
      </c>
    </row>
    <row r="4923" spans="15:16" x14ac:dyDescent="0.35">
      <c r="O4923" s="12" t="str">
        <f t="shared" si="168"/>
        <v/>
      </c>
      <c r="P4923" s="12" t="str">
        <f t="shared" si="169"/>
        <v/>
      </c>
    </row>
    <row r="4924" spans="15:16" x14ac:dyDescent="0.35">
      <c r="O4924" s="12" t="str">
        <f t="shared" si="168"/>
        <v/>
      </c>
      <c r="P4924" s="12" t="str">
        <f t="shared" si="169"/>
        <v/>
      </c>
    </row>
    <row r="4925" spans="15:16" x14ac:dyDescent="0.35">
      <c r="O4925" s="12" t="str">
        <f t="shared" si="168"/>
        <v/>
      </c>
      <c r="P4925" s="12" t="str">
        <f t="shared" si="169"/>
        <v/>
      </c>
    </row>
    <row r="4926" spans="15:16" x14ac:dyDescent="0.35">
      <c r="O4926" s="12" t="str">
        <f t="shared" si="168"/>
        <v/>
      </c>
      <c r="P4926" s="12" t="str">
        <f t="shared" si="169"/>
        <v/>
      </c>
    </row>
    <row r="4927" spans="15:16" x14ac:dyDescent="0.35">
      <c r="O4927" s="12" t="str">
        <f t="shared" si="168"/>
        <v/>
      </c>
      <c r="P4927" s="12" t="str">
        <f t="shared" si="169"/>
        <v/>
      </c>
    </row>
    <row r="4928" spans="15:16" x14ac:dyDescent="0.35">
      <c r="O4928" s="12" t="str">
        <f t="shared" si="168"/>
        <v/>
      </c>
      <c r="P4928" s="12" t="str">
        <f t="shared" si="169"/>
        <v/>
      </c>
    </row>
    <row r="4929" spans="15:16" x14ac:dyDescent="0.35">
      <c r="O4929" s="12" t="str">
        <f t="shared" si="168"/>
        <v/>
      </c>
      <c r="P4929" s="12" t="str">
        <f t="shared" si="169"/>
        <v/>
      </c>
    </row>
    <row r="4930" spans="15:16" x14ac:dyDescent="0.35">
      <c r="O4930" s="12" t="str">
        <f t="shared" si="168"/>
        <v/>
      </c>
      <c r="P4930" s="12" t="str">
        <f t="shared" si="169"/>
        <v/>
      </c>
    </row>
    <row r="4931" spans="15:16" x14ac:dyDescent="0.35">
      <c r="O4931" s="12" t="str">
        <f t="shared" si="168"/>
        <v/>
      </c>
      <c r="P4931" s="12" t="str">
        <f t="shared" si="169"/>
        <v/>
      </c>
    </row>
    <row r="4932" spans="15:16" x14ac:dyDescent="0.35">
      <c r="O4932" s="12" t="str">
        <f t="shared" si="168"/>
        <v/>
      </c>
      <c r="P4932" s="12" t="str">
        <f t="shared" si="169"/>
        <v/>
      </c>
    </row>
    <row r="4933" spans="15:16" x14ac:dyDescent="0.35">
      <c r="O4933" s="12" t="str">
        <f t="shared" si="168"/>
        <v/>
      </c>
      <c r="P4933" s="12" t="str">
        <f t="shared" si="169"/>
        <v/>
      </c>
    </row>
    <row r="4934" spans="15:16" x14ac:dyDescent="0.35">
      <c r="O4934" s="12" t="str">
        <f t="shared" si="168"/>
        <v/>
      </c>
      <c r="P4934" s="12" t="str">
        <f t="shared" si="169"/>
        <v/>
      </c>
    </row>
    <row r="4935" spans="15:16" x14ac:dyDescent="0.35">
      <c r="O4935" s="12" t="str">
        <f t="shared" si="168"/>
        <v/>
      </c>
      <c r="P4935" s="12" t="str">
        <f t="shared" si="169"/>
        <v/>
      </c>
    </row>
    <row r="4936" spans="15:16" x14ac:dyDescent="0.35">
      <c r="O4936" s="12" t="str">
        <f t="shared" si="168"/>
        <v/>
      </c>
      <c r="P4936" s="12" t="str">
        <f t="shared" si="169"/>
        <v/>
      </c>
    </row>
    <row r="4937" spans="15:16" x14ac:dyDescent="0.35">
      <c r="O4937" s="12" t="str">
        <f t="shared" si="168"/>
        <v/>
      </c>
      <c r="P4937" s="12" t="str">
        <f t="shared" si="169"/>
        <v/>
      </c>
    </row>
    <row r="4938" spans="15:16" x14ac:dyDescent="0.35">
      <c r="O4938" s="12" t="str">
        <f t="shared" si="168"/>
        <v/>
      </c>
      <c r="P4938" s="12" t="str">
        <f t="shared" si="169"/>
        <v/>
      </c>
    </row>
    <row r="4939" spans="15:16" x14ac:dyDescent="0.35">
      <c r="O4939" s="12" t="str">
        <f t="shared" si="168"/>
        <v/>
      </c>
      <c r="P4939" s="12" t="str">
        <f t="shared" si="169"/>
        <v/>
      </c>
    </row>
    <row r="4940" spans="15:16" x14ac:dyDescent="0.35">
      <c r="O4940" s="12" t="str">
        <f t="shared" si="168"/>
        <v/>
      </c>
      <c r="P4940" s="12" t="str">
        <f t="shared" si="169"/>
        <v/>
      </c>
    </row>
    <row r="4941" spans="15:16" x14ac:dyDescent="0.35">
      <c r="O4941" s="12" t="str">
        <f t="shared" si="168"/>
        <v/>
      </c>
      <c r="P4941" s="12" t="str">
        <f t="shared" si="169"/>
        <v/>
      </c>
    </row>
    <row r="4942" spans="15:16" x14ac:dyDescent="0.35">
      <c r="O4942" s="12" t="str">
        <f t="shared" si="168"/>
        <v/>
      </c>
      <c r="P4942" s="12" t="str">
        <f t="shared" si="169"/>
        <v/>
      </c>
    </row>
    <row r="4943" spans="15:16" x14ac:dyDescent="0.35">
      <c r="O4943" s="12" t="str">
        <f t="shared" si="168"/>
        <v/>
      </c>
      <c r="P4943" s="12" t="str">
        <f t="shared" si="169"/>
        <v/>
      </c>
    </row>
    <row r="4944" spans="15:16" x14ac:dyDescent="0.35">
      <c r="O4944" s="12" t="str">
        <f t="shared" si="168"/>
        <v/>
      </c>
      <c r="P4944" s="12" t="str">
        <f t="shared" si="169"/>
        <v/>
      </c>
    </row>
    <row r="4945" spans="15:16" x14ac:dyDescent="0.35">
      <c r="O4945" s="12" t="str">
        <f t="shared" si="168"/>
        <v/>
      </c>
      <c r="P4945" s="12" t="str">
        <f t="shared" si="169"/>
        <v/>
      </c>
    </row>
    <row r="4946" spans="15:16" x14ac:dyDescent="0.35">
      <c r="O4946" s="12" t="str">
        <f t="shared" si="168"/>
        <v/>
      </c>
      <c r="P4946" s="12" t="str">
        <f t="shared" si="169"/>
        <v/>
      </c>
    </row>
    <row r="4947" spans="15:16" x14ac:dyDescent="0.35">
      <c r="O4947" s="12" t="str">
        <f t="shared" si="168"/>
        <v/>
      </c>
      <c r="P4947" s="12" t="str">
        <f t="shared" si="169"/>
        <v/>
      </c>
    </row>
    <row r="4948" spans="15:16" x14ac:dyDescent="0.35">
      <c r="O4948" s="12" t="str">
        <f t="shared" si="168"/>
        <v/>
      </c>
      <c r="P4948" s="12" t="str">
        <f t="shared" si="169"/>
        <v/>
      </c>
    </row>
    <row r="4949" spans="15:16" x14ac:dyDescent="0.35">
      <c r="O4949" s="12" t="str">
        <f t="shared" si="168"/>
        <v/>
      </c>
      <c r="P4949" s="12" t="str">
        <f t="shared" si="169"/>
        <v/>
      </c>
    </row>
    <row r="4950" spans="15:16" x14ac:dyDescent="0.35">
      <c r="O4950" s="12" t="str">
        <f t="shared" ref="O4950:O4998" si="170">LEFT(B4950,3)</f>
        <v/>
      </c>
      <c r="P4950" s="12" t="str">
        <f t="shared" ref="P4950:P4998" si="171">LEFT(D4950,5)</f>
        <v/>
      </c>
    </row>
    <row r="4951" spans="15:16" x14ac:dyDescent="0.35">
      <c r="O4951" s="12" t="str">
        <f t="shared" si="170"/>
        <v/>
      </c>
      <c r="P4951" s="12" t="str">
        <f t="shared" si="171"/>
        <v/>
      </c>
    </row>
    <row r="4952" spans="15:16" x14ac:dyDescent="0.35">
      <c r="O4952" s="12" t="str">
        <f t="shared" si="170"/>
        <v/>
      </c>
      <c r="P4952" s="12" t="str">
        <f t="shared" si="171"/>
        <v/>
      </c>
    </row>
    <row r="4953" spans="15:16" x14ac:dyDescent="0.35">
      <c r="O4953" s="12" t="str">
        <f t="shared" si="170"/>
        <v/>
      </c>
      <c r="P4953" s="12" t="str">
        <f t="shared" si="171"/>
        <v/>
      </c>
    </row>
    <row r="4954" spans="15:16" x14ac:dyDescent="0.35">
      <c r="O4954" s="12" t="str">
        <f t="shared" si="170"/>
        <v/>
      </c>
      <c r="P4954" s="12" t="str">
        <f t="shared" si="171"/>
        <v/>
      </c>
    </row>
    <row r="4955" spans="15:16" x14ac:dyDescent="0.35">
      <c r="O4955" s="12" t="str">
        <f t="shared" si="170"/>
        <v/>
      </c>
      <c r="P4955" s="12" t="str">
        <f t="shared" si="171"/>
        <v/>
      </c>
    </row>
    <row r="4956" spans="15:16" x14ac:dyDescent="0.35">
      <c r="O4956" s="12" t="str">
        <f t="shared" si="170"/>
        <v/>
      </c>
      <c r="P4956" s="12" t="str">
        <f t="shared" si="171"/>
        <v/>
      </c>
    </row>
    <row r="4957" spans="15:16" x14ac:dyDescent="0.35">
      <c r="O4957" s="12" t="str">
        <f t="shared" si="170"/>
        <v/>
      </c>
      <c r="P4957" s="12" t="str">
        <f t="shared" si="171"/>
        <v/>
      </c>
    </row>
    <row r="4958" spans="15:16" x14ac:dyDescent="0.35">
      <c r="O4958" s="12" t="str">
        <f t="shared" si="170"/>
        <v/>
      </c>
      <c r="P4958" s="12" t="str">
        <f t="shared" si="171"/>
        <v/>
      </c>
    </row>
    <row r="4959" spans="15:16" x14ac:dyDescent="0.35">
      <c r="O4959" s="12" t="str">
        <f t="shared" si="170"/>
        <v/>
      </c>
      <c r="P4959" s="12" t="str">
        <f t="shared" si="171"/>
        <v/>
      </c>
    </row>
    <row r="4960" spans="15:16" x14ac:dyDescent="0.35">
      <c r="O4960" s="12" t="str">
        <f t="shared" si="170"/>
        <v/>
      </c>
      <c r="P4960" s="12" t="str">
        <f t="shared" si="171"/>
        <v/>
      </c>
    </row>
    <row r="4961" spans="15:16" x14ac:dyDescent="0.35">
      <c r="O4961" s="12" t="str">
        <f t="shared" si="170"/>
        <v/>
      </c>
      <c r="P4961" s="12" t="str">
        <f t="shared" si="171"/>
        <v/>
      </c>
    </row>
    <row r="4962" spans="15:16" x14ac:dyDescent="0.35">
      <c r="O4962" s="12" t="str">
        <f t="shared" si="170"/>
        <v/>
      </c>
      <c r="P4962" s="12" t="str">
        <f t="shared" si="171"/>
        <v/>
      </c>
    </row>
    <row r="4963" spans="15:16" x14ac:dyDescent="0.35">
      <c r="O4963" s="12" t="str">
        <f t="shared" si="170"/>
        <v/>
      </c>
      <c r="P4963" s="12" t="str">
        <f t="shared" si="171"/>
        <v/>
      </c>
    </row>
    <row r="4964" spans="15:16" x14ac:dyDescent="0.35">
      <c r="O4964" s="12" t="str">
        <f t="shared" si="170"/>
        <v/>
      </c>
      <c r="P4964" s="12" t="str">
        <f t="shared" si="171"/>
        <v/>
      </c>
    </row>
    <row r="4965" spans="15:16" x14ac:dyDescent="0.35">
      <c r="O4965" s="12" t="str">
        <f t="shared" si="170"/>
        <v/>
      </c>
      <c r="P4965" s="12" t="str">
        <f t="shared" si="171"/>
        <v/>
      </c>
    </row>
    <row r="4966" spans="15:16" x14ac:dyDescent="0.35">
      <c r="O4966" s="12" t="str">
        <f t="shared" si="170"/>
        <v/>
      </c>
      <c r="P4966" s="12" t="str">
        <f t="shared" si="171"/>
        <v/>
      </c>
    </row>
    <row r="4967" spans="15:16" x14ac:dyDescent="0.35">
      <c r="O4967" s="12" t="str">
        <f t="shared" si="170"/>
        <v/>
      </c>
      <c r="P4967" s="12" t="str">
        <f t="shared" si="171"/>
        <v/>
      </c>
    </row>
    <row r="4968" spans="15:16" x14ac:dyDescent="0.35">
      <c r="O4968" s="12" t="str">
        <f t="shared" si="170"/>
        <v/>
      </c>
      <c r="P4968" s="12" t="str">
        <f t="shared" si="171"/>
        <v/>
      </c>
    </row>
    <row r="4969" spans="15:16" x14ac:dyDescent="0.35">
      <c r="O4969" s="12" t="str">
        <f t="shared" si="170"/>
        <v/>
      </c>
      <c r="P4969" s="12" t="str">
        <f t="shared" si="171"/>
        <v/>
      </c>
    </row>
    <row r="4970" spans="15:16" x14ac:dyDescent="0.35">
      <c r="O4970" s="12" t="str">
        <f t="shared" si="170"/>
        <v/>
      </c>
      <c r="P4970" s="12" t="str">
        <f t="shared" si="171"/>
        <v/>
      </c>
    </row>
    <row r="4971" spans="15:16" x14ac:dyDescent="0.35">
      <c r="O4971" s="12" t="str">
        <f t="shared" si="170"/>
        <v/>
      </c>
      <c r="P4971" s="12" t="str">
        <f t="shared" si="171"/>
        <v/>
      </c>
    </row>
    <row r="4972" spans="15:16" x14ac:dyDescent="0.35">
      <c r="O4972" s="12" t="str">
        <f t="shared" si="170"/>
        <v/>
      </c>
      <c r="P4972" s="12" t="str">
        <f t="shared" si="171"/>
        <v/>
      </c>
    </row>
    <row r="4973" spans="15:16" x14ac:dyDescent="0.35">
      <c r="O4973" s="12" t="str">
        <f t="shared" si="170"/>
        <v/>
      </c>
      <c r="P4973" s="12" t="str">
        <f t="shared" si="171"/>
        <v/>
      </c>
    </row>
    <row r="4974" spans="15:16" x14ac:dyDescent="0.35">
      <c r="O4974" s="12" t="str">
        <f t="shared" si="170"/>
        <v/>
      </c>
      <c r="P4974" s="12" t="str">
        <f t="shared" si="171"/>
        <v/>
      </c>
    </row>
    <row r="4975" spans="15:16" x14ac:dyDescent="0.35">
      <c r="O4975" s="12" t="str">
        <f t="shared" si="170"/>
        <v/>
      </c>
      <c r="P4975" s="12" t="str">
        <f t="shared" si="171"/>
        <v/>
      </c>
    </row>
    <row r="4976" spans="15:16" x14ac:dyDescent="0.35">
      <c r="O4976" s="12" t="str">
        <f t="shared" si="170"/>
        <v/>
      </c>
      <c r="P4976" s="12" t="str">
        <f t="shared" si="171"/>
        <v/>
      </c>
    </row>
    <row r="4977" spans="15:16" x14ac:dyDescent="0.35">
      <c r="O4977" s="12" t="str">
        <f t="shared" si="170"/>
        <v/>
      </c>
      <c r="P4977" s="12" t="str">
        <f t="shared" si="171"/>
        <v/>
      </c>
    </row>
    <row r="4978" spans="15:16" x14ac:dyDescent="0.35">
      <c r="O4978" s="12" t="str">
        <f t="shared" si="170"/>
        <v/>
      </c>
      <c r="P4978" s="12" t="str">
        <f t="shared" si="171"/>
        <v/>
      </c>
    </row>
    <row r="4979" spans="15:16" x14ac:dyDescent="0.35">
      <c r="O4979" s="12" t="str">
        <f t="shared" si="170"/>
        <v/>
      </c>
      <c r="P4979" s="12" t="str">
        <f t="shared" si="171"/>
        <v/>
      </c>
    </row>
    <row r="4980" spans="15:16" x14ac:dyDescent="0.35">
      <c r="O4980" s="12" t="str">
        <f t="shared" si="170"/>
        <v/>
      </c>
      <c r="P4980" s="12" t="str">
        <f t="shared" si="171"/>
        <v/>
      </c>
    </row>
    <row r="4981" spans="15:16" x14ac:dyDescent="0.35">
      <c r="O4981" s="12" t="str">
        <f t="shared" si="170"/>
        <v/>
      </c>
      <c r="P4981" s="12" t="str">
        <f t="shared" si="171"/>
        <v/>
      </c>
    </row>
    <row r="4982" spans="15:16" x14ac:dyDescent="0.35">
      <c r="O4982" s="12" t="str">
        <f t="shared" si="170"/>
        <v/>
      </c>
      <c r="P4982" s="12" t="str">
        <f t="shared" si="171"/>
        <v/>
      </c>
    </row>
    <row r="4983" spans="15:16" x14ac:dyDescent="0.35">
      <c r="O4983" s="12" t="str">
        <f t="shared" si="170"/>
        <v/>
      </c>
      <c r="P4983" s="12" t="str">
        <f t="shared" si="171"/>
        <v/>
      </c>
    </row>
    <row r="4984" spans="15:16" x14ac:dyDescent="0.35">
      <c r="O4984" s="12" t="str">
        <f t="shared" si="170"/>
        <v/>
      </c>
      <c r="P4984" s="12" t="str">
        <f t="shared" si="171"/>
        <v/>
      </c>
    </row>
    <row r="4985" spans="15:16" x14ac:dyDescent="0.35">
      <c r="O4985" s="12" t="str">
        <f t="shared" si="170"/>
        <v/>
      </c>
      <c r="P4985" s="12" t="str">
        <f t="shared" si="171"/>
        <v/>
      </c>
    </row>
    <row r="4986" spans="15:16" x14ac:dyDescent="0.35">
      <c r="O4986" s="12" t="str">
        <f t="shared" si="170"/>
        <v/>
      </c>
      <c r="P4986" s="12" t="str">
        <f t="shared" si="171"/>
        <v/>
      </c>
    </row>
    <row r="4987" spans="15:16" x14ac:dyDescent="0.35">
      <c r="O4987" s="12" t="str">
        <f t="shared" si="170"/>
        <v/>
      </c>
      <c r="P4987" s="12" t="str">
        <f t="shared" si="171"/>
        <v/>
      </c>
    </row>
    <row r="4988" spans="15:16" x14ac:dyDescent="0.35">
      <c r="O4988" s="12" t="str">
        <f t="shared" si="170"/>
        <v/>
      </c>
      <c r="P4988" s="12" t="str">
        <f t="shared" si="171"/>
        <v/>
      </c>
    </row>
    <row r="4989" spans="15:16" x14ac:dyDescent="0.35">
      <c r="O4989" s="12" t="str">
        <f t="shared" si="170"/>
        <v/>
      </c>
      <c r="P4989" s="12" t="str">
        <f t="shared" si="171"/>
        <v/>
      </c>
    </row>
    <row r="4990" spans="15:16" x14ac:dyDescent="0.35">
      <c r="O4990" s="12" t="str">
        <f t="shared" si="170"/>
        <v/>
      </c>
      <c r="P4990" s="12" t="str">
        <f t="shared" si="171"/>
        <v/>
      </c>
    </row>
    <row r="4991" spans="15:16" x14ac:dyDescent="0.35">
      <c r="O4991" s="12" t="str">
        <f t="shared" si="170"/>
        <v/>
      </c>
      <c r="P4991" s="12" t="str">
        <f t="shared" si="171"/>
        <v/>
      </c>
    </row>
    <row r="4992" spans="15:16" x14ac:dyDescent="0.35">
      <c r="O4992" s="12" t="str">
        <f t="shared" si="170"/>
        <v/>
      </c>
      <c r="P4992" s="12" t="str">
        <f t="shared" si="171"/>
        <v/>
      </c>
    </row>
    <row r="4993" spans="15:16" x14ac:dyDescent="0.35">
      <c r="O4993" s="12" t="str">
        <f t="shared" si="170"/>
        <v/>
      </c>
      <c r="P4993" s="12" t="str">
        <f t="shared" si="171"/>
        <v/>
      </c>
    </row>
    <row r="4994" spans="15:16" x14ac:dyDescent="0.35">
      <c r="O4994" s="12" t="str">
        <f t="shared" si="170"/>
        <v/>
      </c>
      <c r="P4994" s="12" t="str">
        <f t="shared" si="171"/>
        <v/>
      </c>
    </row>
    <row r="4995" spans="15:16" x14ac:dyDescent="0.35">
      <c r="O4995" s="12" t="str">
        <f t="shared" si="170"/>
        <v/>
      </c>
      <c r="P4995" s="12" t="str">
        <f t="shared" si="171"/>
        <v/>
      </c>
    </row>
    <row r="4996" spans="15:16" x14ac:dyDescent="0.35">
      <c r="O4996" s="12" t="str">
        <f t="shared" si="170"/>
        <v/>
      </c>
      <c r="P4996" s="12" t="str">
        <f t="shared" si="171"/>
        <v/>
      </c>
    </row>
    <row r="4997" spans="15:16" x14ac:dyDescent="0.35">
      <c r="O4997" s="12" t="str">
        <f t="shared" si="170"/>
        <v/>
      </c>
      <c r="P4997" s="12" t="str">
        <f t="shared" si="171"/>
        <v/>
      </c>
    </row>
    <row r="4998" spans="15:16" x14ac:dyDescent="0.35">
      <c r="O4998" s="12" t="str">
        <f t="shared" si="170"/>
        <v/>
      </c>
      <c r="P4998" s="12" t="str">
        <f t="shared" si="171"/>
        <v/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83EB-AF5E-45F8-B547-280453C7D877}">
  <dimension ref="A1:E232"/>
  <sheetViews>
    <sheetView workbookViewId="0">
      <selection activeCell="B2" sqref="B2:C232"/>
    </sheetView>
  </sheetViews>
  <sheetFormatPr defaultColWidth="9.1796875" defaultRowHeight="14.5" x14ac:dyDescent="0.35"/>
  <sheetData>
    <row r="1" spans="1:5" x14ac:dyDescent="0.35">
      <c r="B1" t="s">
        <v>3076</v>
      </c>
      <c r="C1" t="s">
        <v>3077</v>
      </c>
    </row>
    <row r="2" spans="1:5" x14ac:dyDescent="0.35">
      <c r="A2">
        <f>IF(B2=B3,0,1)</f>
        <v>0</v>
      </c>
      <c r="B2" t="s">
        <v>67</v>
      </c>
      <c r="C2" t="s">
        <v>2855</v>
      </c>
      <c r="D2" t="str">
        <f>A2&amp;B2</f>
        <v>0AFR</v>
      </c>
      <c r="E2" t="str">
        <f>IF(B2=B1,E1&amp;","&amp;"*[_]"&amp;C2&amp;"*","*[_]"&amp;C2&amp;"*")</f>
        <v>*[_]AGO*</v>
      </c>
    </row>
    <row r="3" spans="1:5" x14ac:dyDescent="0.35">
      <c r="A3">
        <f t="shared" ref="A3:A66" si="0">IF(B3=B4,0,1)</f>
        <v>0</v>
      </c>
      <c r="B3" t="s">
        <v>67</v>
      </c>
      <c r="C3" t="s">
        <v>2882</v>
      </c>
      <c r="D3" t="str">
        <f t="shared" ref="D3:D66" si="1">A3&amp;B3</f>
        <v>0AFR</v>
      </c>
      <c r="E3" t="str">
        <f t="shared" ref="E3:E66" si="2">IF(B3=B2,E2&amp;","&amp;"*[_]"&amp;C3&amp;"*","*[_]"&amp;C3&amp;"*")</f>
        <v>*[_]AGO*,*[_]BDI*</v>
      </c>
    </row>
    <row r="4" spans="1:5" x14ac:dyDescent="0.35">
      <c r="A4">
        <f t="shared" si="0"/>
        <v>0</v>
      </c>
      <c r="B4" t="s">
        <v>67</v>
      </c>
      <c r="C4" t="s">
        <v>2869</v>
      </c>
      <c r="D4" t="str">
        <f t="shared" si="1"/>
        <v>0AFR</v>
      </c>
      <c r="E4" t="str">
        <f t="shared" si="2"/>
        <v>*[_]AGO*,*[_]BDI*,*[_]BEN*</v>
      </c>
    </row>
    <row r="5" spans="1:5" x14ac:dyDescent="0.35">
      <c r="A5">
        <f t="shared" si="0"/>
        <v>0</v>
      </c>
      <c r="B5" t="s">
        <v>67</v>
      </c>
      <c r="C5" t="s">
        <v>2881</v>
      </c>
      <c r="D5" t="str">
        <f t="shared" si="1"/>
        <v>0AFR</v>
      </c>
      <c r="E5" t="str">
        <f t="shared" si="2"/>
        <v>*[_]AGO*,*[_]BDI*,*[_]BEN*,*[_]BFA*</v>
      </c>
    </row>
    <row r="6" spans="1:5" x14ac:dyDescent="0.35">
      <c r="A6">
        <f t="shared" si="0"/>
        <v>0</v>
      </c>
      <c r="B6" t="s">
        <v>67</v>
      </c>
      <c r="C6" t="s">
        <v>2875</v>
      </c>
      <c r="D6" t="str">
        <f t="shared" si="1"/>
        <v>0AFR</v>
      </c>
      <c r="E6" t="str">
        <f t="shared" si="2"/>
        <v>*[_]AGO*,*[_]BDI*,*[_]BEN*,*[_]BFA*,*[_]BWA*</v>
      </c>
    </row>
    <row r="7" spans="1:5" x14ac:dyDescent="0.35">
      <c r="A7">
        <f t="shared" si="0"/>
        <v>0</v>
      </c>
      <c r="B7" t="s">
        <v>67</v>
      </c>
      <c r="C7" t="s">
        <v>2887</v>
      </c>
      <c r="D7" t="str">
        <f t="shared" si="1"/>
        <v>0AFR</v>
      </c>
      <c r="E7" t="str">
        <f t="shared" si="2"/>
        <v>*[_]AGO*,*[_]BDI*,*[_]BEN*,*[_]BFA*,*[_]BWA*,*[_]CAF*</v>
      </c>
    </row>
    <row r="8" spans="1:5" x14ac:dyDescent="0.35">
      <c r="A8">
        <f t="shared" si="0"/>
        <v>0</v>
      </c>
      <c r="B8" t="s">
        <v>67</v>
      </c>
      <c r="C8" t="s">
        <v>2896</v>
      </c>
      <c r="D8" t="str">
        <f t="shared" si="1"/>
        <v>0AFR</v>
      </c>
      <c r="E8" t="str">
        <f t="shared" si="2"/>
        <v>*[_]AGO*,*[_]BDI*,*[_]BEN*,*[_]BFA*,*[_]BWA*,*[_]CAF*,*[_]CIV*</v>
      </c>
    </row>
    <row r="9" spans="1:5" x14ac:dyDescent="0.35">
      <c r="A9">
        <f t="shared" si="0"/>
        <v>0</v>
      </c>
      <c r="B9" t="s">
        <v>67</v>
      </c>
      <c r="C9" t="s">
        <v>2884</v>
      </c>
      <c r="D9" t="str">
        <f t="shared" si="1"/>
        <v>0AFR</v>
      </c>
      <c r="E9" t="str">
        <f t="shared" si="2"/>
        <v>*[_]AGO*,*[_]BDI*,*[_]BEN*,*[_]BFA*,*[_]BWA*,*[_]CAF*,*[_]CIV*,*[_]CMR*</v>
      </c>
    </row>
    <row r="10" spans="1:5" x14ac:dyDescent="0.35">
      <c r="A10">
        <f t="shared" si="0"/>
        <v>0</v>
      </c>
      <c r="B10" t="s">
        <v>67</v>
      </c>
      <c r="C10" t="s">
        <v>3012</v>
      </c>
      <c r="D10" t="str">
        <f t="shared" si="1"/>
        <v>0AFR</v>
      </c>
      <c r="E10" t="str">
        <f t="shared" si="2"/>
        <v>*[_]AGO*,*[_]BDI*,*[_]BEN*,*[_]BFA*,*[_]BWA*,*[_]CAF*,*[_]CIV*,*[_]CMR*,*[_]COG*</v>
      </c>
    </row>
    <row r="11" spans="1:5" x14ac:dyDescent="0.35">
      <c r="A11">
        <f t="shared" si="0"/>
        <v>0</v>
      </c>
      <c r="B11" t="s">
        <v>67</v>
      </c>
      <c r="C11" t="s">
        <v>2893</v>
      </c>
      <c r="D11" t="str">
        <f t="shared" si="1"/>
        <v>0AFR</v>
      </c>
      <c r="E11" t="str">
        <f t="shared" si="2"/>
        <v>*[_]AGO*,*[_]BDI*,*[_]BEN*,*[_]BFA*,*[_]BWA*,*[_]CAF*,*[_]CIV*,*[_]CMR*,*[_]COG*,*[_]COM*</v>
      </c>
    </row>
    <row r="12" spans="1:5" x14ac:dyDescent="0.35">
      <c r="A12">
        <f t="shared" si="0"/>
        <v>0</v>
      </c>
      <c r="B12" t="s">
        <v>67</v>
      </c>
      <c r="C12" t="s">
        <v>2885</v>
      </c>
      <c r="D12" t="str">
        <f t="shared" si="1"/>
        <v>0AFR</v>
      </c>
      <c r="E12" t="str">
        <f t="shared" si="2"/>
        <v>*[_]AGO*,*[_]BDI*,*[_]BEN*,*[_]BFA*,*[_]BWA*,*[_]CAF*,*[_]CIV*,*[_]CMR*,*[_]COG*,*[_]COM*,*[_]CPV*</v>
      </c>
    </row>
    <row r="13" spans="1:5" x14ac:dyDescent="0.35">
      <c r="A13">
        <f t="shared" si="0"/>
        <v>0</v>
      </c>
      <c r="B13" t="s">
        <v>67</v>
      </c>
      <c r="C13" t="s">
        <v>2905</v>
      </c>
      <c r="D13" t="str">
        <f t="shared" si="1"/>
        <v>0AFR</v>
      </c>
      <c r="E13" t="str">
        <f t="shared" si="2"/>
        <v>*[_]AGO*,*[_]BDI*,*[_]BEN*,*[_]BFA*,*[_]BWA*,*[_]CAF*,*[_]CIV*,*[_]CMR*,*[_]COG*,*[_]COM*,*[_]CPV*,*[_]DJI*</v>
      </c>
    </row>
    <row r="14" spans="1:5" x14ac:dyDescent="0.35">
      <c r="A14">
        <f t="shared" si="0"/>
        <v>0</v>
      </c>
      <c r="B14" t="s">
        <v>67</v>
      </c>
      <c r="C14" t="s">
        <v>2852</v>
      </c>
      <c r="D14" t="str">
        <f t="shared" si="1"/>
        <v>0AFR</v>
      </c>
      <c r="E14" t="str">
        <f t="shared" si="2"/>
        <v>*[_]AGO*,*[_]BDI*,*[_]BEN*,*[_]BFA*,*[_]BWA*,*[_]CAF*,*[_]CIV*,*[_]CMR*,*[_]COG*,*[_]COM*,*[_]CPV*,*[_]DJI*,*[_]DZA*</v>
      </c>
    </row>
    <row r="15" spans="1:5" x14ac:dyDescent="0.35">
      <c r="A15">
        <f t="shared" si="0"/>
        <v>0</v>
      </c>
      <c r="B15" t="s">
        <v>67</v>
      </c>
      <c r="C15" t="s">
        <v>2909</v>
      </c>
      <c r="D15" t="str">
        <f t="shared" si="1"/>
        <v>0AFR</v>
      </c>
      <c r="E15" t="str">
        <f t="shared" si="2"/>
        <v>*[_]AGO*,*[_]BDI*,*[_]BEN*,*[_]BFA*,*[_]BWA*,*[_]CAF*,*[_]CIV*,*[_]CMR*,*[_]COG*,*[_]COM*,*[_]CPV*,*[_]DJI*,*[_]DZA*,*[_]EGY*</v>
      </c>
    </row>
    <row r="16" spans="1:5" x14ac:dyDescent="0.35">
      <c r="A16">
        <f t="shared" si="0"/>
        <v>0</v>
      </c>
      <c r="B16" t="s">
        <v>67</v>
      </c>
      <c r="C16" t="s">
        <v>2912</v>
      </c>
      <c r="D16" t="str">
        <f t="shared" si="1"/>
        <v>0AFR</v>
      </c>
      <c r="E16" t="str">
        <f t="shared" si="2"/>
        <v>*[_]AGO*,*[_]BDI*,*[_]BEN*,*[_]BFA*,*[_]BWA*,*[_]CAF*,*[_]CIV*,*[_]CMR*,*[_]COG*,*[_]COM*,*[_]CPV*,*[_]DJI*,*[_]DZA*,*[_]EGY*,*[_]ERI*</v>
      </c>
    </row>
    <row r="17" spans="1:5" x14ac:dyDescent="0.35">
      <c r="A17">
        <f t="shared" si="0"/>
        <v>0</v>
      </c>
      <c r="B17" t="s">
        <v>67</v>
      </c>
      <c r="C17" t="s">
        <v>2914</v>
      </c>
      <c r="D17" t="str">
        <f t="shared" si="1"/>
        <v>0AFR</v>
      </c>
      <c r="E17" t="str">
        <f t="shared" si="2"/>
        <v>*[_]AGO*,*[_]BDI*,*[_]BEN*,*[_]BFA*,*[_]BWA*,*[_]CAF*,*[_]CIV*,*[_]CMR*,*[_]COG*,*[_]COM*,*[_]CPV*,*[_]DJI*,*[_]DZA*,*[_]EGY*,*[_]ERI*,*[_]ETH*</v>
      </c>
    </row>
    <row r="18" spans="1:5" x14ac:dyDescent="0.35">
      <c r="A18">
        <f t="shared" si="0"/>
        <v>0</v>
      </c>
      <c r="B18" t="s">
        <v>67</v>
      </c>
      <c r="C18" t="s">
        <v>2921</v>
      </c>
      <c r="D18" t="str">
        <f t="shared" si="1"/>
        <v>0AFR</v>
      </c>
      <c r="E18" t="str">
        <f t="shared" si="2"/>
        <v>*[_]AGO*,*[_]BDI*,*[_]BEN*,*[_]BFA*,*[_]BWA*,*[_]CAF*,*[_]CIV*,*[_]CMR*,*[_]COG*,*[_]COM*,*[_]CPV*,*[_]DJI*,*[_]DZA*,*[_]EGY*,*[_]ERI*,*[_]ETH*,*[_]GAB*</v>
      </c>
    </row>
    <row r="19" spans="1:5" x14ac:dyDescent="0.35">
      <c r="A19">
        <f t="shared" si="0"/>
        <v>0</v>
      </c>
      <c r="B19" t="s">
        <v>67</v>
      </c>
      <c r="C19" t="s">
        <v>2924</v>
      </c>
      <c r="D19" t="str">
        <f t="shared" si="1"/>
        <v>0AFR</v>
      </c>
      <c r="E19" t="str">
        <f t="shared" si="2"/>
        <v>*[_]AGO*,*[_]BDI*,*[_]BEN*,*[_]BFA*,*[_]BWA*,*[_]CAF*,*[_]CIV*,*[_]CMR*,*[_]COG*,*[_]COM*,*[_]CPV*,*[_]DJI*,*[_]DZA*,*[_]EGY*,*[_]ERI*,*[_]ETH*,*[_]GAB*,*[_]GHA*</v>
      </c>
    </row>
    <row r="20" spans="1:5" x14ac:dyDescent="0.35">
      <c r="A20">
        <f t="shared" si="0"/>
        <v>0</v>
      </c>
      <c r="B20" t="s">
        <v>67</v>
      </c>
      <c r="C20" t="s">
        <v>2932</v>
      </c>
      <c r="D20" t="str">
        <f t="shared" si="1"/>
        <v>0AFR</v>
      </c>
      <c r="E20" t="str">
        <f t="shared" si="2"/>
        <v>*[_]AGO*,*[_]BDI*,*[_]BEN*,*[_]BFA*,*[_]BWA*,*[_]CAF*,*[_]CIV*,*[_]CMR*,*[_]COG*,*[_]COM*,*[_]CPV*,*[_]DJI*,*[_]DZA*,*[_]EGY*,*[_]ERI*,*[_]ETH*,*[_]GAB*,*[_]GHA*,*[_]GIN*</v>
      </c>
    </row>
    <row r="21" spans="1:5" x14ac:dyDescent="0.35">
      <c r="A21">
        <f t="shared" si="0"/>
        <v>0</v>
      </c>
      <c r="B21" t="s">
        <v>67</v>
      </c>
      <c r="C21" t="s">
        <v>3050</v>
      </c>
      <c r="D21" t="str">
        <f t="shared" si="1"/>
        <v>0AFR</v>
      </c>
      <c r="E21" t="str">
        <f t="shared" si="2"/>
        <v>*[_]AGO*,*[_]BDI*,*[_]BEN*,*[_]BFA*,*[_]BWA*,*[_]CAF*,*[_]CIV*,*[_]CMR*,*[_]COG*,*[_]COM*,*[_]CPV*,*[_]DJI*,*[_]DZA*,*[_]EGY*,*[_]ERI*,*[_]ETH*,*[_]GAB*,*[_]GHA*,*[_]GIN*,*[_]GMB*</v>
      </c>
    </row>
    <row r="22" spans="1:5" x14ac:dyDescent="0.35">
      <c r="A22">
        <f t="shared" si="0"/>
        <v>0</v>
      </c>
      <c r="B22" t="s">
        <v>67</v>
      </c>
      <c r="C22" t="s">
        <v>2933</v>
      </c>
      <c r="D22" t="str">
        <f t="shared" si="1"/>
        <v>0AFR</v>
      </c>
      <c r="E22" t="str">
        <f t="shared" si="2"/>
        <v>*[_]AGO*,*[_]BDI*,*[_]BEN*,*[_]BFA*,*[_]BWA*,*[_]CAF*,*[_]CIV*,*[_]CMR*,*[_]COG*,*[_]COM*,*[_]CPV*,*[_]DJI*,*[_]DZA*,*[_]EGY*,*[_]ERI*,*[_]ETH*,*[_]GAB*,*[_]GHA*,*[_]GIN*,*[_]GMB*,*[_]GNB*</v>
      </c>
    </row>
    <row r="23" spans="1:5" x14ac:dyDescent="0.35">
      <c r="A23">
        <f t="shared" si="0"/>
        <v>0</v>
      </c>
      <c r="B23" t="s">
        <v>67</v>
      </c>
      <c r="C23" t="s">
        <v>2911</v>
      </c>
      <c r="D23" t="str">
        <f t="shared" si="1"/>
        <v>0AFR</v>
      </c>
      <c r="E23" t="str">
        <f t="shared" si="2"/>
        <v>*[_]AGO*,*[_]BDI*,*[_]BEN*,*[_]BFA*,*[_]BWA*,*[_]CAF*,*[_]CIV*,*[_]CMR*,*[_]COG*,*[_]COM*,*[_]CPV*,*[_]DJI*,*[_]DZA*,*[_]EGY*,*[_]ERI*,*[_]ETH*,*[_]GAB*,*[_]GHA*,*[_]GIN*,*[_]GMB*,*[_]GNB*,*[_]GNQ*</v>
      </c>
    </row>
    <row r="24" spans="1:5" x14ac:dyDescent="0.35">
      <c r="A24">
        <f t="shared" si="0"/>
        <v>0</v>
      </c>
      <c r="B24" t="s">
        <v>67</v>
      </c>
      <c r="C24" t="s">
        <v>2950</v>
      </c>
      <c r="D24" t="str">
        <f t="shared" si="1"/>
        <v>0AFR</v>
      </c>
      <c r="E24" t="str">
        <f t="shared" si="2"/>
        <v>*[_]AGO*,*[_]BDI*,*[_]BEN*,*[_]BFA*,*[_]BWA*,*[_]CAF*,*[_]CIV*,*[_]CMR*,*[_]COG*,*[_]COM*,*[_]CPV*,*[_]DJI*,*[_]DZA*,*[_]EGY*,*[_]ERI*,*[_]ETH*,*[_]GAB*,*[_]GHA*,*[_]GIN*,*[_]GMB*,*[_]GNB*,*[_]GNQ*,*[_]KEN*</v>
      </c>
    </row>
    <row r="25" spans="1:5" x14ac:dyDescent="0.35">
      <c r="A25">
        <f t="shared" si="0"/>
        <v>0</v>
      </c>
      <c r="B25" t="s">
        <v>67</v>
      </c>
      <c r="C25" t="s">
        <v>2960</v>
      </c>
      <c r="D25" t="str">
        <f t="shared" si="1"/>
        <v>0AFR</v>
      </c>
      <c r="E25" t="str">
        <f t="shared" si="2"/>
        <v>*[_]AGO*,*[_]BDI*,*[_]BEN*,*[_]BFA*,*[_]BWA*,*[_]CAF*,*[_]CIV*,*[_]CMR*,*[_]COG*,*[_]COM*,*[_]CPV*,*[_]DJI*,*[_]DZA*,*[_]EGY*,*[_]ERI*,*[_]ETH*,*[_]GAB*,*[_]GHA*,*[_]GIN*,*[_]GMB*,*[_]GNB*,*[_]GNQ*,*[_]KEN*,*[_]LBR*</v>
      </c>
    </row>
    <row r="26" spans="1:5" x14ac:dyDescent="0.35">
      <c r="A26">
        <f t="shared" si="0"/>
        <v>0</v>
      </c>
      <c r="B26" t="s">
        <v>67</v>
      </c>
      <c r="C26" t="s">
        <v>2961</v>
      </c>
      <c r="D26" t="str">
        <f t="shared" si="1"/>
        <v>0AFR</v>
      </c>
      <c r="E26" t="str">
        <f t="shared" si="2"/>
        <v>*[_]AGO*,*[_]BDI*,*[_]BEN*,*[_]BFA*,*[_]BWA*,*[_]CAF*,*[_]CIV*,*[_]CMR*,*[_]COG*,*[_]COM*,*[_]CPV*,*[_]DJI*,*[_]DZA*,*[_]EGY*,*[_]ERI*,*[_]ETH*,*[_]GAB*,*[_]GHA*,*[_]GIN*,*[_]GMB*,*[_]GNB*,*[_]GNQ*,*[_]KEN*,*[_]LBR*,*[_]LBY*</v>
      </c>
    </row>
    <row r="27" spans="1:5" x14ac:dyDescent="0.35">
      <c r="A27">
        <f t="shared" si="0"/>
        <v>0</v>
      </c>
      <c r="B27" t="s">
        <v>67</v>
      </c>
      <c r="C27" t="s">
        <v>2959</v>
      </c>
      <c r="D27" t="str">
        <f t="shared" si="1"/>
        <v>0AFR</v>
      </c>
      <c r="E27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</v>
      </c>
    </row>
    <row r="28" spans="1:5" x14ac:dyDescent="0.35">
      <c r="A28">
        <f t="shared" si="0"/>
        <v>0</v>
      </c>
      <c r="B28" t="s">
        <v>67</v>
      </c>
      <c r="C28" t="s">
        <v>2983</v>
      </c>
      <c r="D28" t="str">
        <f t="shared" si="1"/>
        <v>0AFR</v>
      </c>
      <c r="E28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</v>
      </c>
    </row>
    <row r="29" spans="1:5" x14ac:dyDescent="0.35">
      <c r="A29">
        <f t="shared" si="0"/>
        <v>0</v>
      </c>
      <c r="B29" t="s">
        <v>67</v>
      </c>
      <c r="C29" t="s">
        <v>2967</v>
      </c>
      <c r="D29" t="str">
        <f t="shared" si="1"/>
        <v>0AFR</v>
      </c>
      <c r="E29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</v>
      </c>
    </row>
    <row r="30" spans="1:5" x14ac:dyDescent="0.35">
      <c r="A30">
        <f t="shared" si="0"/>
        <v>0</v>
      </c>
      <c r="B30" t="s">
        <v>67</v>
      </c>
      <c r="C30" t="s">
        <v>2971</v>
      </c>
      <c r="D30" t="str">
        <f t="shared" si="1"/>
        <v>0AFR</v>
      </c>
      <c r="E30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</v>
      </c>
    </row>
    <row r="31" spans="1:5" x14ac:dyDescent="0.35">
      <c r="A31">
        <f t="shared" si="0"/>
        <v>0</v>
      </c>
      <c r="B31" t="s">
        <v>67</v>
      </c>
      <c r="C31" t="s">
        <v>2984</v>
      </c>
      <c r="D31" t="str">
        <f t="shared" si="1"/>
        <v>0AFR</v>
      </c>
      <c r="E31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</v>
      </c>
    </row>
    <row r="32" spans="1:5" x14ac:dyDescent="0.35">
      <c r="A32">
        <f t="shared" si="0"/>
        <v>0</v>
      </c>
      <c r="B32" t="s">
        <v>67</v>
      </c>
      <c r="C32" t="s">
        <v>2974</v>
      </c>
      <c r="D32" t="str">
        <f t="shared" si="1"/>
        <v>0AFR</v>
      </c>
      <c r="E32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</v>
      </c>
    </row>
    <row r="33" spans="1:5" x14ac:dyDescent="0.35">
      <c r="A33">
        <f t="shared" si="0"/>
        <v>0</v>
      </c>
      <c r="B33" t="s">
        <v>67</v>
      </c>
      <c r="C33" t="s">
        <v>2975</v>
      </c>
      <c r="D33" t="str">
        <f t="shared" si="1"/>
        <v>0AFR</v>
      </c>
      <c r="E33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</v>
      </c>
    </row>
    <row r="34" spans="1:5" x14ac:dyDescent="0.35">
      <c r="A34">
        <f t="shared" si="0"/>
        <v>0</v>
      </c>
      <c r="B34" t="s">
        <v>67</v>
      </c>
      <c r="C34" t="s">
        <v>2968</v>
      </c>
      <c r="D34" t="str">
        <f t="shared" si="1"/>
        <v>0AFR</v>
      </c>
      <c r="E34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</v>
      </c>
    </row>
    <row r="35" spans="1:5" x14ac:dyDescent="0.35">
      <c r="A35">
        <f t="shared" si="0"/>
        <v>0</v>
      </c>
      <c r="B35" t="s">
        <v>67</v>
      </c>
      <c r="C35" t="s">
        <v>2870</v>
      </c>
      <c r="D35" t="str">
        <f t="shared" si="1"/>
        <v>0AFR</v>
      </c>
      <c r="E35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</v>
      </c>
    </row>
    <row r="36" spans="1:5" x14ac:dyDescent="0.35">
      <c r="A36">
        <f t="shared" si="0"/>
        <v>0</v>
      </c>
      <c r="B36" t="s">
        <v>67</v>
      </c>
      <c r="C36" t="s">
        <v>2993</v>
      </c>
      <c r="D36" t="str">
        <f t="shared" si="1"/>
        <v>0AFR</v>
      </c>
      <c r="E36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</v>
      </c>
    </row>
    <row r="37" spans="1:5" x14ac:dyDescent="0.35">
      <c r="A37">
        <f t="shared" si="0"/>
        <v>0</v>
      </c>
      <c r="B37" t="s">
        <v>67</v>
      </c>
      <c r="C37" t="s">
        <v>2994</v>
      </c>
      <c r="D37" t="str">
        <f t="shared" si="1"/>
        <v>0AFR</v>
      </c>
      <c r="E37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</v>
      </c>
    </row>
    <row r="38" spans="1:5" x14ac:dyDescent="0.35">
      <c r="A38">
        <f t="shared" si="0"/>
        <v>0</v>
      </c>
      <c r="B38" t="s">
        <v>67</v>
      </c>
      <c r="C38" t="s">
        <v>3014</v>
      </c>
      <c r="D38" t="str">
        <f t="shared" si="1"/>
        <v>0AFR</v>
      </c>
      <c r="E38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</v>
      </c>
    </row>
    <row r="39" spans="1:5" x14ac:dyDescent="0.35">
      <c r="A39">
        <f t="shared" si="0"/>
        <v>0</v>
      </c>
      <c r="B39" t="s">
        <v>67</v>
      </c>
      <c r="C39" t="s">
        <v>3038</v>
      </c>
      <c r="D39" t="str">
        <f t="shared" si="1"/>
        <v>0AFR</v>
      </c>
      <c r="E39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</v>
      </c>
    </row>
    <row r="40" spans="1:5" x14ac:dyDescent="0.35">
      <c r="A40">
        <f t="shared" si="0"/>
        <v>0</v>
      </c>
      <c r="B40" t="s">
        <v>67</v>
      </c>
      <c r="C40" t="s">
        <v>3019</v>
      </c>
      <c r="D40" t="str">
        <f t="shared" si="1"/>
        <v>0AFR</v>
      </c>
      <c r="E40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</v>
      </c>
    </row>
    <row r="41" spans="1:5" x14ac:dyDescent="0.35">
      <c r="A41">
        <f t="shared" si="0"/>
        <v>0</v>
      </c>
      <c r="B41" t="s">
        <v>67</v>
      </c>
      <c r="C41" t="s">
        <v>3022</v>
      </c>
      <c r="D41" t="str">
        <f t="shared" si="1"/>
        <v>0AFR</v>
      </c>
      <c r="E41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</v>
      </c>
    </row>
    <row r="42" spans="1:5" x14ac:dyDescent="0.35">
      <c r="A42">
        <f t="shared" si="0"/>
        <v>0</v>
      </c>
      <c r="B42" t="s">
        <v>67</v>
      </c>
      <c r="C42" t="s">
        <v>3028</v>
      </c>
      <c r="D42" t="str">
        <f t="shared" si="1"/>
        <v>0AFR</v>
      </c>
      <c r="E42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</v>
      </c>
    </row>
    <row r="43" spans="1:5" x14ac:dyDescent="0.35">
      <c r="A43">
        <f t="shared" si="0"/>
        <v>0</v>
      </c>
      <c r="B43" t="s">
        <v>67</v>
      </c>
      <c r="C43" t="s">
        <v>3031</v>
      </c>
      <c r="D43" t="str">
        <f t="shared" si="1"/>
        <v>0AFR</v>
      </c>
      <c r="E43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</v>
      </c>
    </row>
    <row r="44" spans="1:5" x14ac:dyDescent="0.35">
      <c r="A44">
        <f t="shared" si="0"/>
        <v>0</v>
      </c>
      <c r="B44" t="s">
        <v>67</v>
      </c>
      <c r="C44" t="s">
        <v>3017</v>
      </c>
      <c r="D44" t="str">
        <f t="shared" si="1"/>
        <v>0AFR</v>
      </c>
      <c r="E44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</v>
      </c>
    </row>
    <row r="45" spans="1:5" x14ac:dyDescent="0.35">
      <c r="A45">
        <f t="shared" si="0"/>
        <v>0</v>
      </c>
      <c r="B45" t="s">
        <v>67</v>
      </c>
      <c r="C45" t="s">
        <v>3041</v>
      </c>
      <c r="D45" t="str">
        <f t="shared" si="1"/>
        <v>0AFR</v>
      </c>
      <c r="E45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</v>
      </c>
    </row>
    <row r="46" spans="1:5" x14ac:dyDescent="0.35">
      <c r="A46">
        <f t="shared" si="0"/>
        <v>0</v>
      </c>
      <c r="B46" t="s">
        <v>67</v>
      </c>
      <c r="C46" t="s">
        <v>3021</v>
      </c>
      <c r="D46" t="str">
        <f t="shared" si="1"/>
        <v>0AFR</v>
      </c>
      <c r="E46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</v>
      </c>
    </row>
    <row r="47" spans="1:5" x14ac:dyDescent="0.35">
      <c r="A47">
        <f t="shared" si="0"/>
        <v>0</v>
      </c>
      <c r="B47" t="s">
        <v>67</v>
      </c>
      <c r="C47" t="s">
        <v>2888</v>
      </c>
      <c r="D47" t="str">
        <f t="shared" si="1"/>
        <v>0AFR</v>
      </c>
      <c r="E47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</v>
      </c>
    </row>
    <row r="48" spans="1:5" x14ac:dyDescent="0.35">
      <c r="A48">
        <f t="shared" si="0"/>
        <v>0</v>
      </c>
      <c r="B48" t="s">
        <v>67</v>
      </c>
      <c r="C48" t="s">
        <v>3052</v>
      </c>
      <c r="D48" t="str">
        <f t="shared" si="1"/>
        <v>0AFR</v>
      </c>
      <c r="E48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</v>
      </c>
    </row>
    <row r="49" spans="1:5" x14ac:dyDescent="0.35">
      <c r="A49">
        <f t="shared" si="0"/>
        <v>0</v>
      </c>
      <c r="B49" t="s">
        <v>67</v>
      </c>
      <c r="C49" t="s">
        <v>3056</v>
      </c>
      <c r="D49" t="str">
        <f t="shared" si="1"/>
        <v>0AFR</v>
      </c>
      <c r="E49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</v>
      </c>
    </row>
    <row r="50" spans="1:5" x14ac:dyDescent="0.35">
      <c r="A50">
        <f t="shared" si="0"/>
        <v>0</v>
      </c>
      <c r="B50" t="s">
        <v>67</v>
      </c>
      <c r="C50" t="s">
        <v>3047</v>
      </c>
      <c r="D50" t="str">
        <f t="shared" si="1"/>
        <v>0AFR</v>
      </c>
      <c r="E50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</v>
      </c>
    </row>
    <row r="51" spans="1:5" x14ac:dyDescent="0.35">
      <c r="A51">
        <f t="shared" si="0"/>
        <v>0</v>
      </c>
      <c r="B51" t="s">
        <v>67</v>
      </c>
      <c r="C51" t="s">
        <v>3061</v>
      </c>
      <c r="D51" t="str">
        <f t="shared" si="1"/>
        <v>0AFR</v>
      </c>
      <c r="E51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</v>
      </c>
    </row>
    <row r="52" spans="1:5" x14ac:dyDescent="0.35">
      <c r="A52">
        <f t="shared" si="0"/>
        <v>0</v>
      </c>
      <c r="B52" t="s">
        <v>67</v>
      </c>
      <c r="C52" t="s">
        <v>3029</v>
      </c>
      <c r="D52" t="str">
        <f t="shared" si="1"/>
        <v>0AFR</v>
      </c>
      <c r="E52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</v>
      </c>
    </row>
    <row r="53" spans="1:5" x14ac:dyDescent="0.35">
      <c r="A53">
        <f t="shared" si="0"/>
        <v>0</v>
      </c>
      <c r="B53" t="s">
        <v>67</v>
      </c>
      <c r="C53" t="s">
        <v>2903</v>
      </c>
      <c r="D53" t="str">
        <f t="shared" si="1"/>
        <v>0AFR</v>
      </c>
      <c r="E53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</v>
      </c>
    </row>
    <row r="54" spans="1:5" x14ac:dyDescent="0.35">
      <c r="A54">
        <f t="shared" si="0"/>
        <v>0</v>
      </c>
      <c r="B54" t="s">
        <v>67</v>
      </c>
      <c r="C54" t="s">
        <v>3074</v>
      </c>
      <c r="D54" t="str">
        <f t="shared" si="1"/>
        <v>0AFR</v>
      </c>
      <c r="E54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</v>
      </c>
    </row>
    <row r="55" spans="1:5" x14ac:dyDescent="0.35">
      <c r="A55">
        <f t="shared" si="0"/>
        <v>1</v>
      </c>
      <c r="B55" t="s">
        <v>67</v>
      </c>
      <c r="C55" t="s">
        <v>3075</v>
      </c>
      <c r="D55" t="str">
        <f t="shared" si="1"/>
        <v>1AFR</v>
      </c>
      <c r="E55" t="str">
        <f t="shared" si="2"/>
        <v>*[_]AGO*,*[_]BDI*,*[_]BEN*,*[_]BFA*,*[_]BWA*,*[_]CAF*,*[_]CIV*,*[_]CMR*,*[_]COG*,*[_]COM*,*[_]CPV*,*[_]DJI*,*[_]DZA*,*[_]EGY*,*[_]ERI*,*[_]ETH*,*[_]GAB*,*[_]GHA*,*[_]GIN*,*[_]GMB*,*[_]GNB*,*[_]GNQ*,*[_]KEN*,*[_]LBR*,*[_]LBY*,*[_]LSO*,*[_]MAR*,*[_]MDG*,*[_]MLI*,*[_]MOZ*,*[_]MRT*,*[_]MUS*,*[_]MWI*,*[_]NAM*,*[_]NER*,*[_]NGA*,*[_]RWA*,*[_]SDN*,*[_]SEN*,*[_]SLE*,*[_]SOM*,*[_]SSD*,*[_]STP*,*[_]SWZ*,*[_]SYC*,*[_]TCD*,*[_]TGO*,*[_]TUN*,*[_]TZA*,*[_]UGA*,*[_]ZAF*,*[_]ZAR*,*[_]ZMB*,*[_]ZWE*</v>
      </c>
    </row>
    <row r="56" spans="1:5" x14ac:dyDescent="0.35">
      <c r="A56">
        <f t="shared" si="0"/>
        <v>0</v>
      </c>
      <c r="B56" t="s">
        <v>68</v>
      </c>
      <c r="C56" t="s">
        <v>2860</v>
      </c>
      <c r="D56" t="str">
        <f t="shared" si="1"/>
        <v>0ANZ</v>
      </c>
      <c r="E56" t="str">
        <f t="shared" si="2"/>
        <v>*[_]AUS*</v>
      </c>
    </row>
    <row r="57" spans="1:5" x14ac:dyDescent="0.35">
      <c r="A57">
        <f t="shared" si="0"/>
        <v>1</v>
      </c>
      <c r="B57" t="s">
        <v>68</v>
      </c>
      <c r="C57" t="s">
        <v>2991</v>
      </c>
      <c r="D57" t="str">
        <f t="shared" si="1"/>
        <v>1ANZ</v>
      </c>
      <c r="E57" t="str">
        <f t="shared" si="2"/>
        <v>*[_]AUS*,*[_]NZL*</v>
      </c>
    </row>
    <row r="58" spans="1:5" x14ac:dyDescent="0.35">
      <c r="A58">
        <f t="shared" si="0"/>
        <v>1</v>
      </c>
      <c r="B58" t="s">
        <v>69</v>
      </c>
      <c r="C58" t="s">
        <v>2878</v>
      </c>
      <c r="D58" t="str">
        <f t="shared" si="1"/>
        <v>1BRZ</v>
      </c>
      <c r="E58" t="str">
        <f t="shared" si="2"/>
        <v>*[_]BRA*</v>
      </c>
    </row>
    <row r="59" spans="1:5" x14ac:dyDescent="0.35">
      <c r="A59">
        <f t="shared" si="0"/>
        <v>1</v>
      </c>
      <c r="B59" t="s">
        <v>70</v>
      </c>
      <c r="C59" t="s">
        <v>70</v>
      </c>
      <c r="D59" t="str">
        <f t="shared" si="1"/>
        <v>1CAN</v>
      </c>
      <c r="E59" t="str">
        <f t="shared" si="2"/>
        <v>*[_]CAN*</v>
      </c>
    </row>
    <row r="60" spans="1:5" x14ac:dyDescent="0.35">
      <c r="A60">
        <f t="shared" si="0"/>
        <v>1</v>
      </c>
      <c r="B60" t="s">
        <v>71</v>
      </c>
      <c r="C60" t="s">
        <v>2890</v>
      </c>
      <c r="D60" t="str">
        <f t="shared" si="1"/>
        <v>1CHI</v>
      </c>
      <c r="E60" t="str">
        <f t="shared" si="2"/>
        <v>*[_]CHN*</v>
      </c>
    </row>
    <row r="61" spans="1:5" x14ac:dyDescent="0.35">
      <c r="A61">
        <f t="shared" si="0"/>
        <v>0</v>
      </c>
      <c r="B61" t="s">
        <v>72</v>
      </c>
      <c r="C61" t="s">
        <v>2859</v>
      </c>
      <c r="D61" t="str">
        <f t="shared" si="1"/>
        <v>0CSA</v>
      </c>
      <c r="E61" t="str">
        <f t="shared" si="2"/>
        <v>*[_]ABW*</v>
      </c>
    </row>
    <row r="62" spans="1:5" x14ac:dyDescent="0.35">
      <c r="A62">
        <f t="shared" si="0"/>
        <v>0</v>
      </c>
      <c r="B62" t="s">
        <v>72</v>
      </c>
      <c r="C62" t="s">
        <v>2989</v>
      </c>
      <c r="D62" t="str">
        <f t="shared" si="1"/>
        <v>0CSA</v>
      </c>
      <c r="E62" t="str">
        <f t="shared" si="2"/>
        <v>*[_]ABW*,*[_]ANT*</v>
      </c>
    </row>
    <row r="63" spans="1:5" x14ac:dyDescent="0.35">
      <c r="A63">
        <f t="shared" si="0"/>
        <v>0</v>
      </c>
      <c r="B63" t="s">
        <v>72</v>
      </c>
      <c r="C63" t="s">
        <v>2857</v>
      </c>
      <c r="D63" t="str">
        <f t="shared" si="1"/>
        <v>0CSA</v>
      </c>
      <c r="E63" t="str">
        <f t="shared" si="2"/>
        <v>*[_]ABW*,*[_]ANT*,*[_]ARG*</v>
      </c>
    </row>
    <row r="64" spans="1:5" x14ac:dyDescent="0.35">
      <c r="A64">
        <f t="shared" si="0"/>
        <v>0</v>
      </c>
      <c r="B64" t="s">
        <v>72</v>
      </c>
      <c r="C64" t="s">
        <v>2856</v>
      </c>
      <c r="D64" t="str">
        <f t="shared" si="1"/>
        <v>0CSA</v>
      </c>
      <c r="E64" t="str">
        <f t="shared" si="2"/>
        <v>*[_]ABW*,*[_]ANT*,*[_]ARG*,*[_]ATG*</v>
      </c>
    </row>
    <row r="65" spans="1:5" x14ac:dyDescent="0.35">
      <c r="A65">
        <f t="shared" si="0"/>
        <v>0</v>
      </c>
      <c r="B65" t="s">
        <v>72</v>
      </c>
      <c r="C65" t="s">
        <v>3049</v>
      </c>
      <c r="D65" t="str">
        <f t="shared" si="1"/>
        <v>0CSA</v>
      </c>
      <c r="E65" t="str">
        <f t="shared" si="2"/>
        <v>*[_]ABW*,*[_]ANT*,*[_]ARG*,*[_]ATG*,*[_]BHS*</v>
      </c>
    </row>
    <row r="66" spans="1:5" x14ac:dyDescent="0.35">
      <c r="A66">
        <f t="shared" si="0"/>
        <v>0</v>
      </c>
      <c r="B66" t="s">
        <v>72</v>
      </c>
      <c r="C66" t="s">
        <v>2868</v>
      </c>
      <c r="D66" t="str">
        <f t="shared" si="1"/>
        <v>0CSA</v>
      </c>
      <c r="E66" t="str">
        <f t="shared" si="2"/>
        <v>*[_]ABW*,*[_]ANT*,*[_]ARG*,*[_]ATG*,*[_]BHS*,*[_]BLZ*</v>
      </c>
    </row>
    <row r="67" spans="1:5" x14ac:dyDescent="0.35">
      <c r="A67">
        <f t="shared" ref="A67:A131" si="3">IF(B67=B68,0,1)</f>
        <v>0</v>
      </c>
      <c r="B67" t="s">
        <v>72</v>
      </c>
      <c r="C67" t="s">
        <v>2871</v>
      </c>
      <c r="D67" t="str">
        <f t="shared" ref="D67:D131" si="4">A67&amp;B67</f>
        <v>0CSA</v>
      </c>
      <c r="E67" t="str">
        <f t="shared" ref="E67:E131" si="5">IF(B67=B66,E66&amp;","&amp;"*[_]"&amp;C67&amp;"*","*[_]"&amp;C67&amp;"*")</f>
        <v>*[_]ABW*,*[_]ANT*,*[_]ARG*,*[_]ATG*,*[_]BHS*,*[_]BLZ*,*[_]BMU*</v>
      </c>
    </row>
    <row r="68" spans="1:5" x14ac:dyDescent="0.35">
      <c r="A68">
        <f t="shared" si="3"/>
        <v>0</v>
      </c>
      <c r="B68" t="s">
        <v>72</v>
      </c>
      <c r="C68" t="s">
        <v>2873</v>
      </c>
      <c r="D68" t="str">
        <f t="shared" si="4"/>
        <v>0CSA</v>
      </c>
      <c r="E68" t="str">
        <f t="shared" si="5"/>
        <v>*[_]ABW*,*[_]ANT*,*[_]ARG*,*[_]ATG*,*[_]BHS*,*[_]BLZ*,*[_]BMU*,*[_]BOL*</v>
      </c>
    </row>
    <row r="69" spans="1:5" x14ac:dyDescent="0.35">
      <c r="A69">
        <f>IF(B69=B71,0,1)</f>
        <v>0</v>
      </c>
      <c r="B69" t="s">
        <v>72</v>
      </c>
      <c r="C69" t="s">
        <v>2865</v>
      </c>
      <c r="D69" t="str">
        <f t="shared" si="4"/>
        <v>0CSA</v>
      </c>
      <c r="E69" t="str">
        <f t="shared" si="5"/>
        <v>*[_]ABW*,*[_]ANT*,*[_]ARG*,*[_]ATG*,*[_]BHS*,*[_]BLZ*,*[_]BMU*,*[_]BOL*,*[_]BRB*</v>
      </c>
    </row>
    <row r="70" spans="1:5" x14ac:dyDescent="0.35">
      <c r="A70">
        <f>IF(B70=B72,0,1)</f>
        <v>0</v>
      </c>
      <c r="B70" t="s">
        <v>72</v>
      </c>
      <c r="C70" t="s">
        <v>2889</v>
      </c>
      <c r="D70" t="str">
        <f t="shared" ref="D70" si="6">A70&amp;B70</f>
        <v>0CSA</v>
      </c>
      <c r="E70" t="str">
        <f t="shared" si="5"/>
        <v>*[_]ABW*,*[_]ANT*,*[_]ARG*,*[_]ATG*,*[_]BHS*,*[_]BLZ*,*[_]BMU*,*[_]BOL*,*[_]BRB*,*[_]CHL*</v>
      </c>
    </row>
    <row r="71" spans="1:5" x14ac:dyDescent="0.35">
      <c r="A71">
        <f t="shared" si="3"/>
        <v>0</v>
      </c>
      <c r="B71" t="s">
        <v>72</v>
      </c>
      <c r="C71" t="s">
        <v>2895</v>
      </c>
      <c r="D71" t="str">
        <f t="shared" si="4"/>
        <v>0CSA</v>
      </c>
      <c r="E71" t="str">
        <f t="shared" si="5"/>
        <v>*[_]ABW*,*[_]ANT*,*[_]ARG*,*[_]ATG*,*[_]BHS*,*[_]BLZ*,*[_]BMU*,*[_]BOL*,*[_]BRB*,*[_]CHL*,*[_]CRI*</v>
      </c>
    </row>
    <row r="72" spans="1:5" x14ac:dyDescent="0.35">
      <c r="A72">
        <f t="shared" si="3"/>
        <v>0</v>
      </c>
      <c r="B72" t="s">
        <v>72</v>
      </c>
      <c r="C72" t="s">
        <v>2898</v>
      </c>
      <c r="D72" t="str">
        <f t="shared" si="4"/>
        <v>0CSA</v>
      </c>
      <c r="E72" t="str">
        <f t="shared" si="5"/>
        <v>*[_]ABW*,*[_]ANT*,*[_]ARG*,*[_]ATG*,*[_]BHS*,*[_]BLZ*,*[_]BMU*,*[_]BOL*,*[_]BRB*,*[_]CHL*,*[_]CRI*,*[_]CUB*</v>
      </c>
    </row>
    <row r="73" spans="1:5" x14ac:dyDescent="0.35">
      <c r="A73">
        <f t="shared" si="3"/>
        <v>0</v>
      </c>
      <c r="B73" t="s">
        <v>72</v>
      </c>
      <c r="C73" t="s">
        <v>2899</v>
      </c>
      <c r="D73" t="str">
        <f t="shared" si="4"/>
        <v>0CSA</v>
      </c>
      <c r="E73" t="str">
        <f t="shared" si="5"/>
        <v>*[_]ABW*,*[_]ANT*,*[_]ARG*,*[_]ATG*,*[_]BHS*,*[_]BLZ*,*[_]BMU*,*[_]BOL*,*[_]BRB*,*[_]CHL*,*[_]CRI*,*[_]CUB*,*[_]CUW*</v>
      </c>
    </row>
    <row r="74" spans="1:5" x14ac:dyDescent="0.35">
      <c r="A74">
        <f t="shared" si="3"/>
        <v>0</v>
      </c>
      <c r="B74" t="s">
        <v>72</v>
      </c>
      <c r="C74" t="s">
        <v>2886</v>
      </c>
      <c r="D74" t="str">
        <f t="shared" si="4"/>
        <v>0CSA</v>
      </c>
      <c r="E74" t="str">
        <f t="shared" si="5"/>
        <v>*[_]ABW*,*[_]ANT*,*[_]ARG*,*[_]ATG*,*[_]BHS*,*[_]BLZ*,*[_]BMU*,*[_]BOL*,*[_]BRB*,*[_]CHL*,*[_]CRI*,*[_]CUB*,*[_]CUW*,*[_]CYM*</v>
      </c>
    </row>
    <row r="75" spans="1:5" x14ac:dyDescent="0.35">
      <c r="A75">
        <f t="shared" si="3"/>
        <v>0</v>
      </c>
      <c r="B75" t="s">
        <v>72</v>
      </c>
      <c r="C75" t="s">
        <v>2906</v>
      </c>
      <c r="D75" t="str">
        <f t="shared" si="4"/>
        <v>0CSA</v>
      </c>
      <c r="E75" t="str">
        <f t="shared" si="5"/>
        <v>*[_]ABW*,*[_]ANT*,*[_]ARG*,*[_]ATG*,*[_]BHS*,*[_]BLZ*,*[_]BMU*,*[_]BOL*,*[_]BRB*,*[_]CHL*,*[_]CRI*,*[_]CUB*,*[_]CUW*,*[_]CYM*,*[_]DMA*</v>
      </c>
    </row>
    <row r="76" spans="1:5" x14ac:dyDescent="0.35">
      <c r="A76">
        <f t="shared" si="3"/>
        <v>0</v>
      </c>
      <c r="B76" t="s">
        <v>72</v>
      </c>
      <c r="C76" t="s">
        <v>2907</v>
      </c>
      <c r="D76" t="str">
        <f t="shared" si="4"/>
        <v>0CSA</v>
      </c>
      <c r="E76" t="str">
        <f t="shared" si="5"/>
        <v>*[_]ABW*,*[_]ANT*,*[_]ARG*,*[_]ATG*,*[_]BHS*,*[_]BLZ*,*[_]BMU*,*[_]BOL*,*[_]BRB*,*[_]CHL*,*[_]CRI*,*[_]CUB*,*[_]CUW*,*[_]CYM*,*[_]DMA*,*[_]DOM*</v>
      </c>
    </row>
    <row r="77" spans="1:5" x14ac:dyDescent="0.35">
      <c r="A77">
        <f t="shared" si="3"/>
        <v>0</v>
      </c>
      <c r="B77" t="s">
        <v>72</v>
      </c>
      <c r="C77" t="s">
        <v>2908</v>
      </c>
      <c r="D77" t="str">
        <f t="shared" si="4"/>
        <v>0CSA</v>
      </c>
      <c r="E77" t="str">
        <f t="shared" si="5"/>
        <v>*[_]ABW*,*[_]ANT*,*[_]ARG*,*[_]ATG*,*[_]BHS*,*[_]BLZ*,*[_]BMU*,*[_]BOL*,*[_]BRB*,*[_]CHL*,*[_]CRI*,*[_]CUB*,*[_]CUW*,*[_]CYM*,*[_]DMA*,*[_]DOM*,*[_]ECU*</v>
      </c>
    </row>
    <row r="78" spans="1:5" x14ac:dyDescent="0.35">
      <c r="A78">
        <f t="shared" si="3"/>
        <v>0</v>
      </c>
      <c r="B78" t="s">
        <v>72</v>
      </c>
      <c r="C78" t="s">
        <v>2928</v>
      </c>
      <c r="D78" t="str">
        <f t="shared" si="4"/>
        <v>0CSA</v>
      </c>
      <c r="E78" t="str">
        <f t="shared" si="5"/>
        <v>*[_]ABW*,*[_]ANT*,*[_]ARG*,*[_]ATG*,*[_]BHS*,*[_]BLZ*,*[_]BMU*,*[_]BOL*,*[_]BRB*,*[_]CHL*,*[_]CRI*,*[_]CUB*,*[_]CUW*,*[_]CYM*,*[_]DMA*,*[_]DOM*,*[_]ECU*,*[_]GRD*</v>
      </c>
    </row>
    <row r="79" spans="1:5" x14ac:dyDescent="0.35">
      <c r="A79">
        <f t="shared" si="3"/>
        <v>0</v>
      </c>
      <c r="B79" t="s">
        <v>72</v>
      </c>
      <c r="C79" t="s">
        <v>2930</v>
      </c>
      <c r="D79" t="str">
        <f t="shared" si="4"/>
        <v>0CSA</v>
      </c>
      <c r="E79" t="str">
        <f t="shared" si="5"/>
        <v>*[_]ABW*,*[_]ANT*,*[_]ARG*,*[_]ATG*,*[_]BHS*,*[_]BLZ*,*[_]BMU*,*[_]BOL*,*[_]BRB*,*[_]CHL*,*[_]CRI*,*[_]CUB*,*[_]CUW*,*[_]CYM*,*[_]DMA*,*[_]DOM*,*[_]ECU*,*[_]GRD*,*[_]GTM*</v>
      </c>
    </row>
    <row r="80" spans="1:5" x14ac:dyDescent="0.35">
      <c r="A80">
        <f t="shared" si="3"/>
        <v>0</v>
      </c>
      <c r="B80" t="s">
        <v>72</v>
      </c>
      <c r="C80" t="s">
        <v>2919</v>
      </c>
      <c r="D80" t="str">
        <f t="shared" si="4"/>
        <v>0CSA</v>
      </c>
      <c r="E80" t="str">
        <f t="shared" si="5"/>
        <v>*[_]ABW*,*[_]ANT*,*[_]ARG*,*[_]ATG*,*[_]BHS*,*[_]BLZ*,*[_]BMU*,*[_]BOL*,*[_]BRB*,*[_]CHL*,*[_]CRI*,*[_]CUB*,*[_]CUW*,*[_]CYM*,*[_]DMA*,*[_]DOM*,*[_]ECU*,*[_]GRD*,*[_]GTM*,*[_]GUF*</v>
      </c>
    </row>
    <row r="81" spans="1:5" x14ac:dyDescent="0.35">
      <c r="A81">
        <f t="shared" si="3"/>
        <v>0</v>
      </c>
      <c r="B81" t="s">
        <v>72</v>
      </c>
      <c r="C81" t="s">
        <v>2934</v>
      </c>
      <c r="D81" t="str">
        <f t="shared" si="4"/>
        <v>0CSA</v>
      </c>
      <c r="E81" t="str">
        <f t="shared" si="5"/>
        <v>*[_]ABW*,*[_]ANT*,*[_]ARG*,*[_]ATG*,*[_]BHS*,*[_]BLZ*,*[_]BMU*,*[_]BOL*,*[_]BRB*,*[_]CHL*,*[_]CRI*,*[_]CUB*,*[_]CUW*,*[_]CYM*,*[_]DMA*,*[_]DOM*,*[_]ECU*,*[_]GRD*,*[_]GTM*,*[_]GUF*,*[_]GUY*</v>
      </c>
    </row>
    <row r="82" spans="1:5" x14ac:dyDescent="0.35">
      <c r="A82">
        <f t="shared" si="3"/>
        <v>0</v>
      </c>
      <c r="B82" t="s">
        <v>72</v>
      </c>
      <c r="C82" t="s">
        <v>2936</v>
      </c>
      <c r="D82" t="str">
        <f t="shared" si="4"/>
        <v>0CSA</v>
      </c>
      <c r="E82" t="str">
        <f t="shared" si="5"/>
        <v>*[_]ABW*,*[_]ANT*,*[_]ARG*,*[_]ATG*,*[_]BHS*,*[_]BLZ*,*[_]BMU*,*[_]BOL*,*[_]BRB*,*[_]CHL*,*[_]CRI*,*[_]CUB*,*[_]CUW*,*[_]CYM*,*[_]DMA*,*[_]DOM*,*[_]ECU*,*[_]GRD*,*[_]GTM*,*[_]GUF*,*[_]GUY*,*[_]HND*</v>
      </c>
    </row>
    <row r="83" spans="1:5" x14ac:dyDescent="0.35">
      <c r="A83">
        <f t="shared" si="3"/>
        <v>0</v>
      </c>
      <c r="B83" t="s">
        <v>72</v>
      </c>
      <c r="C83" t="s">
        <v>2935</v>
      </c>
      <c r="D83" t="str">
        <f t="shared" si="4"/>
        <v>0CSA</v>
      </c>
      <c r="E83" t="str">
        <f t="shared" si="5"/>
        <v>*[_]ABW*,*[_]ANT*,*[_]ARG*,*[_]ATG*,*[_]BHS*,*[_]BLZ*,*[_]BMU*,*[_]BOL*,*[_]BRB*,*[_]CHL*,*[_]CRI*,*[_]CUB*,*[_]CUW*,*[_]CYM*,*[_]DMA*,*[_]DOM*,*[_]ECU*,*[_]GRD*,*[_]GTM*,*[_]GUF*,*[_]GUY*,*[_]HND*,*[_]HTI*</v>
      </c>
    </row>
    <row r="84" spans="1:5" x14ac:dyDescent="0.35">
      <c r="A84">
        <f t="shared" si="3"/>
        <v>0</v>
      </c>
      <c r="B84" t="s">
        <v>72</v>
      </c>
      <c r="C84" t="s">
        <v>2947</v>
      </c>
      <c r="D84" t="str">
        <f t="shared" si="4"/>
        <v>0CSA</v>
      </c>
      <c r="E84" t="str">
        <f t="shared" si="5"/>
        <v>*[_]ABW*,*[_]ANT*,*[_]ARG*,*[_]ATG*,*[_]BHS*,*[_]BLZ*,*[_]BMU*,*[_]BOL*,*[_]BRB*,*[_]CHL*,*[_]CRI*,*[_]CUB*,*[_]CUW*,*[_]CYM*,*[_]DMA*,*[_]DOM*,*[_]ECU*,*[_]GRD*,*[_]GTM*,*[_]GUF*,*[_]GUY*,*[_]HND*,*[_]HTI*,*[_]JAM*</v>
      </c>
    </row>
    <row r="85" spans="1:5" x14ac:dyDescent="0.35">
      <c r="A85">
        <f t="shared" si="3"/>
        <v>0</v>
      </c>
      <c r="B85" t="s">
        <v>72</v>
      </c>
      <c r="C85" t="s">
        <v>3034</v>
      </c>
      <c r="D85" t="str">
        <f t="shared" si="4"/>
        <v>0CSA</v>
      </c>
      <c r="E85" t="str">
        <f t="shared" si="5"/>
        <v>*[_]ABW*,*[_]ANT*,*[_]ARG*,*[_]ATG*,*[_]BHS*,*[_]BLZ*,*[_]BMU*,*[_]BOL*,*[_]BRB*,*[_]CHL*,*[_]CRI*,*[_]CUB*,*[_]CUW*,*[_]CYM*,*[_]DMA*,*[_]DOM*,*[_]ECU*,*[_]GRD*,*[_]GTM*,*[_]GUF*,*[_]GUY*,*[_]HND*,*[_]HTI*,*[_]JAM*,*[_]KNA*</v>
      </c>
    </row>
    <row r="86" spans="1:5" x14ac:dyDescent="0.35">
      <c r="A86">
        <f t="shared" si="3"/>
        <v>0</v>
      </c>
      <c r="B86" t="s">
        <v>72</v>
      </c>
      <c r="C86" t="s">
        <v>3035</v>
      </c>
      <c r="D86" t="str">
        <f t="shared" si="4"/>
        <v>0CSA</v>
      </c>
      <c r="E86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</v>
      </c>
    </row>
    <row r="87" spans="1:5" x14ac:dyDescent="0.35">
      <c r="A87">
        <f t="shared" si="3"/>
        <v>0</v>
      </c>
      <c r="B87" t="s">
        <v>72</v>
      </c>
      <c r="C87" t="s">
        <v>3036</v>
      </c>
      <c r="D87" t="str">
        <f t="shared" si="4"/>
        <v>0CSA</v>
      </c>
      <c r="E87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</v>
      </c>
    </row>
    <row r="88" spans="1:5" x14ac:dyDescent="0.35">
      <c r="A88">
        <f t="shared" si="3"/>
        <v>0</v>
      </c>
      <c r="B88" t="s">
        <v>72</v>
      </c>
      <c r="C88" t="s">
        <v>2982</v>
      </c>
      <c r="D88" t="str">
        <f t="shared" si="4"/>
        <v>0CSA</v>
      </c>
      <c r="E88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</v>
      </c>
    </row>
    <row r="89" spans="1:5" x14ac:dyDescent="0.35">
      <c r="A89">
        <f t="shared" si="3"/>
        <v>0</v>
      </c>
      <c r="B89" t="s">
        <v>72</v>
      </c>
      <c r="C89" t="s">
        <v>2992</v>
      </c>
      <c r="D89" t="str">
        <f t="shared" si="4"/>
        <v>0CSA</v>
      </c>
      <c r="E89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</v>
      </c>
    </row>
    <row r="90" spans="1:5" x14ac:dyDescent="0.35">
      <c r="A90">
        <f t="shared" si="3"/>
        <v>0</v>
      </c>
      <c r="B90" t="s">
        <v>72</v>
      </c>
      <c r="C90" t="s">
        <v>3002</v>
      </c>
      <c r="D90" t="str">
        <f t="shared" si="4"/>
        <v>0CSA</v>
      </c>
      <c r="E90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</v>
      </c>
    </row>
    <row r="91" spans="1:5" x14ac:dyDescent="0.35">
      <c r="A91">
        <f t="shared" si="3"/>
        <v>0</v>
      </c>
      <c r="B91" t="s">
        <v>72</v>
      </c>
      <c r="C91" t="s">
        <v>3005</v>
      </c>
      <c r="D91" t="str">
        <f t="shared" si="4"/>
        <v>0CSA</v>
      </c>
      <c r="E91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</v>
      </c>
    </row>
    <row r="92" spans="1:5" x14ac:dyDescent="0.35">
      <c r="A92">
        <f t="shared" si="3"/>
        <v>0</v>
      </c>
      <c r="B92" t="s">
        <v>72</v>
      </c>
      <c r="C92" t="s">
        <v>3004</v>
      </c>
      <c r="D92" t="str">
        <f t="shared" si="4"/>
        <v>0CSA</v>
      </c>
      <c r="E92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</v>
      </c>
    </row>
    <row r="93" spans="1:5" x14ac:dyDescent="0.35">
      <c r="A93">
        <f t="shared" si="3"/>
        <v>0</v>
      </c>
      <c r="B93" t="s">
        <v>72</v>
      </c>
      <c r="C93" t="s">
        <v>2910</v>
      </c>
      <c r="D93" t="str">
        <f t="shared" si="4"/>
        <v>0CSA</v>
      </c>
      <c r="E93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</v>
      </c>
    </row>
    <row r="94" spans="1:5" x14ac:dyDescent="0.35">
      <c r="A94">
        <f t="shared" si="3"/>
        <v>0</v>
      </c>
      <c r="B94" t="s">
        <v>72</v>
      </c>
      <c r="C94" t="s">
        <v>3039</v>
      </c>
      <c r="D94" t="str">
        <f t="shared" si="4"/>
        <v>0CSA</v>
      </c>
      <c r="E94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</v>
      </c>
    </row>
    <row r="95" spans="1:5" x14ac:dyDescent="0.35">
      <c r="A95">
        <f t="shared" si="3"/>
        <v>0</v>
      </c>
      <c r="B95" t="s">
        <v>72</v>
      </c>
      <c r="C95" t="s">
        <v>3024</v>
      </c>
      <c r="D95" t="str">
        <f t="shared" si="4"/>
        <v>0CSA</v>
      </c>
      <c r="E95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</v>
      </c>
    </row>
    <row r="96" spans="1:5" x14ac:dyDescent="0.35">
      <c r="A96">
        <f t="shared" si="3"/>
        <v>0</v>
      </c>
      <c r="B96" t="s">
        <v>72</v>
      </c>
      <c r="C96" t="s">
        <v>3059</v>
      </c>
      <c r="D96" t="str">
        <f t="shared" si="4"/>
        <v>0CSA</v>
      </c>
      <c r="E96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</v>
      </c>
    </row>
    <row r="97" spans="1:5" x14ac:dyDescent="0.35">
      <c r="A97">
        <f t="shared" si="3"/>
        <v>0</v>
      </c>
      <c r="B97" t="s">
        <v>72</v>
      </c>
      <c r="C97" t="s">
        <v>3055</v>
      </c>
      <c r="D97" t="str">
        <f t="shared" si="4"/>
        <v>0CSA</v>
      </c>
      <c r="E97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</v>
      </c>
    </row>
    <row r="98" spans="1:5" x14ac:dyDescent="0.35">
      <c r="A98">
        <f t="shared" si="3"/>
        <v>0</v>
      </c>
      <c r="B98" t="s">
        <v>72</v>
      </c>
      <c r="C98" t="s">
        <v>3065</v>
      </c>
      <c r="D98" t="str">
        <f t="shared" si="4"/>
        <v>0CSA</v>
      </c>
      <c r="E98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</v>
      </c>
    </row>
    <row r="99" spans="1:5" x14ac:dyDescent="0.35">
      <c r="A99">
        <f t="shared" si="3"/>
        <v>0</v>
      </c>
      <c r="B99" t="s">
        <v>72</v>
      </c>
      <c r="C99" t="s">
        <v>3037</v>
      </c>
      <c r="D99" t="str">
        <f t="shared" si="4"/>
        <v>0CSA</v>
      </c>
      <c r="E99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</v>
      </c>
    </row>
    <row r="100" spans="1:5" x14ac:dyDescent="0.35">
      <c r="A100">
        <f t="shared" si="3"/>
        <v>0</v>
      </c>
      <c r="B100" t="s">
        <v>72</v>
      </c>
      <c r="C100" t="s">
        <v>3069</v>
      </c>
      <c r="D100" t="str">
        <f t="shared" si="4"/>
        <v>0CSA</v>
      </c>
      <c r="E100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</v>
      </c>
    </row>
    <row r="101" spans="1:5" x14ac:dyDescent="0.35">
      <c r="A101">
        <f t="shared" si="3"/>
        <v>0</v>
      </c>
      <c r="B101" t="s">
        <v>72</v>
      </c>
      <c r="C101" t="s">
        <v>3010</v>
      </c>
      <c r="D101" t="str">
        <f t="shared" si="4"/>
        <v>0CSA</v>
      </c>
      <c r="E101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</v>
      </c>
    </row>
    <row r="102" spans="1:5" x14ac:dyDescent="0.35">
      <c r="A102">
        <f t="shared" si="3"/>
        <v>0</v>
      </c>
      <c r="B102" t="s">
        <v>72</v>
      </c>
      <c r="C102" t="s">
        <v>3071</v>
      </c>
      <c r="D102" t="str">
        <f t="shared" si="4"/>
        <v>0CSA</v>
      </c>
      <c r="E102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</v>
      </c>
    </row>
    <row r="103" spans="1:5" x14ac:dyDescent="0.35">
      <c r="A103">
        <f t="shared" si="3"/>
        <v>0</v>
      </c>
      <c r="B103" t="s">
        <v>72</v>
      </c>
      <c r="C103" t="s">
        <v>2889</v>
      </c>
      <c r="D103" t="str">
        <f t="shared" si="4"/>
        <v>0CSA</v>
      </c>
      <c r="E103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</v>
      </c>
    </row>
    <row r="104" spans="1:5" x14ac:dyDescent="0.35">
      <c r="A104">
        <f t="shared" si="3"/>
        <v>1</v>
      </c>
      <c r="B104" t="s">
        <v>72</v>
      </c>
      <c r="C104" t="s">
        <v>2892</v>
      </c>
      <c r="D104" t="str">
        <f t="shared" si="4"/>
        <v>1CSA</v>
      </c>
      <c r="E104" t="str">
        <f t="shared" si="5"/>
        <v>*[_]ABW*,*[_]ANT*,*[_]ARG*,*[_]ATG*,*[_]BHS*,*[_]BLZ*,*[_]BMU*,*[_]BOL*,*[_]BRB*,*[_]CHL*,*[_]CRI*,*[_]CUB*,*[_]CUW*,*[_]CYM*,*[_]DMA*,*[_]DOM*,*[_]ECU*,*[_]GRD*,*[_]GTM*,*[_]GUF*,*[_]GUY*,*[_]HND*,*[_]HTI*,*[_]JAM*,*[_]KNA*,*[_]LCA*,*[_]MAF*,*[_]MSR*,*[_]NIC*,*[_]PAN*,*[_]PER*,*[_]PRY*,*[_]SLV*,*[_]SUR*,*[_]SXM*,*[_]TCA*,*[_]TTO*,*[_]URY*,*[_]VCT*,*[_]VEN*,*[_]PRI*,*[_]VIR*,*[_]CHL*,*[_]COL*</v>
      </c>
    </row>
    <row r="105" spans="1:5" x14ac:dyDescent="0.35">
      <c r="A105">
        <f t="shared" si="3"/>
        <v>0</v>
      </c>
      <c r="B105" t="s">
        <v>73</v>
      </c>
      <c r="C105" t="s">
        <v>2854</v>
      </c>
      <c r="D105" t="str">
        <f t="shared" si="4"/>
        <v>0EUR</v>
      </c>
      <c r="E105" t="str">
        <f t="shared" si="5"/>
        <v>*[_]ADO*</v>
      </c>
    </row>
    <row r="106" spans="1:5" x14ac:dyDescent="0.35">
      <c r="A106">
        <f t="shared" si="3"/>
        <v>0</v>
      </c>
      <c r="B106" t="s">
        <v>73</v>
      </c>
      <c r="C106" t="s">
        <v>2861</v>
      </c>
      <c r="D106" t="str">
        <f t="shared" si="4"/>
        <v>0EUR</v>
      </c>
      <c r="E106" t="str">
        <f t="shared" si="5"/>
        <v>*[_]ADO*,*[_]AUT*</v>
      </c>
    </row>
    <row r="107" spans="1:5" x14ac:dyDescent="0.35">
      <c r="A107">
        <f t="shared" si="3"/>
        <v>0</v>
      </c>
      <c r="B107" t="s">
        <v>73</v>
      </c>
      <c r="C107" t="s">
        <v>2867</v>
      </c>
      <c r="D107" t="str">
        <f t="shared" si="4"/>
        <v>0EUR</v>
      </c>
      <c r="E107" t="str">
        <f t="shared" si="5"/>
        <v>*[_]ADO*,*[_]AUT*,*[_]BEL*</v>
      </c>
    </row>
    <row r="108" spans="1:5" x14ac:dyDescent="0.35">
      <c r="A108">
        <f t="shared" si="3"/>
        <v>0</v>
      </c>
      <c r="B108" t="s">
        <v>73</v>
      </c>
      <c r="C108" t="s">
        <v>3043</v>
      </c>
      <c r="D108" t="str">
        <f t="shared" si="4"/>
        <v>0EUR</v>
      </c>
      <c r="E108" t="str">
        <f t="shared" si="5"/>
        <v>*[_]ADO*,*[_]AUT*,*[_]BEL*,*[_]CHE*</v>
      </c>
    </row>
    <row r="109" spans="1:5" x14ac:dyDescent="0.35">
      <c r="A109">
        <f t="shared" si="3"/>
        <v>0</v>
      </c>
      <c r="B109" t="s">
        <v>73</v>
      </c>
      <c r="C109" t="s">
        <v>2901</v>
      </c>
      <c r="D109" t="str">
        <f t="shared" si="4"/>
        <v>0EUR</v>
      </c>
      <c r="E109" t="str">
        <f t="shared" si="5"/>
        <v>*[_]ADO*,*[_]AUT*,*[_]BEL*,*[_]CHE*,*[_]CZE*</v>
      </c>
    </row>
    <row r="110" spans="1:5" x14ac:dyDescent="0.35">
      <c r="A110">
        <f t="shared" si="3"/>
        <v>0</v>
      </c>
      <c r="B110" t="s">
        <v>73</v>
      </c>
      <c r="C110" t="s">
        <v>2923</v>
      </c>
      <c r="D110" t="str">
        <f t="shared" si="4"/>
        <v>0EUR</v>
      </c>
      <c r="E110" t="str">
        <f t="shared" si="5"/>
        <v>*[_]ADO*,*[_]AUT*,*[_]BEL*,*[_]CHE*,*[_]CZE*,*[_]DEU*</v>
      </c>
    </row>
    <row r="111" spans="1:5" x14ac:dyDescent="0.35">
      <c r="A111">
        <f t="shared" si="3"/>
        <v>0</v>
      </c>
      <c r="B111" t="s">
        <v>73</v>
      </c>
      <c r="C111" t="s">
        <v>2904</v>
      </c>
      <c r="D111" t="str">
        <f t="shared" si="4"/>
        <v>0EUR</v>
      </c>
      <c r="E111" t="str">
        <f t="shared" si="5"/>
        <v>*[_]ADO*,*[_]AUT*,*[_]BEL*,*[_]CHE*,*[_]CZE*,*[_]DEU*,*[_]DNK*</v>
      </c>
    </row>
    <row r="112" spans="1:5" x14ac:dyDescent="0.35">
      <c r="A112">
        <f t="shared" si="3"/>
        <v>0</v>
      </c>
      <c r="B112" t="s">
        <v>73</v>
      </c>
      <c r="C112" t="s">
        <v>3032</v>
      </c>
      <c r="D112" t="str">
        <f t="shared" si="4"/>
        <v>0EUR</v>
      </c>
      <c r="E112" t="str">
        <f t="shared" si="5"/>
        <v>*[_]ADO*,*[_]AUT*,*[_]BEL*,*[_]CHE*,*[_]CZE*,*[_]DEU*,*[_]DNK*,*[_]ESP*</v>
      </c>
    </row>
    <row r="113" spans="1:5" x14ac:dyDescent="0.35">
      <c r="A113">
        <f t="shared" si="3"/>
        <v>0</v>
      </c>
      <c r="B113" t="s">
        <v>73</v>
      </c>
      <c r="C113" t="s">
        <v>2913</v>
      </c>
      <c r="D113" t="str">
        <f t="shared" si="4"/>
        <v>0EUR</v>
      </c>
      <c r="E113" t="str">
        <f t="shared" si="5"/>
        <v>*[_]ADO*,*[_]AUT*,*[_]BEL*,*[_]CHE*,*[_]CZE*,*[_]DEU*,*[_]DNK*,*[_]ESP*,*[_]EST*</v>
      </c>
    </row>
    <row r="114" spans="1:5" x14ac:dyDescent="0.35">
      <c r="A114">
        <f t="shared" si="3"/>
        <v>0</v>
      </c>
      <c r="B114" t="s">
        <v>73</v>
      </c>
      <c r="C114" t="s">
        <v>2917</v>
      </c>
      <c r="D114" t="str">
        <f t="shared" si="4"/>
        <v>0EUR</v>
      </c>
      <c r="E114" t="str">
        <f t="shared" si="5"/>
        <v>*[_]ADO*,*[_]AUT*,*[_]BEL*,*[_]CHE*,*[_]CZE*,*[_]DEU*,*[_]DNK*,*[_]ESP*,*[_]EST*,*[_]FIN*</v>
      </c>
    </row>
    <row r="115" spans="1:5" x14ac:dyDescent="0.35">
      <c r="A115">
        <f t="shared" si="3"/>
        <v>0</v>
      </c>
      <c r="B115" t="s">
        <v>73</v>
      </c>
      <c r="C115" t="s">
        <v>2918</v>
      </c>
      <c r="D115" t="str">
        <f t="shared" si="4"/>
        <v>0EUR</v>
      </c>
      <c r="E115" t="str">
        <f t="shared" si="5"/>
        <v>*[_]ADO*,*[_]AUT*,*[_]BEL*,*[_]CHE*,*[_]CZE*,*[_]DEU*,*[_]DNK*,*[_]ESP*,*[_]EST*,*[_]FIN*,*[_]FRA*</v>
      </c>
    </row>
    <row r="116" spans="1:5" x14ac:dyDescent="0.35">
      <c r="A116">
        <f t="shared" si="3"/>
        <v>0</v>
      </c>
      <c r="B116" t="s">
        <v>73</v>
      </c>
      <c r="C116" t="s">
        <v>3064</v>
      </c>
      <c r="D116" t="str">
        <f t="shared" si="4"/>
        <v>0EUR</v>
      </c>
      <c r="E116" t="str">
        <f t="shared" si="5"/>
        <v>*[_]ADO*,*[_]AUT*,*[_]BEL*,*[_]CHE*,*[_]CZE*,*[_]DEU*,*[_]DNK*,*[_]ESP*,*[_]EST*,*[_]FIN*,*[_]FRA*,*[_]GBR*</v>
      </c>
    </row>
    <row r="117" spans="1:5" x14ac:dyDescent="0.35">
      <c r="A117">
        <f t="shared" si="3"/>
        <v>0</v>
      </c>
      <c r="B117" t="s">
        <v>73</v>
      </c>
      <c r="C117" t="s">
        <v>2925</v>
      </c>
      <c r="D117" t="str">
        <f t="shared" si="4"/>
        <v>0EUR</v>
      </c>
      <c r="E117" t="str">
        <f t="shared" si="5"/>
        <v>*[_]ADO*,*[_]AUT*,*[_]BEL*,*[_]CHE*,*[_]CZE*,*[_]DEU*,*[_]DNK*,*[_]ESP*,*[_]EST*,*[_]FIN*,*[_]FRA*,*[_]GBR*,*[_]GIB*</v>
      </c>
    </row>
    <row r="118" spans="1:5" x14ac:dyDescent="0.35">
      <c r="A118">
        <f t="shared" si="3"/>
        <v>0</v>
      </c>
      <c r="B118" t="s">
        <v>73</v>
      </c>
      <c r="C118" t="s">
        <v>2926</v>
      </c>
      <c r="D118" t="str">
        <f t="shared" si="4"/>
        <v>0EUR</v>
      </c>
      <c r="E118" t="str">
        <f t="shared" si="5"/>
        <v>*[_]ADO*,*[_]AUT*,*[_]BEL*,*[_]CHE*,*[_]CZE*,*[_]DEU*,*[_]DNK*,*[_]ESP*,*[_]EST*,*[_]FIN*,*[_]FRA*,*[_]GBR*,*[_]GIB*,*[_]GRC*</v>
      </c>
    </row>
    <row r="119" spans="1:5" x14ac:dyDescent="0.35">
      <c r="A119">
        <f t="shared" si="3"/>
        <v>0</v>
      </c>
      <c r="B119" t="s">
        <v>73</v>
      </c>
      <c r="C119" t="s">
        <v>2927</v>
      </c>
      <c r="D119" t="str">
        <f t="shared" si="4"/>
        <v>0EUR</v>
      </c>
      <c r="E119" t="str">
        <f t="shared" si="5"/>
        <v>*[_]ADO*,*[_]AUT*,*[_]BEL*,*[_]CHE*,*[_]CZE*,*[_]DEU*,*[_]DNK*,*[_]ESP*,*[_]EST*,*[_]FIN*,*[_]FRA*,*[_]GBR*,*[_]GIB*,*[_]GRC*,*[_]GRL*</v>
      </c>
    </row>
    <row r="120" spans="1:5" x14ac:dyDescent="0.35">
      <c r="A120">
        <f t="shared" si="3"/>
        <v>0</v>
      </c>
      <c r="B120" t="s">
        <v>73</v>
      </c>
      <c r="C120" t="s">
        <v>2938</v>
      </c>
      <c r="D120" t="str">
        <f t="shared" si="4"/>
        <v>0EUR</v>
      </c>
      <c r="E120" t="str">
        <f t="shared" si="5"/>
        <v>*[_]ADO*,*[_]AUT*,*[_]BEL*,*[_]CHE*,*[_]CZE*,*[_]DEU*,*[_]DNK*,*[_]ESP*,*[_]EST*,*[_]FIN*,*[_]FRA*,*[_]GBR*,*[_]GIB*,*[_]GRC*,*[_]GRL*,*[_]HUN*</v>
      </c>
    </row>
    <row r="121" spans="1:5" x14ac:dyDescent="0.35">
      <c r="A121">
        <f t="shared" si="3"/>
        <v>0</v>
      </c>
      <c r="B121" t="s">
        <v>73</v>
      </c>
      <c r="C121" t="s">
        <v>2944</v>
      </c>
      <c r="D121" t="str">
        <f t="shared" si="4"/>
        <v>0EUR</v>
      </c>
      <c r="E121" t="str">
        <f t="shared" si="5"/>
        <v>*[_]ADO*,*[_]AUT*,*[_]BEL*,*[_]CHE*,*[_]CZE*,*[_]DEU*,*[_]DNK*,*[_]ESP*,*[_]EST*,*[_]FIN*,*[_]FRA*,*[_]GBR*,*[_]GIB*,*[_]GRC*,*[_]GRL*,*[_]HUN*,*[_]IMY*</v>
      </c>
    </row>
    <row r="122" spans="1:5" x14ac:dyDescent="0.35">
      <c r="A122">
        <f t="shared" si="3"/>
        <v>0</v>
      </c>
      <c r="B122" t="s">
        <v>73</v>
      </c>
      <c r="C122" t="s">
        <v>2943</v>
      </c>
      <c r="D122" t="str">
        <f t="shared" si="4"/>
        <v>0EUR</v>
      </c>
      <c r="E122" t="str">
        <f t="shared" si="5"/>
        <v>*[_]ADO*,*[_]AUT*,*[_]BEL*,*[_]CHE*,*[_]CZE*,*[_]DEU*,*[_]DNK*,*[_]ESP*,*[_]EST*,*[_]FIN*,*[_]FRA*,*[_]GBR*,*[_]GIB*,*[_]GRC*,*[_]GRL*,*[_]HUN*,*[_]IMY*,*[_]IRL*</v>
      </c>
    </row>
    <row r="123" spans="1:5" x14ac:dyDescent="0.35">
      <c r="A123">
        <f t="shared" si="3"/>
        <v>0</v>
      </c>
      <c r="B123" t="s">
        <v>73</v>
      </c>
      <c r="C123" t="s">
        <v>2939</v>
      </c>
      <c r="D123" t="str">
        <f t="shared" si="4"/>
        <v>0EUR</v>
      </c>
      <c r="E123" t="str">
        <f t="shared" si="5"/>
        <v>*[_]ADO*,*[_]AUT*,*[_]BEL*,*[_]CHE*,*[_]CZE*,*[_]DEU*,*[_]DNK*,*[_]ESP*,*[_]EST*,*[_]FIN*,*[_]FRA*,*[_]GBR*,*[_]GIB*,*[_]GRC*,*[_]GRL*,*[_]HUN*,*[_]IMY*,*[_]IRL*,*[_]ISL*</v>
      </c>
    </row>
    <row r="124" spans="1:5" x14ac:dyDescent="0.35">
      <c r="A124">
        <f t="shared" si="3"/>
        <v>0</v>
      </c>
      <c r="B124" t="s">
        <v>73</v>
      </c>
      <c r="C124" t="s">
        <v>2945</v>
      </c>
      <c r="D124" t="str">
        <f t="shared" si="4"/>
        <v>0EUR</v>
      </c>
      <c r="E124" t="str">
        <f t="shared" si="5"/>
        <v>*[_]ADO*,*[_]AUT*,*[_]BEL*,*[_]CHE*,*[_]CZE*,*[_]DEU*,*[_]DNK*,*[_]ESP*,*[_]EST*,*[_]FIN*,*[_]FRA*,*[_]GBR*,*[_]GIB*,*[_]GRC*,*[_]GRL*,*[_]HUN*,*[_]IMY*,*[_]IRL*,*[_]ISL*,*[_]ISR*</v>
      </c>
    </row>
    <row r="125" spans="1:5" x14ac:dyDescent="0.35">
      <c r="A125">
        <f t="shared" si="3"/>
        <v>0</v>
      </c>
      <c r="B125" t="s">
        <v>73</v>
      </c>
      <c r="C125" t="s">
        <v>2946</v>
      </c>
      <c r="D125" t="str">
        <f t="shared" si="4"/>
        <v>0EUR</v>
      </c>
      <c r="E125" t="str">
        <f t="shared" si="5"/>
        <v>*[_]ADO*,*[_]AUT*,*[_]BEL*,*[_]CHE*,*[_]CZE*,*[_]DEU*,*[_]DNK*,*[_]ESP*,*[_]EST*,*[_]FIN*,*[_]FRA*,*[_]GBR*,*[_]GIB*,*[_]GRC*,*[_]GRL*,*[_]HUN*,*[_]IMY*,*[_]IRL*,*[_]ISL*,*[_]ISR*,*[_]ITA*</v>
      </c>
    </row>
    <row r="126" spans="1:5" x14ac:dyDescent="0.35">
      <c r="A126">
        <f t="shared" si="3"/>
        <v>0</v>
      </c>
      <c r="B126" t="s">
        <v>73</v>
      </c>
      <c r="C126" t="s">
        <v>2964</v>
      </c>
      <c r="D126" t="str">
        <f t="shared" si="4"/>
        <v>0EUR</v>
      </c>
      <c r="E126" t="str">
        <f t="shared" si="5"/>
        <v>*[_]ADO*,*[_]AUT*,*[_]BEL*,*[_]CHE*,*[_]CZE*,*[_]DEU*,*[_]DNK*,*[_]ESP*,*[_]EST*,*[_]FIN*,*[_]FRA*,*[_]GBR*,*[_]GIB*,*[_]GRC*,*[_]GRL*,*[_]HUN*,*[_]IMY*,*[_]IRL*,*[_]ISL*,*[_]ISR*,*[_]ITA*,*[_]LUX*</v>
      </c>
    </row>
    <row r="127" spans="1:5" x14ac:dyDescent="0.35">
      <c r="A127">
        <f t="shared" si="3"/>
        <v>0</v>
      </c>
      <c r="B127" t="s">
        <v>73</v>
      </c>
      <c r="C127" t="s">
        <v>2979</v>
      </c>
      <c r="D127" t="str">
        <f t="shared" si="4"/>
        <v>0EUR</v>
      </c>
      <c r="E127" t="str">
        <f t="shared" si="5"/>
        <v>*[_]ADO*,*[_]AUT*,*[_]BEL*,*[_]CHE*,*[_]CZE*,*[_]DEU*,*[_]DNK*,*[_]ESP*,*[_]EST*,*[_]FIN*,*[_]FRA*,*[_]GBR*,*[_]GIB*,*[_]GRC*,*[_]GRL*,*[_]HUN*,*[_]IMY*,*[_]IRL*,*[_]ISL*,*[_]ISR*,*[_]ITA*,*[_]LUX*,*[_]MCO*</v>
      </c>
    </row>
    <row r="128" spans="1:5" x14ac:dyDescent="0.35">
      <c r="A128">
        <f t="shared" si="3"/>
        <v>0</v>
      </c>
      <c r="B128" t="s">
        <v>73</v>
      </c>
      <c r="C128" t="s">
        <v>2988</v>
      </c>
      <c r="D128" t="str">
        <f t="shared" si="4"/>
        <v>0EUR</v>
      </c>
      <c r="E128" t="str">
        <f t="shared" si="5"/>
        <v>*[_]ADO*,*[_]AUT*,*[_]BEL*,*[_]CHE*,*[_]CZE*,*[_]DEU*,*[_]DNK*,*[_]ESP*,*[_]EST*,*[_]FIN*,*[_]FRA*,*[_]GBR*,*[_]GIB*,*[_]GRC*,*[_]GRL*,*[_]HUN*,*[_]IMY*,*[_]IRL*,*[_]ISL*,*[_]ISR*,*[_]ITA*,*[_]LUX*,*[_]MCO*,*[_]NLD*</v>
      </c>
    </row>
    <row r="129" spans="1:5" x14ac:dyDescent="0.35">
      <c r="A129">
        <f t="shared" si="3"/>
        <v>0</v>
      </c>
      <c r="B129" t="s">
        <v>73</v>
      </c>
      <c r="C129" t="s">
        <v>2997</v>
      </c>
      <c r="D129" t="str">
        <f t="shared" si="4"/>
        <v>0EUR</v>
      </c>
      <c r="E129" t="str">
        <f t="shared" si="5"/>
        <v>*[_]ADO*,*[_]AUT*,*[_]BEL*,*[_]CHE*,*[_]CZE*,*[_]DEU*,*[_]DNK*,*[_]ESP*,*[_]EST*,*[_]FIN*,*[_]FRA*,*[_]GBR*,*[_]GIB*,*[_]GRC*,*[_]GRL*,*[_]HUN*,*[_]IMY*,*[_]IRL*,*[_]ISL*,*[_]ISR*,*[_]ITA*,*[_]LUX*,*[_]MCO*,*[_]NLD*,*[_]NOR*</v>
      </c>
    </row>
    <row r="130" spans="1:5" x14ac:dyDescent="0.35">
      <c r="A130">
        <f t="shared" si="3"/>
        <v>0</v>
      </c>
      <c r="B130" t="s">
        <v>73</v>
      </c>
      <c r="C130" t="s">
        <v>3008</v>
      </c>
      <c r="D130" t="str">
        <f t="shared" si="4"/>
        <v>0EUR</v>
      </c>
      <c r="E130" t="str">
        <f t="shared" si="5"/>
        <v>*[_]ADO*,*[_]AUT*,*[_]BEL*,*[_]CHE*,*[_]CZE*,*[_]DEU*,*[_]DNK*,*[_]ESP*,*[_]EST*,*[_]FIN*,*[_]FRA*,*[_]GBR*,*[_]GIB*,*[_]GRC*,*[_]GRL*,*[_]HUN*,*[_]IMY*,*[_]IRL*,*[_]ISL*,*[_]ISR*,*[_]ITA*,*[_]LUX*,*[_]MCO*,*[_]NLD*,*[_]NOR*,*[_]POL*</v>
      </c>
    </row>
    <row r="131" spans="1:5" x14ac:dyDescent="0.35">
      <c r="A131">
        <f t="shared" si="3"/>
        <v>0</v>
      </c>
      <c r="B131" t="s">
        <v>73</v>
      </c>
      <c r="C131" t="s">
        <v>3009</v>
      </c>
      <c r="D131" t="str">
        <f t="shared" si="4"/>
        <v>0EUR</v>
      </c>
      <c r="E131" t="str">
        <f t="shared" si="5"/>
        <v>*[_]ADO*,*[_]AUT*,*[_]BEL*,*[_]CHE*,*[_]CZE*,*[_]DEU*,*[_]DNK*,*[_]ESP*,*[_]EST*,*[_]FIN*,*[_]FRA*,*[_]GBR*,*[_]GIB*,*[_]GRC*,*[_]GRL*,*[_]HUN*,*[_]IMY*,*[_]IRL*,*[_]ISL*,*[_]ISR*,*[_]ITA*,*[_]LUX*,*[_]MCO*,*[_]NLD*,*[_]NOR*,*[_]POL*,*[_]PRT*</v>
      </c>
    </row>
    <row r="132" spans="1:5" x14ac:dyDescent="0.35">
      <c r="A132">
        <f t="shared" ref="A132:A195" si="7">IF(B132=B133,0,1)</f>
        <v>0</v>
      </c>
      <c r="B132" t="s">
        <v>73</v>
      </c>
      <c r="C132" t="s">
        <v>3016</v>
      </c>
      <c r="D132" t="str">
        <f t="shared" ref="D132:D195" si="8">A132&amp;B132</f>
        <v>0EUR</v>
      </c>
      <c r="E132" t="str">
        <f t="shared" ref="E132:E195" si="9">IF(B132=B131,E131&amp;","&amp;"*[_]"&amp;C132&amp;"*","*[_]"&amp;C132&amp;"*")</f>
        <v>*[_]ADO*,*[_]AUT*,*[_]BEL*,*[_]CHE*,*[_]CZE*,*[_]DEU*,*[_]DNK*,*[_]ESP*,*[_]EST*,*[_]FIN*,*[_]FRA*,*[_]GBR*,*[_]GIB*,*[_]GRC*,*[_]GRL*,*[_]HUN*,*[_]IMY*,*[_]IRL*,*[_]ISL*,*[_]ISR*,*[_]ITA*,*[_]LUX*,*[_]MCO*,*[_]NLD*,*[_]NOR*,*[_]POL*,*[_]PRT*,*[_]SMR*</v>
      </c>
    </row>
    <row r="133" spans="1:5" x14ac:dyDescent="0.35">
      <c r="A133">
        <f t="shared" si="7"/>
        <v>0</v>
      </c>
      <c r="B133" t="s">
        <v>73</v>
      </c>
      <c r="C133" t="s">
        <v>3025</v>
      </c>
      <c r="D133" t="str">
        <f t="shared" si="8"/>
        <v>0EUR</v>
      </c>
      <c r="E133" t="str">
        <f t="shared" si="9"/>
        <v>*[_]ADO*,*[_]AUT*,*[_]BEL*,*[_]CHE*,*[_]CZE*,*[_]DEU*,*[_]DNK*,*[_]ESP*,*[_]EST*,*[_]FIN*,*[_]FRA*,*[_]GBR*,*[_]GIB*,*[_]GRC*,*[_]GRL*,*[_]HUN*,*[_]IMY*,*[_]IRL*,*[_]ISL*,*[_]ISR*,*[_]ITA*,*[_]LUX*,*[_]MCO*,*[_]NLD*,*[_]NOR*,*[_]POL*,*[_]PRT*,*[_]SMR*,*[_]SVK*</v>
      </c>
    </row>
    <row r="134" spans="1:5" x14ac:dyDescent="0.35">
      <c r="A134">
        <f t="shared" si="7"/>
        <v>0</v>
      </c>
      <c r="B134" t="s">
        <v>73</v>
      </c>
      <c r="C134" t="s">
        <v>3026</v>
      </c>
      <c r="D134" t="str">
        <f t="shared" si="8"/>
        <v>0EUR</v>
      </c>
      <c r="E134" t="str">
        <f t="shared" si="9"/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</v>
      </c>
    </row>
    <row r="135" spans="1:5" x14ac:dyDescent="0.35">
      <c r="A135">
        <f t="shared" si="7"/>
        <v>0</v>
      </c>
      <c r="B135" t="s">
        <v>73</v>
      </c>
      <c r="C135" t="s">
        <v>3042</v>
      </c>
      <c r="D135" t="str">
        <f t="shared" si="8"/>
        <v>0EUR</v>
      </c>
      <c r="E135" t="str">
        <f t="shared" si="9"/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</v>
      </c>
    </row>
    <row r="136" spans="1:5" x14ac:dyDescent="0.35">
      <c r="A136">
        <f t="shared" si="7"/>
        <v>0</v>
      </c>
      <c r="B136" t="s">
        <v>73</v>
      </c>
      <c r="C136" t="s">
        <v>3057</v>
      </c>
      <c r="D136" t="str">
        <f t="shared" si="8"/>
        <v>0EUR</v>
      </c>
      <c r="E136" t="str">
        <f t="shared" si="9"/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</v>
      </c>
    </row>
    <row r="137" spans="1:5" x14ac:dyDescent="0.35">
      <c r="A137">
        <f t="shared" si="7"/>
        <v>1</v>
      </c>
      <c r="B137" t="s">
        <v>73</v>
      </c>
      <c r="C137" t="s">
        <v>3068</v>
      </c>
      <c r="D137" t="str">
        <f t="shared" si="8"/>
        <v>1EUR</v>
      </c>
      <c r="E137" t="str">
        <f t="shared" si="9"/>
        <v>*[_]ADO*,*[_]AUT*,*[_]BEL*,*[_]CHE*,*[_]CZE*,*[_]DEU*,*[_]DNK*,*[_]ESP*,*[_]EST*,*[_]FIN*,*[_]FRA*,*[_]GBR*,*[_]GIB*,*[_]GRC*,*[_]GRL*,*[_]HUN*,*[_]IMY*,*[_]IRL*,*[_]ISL*,*[_]ISR*,*[_]ITA*,*[_]LUX*,*[_]MCO*,*[_]NLD*,*[_]NOR*,*[_]POL*,*[_]PRT*,*[_]SMR*,*[_]SVK*,*[_]SVN*,*[_]SWE*,*[_]TUR*,*[_]VAT*</v>
      </c>
    </row>
    <row r="138" spans="1:5" x14ac:dyDescent="0.35">
      <c r="A138">
        <f t="shared" si="7"/>
        <v>1</v>
      </c>
      <c r="B138" t="s">
        <v>74</v>
      </c>
      <c r="C138" t="s">
        <v>74</v>
      </c>
      <c r="D138" t="str">
        <f t="shared" si="8"/>
        <v>1IND</v>
      </c>
      <c r="E138" t="str">
        <f t="shared" si="9"/>
        <v>*[_]IND*</v>
      </c>
    </row>
    <row r="139" spans="1:5" x14ac:dyDescent="0.35">
      <c r="A139">
        <f t="shared" si="7"/>
        <v>1</v>
      </c>
      <c r="B139" t="s">
        <v>75</v>
      </c>
      <c r="C139" t="s">
        <v>75</v>
      </c>
      <c r="D139" t="str">
        <f t="shared" si="8"/>
        <v>1JPN</v>
      </c>
      <c r="E139" t="str">
        <f t="shared" si="9"/>
        <v>*[_]JPN*</v>
      </c>
    </row>
    <row r="140" spans="1:5" x14ac:dyDescent="0.35">
      <c r="A140">
        <f t="shared" si="7"/>
        <v>0</v>
      </c>
      <c r="B140" t="s">
        <v>76</v>
      </c>
      <c r="C140" t="s">
        <v>3063</v>
      </c>
      <c r="D140" t="str">
        <f t="shared" si="8"/>
        <v>0MID</v>
      </c>
      <c r="E140" t="str">
        <f t="shared" si="9"/>
        <v>*[_]ARE*</v>
      </c>
    </row>
    <row r="141" spans="1:5" x14ac:dyDescent="0.35">
      <c r="A141">
        <f t="shared" si="7"/>
        <v>0</v>
      </c>
      <c r="B141" t="s">
        <v>76</v>
      </c>
      <c r="C141" t="s">
        <v>2863</v>
      </c>
      <c r="D141" t="str">
        <f t="shared" si="8"/>
        <v>0MID</v>
      </c>
      <c r="E141" t="str">
        <f t="shared" si="9"/>
        <v>*[_]ARE*,*[_]BHR*</v>
      </c>
    </row>
    <row r="142" spans="1:5" x14ac:dyDescent="0.35">
      <c r="A142">
        <f t="shared" si="7"/>
        <v>0</v>
      </c>
      <c r="B142" t="s">
        <v>76</v>
      </c>
      <c r="C142" t="s">
        <v>2900</v>
      </c>
      <c r="D142" t="str">
        <f t="shared" si="8"/>
        <v>0MID</v>
      </c>
      <c r="E142" t="str">
        <f t="shared" si="9"/>
        <v>*[_]ARE*,*[_]BHR*,*[_]CYP*</v>
      </c>
    </row>
    <row r="143" spans="1:5" x14ac:dyDescent="0.35">
      <c r="A143">
        <f t="shared" si="7"/>
        <v>0</v>
      </c>
      <c r="B143" t="s">
        <v>76</v>
      </c>
      <c r="C143" t="s">
        <v>2941</v>
      </c>
      <c r="D143" t="str">
        <f t="shared" si="8"/>
        <v>0MID</v>
      </c>
      <c r="E143" t="str">
        <f t="shared" si="9"/>
        <v>*[_]ARE*,*[_]BHR*,*[_]CYP*,*[_]IRN*</v>
      </c>
    </row>
    <row r="144" spans="1:5" x14ac:dyDescent="0.35">
      <c r="A144">
        <f t="shared" si="7"/>
        <v>0</v>
      </c>
      <c r="B144" t="s">
        <v>76</v>
      </c>
      <c r="C144" t="s">
        <v>2942</v>
      </c>
      <c r="D144" t="str">
        <f t="shared" si="8"/>
        <v>0MID</v>
      </c>
      <c r="E144" t="str">
        <f t="shared" si="9"/>
        <v>*[_]ARE*,*[_]BHR*,*[_]CYP*,*[_]IRN*,*[_]IRQ*</v>
      </c>
    </row>
    <row r="145" spans="1:5" x14ac:dyDescent="0.35">
      <c r="A145">
        <f t="shared" si="7"/>
        <v>0</v>
      </c>
      <c r="B145" t="s">
        <v>76</v>
      </c>
      <c r="C145" t="s">
        <v>2948</v>
      </c>
      <c r="D145" t="str">
        <f t="shared" si="8"/>
        <v>0MID</v>
      </c>
      <c r="E145" t="str">
        <f t="shared" si="9"/>
        <v>*[_]ARE*,*[_]BHR*,*[_]CYP*,*[_]IRN*,*[_]IRQ*,*[_]JOR*</v>
      </c>
    </row>
    <row r="146" spans="1:5" x14ac:dyDescent="0.35">
      <c r="A146">
        <f t="shared" si="7"/>
        <v>0</v>
      </c>
      <c r="B146" t="s">
        <v>76</v>
      </c>
      <c r="C146" t="s">
        <v>2954</v>
      </c>
      <c r="D146" t="str">
        <f t="shared" si="8"/>
        <v>0MID</v>
      </c>
      <c r="E146" t="str">
        <f t="shared" si="9"/>
        <v>*[_]ARE*,*[_]BHR*,*[_]CYP*,*[_]IRN*,*[_]IRQ*,*[_]JOR*,*[_]KWT*</v>
      </c>
    </row>
    <row r="147" spans="1:5" x14ac:dyDescent="0.35">
      <c r="A147">
        <f t="shared" si="7"/>
        <v>0</v>
      </c>
      <c r="B147" t="s">
        <v>76</v>
      </c>
      <c r="C147" t="s">
        <v>2958</v>
      </c>
      <c r="D147" t="str">
        <f t="shared" si="8"/>
        <v>0MID</v>
      </c>
      <c r="E147" t="str">
        <f t="shared" si="9"/>
        <v>*[_]ARE*,*[_]BHR*,*[_]CYP*,*[_]IRN*,*[_]IRQ*,*[_]JOR*,*[_]KWT*,*[_]LBN*</v>
      </c>
    </row>
    <row r="148" spans="1:5" x14ac:dyDescent="0.35">
      <c r="A148">
        <f t="shared" si="7"/>
        <v>0</v>
      </c>
      <c r="B148" t="s">
        <v>76</v>
      </c>
      <c r="C148" t="s">
        <v>2998</v>
      </c>
      <c r="D148" t="str">
        <f t="shared" si="8"/>
        <v>0MID</v>
      </c>
      <c r="E148" t="str">
        <f t="shared" si="9"/>
        <v>*[_]ARE*,*[_]BHR*,*[_]CYP*,*[_]IRN*,*[_]IRQ*,*[_]JOR*,*[_]KWT*,*[_]LBN*,*[_]OMN*</v>
      </c>
    </row>
    <row r="149" spans="1:5" x14ac:dyDescent="0.35">
      <c r="A149">
        <f t="shared" si="7"/>
        <v>0</v>
      </c>
      <c r="B149" t="s">
        <v>76</v>
      </c>
      <c r="C149" t="s">
        <v>3001</v>
      </c>
      <c r="D149" t="str">
        <f t="shared" si="8"/>
        <v>0MID</v>
      </c>
      <c r="E149" t="str">
        <f t="shared" si="9"/>
        <v>*[_]ARE*,*[_]BHR*,*[_]CYP*,*[_]IRN*,*[_]IRQ*,*[_]JOR*,*[_]KWT*,*[_]LBN*,*[_]OMN*,*[_]PSE*</v>
      </c>
    </row>
    <row r="150" spans="1:5" x14ac:dyDescent="0.35">
      <c r="A150">
        <f t="shared" si="7"/>
        <v>0</v>
      </c>
      <c r="B150" t="s">
        <v>76</v>
      </c>
      <c r="C150" t="s">
        <v>3011</v>
      </c>
      <c r="D150" t="str">
        <f t="shared" si="8"/>
        <v>0MID</v>
      </c>
      <c r="E150" t="str">
        <f t="shared" si="9"/>
        <v>*[_]ARE*,*[_]BHR*,*[_]CYP*,*[_]IRN*,*[_]IRQ*,*[_]JOR*,*[_]KWT*,*[_]LBN*,*[_]OMN*,*[_]PSE*,*[_]QAT*</v>
      </c>
    </row>
    <row r="151" spans="1:5" x14ac:dyDescent="0.35">
      <c r="A151">
        <f t="shared" si="7"/>
        <v>0</v>
      </c>
      <c r="B151" t="s">
        <v>76</v>
      </c>
      <c r="C151" t="s">
        <v>3018</v>
      </c>
      <c r="D151" t="str">
        <f t="shared" si="8"/>
        <v>0MID</v>
      </c>
      <c r="E151" t="str">
        <f t="shared" si="9"/>
        <v>*[_]ARE*,*[_]BHR*,*[_]CYP*,*[_]IRN*,*[_]IRQ*,*[_]JOR*,*[_]KWT*,*[_]LBN*,*[_]OMN*,*[_]PSE*,*[_]QAT*,*[_]SAU*</v>
      </c>
    </row>
    <row r="152" spans="1:5" x14ac:dyDescent="0.35">
      <c r="A152">
        <f t="shared" si="7"/>
        <v>0</v>
      </c>
      <c r="B152" t="s">
        <v>76</v>
      </c>
      <c r="C152" t="s">
        <v>3044</v>
      </c>
      <c r="D152" t="str">
        <f t="shared" si="8"/>
        <v>0MID</v>
      </c>
      <c r="E152" t="str">
        <f t="shared" si="9"/>
        <v>*[_]ARE*,*[_]BHR*,*[_]CYP*,*[_]IRN*,*[_]IRQ*,*[_]JOR*,*[_]KWT*,*[_]LBN*,*[_]OMN*,*[_]PSE*,*[_]QAT*,*[_]SAU*,*[_]SYR*</v>
      </c>
    </row>
    <row r="153" spans="1:5" x14ac:dyDescent="0.35">
      <c r="A153">
        <f t="shared" si="7"/>
        <v>1</v>
      </c>
      <c r="B153" s="21" t="s">
        <v>76</v>
      </c>
      <c r="C153" t="s">
        <v>3073</v>
      </c>
      <c r="D153" t="str">
        <f t="shared" si="8"/>
        <v>1MID</v>
      </c>
      <c r="E153" t="str">
        <f t="shared" si="9"/>
        <v>*[_]ARE*,*[_]BHR*,*[_]CYP*,*[_]IRN*,*[_]IRQ*,*[_]JOR*,*[_]KWT*,*[_]LBN*,*[_]OMN*,*[_]PSE*,*[_]QAT*,*[_]SAU*,*[_]SYR*,*[_]YEM*</v>
      </c>
    </row>
    <row r="154" spans="1:5" x14ac:dyDescent="0.35">
      <c r="A154">
        <f t="shared" si="7"/>
        <v>1</v>
      </c>
      <c r="B154" t="s">
        <v>77</v>
      </c>
      <c r="C154" t="s">
        <v>2977</v>
      </c>
      <c r="D154" t="str">
        <f t="shared" si="8"/>
        <v>1MXC</v>
      </c>
      <c r="E154" t="str">
        <f t="shared" si="9"/>
        <v>*[_]MEX*</v>
      </c>
    </row>
    <row r="155" spans="1:5" x14ac:dyDescent="0.35">
      <c r="A155">
        <f t="shared" si="7"/>
        <v>0</v>
      </c>
      <c r="B155" t="s">
        <v>2876</v>
      </c>
      <c r="C155" t="s">
        <v>2877</v>
      </c>
      <c r="D155" t="str">
        <f t="shared" si="8"/>
        <v>0NULL</v>
      </c>
      <c r="E155" t="str">
        <f t="shared" si="9"/>
        <v>*[_]BVT*</v>
      </c>
    </row>
    <row r="156" spans="1:5" x14ac:dyDescent="0.35">
      <c r="A156">
        <f t="shared" si="7"/>
        <v>0</v>
      </c>
      <c r="B156" t="s">
        <v>2876</v>
      </c>
      <c r="C156" t="s">
        <v>2891</v>
      </c>
      <c r="D156" t="str">
        <f t="shared" si="8"/>
        <v>0NULL</v>
      </c>
      <c r="E156" t="str">
        <f t="shared" si="9"/>
        <v>*[_]BVT*,*[_]CCK*</v>
      </c>
    </row>
    <row r="157" spans="1:5" x14ac:dyDescent="0.35">
      <c r="A157">
        <f t="shared" si="7"/>
        <v>0</v>
      </c>
      <c r="B157" t="s">
        <v>2876</v>
      </c>
      <c r="C157" t="s">
        <v>2931</v>
      </c>
      <c r="D157" t="str">
        <f t="shared" si="8"/>
        <v>0NULL</v>
      </c>
      <c r="E157" t="str">
        <f t="shared" si="9"/>
        <v>*[_]BVT*,*[_]CCK*,*[_]GGY*</v>
      </c>
    </row>
    <row r="158" spans="1:5" x14ac:dyDescent="0.35">
      <c r="A158">
        <f t="shared" si="7"/>
        <v>0</v>
      </c>
      <c r="B158" t="s">
        <v>2876</v>
      </c>
      <c r="C158" t="s">
        <v>2976</v>
      </c>
      <c r="D158" t="str">
        <f t="shared" si="8"/>
        <v>0NULL</v>
      </c>
      <c r="E158" t="str">
        <f t="shared" si="9"/>
        <v>*[_]BVT*,*[_]CCK*,*[_]GGY*,*[_]MYT*</v>
      </c>
    </row>
    <row r="159" spans="1:5" x14ac:dyDescent="0.35">
      <c r="A159">
        <f t="shared" si="7"/>
        <v>0</v>
      </c>
      <c r="B159" t="s">
        <v>2876</v>
      </c>
      <c r="C159" t="s">
        <v>3007</v>
      </c>
      <c r="D159" t="str">
        <f t="shared" si="8"/>
        <v>0NULL</v>
      </c>
      <c r="E159" t="str">
        <f t="shared" si="9"/>
        <v>*[_]BVT*,*[_]CCK*,*[_]GGY*,*[_]MYT*,*[_]PCN*</v>
      </c>
    </row>
    <row r="160" spans="1:5" x14ac:dyDescent="0.35">
      <c r="A160">
        <f t="shared" si="7"/>
        <v>0</v>
      </c>
      <c r="B160" t="s">
        <v>2876</v>
      </c>
      <c r="C160" t="s">
        <v>3030</v>
      </c>
      <c r="D160" t="str">
        <f t="shared" si="8"/>
        <v>0NULL</v>
      </c>
      <c r="E160" t="str">
        <f t="shared" si="9"/>
        <v>*[_]BVT*,*[_]CCK*,*[_]GGY*,*[_]MYT*,*[_]PCN*,*[_]SGS*</v>
      </c>
    </row>
    <row r="161" spans="1:5" x14ac:dyDescent="0.35">
      <c r="A161">
        <f t="shared" si="7"/>
        <v>0</v>
      </c>
      <c r="B161" t="s">
        <v>2876</v>
      </c>
      <c r="C161" t="s">
        <v>3040</v>
      </c>
      <c r="D161" t="str">
        <f t="shared" si="8"/>
        <v>0NULL</v>
      </c>
      <c r="E161" t="str">
        <f t="shared" si="9"/>
        <v>*[_]BVT*,*[_]CCK*,*[_]GGY*,*[_]MYT*,*[_]PCN*,*[_]SGS*,*[_]SJM *</v>
      </c>
    </row>
    <row r="162" spans="1:5" x14ac:dyDescent="0.35">
      <c r="A162">
        <f t="shared" si="7"/>
        <v>0</v>
      </c>
      <c r="B162" t="s">
        <v>2876</v>
      </c>
      <c r="C162" t="s">
        <v>3053</v>
      </c>
      <c r="D162" t="str">
        <f t="shared" si="8"/>
        <v>0NULL</v>
      </c>
      <c r="E162" t="str">
        <f t="shared" si="9"/>
        <v>*[_]BVT*,*[_]CCK*,*[_]GGY*,*[_]MYT*,*[_]PCN*,*[_]SGS*,*[_]SJM *,*[_]TKL*</v>
      </c>
    </row>
    <row r="163" spans="1:5" x14ac:dyDescent="0.35">
      <c r="A163">
        <f t="shared" si="7"/>
        <v>1</v>
      </c>
      <c r="B163" t="s">
        <v>2876</v>
      </c>
      <c r="C163" t="s">
        <v>3072</v>
      </c>
      <c r="D163" t="str">
        <f t="shared" si="8"/>
        <v>1NULL</v>
      </c>
      <c r="E163" t="str">
        <f t="shared" si="9"/>
        <v>*[_]BVT*,*[_]CCK*,*[_]GGY*,*[_]MYT*,*[_]PCN*,*[_]SGS*,*[_]SJM *,*[_]TKL*,*[_]WLF*</v>
      </c>
    </row>
    <row r="164" spans="1:5" x14ac:dyDescent="0.35">
      <c r="A164">
        <f t="shared" si="7"/>
        <v>0</v>
      </c>
      <c r="B164" t="s">
        <v>78</v>
      </c>
      <c r="C164" t="s">
        <v>2850</v>
      </c>
      <c r="D164" t="str">
        <f t="shared" si="8"/>
        <v>0OAS</v>
      </c>
      <c r="E164" t="str">
        <f t="shared" si="9"/>
        <v>*[_]AFG*</v>
      </c>
    </row>
    <row r="165" spans="1:5" x14ac:dyDescent="0.35">
      <c r="A165">
        <f t="shared" si="7"/>
        <v>0</v>
      </c>
      <c r="B165" t="s">
        <v>78</v>
      </c>
      <c r="C165" t="s">
        <v>2864</v>
      </c>
      <c r="D165" t="str">
        <f t="shared" si="8"/>
        <v>0OAS</v>
      </c>
      <c r="E165" t="str">
        <f t="shared" si="9"/>
        <v>*[_]AFG*,*[_]BGD*</v>
      </c>
    </row>
    <row r="166" spans="1:5" x14ac:dyDescent="0.35">
      <c r="A166">
        <f t="shared" si="7"/>
        <v>0</v>
      </c>
      <c r="B166" t="s">
        <v>78</v>
      </c>
      <c r="C166" t="s">
        <v>2879</v>
      </c>
      <c r="D166" t="str">
        <f t="shared" si="8"/>
        <v>0OAS</v>
      </c>
      <c r="E166" t="str">
        <f t="shared" si="9"/>
        <v>*[_]AFG*,*[_]BGD*,*[_]BRN*</v>
      </c>
    </row>
    <row r="167" spans="1:5" x14ac:dyDescent="0.35">
      <c r="A167">
        <f t="shared" si="7"/>
        <v>0</v>
      </c>
      <c r="B167" t="s">
        <v>78</v>
      </c>
      <c r="C167" t="s">
        <v>2872</v>
      </c>
      <c r="D167" t="str">
        <f t="shared" si="8"/>
        <v>0OAS</v>
      </c>
      <c r="E167" t="str">
        <f t="shared" si="9"/>
        <v>*[_]AFG*,*[_]BGD*,*[_]BRN*,*[_]BTN*</v>
      </c>
    </row>
    <row r="168" spans="1:5" x14ac:dyDescent="0.35">
      <c r="A168">
        <f t="shared" si="7"/>
        <v>0</v>
      </c>
      <c r="B168" t="s">
        <v>78</v>
      </c>
      <c r="C168" t="s">
        <v>2894</v>
      </c>
      <c r="D168" t="str">
        <f t="shared" si="8"/>
        <v>0OAS</v>
      </c>
      <c r="E168" t="str">
        <f t="shared" si="9"/>
        <v>*[_]AFG*,*[_]BGD*,*[_]BRN*,*[_]BTN*,*[_]COK*</v>
      </c>
    </row>
    <row r="169" spans="1:5" x14ac:dyDescent="0.35">
      <c r="A169">
        <f t="shared" si="7"/>
        <v>0</v>
      </c>
      <c r="B169" t="s">
        <v>78</v>
      </c>
      <c r="C169" t="s">
        <v>2916</v>
      </c>
      <c r="D169" t="str">
        <f t="shared" si="8"/>
        <v>0OAS</v>
      </c>
      <c r="E169" t="str">
        <f t="shared" si="9"/>
        <v>*[_]AFG*,*[_]BGD*,*[_]BRN*,*[_]BTN*,*[_]COK*,*[_]FJI*</v>
      </c>
    </row>
    <row r="170" spans="1:5" x14ac:dyDescent="0.35">
      <c r="A170">
        <f t="shared" si="7"/>
        <v>0</v>
      </c>
      <c r="B170" t="s">
        <v>78</v>
      </c>
      <c r="C170" t="s">
        <v>2937</v>
      </c>
      <c r="D170" t="str">
        <f t="shared" si="8"/>
        <v>0OAS</v>
      </c>
      <c r="E170" t="str">
        <f t="shared" si="9"/>
        <v>*[_]AFG*,*[_]BGD*,*[_]BRN*,*[_]BTN*,*[_]COK*,*[_]FJI*,*[_]HKG*</v>
      </c>
    </row>
    <row r="171" spans="1:5" x14ac:dyDescent="0.35">
      <c r="A171">
        <f t="shared" si="7"/>
        <v>0</v>
      </c>
      <c r="B171" t="s">
        <v>78</v>
      </c>
      <c r="C171" t="s">
        <v>2940</v>
      </c>
      <c r="D171" t="str">
        <f t="shared" si="8"/>
        <v>0OAS</v>
      </c>
      <c r="E171" t="str">
        <f t="shared" si="9"/>
        <v>*[_]AFG*,*[_]BGD*,*[_]BRN*,*[_]BTN*,*[_]COK*,*[_]FJI*,*[_]HKG*,*[_]IDN*</v>
      </c>
    </row>
    <row r="172" spans="1:5" x14ac:dyDescent="0.35">
      <c r="A172">
        <f t="shared" si="7"/>
        <v>0</v>
      </c>
      <c r="B172" t="s">
        <v>78</v>
      </c>
      <c r="C172" t="s">
        <v>2883</v>
      </c>
      <c r="D172" t="str">
        <f t="shared" si="8"/>
        <v>0OAS</v>
      </c>
      <c r="E172" t="str">
        <f t="shared" si="9"/>
        <v>*[_]AFG*,*[_]BGD*,*[_]BRN*,*[_]BTN*,*[_]COK*,*[_]FJI*,*[_]HKG*,*[_]IDN*,*[_]KHM*</v>
      </c>
    </row>
    <row r="173" spans="1:5" x14ac:dyDescent="0.35">
      <c r="A173">
        <f t="shared" si="7"/>
        <v>0</v>
      </c>
      <c r="B173" t="s">
        <v>78</v>
      </c>
      <c r="C173" t="s">
        <v>2951</v>
      </c>
      <c r="D173" t="str">
        <f t="shared" si="8"/>
        <v>0OAS</v>
      </c>
      <c r="E173" t="str">
        <f t="shared" si="9"/>
        <v>*[_]AFG*,*[_]BGD*,*[_]BRN*,*[_]BTN*,*[_]COK*,*[_]FJI*,*[_]HKG*,*[_]IDN*,*[_]KHM*,*[_]KIR*</v>
      </c>
    </row>
    <row r="174" spans="1:5" x14ac:dyDescent="0.35">
      <c r="A174">
        <f t="shared" si="7"/>
        <v>0</v>
      </c>
      <c r="B174" t="s">
        <v>78</v>
      </c>
      <c r="C174" t="s">
        <v>2956</v>
      </c>
      <c r="D174" t="str">
        <f t="shared" si="8"/>
        <v>0OAS</v>
      </c>
      <c r="E174" t="str">
        <f t="shared" si="9"/>
        <v>*[_]AFG*,*[_]BGD*,*[_]BRN*,*[_]BTN*,*[_]COK*,*[_]FJI*,*[_]HKG*,*[_]IDN*,*[_]KHM*,*[_]KIR*,*[_]LAO*</v>
      </c>
    </row>
    <row r="175" spans="1:5" x14ac:dyDescent="0.35">
      <c r="A175">
        <f t="shared" si="7"/>
        <v>0</v>
      </c>
      <c r="B175" t="s">
        <v>78</v>
      </c>
      <c r="C175" t="s">
        <v>3033</v>
      </c>
      <c r="D175" t="str">
        <f t="shared" si="8"/>
        <v>0OAS</v>
      </c>
      <c r="E175" t="str">
        <f t="shared" si="9"/>
        <v>*[_]AFG*,*[_]BGD*,*[_]BRN*,*[_]BTN*,*[_]COK*,*[_]FJI*,*[_]HKG*,*[_]IDN*,*[_]KHM*,*[_]KIR*,*[_]LAO*,*[_]LKA*</v>
      </c>
    </row>
    <row r="176" spans="1:5" x14ac:dyDescent="0.35">
      <c r="A176">
        <f t="shared" si="7"/>
        <v>0</v>
      </c>
      <c r="B176" t="s">
        <v>78</v>
      </c>
      <c r="C176" t="s">
        <v>2965</v>
      </c>
      <c r="D176" t="str">
        <f t="shared" si="8"/>
        <v>0OAS</v>
      </c>
      <c r="E176" t="str">
        <f t="shared" si="9"/>
        <v>*[_]AFG*,*[_]BGD*,*[_]BRN*,*[_]BTN*,*[_]COK*,*[_]FJI*,*[_]HKG*,*[_]IDN*,*[_]KHM*,*[_]KIR*,*[_]LAO*,*[_]LKA*,*[_]MAC*</v>
      </c>
    </row>
    <row r="177" spans="1:5" x14ac:dyDescent="0.35">
      <c r="A177">
        <f t="shared" si="7"/>
        <v>0</v>
      </c>
      <c r="B177" t="s">
        <v>78</v>
      </c>
      <c r="C177" t="s">
        <v>2970</v>
      </c>
      <c r="D177" t="str">
        <f t="shared" si="8"/>
        <v>0OAS</v>
      </c>
      <c r="E177" t="str">
        <f t="shared" si="9"/>
        <v>*[_]AFG*,*[_]BGD*,*[_]BRN*,*[_]BTN*,*[_]COK*,*[_]FJI*,*[_]HKG*,*[_]IDN*,*[_]KHM*,*[_]KIR*,*[_]LAO*,*[_]LKA*,*[_]MAC*,*[_]MDV*</v>
      </c>
    </row>
    <row r="178" spans="1:5" x14ac:dyDescent="0.35">
      <c r="A178">
        <f t="shared" si="7"/>
        <v>0</v>
      </c>
      <c r="B178" t="s">
        <v>78</v>
      </c>
      <c r="C178" t="s">
        <v>2973</v>
      </c>
      <c r="D178" t="str">
        <f t="shared" si="8"/>
        <v>0OAS</v>
      </c>
      <c r="E178" t="str">
        <f t="shared" si="9"/>
        <v>*[_]AFG*,*[_]BGD*,*[_]BRN*,*[_]BTN*,*[_]COK*,*[_]FJI*,*[_]HKG*,*[_]IDN*,*[_]KHM*,*[_]KIR*,*[_]LAO*,*[_]LKA*,*[_]MAC*,*[_]MDV*,*[_]MHL*</v>
      </c>
    </row>
    <row r="179" spans="1:5" x14ac:dyDescent="0.35">
      <c r="A179">
        <f t="shared" si="7"/>
        <v>0</v>
      </c>
      <c r="B179" t="s">
        <v>78</v>
      </c>
      <c r="C179" t="s">
        <v>2985</v>
      </c>
      <c r="D179" t="str">
        <f t="shared" si="8"/>
        <v>0OAS</v>
      </c>
      <c r="E179" t="str">
        <f t="shared" si="9"/>
        <v>*[_]AFG*,*[_]BGD*,*[_]BRN*,*[_]BTN*,*[_]COK*,*[_]FJI*,*[_]HKG*,*[_]IDN*,*[_]KHM*,*[_]KIR*,*[_]LAO*,*[_]LKA*,*[_]MAC*,*[_]MDV*,*[_]MHL*,*[_]MMR*</v>
      </c>
    </row>
    <row r="180" spans="1:5" x14ac:dyDescent="0.35">
      <c r="A180">
        <f t="shared" si="7"/>
        <v>0</v>
      </c>
      <c r="B180" t="s">
        <v>78</v>
      </c>
      <c r="C180" t="s">
        <v>2980</v>
      </c>
      <c r="D180" t="str">
        <f t="shared" si="8"/>
        <v>0OAS</v>
      </c>
      <c r="E180" t="str">
        <f t="shared" si="9"/>
        <v>*[_]AFG*,*[_]BGD*,*[_]BRN*,*[_]BTN*,*[_]COK*,*[_]FJI*,*[_]HKG*,*[_]IDN*,*[_]KHM*,*[_]KIR*,*[_]LAO*,*[_]LKA*,*[_]MAC*,*[_]MDV*,*[_]MHL*,*[_]MMR*,*[_]MNG*</v>
      </c>
    </row>
    <row r="181" spans="1:5" x14ac:dyDescent="0.35">
      <c r="A181">
        <f t="shared" si="7"/>
        <v>0</v>
      </c>
      <c r="B181" t="s">
        <v>78</v>
      </c>
      <c r="C181" t="s">
        <v>2996</v>
      </c>
      <c r="D181" t="str">
        <f t="shared" si="8"/>
        <v>0OAS</v>
      </c>
      <c r="E181" t="str">
        <f t="shared" si="9"/>
        <v>*[_]AFG*,*[_]BGD*,*[_]BRN*,*[_]BTN*,*[_]COK*,*[_]FJI*,*[_]HKG*,*[_]IDN*,*[_]KHM*,*[_]KIR*,*[_]LAO*,*[_]LKA*,*[_]MAC*,*[_]MDV*,*[_]MHL*,*[_]MMR*,*[_]MNG*,*[_]MNP*</v>
      </c>
    </row>
    <row r="182" spans="1:5" x14ac:dyDescent="0.35">
      <c r="A182">
        <f t="shared" si="7"/>
        <v>0</v>
      </c>
      <c r="B182" t="s">
        <v>78</v>
      </c>
      <c r="C182" t="s">
        <v>2969</v>
      </c>
      <c r="D182" t="str">
        <f t="shared" si="8"/>
        <v>0OAS</v>
      </c>
      <c r="E182" t="str">
        <f t="shared" si="9"/>
        <v>*[_]AFG*,*[_]BGD*,*[_]BRN*,*[_]BTN*,*[_]COK*,*[_]FJI*,*[_]HKG*,*[_]IDN*,*[_]KHM*,*[_]KIR*,*[_]LAO*,*[_]LKA*,*[_]MAC*,*[_]MDV*,*[_]MHL*,*[_]MMR*,*[_]MNG*,*[_]MNP*,*[_]MYS*</v>
      </c>
    </row>
    <row r="183" spans="1:5" x14ac:dyDescent="0.35">
      <c r="A183">
        <f t="shared" si="7"/>
        <v>0</v>
      </c>
      <c r="B183" t="s">
        <v>78</v>
      </c>
      <c r="C183" t="s">
        <v>2990</v>
      </c>
      <c r="D183" t="str">
        <f t="shared" si="8"/>
        <v>0OAS</v>
      </c>
      <c r="E183" t="str">
        <f t="shared" si="9"/>
        <v>*[_]AFG*,*[_]BGD*,*[_]BRN*,*[_]BTN*,*[_]COK*,*[_]FJI*,*[_]HKG*,*[_]IDN*,*[_]KHM*,*[_]KIR*,*[_]LAO*,*[_]LKA*,*[_]MAC*,*[_]MDV*,*[_]MHL*,*[_]MMR*,*[_]MNG*,*[_]MNP*,*[_]MYS*,*[_]NCL*</v>
      </c>
    </row>
    <row r="184" spans="1:5" x14ac:dyDescent="0.35">
      <c r="A184">
        <f t="shared" si="7"/>
        <v>0</v>
      </c>
      <c r="B184" t="s">
        <v>78</v>
      </c>
      <c r="C184" t="s">
        <v>2995</v>
      </c>
      <c r="D184" t="str">
        <f t="shared" si="8"/>
        <v>0OAS</v>
      </c>
      <c r="E184" t="str">
        <f t="shared" si="9"/>
        <v>*[_]AFG*,*[_]BGD*,*[_]BRN*,*[_]BTN*,*[_]COK*,*[_]FJI*,*[_]HKG*,*[_]IDN*,*[_]KHM*,*[_]KIR*,*[_]LAO*,*[_]LKA*,*[_]MAC*,*[_]MDV*,*[_]MHL*,*[_]MMR*,*[_]MNG*,*[_]MNP*,*[_]MYS*,*[_]NCL*,*[_]NIU*</v>
      </c>
    </row>
    <row r="185" spans="1:5" x14ac:dyDescent="0.35">
      <c r="A185">
        <f t="shared" si="7"/>
        <v>0</v>
      </c>
      <c r="B185" t="s">
        <v>78</v>
      </c>
      <c r="C185" t="s">
        <v>2987</v>
      </c>
      <c r="D185" t="str">
        <f t="shared" si="8"/>
        <v>0OAS</v>
      </c>
      <c r="E185" t="str">
        <f t="shared" si="9"/>
        <v>*[_]AFG*,*[_]BGD*,*[_]BRN*,*[_]BTN*,*[_]COK*,*[_]FJI*,*[_]HKG*,*[_]IDN*,*[_]KHM*,*[_]KIR*,*[_]LAO*,*[_]LKA*,*[_]MAC*,*[_]MDV*,*[_]MHL*,*[_]MMR*,*[_]MNG*,*[_]MNP*,*[_]MYS*,*[_]NCL*,*[_]NIU*,*[_]NPL*</v>
      </c>
    </row>
    <row r="186" spans="1:5" x14ac:dyDescent="0.35">
      <c r="A186">
        <f t="shared" si="7"/>
        <v>0</v>
      </c>
      <c r="B186" t="s">
        <v>78</v>
      </c>
      <c r="C186" t="s">
        <v>2986</v>
      </c>
      <c r="D186" t="str">
        <f t="shared" si="8"/>
        <v>0OAS</v>
      </c>
      <c r="E186" t="str">
        <f t="shared" si="9"/>
        <v>*[_]AFG*,*[_]BGD*,*[_]BRN*,*[_]BTN*,*[_]COK*,*[_]FJI*,*[_]HKG*,*[_]IDN*,*[_]KHM*,*[_]KIR*,*[_]LAO*,*[_]LKA*,*[_]MAC*,*[_]MDV*,*[_]MHL*,*[_]MMR*,*[_]MNG*,*[_]MNP*,*[_]MYS*,*[_]NCL*,*[_]NIU*,*[_]NPL*,*[_]NRU*</v>
      </c>
    </row>
    <row r="187" spans="1:5" x14ac:dyDescent="0.35">
      <c r="A187">
        <f t="shared" si="7"/>
        <v>0</v>
      </c>
      <c r="B187" t="s">
        <v>78</v>
      </c>
      <c r="C187" t="s">
        <v>2999</v>
      </c>
      <c r="D187" t="str">
        <f t="shared" si="8"/>
        <v>0OAS</v>
      </c>
      <c r="E187" t="str">
        <f t="shared" si="9"/>
        <v>*[_]AFG*,*[_]BGD*,*[_]BRN*,*[_]BTN*,*[_]COK*,*[_]FJI*,*[_]HKG*,*[_]IDN*,*[_]KHM*,*[_]KIR*,*[_]LAO*,*[_]LKA*,*[_]MAC*,*[_]MDV*,*[_]MHL*,*[_]MMR*,*[_]MNG*,*[_]MNP*,*[_]MYS*,*[_]NCL*,*[_]NIU*,*[_]NPL*,*[_]NRU*,*[_]PAK*</v>
      </c>
    </row>
    <row r="188" spans="1:5" x14ac:dyDescent="0.35">
      <c r="A188">
        <f t="shared" si="7"/>
        <v>0</v>
      </c>
      <c r="B188" t="s">
        <v>78</v>
      </c>
      <c r="C188" t="s">
        <v>3006</v>
      </c>
      <c r="D188" t="str">
        <f t="shared" si="8"/>
        <v>0OAS</v>
      </c>
      <c r="E188" t="str">
        <f t="shared" si="9"/>
        <v>*[_]AFG*,*[_]BGD*,*[_]BRN*,*[_]BTN*,*[_]COK*,*[_]FJI*,*[_]HKG*,*[_]IDN*,*[_]KHM*,*[_]KIR*,*[_]LAO*,*[_]LKA*,*[_]MAC*,*[_]MDV*,*[_]MHL*,*[_]MMR*,*[_]MNG*,*[_]MNP*,*[_]MYS*,*[_]NCL*,*[_]NIU*,*[_]NPL*,*[_]NRU*,*[_]PAK*,*[_]PHL*</v>
      </c>
    </row>
    <row r="189" spans="1:5" x14ac:dyDescent="0.35">
      <c r="A189">
        <f t="shared" si="7"/>
        <v>0</v>
      </c>
      <c r="B189" t="s">
        <v>78</v>
      </c>
      <c r="C189" t="s">
        <v>3000</v>
      </c>
      <c r="D189" t="str">
        <f t="shared" si="8"/>
        <v>0OAS</v>
      </c>
      <c r="E189" t="str">
        <f t="shared" si="9"/>
        <v>*[_]AFG*,*[_]BGD*,*[_]BRN*,*[_]BTN*,*[_]COK*,*[_]FJI*,*[_]HKG*,*[_]IDN*,*[_]KHM*,*[_]KIR*,*[_]LAO*,*[_]LKA*,*[_]MAC*,*[_]MDV*,*[_]MHL*,*[_]MMR*,*[_]MNG*,*[_]MNP*,*[_]MYS*,*[_]NCL*,*[_]NIU*,*[_]NPL*,*[_]NRU*,*[_]PAK*,*[_]PHL*,*[_]PLW*</v>
      </c>
    </row>
    <row r="190" spans="1:5" x14ac:dyDescent="0.35">
      <c r="A190">
        <f t="shared" si="7"/>
        <v>0</v>
      </c>
      <c r="B190" t="s">
        <v>78</v>
      </c>
      <c r="C190" t="s">
        <v>3003</v>
      </c>
      <c r="D190" t="str">
        <f t="shared" si="8"/>
        <v>0OAS</v>
      </c>
      <c r="E190" t="str">
        <f t="shared" si="9"/>
        <v>*[_]AFG*,*[_]BGD*,*[_]BRN*,*[_]BTN*,*[_]COK*,*[_]FJI*,*[_]HKG*,*[_]IDN*,*[_]KHM*,*[_]KIR*,*[_]LAO*,*[_]LKA*,*[_]MAC*,*[_]MDV*,*[_]MHL*,*[_]MMR*,*[_]MNG*,*[_]MNP*,*[_]MYS*,*[_]NCL*,*[_]NIU*,*[_]NPL*,*[_]NRU*,*[_]PAK*,*[_]PHL*,*[_]PLW*,*[_]PNG*</v>
      </c>
    </row>
    <row r="191" spans="1:5" x14ac:dyDescent="0.35">
      <c r="A191">
        <f t="shared" si="7"/>
        <v>0</v>
      </c>
      <c r="B191" t="s">
        <v>78</v>
      </c>
      <c r="C191" t="s">
        <v>2902</v>
      </c>
      <c r="D191" t="str">
        <f t="shared" si="8"/>
        <v>0OAS</v>
      </c>
      <c r="E191" t="str">
        <f t="shared" si="9"/>
        <v>*[_]AFG*,*[_]BGD*,*[_]BRN*,*[_]BTN*,*[_]COK*,*[_]FJI*,*[_]HKG*,*[_]IDN*,*[_]KHM*,*[_]KIR*,*[_]LAO*,*[_]LKA*,*[_]MAC*,*[_]MDV*,*[_]MHL*,*[_]MMR*,*[_]MNG*,*[_]MNP*,*[_]MYS*,*[_]NCL*,*[_]NIU*,*[_]NPL*,*[_]NRU*,*[_]PAK*,*[_]PHL*,*[_]PLW*,*[_]PNG*,*[_]PRK*</v>
      </c>
    </row>
    <row r="192" spans="1:5" x14ac:dyDescent="0.35">
      <c r="A192">
        <f t="shared" si="7"/>
        <v>0</v>
      </c>
      <c r="B192" t="s">
        <v>78</v>
      </c>
      <c r="C192" t="s">
        <v>2920</v>
      </c>
      <c r="D192" t="str">
        <f t="shared" si="8"/>
        <v>0OAS</v>
      </c>
      <c r="E192" t="str">
        <f t="shared" si="9"/>
        <v>*[_]AFG*,*[_]BGD*,*[_]BRN*,*[_]BTN*,*[_]COK*,*[_]FJI*,*[_]HKG*,*[_]IDN*,*[_]KHM*,*[_]KIR*,*[_]LAO*,*[_]LKA*,*[_]MAC*,*[_]MDV*,*[_]MHL*,*[_]MMR*,*[_]MNG*,*[_]MNP*,*[_]MYS*,*[_]NCL*,*[_]NIU*,*[_]NPL*,*[_]NRU*,*[_]PAK*,*[_]PHL*,*[_]PLW*,*[_]PNG*,*[_]PRK*,*[_]PYF*</v>
      </c>
    </row>
    <row r="193" spans="1:5" x14ac:dyDescent="0.35">
      <c r="A193">
        <f t="shared" si="7"/>
        <v>0</v>
      </c>
      <c r="B193" t="s">
        <v>78</v>
      </c>
      <c r="C193" t="s">
        <v>3023</v>
      </c>
      <c r="D193" t="str">
        <f t="shared" si="8"/>
        <v>0OAS</v>
      </c>
      <c r="E193" t="str">
        <f t="shared" si="9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</v>
      </c>
    </row>
    <row r="194" spans="1:5" x14ac:dyDescent="0.35">
      <c r="A194">
        <f t="shared" si="7"/>
        <v>0</v>
      </c>
      <c r="B194" t="s">
        <v>78</v>
      </c>
      <c r="C194" t="s">
        <v>3027</v>
      </c>
      <c r="D194" t="str">
        <f t="shared" si="8"/>
        <v>0OAS</v>
      </c>
      <c r="E194" t="str">
        <f t="shared" si="9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</v>
      </c>
    </row>
    <row r="195" spans="1:5" x14ac:dyDescent="0.35">
      <c r="A195">
        <f t="shared" si="7"/>
        <v>0</v>
      </c>
      <c r="B195" t="s">
        <v>78</v>
      </c>
      <c r="C195" t="s">
        <v>3048</v>
      </c>
      <c r="D195" t="str">
        <f t="shared" si="8"/>
        <v>0OAS</v>
      </c>
      <c r="E195" t="str">
        <f t="shared" si="9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</v>
      </c>
    </row>
    <row r="196" spans="1:5" x14ac:dyDescent="0.35">
      <c r="A196">
        <f t="shared" ref="A196:A232" si="10">IF(B196=B197,0,1)</f>
        <v>0</v>
      </c>
      <c r="B196" t="s">
        <v>78</v>
      </c>
      <c r="C196" t="s">
        <v>3051</v>
      </c>
      <c r="D196" t="str">
        <f t="shared" ref="D196:D232" si="11">A196&amp;B196</f>
        <v>0OAS</v>
      </c>
      <c r="E196" t="str">
        <f t="shared" ref="E196:E232" si="12">IF(B196=B195,E195&amp;","&amp;"*[_]"&amp;C196&amp;"*","*[_]"&amp;C196&amp;"*")</f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</v>
      </c>
    </row>
    <row r="197" spans="1:5" x14ac:dyDescent="0.35">
      <c r="A197">
        <f t="shared" si="10"/>
        <v>0</v>
      </c>
      <c r="B197" t="s">
        <v>78</v>
      </c>
      <c r="C197" t="s">
        <v>3054</v>
      </c>
      <c r="D197" t="str">
        <f t="shared" si="11"/>
        <v>0OAS</v>
      </c>
      <c r="E197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</v>
      </c>
    </row>
    <row r="198" spans="1:5" x14ac:dyDescent="0.35">
      <c r="A198">
        <f t="shared" si="10"/>
        <v>0</v>
      </c>
      <c r="B198" t="s">
        <v>78</v>
      </c>
      <c r="C198" t="s">
        <v>3060</v>
      </c>
      <c r="D198" t="str">
        <f t="shared" si="11"/>
        <v>0OAS</v>
      </c>
      <c r="E198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</v>
      </c>
    </row>
    <row r="199" spans="1:5" x14ac:dyDescent="0.35">
      <c r="A199">
        <f t="shared" si="10"/>
        <v>0</v>
      </c>
      <c r="B199" t="s">
        <v>78</v>
      </c>
      <c r="C199" t="s">
        <v>3045</v>
      </c>
      <c r="D199" t="str">
        <f t="shared" si="11"/>
        <v>0OAS</v>
      </c>
      <c r="E199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</v>
      </c>
    </row>
    <row r="200" spans="1:5" x14ac:dyDescent="0.35">
      <c r="A200">
        <f t="shared" si="10"/>
        <v>0</v>
      </c>
      <c r="B200" t="s">
        <v>78</v>
      </c>
      <c r="C200" t="s">
        <v>3070</v>
      </c>
      <c r="D200" t="str">
        <f t="shared" si="11"/>
        <v>0OAS</v>
      </c>
      <c r="E200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</v>
      </c>
    </row>
    <row r="201" spans="1:5" x14ac:dyDescent="0.35">
      <c r="A201">
        <f t="shared" si="10"/>
        <v>0</v>
      </c>
      <c r="B201" t="s">
        <v>78</v>
      </c>
      <c r="C201" t="s">
        <v>3067</v>
      </c>
      <c r="D201" t="str">
        <f t="shared" si="11"/>
        <v>0OAS</v>
      </c>
      <c r="E201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</v>
      </c>
    </row>
    <row r="202" spans="1:5" x14ac:dyDescent="0.35">
      <c r="A202">
        <f t="shared" si="10"/>
        <v>0</v>
      </c>
      <c r="B202" t="s">
        <v>78</v>
      </c>
      <c r="C202" t="s">
        <v>3015</v>
      </c>
      <c r="D202" t="str">
        <f t="shared" si="11"/>
        <v>0OAS</v>
      </c>
      <c r="E202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</v>
      </c>
    </row>
    <row r="203" spans="1:5" x14ac:dyDescent="0.35">
      <c r="A203">
        <f t="shared" si="10"/>
        <v>0</v>
      </c>
      <c r="B203" t="s">
        <v>78</v>
      </c>
      <c r="C203" t="s">
        <v>2853</v>
      </c>
      <c r="D203" t="str">
        <f t="shared" si="11"/>
        <v>0OAS</v>
      </c>
      <c r="E203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</v>
      </c>
    </row>
    <row r="204" spans="1:5" x14ac:dyDescent="0.35">
      <c r="A204">
        <f t="shared" si="10"/>
        <v>1</v>
      </c>
      <c r="B204" t="s">
        <v>78</v>
      </c>
      <c r="C204" t="s">
        <v>2929</v>
      </c>
      <c r="D204" t="str">
        <f t="shared" si="11"/>
        <v>1OAS</v>
      </c>
      <c r="E204" t="str">
        <f t="shared" si="12"/>
        <v>*[_]AFG*,*[_]BGD*,*[_]BRN*,*[_]BTN*,*[_]COK*,*[_]FJI*,*[_]HKG*,*[_]IDN*,*[_]KHM*,*[_]KIR*,*[_]LAO*,*[_]LKA*,*[_]MAC*,*[_]MDV*,*[_]MHL*,*[_]MMR*,*[_]MNG*,*[_]MNP*,*[_]MYS*,*[_]NCL*,*[_]NIU*,*[_]NPL*,*[_]NRU*,*[_]PAK*,*[_]PHL*,*[_]PLW*,*[_]PNG*,*[_]PRK*,*[_]PYF*,*[_]SGP*,*[_]SLB*,*[_]THA*,*[_]TMP*,*[_]TON*,*[_]TUV*,*[_]TWN*,*[_]VNM*,*[_]VUT*,*[_]WSM*,*[_]ASM*,*[_]GUM*</v>
      </c>
    </row>
    <row r="205" spans="1:5" x14ac:dyDescent="0.35">
      <c r="A205">
        <f t="shared" si="10"/>
        <v>1</v>
      </c>
      <c r="B205" s="21" t="s">
        <v>79</v>
      </c>
      <c r="C205" t="s">
        <v>79</v>
      </c>
      <c r="D205" t="str">
        <f t="shared" si="11"/>
        <v>1RUS</v>
      </c>
      <c r="E205" t="str">
        <f t="shared" si="12"/>
        <v>*[_]RUS*</v>
      </c>
    </row>
    <row r="206" spans="1:5" x14ac:dyDescent="0.35">
      <c r="A206">
        <f t="shared" si="10"/>
        <v>1</v>
      </c>
      <c r="B206" t="s">
        <v>80</v>
      </c>
      <c r="C206" t="s">
        <v>2952</v>
      </c>
      <c r="D206" t="str">
        <f t="shared" si="11"/>
        <v>1SKO</v>
      </c>
      <c r="E206" t="str">
        <f t="shared" si="12"/>
        <v>*[_]KOR*</v>
      </c>
    </row>
    <row r="207" spans="1:5" x14ac:dyDescent="0.35">
      <c r="A207">
        <f t="shared" si="10"/>
        <v>0</v>
      </c>
      <c r="B207" t="s">
        <v>81</v>
      </c>
      <c r="C207" t="s">
        <v>2851</v>
      </c>
      <c r="D207" t="str">
        <f t="shared" si="11"/>
        <v>0URA</v>
      </c>
      <c r="E207" t="str">
        <f t="shared" si="12"/>
        <v>*[_]ALB*</v>
      </c>
    </row>
    <row r="208" spans="1:5" x14ac:dyDescent="0.35">
      <c r="A208">
        <f t="shared" si="10"/>
        <v>0</v>
      </c>
      <c r="B208" t="s">
        <v>81</v>
      </c>
      <c r="C208" t="s">
        <v>2858</v>
      </c>
      <c r="D208" t="str">
        <f t="shared" si="11"/>
        <v>0URA</v>
      </c>
      <c r="E208" t="str">
        <f t="shared" si="12"/>
        <v>*[_]ALB*,*[_]ARM*</v>
      </c>
    </row>
    <row r="209" spans="1:5" x14ac:dyDescent="0.35">
      <c r="A209">
        <f t="shared" si="10"/>
        <v>0</v>
      </c>
      <c r="B209" t="s">
        <v>81</v>
      </c>
      <c r="C209" t="s">
        <v>2862</v>
      </c>
      <c r="D209" t="str">
        <f t="shared" si="11"/>
        <v>0URA</v>
      </c>
      <c r="E209" t="str">
        <f t="shared" si="12"/>
        <v>*[_]ALB*,*[_]ARM*,*[_]AZE*</v>
      </c>
    </row>
    <row r="210" spans="1:5" x14ac:dyDescent="0.35">
      <c r="A210">
        <f t="shared" si="10"/>
        <v>0</v>
      </c>
      <c r="B210" t="s">
        <v>81</v>
      </c>
      <c r="C210" t="s">
        <v>2880</v>
      </c>
      <c r="D210" t="str">
        <f t="shared" si="11"/>
        <v>0URA</v>
      </c>
      <c r="E210" t="str">
        <f t="shared" si="12"/>
        <v>*[_]ALB*,*[_]ARM*,*[_]AZE*,*[_]BGR*</v>
      </c>
    </row>
    <row r="211" spans="1:5" x14ac:dyDescent="0.35">
      <c r="A211">
        <f t="shared" si="10"/>
        <v>0</v>
      </c>
      <c r="B211" t="s">
        <v>81</v>
      </c>
      <c r="C211" t="s">
        <v>2874</v>
      </c>
      <c r="D211" t="str">
        <f t="shared" si="11"/>
        <v>0URA</v>
      </c>
      <c r="E211" t="str">
        <f t="shared" si="12"/>
        <v>*[_]ALB*,*[_]ARM*,*[_]AZE*,*[_]BGR*,*[_]BIH*</v>
      </c>
    </row>
    <row r="212" spans="1:5" x14ac:dyDescent="0.35">
      <c r="A212">
        <f t="shared" si="10"/>
        <v>0</v>
      </c>
      <c r="B212" t="s">
        <v>81</v>
      </c>
      <c r="C212" t="s">
        <v>2866</v>
      </c>
      <c r="D212" t="str">
        <f t="shared" si="11"/>
        <v>0URA</v>
      </c>
      <c r="E212" t="str">
        <f t="shared" si="12"/>
        <v>*[_]ALB*,*[_]ARM*,*[_]AZE*,*[_]BGR*,*[_]BIH*,*[_]BLR*</v>
      </c>
    </row>
    <row r="213" spans="1:5" x14ac:dyDescent="0.35">
      <c r="A213">
        <f t="shared" si="10"/>
        <v>0</v>
      </c>
      <c r="B213" t="s">
        <v>81</v>
      </c>
      <c r="C213" t="s">
        <v>2915</v>
      </c>
      <c r="D213" t="str">
        <f t="shared" si="11"/>
        <v>0URA</v>
      </c>
      <c r="E213" t="str">
        <f t="shared" si="12"/>
        <v>*[_]ALB*,*[_]ARM*,*[_]AZE*,*[_]BGR*,*[_]BIH*,*[_]BLR*,*[_]FRO*</v>
      </c>
    </row>
    <row r="214" spans="1:5" x14ac:dyDescent="0.35">
      <c r="A214">
        <f t="shared" si="10"/>
        <v>0</v>
      </c>
      <c r="B214" t="s">
        <v>81</v>
      </c>
      <c r="C214" t="s">
        <v>2922</v>
      </c>
      <c r="D214" t="str">
        <f t="shared" si="11"/>
        <v>0URA</v>
      </c>
      <c r="E214" t="str">
        <f t="shared" si="12"/>
        <v>*[_]ALB*,*[_]ARM*,*[_]AZE*,*[_]BGR*,*[_]BIH*,*[_]BLR*,*[_]FRO*,*[_]GEO*</v>
      </c>
    </row>
    <row r="215" spans="1:5" x14ac:dyDescent="0.35">
      <c r="A215">
        <f t="shared" si="10"/>
        <v>0</v>
      </c>
      <c r="B215" t="s">
        <v>81</v>
      </c>
      <c r="C215" t="s">
        <v>2897</v>
      </c>
      <c r="D215" t="str">
        <f t="shared" si="11"/>
        <v>0URA</v>
      </c>
      <c r="E215" t="str">
        <f t="shared" si="12"/>
        <v>*[_]ALB*,*[_]ARM*,*[_]AZE*,*[_]BGR*,*[_]BIH*,*[_]BLR*,*[_]FRO*,*[_]GEO*,*[_]HRV*</v>
      </c>
    </row>
    <row r="216" spans="1:5" x14ac:dyDescent="0.35">
      <c r="A216">
        <f t="shared" si="10"/>
        <v>0</v>
      </c>
      <c r="B216" t="s">
        <v>81</v>
      </c>
      <c r="C216" t="s">
        <v>2949</v>
      </c>
      <c r="D216" t="str">
        <f t="shared" si="11"/>
        <v>0URA</v>
      </c>
      <c r="E216" t="str">
        <f t="shared" si="12"/>
        <v>*[_]ALB*,*[_]ARM*,*[_]AZE*,*[_]BGR*,*[_]BIH*,*[_]BLR*,*[_]FRO*,*[_]GEO*,*[_]HRV*,*[_]KAZ*</v>
      </c>
    </row>
    <row r="217" spans="1:5" x14ac:dyDescent="0.35">
      <c r="A217">
        <f t="shared" si="10"/>
        <v>0</v>
      </c>
      <c r="B217" t="s">
        <v>81</v>
      </c>
      <c r="C217" t="s">
        <v>2955</v>
      </c>
      <c r="D217" t="str">
        <f t="shared" si="11"/>
        <v>0URA</v>
      </c>
      <c r="E217" t="str">
        <f t="shared" si="12"/>
        <v>*[_]ALB*,*[_]ARM*,*[_]AZE*,*[_]BGR*,*[_]BIH*,*[_]BLR*,*[_]FRO*,*[_]GEO*,*[_]HRV*,*[_]KAZ*,*[_]KGZ*</v>
      </c>
    </row>
    <row r="218" spans="1:5" x14ac:dyDescent="0.35">
      <c r="A218">
        <f t="shared" si="10"/>
        <v>0</v>
      </c>
      <c r="B218" t="s">
        <v>81</v>
      </c>
      <c r="C218" t="s">
        <v>2953</v>
      </c>
      <c r="D218" t="str">
        <f t="shared" si="11"/>
        <v>0URA</v>
      </c>
      <c r="E218" t="str">
        <f t="shared" si="12"/>
        <v>*[_]ALB*,*[_]ARM*,*[_]AZE*,*[_]BGR*,*[_]BIH*,*[_]BLR*,*[_]FRO*,*[_]GEO*,*[_]HRV*,*[_]KAZ*,*[_]KGZ*,*[_]KSV*</v>
      </c>
    </row>
    <row r="219" spans="1:5" x14ac:dyDescent="0.35">
      <c r="A219">
        <f t="shared" si="10"/>
        <v>0</v>
      </c>
      <c r="B219" t="s">
        <v>81</v>
      </c>
      <c r="C219" t="s">
        <v>2962</v>
      </c>
      <c r="D219" t="str">
        <f t="shared" si="11"/>
        <v>0URA</v>
      </c>
      <c r="E219" t="str">
        <f t="shared" si="12"/>
        <v>*[_]ALB*,*[_]ARM*,*[_]AZE*,*[_]BGR*,*[_]BIH*,*[_]BLR*,*[_]FRO*,*[_]GEO*,*[_]HRV*,*[_]KAZ*,*[_]KGZ*,*[_]KSV*,*[_]LIE*</v>
      </c>
    </row>
    <row r="220" spans="1:5" x14ac:dyDescent="0.35">
      <c r="A220">
        <f t="shared" si="10"/>
        <v>0</v>
      </c>
      <c r="B220" t="s">
        <v>81</v>
      </c>
      <c r="C220" t="s">
        <v>2963</v>
      </c>
      <c r="D220" t="str">
        <f t="shared" si="11"/>
        <v>0URA</v>
      </c>
      <c r="E220" t="str">
        <f t="shared" si="12"/>
        <v>*[_]ALB*,*[_]ARM*,*[_]AZE*,*[_]BGR*,*[_]BIH*,*[_]BLR*,*[_]FRO*,*[_]GEO*,*[_]HRV*,*[_]KAZ*,*[_]KGZ*,*[_]KSV*,*[_]LIE*,*[_]LTU*</v>
      </c>
    </row>
    <row r="221" spans="1:5" x14ac:dyDescent="0.35">
      <c r="A221">
        <f t="shared" si="10"/>
        <v>0</v>
      </c>
      <c r="B221" t="s">
        <v>81</v>
      </c>
      <c r="C221" t="s">
        <v>2957</v>
      </c>
      <c r="D221" t="str">
        <f t="shared" si="11"/>
        <v>0URA</v>
      </c>
      <c r="E221" t="str">
        <f t="shared" si="12"/>
        <v>*[_]ALB*,*[_]ARM*,*[_]AZE*,*[_]BGR*,*[_]BIH*,*[_]BLR*,*[_]FRO*,*[_]GEO*,*[_]HRV*,*[_]KAZ*,*[_]KGZ*,*[_]KSV*,*[_]LIE*,*[_]LTU*,*[_]LVA*</v>
      </c>
    </row>
    <row r="222" spans="1:5" x14ac:dyDescent="0.35">
      <c r="A222">
        <f t="shared" si="10"/>
        <v>0</v>
      </c>
      <c r="B222" t="s">
        <v>81</v>
      </c>
      <c r="C222" t="s">
        <v>2978</v>
      </c>
      <c r="D222" t="str">
        <f t="shared" si="11"/>
        <v>0URA</v>
      </c>
      <c r="E222" t="str">
        <f t="shared" si="12"/>
        <v>*[_]ALB*,*[_]ARM*,*[_]AZE*,*[_]BGR*,*[_]BIH*,*[_]BLR*,*[_]FRO*,*[_]GEO*,*[_]HRV*,*[_]KAZ*,*[_]KGZ*,*[_]KSV*,*[_]LIE*,*[_]LTU*,*[_]LVA*,*[_]MDA*</v>
      </c>
    </row>
    <row r="223" spans="1:5" x14ac:dyDescent="0.35">
      <c r="A223">
        <f t="shared" si="10"/>
        <v>0</v>
      </c>
      <c r="B223" t="s">
        <v>81</v>
      </c>
      <c r="C223" t="s">
        <v>2966</v>
      </c>
      <c r="D223" t="str">
        <f t="shared" si="11"/>
        <v>0URA</v>
      </c>
      <c r="E223" t="str">
        <f t="shared" si="12"/>
        <v>*[_]ALB*,*[_]ARM*,*[_]AZE*,*[_]BGR*,*[_]BIH*,*[_]BLR*,*[_]FRO*,*[_]GEO*,*[_]HRV*,*[_]KAZ*,*[_]KGZ*,*[_]KSV*,*[_]LIE*,*[_]LTU*,*[_]LVA*,*[_]MDA*,*[_]MKD*</v>
      </c>
    </row>
    <row r="224" spans="1:5" x14ac:dyDescent="0.35">
      <c r="A224">
        <f t="shared" si="10"/>
        <v>0</v>
      </c>
      <c r="B224" t="s">
        <v>81</v>
      </c>
      <c r="C224" t="s">
        <v>2972</v>
      </c>
      <c r="D224" t="str">
        <f t="shared" si="11"/>
        <v>0URA</v>
      </c>
      <c r="E224" t="str">
        <f t="shared" si="12"/>
        <v>*[_]ALB*,*[_]ARM*,*[_]AZE*,*[_]BGR*,*[_]BIH*,*[_]BLR*,*[_]FRO*,*[_]GEO*,*[_]HRV*,*[_]KAZ*,*[_]KGZ*,*[_]KSV*,*[_]LIE*,*[_]LTU*,*[_]LVA*,*[_]MDA*,*[_]MKD*,*[_]MLT*</v>
      </c>
    </row>
    <row r="225" spans="1:5" x14ac:dyDescent="0.35">
      <c r="A225">
        <f t="shared" si="10"/>
        <v>0</v>
      </c>
      <c r="B225" t="s">
        <v>81</v>
      </c>
      <c r="C225" t="s">
        <v>2981</v>
      </c>
      <c r="D225" t="str">
        <f t="shared" si="11"/>
        <v>0URA</v>
      </c>
      <c r="E225" t="str">
        <f t="shared" si="12"/>
        <v>*[_]ALB*,*[_]ARM*,*[_]AZE*,*[_]BGR*,*[_]BIH*,*[_]BLR*,*[_]FRO*,*[_]GEO*,*[_]HRV*,*[_]KAZ*,*[_]KGZ*,*[_]KSV*,*[_]LIE*,*[_]LTU*,*[_]LVA*,*[_]MDA*,*[_]MKD*,*[_]MLT*,*[_]MNE*</v>
      </c>
    </row>
    <row r="226" spans="1:5" x14ac:dyDescent="0.35">
      <c r="A226">
        <f t="shared" si="10"/>
        <v>0</v>
      </c>
      <c r="B226" t="s">
        <v>81</v>
      </c>
      <c r="C226" t="s">
        <v>3013</v>
      </c>
      <c r="D226" t="str">
        <f t="shared" si="11"/>
        <v>0URA</v>
      </c>
      <c r="E226" t="str">
        <f t="shared" si="12"/>
        <v>*[_]ALB*,*[_]ARM*,*[_]AZE*,*[_]BGR*,*[_]BIH*,*[_]BLR*,*[_]FRO*,*[_]GEO*,*[_]HRV*,*[_]KAZ*,*[_]KGZ*,*[_]KSV*,*[_]LIE*,*[_]LTU*,*[_]LVA*,*[_]MDA*,*[_]MKD*,*[_]MLT*,*[_]MNE*,*[_]ROM*</v>
      </c>
    </row>
    <row r="227" spans="1:5" x14ac:dyDescent="0.35">
      <c r="A227">
        <f t="shared" si="10"/>
        <v>0</v>
      </c>
      <c r="B227" t="s">
        <v>81</v>
      </c>
      <c r="C227" t="s">
        <v>3020</v>
      </c>
      <c r="D227" t="str">
        <f t="shared" si="11"/>
        <v>0URA</v>
      </c>
      <c r="E227" t="str">
        <f t="shared" si="12"/>
        <v>*[_]ALB*,*[_]ARM*,*[_]AZE*,*[_]BGR*,*[_]BIH*,*[_]BLR*,*[_]FRO*,*[_]GEO*,*[_]HRV*,*[_]KAZ*,*[_]KGZ*,*[_]KSV*,*[_]LIE*,*[_]LTU*,*[_]LVA*,*[_]MDA*,*[_]MKD*,*[_]MLT*,*[_]MNE*,*[_]ROM*,*[_]SRB*</v>
      </c>
    </row>
    <row r="228" spans="1:5" x14ac:dyDescent="0.35">
      <c r="A228">
        <f t="shared" si="10"/>
        <v>0</v>
      </c>
      <c r="B228" t="s">
        <v>81</v>
      </c>
      <c r="C228" t="s">
        <v>3046</v>
      </c>
      <c r="D228" t="str">
        <f t="shared" si="11"/>
        <v>0URA</v>
      </c>
      <c r="E228" t="str">
        <f t="shared" si="12"/>
        <v>*[_]ALB*,*[_]ARM*,*[_]AZE*,*[_]BGR*,*[_]BIH*,*[_]BLR*,*[_]FRO*,*[_]GEO*,*[_]HRV*,*[_]KAZ*,*[_]KGZ*,*[_]KSV*,*[_]LIE*,*[_]LTU*,*[_]LVA*,*[_]MDA*,*[_]MKD*,*[_]MLT*,*[_]MNE*,*[_]ROM*,*[_]SRB*,*[_]TJK*</v>
      </c>
    </row>
    <row r="229" spans="1:5" x14ac:dyDescent="0.35">
      <c r="A229">
        <f t="shared" si="10"/>
        <v>0</v>
      </c>
      <c r="B229" t="s">
        <v>81</v>
      </c>
      <c r="C229" t="s">
        <v>3058</v>
      </c>
      <c r="D229" t="str">
        <f t="shared" si="11"/>
        <v>0URA</v>
      </c>
      <c r="E229" t="str">
        <f t="shared" si="12"/>
        <v>*[_]ALB*,*[_]ARM*,*[_]AZE*,*[_]BGR*,*[_]BIH*,*[_]BLR*,*[_]FRO*,*[_]GEO*,*[_]HRV*,*[_]KAZ*,*[_]KGZ*,*[_]KSV*,*[_]LIE*,*[_]LTU*,*[_]LVA*,*[_]MDA*,*[_]MKD*,*[_]MLT*,*[_]MNE*,*[_]ROM*,*[_]SRB*,*[_]TJK*,*[_]TKM*</v>
      </c>
    </row>
    <row r="230" spans="1:5" x14ac:dyDescent="0.35">
      <c r="A230">
        <f t="shared" si="10"/>
        <v>0</v>
      </c>
      <c r="B230" t="s">
        <v>81</v>
      </c>
      <c r="C230" t="s">
        <v>3062</v>
      </c>
      <c r="D230" t="str">
        <f t="shared" si="11"/>
        <v>0URA</v>
      </c>
      <c r="E230" t="str">
        <f t="shared" si="12"/>
        <v>*[_]ALB*,*[_]ARM*,*[_]AZE*,*[_]BGR*,*[_]BIH*,*[_]BLR*,*[_]FRO*,*[_]GEO*,*[_]HRV*,*[_]KAZ*,*[_]KGZ*,*[_]KSV*,*[_]LIE*,*[_]LTU*,*[_]LVA*,*[_]MDA*,*[_]MKD*,*[_]MLT*,*[_]MNE*,*[_]ROM*,*[_]SRB*,*[_]TJK*,*[_]TKM*,*[_]UKR*</v>
      </c>
    </row>
    <row r="231" spans="1:5" x14ac:dyDescent="0.35">
      <c r="A231">
        <f t="shared" si="10"/>
        <v>1</v>
      </c>
      <c r="B231" t="s">
        <v>81</v>
      </c>
      <c r="C231" t="s">
        <v>3066</v>
      </c>
      <c r="D231" t="str">
        <f t="shared" si="11"/>
        <v>1URA</v>
      </c>
      <c r="E231" t="str">
        <f t="shared" si="12"/>
        <v>*[_]ALB*,*[_]ARM*,*[_]AZE*,*[_]BGR*,*[_]BIH*,*[_]BLR*,*[_]FRO*,*[_]GEO*,*[_]HRV*,*[_]KAZ*,*[_]KGZ*,*[_]KSV*,*[_]LIE*,*[_]LTU*,*[_]LVA*,*[_]MDA*,*[_]MKD*,*[_]MLT*,*[_]MNE*,*[_]ROM*,*[_]SRB*,*[_]TJK*,*[_]TKM*,*[_]UKR*,*[_]UZB*</v>
      </c>
    </row>
    <row r="232" spans="1:5" x14ac:dyDescent="0.35">
      <c r="A232">
        <f t="shared" si="10"/>
        <v>1</v>
      </c>
      <c r="B232" t="s">
        <v>82</v>
      </c>
      <c r="C232" t="s">
        <v>82</v>
      </c>
      <c r="D232" t="str">
        <f t="shared" si="11"/>
        <v>1USA</v>
      </c>
      <c r="E232" t="str">
        <f t="shared" si="12"/>
        <v>*[_]USA*</v>
      </c>
    </row>
  </sheetData>
  <sortState xmlns:xlrd2="http://schemas.microsoft.com/office/spreadsheetml/2017/richdata2" ref="B2:C232">
    <sortCondition ref="B2:B2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Cap decay limits</vt:lpstr>
      <vt:lpstr>monetize ILED</vt:lpstr>
      <vt:lpstr>AFR</vt:lpstr>
      <vt:lpstr>CSA</vt:lpstr>
      <vt:lpstr>EUR</vt:lpstr>
      <vt:lpstr>OAS</vt:lpstr>
      <vt:lpstr>ANZ</vt:lpstr>
      <vt:lpstr>BRZ</vt:lpstr>
      <vt:lpstr>CAN</vt:lpstr>
      <vt:lpstr>CHI</vt:lpstr>
      <vt:lpstr>IND</vt:lpstr>
      <vt:lpstr>JPN</vt:lpstr>
      <vt:lpstr>MID</vt:lpstr>
      <vt:lpstr>MXC</vt:lpstr>
      <vt:lpstr>RUS</vt:lpstr>
      <vt:lpstr>SKO</vt:lpstr>
      <vt:lpstr>URA</vt:lpstr>
      <vt:lpstr>USA</vt:lpstr>
      <vt:lpstr>togetInvCosts</vt:lpstr>
      <vt:lpstr>HistoricalBuilds</vt:lpstr>
      <vt:lpstr>Base_ELE_Costs</vt:lpstr>
      <vt:lpstr>WEPSReg-Countrymap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dcterms:created xsi:type="dcterms:W3CDTF">2009-05-27T15:40:55Z</dcterms:created>
  <dcterms:modified xsi:type="dcterms:W3CDTF">2021-12-02T22:42:34Z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283764064311981</vt:r8>
  </property>
</Properties>
</file>