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084484A0-9933-41DE-B73A-7873DEB07124}" xr6:coauthVersionLast="47" xr6:coauthVersionMax="47" xr10:uidLastSave="{00000000-0000-0000-0000-000000000000}"/>
  <bookViews>
    <workbookView xWindow="1170" yWindow="1170" windowWidth="21600" windowHeight="11385" activeTab="2" xr2:uid="{00000000-000D-0000-FFFF-FFFF00000000}"/>
  </bookViews>
  <sheets>
    <sheet name="Readme" sheetId="3" r:id="rId1"/>
    <sheet name="Rep UCs" sheetId="1" r:id="rId2"/>
    <sheet name="for cap credit computation" sheetId="6" r:id="rId3"/>
    <sheet name="Supporting UCs" sheetId="2" r:id="rId4"/>
    <sheet name="Trade_flows" sheetId="4" r:id="rId5"/>
    <sheet name="ETL" sheetId="5" r:id="rId6"/>
  </sheets>
  <definedNames>
    <definedName name="_xlnm._FilterDatabase" localSheetId="1" hidden="1">'Rep UCs'!$A$3:$B$123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9" i="1" l="1"/>
  <c r="A219" i="1" l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J183" i="1"/>
  <c r="J182" i="1"/>
  <c r="J181" i="1"/>
  <c r="J180" i="1"/>
  <c r="J179" i="1"/>
  <c r="B178" i="1"/>
  <c r="B183" i="1" s="1"/>
  <c r="B177" i="1"/>
  <c r="B182" i="1" s="1"/>
  <c r="B176" i="1"/>
  <c r="A176" i="1" s="1"/>
  <c r="B175" i="1"/>
  <c r="B180" i="1" s="1"/>
  <c r="A175" i="1"/>
  <c r="B174" i="1"/>
  <c r="A174" i="1" s="1"/>
  <c r="A173" i="1"/>
  <c r="A172" i="1"/>
  <c r="A171" i="1"/>
  <c r="A170" i="1"/>
  <c r="A169" i="1"/>
  <c r="J163" i="1"/>
  <c r="J162" i="1"/>
  <c r="J161" i="1"/>
  <c r="J160" i="1"/>
  <c r="J159" i="1"/>
  <c r="B159" i="1"/>
  <c r="B164" i="1" s="1"/>
  <c r="A164" i="1" s="1"/>
  <c r="B158" i="1"/>
  <c r="A158" i="1" s="1"/>
  <c r="B157" i="1"/>
  <c r="A157" i="1" s="1"/>
  <c r="B156" i="1"/>
  <c r="A156" i="1" s="1"/>
  <c r="B155" i="1"/>
  <c r="B160" i="1" s="1"/>
  <c r="A155" i="1"/>
  <c r="B154" i="1"/>
  <c r="A154" i="1"/>
  <c r="A153" i="1"/>
  <c r="A152" i="1"/>
  <c r="A151" i="1"/>
  <c r="A150" i="1"/>
  <c r="S83" i="1"/>
  <c r="N83" i="1"/>
  <c r="B83" i="1"/>
  <c r="A83" i="1" s="1"/>
  <c r="S82" i="1"/>
  <c r="N82" i="1"/>
  <c r="B82" i="1"/>
  <c r="A82" i="1" s="1"/>
  <c r="S81" i="1"/>
  <c r="N81" i="1"/>
  <c r="B81" i="1"/>
  <c r="A81" i="1" s="1"/>
  <c r="S80" i="1"/>
  <c r="N80" i="1"/>
  <c r="B80" i="1"/>
  <c r="A80" i="1" s="1"/>
  <c r="S79" i="1"/>
  <c r="N79" i="1"/>
  <c r="B79" i="1"/>
  <c r="S78" i="1"/>
  <c r="N78" i="1"/>
  <c r="B78" i="1"/>
  <c r="S77" i="1"/>
  <c r="N77" i="1"/>
  <c r="B77" i="1"/>
  <c r="S76" i="1"/>
  <c r="N76" i="1"/>
  <c r="B76" i="1"/>
  <c r="A76" i="1" s="1"/>
  <c r="S75" i="1"/>
  <c r="N75" i="1"/>
  <c r="B75" i="1"/>
  <c r="A75" i="1" s="1"/>
  <c r="S74" i="1"/>
  <c r="N74" i="1"/>
  <c r="B74" i="1"/>
  <c r="S73" i="1"/>
  <c r="N73" i="1"/>
  <c r="B73" i="1"/>
  <c r="S72" i="1"/>
  <c r="N72" i="1"/>
  <c r="B72" i="1"/>
  <c r="A72" i="1" s="1"/>
  <c r="S71" i="1"/>
  <c r="N71" i="1"/>
  <c r="B71" i="1"/>
  <c r="A71" i="1" s="1"/>
  <c r="N70" i="1"/>
  <c r="B70" i="1"/>
  <c r="A70" i="1" s="1"/>
  <c r="N69" i="1"/>
  <c r="B69" i="1"/>
  <c r="A69" i="1" s="1"/>
  <c r="N68" i="1"/>
  <c r="B68" i="1"/>
  <c r="A68" i="1" s="1"/>
  <c r="N67" i="1"/>
  <c r="B67" i="1"/>
  <c r="A67" i="1" s="1"/>
  <c r="N66" i="1"/>
  <c r="B66" i="1"/>
  <c r="A66" i="1" s="1"/>
  <c r="N65" i="1"/>
  <c r="B65" i="1"/>
  <c r="A65" i="1" s="1"/>
  <c r="N64" i="1"/>
  <c r="B64" i="1"/>
  <c r="A64" i="1" s="1"/>
  <c r="N63" i="1"/>
  <c r="B63" i="1"/>
  <c r="A63" i="1"/>
  <c r="N62" i="1"/>
  <c r="B62" i="1"/>
  <c r="A62" i="1"/>
  <c r="N61" i="1"/>
  <c r="B61" i="1"/>
  <c r="A61" i="1" s="1"/>
  <c r="N60" i="1"/>
  <c r="B60" i="1"/>
  <c r="A60" i="1" s="1"/>
  <c r="N59" i="1"/>
  <c r="B59" i="1"/>
  <c r="A59" i="1" s="1"/>
  <c r="N58" i="1"/>
  <c r="B58" i="1"/>
  <c r="A58" i="1"/>
  <c r="A57" i="1"/>
  <c r="A56" i="1"/>
  <c r="N55" i="1"/>
  <c r="J55" i="1"/>
  <c r="B55" i="1"/>
  <c r="A55" i="1"/>
  <c r="N54" i="1"/>
  <c r="J54" i="1"/>
  <c r="B54" i="1"/>
  <c r="A54" i="1" s="1"/>
  <c r="N53" i="1"/>
  <c r="J53" i="1"/>
  <c r="B53" i="1"/>
  <c r="A53" i="1" s="1"/>
  <c r="N52" i="1"/>
  <c r="J52" i="1"/>
  <c r="B52" i="1"/>
  <c r="A52" i="1" s="1"/>
  <c r="N51" i="1"/>
  <c r="J51" i="1"/>
  <c r="B51" i="1"/>
  <c r="A51" i="1"/>
  <c r="N50" i="1"/>
  <c r="J50" i="1"/>
  <c r="B50" i="1"/>
  <c r="A50" i="1" s="1"/>
  <c r="N49" i="1"/>
  <c r="J49" i="1"/>
  <c r="B49" i="1"/>
  <c r="A49" i="1"/>
  <c r="N48" i="1"/>
  <c r="J48" i="1"/>
  <c r="B48" i="1"/>
  <c r="A48" i="1" s="1"/>
  <c r="N47" i="1"/>
  <c r="J47" i="1"/>
  <c r="B47" i="1"/>
  <c r="A47" i="1" s="1"/>
  <c r="N46" i="1"/>
  <c r="J46" i="1"/>
  <c r="B46" i="1"/>
  <c r="A46" i="1"/>
  <c r="N45" i="1"/>
  <c r="J45" i="1"/>
  <c r="B45" i="1"/>
  <c r="A45" i="1"/>
  <c r="N44" i="1"/>
  <c r="J44" i="1"/>
  <c r="B44" i="1"/>
  <c r="A44" i="1" s="1"/>
  <c r="N43" i="1"/>
  <c r="J43" i="1"/>
  <c r="B43" i="1"/>
  <c r="A43" i="1" s="1"/>
  <c r="N42" i="1"/>
  <c r="B42" i="1"/>
  <c r="A42" i="1" s="1"/>
  <c r="N41" i="1"/>
  <c r="B41" i="1"/>
  <c r="A41" i="1" s="1"/>
  <c r="N40" i="1"/>
  <c r="B40" i="1"/>
  <c r="A40" i="1"/>
  <c r="N39" i="1"/>
  <c r="B39" i="1"/>
  <c r="A39" i="1" s="1"/>
  <c r="N38" i="1"/>
  <c r="B38" i="1"/>
  <c r="A38" i="1" s="1"/>
  <c r="N37" i="1"/>
  <c r="B37" i="1"/>
  <c r="A37" i="1" s="1"/>
  <c r="N36" i="1"/>
  <c r="B36" i="1"/>
  <c r="A36" i="1" s="1"/>
  <c r="N35" i="1"/>
  <c r="B35" i="1"/>
  <c r="A35" i="1" s="1"/>
  <c r="N34" i="1"/>
  <c r="B34" i="1"/>
  <c r="A34" i="1" s="1"/>
  <c r="N33" i="1"/>
  <c r="B33" i="1"/>
  <c r="A33" i="1" s="1"/>
  <c r="N32" i="1"/>
  <c r="B32" i="1"/>
  <c r="A32" i="1" s="1"/>
  <c r="N31" i="1"/>
  <c r="B31" i="1"/>
  <c r="A31" i="1" s="1"/>
  <c r="N30" i="1"/>
  <c r="B30" i="1"/>
  <c r="A30" i="1"/>
  <c r="N29" i="1"/>
  <c r="B29" i="1"/>
  <c r="A29" i="1"/>
  <c r="N28" i="1"/>
  <c r="B28" i="1"/>
  <c r="A28" i="1"/>
  <c r="N27" i="1"/>
  <c r="B27" i="1"/>
  <c r="A27" i="1" s="1"/>
  <c r="N26" i="1"/>
  <c r="B26" i="1"/>
  <c r="A26" i="1"/>
  <c r="N25" i="1"/>
  <c r="B25" i="1"/>
  <c r="A25" i="1"/>
  <c r="N24" i="1"/>
  <c r="B24" i="1"/>
  <c r="A24" i="1" s="1"/>
  <c r="N23" i="1"/>
  <c r="B23" i="1"/>
  <c r="A23" i="1" s="1"/>
  <c r="N22" i="1"/>
  <c r="B22" i="1"/>
  <c r="A22" i="1" s="1"/>
  <c r="N21" i="1"/>
  <c r="B21" i="1"/>
  <c r="A21" i="1"/>
  <c r="N20" i="1"/>
  <c r="B20" i="1"/>
  <c r="A20" i="1"/>
  <c r="N19" i="1"/>
  <c r="B19" i="1"/>
  <c r="A19" i="1"/>
  <c r="N18" i="1"/>
  <c r="B18" i="1"/>
  <c r="A18" i="1" s="1"/>
  <c r="N17" i="1"/>
  <c r="B17" i="1"/>
  <c r="A17" i="1" s="1"/>
  <c r="N16" i="1"/>
  <c r="B16" i="1"/>
  <c r="A16" i="1" s="1"/>
  <c r="N15" i="1"/>
  <c r="B15" i="1"/>
  <c r="A15" i="1" s="1"/>
  <c r="N14" i="1"/>
  <c r="B14" i="1"/>
  <c r="A14" i="1" s="1"/>
  <c r="N13" i="1"/>
  <c r="B13" i="1"/>
  <c r="A13" i="1" s="1"/>
  <c r="N12" i="1"/>
  <c r="B12" i="1"/>
  <c r="A12" i="1"/>
  <c r="N11" i="1"/>
  <c r="B11" i="1"/>
  <c r="A11" i="1" s="1"/>
  <c r="N10" i="1"/>
  <c r="B10" i="1"/>
  <c r="A10" i="1" s="1"/>
  <c r="N9" i="1"/>
  <c r="B9" i="1"/>
  <c r="A9" i="1" s="1"/>
  <c r="N8" i="1"/>
  <c r="B8" i="1"/>
  <c r="A8" i="1"/>
  <c r="N7" i="1"/>
  <c r="B7" i="1"/>
  <c r="A7" i="1" s="1"/>
  <c r="N6" i="1"/>
  <c r="B6" i="1"/>
  <c r="A6" i="1" s="1"/>
  <c r="N5" i="1"/>
  <c r="B5" i="1"/>
  <c r="A5" i="1"/>
  <c r="N4" i="1"/>
  <c r="B4" i="1"/>
  <c r="A4" i="1" s="1"/>
  <c r="A77" i="1" l="1"/>
  <c r="B161" i="1"/>
  <c r="B166" i="1" s="1"/>
  <c r="A166" i="1" s="1"/>
  <c r="B162" i="1"/>
  <c r="B167" i="1" s="1"/>
  <c r="A167" i="1" s="1"/>
  <c r="A78" i="1"/>
  <c r="B165" i="1"/>
  <c r="A165" i="1" s="1"/>
  <c r="A160" i="1"/>
  <c r="A73" i="1"/>
  <c r="A74" i="1"/>
  <c r="A79" i="1"/>
  <c r="B163" i="1"/>
  <c r="B168" i="1" s="1"/>
  <c r="A168" i="1" s="1"/>
  <c r="B179" i="1"/>
  <c r="A183" i="1"/>
  <c r="B188" i="1"/>
  <c r="A188" i="1" s="1"/>
  <c r="B187" i="1"/>
  <c r="A187" i="1" s="1"/>
  <c r="A182" i="1"/>
  <c r="B185" i="1"/>
  <c r="A185" i="1" s="1"/>
  <c r="A180" i="1"/>
  <c r="A177" i="1"/>
  <c r="A161" i="1"/>
  <c r="A178" i="1"/>
  <c r="A159" i="1"/>
  <c r="A162" i="1"/>
  <c r="B181" i="1"/>
  <c r="G33" i="5"/>
  <c r="G31" i="5"/>
  <c r="G30" i="5"/>
  <c r="G29" i="5"/>
  <c r="G28" i="5"/>
  <c r="G25" i="5"/>
  <c r="G24" i="5"/>
  <c r="G23" i="5"/>
  <c r="G20" i="5"/>
  <c r="G18" i="5"/>
  <c r="G16" i="5"/>
  <c r="G12" i="5"/>
  <c r="G8" i="5"/>
  <c r="G6" i="5"/>
  <c r="A163" i="1" l="1"/>
  <c r="B184" i="1"/>
  <c r="A184" i="1" s="1"/>
  <c r="A179" i="1"/>
  <c r="B186" i="1"/>
  <c r="A186" i="1" s="1"/>
  <c r="A1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Kwon, Augustine</author>
  </authors>
  <commentList>
    <comment ref="H13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Kwon, Augustine:</t>
        </r>
        <r>
          <rPr>
            <sz val="9"/>
            <color indexed="81"/>
            <rFont val="Tahoma"/>
            <charset val="1"/>
          </rPr>
          <t xml:space="preserve">
heat has to be passed as in Tbtu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M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22-07-2018
</t>
        </r>
      </text>
    </comment>
    <comment ref="B6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15-06-2020
sets to be changed when we start tracking pumped hydro
</t>
        </r>
      </text>
    </comment>
  </commentList>
</comments>
</file>

<file path=xl/sharedStrings.xml><?xml version="1.0" encoding="utf-8"?>
<sst xmlns="http://schemas.openxmlformats.org/spreadsheetml/2006/main" count="1291" uniqueCount="518">
  <si>
    <t>ecclpg</t>
  </si>
  <si>
    <t>(pReg,2001:pFYr)</t>
  </si>
  <si>
    <t>COAL</t>
  </si>
  <si>
    <t>ELECTRICITY_CONSUMPTION</t>
  </si>
  <si>
    <t>CO2_EMISSIONS</t>
  </si>
  <si>
    <t>million metric tons of carbon dioxide</t>
  </si>
  <si>
    <t>ecngpg</t>
  </si>
  <si>
    <t>NATURAL_GAS</t>
  </si>
  <si>
    <t>ecnupg</t>
  </si>
  <si>
    <t>NUCLEAR</t>
  </si>
  <si>
    <t>eccdpg</t>
  </si>
  <si>
    <t>CRUDE_OIL</t>
  </si>
  <si>
    <t>ecdspg</t>
  </si>
  <si>
    <t>DISTILLATE</t>
  </si>
  <si>
    <t>ecrspg</t>
  </si>
  <si>
    <t>RESIDUAL</t>
  </si>
  <si>
    <t>ecbmpg</t>
  </si>
  <si>
    <t>BIOMASS</t>
  </si>
  <si>
    <t>ecgtpg</t>
  </si>
  <si>
    <t>GEOTHERMAL</t>
  </si>
  <si>
    <t>echepg</t>
  </si>
  <si>
    <t>HYDRO</t>
  </si>
  <si>
    <t>ecorpg</t>
  </si>
  <si>
    <t>RENEWABLE_OTHER</t>
  </si>
  <si>
    <t>ecslpg</t>
  </si>
  <si>
    <t>SOLAR</t>
  </si>
  <si>
    <t>ecwspg</t>
  </si>
  <si>
    <t>WASTE</t>
  </si>
  <si>
    <t>ecwnpg</t>
  </si>
  <si>
    <t>WIND</t>
  </si>
  <si>
    <t>sucncl</t>
  </si>
  <si>
    <t>(pUCG,pReg,2001:pFYr)</t>
  </si>
  <si>
    <t>CONSUMPTION</t>
  </si>
  <si>
    <t>trillion btu</t>
  </si>
  <si>
    <t>sucnng</t>
  </si>
  <si>
    <t>sucnnu</t>
  </si>
  <si>
    <t>sucncd</t>
  </si>
  <si>
    <t>sucnds</t>
  </si>
  <si>
    <t>sucnrs</t>
  </si>
  <si>
    <t>sucnbm</t>
  </si>
  <si>
    <t>sucngt</t>
  </si>
  <si>
    <t>sucnhe</t>
  </si>
  <si>
    <t>sucnor</t>
  </si>
  <si>
    <t>sucnsl</t>
  </si>
  <si>
    <t>sucnws</t>
  </si>
  <si>
    <t>sucnwn</t>
  </si>
  <si>
    <t>sucpcl</t>
  </si>
  <si>
    <t>ELECTRICITY_CAPACITY</t>
  </si>
  <si>
    <t>gigawatts</t>
  </si>
  <si>
    <t>sucpng</t>
  </si>
  <si>
    <t>sucpnu</t>
  </si>
  <si>
    <t>sucpcd</t>
  </si>
  <si>
    <t>sucpds</t>
  </si>
  <si>
    <t>sucprs</t>
  </si>
  <si>
    <t>sucpbm</t>
  </si>
  <si>
    <t>sucpgt</t>
  </si>
  <si>
    <t>sucphe</t>
  </si>
  <si>
    <t>sucpor</t>
  </si>
  <si>
    <t>sucpsl</t>
  </si>
  <si>
    <t>sucpws</t>
  </si>
  <si>
    <t>sucpwn</t>
  </si>
  <si>
    <t>sugncl</t>
  </si>
  <si>
    <t>ELECTRICITY_GENERATION</t>
  </si>
  <si>
    <t>Twh (BKWh)</t>
  </si>
  <si>
    <t>sugnng</t>
  </si>
  <si>
    <t>sugnnu</t>
  </si>
  <si>
    <t>sugncd</t>
  </si>
  <si>
    <t>sugnds</t>
  </si>
  <si>
    <t>sugnrs</t>
  </si>
  <si>
    <t>sugnbm</t>
  </si>
  <si>
    <t>sugngt</t>
  </si>
  <si>
    <t>sugnhe</t>
  </si>
  <si>
    <t>sugnor</t>
  </si>
  <si>
    <t>sugnsl</t>
  </si>
  <si>
    <t>sugnws</t>
  </si>
  <si>
    <t>sugnwn</t>
  </si>
  <si>
    <t>eceltr</t>
  </si>
  <si>
    <t>ELECTRICITY</t>
  </si>
  <si>
    <t>TRANSPORTATION</t>
  </si>
  <si>
    <t>peltr</t>
  </si>
  <si>
    <t>PRICE</t>
  </si>
  <si>
    <t>$/mmbtu</t>
  </si>
  <si>
    <t>aeltr</t>
  </si>
  <si>
    <t>aelrs</t>
  </si>
  <si>
    <t>RESIDENTIAL</t>
  </si>
  <si>
    <t>ecelrs</t>
  </si>
  <si>
    <t>pelrs</t>
  </si>
  <si>
    <t>aelcm</t>
  </si>
  <si>
    <t>COMMERCIAL</t>
  </si>
  <si>
    <t>ecelcm</t>
  </si>
  <si>
    <t>pelcm</t>
  </si>
  <si>
    <t>ecelin</t>
  </si>
  <si>
    <t>INDUSTRIAL</t>
  </si>
  <si>
    <t>pelin</t>
  </si>
  <si>
    <t>aelin</t>
  </si>
  <si>
    <t>ELEBIO</t>
  </si>
  <si>
    <t>ELECOA</t>
  </si>
  <si>
    <t>ELEGAS</t>
  </si>
  <si>
    <t>ELEGEO</t>
  </si>
  <si>
    <t>ELEHYD</t>
  </si>
  <si>
    <t>ELENUC</t>
  </si>
  <si>
    <t>ELEOIL</t>
  </si>
  <si>
    <t>ELESOL</t>
  </si>
  <si>
    <t>ELEWAS</t>
  </si>
  <si>
    <t>ELEWIN</t>
  </si>
  <si>
    <t>ELEDST</t>
  </si>
  <si>
    <t>UC_N</t>
  </si>
  <si>
    <t>PSET_SET</t>
  </si>
  <si>
    <t>CSET_CN</t>
  </si>
  <si>
    <t>UC_FLO</t>
  </si>
  <si>
    <t>CSET_SET</t>
  </si>
  <si>
    <t>Top_Check</t>
  </si>
  <si>
    <t>ELCCO2N</t>
  </si>
  <si>
    <t>NRG</t>
  </si>
  <si>
    <t>IN</t>
  </si>
  <si>
    <t>UC_CAP</t>
  </si>
  <si>
    <t>UC_ACT</t>
  </si>
  <si>
    <t>~UC_T: UC_RHSRT~N</t>
  </si>
  <si>
    <t>~UC_SETS: R_E: AllRegions</t>
  </si>
  <si>
    <t>UC_Desc</t>
  </si>
  <si>
    <t>ELC</t>
  </si>
  <si>
    <t>UC_COMCON</t>
  </si>
  <si>
    <t>UC_COMPRD</t>
  </si>
  <si>
    <t>Total Consumption of Grid electricity</t>
  </si>
  <si>
    <t>CCSNGPG</t>
  </si>
  <si>
    <t>CCS consumption in power generation for natural gas (TBtu)</t>
  </si>
  <si>
    <t xml:space="preserve">(pReg,pFFYr:pLFYr) </t>
  </si>
  <si>
    <t>CCSCLPG</t>
  </si>
  <si>
    <t>(pReg,pFFYr:pLFYr)</t>
  </si>
  <si>
    <t>CCS consumption in power generation for coal (TBtu)</t>
  </si>
  <si>
    <t>ELEGAS-S</t>
  </si>
  <si>
    <t>ELECOA-S</t>
  </si>
  <si>
    <t>Quantity</t>
  </si>
  <si>
    <t>TBTU</t>
  </si>
  <si>
    <t>qbmpg</t>
  </si>
  <si>
    <t>qclpg</t>
  </si>
  <si>
    <t>qdspg</t>
  </si>
  <si>
    <t>qgtpg</t>
  </si>
  <si>
    <t>qhepg</t>
  </si>
  <si>
    <t>qngpg</t>
  </si>
  <si>
    <t>qnupg</t>
  </si>
  <si>
    <t>qorpg</t>
  </si>
  <si>
    <t>qrspg</t>
  </si>
  <si>
    <t>qslpg</t>
  </si>
  <si>
    <t>qwnpg</t>
  </si>
  <si>
    <t>qwspg</t>
  </si>
  <si>
    <t>UCrepWEPS_TrnEff__NUM</t>
  </si>
  <si>
    <t>UCrepWEPS_TrnEff__DEN</t>
  </si>
  <si>
    <t>NEW ELECTRICITY_CAPACITY</t>
  </si>
  <si>
    <t>UC_NCAP</t>
  </si>
  <si>
    <t>including CHP</t>
  </si>
  <si>
    <t>ELECOA,CHPCOA</t>
  </si>
  <si>
    <t>ELEDST,CHPDST</t>
  </si>
  <si>
    <t>ELEGAS,CHPGAS</t>
  </si>
  <si>
    <t>ELEOIL,CHPOIL</t>
  </si>
  <si>
    <t>pUCG</t>
  </si>
  <si>
    <t>UCrepWEPS_sucncl-2</t>
  </si>
  <si>
    <t>UCrepWEPS_sucnng-2</t>
  </si>
  <si>
    <t>UCrepWEPS_sucnds-2</t>
  </si>
  <si>
    <t>UCrepWEPS_sucnrs-2</t>
  </si>
  <si>
    <t>CHPGAS</t>
  </si>
  <si>
    <t>CHPDST</t>
  </si>
  <si>
    <t>CHPOIL</t>
  </si>
  <si>
    <t>CHPCOA</t>
  </si>
  <si>
    <t>CHPCOA,ELECOA</t>
  </si>
  <si>
    <t>CHPGAS,ELEGAS</t>
  </si>
  <si>
    <t>CHPDST,ELEDST</t>
  </si>
  <si>
    <t>CHPOIL,ELEOIL</t>
  </si>
  <si>
    <t>UCrepWEPS_sucnng-3</t>
  </si>
  <si>
    <t>UCrepWEPS_sucnds-3</t>
  </si>
  <si>
    <t>UCrepWEPS_sucnrs-3</t>
  </si>
  <si>
    <t>UCrepWEPS_sucncl-3</t>
  </si>
  <si>
    <t>*</t>
  </si>
  <si>
    <t>UCrepWEPS_sucpcl-2</t>
  </si>
  <si>
    <t>UCrepWEPS_sucpng-2</t>
  </si>
  <si>
    <t>UCrepWEPS_sucpds-2</t>
  </si>
  <si>
    <t>UCrepWEPS_sucprs-2</t>
  </si>
  <si>
    <t>UCrepWEPS_sugncl-2</t>
  </si>
  <si>
    <t>UCrepWEPS_sugnng-2</t>
  </si>
  <si>
    <t>UCrepWEPS_sugnds-2</t>
  </si>
  <si>
    <t>UCrepWEPS_sugnrs-2</t>
  </si>
  <si>
    <t>UCrepWEPS_sucpcl-3</t>
  </si>
  <si>
    <t>UCrepWEPS_sucpng-3</t>
  </si>
  <si>
    <t>UCrepWEPS_sucpds-3</t>
  </si>
  <si>
    <t>UCrepWEPS_sucprs-3</t>
  </si>
  <si>
    <t>UCrepWEPS_sugncl-3</t>
  </si>
  <si>
    <t>UCrepWEPS_sugnng-3</t>
  </si>
  <si>
    <t>UCrepWEPS_sugnds-3</t>
  </si>
  <si>
    <t>UCrepWEPS_sugnrs-3</t>
  </si>
  <si>
    <t>HET</t>
  </si>
  <si>
    <t>UCrepWEPS_sucpcl_new-2</t>
  </si>
  <si>
    <t>UCrepWEPS_sucpng_new-2</t>
  </si>
  <si>
    <t>UCrepWEPS_sucpds_new-2</t>
  </si>
  <si>
    <t>UCrepWEPS_sucprs_new-2</t>
  </si>
  <si>
    <t>UCrepWEPS_sucpcl_new-3</t>
  </si>
  <si>
    <t>UCrepWEPS_sucpng_new-3</t>
  </si>
  <si>
    <t>UCrepWEPS_sucpds_new-3</t>
  </si>
  <si>
    <t>UCrepWEPS_sucprs_new-3</t>
  </si>
  <si>
    <t>CONSUMPTION - COAL (trillion btu) CHP plants</t>
  </si>
  <si>
    <t>CONSUMPTION - NATURAL_GAS (trillion btu) CHP plants</t>
  </si>
  <si>
    <t>CONSUMPTION - DISTILLATE (trillion btu) CHP plants</t>
  </si>
  <si>
    <t>CONSUMPTION - RESIDUAL (trillion btu) CHP plants</t>
  </si>
  <si>
    <t>CONSUMPTION - COAL (trillion btu) CHP plus Elec plants</t>
  </si>
  <si>
    <t>CONSUMPTION - NATURAL_GAS (trillion btu) CHP plus Elec plants</t>
  </si>
  <si>
    <t>CONSUMPTION - DISTILLATE (trillion btu) CHP plus Elec plants</t>
  </si>
  <si>
    <t>CONSUMPTION - RESIDUAL (trillion btu) CHP plus Elec plants</t>
  </si>
  <si>
    <t>This is being made equal to the numerator, so that gross generation is reported by Integration code</t>
  </si>
  <si>
    <t>ELECRD</t>
  </si>
  <si>
    <t>ELECRD,CHPCRD</t>
  </si>
  <si>
    <t>PSET_CI</t>
  </si>
  <si>
    <t>EGasOil_N-CT</t>
  </si>
  <si>
    <t>EGasOil_N-CC</t>
  </si>
  <si>
    <t>EGasOil_E-CT</t>
  </si>
  <si>
    <t>EGasOil_E-CC</t>
  </si>
  <si>
    <t>EGasOil_E-ST</t>
  </si>
  <si>
    <t>PSET_PN</t>
  </si>
  <si>
    <t>*[_]AUT,*-AUT-*,*[_]AUT-*</t>
  </si>
  <si>
    <t>*[_]BEL,*-BEL-*,*[_]BEL-*</t>
  </si>
  <si>
    <t>*[_]CZE,*-CZE-*,*[_]CZE-*</t>
  </si>
  <si>
    <t>*[_]DNK,*-DNK-*,*[_]DNK-*</t>
  </si>
  <si>
    <t>*[_]EST,*-EST-*,*[_]EST-*</t>
  </si>
  <si>
    <t>*[_]FIN,*-FIN-*,*[_]FIN-*</t>
  </si>
  <si>
    <t>*[_]FRA,*-FRA-*,*[_]FRA-*</t>
  </si>
  <si>
    <t>*[_]DEU,*-DEU-*,*[_]DEU-*</t>
  </si>
  <si>
    <t>*[_]GIB,*-GIB-*,*[_]GIB-*</t>
  </si>
  <si>
    <t>*[_]GRC,*-GRC-*,*[_]GRC-*</t>
  </si>
  <si>
    <t>*[_]GRL,*-GRL-*,*[_]GRL-*</t>
  </si>
  <si>
    <t>*[_]HUN,*-HUN-*,*[_]HUN-*</t>
  </si>
  <si>
    <t>*[_]ISL,*-ISL-*,*[_]ISL-*</t>
  </si>
  <si>
    <t>*[_]IRL,*-IRL-*,*[_]IRL-*</t>
  </si>
  <si>
    <t>*[_]IMY,*-IMY-*,*[_]IMY-*</t>
  </si>
  <si>
    <t>*[_]ISR,*-ISR-*,*[_]ISR-*</t>
  </si>
  <si>
    <t>*[_]ITA,*-ITA-*,*[_]ITA-*</t>
  </si>
  <si>
    <t>*[_]LUX,*-LUX-*,*[_]LUX-*</t>
  </si>
  <si>
    <t>*[_]MCO,*-MCO-*,*[_]MCO-*</t>
  </si>
  <si>
    <t>*[_]NLD,*-NLD-*,*[_]NLD-*</t>
  </si>
  <si>
    <t>*[_]NOR,*-NOR-*,*[_]NOR-*</t>
  </si>
  <si>
    <t>*[_]POL,*-POL-*,*[_]POL-*</t>
  </si>
  <si>
    <t>*[_]PRT,*-PRT-*,*[_]PRT-*</t>
  </si>
  <si>
    <t>*[_]SMR,*-SMR-*,*[_]SMR-*</t>
  </si>
  <si>
    <t>*[_]SVK,*-SVK-*,*[_]SVK-*</t>
  </si>
  <si>
    <t>*[_]SVN,*-SVN-*,*[_]SVN-*</t>
  </si>
  <si>
    <t>*[_]ESP,*-ESP-*,*[_]ESP-*</t>
  </si>
  <si>
    <t>*[_]SWE,*-SWE-*,*[_]SWE-*</t>
  </si>
  <si>
    <t>*[_]CHE,*-CHE-*,*[_]CHE-*</t>
  </si>
  <si>
    <t>*[_]TUR,*-TUR-*,*[_]TUR-*</t>
  </si>
  <si>
    <t>*[_]GBR,*-GBR-*,*[_]GBR-*</t>
  </si>
  <si>
    <t>ELCWIN</t>
  </si>
  <si>
    <t>qcdpg</t>
  </si>
  <si>
    <t>ELEWAS,CHPWAS</t>
  </si>
  <si>
    <t>UCrepWEPS_sucnbm-2</t>
  </si>
  <si>
    <t>CHPBIO</t>
  </si>
  <si>
    <t>CONSUMPTION - BIOMASS (trillion btu) CHP plants</t>
  </si>
  <si>
    <t>UCrepWEPS_sucnbm-3</t>
  </si>
  <si>
    <t>CHPBIO,ELEBIO</t>
  </si>
  <si>
    <t>CONSUMPTION - BIOMASS (trillion btu) CHP plus Elec plants</t>
  </si>
  <si>
    <t>UCrepWEPS_sucpbm-2</t>
  </si>
  <si>
    <t>UCrepWEPS_sugnbm-2</t>
  </si>
  <si>
    <t>UCrepWEPS_sucpbm-3</t>
  </si>
  <si>
    <t>UCrepWEPS_sugnbm-3</t>
  </si>
  <si>
    <t>ELEBIO,CHPBIO</t>
  </si>
  <si>
    <t>Workbook purpose:</t>
  </si>
  <si>
    <t>Data source:</t>
  </si>
  <si>
    <t>User-modifiable?</t>
  </si>
  <si>
    <t>No</t>
  </si>
  <si>
    <t>Creates the reporting UCs that create the results to be written to the restart file</t>
  </si>
  <si>
    <t>Created by Amit</t>
  </si>
  <si>
    <t>AuxStoIN</t>
  </si>
  <si>
    <t>AuxStoOUT</t>
  </si>
  <si>
    <t>ELESTG</t>
  </si>
  <si>
    <t>UCrepWEPS_sugnstorage_charge_BATTERY</t>
  </si>
  <si>
    <t>UCrepWEPS_sugnstorage_discharge_BATTERY</t>
  </si>
  <si>
    <t>UCrepWEPS_sucpstorage_BATTERY</t>
  </si>
  <si>
    <t>Storage charging (Twh) - Battery</t>
  </si>
  <si>
    <t>Storage discharging (Twh) - Battery</t>
  </si>
  <si>
    <t>Storage capacity (GW) - Battery</t>
  </si>
  <si>
    <t>Storage charging (Twh) - pumped hydro</t>
  </si>
  <si>
    <t>Storage discharging (Twh) - pumped hydro</t>
  </si>
  <si>
    <t>Storage capacity (GW) - pumped hydro</t>
  </si>
  <si>
    <t>~UC_Sets: R_S: AllRegions</t>
  </si>
  <si>
    <t>~UC_Sets: T_E:</t>
  </si>
  <si>
    <t>#### UPLCAPWT:  CONTRIBUTION OF EACH CAPACITY TYPE TO LEARNING FOR EACH COMPONENT'</t>
  </si>
  <si>
    <t>~UC_T: UC_NCAP~N</t>
  </si>
  <si>
    <t>Pset_Set</t>
  </si>
  <si>
    <t>UC_RHST</t>
  </si>
  <si>
    <t>UC_RHST~0</t>
  </si>
  <si>
    <t>NEMS info</t>
  </si>
  <si>
    <t>UCETL-NCAP-_CCT</t>
  </si>
  <si>
    <t>ETL_CT</t>
  </si>
  <si>
    <t>EXC</t>
  </si>
  <si>
    <t xml:space="preserve">Exis Coal        </t>
  </si>
  <si>
    <t>ETL_CC</t>
  </si>
  <si>
    <t>PVC</t>
  </si>
  <si>
    <t xml:space="preserve">Pulv Coal New    </t>
  </si>
  <si>
    <t>UCETL-NCAP-_ACT</t>
  </si>
  <si>
    <t>ETL_AT</t>
  </si>
  <si>
    <t>EXS</t>
  </si>
  <si>
    <t xml:space="preserve">Exis Steam       </t>
  </si>
  <si>
    <t>ETL_AC</t>
  </si>
  <si>
    <t>CCT</t>
  </si>
  <si>
    <t xml:space="preserve">Comb Turbine     </t>
  </si>
  <si>
    <t>ETL_CS</t>
  </si>
  <si>
    <t>ACT</t>
  </si>
  <si>
    <t xml:space="preserve">Comb Turbine Adv </t>
  </si>
  <si>
    <t>ETL_IG</t>
  </si>
  <si>
    <t>SCC</t>
  </si>
  <si>
    <t xml:space="preserve">Steam Comb Cyc   </t>
  </si>
  <si>
    <t>UCETL-NCAP-_SCC</t>
  </si>
  <si>
    <t>GSF</t>
  </si>
  <si>
    <t xml:space="preserve">Gasifier-coal/wd </t>
  </si>
  <si>
    <t>SEQ</t>
  </si>
  <si>
    <t xml:space="preserve">Sequestration    </t>
  </si>
  <si>
    <t>BIG</t>
  </si>
  <si>
    <t xml:space="preserve">Balance - IGCC   </t>
  </si>
  <si>
    <t>BCT</t>
  </si>
  <si>
    <t>Balance - Turbine</t>
  </si>
  <si>
    <t>UCETL-NCAP-_SEQ</t>
  </si>
  <si>
    <t>BCC</t>
  </si>
  <si>
    <t xml:space="preserve">Balance - CC     </t>
  </si>
  <si>
    <t>ETL_IS</t>
  </si>
  <si>
    <t>FLC</t>
  </si>
  <si>
    <t xml:space="preserve">Fuel Cell        </t>
  </si>
  <si>
    <t>UCETL-NCAP-_BCT</t>
  </si>
  <si>
    <t>CNU</t>
  </si>
  <si>
    <t xml:space="preserve">Conv Nuclear     </t>
  </si>
  <si>
    <t>ANU</t>
  </si>
  <si>
    <t xml:space="preserve">Adv Nuclear      </t>
  </si>
  <si>
    <t>UCETL-NCAP-_BCC</t>
  </si>
  <si>
    <t>SMR</t>
  </si>
  <si>
    <t>WDP</t>
  </si>
  <si>
    <t xml:space="preserve">Wood prep - bio  </t>
  </si>
  <si>
    <t>GTH</t>
  </si>
  <si>
    <t xml:space="preserve">Geothermal       </t>
  </si>
  <si>
    <t>UCETL-NCAP-_PVM</t>
  </si>
  <si>
    <t>ETL_PV</t>
  </si>
  <si>
    <t>MSW</t>
  </si>
  <si>
    <t xml:space="preserve">Mun Solid Waste  </t>
  </si>
  <si>
    <t>UCETL-NCAP-_PVB</t>
  </si>
  <si>
    <t>HYD</t>
  </si>
  <si>
    <t xml:space="preserve">Conv Hydro       </t>
  </si>
  <si>
    <t>UCETL-NCAP-_PVC</t>
  </si>
  <si>
    <t>ETL_PC</t>
  </si>
  <si>
    <t>HPS</t>
  </si>
  <si>
    <t xml:space="preserve">Hyd Pump Storage </t>
  </si>
  <si>
    <t>HP2</t>
  </si>
  <si>
    <t xml:space="preserve">Other Storage    </t>
  </si>
  <si>
    <t>ETL_WD</t>
  </si>
  <si>
    <t>WND</t>
  </si>
  <si>
    <t xml:space="preserve">Wind             </t>
  </si>
  <si>
    <t>UCETL-NCAP-_GSF</t>
  </si>
  <si>
    <t>WFS</t>
  </si>
  <si>
    <t xml:space="preserve">Wind Offshore    </t>
  </si>
  <si>
    <t>UCETL-NCAP-_BIG</t>
  </si>
  <si>
    <t>STH</t>
  </si>
  <si>
    <t xml:space="preserve">Solar Thermal    </t>
  </si>
  <si>
    <t>UCETL-NCAP-_WDP</t>
  </si>
  <si>
    <t>PVM</t>
  </si>
  <si>
    <t xml:space="preserve">Solar PV - Mod   </t>
  </si>
  <si>
    <t>UCETL-NCAP-_WND</t>
  </si>
  <si>
    <t>ETL_WN</t>
  </si>
  <si>
    <t>PVB</t>
  </si>
  <si>
    <t xml:space="preserve">Solar PV - BOS   </t>
  </si>
  <si>
    <t>ETL_WF</t>
  </si>
  <si>
    <t>DGB</t>
  </si>
  <si>
    <t xml:space="preserve">Dist Gen - Base  </t>
  </si>
  <si>
    <t>UCETL-NCAP-_WFS</t>
  </si>
  <si>
    <t>DGP</t>
  </si>
  <si>
    <t xml:space="preserve">Dist Gen - Peak  </t>
  </si>
  <si>
    <t>ECoal_E-CC</t>
  </si>
  <si>
    <t>ECoal_N-CC</t>
  </si>
  <si>
    <t>ECoal_N-CS</t>
  </si>
  <si>
    <t>ECoal_N-ST</t>
  </si>
  <si>
    <t>ECoal_E-ST</t>
  </si>
  <si>
    <t>ELEGEO,CHPGEO</t>
  </si>
  <si>
    <t>ELENUC,CHPNUC</t>
  </si>
  <si>
    <t>UCrepWEPS_sucnnu-2</t>
  </si>
  <si>
    <t>CHPNUC</t>
  </si>
  <si>
    <t>CONSUMPTION - Nuclear (trillion btu) CHP plants</t>
  </si>
  <si>
    <t>UCrepWEPS_sucncd-2</t>
  </si>
  <si>
    <t>CHPCRD</t>
  </si>
  <si>
    <t>CONSUMPTION -Crude (trillion btu) CHP plants</t>
  </si>
  <si>
    <t>UCrepWEPS_sucngt-2</t>
  </si>
  <si>
    <t>CONSUMPTION - GEOTHERMAL (trillion btu) CHP plants</t>
  </si>
  <si>
    <t>UCrepWEPS_sucnws-2</t>
  </si>
  <si>
    <t>CHPWAS</t>
  </si>
  <si>
    <t>CONSUMPTION - WASTE (trillion btu) CHP plants</t>
  </si>
  <si>
    <t>UCrepWEPS_sucnnu-3</t>
  </si>
  <si>
    <t>CHPNUC,ELENUC</t>
  </si>
  <si>
    <t>UCrepWEPS_sucncd-3</t>
  </si>
  <si>
    <t>CHPCRD,ELECRD</t>
  </si>
  <si>
    <t>CONSUMPTION - CRUDE(trillion btu) CHP plants</t>
  </si>
  <si>
    <t>UCrepWEPS_sucngt-3</t>
  </si>
  <si>
    <t>CHPGEO,ELEGEO</t>
  </si>
  <si>
    <t>CONSUMPTION - Geo Thermal (trillion btu) CHP plus Elec plants</t>
  </si>
  <si>
    <t>UCrepWEPS_sucnws-3</t>
  </si>
  <si>
    <t>CHPWAS,ELEWAS</t>
  </si>
  <si>
    <t>CONSUMPTION - Waste (trillion btu) CHP plus Elec plants</t>
  </si>
  <si>
    <t>UCrepWEPS_sucpnu-2</t>
  </si>
  <si>
    <t>UCrepWEPS_sucpcd-2</t>
  </si>
  <si>
    <t>UCrepWEPS_sucpgt-2</t>
  </si>
  <si>
    <t>CHPGEO</t>
  </si>
  <si>
    <t>UCrepWEPS_sucpws-2</t>
  </si>
  <si>
    <t>UCrepWEPS_sugnnu-2</t>
  </si>
  <si>
    <t>UCrepWEPS_sugncd-2</t>
  </si>
  <si>
    <t>UCrepWEPS_sugngt-2</t>
  </si>
  <si>
    <t>UCrepWEPS_sugnws-2</t>
  </si>
  <si>
    <t>UCrepWEPS_sucpnu-3</t>
  </si>
  <si>
    <t>UCrepWEPS_sucpcd-3</t>
  </si>
  <si>
    <t>UCrepWEPS_sucpgt-3</t>
  </si>
  <si>
    <t>UCrepWEPS_sucpws-3</t>
  </si>
  <si>
    <t>UCrepWEPS_sugnnu-3</t>
  </si>
  <si>
    <t>UCrepWEPS_sugncd-3</t>
  </si>
  <si>
    <t>UCrepWEPS_sugngt-3</t>
  </si>
  <si>
    <t>UCrepWEPS_sugnws-3</t>
  </si>
  <si>
    <t>\I: UCrepWEPS_sugnstorage_charge_PUMPED_HYDRO</t>
  </si>
  <si>
    <t>\I: UCrepWEPS_sugnstorage_discharge_PUMPED_HYDRO</t>
  </si>
  <si>
    <t>\I: UCrepWEPS_sucpstorage_PUMPED_HYDRO</t>
  </si>
  <si>
    <t>~UC_T: UC_RHSRTS~N</t>
  </si>
  <si>
    <t>timeslice</t>
  </si>
  <si>
    <t>UCrepWEPS_solargen-ts</t>
  </si>
  <si>
    <t>DAYNITE</t>
  </si>
  <si>
    <t>Solar electricity generation by timeslice (Twh)</t>
  </si>
  <si>
    <t>UCrepWEPS_Totelcgen-ts</t>
  </si>
  <si>
    <t>ELE,CHP</t>
  </si>
  <si>
    <t>Total electricity generation by timeslice (Twh)</t>
  </si>
  <si>
    <t>Region</t>
  </si>
  <si>
    <t>UC_IRE-I</t>
  </si>
  <si>
    <t>UC_IRE-E</t>
  </si>
  <si>
    <t>UCrepWEPS_suimports_CSA_BRZ</t>
  </si>
  <si>
    <t>TU_ELC_BRZ-CSA</t>
  </si>
  <si>
    <t>CSA</t>
  </si>
  <si>
    <t>Electricity imports in CSA from BRZ</t>
  </si>
  <si>
    <t>UCrepWEPS_suimports_USA_CAN</t>
  </si>
  <si>
    <t>TU_ELC_CAN-USA</t>
  </si>
  <si>
    <t>USA</t>
  </si>
  <si>
    <t>Electricity imports in USA from CAN</t>
  </si>
  <si>
    <t>UCrepWEPS_suimports_OAS_CHI</t>
  </si>
  <si>
    <t>TU_ELC_CHI-OAS</t>
  </si>
  <si>
    <t>OAS</t>
  </si>
  <si>
    <t>Electricity imports in OAS from CHI</t>
  </si>
  <si>
    <t>UCrepWEPS_suimports_BRZ_CSA</t>
  </si>
  <si>
    <t>TU_ELC_CSA-BRZ</t>
  </si>
  <si>
    <t>BRZ</t>
  </si>
  <si>
    <t>Electricity imports in BRZ from CSA</t>
  </si>
  <si>
    <t>UCrepWEPS_suimports_MXC_CSA</t>
  </si>
  <si>
    <t>TU_ELC_CSA-MXC</t>
  </si>
  <si>
    <t>MXC</t>
  </si>
  <si>
    <t>Electricity imports in MXC from CSA</t>
  </si>
  <si>
    <t>UCrepWEPS_suimports_RUS_EUR</t>
  </si>
  <si>
    <t>TU_ELC_EUR-RUS</t>
  </si>
  <si>
    <t>RUS</t>
  </si>
  <si>
    <t>Electricity imports in RUS from EUR</t>
  </si>
  <si>
    <t>UCrepWEPS_suimports_URA_EUR</t>
  </si>
  <si>
    <t>TU_ELC_EUR-URA</t>
  </si>
  <si>
    <t>URA</t>
  </si>
  <si>
    <t>Electricity imports in URA from EUR</t>
  </si>
  <si>
    <t>UCrepWEPS_suimports_USA_MXC</t>
  </si>
  <si>
    <t>TU_ELC_MXC-USA</t>
  </si>
  <si>
    <t>Electricity imports in USA from MXC</t>
  </si>
  <si>
    <t>UCrepWEPS_suimports_CHI_OAS</t>
  </si>
  <si>
    <t>TU_ELC_OAS-CHI</t>
  </si>
  <si>
    <t>CHI</t>
  </si>
  <si>
    <t>Electricity imports in CHI from OAS</t>
  </si>
  <si>
    <t>UCrepWEPS_suimports_CHI_RUS</t>
  </si>
  <si>
    <t>TU_ELC_RUS-CHI</t>
  </si>
  <si>
    <t>Electricity imports in CHI from RUS</t>
  </si>
  <si>
    <t>UCrepWEPS_suimports_EUR_RUS</t>
  </si>
  <si>
    <t>TU_ELC_RUS-EUR</t>
  </si>
  <si>
    <t>EUR</t>
  </si>
  <si>
    <t>Electricity imports in EUR from RUS</t>
  </si>
  <si>
    <t>UCrepWEPS_suimports_OAS_RUS</t>
  </si>
  <si>
    <t>TU_ELC_RUS-OAS</t>
  </si>
  <si>
    <t>Electricity imports in OAS from RUS</t>
  </si>
  <si>
    <t>UCrepWEPS_suimports_URA_RUS</t>
  </si>
  <si>
    <t>TU_ELC_RUS-URA</t>
  </si>
  <si>
    <t>Electricity imports in URA from RUS</t>
  </si>
  <si>
    <t>UCrepWEPS_suimports_EUR_URA</t>
  </si>
  <si>
    <t>TU_ELC_URA-EUR</t>
  </si>
  <si>
    <t>Electricity imports in EUR from URA</t>
  </si>
  <si>
    <t>UCrepWEPS_suimports_RUS_URA</t>
  </si>
  <si>
    <t>TU_ELC_URA-RUS</t>
  </si>
  <si>
    <t>Electricity imports in RUS from URA</t>
  </si>
  <si>
    <t>UCrepWEPS_suimports_CAN_USA</t>
  </si>
  <si>
    <t>TU_ELC_USA-CAN</t>
  </si>
  <si>
    <t>CAN</t>
  </si>
  <si>
    <t>Electricity imports in CAN from USA</t>
  </si>
  <si>
    <t>UCrepWEPS_suexports_BRZ_CSA</t>
  </si>
  <si>
    <t>Electricity imports from BRZ to CSA</t>
  </si>
  <si>
    <t>UCrepWEPS_suexports_CAN_USA</t>
  </si>
  <si>
    <t>Electricity imports from CAN to USA</t>
  </si>
  <si>
    <t>UCrepWEPS_suexports_CHI_OAS</t>
  </si>
  <si>
    <t>Electricity imports from CHI to OAS</t>
  </si>
  <si>
    <t>UCrepWEPS_suexports_CSA_BRZ</t>
  </si>
  <si>
    <t>Electricity imports from CSA to BRZ</t>
  </si>
  <si>
    <t>UCrepWEPS_suexports_CSA_MXC</t>
  </si>
  <si>
    <t>Electricity imports from CSA to MXC</t>
  </si>
  <si>
    <t>UCrepWEPS_suexports_EUR_RUS</t>
  </si>
  <si>
    <t>Electricity imports from EUR to RUS</t>
  </si>
  <si>
    <t>UCrepWEPS_suexports_EUR_URA</t>
  </si>
  <si>
    <t>Electricity imports from EUR to URA</t>
  </si>
  <si>
    <t>UCrepWEPS_suexports_MXC_USA</t>
  </si>
  <si>
    <t>Electricity imports from MXC to USA</t>
  </si>
  <si>
    <t>UCrepWEPS_suexports_OAS_CHI</t>
  </si>
  <si>
    <t>Electricity imports from OAS to CHI</t>
  </si>
  <si>
    <t>UCrepWEPS_suexports_RUS_CHI</t>
  </si>
  <si>
    <t>Electricity imports from RUS to CHI</t>
  </si>
  <si>
    <t>UCrepWEPS_suexports_RUS_EUR</t>
  </si>
  <si>
    <t>Electricity imports from RUS to EUR</t>
  </si>
  <si>
    <t>UCrepWEPS_suexports_RUS_OAS</t>
  </si>
  <si>
    <t>Electricity imports from RUS to OAS</t>
  </si>
  <si>
    <t>UCrepWEPS_suexports_RUS_URA</t>
  </si>
  <si>
    <t>Electricity imports from RUS to URA</t>
  </si>
  <si>
    <t>UCrepWEPS_suexports_URA_EUR</t>
  </si>
  <si>
    <t>Electricity imports from URA to EUR</t>
  </si>
  <si>
    <t>UCrepWEPS_suexports_URA_RUS</t>
  </si>
  <si>
    <t>Electricity imports from URA to RUS</t>
  </si>
  <si>
    <t>UCrepWEPS_suexports_USA_CAN</t>
  </si>
  <si>
    <t>Electricity imports from USA to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</si>
</sst>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10" fillId="0" borderId="0"/>
  </cellStyleXfs>
  <cellXfs count="18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11" fillId="0" borderId="0" xfId="2" applyFont="1"/>
    <xf numFmtId="0" fontId="9" fillId="0" borderId="0" xfId="0" applyFont="1"/>
    <xf numFmtId="0" fontId="12" fillId="3" borderId="0" xfId="0" applyFont="1" applyFill="1"/>
    <xf numFmtId="0" fontId="12" fillId="5" borderId="0" xfId="0" applyFont="1" applyFill="1"/>
    <xf numFmtId="0" fontId="12" fillId="0" borderId="0" xfId="0" applyFont="1" applyAlignment="1">
      <alignment horizontal="right"/>
    </xf>
    <xf numFmtId="0" fontId="13" fillId="0" borderId="0" xfId="0" applyFont="1"/>
    <xf numFmtId="0" fontId="8" fillId="4" borderId="0" xfId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4" fillId="0" borderId="0" xfId="0" applyFont="1"/>
    <xf numFmtId="2" fontId="0" fillId="0" borderId="0" xfId="0" applyNumberFormat="1"/>
  </cellXfs>
  <cellStyles count="3">
    <cellStyle name="Good" xfId="1" builtinId="26"/>
    <cellStyle name="Normal" xfId="0" builtinId="0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9" sqref="A9"/>
    </sheetView>
  </sheetViews>
  <sheetFormatPr defaultColWidth="11.42578125" defaultRowHeight="15" x14ac:dyDescent="0.25"/>
  <sheetData>
    <row r="1" spans="1:1" x14ac:dyDescent="0.25">
      <c r="A1" s="3" t="s">
        <v>261</v>
      </c>
    </row>
    <row r="2" spans="1:1" x14ac:dyDescent="0.25">
      <c r="A2" s="4" t="s">
        <v>265</v>
      </c>
    </row>
    <row r="3" spans="1:1" x14ac:dyDescent="0.25">
      <c r="A3" s="4"/>
    </row>
    <row r="4" spans="1:1" x14ac:dyDescent="0.25">
      <c r="A4" s="3" t="s">
        <v>262</v>
      </c>
    </row>
    <row r="5" spans="1:1" x14ac:dyDescent="0.25">
      <c r="A5" s="4" t="s">
        <v>266</v>
      </c>
    </row>
    <row r="6" spans="1:1" x14ac:dyDescent="0.25">
      <c r="A6" s="4"/>
    </row>
    <row r="7" spans="1:1" x14ac:dyDescent="0.25">
      <c r="A7" s="3" t="s">
        <v>263</v>
      </c>
    </row>
    <row r="8" spans="1:1" x14ac:dyDescent="0.25">
      <c r="A8" s="4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9"/>
  <sheetViews>
    <sheetView workbookViewId="0">
      <pane xSplit="2" ySplit="3" topLeftCell="C127" activePane="bottomRight" state="frozen"/>
      <selection pane="topRight" activeCell="C1" sqref="C1"/>
      <selection pane="bottomLeft" activeCell="A4" sqref="A4"/>
      <selection pane="bottomRight" activeCell="B149" sqref="B149:B153"/>
    </sheetView>
  </sheetViews>
  <sheetFormatPr defaultColWidth="8.85546875" defaultRowHeight="15" x14ac:dyDescent="0.25"/>
  <cols>
    <col min="1" max="1" width="33.28515625" customWidth="1"/>
    <col min="2" max="2" width="15.85546875" bestFit="1" customWidth="1"/>
    <col min="3" max="3" width="27.42578125" bestFit="1" customWidth="1"/>
    <col min="4" max="4" width="9" bestFit="1" customWidth="1"/>
    <col min="6" max="6" width="7.85546875" bestFit="1" customWidth="1"/>
    <col min="7" max="7" width="10.42578125" bestFit="1" customWidth="1"/>
    <col min="8" max="8" width="9.28515625" customWidth="1"/>
    <col min="9" max="9" width="8" bestFit="1" customWidth="1"/>
    <col min="10" max="10" width="7.85546875" bestFit="1" customWidth="1"/>
    <col min="11" max="11" width="9.42578125" bestFit="1" customWidth="1"/>
    <col min="12" max="12" width="5" bestFit="1" customWidth="1"/>
    <col min="13" max="13" width="2" bestFit="1" customWidth="1"/>
    <col min="14" max="14" width="57.42578125" bestFit="1" customWidth="1"/>
    <col min="16" max="16" width="18.85546875" bestFit="1" customWidth="1"/>
    <col min="19" max="19" width="12.7109375" bestFit="1" customWidth="1"/>
    <col min="20" max="20" width="21.7109375" bestFit="1" customWidth="1"/>
    <col min="21" max="21" width="18.85546875" bestFit="1" customWidth="1"/>
    <col min="22" max="22" width="26.42578125" bestFit="1" customWidth="1"/>
    <col min="23" max="23" width="24.42578125" bestFit="1" customWidth="1"/>
    <col min="24" max="24" width="34.42578125" bestFit="1" customWidth="1"/>
  </cols>
  <sheetData>
    <row r="1" spans="1:24" x14ac:dyDescent="0.25">
      <c r="A1" t="s">
        <v>118</v>
      </c>
    </row>
    <row r="2" spans="1:24" x14ac:dyDescent="0.25">
      <c r="G2" t="s">
        <v>117</v>
      </c>
    </row>
    <row r="3" spans="1:24" x14ac:dyDescent="0.25">
      <c r="A3" t="s">
        <v>106</v>
      </c>
      <c r="B3" t="s">
        <v>107</v>
      </c>
      <c r="C3" t="s">
        <v>215</v>
      </c>
      <c r="D3" t="s">
        <v>108</v>
      </c>
      <c r="E3" t="s">
        <v>110</v>
      </c>
      <c r="F3" t="s">
        <v>209</v>
      </c>
      <c r="G3" t="s">
        <v>111</v>
      </c>
      <c r="H3" t="s">
        <v>109</v>
      </c>
      <c r="I3" t="s">
        <v>115</v>
      </c>
      <c r="J3" t="s">
        <v>116</v>
      </c>
      <c r="K3" t="s">
        <v>149</v>
      </c>
      <c r="L3">
        <v>2015</v>
      </c>
      <c r="M3">
        <v>0</v>
      </c>
      <c r="N3" t="s">
        <v>119</v>
      </c>
      <c r="R3" t="s">
        <v>155</v>
      </c>
    </row>
    <row r="4" spans="1:24" x14ac:dyDescent="0.25">
      <c r="A4" s="1" t="str">
        <f>IF(B4=0,"\I:","UCrepWEPS_"&amp;S4)</f>
        <v>UCrepWEPS_ecclpg</v>
      </c>
      <c r="B4" s="1" t="str">
        <f>VLOOKUP(U4,$P$19:$Q$33,2,FALSE)</f>
        <v>ELECOA,CHPCOA</v>
      </c>
      <c r="C4" s="1"/>
      <c r="D4" s="1" t="s">
        <v>112</v>
      </c>
      <c r="E4" s="1"/>
      <c r="F4" s="1"/>
      <c r="G4" s="1"/>
      <c r="H4" s="1">
        <v>1E-3</v>
      </c>
      <c r="I4" s="1"/>
      <c r="J4" s="1"/>
      <c r="K4" s="1"/>
      <c r="L4" s="1">
        <v>0</v>
      </c>
      <c r="M4" s="1">
        <v>3</v>
      </c>
      <c r="N4" s="1" t="str">
        <f>W4&amp;" - "&amp;U4&amp;" ("&amp;X4&amp;")"</f>
        <v>CO2_EMISSIONS - COAL (million metric tons of carbon dioxide)</v>
      </c>
      <c r="P4" t="s">
        <v>17</v>
      </c>
      <c r="Q4" t="s">
        <v>95</v>
      </c>
      <c r="S4" t="s">
        <v>0</v>
      </c>
      <c r="T4" t="s">
        <v>1</v>
      </c>
      <c r="U4" t="s">
        <v>2</v>
      </c>
      <c r="V4" t="s">
        <v>3</v>
      </c>
      <c r="W4" t="s">
        <v>4</v>
      </c>
      <c r="X4" t="s">
        <v>5</v>
      </c>
    </row>
    <row r="5" spans="1:24" x14ac:dyDescent="0.25">
      <c r="A5" s="1" t="str">
        <f t="shared" ref="A5:A16" si="0">IF(B5=0,"\I:","UCrepWEPS_"&amp;S5)</f>
        <v>UCrepWEPS_ecngpg</v>
      </c>
      <c r="B5" s="1" t="str">
        <f t="shared" ref="B5:B12" si="1">VLOOKUP(U5,$P$19:$Q$33,2,FALSE)</f>
        <v>ELEGAS,CHPGAS</v>
      </c>
      <c r="C5" s="1"/>
      <c r="D5" s="1" t="s">
        <v>112</v>
      </c>
      <c r="E5" s="1"/>
      <c r="F5" s="1"/>
      <c r="G5" s="1"/>
      <c r="H5" s="1">
        <v>1E-3</v>
      </c>
      <c r="I5" s="1"/>
      <c r="J5" s="1"/>
      <c r="K5" s="1"/>
      <c r="L5" s="1">
        <v>0</v>
      </c>
      <c r="M5" s="1">
        <v>3</v>
      </c>
      <c r="N5" s="1" t="str">
        <f t="shared" ref="N5:N55" si="2">W5&amp;" - "&amp;U5&amp;" ("&amp;X5&amp;")"</f>
        <v>CO2_EMISSIONS - NATURAL_GAS (million metric tons of carbon dioxide)</v>
      </c>
      <c r="P5" t="s">
        <v>2</v>
      </c>
      <c r="Q5" t="s">
        <v>96</v>
      </c>
      <c r="S5" t="s">
        <v>6</v>
      </c>
      <c r="T5" t="s">
        <v>1</v>
      </c>
      <c r="U5" t="s">
        <v>7</v>
      </c>
      <c r="V5" t="s">
        <v>3</v>
      </c>
      <c r="W5" t="s">
        <v>4</v>
      </c>
      <c r="X5" t="s">
        <v>5</v>
      </c>
    </row>
    <row r="6" spans="1:24" x14ac:dyDescent="0.25">
      <c r="A6" s="1" t="str">
        <f t="shared" si="0"/>
        <v>UCrepWEPS_ecnupg</v>
      </c>
      <c r="B6" s="1" t="str">
        <f t="shared" si="1"/>
        <v>ELENUC,CHPNUC</v>
      </c>
      <c r="C6" s="1"/>
      <c r="D6" s="1" t="s">
        <v>112</v>
      </c>
      <c r="E6" s="1"/>
      <c r="F6" s="1"/>
      <c r="G6" s="1"/>
      <c r="H6" s="1">
        <v>1E-3</v>
      </c>
      <c r="I6" s="1"/>
      <c r="J6" s="1"/>
      <c r="K6" s="1"/>
      <c r="L6" s="1">
        <v>0</v>
      </c>
      <c r="M6" s="1">
        <v>3</v>
      </c>
      <c r="N6" s="1" t="str">
        <f t="shared" si="2"/>
        <v>CO2_EMISSIONS - NUCLEAR (million metric tons of carbon dioxide)</v>
      </c>
      <c r="P6" t="s">
        <v>11</v>
      </c>
      <c r="Q6" t="s">
        <v>207</v>
      </c>
      <c r="S6" t="s">
        <v>8</v>
      </c>
      <c r="T6" t="s">
        <v>1</v>
      </c>
      <c r="U6" t="s">
        <v>9</v>
      </c>
      <c r="V6" t="s">
        <v>3</v>
      </c>
      <c r="W6" t="s">
        <v>4</v>
      </c>
      <c r="X6" t="s">
        <v>5</v>
      </c>
    </row>
    <row r="7" spans="1:24" x14ac:dyDescent="0.25">
      <c r="A7" s="1" t="str">
        <f t="shared" si="0"/>
        <v>UCrepWEPS_eccdpg</v>
      </c>
      <c r="B7" s="1" t="str">
        <f t="shared" si="1"/>
        <v>ELECRD,CHPCRD</v>
      </c>
      <c r="C7" s="1"/>
      <c r="D7" s="1" t="s">
        <v>112</v>
      </c>
      <c r="E7" s="1"/>
      <c r="F7" s="1"/>
      <c r="G7" s="1"/>
      <c r="H7" s="1">
        <v>1E-3</v>
      </c>
      <c r="I7" s="1"/>
      <c r="J7" s="1"/>
      <c r="K7" s="1"/>
      <c r="L7" s="1">
        <v>0</v>
      </c>
      <c r="M7" s="1">
        <v>3</v>
      </c>
      <c r="N7" s="1" t="str">
        <f t="shared" si="2"/>
        <v>CO2_EMISSIONS - CRUDE_OIL (million metric tons of carbon dioxide)</v>
      </c>
      <c r="P7" t="s">
        <v>13</v>
      </c>
      <c r="Q7" t="s">
        <v>105</v>
      </c>
      <c r="S7" t="s">
        <v>10</v>
      </c>
      <c r="T7" t="s">
        <v>1</v>
      </c>
      <c r="U7" t="s">
        <v>11</v>
      </c>
      <c r="V7" t="s">
        <v>3</v>
      </c>
      <c r="W7" t="s">
        <v>4</v>
      </c>
      <c r="X7" t="s">
        <v>5</v>
      </c>
    </row>
    <row r="8" spans="1:24" x14ac:dyDescent="0.25">
      <c r="A8" s="1" t="str">
        <f t="shared" si="0"/>
        <v>UCrepWEPS_ecdspg</v>
      </c>
      <c r="B8" s="1" t="str">
        <f t="shared" si="1"/>
        <v>ELEDST,CHPDST</v>
      </c>
      <c r="C8" s="1"/>
      <c r="D8" s="1" t="s">
        <v>112</v>
      </c>
      <c r="E8" s="1"/>
      <c r="F8" s="1"/>
      <c r="G8" s="1"/>
      <c r="H8" s="1">
        <v>1E-3</v>
      </c>
      <c r="I8" s="1"/>
      <c r="J8" s="1"/>
      <c r="K8" s="1"/>
      <c r="L8" s="1">
        <v>0</v>
      </c>
      <c r="M8" s="1">
        <v>3</v>
      </c>
      <c r="N8" s="1" t="str">
        <f t="shared" si="2"/>
        <v>CO2_EMISSIONS - DISTILLATE (million metric tons of carbon dioxide)</v>
      </c>
      <c r="P8" t="s">
        <v>19</v>
      </c>
      <c r="Q8" t="s">
        <v>98</v>
      </c>
      <c r="S8" t="s">
        <v>12</v>
      </c>
      <c r="T8" t="s">
        <v>1</v>
      </c>
      <c r="U8" t="s">
        <v>13</v>
      </c>
      <c r="V8" t="s">
        <v>3</v>
      </c>
      <c r="W8" t="s">
        <v>4</v>
      </c>
      <c r="X8" t="s">
        <v>5</v>
      </c>
    </row>
    <row r="9" spans="1:24" x14ac:dyDescent="0.25">
      <c r="A9" s="1" t="str">
        <f t="shared" si="0"/>
        <v>UCrepWEPS_ecrspg</v>
      </c>
      <c r="B9" s="1" t="str">
        <f t="shared" si="1"/>
        <v>ELEOIL,CHPOIL</v>
      </c>
      <c r="C9" s="1"/>
      <c r="D9" s="1" t="s">
        <v>112</v>
      </c>
      <c r="E9" s="1"/>
      <c r="F9" s="1"/>
      <c r="G9" s="1"/>
      <c r="H9" s="1">
        <v>1E-3</v>
      </c>
      <c r="I9" s="1"/>
      <c r="J9" s="1"/>
      <c r="K9" s="1"/>
      <c r="L9" s="1">
        <v>0</v>
      </c>
      <c r="M9" s="1">
        <v>3</v>
      </c>
      <c r="N9" s="1" t="str">
        <f t="shared" si="2"/>
        <v>CO2_EMISSIONS - RESIDUAL (million metric tons of carbon dioxide)</v>
      </c>
      <c r="P9" t="s">
        <v>21</v>
      </c>
      <c r="Q9" t="s">
        <v>99</v>
      </c>
      <c r="S9" t="s">
        <v>14</v>
      </c>
      <c r="T9" t="s">
        <v>1</v>
      </c>
      <c r="U9" t="s">
        <v>15</v>
      </c>
      <c r="V9" t="s">
        <v>3</v>
      </c>
      <c r="W9" t="s">
        <v>4</v>
      </c>
      <c r="X9" t="s">
        <v>5</v>
      </c>
    </row>
    <row r="10" spans="1:24" x14ac:dyDescent="0.25">
      <c r="A10" s="1" t="str">
        <f t="shared" si="0"/>
        <v>UCrepWEPS_ecbmpg</v>
      </c>
      <c r="B10" s="1" t="str">
        <f t="shared" si="1"/>
        <v>ELEBIO,CHPBIO</v>
      </c>
      <c r="C10" s="1"/>
      <c r="D10" s="1" t="s">
        <v>112</v>
      </c>
      <c r="E10" s="1"/>
      <c r="F10" s="1"/>
      <c r="G10" s="1"/>
      <c r="H10" s="1">
        <v>1E-3</v>
      </c>
      <c r="I10" s="1"/>
      <c r="J10" s="1"/>
      <c r="K10" s="1"/>
      <c r="L10" s="1">
        <v>0</v>
      </c>
      <c r="M10" s="1">
        <v>3</v>
      </c>
      <c r="N10" s="1" t="str">
        <f t="shared" si="2"/>
        <v>CO2_EMISSIONS - BIOMASS (million metric tons of carbon dioxide)</v>
      </c>
      <c r="P10" t="s">
        <v>7</v>
      </c>
      <c r="Q10" t="s">
        <v>97</v>
      </c>
      <c r="S10" t="s">
        <v>16</v>
      </c>
      <c r="T10" t="s">
        <v>1</v>
      </c>
      <c r="U10" t="s">
        <v>17</v>
      </c>
      <c r="V10" t="s">
        <v>3</v>
      </c>
      <c r="W10" t="s">
        <v>4</v>
      </c>
      <c r="X10" t="s">
        <v>5</v>
      </c>
    </row>
    <row r="11" spans="1:24" x14ac:dyDescent="0.25">
      <c r="A11" s="1" t="str">
        <f t="shared" si="0"/>
        <v>UCrepWEPS_ecgtpg</v>
      </c>
      <c r="B11" s="1" t="str">
        <f t="shared" si="1"/>
        <v>ELEGEO,CHPGEO</v>
      </c>
      <c r="C11" s="1"/>
      <c r="D11" s="1" t="s">
        <v>112</v>
      </c>
      <c r="E11" s="1"/>
      <c r="F11" s="1"/>
      <c r="G11" s="1"/>
      <c r="H11" s="1">
        <v>1E-3</v>
      </c>
      <c r="I11" s="1"/>
      <c r="J11" s="1"/>
      <c r="K11" s="1"/>
      <c r="L11" s="1">
        <v>0</v>
      </c>
      <c r="M11" s="1">
        <v>3</v>
      </c>
      <c r="N11" s="1" t="str">
        <f t="shared" si="2"/>
        <v>CO2_EMISSIONS - GEOTHERMAL (million metric tons of carbon dioxide)</v>
      </c>
      <c r="P11" t="s">
        <v>9</v>
      </c>
      <c r="Q11" t="s">
        <v>100</v>
      </c>
      <c r="S11" t="s">
        <v>18</v>
      </c>
      <c r="T11" t="s">
        <v>1</v>
      </c>
      <c r="U11" t="s">
        <v>19</v>
      </c>
      <c r="V11" t="s">
        <v>3</v>
      </c>
      <c r="W11" t="s">
        <v>4</v>
      </c>
      <c r="X11" t="s">
        <v>5</v>
      </c>
    </row>
    <row r="12" spans="1:24" x14ac:dyDescent="0.25">
      <c r="A12" s="1" t="str">
        <f t="shared" si="0"/>
        <v>UCrepWEPS_echepg</v>
      </c>
      <c r="B12" s="1" t="str">
        <f t="shared" si="1"/>
        <v>ELEHYD</v>
      </c>
      <c r="C12" s="1"/>
      <c r="D12" s="1" t="s">
        <v>112</v>
      </c>
      <c r="E12" s="1"/>
      <c r="F12" s="1"/>
      <c r="G12" s="1"/>
      <c r="H12" s="1">
        <v>1E-3</v>
      </c>
      <c r="I12" s="1"/>
      <c r="J12" s="1"/>
      <c r="K12" s="1"/>
      <c r="L12" s="1">
        <v>0</v>
      </c>
      <c r="M12" s="1">
        <v>3</v>
      </c>
      <c r="N12" s="1" t="str">
        <f t="shared" si="2"/>
        <v>CO2_EMISSIONS - HYDRO (million metric tons of carbon dioxide)</v>
      </c>
      <c r="P12" t="s">
        <v>23</v>
      </c>
      <c r="S12" t="s">
        <v>20</v>
      </c>
      <c r="T12" t="s">
        <v>1</v>
      </c>
      <c r="U12" t="s">
        <v>21</v>
      </c>
      <c r="V12" t="s">
        <v>3</v>
      </c>
      <c r="W12" t="s">
        <v>4</v>
      </c>
      <c r="X12" t="s">
        <v>5</v>
      </c>
    </row>
    <row r="13" spans="1:24" x14ac:dyDescent="0.25">
      <c r="A13" s="1" t="str">
        <f t="shared" si="0"/>
        <v>\I:</v>
      </c>
      <c r="B13" s="1">
        <f t="shared" ref="B13:B55" si="3">VLOOKUP(U13,$P$4:$Q$18,2,FALSE)</f>
        <v>0</v>
      </c>
      <c r="C13" s="1"/>
      <c r="D13" s="1" t="s">
        <v>112</v>
      </c>
      <c r="E13" s="1"/>
      <c r="F13" s="1"/>
      <c r="G13" s="1"/>
      <c r="H13" s="1">
        <v>1E-3</v>
      </c>
      <c r="I13" s="1"/>
      <c r="J13" s="1"/>
      <c r="K13" s="1"/>
      <c r="L13" s="1">
        <v>0</v>
      </c>
      <c r="M13" s="1">
        <v>3</v>
      </c>
      <c r="N13" s="1" t="str">
        <f t="shared" si="2"/>
        <v>CO2_EMISSIONS - RENEWABLE_OTHER (million metric tons of carbon dioxide)</v>
      </c>
      <c r="P13" t="s">
        <v>15</v>
      </c>
      <c r="Q13" t="s">
        <v>101</v>
      </c>
      <c r="S13" t="s">
        <v>22</v>
      </c>
      <c r="T13" t="s">
        <v>1</v>
      </c>
      <c r="U13" t="s">
        <v>23</v>
      </c>
      <c r="V13" t="s">
        <v>3</v>
      </c>
      <c r="W13" t="s">
        <v>4</v>
      </c>
      <c r="X13" t="s">
        <v>5</v>
      </c>
    </row>
    <row r="14" spans="1:24" x14ac:dyDescent="0.25">
      <c r="A14" s="1" t="str">
        <f t="shared" si="0"/>
        <v>UCrepWEPS_ecslpg</v>
      </c>
      <c r="B14" s="1" t="str">
        <f t="shared" ref="B14:B16" si="4">VLOOKUP(U14,$P$19:$Q$33,2,FALSE)</f>
        <v>ELESOL</v>
      </c>
      <c r="C14" s="1"/>
      <c r="D14" s="1" t="s">
        <v>112</v>
      </c>
      <c r="E14" s="1"/>
      <c r="F14" s="1"/>
      <c r="G14" s="1"/>
      <c r="H14" s="1">
        <v>1E-3</v>
      </c>
      <c r="I14" s="1"/>
      <c r="J14" s="1"/>
      <c r="K14" s="1"/>
      <c r="L14" s="1">
        <v>0</v>
      </c>
      <c r="M14" s="1">
        <v>3</v>
      </c>
      <c r="N14" s="1" t="str">
        <f t="shared" si="2"/>
        <v>CO2_EMISSIONS - SOLAR (million metric tons of carbon dioxide)</v>
      </c>
      <c r="P14" t="s">
        <v>25</v>
      </c>
      <c r="Q14" t="s">
        <v>102</v>
      </c>
      <c r="S14" t="s">
        <v>24</v>
      </c>
      <c r="T14" t="s">
        <v>1</v>
      </c>
      <c r="U14" t="s">
        <v>25</v>
      </c>
      <c r="V14" t="s">
        <v>3</v>
      </c>
      <c r="W14" t="s">
        <v>4</v>
      </c>
      <c r="X14" t="s">
        <v>5</v>
      </c>
    </row>
    <row r="15" spans="1:24" x14ac:dyDescent="0.25">
      <c r="A15" s="1" t="str">
        <f t="shared" si="0"/>
        <v>UCrepWEPS_ecwspg</v>
      </c>
      <c r="B15" s="1" t="str">
        <f t="shared" si="4"/>
        <v>ELEWAS,CHPWAS</v>
      </c>
      <c r="C15" s="1"/>
      <c r="D15" s="1" t="s">
        <v>112</v>
      </c>
      <c r="E15" s="1"/>
      <c r="F15" s="1"/>
      <c r="G15" s="1"/>
      <c r="H15" s="1">
        <v>1E-3</v>
      </c>
      <c r="I15" s="1"/>
      <c r="J15" s="1"/>
      <c r="K15" s="1"/>
      <c r="L15" s="1">
        <v>0</v>
      </c>
      <c r="M15" s="1">
        <v>3</v>
      </c>
      <c r="N15" s="1" t="str">
        <f t="shared" si="2"/>
        <v>CO2_EMISSIONS - WASTE (million metric tons of carbon dioxide)</v>
      </c>
      <c r="P15" t="s">
        <v>27</v>
      </c>
      <c r="Q15" t="s">
        <v>103</v>
      </c>
      <c r="S15" t="s">
        <v>26</v>
      </c>
      <c r="T15" t="s">
        <v>1</v>
      </c>
      <c r="U15" t="s">
        <v>27</v>
      </c>
      <c r="V15" t="s">
        <v>3</v>
      </c>
      <c r="W15" t="s">
        <v>4</v>
      </c>
      <c r="X15" t="s">
        <v>5</v>
      </c>
    </row>
    <row r="16" spans="1:24" x14ac:dyDescent="0.25">
      <c r="A16" s="1" t="str">
        <f t="shared" si="0"/>
        <v>UCrepWEPS_ecwnpg</v>
      </c>
      <c r="B16" s="1" t="str">
        <f t="shared" si="4"/>
        <v>ELEWIN</v>
      </c>
      <c r="C16" s="1"/>
      <c r="D16" s="1" t="s">
        <v>112</v>
      </c>
      <c r="E16" s="1"/>
      <c r="F16" s="1"/>
      <c r="G16" s="1"/>
      <c r="H16" s="1">
        <v>1E-3</v>
      </c>
      <c r="I16" s="1"/>
      <c r="J16" s="1"/>
      <c r="K16" s="1"/>
      <c r="L16" s="1">
        <v>0</v>
      </c>
      <c r="M16" s="1">
        <v>3</v>
      </c>
      <c r="N16" s="1" t="str">
        <f t="shared" si="2"/>
        <v>CO2_EMISSIONS - WIND (million metric tons of carbon dioxide)</v>
      </c>
      <c r="P16" t="s">
        <v>29</v>
      </c>
      <c r="Q16" t="s">
        <v>104</v>
      </c>
      <c r="S16" t="s">
        <v>28</v>
      </c>
      <c r="T16" t="s">
        <v>1</v>
      </c>
      <c r="U16" t="s">
        <v>29</v>
      </c>
      <c r="V16" t="s">
        <v>3</v>
      </c>
      <c r="W16" t="s">
        <v>4</v>
      </c>
      <c r="X16" t="s">
        <v>5</v>
      </c>
    </row>
    <row r="17" spans="1:24" x14ac:dyDescent="0.25">
      <c r="A17" s="13" t="str">
        <f>IF(B17=0,"\I:","UCrepWEPS_"&amp;S17)&amp;IF(R17&gt;0,"-"&amp;R17,"")</f>
        <v>UCrepWEPS_sucncl-1</v>
      </c>
      <c r="B17" t="str">
        <f t="shared" si="3"/>
        <v>ELECOA</v>
      </c>
      <c r="E17" t="s">
        <v>113</v>
      </c>
      <c r="G17" t="s">
        <v>114</v>
      </c>
      <c r="H17">
        <v>1</v>
      </c>
      <c r="L17">
        <v>0</v>
      </c>
      <c r="M17">
        <v>3</v>
      </c>
      <c r="N17" t="str">
        <f>W17&amp;" - "&amp;U17&amp;" ("&amp;X17&amp;") Elec plants"</f>
        <v>CONSUMPTION - COAL (trillion btu) Elec plants</v>
      </c>
      <c r="R17">
        <v>1</v>
      </c>
      <c r="S17" t="s">
        <v>30</v>
      </c>
      <c r="T17" t="s">
        <v>31</v>
      </c>
      <c r="U17" t="s">
        <v>2</v>
      </c>
      <c r="V17" t="s">
        <v>3</v>
      </c>
      <c r="W17" t="s">
        <v>32</v>
      </c>
      <c r="X17" t="s">
        <v>33</v>
      </c>
    </row>
    <row r="18" spans="1:24" x14ac:dyDescent="0.25">
      <c r="A18" s="13" t="str">
        <f t="shared" ref="A18:A55" si="5">IF(B18=0,"\I:","UCrepWEPS_"&amp;S18)&amp;IF(R18&gt;0,"-"&amp;R18,"")</f>
        <v>UCrepWEPS_sucnng-1</v>
      </c>
      <c r="B18" t="str">
        <f>VLOOKUP(U18,$P$4:$Q$18,2,FALSE)</f>
        <v>ELEGAS</v>
      </c>
      <c r="E18" t="s">
        <v>113</v>
      </c>
      <c r="G18" t="s">
        <v>114</v>
      </c>
      <c r="H18">
        <v>1</v>
      </c>
      <c r="L18">
        <v>0</v>
      </c>
      <c r="M18">
        <v>3</v>
      </c>
      <c r="N18" t="str">
        <f>W18&amp;" - "&amp;U18&amp;" ("&amp;X18&amp;") Elec plants"</f>
        <v>CONSUMPTION - NATURAL_GAS (trillion btu) Elec plants</v>
      </c>
      <c r="P18" t="s">
        <v>150</v>
      </c>
      <c r="R18">
        <v>1</v>
      </c>
      <c r="S18" t="s">
        <v>34</v>
      </c>
      <c r="T18" t="s">
        <v>31</v>
      </c>
      <c r="U18" t="s">
        <v>7</v>
      </c>
      <c r="V18" t="s">
        <v>3</v>
      </c>
      <c r="W18" t="s">
        <v>32</v>
      </c>
      <c r="X18" t="s">
        <v>33</v>
      </c>
    </row>
    <row r="19" spans="1:24" x14ac:dyDescent="0.25">
      <c r="A19" s="13" t="str">
        <f t="shared" si="5"/>
        <v>UCrepWEPS_sucnnu-1</v>
      </c>
      <c r="B19" t="str">
        <f t="shared" si="3"/>
        <v>ELENUC</v>
      </c>
      <c r="E19" t="s">
        <v>113</v>
      </c>
      <c r="G19" t="s">
        <v>114</v>
      </c>
      <c r="H19">
        <v>1</v>
      </c>
      <c r="L19">
        <v>0</v>
      </c>
      <c r="M19">
        <v>3</v>
      </c>
      <c r="N19" t="str">
        <f t="shared" si="2"/>
        <v>CONSUMPTION - NUCLEAR (trillion btu)</v>
      </c>
      <c r="P19" t="s">
        <v>17</v>
      </c>
      <c r="Q19" t="s">
        <v>260</v>
      </c>
      <c r="R19">
        <v>1</v>
      </c>
      <c r="S19" t="s">
        <v>35</v>
      </c>
      <c r="T19" t="s">
        <v>31</v>
      </c>
      <c r="U19" t="s">
        <v>9</v>
      </c>
      <c r="V19" t="s">
        <v>3</v>
      </c>
      <c r="W19" t="s">
        <v>32</v>
      </c>
      <c r="X19" t="s">
        <v>33</v>
      </c>
    </row>
    <row r="20" spans="1:24" x14ac:dyDescent="0.25">
      <c r="A20" s="13" t="str">
        <f t="shared" si="5"/>
        <v>UCrepWEPS_sucncd-1</v>
      </c>
      <c r="B20" t="str">
        <f t="shared" si="3"/>
        <v>ELECRD</v>
      </c>
      <c r="E20" t="s">
        <v>113</v>
      </c>
      <c r="G20" t="s">
        <v>114</v>
      </c>
      <c r="H20">
        <v>1</v>
      </c>
      <c r="L20">
        <v>0</v>
      </c>
      <c r="M20">
        <v>3</v>
      </c>
      <c r="N20" t="str">
        <f t="shared" si="2"/>
        <v>CONSUMPTION - CRUDE_OIL (trillion btu)</v>
      </c>
      <c r="P20" t="s">
        <v>2</v>
      </c>
      <c r="Q20" t="s">
        <v>151</v>
      </c>
      <c r="R20">
        <v>1</v>
      </c>
      <c r="S20" t="s">
        <v>36</v>
      </c>
      <c r="T20" t="s">
        <v>31</v>
      </c>
      <c r="U20" t="s">
        <v>11</v>
      </c>
      <c r="V20" t="s">
        <v>3</v>
      </c>
      <c r="W20" t="s">
        <v>32</v>
      </c>
      <c r="X20" t="s">
        <v>33</v>
      </c>
    </row>
    <row r="21" spans="1:24" x14ac:dyDescent="0.25">
      <c r="A21" s="13" t="str">
        <f t="shared" si="5"/>
        <v>UCrepWEPS_sucnds-1</v>
      </c>
      <c r="B21" t="str">
        <f t="shared" si="3"/>
        <v>ELEDST</v>
      </c>
      <c r="E21" t="s">
        <v>113</v>
      </c>
      <c r="G21" t="s">
        <v>114</v>
      </c>
      <c r="H21">
        <v>1</v>
      </c>
      <c r="L21">
        <v>0</v>
      </c>
      <c r="M21">
        <v>3</v>
      </c>
      <c r="N21" t="str">
        <f>W21&amp;" - "&amp;U21&amp;" ("&amp;X21&amp;") Elec plants"</f>
        <v>CONSUMPTION - DISTILLATE (trillion btu) Elec plants</v>
      </c>
      <c r="P21" t="s">
        <v>11</v>
      </c>
      <c r="Q21" t="s">
        <v>208</v>
      </c>
      <c r="R21">
        <v>1</v>
      </c>
      <c r="S21" t="s">
        <v>37</v>
      </c>
      <c r="T21" t="s">
        <v>31</v>
      </c>
      <c r="U21" t="s">
        <v>13</v>
      </c>
      <c r="V21" t="s">
        <v>3</v>
      </c>
      <c r="W21" t="s">
        <v>32</v>
      </c>
      <c r="X21" t="s">
        <v>33</v>
      </c>
    </row>
    <row r="22" spans="1:24" x14ac:dyDescent="0.25">
      <c r="A22" s="13" t="str">
        <f t="shared" si="5"/>
        <v>UCrepWEPS_sucnrs-1</v>
      </c>
      <c r="B22" t="str">
        <f t="shared" si="3"/>
        <v>ELEOIL</v>
      </c>
      <c r="E22" t="s">
        <v>113</v>
      </c>
      <c r="G22" t="s">
        <v>114</v>
      </c>
      <c r="H22">
        <v>1</v>
      </c>
      <c r="L22">
        <v>0</v>
      </c>
      <c r="M22">
        <v>3</v>
      </c>
      <c r="N22" t="str">
        <f>W22&amp;" - "&amp;U22&amp;" ("&amp;X22&amp;") Elec plants"</f>
        <v>CONSUMPTION - RESIDUAL (trillion btu) Elec plants</v>
      </c>
      <c r="P22" t="s">
        <v>13</v>
      </c>
      <c r="Q22" t="s">
        <v>152</v>
      </c>
      <c r="R22">
        <v>1</v>
      </c>
      <c r="S22" t="s">
        <v>38</v>
      </c>
      <c r="T22" t="s">
        <v>31</v>
      </c>
      <c r="U22" t="s">
        <v>15</v>
      </c>
      <c r="V22" t="s">
        <v>3</v>
      </c>
      <c r="W22" t="s">
        <v>32</v>
      </c>
      <c r="X22" t="s">
        <v>33</v>
      </c>
    </row>
    <row r="23" spans="1:24" x14ac:dyDescent="0.25">
      <c r="A23" s="13" t="str">
        <f t="shared" si="5"/>
        <v>UCrepWEPS_sucnbm-1</v>
      </c>
      <c r="B23" t="str">
        <f>VLOOKUP(U23,$P$4:$Q$18,2,FALSE)</f>
        <v>ELEBIO</v>
      </c>
      <c r="E23" t="s">
        <v>113</v>
      </c>
      <c r="G23" t="s">
        <v>114</v>
      </c>
      <c r="H23">
        <v>1</v>
      </c>
      <c r="L23">
        <v>0</v>
      </c>
      <c r="M23">
        <v>3</v>
      </c>
      <c r="N23" t="str">
        <f t="shared" si="2"/>
        <v>CONSUMPTION - BIOMASS (trillion btu)</v>
      </c>
      <c r="P23" t="s">
        <v>19</v>
      </c>
      <c r="Q23" t="s">
        <v>373</v>
      </c>
      <c r="R23">
        <v>1</v>
      </c>
      <c r="S23" t="s">
        <v>39</v>
      </c>
      <c r="T23" t="s">
        <v>31</v>
      </c>
      <c r="U23" t="s">
        <v>17</v>
      </c>
      <c r="V23" t="s">
        <v>3</v>
      </c>
      <c r="W23" t="s">
        <v>32</v>
      </c>
      <c r="X23" t="s">
        <v>33</v>
      </c>
    </row>
    <row r="24" spans="1:24" x14ac:dyDescent="0.25">
      <c r="A24" s="13" t="str">
        <f t="shared" si="5"/>
        <v>UCrepWEPS_sucngt-1</v>
      </c>
      <c r="B24" t="str">
        <f t="shared" si="3"/>
        <v>ELEGEO</v>
      </c>
      <c r="E24" t="s">
        <v>113</v>
      </c>
      <c r="G24" t="s">
        <v>114</v>
      </c>
      <c r="H24">
        <v>1</v>
      </c>
      <c r="L24">
        <v>0</v>
      </c>
      <c r="M24">
        <v>3</v>
      </c>
      <c r="N24" t="str">
        <f t="shared" si="2"/>
        <v>CONSUMPTION - GEOTHERMAL (trillion btu)</v>
      </c>
      <c r="P24" t="s">
        <v>21</v>
      </c>
      <c r="Q24" t="s">
        <v>99</v>
      </c>
      <c r="R24">
        <v>1</v>
      </c>
      <c r="S24" t="s">
        <v>40</v>
      </c>
      <c r="T24" t="s">
        <v>31</v>
      </c>
      <c r="U24" t="s">
        <v>19</v>
      </c>
      <c r="V24" t="s">
        <v>3</v>
      </c>
      <c r="W24" t="s">
        <v>32</v>
      </c>
      <c r="X24" t="s">
        <v>33</v>
      </c>
    </row>
    <row r="25" spans="1:24" x14ac:dyDescent="0.25">
      <c r="A25" t="str">
        <f t="shared" si="5"/>
        <v>UCrepWEPS_sucnhe</v>
      </c>
      <c r="B25" t="str">
        <f t="shared" si="3"/>
        <v>ELEHYD</v>
      </c>
      <c r="E25" t="s">
        <v>113</v>
      </c>
      <c r="G25" t="s">
        <v>114</v>
      </c>
      <c r="H25">
        <v>1</v>
      </c>
      <c r="L25">
        <v>0</v>
      </c>
      <c r="M25">
        <v>3</v>
      </c>
      <c r="N25" t="str">
        <f t="shared" si="2"/>
        <v>CONSUMPTION - HYDRO (trillion btu)</v>
      </c>
      <c r="P25" t="s">
        <v>7</v>
      </c>
      <c r="Q25" t="s">
        <v>153</v>
      </c>
      <c r="S25" t="s">
        <v>41</v>
      </c>
      <c r="T25" t="s">
        <v>31</v>
      </c>
      <c r="U25" t="s">
        <v>21</v>
      </c>
      <c r="V25" t="s">
        <v>3</v>
      </c>
      <c r="W25" t="s">
        <v>32</v>
      </c>
      <c r="X25" t="s">
        <v>33</v>
      </c>
    </row>
    <row r="26" spans="1:24" x14ac:dyDescent="0.25">
      <c r="A26" t="str">
        <f t="shared" si="5"/>
        <v>\I:</v>
      </c>
      <c r="B26">
        <f t="shared" si="3"/>
        <v>0</v>
      </c>
      <c r="E26" t="s">
        <v>113</v>
      </c>
      <c r="G26" t="s">
        <v>114</v>
      </c>
      <c r="H26">
        <v>1</v>
      </c>
      <c r="L26">
        <v>0</v>
      </c>
      <c r="M26">
        <v>3</v>
      </c>
      <c r="N26" t="str">
        <f t="shared" si="2"/>
        <v>CONSUMPTION - RENEWABLE_OTHER (trillion btu)</v>
      </c>
      <c r="P26" t="s">
        <v>9</v>
      </c>
      <c r="Q26" t="s">
        <v>374</v>
      </c>
      <c r="S26" t="s">
        <v>42</v>
      </c>
      <c r="T26" t="s">
        <v>31</v>
      </c>
      <c r="U26" t="s">
        <v>23</v>
      </c>
      <c r="V26" t="s">
        <v>3</v>
      </c>
      <c r="W26" t="s">
        <v>32</v>
      </c>
      <c r="X26" t="s">
        <v>33</v>
      </c>
    </row>
    <row r="27" spans="1:24" x14ac:dyDescent="0.25">
      <c r="A27" t="str">
        <f t="shared" si="5"/>
        <v>UCrepWEPS_sucnsl</v>
      </c>
      <c r="B27" t="str">
        <f t="shared" si="3"/>
        <v>ELESOL</v>
      </c>
      <c r="E27" t="s">
        <v>113</v>
      </c>
      <c r="G27" t="s">
        <v>114</v>
      </c>
      <c r="H27">
        <v>1</v>
      </c>
      <c r="L27">
        <v>0</v>
      </c>
      <c r="M27">
        <v>3</v>
      </c>
      <c r="N27" t="str">
        <f t="shared" si="2"/>
        <v>CONSUMPTION - SOLAR (trillion btu)</v>
      </c>
      <c r="P27" t="s">
        <v>23</v>
      </c>
      <c r="S27" t="s">
        <v>43</v>
      </c>
      <c r="T27" t="s">
        <v>31</v>
      </c>
      <c r="U27" t="s">
        <v>25</v>
      </c>
      <c r="V27" t="s">
        <v>3</v>
      </c>
      <c r="W27" t="s">
        <v>32</v>
      </c>
      <c r="X27" t="s">
        <v>33</v>
      </c>
    </row>
    <row r="28" spans="1:24" x14ac:dyDescent="0.25">
      <c r="A28" s="13" t="str">
        <f t="shared" si="5"/>
        <v>UCrepWEPS_sucnws-1</v>
      </c>
      <c r="B28" t="str">
        <f t="shared" si="3"/>
        <v>ELEWAS</v>
      </c>
      <c r="E28" t="s">
        <v>113</v>
      </c>
      <c r="G28" t="s">
        <v>114</v>
      </c>
      <c r="H28">
        <v>1</v>
      </c>
      <c r="L28">
        <v>0</v>
      </c>
      <c r="M28">
        <v>3</v>
      </c>
      <c r="N28" t="str">
        <f t="shared" si="2"/>
        <v>CONSUMPTION - WASTE (trillion btu)</v>
      </c>
      <c r="P28" t="s">
        <v>15</v>
      </c>
      <c r="Q28" t="s">
        <v>154</v>
      </c>
      <c r="R28">
        <v>1</v>
      </c>
      <c r="S28" t="s">
        <v>44</v>
      </c>
      <c r="T28" t="s">
        <v>31</v>
      </c>
      <c r="U28" t="s">
        <v>27</v>
      </c>
      <c r="V28" t="s">
        <v>3</v>
      </c>
      <c r="W28" t="s">
        <v>32</v>
      </c>
      <c r="X28" t="s">
        <v>33</v>
      </c>
    </row>
    <row r="29" spans="1:24" x14ac:dyDescent="0.25">
      <c r="A29" t="str">
        <f t="shared" si="5"/>
        <v>UCrepWEPS_sucnwn</v>
      </c>
      <c r="B29" t="str">
        <f t="shared" si="3"/>
        <v>ELEWIN</v>
      </c>
      <c r="E29" t="s">
        <v>113</v>
      </c>
      <c r="G29" t="s">
        <v>114</v>
      </c>
      <c r="H29">
        <v>1</v>
      </c>
      <c r="L29">
        <v>0</v>
      </c>
      <c r="M29">
        <v>3</v>
      </c>
      <c r="N29" t="str">
        <f t="shared" si="2"/>
        <v>CONSUMPTION - WIND (trillion btu)</v>
      </c>
      <c r="P29" t="s">
        <v>25</v>
      </c>
      <c r="Q29" t="s">
        <v>102</v>
      </c>
      <c r="S29" t="s">
        <v>45</v>
      </c>
      <c r="T29" t="s">
        <v>31</v>
      </c>
      <c r="U29" t="s">
        <v>29</v>
      </c>
      <c r="V29" t="s">
        <v>3</v>
      </c>
      <c r="W29" t="s">
        <v>32</v>
      </c>
      <c r="X29" t="s">
        <v>33</v>
      </c>
    </row>
    <row r="30" spans="1:24" x14ac:dyDescent="0.25">
      <c r="A30" s="14" t="str">
        <f t="shared" si="5"/>
        <v>UCrepWEPS_sucpcl-1</v>
      </c>
      <c r="B30" s="1" t="str">
        <f>VLOOKUP(U30,$P$4:$Q$18,2,FALSE)</f>
        <v>ELECOA</v>
      </c>
      <c r="C30" s="1"/>
      <c r="D30" s="1"/>
      <c r="E30" s="1"/>
      <c r="F30" s="1"/>
      <c r="G30" s="1"/>
      <c r="H30" s="1"/>
      <c r="I30" s="1">
        <v>1</v>
      </c>
      <c r="J30" s="1"/>
      <c r="K30" s="1"/>
      <c r="L30" s="1">
        <v>0</v>
      </c>
      <c r="M30" s="1">
        <v>3</v>
      </c>
      <c r="N30" s="1" t="str">
        <f t="shared" si="2"/>
        <v>ELECTRICITY_CAPACITY - COAL (gigawatts)</v>
      </c>
      <c r="P30" t="s">
        <v>27</v>
      </c>
      <c r="Q30" t="s">
        <v>249</v>
      </c>
      <c r="R30">
        <v>1</v>
      </c>
      <c r="S30" t="s">
        <v>46</v>
      </c>
      <c r="T30" t="s">
        <v>31</v>
      </c>
      <c r="U30" t="s">
        <v>2</v>
      </c>
      <c r="V30" t="s">
        <v>47</v>
      </c>
      <c r="W30" t="s">
        <v>47</v>
      </c>
      <c r="X30" t="s">
        <v>48</v>
      </c>
    </row>
    <row r="31" spans="1:24" x14ac:dyDescent="0.25">
      <c r="A31" s="14" t="str">
        <f>IF(B31=0,"\I:","UCrepWEPS_"&amp;S31)&amp;IF(R31&gt;0,"-"&amp;R31,"")</f>
        <v>UCrepWEPS_sucpng-1</v>
      </c>
      <c r="B31" s="1" t="str">
        <f>VLOOKUP(U31,$P$4:$Q$18,2,FALSE)</f>
        <v>ELEGAS</v>
      </c>
      <c r="C31" s="1"/>
      <c r="D31" s="1"/>
      <c r="E31" s="1"/>
      <c r="F31" s="1"/>
      <c r="G31" s="1"/>
      <c r="H31" s="1"/>
      <c r="I31" s="1">
        <v>1</v>
      </c>
      <c r="J31" s="1"/>
      <c r="K31" s="1"/>
      <c r="L31" s="1">
        <v>0</v>
      </c>
      <c r="M31" s="1">
        <v>3</v>
      </c>
      <c r="N31" s="1" t="str">
        <f t="shared" si="2"/>
        <v>ELECTRICITY_CAPACITY - NATURAL_GAS (gigawatts)</v>
      </c>
      <c r="P31" t="s">
        <v>29</v>
      </c>
      <c r="Q31" t="s">
        <v>104</v>
      </c>
      <c r="R31">
        <v>1</v>
      </c>
      <c r="S31" t="s">
        <v>49</v>
      </c>
      <c r="T31" t="s">
        <v>31</v>
      </c>
      <c r="U31" t="s">
        <v>7</v>
      </c>
      <c r="V31" t="s">
        <v>47</v>
      </c>
      <c r="W31" t="s">
        <v>47</v>
      </c>
      <c r="X31" t="s">
        <v>48</v>
      </c>
    </row>
    <row r="32" spans="1:24" x14ac:dyDescent="0.25">
      <c r="A32" s="14" t="str">
        <f t="shared" si="5"/>
        <v>UCrepWEPS_sucpnu-1</v>
      </c>
      <c r="B32" s="1" t="str">
        <f>VLOOKUP(U32,$P$4:$Q$18,2,FALSE)</f>
        <v>ELENUC</v>
      </c>
      <c r="C32" s="1"/>
      <c r="D32" s="1"/>
      <c r="E32" s="1"/>
      <c r="F32" s="1"/>
      <c r="G32" s="1"/>
      <c r="H32" s="1"/>
      <c r="I32" s="1">
        <v>1</v>
      </c>
      <c r="J32" s="1"/>
      <c r="K32" s="1"/>
      <c r="L32" s="1">
        <v>0</v>
      </c>
      <c r="M32" s="1">
        <v>3</v>
      </c>
      <c r="N32" s="1" t="str">
        <f t="shared" si="2"/>
        <v>ELECTRICITY_CAPACITY - NUCLEAR (gigawatts)</v>
      </c>
      <c r="R32">
        <v>1</v>
      </c>
      <c r="S32" t="s">
        <v>50</v>
      </c>
      <c r="T32" t="s">
        <v>31</v>
      </c>
      <c r="U32" t="s">
        <v>9</v>
      </c>
      <c r="V32" t="s">
        <v>47</v>
      </c>
      <c r="W32" t="s">
        <v>47</v>
      </c>
      <c r="X32" t="s">
        <v>48</v>
      </c>
    </row>
    <row r="33" spans="1:24" x14ac:dyDescent="0.25">
      <c r="A33" s="14" t="str">
        <f t="shared" si="5"/>
        <v>UCrepWEPS_sucpcd-1</v>
      </c>
      <c r="B33" s="1" t="str">
        <f>VLOOKUP(U33,$P$4:$Q$18,2,FALSE)</f>
        <v>ELECRD</v>
      </c>
      <c r="C33" s="1"/>
      <c r="D33" s="1"/>
      <c r="E33" s="1"/>
      <c r="F33" s="1"/>
      <c r="G33" s="1"/>
      <c r="H33" s="1"/>
      <c r="I33" s="1">
        <v>1</v>
      </c>
      <c r="J33" s="1"/>
      <c r="K33" s="1"/>
      <c r="L33" s="1">
        <v>0</v>
      </c>
      <c r="M33" s="1">
        <v>3</v>
      </c>
      <c r="N33" s="1" t="str">
        <f t="shared" si="2"/>
        <v>ELECTRICITY_CAPACITY - CRUDE_OIL (gigawatts)</v>
      </c>
      <c r="R33">
        <v>1</v>
      </c>
      <c r="S33" t="s">
        <v>51</v>
      </c>
      <c r="T33" t="s">
        <v>31</v>
      </c>
      <c r="U33" t="s">
        <v>11</v>
      </c>
      <c r="V33" t="s">
        <v>47</v>
      </c>
      <c r="W33" t="s">
        <v>47</v>
      </c>
      <c r="X33" t="s">
        <v>48</v>
      </c>
    </row>
    <row r="34" spans="1:24" x14ac:dyDescent="0.25">
      <c r="A34" s="14" t="str">
        <f t="shared" si="5"/>
        <v>UCrepWEPS_sucpds-1</v>
      </c>
      <c r="B34" s="1" t="str">
        <f t="shared" si="3"/>
        <v>ELEDST</v>
      </c>
      <c r="C34" s="1"/>
      <c r="D34" s="1"/>
      <c r="E34" s="1"/>
      <c r="F34" s="1"/>
      <c r="G34" s="1"/>
      <c r="H34" s="1"/>
      <c r="I34" s="1">
        <v>1</v>
      </c>
      <c r="J34" s="1"/>
      <c r="K34" s="1"/>
      <c r="L34" s="1">
        <v>0</v>
      </c>
      <c r="M34" s="1">
        <v>3</v>
      </c>
      <c r="N34" s="1" t="str">
        <f t="shared" si="2"/>
        <v>ELECTRICITY_CAPACITY - DISTILLATE (gigawatts)</v>
      </c>
      <c r="R34">
        <v>1</v>
      </c>
      <c r="S34" t="s">
        <v>52</v>
      </c>
      <c r="T34" t="s">
        <v>31</v>
      </c>
      <c r="U34" t="s">
        <v>13</v>
      </c>
      <c r="V34" t="s">
        <v>47</v>
      </c>
      <c r="W34" t="s">
        <v>47</v>
      </c>
      <c r="X34" t="s">
        <v>48</v>
      </c>
    </row>
    <row r="35" spans="1:24" x14ac:dyDescent="0.25">
      <c r="A35" s="14" t="str">
        <f t="shared" si="5"/>
        <v>UCrepWEPS_sucprs-1</v>
      </c>
      <c r="B35" s="1" t="str">
        <f t="shared" si="3"/>
        <v>ELEOIL</v>
      </c>
      <c r="C35" s="1"/>
      <c r="D35" s="1"/>
      <c r="E35" s="1"/>
      <c r="F35" s="1"/>
      <c r="G35" s="1"/>
      <c r="H35" s="1"/>
      <c r="I35" s="1">
        <v>1</v>
      </c>
      <c r="J35" s="1"/>
      <c r="K35" s="1"/>
      <c r="L35" s="1">
        <v>0</v>
      </c>
      <c r="M35" s="1">
        <v>3</v>
      </c>
      <c r="N35" s="1" t="str">
        <f t="shared" si="2"/>
        <v>ELECTRICITY_CAPACITY - RESIDUAL (gigawatts)</v>
      </c>
      <c r="R35">
        <v>1</v>
      </c>
      <c r="S35" t="s">
        <v>53</v>
      </c>
      <c r="T35" t="s">
        <v>31</v>
      </c>
      <c r="U35" t="s">
        <v>15</v>
      </c>
      <c r="V35" t="s">
        <v>47</v>
      </c>
      <c r="W35" t="s">
        <v>47</v>
      </c>
      <c r="X35" t="s">
        <v>48</v>
      </c>
    </row>
    <row r="36" spans="1:24" x14ac:dyDescent="0.25">
      <c r="A36" s="14" t="str">
        <f t="shared" si="5"/>
        <v>UCrepWEPS_sucpbm-1</v>
      </c>
      <c r="B36" s="1" t="str">
        <f t="shared" si="3"/>
        <v>ELEBIO</v>
      </c>
      <c r="C36" s="1"/>
      <c r="D36" s="1"/>
      <c r="E36" s="1"/>
      <c r="F36" s="1"/>
      <c r="G36" s="1"/>
      <c r="H36" s="1"/>
      <c r="I36" s="1">
        <v>1</v>
      </c>
      <c r="J36" s="1"/>
      <c r="K36" s="1"/>
      <c r="L36" s="1">
        <v>0</v>
      </c>
      <c r="M36" s="1">
        <v>3</v>
      </c>
      <c r="N36" s="1" t="str">
        <f t="shared" si="2"/>
        <v>ELECTRICITY_CAPACITY - BIOMASS (gigawatts)</v>
      </c>
      <c r="R36">
        <v>1</v>
      </c>
      <c r="S36" t="s">
        <v>54</v>
      </c>
      <c r="T36" t="s">
        <v>31</v>
      </c>
      <c r="U36" t="s">
        <v>17</v>
      </c>
      <c r="V36" t="s">
        <v>47</v>
      </c>
      <c r="W36" t="s">
        <v>47</v>
      </c>
      <c r="X36" t="s">
        <v>48</v>
      </c>
    </row>
    <row r="37" spans="1:24" x14ac:dyDescent="0.25">
      <c r="A37" s="14" t="str">
        <f t="shared" si="5"/>
        <v>UCrepWEPS_sucpgt-1</v>
      </c>
      <c r="B37" s="1" t="str">
        <f t="shared" si="3"/>
        <v>ELEGEO</v>
      </c>
      <c r="C37" s="1"/>
      <c r="D37" s="1"/>
      <c r="E37" s="1"/>
      <c r="F37" s="1"/>
      <c r="G37" s="1"/>
      <c r="H37" s="1"/>
      <c r="I37" s="1">
        <v>1</v>
      </c>
      <c r="J37" s="1"/>
      <c r="K37" s="1"/>
      <c r="L37" s="1">
        <v>0</v>
      </c>
      <c r="M37" s="1">
        <v>3</v>
      </c>
      <c r="N37" s="1" t="str">
        <f t="shared" si="2"/>
        <v>ELECTRICITY_CAPACITY - GEOTHERMAL (gigawatts)</v>
      </c>
      <c r="R37">
        <v>1</v>
      </c>
      <c r="S37" t="s">
        <v>55</v>
      </c>
      <c r="T37" t="s">
        <v>31</v>
      </c>
      <c r="U37" t="s">
        <v>19</v>
      </c>
      <c r="V37" t="s">
        <v>47</v>
      </c>
      <c r="W37" t="s">
        <v>47</v>
      </c>
      <c r="X37" t="s">
        <v>48</v>
      </c>
    </row>
    <row r="38" spans="1:24" x14ac:dyDescent="0.25">
      <c r="A38" s="1" t="str">
        <f t="shared" si="5"/>
        <v>UCrepWEPS_sucphe</v>
      </c>
      <c r="B38" s="1" t="str">
        <f t="shared" si="3"/>
        <v>ELEHYD</v>
      </c>
      <c r="C38" s="1"/>
      <c r="D38" s="1"/>
      <c r="E38" s="1"/>
      <c r="F38" s="1"/>
      <c r="G38" s="1"/>
      <c r="H38" s="1"/>
      <c r="I38" s="1">
        <v>1</v>
      </c>
      <c r="J38" s="1"/>
      <c r="K38" s="1"/>
      <c r="L38" s="1">
        <v>0</v>
      </c>
      <c r="M38" s="1">
        <v>3</v>
      </c>
      <c r="N38" s="1" t="str">
        <f t="shared" si="2"/>
        <v>ELECTRICITY_CAPACITY - HYDRO (gigawatts)</v>
      </c>
      <c r="S38" t="s">
        <v>56</v>
      </c>
      <c r="T38" t="s">
        <v>31</v>
      </c>
      <c r="U38" t="s">
        <v>21</v>
      </c>
      <c r="V38" t="s">
        <v>47</v>
      </c>
      <c r="W38" t="s">
        <v>47</v>
      </c>
      <c r="X38" t="s">
        <v>48</v>
      </c>
    </row>
    <row r="39" spans="1:24" x14ac:dyDescent="0.25">
      <c r="A39" s="1" t="str">
        <f t="shared" si="5"/>
        <v>\I:</v>
      </c>
      <c r="B39" s="1">
        <f t="shared" si="3"/>
        <v>0</v>
      </c>
      <c r="C39" s="1"/>
      <c r="D39" s="1"/>
      <c r="E39" s="1"/>
      <c r="F39" s="1"/>
      <c r="G39" s="1"/>
      <c r="H39" s="1"/>
      <c r="I39" s="1">
        <v>1</v>
      </c>
      <c r="J39" s="1"/>
      <c r="K39" s="1"/>
      <c r="L39" s="1">
        <v>0</v>
      </c>
      <c r="M39" s="1">
        <v>3</v>
      </c>
      <c r="N39" s="1" t="str">
        <f t="shared" si="2"/>
        <v>ELECTRICITY_CAPACITY - RENEWABLE_OTHER (gigawatts)</v>
      </c>
      <c r="S39" t="s">
        <v>57</v>
      </c>
      <c r="T39" t="s">
        <v>31</v>
      </c>
      <c r="U39" t="s">
        <v>23</v>
      </c>
      <c r="V39" t="s">
        <v>47</v>
      </c>
      <c r="W39" t="s">
        <v>47</v>
      </c>
      <c r="X39" t="s">
        <v>48</v>
      </c>
    </row>
    <row r="40" spans="1:24" x14ac:dyDescent="0.25">
      <c r="A40" s="1" t="str">
        <f t="shared" si="5"/>
        <v>UCrepWEPS_sucpsl</v>
      </c>
      <c r="B40" s="1" t="str">
        <f t="shared" si="3"/>
        <v>ELESOL</v>
      </c>
      <c r="C40" s="1"/>
      <c r="D40" s="1"/>
      <c r="E40" s="1"/>
      <c r="F40" s="1"/>
      <c r="G40" s="1"/>
      <c r="H40" s="1"/>
      <c r="I40" s="1">
        <v>1</v>
      </c>
      <c r="J40" s="1"/>
      <c r="K40" s="1"/>
      <c r="L40" s="1">
        <v>0</v>
      </c>
      <c r="M40" s="1">
        <v>3</v>
      </c>
      <c r="N40" s="1" t="str">
        <f t="shared" si="2"/>
        <v>ELECTRICITY_CAPACITY - SOLAR (gigawatts)</v>
      </c>
      <c r="S40" t="s">
        <v>58</v>
      </c>
      <c r="T40" t="s">
        <v>31</v>
      </c>
      <c r="U40" t="s">
        <v>25</v>
      </c>
      <c r="V40" t="s">
        <v>47</v>
      </c>
      <c r="W40" t="s">
        <v>47</v>
      </c>
      <c r="X40" t="s">
        <v>48</v>
      </c>
    </row>
    <row r="41" spans="1:24" x14ac:dyDescent="0.25">
      <c r="A41" s="14" t="str">
        <f t="shared" si="5"/>
        <v>UCrepWEPS_sucpws-1</v>
      </c>
      <c r="B41" s="1" t="str">
        <f t="shared" si="3"/>
        <v>ELEWAS</v>
      </c>
      <c r="C41" s="1"/>
      <c r="D41" s="1"/>
      <c r="E41" s="1"/>
      <c r="F41" s="1"/>
      <c r="G41" s="1"/>
      <c r="H41" s="1"/>
      <c r="I41" s="1">
        <v>1</v>
      </c>
      <c r="J41" s="1"/>
      <c r="K41" s="1"/>
      <c r="L41" s="1">
        <v>0</v>
      </c>
      <c r="M41" s="1">
        <v>3</v>
      </c>
      <c r="N41" s="1" t="str">
        <f t="shared" si="2"/>
        <v>ELECTRICITY_CAPACITY - WASTE (gigawatts)</v>
      </c>
      <c r="R41">
        <v>1</v>
      </c>
      <c r="S41" t="s">
        <v>59</v>
      </c>
      <c r="T41" t="s">
        <v>31</v>
      </c>
      <c r="U41" t="s">
        <v>27</v>
      </c>
      <c r="V41" t="s">
        <v>47</v>
      </c>
      <c r="W41" t="s">
        <v>47</v>
      </c>
      <c r="X41" t="s">
        <v>48</v>
      </c>
    </row>
    <row r="42" spans="1:24" x14ac:dyDescent="0.25">
      <c r="A42" s="1" t="str">
        <f t="shared" si="5"/>
        <v>UCrepWEPS_sucpwn</v>
      </c>
      <c r="B42" s="1" t="str">
        <f t="shared" si="3"/>
        <v>ELEWIN</v>
      </c>
      <c r="C42" s="1"/>
      <c r="D42" s="1"/>
      <c r="E42" s="1"/>
      <c r="F42" s="1"/>
      <c r="G42" s="1"/>
      <c r="H42" s="1"/>
      <c r="I42" s="1">
        <v>1</v>
      </c>
      <c r="J42" s="1"/>
      <c r="K42" s="1"/>
      <c r="L42" s="1">
        <v>0</v>
      </c>
      <c r="M42" s="1">
        <v>3</v>
      </c>
      <c r="N42" s="1" t="str">
        <f t="shared" si="2"/>
        <v>ELECTRICITY_CAPACITY - WIND (gigawatts)</v>
      </c>
      <c r="S42" t="s">
        <v>60</v>
      </c>
      <c r="T42" t="s">
        <v>31</v>
      </c>
      <c r="U42" t="s">
        <v>29</v>
      </c>
      <c r="V42" t="s">
        <v>47</v>
      </c>
      <c r="W42" t="s">
        <v>47</v>
      </c>
      <c r="X42" t="s">
        <v>48</v>
      </c>
    </row>
    <row r="43" spans="1:24" x14ac:dyDescent="0.25">
      <c r="A43" s="15" t="str">
        <f t="shared" si="5"/>
        <v>UCrepWEPS_sugncl-1</v>
      </c>
      <c r="B43" t="str">
        <f t="shared" si="3"/>
        <v>ELECOA</v>
      </c>
      <c r="J43">
        <f>1.055/3.6</f>
        <v>0.29305555555555551</v>
      </c>
      <c r="L43">
        <v>0</v>
      </c>
      <c r="M43">
        <v>3</v>
      </c>
      <c r="N43" t="str">
        <f t="shared" si="2"/>
        <v>ELECTRICITY_GENERATION - COAL (Twh (BKWh))</v>
      </c>
      <c r="R43">
        <v>1</v>
      </c>
      <c r="S43" t="s">
        <v>61</v>
      </c>
      <c r="T43" t="s">
        <v>31</v>
      </c>
      <c r="U43" t="s">
        <v>2</v>
      </c>
      <c r="V43" t="s">
        <v>62</v>
      </c>
      <c r="W43" t="s">
        <v>62</v>
      </c>
      <c r="X43" t="s">
        <v>63</v>
      </c>
    </row>
    <row r="44" spans="1:24" x14ac:dyDescent="0.25">
      <c r="A44" s="15" t="str">
        <f t="shared" si="5"/>
        <v>UCrepWEPS_sugnng-1</v>
      </c>
      <c r="B44" t="str">
        <f t="shared" si="3"/>
        <v>ELEGAS</v>
      </c>
      <c r="J44">
        <f t="shared" ref="J44:J55" si="6">1.055/3.6</f>
        <v>0.29305555555555551</v>
      </c>
      <c r="L44">
        <v>0</v>
      </c>
      <c r="M44">
        <v>3</v>
      </c>
      <c r="N44" t="str">
        <f t="shared" si="2"/>
        <v>ELECTRICITY_GENERATION - NATURAL_GAS (Twh (BKWh))</v>
      </c>
      <c r="R44">
        <v>1</v>
      </c>
      <c r="S44" t="s">
        <v>64</v>
      </c>
      <c r="T44" t="s">
        <v>31</v>
      </c>
      <c r="U44" t="s">
        <v>7</v>
      </c>
      <c r="V44" t="s">
        <v>62</v>
      </c>
      <c r="W44" t="s">
        <v>62</v>
      </c>
      <c r="X44" t="s">
        <v>63</v>
      </c>
    </row>
    <row r="45" spans="1:24" x14ac:dyDescent="0.25">
      <c r="A45" s="15" t="str">
        <f t="shared" si="5"/>
        <v>UCrepWEPS_sugnnu-1</v>
      </c>
      <c r="B45" t="str">
        <f>VLOOKUP(U45,$P$4:$Q$18,2,FALSE)</f>
        <v>ELENUC</v>
      </c>
      <c r="J45">
        <f t="shared" si="6"/>
        <v>0.29305555555555551</v>
      </c>
      <c r="L45">
        <v>0</v>
      </c>
      <c r="M45">
        <v>3</v>
      </c>
      <c r="N45" t="str">
        <f t="shared" si="2"/>
        <v>ELECTRICITY_GENERATION - NUCLEAR (Twh (BKWh))</v>
      </c>
      <c r="R45">
        <v>1</v>
      </c>
      <c r="S45" t="s">
        <v>65</v>
      </c>
      <c r="T45" t="s">
        <v>31</v>
      </c>
      <c r="U45" t="s">
        <v>9</v>
      </c>
      <c r="V45" t="s">
        <v>62</v>
      </c>
      <c r="W45" t="s">
        <v>62</v>
      </c>
      <c r="X45" t="s">
        <v>63</v>
      </c>
    </row>
    <row r="46" spans="1:24" x14ac:dyDescent="0.25">
      <c r="A46" s="15" t="str">
        <f t="shared" si="5"/>
        <v>UCrepWEPS_sugncd-1</v>
      </c>
      <c r="B46" t="str">
        <f>VLOOKUP(U46,$P$4:$Q$18,2,FALSE)</f>
        <v>ELECRD</v>
      </c>
      <c r="J46">
        <f t="shared" si="6"/>
        <v>0.29305555555555551</v>
      </c>
      <c r="L46">
        <v>0</v>
      </c>
      <c r="M46">
        <v>3</v>
      </c>
      <c r="N46" t="str">
        <f t="shared" si="2"/>
        <v>ELECTRICITY_GENERATION - CRUDE_OIL (Twh (BKWh))</v>
      </c>
      <c r="R46">
        <v>1</v>
      </c>
      <c r="S46" t="s">
        <v>66</v>
      </c>
      <c r="T46" t="s">
        <v>31</v>
      </c>
      <c r="U46" t="s">
        <v>11</v>
      </c>
      <c r="V46" t="s">
        <v>62</v>
      </c>
      <c r="W46" t="s">
        <v>62</v>
      </c>
      <c r="X46" t="s">
        <v>63</v>
      </c>
    </row>
    <row r="47" spans="1:24" x14ac:dyDescent="0.25">
      <c r="A47" s="15" t="str">
        <f t="shared" si="5"/>
        <v>UCrepWEPS_sugnds-1</v>
      </c>
      <c r="B47" t="str">
        <f t="shared" si="3"/>
        <v>ELEDST</v>
      </c>
      <c r="J47">
        <f t="shared" si="6"/>
        <v>0.29305555555555551</v>
      </c>
      <c r="L47">
        <v>0</v>
      </c>
      <c r="M47">
        <v>3</v>
      </c>
      <c r="N47" t="str">
        <f t="shared" si="2"/>
        <v>ELECTRICITY_GENERATION - DISTILLATE (Twh (BKWh))</v>
      </c>
      <c r="R47">
        <v>1</v>
      </c>
      <c r="S47" t="s">
        <v>67</v>
      </c>
      <c r="T47" t="s">
        <v>31</v>
      </c>
      <c r="U47" t="s">
        <v>13</v>
      </c>
      <c r="V47" t="s">
        <v>62</v>
      </c>
      <c r="W47" t="s">
        <v>62</v>
      </c>
      <c r="X47" t="s">
        <v>63</v>
      </c>
    </row>
    <row r="48" spans="1:24" x14ac:dyDescent="0.25">
      <c r="A48" s="15" t="str">
        <f t="shared" si="5"/>
        <v>UCrepWEPS_sugnrs-1</v>
      </c>
      <c r="B48" t="str">
        <f t="shared" si="3"/>
        <v>ELEOIL</v>
      </c>
      <c r="J48">
        <f t="shared" si="6"/>
        <v>0.29305555555555551</v>
      </c>
      <c r="L48">
        <v>0</v>
      </c>
      <c r="M48">
        <v>3</v>
      </c>
      <c r="N48" t="str">
        <f t="shared" si="2"/>
        <v>ELECTRICITY_GENERATION - RESIDUAL (Twh (BKWh))</v>
      </c>
      <c r="R48">
        <v>1</v>
      </c>
      <c r="S48" t="s">
        <v>68</v>
      </c>
      <c r="T48" t="s">
        <v>31</v>
      </c>
      <c r="U48" t="s">
        <v>15</v>
      </c>
      <c r="V48" t="s">
        <v>62</v>
      </c>
      <c r="W48" t="s">
        <v>62</v>
      </c>
      <c r="X48" t="s">
        <v>63</v>
      </c>
    </row>
    <row r="49" spans="1:24" x14ac:dyDescent="0.25">
      <c r="A49" s="15" t="str">
        <f t="shared" si="5"/>
        <v>UCrepWEPS_sugnbm-1</v>
      </c>
      <c r="B49" t="str">
        <f t="shared" si="3"/>
        <v>ELEBIO</v>
      </c>
      <c r="J49">
        <f t="shared" si="6"/>
        <v>0.29305555555555551</v>
      </c>
      <c r="L49">
        <v>0</v>
      </c>
      <c r="M49">
        <v>3</v>
      </c>
      <c r="N49" t="str">
        <f t="shared" si="2"/>
        <v>ELECTRICITY_GENERATION - BIOMASS (Twh (BKWh))</v>
      </c>
      <c r="R49">
        <v>1</v>
      </c>
      <c r="S49" t="s">
        <v>69</v>
      </c>
      <c r="T49" t="s">
        <v>31</v>
      </c>
      <c r="U49" t="s">
        <v>17</v>
      </c>
      <c r="V49" t="s">
        <v>62</v>
      </c>
      <c r="W49" t="s">
        <v>62</v>
      </c>
      <c r="X49" t="s">
        <v>63</v>
      </c>
    </row>
    <row r="50" spans="1:24" x14ac:dyDescent="0.25">
      <c r="A50" s="15" t="str">
        <f t="shared" si="5"/>
        <v>UCrepWEPS_sugngt-1</v>
      </c>
      <c r="B50" t="str">
        <f t="shared" si="3"/>
        <v>ELEGEO</v>
      </c>
      <c r="J50">
        <f t="shared" si="6"/>
        <v>0.29305555555555551</v>
      </c>
      <c r="L50">
        <v>0</v>
      </c>
      <c r="M50">
        <v>3</v>
      </c>
      <c r="N50" t="str">
        <f t="shared" si="2"/>
        <v>ELECTRICITY_GENERATION - GEOTHERMAL (Twh (BKWh))</v>
      </c>
      <c r="R50">
        <v>1</v>
      </c>
      <c r="S50" t="s">
        <v>70</v>
      </c>
      <c r="T50" t="s">
        <v>31</v>
      </c>
      <c r="U50" t="s">
        <v>19</v>
      </c>
      <c r="V50" t="s">
        <v>62</v>
      </c>
      <c r="W50" t="s">
        <v>62</v>
      </c>
      <c r="X50" t="s">
        <v>63</v>
      </c>
    </row>
    <row r="51" spans="1:24" x14ac:dyDescent="0.25">
      <c r="A51" s="15" t="str">
        <f t="shared" si="5"/>
        <v>UCrepWEPS_sugnws-1</v>
      </c>
      <c r="B51" t="str">
        <f t="shared" si="3"/>
        <v>ELEWAS</v>
      </c>
      <c r="J51">
        <f t="shared" si="6"/>
        <v>0.29305555555555551</v>
      </c>
      <c r="L51">
        <v>0</v>
      </c>
      <c r="M51">
        <v>3</v>
      </c>
      <c r="N51" t="str">
        <f t="shared" si="2"/>
        <v>ELECTRICITY_GENERATION - WASTE (Twh (BKWh))</v>
      </c>
      <c r="R51">
        <v>1</v>
      </c>
      <c r="S51" t="s">
        <v>74</v>
      </c>
      <c r="T51" t="s">
        <v>31</v>
      </c>
      <c r="U51" t="s">
        <v>27</v>
      </c>
      <c r="V51" t="s">
        <v>62</v>
      </c>
      <c r="W51" t="s">
        <v>62</v>
      </c>
      <c r="X51" t="s">
        <v>63</v>
      </c>
    </row>
    <row r="52" spans="1:24" x14ac:dyDescent="0.25">
      <c r="A52" t="str">
        <f t="shared" si="5"/>
        <v>UCrepWEPS_sugnhe</v>
      </c>
      <c r="B52" t="str">
        <f t="shared" si="3"/>
        <v>ELEHYD</v>
      </c>
      <c r="J52">
        <f t="shared" si="6"/>
        <v>0.29305555555555551</v>
      </c>
      <c r="L52">
        <v>0</v>
      </c>
      <c r="M52">
        <v>3</v>
      </c>
      <c r="N52" t="str">
        <f t="shared" si="2"/>
        <v>ELECTRICITY_GENERATION - HYDRO (Twh (BKWh))</v>
      </c>
      <c r="S52" t="s">
        <v>71</v>
      </c>
      <c r="T52" t="s">
        <v>31</v>
      </c>
      <c r="U52" t="s">
        <v>21</v>
      </c>
      <c r="V52" t="s">
        <v>62</v>
      </c>
      <c r="W52" t="s">
        <v>62</v>
      </c>
      <c r="X52" t="s">
        <v>63</v>
      </c>
    </row>
    <row r="53" spans="1:24" x14ac:dyDescent="0.25">
      <c r="A53" t="str">
        <f t="shared" si="5"/>
        <v>\I:</v>
      </c>
      <c r="B53">
        <f t="shared" si="3"/>
        <v>0</v>
      </c>
      <c r="J53">
        <f t="shared" si="6"/>
        <v>0.29305555555555551</v>
      </c>
      <c r="L53">
        <v>0</v>
      </c>
      <c r="M53">
        <v>3</v>
      </c>
      <c r="N53" t="str">
        <f t="shared" si="2"/>
        <v>ELECTRICITY_GENERATION - RENEWABLE_OTHER (Twh (BKWh))</v>
      </c>
      <c r="S53" t="s">
        <v>72</v>
      </c>
      <c r="T53" t="s">
        <v>31</v>
      </c>
      <c r="U53" t="s">
        <v>23</v>
      </c>
      <c r="V53" t="s">
        <v>62</v>
      </c>
      <c r="W53" t="s">
        <v>62</v>
      </c>
      <c r="X53" t="s">
        <v>63</v>
      </c>
    </row>
    <row r="54" spans="1:24" x14ac:dyDescent="0.25">
      <c r="A54" t="str">
        <f t="shared" si="5"/>
        <v>UCrepWEPS_sugnsl</v>
      </c>
      <c r="B54" t="str">
        <f t="shared" si="3"/>
        <v>ELESOL</v>
      </c>
      <c r="J54">
        <f t="shared" si="6"/>
        <v>0.29305555555555551</v>
      </c>
      <c r="L54">
        <v>0</v>
      </c>
      <c r="M54">
        <v>3</v>
      </c>
      <c r="N54" t="str">
        <f t="shared" si="2"/>
        <v>ELECTRICITY_GENERATION - SOLAR (Twh (BKWh))</v>
      </c>
      <c r="S54" t="s">
        <v>73</v>
      </c>
      <c r="T54" t="s">
        <v>31</v>
      </c>
      <c r="U54" t="s">
        <v>25</v>
      </c>
      <c r="V54" t="s">
        <v>62</v>
      </c>
      <c r="W54" t="s">
        <v>62</v>
      </c>
      <c r="X54" t="s">
        <v>63</v>
      </c>
    </row>
    <row r="55" spans="1:24" x14ac:dyDescent="0.25">
      <c r="A55" t="str">
        <f t="shared" si="5"/>
        <v>UCrepWEPS_sugnwn</v>
      </c>
      <c r="B55" t="str">
        <f t="shared" si="3"/>
        <v>ELEWIN</v>
      </c>
      <c r="J55">
        <f t="shared" si="6"/>
        <v>0.29305555555555551</v>
      </c>
      <c r="L55">
        <v>0</v>
      </c>
      <c r="M55">
        <v>3</v>
      </c>
      <c r="N55" t="str">
        <f t="shared" si="2"/>
        <v>ELECTRICITY_GENERATION - WIND (Twh (BKWh))</v>
      </c>
      <c r="S55" t="s">
        <v>75</v>
      </c>
      <c r="T55" t="s">
        <v>31</v>
      </c>
      <c r="U55" t="s">
        <v>29</v>
      </c>
      <c r="V55" t="s">
        <v>62</v>
      </c>
      <c r="W55" t="s">
        <v>62</v>
      </c>
      <c r="X55" t="s">
        <v>63</v>
      </c>
    </row>
    <row r="56" spans="1:24" x14ac:dyDescent="0.25">
      <c r="A56" t="str">
        <f t="shared" ref="A56:A70" si="7">IF(B56=0,"\I:","UCrepWEPS_"&amp;LOWER(S56))</f>
        <v>UCrepWEPS_ccsngpg</v>
      </c>
      <c r="B56" t="s">
        <v>130</v>
      </c>
      <c r="E56" t="s">
        <v>113</v>
      </c>
      <c r="G56" t="s">
        <v>114</v>
      </c>
      <c r="H56">
        <v>1</v>
      </c>
      <c r="L56">
        <v>0</v>
      </c>
      <c r="M56">
        <v>3</v>
      </c>
      <c r="N56" t="s">
        <v>125</v>
      </c>
      <c r="S56" t="s">
        <v>124</v>
      </c>
      <c r="T56" t="s">
        <v>126</v>
      </c>
      <c r="W56" t="s">
        <v>125</v>
      </c>
    </row>
    <row r="57" spans="1:24" x14ac:dyDescent="0.25">
      <c r="A57" t="str">
        <f t="shared" si="7"/>
        <v>UCrepWEPS_ccsclpg</v>
      </c>
      <c r="B57" t="s">
        <v>131</v>
      </c>
      <c r="E57" t="s">
        <v>113</v>
      </c>
      <c r="G57" t="s">
        <v>114</v>
      </c>
      <c r="H57">
        <v>1</v>
      </c>
      <c r="L57">
        <v>0</v>
      </c>
      <c r="M57">
        <v>3</v>
      </c>
      <c r="N57" t="s">
        <v>129</v>
      </c>
      <c r="S57" t="s">
        <v>127</v>
      </c>
      <c r="T57" t="s">
        <v>128</v>
      </c>
      <c r="W57" t="s">
        <v>129</v>
      </c>
    </row>
    <row r="58" spans="1:24" x14ac:dyDescent="0.25">
      <c r="A58" s="1" t="str">
        <f t="shared" si="7"/>
        <v>UCrepWEPS_qbmpg</v>
      </c>
      <c r="B58" s="1" t="str">
        <f>VLOOKUP(U58,$P$19:$Q$33,2,FALSE)</f>
        <v>ELEBIO,CHPBIO</v>
      </c>
      <c r="C58" s="1"/>
      <c r="D58" s="1"/>
      <c r="E58" s="1" t="s">
        <v>113</v>
      </c>
      <c r="F58" s="1"/>
      <c r="G58" s="1" t="s">
        <v>114</v>
      </c>
      <c r="H58" s="1">
        <v>1</v>
      </c>
      <c r="I58" s="1"/>
      <c r="J58" s="1"/>
      <c r="K58" s="1"/>
      <c r="L58" s="1">
        <v>0</v>
      </c>
      <c r="M58" s="1">
        <v>3</v>
      </c>
      <c r="N58" s="1" t="str">
        <f>W58&amp;" - "&amp;U58&amp;" ("&amp;X58&amp;")"</f>
        <v>Quantity - BIOMASS (TBTU)</v>
      </c>
      <c r="S58" t="s">
        <v>134</v>
      </c>
      <c r="T58" t="s">
        <v>128</v>
      </c>
      <c r="U58" t="s">
        <v>17</v>
      </c>
      <c r="W58" t="s">
        <v>132</v>
      </c>
      <c r="X58" t="s">
        <v>133</v>
      </c>
    </row>
    <row r="59" spans="1:24" x14ac:dyDescent="0.25">
      <c r="A59" s="1" t="str">
        <f t="shared" si="7"/>
        <v>UCrepWEPS_qclpg</v>
      </c>
      <c r="B59" s="1" t="str">
        <f t="shared" ref="B59:B70" si="8">VLOOKUP(U59,$P$19:$Q$33,2,FALSE)</f>
        <v>ELECOA,CHPCOA</v>
      </c>
      <c r="C59" s="1"/>
      <c r="D59" s="1"/>
      <c r="E59" s="1" t="s">
        <v>113</v>
      </c>
      <c r="F59" s="1"/>
      <c r="G59" s="1" t="s">
        <v>114</v>
      </c>
      <c r="H59" s="1">
        <v>1</v>
      </c>
      <c r="I59" s="1"/>
      <c r="J59" s="1"/>
      <c r="K59" s="1"/>
      <c r="L59" s="1">
        <v>0</v>
      </c>
      <c r="M59" s="1">
        <v>3</v>
      </c>
      <c r="N59" s="1" t="str">
        <f t="shared" ref="N59:N83" si="9">W59&amp;" - "&amp;U59&amp;" ("&amp;X59&amp;")"</f>
        <v>Quantity - COAL (TBTU)</v>
      </c>
      <c r="S59" t="s">
        <v>135</v>
      </c>
      <c r="T59" t="s">
        <v>128</v>
      </c>
      <c r="U59" t="s">
        <v>2</v>
      </c>
      <c r="W59" t="s">
        <v>132</v>
      </c>
      <c r="X59" t="s">
        <v>133</v>
      </c>
    </row>
    <row r="60" spans="1:24" x14ac:dyDescent="0.25">
      <c r="A60" s="1" t="str">
        <f t="shared" si="7"/>
        <v>UCrepWEPS_qdspg</v>
      </c>
      <c r="B60" s="1" t="str">
        <f t="shared" si="8"/>
        <v>ELEDST,CHPDST</v>
      </c>
      <c r="C60" s="1"/>
      <c r="D60" s="1"/>
      <c r="E60" s="1" t="s">
        <v>113</v>
      </c>
      <c r="F60" s="1"/>
      <c r="G60" s="1" t="s">
        <v>114</v>
      </c>
      <c r="H60" s="1">
        <v>1</v>
      </c>
      <c r="I60" s="1"/>
      <c r="J60" s="1"/>
      <c r="K60" s="1"/>
      <c r="L60" s="1">
        <v>0</v>
      </c>
      <c r="M60" s="1">
        <v>3</v>
      </c>
      <c r="N60" s="1" t="str">
        <f t="shared" si="9"/>
        <v>Quantity - DISTILLATE (TBTU)</v>
      </c>
      <c r="S60" t="s">
        <v>136</v>
      </c>
      <c r="T60" t="s">
        <v>128</v>
      </c>
      <c r="U60" t="s">
        <v>13</v>
      </c>
      <c r="W60" t="s">
        <v>132</v>
      </c>
      <c r="X60" t="s">
        <v>133</v>
      </c>
    </row>
    <row r="61" spans="1:24" x14ac:dyDescent="0.25">
      <c r="A61" s="1" t="str">
        <f t="shared" si="7"/>
        <v>UCrepWEPS_qcdpg</v>
      </c>
      <c r="B61" s="1" t="str">
        <f t="shared" si="8"/>
        <v>ELECRD,CHPCRD</v>
      </c>
      <c r="C61" s="1"/>
      <c r="D61" s="1"/>
      <c r="E61" s="1" t="s">
        <v>113</v>
      </c>
      <c r="F61" s="1"/>
      <c r="G61" s="1" t="s">
        <v>114</v>
      </c>
      <c r="H61" s="1">
        <v>1</v>
      </c>
      <c r="I61" s="1"/>
      <c r="J61" s="1"/>
      <c r="K61" s="1"/>
      <c r="L61" s="1">
        <v>0</v>
      </c>
      <c r="M61" s="1">
        <v>3</v>
      </c>
      <c r="N61" s="1" t="str">
        <f t="shared" si="9"/>
        <v>Quantity - CRUDE_OIL (TBTU)</v>
      </c>
      <c r="S61" t="s">
        <v>248</v>
      </c>
      <c r="T61" t="s">
        <v>128</v>
      </c>
      <c r="U61" t="s">
        <v>11</v>
      </c>
      <c r="W61" t="s">
        <v>132</v>
      </c>
      <c r="X61" t="s">
        <v>133</v>
      </c>
    </row>
    <row r="62" spans="1:24" x14ac:dyDescent="0.25">
      <c r="A62" s="1" t="str">
        <f t="shared" si="7"/>
        <v>UCrepWEPS_qgtpg</v>
      </c>
      <c r="B62" s="1" t="str">
        <f t="shared" si="8"/>
        <v>ELEGEO,CHPGEO</v>
      </c>
      <c r="C62" s="1"/>
      <c r="D62" s="1"/>
      <c r="E62" s="1" t="s">
        <v>113</v>
      </c>
      <c r="F62" s="1"/>
      <c r="G62" s="1" t="s">
        <v>114</v>
      </c>
      <c r="H62" s="1">
        <v>1</v>
      </c>
      <c r="I62" s="1"/>
      <c r="J62" s="1"/>
      <c r="K62" s="1"/>
      <c r="L62" s="1">
        <v>0</v>
      </c>
      <c r="M62" s="1">
        <v>3</v>
      </c>
      <c r="N62" s="1" t="str">
        <f t="shared" si="9"/>
        <v>Quantity - GEOTHERMAL (TBTU)</v>
      </c>
      <c r="S62" t="s">
        <v>137</v>
      </c>
      <c r="T62" t="s">
        <v>128</v>
      </c>
      <c r="U62" t="s">
        <v>19</v>
      </c>
      <c r="W62" t="s">
        <v>132</v>
      </c>
      <c r="X62" t="s">
        <v>133</v>
      </c>
    </row>
    <row r="63" spans="1:24" x14ac:dyDescent="0.25">
      <c r="A63" s="1" t="str">
        <f t="shared" si="7"/>
        <v>UCrepWEPS_qhepg</v>
      </c>
      <c r="B63" s="1" t="str">
        <f t="shared" si="8"/>
        <v>ELEHYD</v>
      </c>
      <c r="C63" s="1"/>
      <c r="D63" s="1"/>
      <c r="E63" s="1" t="s">
        <v>113</v>
      </c>
      <c r="F63" s="1"/>
      <c r="G63" s="1" t="s">
        <v>114</v>
      </c>
      <c r="H63" s="1">
        <v>1</v>
      </c>
      <c r="I63" s="1"/>
      <c r="J63" s="1"/>
      <c r="K63" s="1"/>
      <c r="L63" s="1">
        <v>0</v>
      </c>
      <c r="M63" s="1">
        <v>3</v>
      </c>
      <c r="N63" s="1" t="str">
        <f t="shared" si="9"/>
        <v>Quantity - HYDRO (TBTU)</v>
      </c>
      <c r="S63" t="s">
        <v>138</v>
      </c>
      <c r="T63" t="s">
        <v>128</v>
      </c>
      <c r="U63" t="s">
        <v>21</v>
      </c>
      <c r="W63" t="s">
        <v>132</v>
      </c>
      <c r="X63" t="s">
        <v>133</v>
      </c>
    </row>
    <row r="64" spans="1:24" x14ac:dyDescent="0.25">
      <c r="A64" s="1" t="str">
        <f t="shared" si="7"/>
        <v>UCrepWEPS_qngpg</v>
      </c>
      <c r="B64" s="1" t="str">
        <f t="shared" si="8"/>
        <v>ELEGAS,CHPGAS</v>
      </c>
      <c r="C64" s="1"/>
      <c r="D64" s="1"/>
      <c r="E64" s="1" t="s">
        <v>113</v>
      </c>
      <c r="F64" s="1"/>
      <c r="G64" s="1" t="s">
        <v>114</v>
      </c>
      <c r="H64" s="1">
        <v>1</v>
      </c>
      <c r="I64" s="1"/>
      <c r="J64" s="1"/>
      <c r="K64" s="1"/>
      <c r="L64" s="1">
        <v>0</v>
      </c>
      <c r="M64" s="1">
        <v>3</v>
      </c>
      <c r="N64" s="1" t="str">
        <f t="shared" si="9"/>
        <v>Quantity - NATURAL_GAS (TBTU)</v>
      </c>
      <c r="S64" t="s">
        <v>139</v>
      </c>
      <c r="T64" t="s">
        <v>128</v>
      </c>
      <c r="U64" t="s">
        <v>7</v>
      </c>
      <c r="W64" t="s">
        <v>132</v>
      </c>
      <c r="X64" t="s">
        <v>133</v>
      </c>
    </row>
    <row r="65" spans="1:24" x14ac:dyDescent="0.25">
      <c r="A65" s="1" t="str">
        <f t="shared" si="7"/>
        <v>UCrepWEPS_qnupg</v>
      </c>
      <c r="B65" s="1" t="str">
        <f t="shared" si="8"/>
        <v>ELENUC,CHPNUC</v>
      </c>
      <c r="C65" s="1"/>
      <c r="D65" s="1"/>
      <c r="E65" s="1" t="s">
        <v>113</v>
      </c>
      <c r="F65" s="1"/>
      <c r="G65" s="1" t="s">
        <v>114</v>
      </c>
      <c r="H65" s="1">
        <v>1</v>
      </c>
      <c r="I65" s="1"/>
      <c r="J65" s="1"/>
      <c r="K65" s="1"/>
      <c r="L65" s="1">
        <v>0</v>
      </c>
      <c r="M65" s="1">
        <v>3</v>
      </c>
      <c r="N65" s="1" t="str">
        <f t="shared" si="9"/>
        <v>Quantity - NUCLEAR (TBTU)</v>
      </c>
      <c r="S65" t="s">
        <v>140</v>
      </c>
      <c r="T65" t="s">
        <v>128</v>
      </c>
      <c r="U65" t="s">
        <v>9</v>
      </c>
      <c r="W65" t="s">
        <v>132</v>
      </c>
      <c r="X65" t="s">
        <v>133</v>
      </c>
    </row>
    <row r="66" spans="1:24" x14ac:dyDescent="0.25">
      <c r="A66" s="1" t="str">
        <f t="shared" si="7"/>
        <v>\I:</v>
      </c>
      <c r="B66" s="1">
        <f t="shared" si="8"/>
        <v>0</v>
      </c>
      <c r="C66" s="1"/>
      <c r="D66" s="1"/>
      <c r="E66" s="1" t="s">
        <v>113</v>
      </c>
      <c r="F66" s="1"/>
      <c r="G66" s="1" t="s">
        <v>114</v>
      </c>
      <c r="H66" s="1">
        <v>1</v>
      </c>
      <c r="I66" s="1"/>
      <c r="J66" s="1"/>
      <c r="K66" s="1"/>
      <c r="L66" s="1">
        <v>0</v>
      </c>
      <c r="M66" s="1">
        <v>3</v>
      </c>
      <c r="N66" s="1" t="str">
        <f t="shared" si="9"/>
        <v>Quantity - RENEWABLE_OTHER (TBTU)</v>
      </c>
      <c r="S66" t="s">
        <v>141</v>
      </c>
      <c r="T66" t="s">
        <v>128</v>
      </c>
      <c r="U66" t="s">
        <v>23</v>
      </c>
      <c r="W66" t="s">
        <v>132</v>
      </c>
      <c r="X66" t="s">
        <v>133</v>
      </c>
    </row>
    <row r="67" spans="1:24" x14ac:dyDescent="0.25">
      <c r="A67" s="1" t="str">
        <f t="shared" si="7"/>
        <v>UCrepWEPS_qrspg</v>
      </c>
      <c r="B67" s="1" t="str">
        <f t="shared" si="8"/>
        <v>ELEOIL,CHPOIL</v>
      </c>
      <c r="C67" s="1"/>
      <c r="D67" s="1"/>
      <c r="E67" s="1" t="s">
        <v>113</v>
      </c>
      <c r="F67" s="1"/>
      <c r="G67" s="1" t="s">
        <v>114</v>
      </c>
      <c r="H67" s="1">
        <v>1</v>
      </c>
      <c r="I67" s="1"/>
      <c r="J67" s="1"/>
      <c r="K67" s="1"/>
      <c r="L67" s="1">
        <v>0</v>
      </c>
      <c r="M67" s="1">
        <v>3</v>
      </c>
      <c r="N67" s="1" t="str">
        <f t="shared" si="9"/>
        <v>Quantity - RESIDUAL (TBTU)</v>
      </c>
      <c r="S67" t="s">
        <v>142</v>
      </c>
      <c r="T67" t="s">
        <v>128</v>
      </c>
      <c r="U67" t="s">
        <v>15</v>
      </c>
      <c r="W67" t="s">
        <v>132</v>
      </c>
      <c r="X67" t="s">
        <v>133</v>
      </c>
    </row>
    <row r="68" spans="1:24" x14ac:dyDescent="0.25">
      <c r="A68" s="1" t="str">
        <f t="shared" si="7"/>
        <v>UCrepWEPS_qslpg</v>
      </c>
      <c r="B68" s="1" t="str">
        <f t="shared" si="8"/>
        <v>ELESOL</v>
      </c>
      <c r="C68" s="1"/>
      <c r="D68" s="1"/>
      <c r="E68" s="1" t="s">
        <v>113</v>
      </c>
      <c r="F68" s="1"/>
      <c r="G68" s="1" t="s">
        <v>114</v>
      </c>
      <c r="H68" s="1">
        <v>1</v>
      </c>
      <c r="I68" s="1"/>
      <c r="J68" s="1"/>
      <c r="K68" s="1"/>
      <c r="L68" s="1">
        <v>0</v>
      </c>
      <c r="M68" s="1">
        <v>3</v>
      </c>
      <c r="N68" s="1" t="str">
        <f t="shared" si="9"/>
        <v>Quantity - SOLAR (TBTU)</v>
      </c>
      <c r="S68" t="s">
        <v>143</v>
      </c>
      <c r="T68" t="s">
        <v>128</v>
      </c>
      <c r="U68" t="s">
        <v>25</v>
      </c>
      <c r="W68" t="s">
        <v>132</v>
      </c>
      <c r="X68" t="s">
        <v>133</v>
      </c>
    </row>
    <row r="69" spans="1:24" x14ac:dyDescent="0.25">
      <c r="A69" s="1" t="str">
        <f t="shared" si="7"/>
        <v>UCrepWEPS_qwnpg</v>
      </c>
      <c r="B69" s="1" t="str">
        <f t="shared" si="8"/>
        <v>ELEWIN</v>
      </c>
      <c r="C69" s="1"/>
      <c r="D69" s="1"/>
      <c r="E69" s="1" t="s">
        <v>113</v>
      </c>
      <c r="F69" s="1"/>
      <c r="G69" s="1" t="s">
        <v>114</v>
      </c>
      <c r="H69" s="1">
        <v>1</v>
      </c>
      <c r="I69" s="1"/>
      <c r="J69" s="1"/>
      <c r="K69" s="1"/>
      <c r="L69" s="1">
        <v>0</v>
      </c>
      <c r="M69" s="1">
        <v>3</v>
      </c>
      <c r="N69" s="1" t="str">
        <f t="shared" si="9"/>
        <v>Quantity - WIND (TBTU)</v>
      </c>
      <c r="S69" t="s">
        <v>144</v>
      </c>
      <c r="T69" t="s">
        <v>128</v>
      </c>
      <c r="U69" t="s">
        <v>29</v>
      </c>
      <c r="W69" t="s">
        <v>132</v>
      </c>
      <c r="X69" t="s">
        <v>133</v>
      </c>
    </row>
    <row r="70" spans="1:24" x14ac:dyDescent="0.25">
      <c r="A70" s="1" t="str">
        <f t="shared" si="7"/>
        <v>UCrepWEPS_qwspg</v>
      </c>
      <c r="B70" s="1" t="str">
        <f t="shared" si="8"/>
        <v>ELEWAS,CHPWAS</v>
      </c>
      <c r="C70" s="1"/>
      <c r="D70" s="1"/>
      <c r="E70" s="1" t="s">
        <v>113</v>
      </c>
      <c r="F70" s="1"/>
      <c r="G70" s="1" t="s">
        <v>114</v>
      </c>
      <c r="H70" s="1">
        <v>1</v>
      </c>
      <c r="I70" s="1"/>
      <c r="J70" s="1"/>
      <c r="K70" s="1"/>
      <c r="L70" s="1">
        <v>0</v>
      </c>
      <c r="M70" s="1">
        <v>3</v>
      </c>
      <c r="N70" s="1" t="str">
        <f t="shared" si="9"/>
        <v>Quantity - WASTE (TBTU)</v>
      </c>
      <c r="S70" t="s">
        <v>145</v>
      </c>
      <c r="T70" t="s">
        <v>128</v>
      </c>
      <c r="U70" t="s">
        <v>27</v>
      </c>
      <c r="W70" t="s">
        <v>132</v>
      </c>
      <c r="X70" t="s">
        <v>133</v>
      </c>
    </row>
    <row r="71" spans="1:24" x14ac:dyDescent="0.25">
      <c r="A71" t="str">
        <f t="shared" ref="A71:A82" si="10">IF(B71=0,"\I:","UCrepWEPS_"&amp;S71)&amp;IF(R71&gt;0,"-"&amp;R71,"")</f>
        <v>UCrepWEPS_sucpcl_new-1</v>
      </c>
      <c r="B71" t="str">
        <f t="shared" ref="B71:B83" si="11">VLOOKUP(U71,$P$4:$Q$18,2,FALSE)</f>
        <v>ELECOA</v>
      </c>
      <c r="K71">
        <v>1</v>
      </c>
      <c r="L71">
        <v>0</v>
      </c>
      <c r="M71">
        <v>3</v>
      </c>
      <c r="N71" t="str">
        <f t="shared" si="9"/>
        <v>NEW ELECTRICITY_CAPACITY - COAL (gigawatts)</v>
      </c>
      <c r="R71">
        <v>1</v>
      </c>
      <c r="S71" t="str">
        <f t="shared" ref="S71:S83" si="12">S30&amp;"_new"</f>
        <v>sucpcl_new</v>
      </c>
      <c r="T71" t="s">
        <v>31</v>
      </c>
      <c r="U71" t="s">
        <v>2</v>
      </c>
      <c r="V71" t="s">
        <v>148</v>
      </c>
      <c r="W71" t="s">
        <v>148</v>
      </c>
      <c r="X71" t="s">
        <v>48</v>
      </c>
    </row>
    <row r="72" spans="1:24" x14ac:dyDescent="0.25">
      <c r="A72" t="str">
        <f t="shared" si="10"/>
        <v>UCrepWEPS_sucpng_new-1</v>
      </c>
      <c r="B72" t="str">
        <f t="shared" si="11"/>
        <v>ELEGAS</v>
      </c>
      <c r="K72">
        <v>1</v>
      </c>
      <c r="L72">
        <v>0</v>
      </c>
      <c r="M72">
        <v>3</v>
      </c>
      <c r="N72" t="str">
        <f t="shared" si="9"/>
        <v>NEW ELECTRICITY_CAPACITY - NATURAL_GAS (gigawatts)</v>
      </c>
      <c r="R72">
        <v>1</v>
      </c>
      <c r="S72" t="str">
        <f t="shared" si="12"/>
        <v>sucpng_new</v>
      </c>
      <c r="T72" t="s">
        <v>31</v>
      </c>
      <c r="U72" t="s">
        <v>7</v>
      </c>
      <c r="V72" t="s">
        <v>148</v>
      </c>
      <c r="W72" t="s">
        <v>148</v>
      </c>
      <c r="X72" t="s">
        <v>48</v>
      </c>
    </row>
    <row r="73" spans="1:24" x14ac:dyDescent="0.25">
      <c r="A73" t="str">
        <f t="shared" si="10"/>
        <v>UCrepWEPS_sucpnu_new</v>
      </c>
      <c r="B73" t="str">
        <f t="shared" si="11"/>
        <v>ELENUC</v>
      </c>
      <c r="K73">
        <v>1</v>
      </c>
      <c r="L73">
        <v>0</v>
      </c>
      <c r="M73">
        <v>3</v>
      </c>
      <c r="N73" t="str">
        <f t="shared" si="9"/>
        <v>NEW ELECTRICITY_CAPACITY - NUCLEAR (gigawatts)</v>
      </c>
      <c r="S73" t="str">
        <f t="shared" si="12"/>
        <v>sucpnu_new</v>
      </c>
      <c r="T73" t="s">
        <v>31</v>
      </c>
      <c r="U73" t="s">
        <v>9</v>
      </c>
      <c r="V73" t="s">
        <v>148</v>
      </c>
      <c r="W73" t="s">
        <v>148</v>
      </c>
      <c r="X73" t="s">
        <v>48</v>
      </c>
    </row>
    <row r="74" spans="1:24" x14ac:dyDescent="0.25">
      <c r="A74" t="str">
        <f t="shared" si="10"/>
        <v>UCrepWEPS_sucpcd_new</v>
      </c>
      <c r="B74" s="1" t="str">
        <f t="shared" ref="B74" si="13">VLOOKUP(U74,$P$19:$Q$33,2,FALSE)</f>
        <v>ELECRD,CHPCRD</v>
      </c>
      <c r="K74">
        <v>1</v>
      </c>
      <c r="L74">
        <v>0</v>
      </c>
      <c r="M74">
        <v>3</v>
      </c>
      <c r="N74" t="str">
        <f t="shared" si="9"/>
        <v>NEW ELECTRICITY_CAPACITY - CRUDE_OIL (gigawatts)</v>
      </c>
      <c r="S74" t="str">
        <f t="shared" si="12"/>
        <v>sucpcd_new</v>
      </c>
      <c r="T74" t="s">
        <v>31</v>
      </c>
      <c r="U74" t="s">
        <v>11</v>
      </c>
      <c r="V74" t="s">
        <v>148</v>
      </c>
      <c r="W74" t="s">
        <v>148</v>
      </c>
      <c r="X74" t="s">
        <v>48</v>
      </c>
    </row>
    <row r="75" spans="1:24" x14ac:dyDescent="0.25">
      <c r="A75" t="str">
        <f t="shared" si="10"/>
        <v>UCrepWEPS_sucpds_new-1</v>
      </c>
      <c r="B75" t="str">
        <f t="shared" si="11"/>
        <v>ELEDST</v>
      </c>
      <c r="K75">
        <v>1</v>
      </c>
      <c r="L75">
        <v>0</v>
      </c>
      <c r="M75">
        <v>3</v>
      </c>
      <c r="N75" t="str">
        <f t="shared" si="9"/>
        <v>NEW ELECTRICITY_CAPACITY - DISTILLATE (gigawatts)</v>
      </c>
      <c r="R75">
        <v>1</v>
      </c>
      <c r="S75" t="str">
        <f t="shared" si="12"/>
        <v>sucpds_new</v>
      </c>
      <c r="T75" t="s">
        <v>31</v>
      </c>
      <c r="U75" t="s">
        <v>13</v>
      </c>
      <c r="V75" t="s">
        <v>148</v>
      </c>
      <c r="W75" t="s">
        <v>148</v>
      </c>
      <c r="X75" t="s">
        <v>48</v>
      </c>
    </row>
    <row r="76" spans="1:24" x14ac:dyDescent="0.25">
      <c r="A76" t="str">
        <f t="shared" si="10"/>
        <v>UCrepWEPS_sucprs_new-1</v>
      </c>
      <c r="B76" t="str">
        <f t="shared" si="11"/>
        <v>ELEOIL</v>
      </c>
      <c r="K76">
        <v>1</v>
      </c>
      <c r="L76">
        <v>0</v>
      </c>
      <c r="M76">
        <v>3</v>
      </c>
      <c r="N76" t="str">
        <f t="shared" si="9"/>
        <v>NEW ELECTRICITY_CAPACITY - RESIDUAL (gigawatts)</v>
      </c>
      <c r="R76">
        <v>1</v>
      </c>
      <c r="S76" t="str">
        <f t="shared" si="12"/>
        <v>sucprs_new</v>
      </c>
      <c r="T76" t="s">
        <v>31</v>
      </c>
      <c r="U76" t="s">
        <v>15</v>
      </c>
      <c r="V76" t="s">
        <v>148</v>
      </c>
      <c r="W76" t="s">
        <v>148</v>
      </c>
      <c r="X76" t="s">
        <v>48</v>
      </c>
    </row>
    <row r="77" spans="1:24" x14ac:dyDescent="0.25">
      <c r="A77" t="str">
        <f t="shared" si="10"/>
        <v>UCrepWEPS_sucpbm_new</v>
      </c>
      <c r="B77" t="str">
        <f t="shared" si="11"/>
        <v>ELEBIO</v>
      </c>
      <c r="K77">
        <v>1</v>
      </c>
      <c r="L77">
        <v>0</v>
      </c>
      <c r="M77">
        <v>3</v>
      </c>
      <c r="N77" t="str">
        <f t="shared" si="9"/>
        <v>NEW ELECTRICITY_CAPACITY - BIOMASS (gigawatts)</v>
      </c>
      <c r="S77" t="str">
        <f t="shared" si="12"/>
        <v>sucpbm_new</v>
      </c>
      <c r="T77" t="s">
        <v>31</v>
      </c>
      <c r="U77" t="s">
        <v>17</v>
      </c>
      <c r="V77" t="s">
        <v>148</v>
      </c>
      <c r="W77" t="s">
        <v>148</v>
      </c>
      <c r="X77" t="s">
        <v>48</v>
      </c>
    </row>
    <row r="78" spans="1:24" x14ac:dyDescent="0.25">
      <c r="A78" t="str">
        <f t="shared" si="10"/>
        <v>UCrepWEPS_sucpgt_new</v>
      </c>
      <c r="B78" t="str">
        <f t="shared" si="11"/>
        <v>ELEGEO</v>
      </c>
      <c r="K78">
        <v>1</v>
      </c>
      <c r="L78">
        <v>0</v>
      </c>
      <c r="M78">
        <v>3</v>
      </c>
      <c r="N78" t="str">
        <f t="shared" si="9"/>
        <v>NEW ELECTRICITY_CAPACITY - GEOTHERMAL (gigawatts)</v>
      </c>
      <c r="S78" t="str">
        <f t="shared" si="12"/>
        <v>sucpgt_new</v>
      </c>
      <c r="T78" t="s">
        <v>31</v>
      </c>
      <c r="U78" t="s">
        <v>19</v>
      </c>
      <c r="V78" t="s">
        <v>148</v>
      </c>
      <c r="W78" t="s">
        <v>148</v>
      </c>
      <c r="X78" t="s">
        <v>48</v>
      </c>
    </row>
    <row r="79" spans="1:24" x14ac:dyDescent="0.25">
      <c r="A79" t="str">
        <f t="shared" si="10"/>
        <v>UCrepWEPS_sucphe_new</v>
      </c>
      <c r="B79" t="str">
        <f t="shared" si="11"/>
        <v>ELEHYD</v>
      </c>
      <c r="K79">
        <v>1</v>
      </c>
      <c r="L79">
        <v>0</v>
      </c>
      <c r="M79">
        <v>3</v>
      </c>
      <c r="N79" t="str">
        <f t="shared" si="9"/>
        <v>NEW ELECTRICITY_CAPACITY - HYDRO (gigawatts)</v>
      </c>
      <c r="S79" t="str">
        <f t="shared" si="12"/>
        <v>sucphe_new</v>
      </c>
      <c r="T79" t="s">
        <v>31</v>
      </c>
      <c r="U79" t="s">
        <v>21</v>
      </c>
      <c r="V79" t="s">
        <v>148</v>
      </c>
      <c r="W79" t="s">
        <v>148</v>
      </c>
      <c r="X79" t="s">
        <v>48</v>
      </c>
    </row>
    <row r="80" spans="1:24" x14ac:dyDescent="0.25">
      <c r="A80" t="str">
        <f t="shared" si="10"/>
        <v>\I:</v>
      </c>
      <c r="B80">
        <f t="shared" si="11"/>
        <v>0</v>
      </c>
      <c r="K80">
        <v>1</v>
      </c>
      <c r="L80">
        <v>0</v>
      </c>
      <c r="M80">
        <v>3</v>
      </c>
      <c r="N80" t="str">
        <f t="shared" si="9"/>
        <v>NEW ELECTRICITY_CAPACITY - RENEWABLE_OTHER (gigawatts)</v>
      </c>
      <c r="S80" t="str">
        <f t="shared" si="12"/>
        <v>sucpor_new</v>
      </c>
      <c r="T80" t="s">
        <v>31</v>
      </c>
      <c r="U80" t="s">
        <v>23</v>
      </c>
      <c r="V80" t="s">
        <v>148</v>
      </c>
      <c r="W80" t="s">
        <v>148</v>
      </c>
      <c r="X80" t="s">
        <v>48</v>
      </c>
    </row>
    <row r="81" spans="1:24" x14ac:dyDescent="0.25">
      <c r="A81" t="str">
        <f t="shared" si="10"/>
        <v>UCrepWEPS_sucpsl_new</v>
      </c>
      <c r="B81" t="str">
        <f t="shared" si="11"/>
        <v>ELESOL</v>
      </c>
      <c r="K81">
        <v>1</v>
      </c>
      <c r="L81">
        <v>0</v>
      </c>
      <c r="M81">
        <v>3</v>
      </c>
      <c r="N81" t="str">
        <f t="shared" si="9"/>
        <v>NEW ELECTRICITY_CAPACITY - SOLAR (gigawatts)</v>
      </c>
      <c r="S81" t="str">
        <f t="shared" si="12"/>
        <v>sucpsl_new</v>
      </c>
      <c r="T81" t="s">
        <v>31</v>
      </c>
      <c r="U81" t="s">
        <v>25</v>
      </c>
      <c r="V81" t="s">
        <v>148</v>
      </c>
      <c r="W81" t="s">
        <v>148</v>
      </c>
      <c r="X81" t="s">
        <v>48</v>
      </c>
    </row>
    <row r="82" spans="1:24" x14ac:dyDescent="0.25">
      <c r="A82" t="str">
        <f t="shared" si="10"/>
        <v>UCrepWEPS_sucpws_new</v>
      </c>
      <c r="B82" t="str">
        <f t="shared" si="11"/>
        <v>ELEWAS</v>
      </c>
      <c r="K82">
        <v>1</v>
      </c>
      <c r="L82">
        <v>0</v>
      </c>
      <c r="M82">
        <v>3</v>
      </c>
      <c r="N82" t="str">
        <f t="shared" si="9"/>
        <v>NEW ELECTRICITY_CAPACITY - WASTE (gigawatts)</v>
      </c>
      <c r="S82" t="str">
        <f t="shared" si="12"/>
        <v>sucpws_new</v>
      </c>
      <c r="T82" t="s">
        <v>31</v>
      </c>
      <c r="U82" t="s">
        <v>27</v>
      </c>
      <c r="V82" t="s">
        <v>148</v>
      </c>
      <c r="W82" t="s">
        <v>148</v>
      </c>
      <c r="X82" t="s">
        <v>48</v>
      </c>
    </row>
    <row r="83" spans="1:24" x14ac:dyDescent="0.25">
      <c r="A83" t="str">
        <f>IF(B83=0,"\I:","UCrepWEPS_"&amp;S83)&amp;IF(R83&gt;0,"-"&amp;R83,"")</f>
        <v>UCrepWEPS_sucpwn_new</v>
      </c>
      <c r="B83" t="str">
        <f t="shared" si="11"/>
        <v>ELEWIN</v>
      </c>
      <c r="K83">
        <v>1</v>
      </c>
      <c r="L83">
        <v>0</v>
      </c>
      <c r="M83">
        <v>3</v>
      </c>
      <c r="N83" t="str">
        <f t="shared" si="9"/>
        <v>NEW ELECTRICITY_CAPACITY - WIND (gigawatts)</v>
      </c>
      <c r="S83" t="str">
        <f t="shared" si="12"/>
        <v>sucpwn_new</v>
      </c>
      <c r="T83" t="s">
        <v>31</v>
      </c>
      <c r="U83" t="s">
        <v>29</v>
      </c>
      <c r="V83" t="s">
        <v>148</v>
      </c>
      <c r="W83" t="s">
        <v>148</v>
      </c>
      <c r="X83" t="s">
        <v>48</v>
      </c>
    </row>
    <row r="84" spans="1:24" x14ac:dyDescent="0.25">
      <c r="A84" s="13" t="s">
        <v>156</v>
      </c>
      <c r="B84" t="s">
        <v>163</v>
      </c>
      <c r="E84" t="s">
        <v>113</v>
      </c>
      <c r="G84" t="s">
        <v>114</v>
      </c>
      <c r="H84">
        <v>1</v>
      </c>
      <c r="L84">
        <v>0</v>
      </c>
      <c r="M84">
        <v>3</v>
      </c>
      <c r="N84" t="s">
        <v>198</v>
      </c>
      <c r="S84" t="s">
        <v>76</v>
      </c>
      <c r="T84" t="s">
        <v>1</v>
      </c>
      <c r="U84" t="s">
        <v>77</v>
      </c>
      <c r="V84" t="s">
        <v>78</v>
      </c>
      <c r="W84" t="s">
        <v>4</v>
      </c>
      <c r="X84" t="s">
        <v>5</v>
      </c>
    </row>
    <row r="85" spans="1:24" x14ac:dyDescent="0.25">
      <c r="A85" s="13" t="s">
        <v>157</v>
      </c>
      <c r="B85" t="s">
        <v>160</v>
      </c>
      <c r="E85" t="s">
        <v>113</v>
      </c>
      <c r="G85" t="s">
        <v>114</v>
      </c>
      <c r="H85">
        <v>1</v>
      </c>
      <c r="L85">
        <v>0</v>
      </c>
      <c r="M85">
        <v>3</v>
      </c>
      <c r="N85" t="s">
        <v>199</v>
      </c>
      <c r="S85" t="s">
        <v>79</v>
      </c>
      <c r="T85" t="s">
        <v>1</v>
      </c>
      <c r="U85" t="s">
        <v>77</v>
      </c>
      <c r="V85" t="s">
        <v>78</v>
      </c>
      <c r="W85" t="s">
        <v>80</v>
      </c>
      <c r="X85" t="s">
        <v>81</v>
      </c>
    </row>
    <row r="86" spans="1:24" x14ac:dyDescent="0.25">
      <c r="A86" s="13" t="s">
        <v>375</v>
      </c>
      <c r="B86" t="s">
        <v>376</v>
      </c>
      <c r="E86" t="s">
        <v>113</v>
      </c>
      <c r="G86" t="s">
        <v>114</v>
      </c>
      <c r="H86">
        <v>1</v>
      </c>
      <c r="L86">
        <v>0</v>
      </c>
      <c r="M86">
        <v>3</v>
      </c>
      <c r="N86" t="s">
        <v>377</v>
      </c>
      <c r="S86" t="s">
        <v>82</v>
      </c>
      <c r="T86" t="s">
        <v>1</v>
      </c>
      <c r="U86" t="s">
        <v>77</v>
      </c>
      <c r="V86" t="s">
        <v>78</v>
      </c>
      <c r="W86" t="s">
        <v>80</v>
      </c>
      <c r="X86" t="s">
        <v>81</v>
      </c>
    </row>
    <row r="87" spans="1:24" x14ac:dyDescent="0.25">
      <c r="A87" s="13" t="s">
        <v>378</v>
      </c>
      <c r="B87" t="s">
        <v>379</v>
      </c>
      <c r="E87" t="s">
        <v>113</v>
      </c>
      <c r="G87" t="s">
        <v>114</v>
      </c>
      <c r="H87">
        <v>1</v>
      </c>
      <c r="L87">
        <v>0</v>
      </c>
      <c r="M87">
        <v>3</v>
      </c>
      <c r="N87" t="s">
        <v>380</v>
      </c>
      <c r="S87" t="s">
        <v>83</v>
      </c>
      <c r="T87" t="s">
        <v>1</v>
      </c>
      <c r="U87" t="s">
        <v>77</v>
      </c>
      <c r="V87" t="s">
        <v>84</v>
      </c>
      <c r="W87" t="s">
        <v>80</v>
      </c>
      <c r="X87" t="s">
        <v>81</v>
      </c>
    </row>
    <row r="88" spans="1:24" x14ac:dyDescent="0.25">
      <c r="A88" s="13" t="s">
        <v>158</v>
      </c>
      <c r="B88" t="s">
        <v>161</v>
      </c>
      <c r="E88" t="s">
        <v>113</v>
      </c>
      <c r="G88" t="s">
        <v>114</v>
      </c>
      <c r="H88">
        <v>1</v>
      </c>
      <c r="L88">
        <v>0</v>
      </c>
      <c r="M88">
        <v>3</v>
      </c>
      <c r="N88" t="s">
        <v>200</v>
      </c>
      <c r="S88" t="s">
        <v>85</v>
      </c>
      <c r="T88" t="s">
        <v>1</v>
      </c>
      <c r="U88" t="s">
        <v>77</v>
      </c>
      <c r="V88" t="s">
        <v>84</v>
      </c>
      <c r="W88" t="s">
        <v>4</v>
      </c>
      <c r="X88" t="s">
        <v>5</v>
      </c>
    </row>
    <row r="89" spans="1:24" x14ac:dyDescent="0.25">
      <c r="A89" s="13" t="s">
        <v>159</v>
      </c>
      <c r="B89" t="s">
        <v>162</v>
      </c>
      <c r="E89" t="s">
        <v>113</v>
      </c>
      <c r="G89" t="s">
        <v>114</v>
      </c>
      <c r="H89">
        <v>1</v>
      </c>
      <c r="L89">
        <v>0</v>
      </c>
      <c r="M89">
        <v>3</v>
      </c>
      <c r="N89" t="s">
        <v>201</v>
      </c>
      <c r="S89" t="s">
        <v>86</v>
      </c>
      <c r="T89" t="s">
        <v>1</v>
      </c>
      <c r="U89" t="s">
        <v>77</v>
      </c>
      <c r="V89" t="s">
        <v>84</v>
      </c>
      <c r="W89" t="s">
        <v>80</v>
      </c>
      <c r="X89" t="s">
        <v>81</v>
      </c>
    </row>
    <row r="90" spans="1:24" x14ac:dyDescent="0.25">
      <c r="A90" s="13" t="s">
        <v>250</v>
      </c>
      <c r="B90" t="s">
        <v>251</v>
      </c>
      <c r="E90" t="s">
        <v>113</v>
      </c>
      <c r="G90" t="s">
        <v>114</v>
      </c>
      <c r="H90">
        <v>1</v>
      </c>
      <c r="L90">
        <v>0</v>
      </c>
      <c r="M90">
        <v>3</v>
      </c>
      <c r="N90" t="s">
        <v>252</v>
      </c>
      <c r="S90" t="s">
        <v>87</v>
      </c>
      <c r="T90" t="s">
        <v>1</v>
      </c>
      <c r="U90" t="s">
        <v>77</v>
      </c>
      <c r="V90" t="s">
        <v>88</v>
      </c>
      <c r="W90" t="s">
        <v>80</v>
      </c>
      <c r="X90" t="s">
        <v>81</v>
      </c>
    </row>
    <row r="91" spans="1:24" x14ac:dyDescent="0.25">
      <c r="A91" s="13" t="s">
        <v>381</v>
      </c>
      <c r="B91" t="s">
        <v>251</v>
      </c>
      <c r="E91" t="s">
        <v>113</v>
      </c>
      <c r="G91" t="s">
        <v>114</v>
      </c>
      <c r="H91">
        <v>1</v>
      </c>
      <c r="L91">
        <v>0</v>
      </c>
      <c r="M91">
        <v>3</v>
      </c>
      <c r="N91" t="s">
        <v>382</v>
      </c>
      <c r="S91" t="s">
        <v>89</v>
      </c>
      <c r="T91" t="s">
        <v>1</v>
      </c>
      <c r="U91" t="s">
        <v>77</v>
      </c>
      <c r="V91" t="s">
        <v>88</v>
      </c>
      <c r="W91" t="s">
        <v>4</v>
      </c>
      <c r="X91" t="s">
        <v>5</v>
      </c>
    </row>
    <row r="92" spans="1:24" x14ac:dyDescent="0.25">
      <c r="A92" s="13" t="s">
        <v>383</v>
      </c>
      <c r="B92" t="s">
        <v>384</v>
      </c>
      <c r="E92" t="s">
        <v>113</v>
      </c>
      <c r="G92" t="s">
        <v>114</v>
      </c>
      <c r="H92">
        <v>1</v>
      </c>
      <c r="L92">
        <v>0</v>
      </c>
      <c r="M92">
        <v>3</v>
      </c>
      <c r="N92" t="s">
        <v>385</v>
      </c>
      <c r="S92" t="s">
        <v>90</v>
      </c>
      <c r="T92" t="s">
        <v>1</v>
      </c>
      <c r="U92" t="s">
        <v>77</v>
      </c>
      <c r="V92" t="s">
        <v>88</v>
      </c>
      <c r="W92" t="s">
        <v>80</v>
      </c>
      <c r="X92" t="s">
        <v>81</v>
      </c>
    </row>
    <row r="93" spans="1:24" x14ac:dyDescent="0.25">
      <c r="A93" s="13" t="s">
        <v>171</v>
      </c>
      <c r="B93" t="s">
        <v>164</v>
      </c>
      <c r="E93" t="s">
        <v>113</v>
      </c>
      <c r="G93" t="s">
        <v>114</v>
      </c>
      <c r="H93">
        <v>1</v>
      </c>
      <c r="L93">
        <v>0</v>
      </c>
      <c r="M93">
        <v>3</v>
      </c>
      <c r="N93" t="s">
        <v>202</v>
      </c>
      <c r="S93" t="s">
        <v>91</v>
      </c>
      <c r="T93" t="s">
        <v>1</v>
      </c>
      <c r="U93" t="s">
        <v>77</v>
      </c>
      <c r="V93" t="s">
        <v>92</v>
      </c>
      <c r="W93" t="s">
        <v>4</v>
      </c>
      <c r="X93" t="s">
        <v>5</v>
      </c>
    </row>
    <row r="94" spans="1:24" x14ac:dyDescent="0.25">
      <c r="A94" s="13" t="s">
        <v>168</v>
      </c>
      <c r="B94" t="s">
        <v>165</v>
      </c>
      <c r="E94" t="s">
        <v>113</v>
      </c>
      <c r="G94" t="s">
        <v>114</v>
      </c>
      <c r="H94">
        <v>1</v>
      </c>
      <c r="L94">
        <v>0</v>
      </c>
      <c r="M94">
        <v>3</v>
      </c>
      <c r="N94" t="s">
        <v>203</v>
      </c>
      <c r="S94" t="s">
        <v>93</v>
      </c>
      <c r="T94" t="s">
        <v>1</v>
      </c>
      <c r="U94" t="s">
        <v>77</v>
      </c>
      <c r="V94" t="s">
        <v>92</v>
      </c>
      <c r="W94" t="s">
        <v>80</v>
      </c>
      <c r="X94" t="s">
        <v>81</v>
      </c>
    </row>
    <row r="95" spans="1:24" x14ac:dyDescent="0.25">
      <c r="A95" s="13" t="s">
        <v>386</v>
      </c>
      <c r="B95" t="s">
        <v>387</v>
      </c>
      <c r="E95" t="s">
        <v>113</v>
      </c>
      <c r="G95" t="s">
        <v>114</v>
      </c>
      <c r="H95">
        <v>1</v>
      </c>
      <c r="L95">
        <v>0</v>
      </c>
      <c r="M95">
        <v>3</v>
      </c>
      <c r="N95" t="s">
        <v>377</v>
      </c>
      <c r="S95" t="s">
        <v>94</v>
      </c>
      <c r="T95" t="s">
        <v>1</v>
      </c>
      <c r="U95" t="s">
        <v>77</v>
      </c>
      <c r="V95" t="s">
        <v>92</v>
      </c>
      <c r="W95" t="s">
        <v>80</v>
      </c>
      <c r="X95" t="s">
        <v>81</v>
      </c>
    </row>
    <row r="96" spans="1:24" x14ac:dyDescent="0.25">
      <c r="A96" s="13" t="s">
        <v>388</v>
      </c>
      <c r="B96" t="s">
        <v>389</v>
      </c>
      <c r="E96" t="s">
        <v>113</v>
      </c>
      <c r="G96" t="s">
        <v>114</v>
      </c>
      <c r="H96">
        <v>1</v>
      </c>
      <c r="L96">
        <v>0</v>
      </c>
      <c r="M96">
        <v>3</v>
      </c>
      <c r="N96" t="s">
        <v>390</v>
      </c>
    </row>
    <row r="97" spans="1:14" x14ac:dyDescent="0.25">
      <c r="A97" s="13" t="s">
        <v>169</v>
      </c>
      <c r="B97" t="s">
        <v>166</v>
      </c>
      <c r="E97" t="s">
        <v>113</v>
      </c>
      <c r="G97" t="s">
        <v>114</v>
      </c>
      <c r="H97">
        <v>1</v>
      </c>
      <c r="L97">
        <v>0</v>
      </c>
      <c r="M97">
        <v>3</v>
      </c>
      <c r="N97" t="s">
        <v>204</v>
      </c>
    </row>
    <row r="98" spans="1:14" x14ac:dyDescent="0.25">
      <c r="A98" s="13" t="s">
        <v>170</v>
      </c>
      <c r="B98" t="s">
        <v>167</v>
      </c>
      <c r="E98" t="s">
        <v>113</v>
      </c>
      <c r="G98" t="s">
        <v>114</v>
      </c>
      <c r="H98">
        <v>1</v>
      </c>
      <c r="L98">
        <v>0</v>
      </c>
      <c r="M98">
        <v>3</v>
      </c>
      <c r="N98" t="s">
        <v>205</v>
      </c>
    </row>
    <row r="99" spans="1:14" x14ac:dyDescent="0.25">
      <c r="A99" s="13" t="s">
        <v>253</v>
      </c>
      <c r="B99" t="s">
        <v>254</v>
      </c>
      <c r="E99" t="s">
        <v>113</v>
      </c>
      <c r="G99" t="s">
        <v>114</v>
      </c>
      <c r="H99">
        <v>1</v>
      </c>
      <c r="L99">
        <v>0</v>
      </c>
      <c r="M99">
        <v>3</v>
      </c>
      <c r="N99" t="s">
        <v>255</v>
      </c>
    </row>
    <row r="100" spans="1:14" x14ac:dyDescent="0.25">
      <c r="A100" s="13" t="s">
        <v>391</v>
      </c>
      <c r="B100" t="s">
        <v>392</v>
      </c>
      <c r="E100" t="s">
        <v>113</v>
      </c>
      <c r="G100" t="s">
        <v>114</v>
      </c>
      <c r="H100">
        <v>1</v>
      </c>
      <c r="L100">
        <v>0</v>
      </c>
      <c r="M100">
        <v>3</v>
      </c>
      <c r="N100" t="s">
        <v>393</v>
      </c>
    </row>
    <row r="101" spans="1:14" x14ac:dyDescent="0.25">
      <c r="A101" s="13" t="s">
        <v>394</v>
      </c>
      <c r="B101" t="s">
        <v>395</v>
      </c>
      <c r="E101" t="s">
        <v>113</v>
      </c>
      <c r="G101" t="s">
        <v>114</v>
      </c>
      <c r="H101">
        <v>1</v>
      </c>
      <c r="L101">
        <v>0</v>
      </c>
      <c r="M101">
        <v>3</v>
      </c>
      <c r="N101" t="s">
        <v>396</v>
      </c>
    </row>
    <row r="102" spans="1:14" x14ac:dyDescent="0.25">
      <c r="A102" t="s">
        <v>172</v>
      </c>
    </row>
    <row r="103" spans="1:14" x14ac:dyDescent="0.25">
      <c r="A103" s="14" t="s">
        <v>173</v>
      </c>
      <c r="B103" s="14" t="s">
        <v>163</v>
      </c>
      <c r="I103">
        <v>1</v>
      </c>
      <c r="L103">
        <v>0</v>
      </c>
      <c r="M103">
        <v>3</v>
      </c>
    </row>
    <row r="104" spans="1:14" x14ac:dyDescent="0.25">
      <c r="A104" s="14" t="s">
        <v>174</v>
      </c>
      <c r="B104" s="14" t="s">
        <v>160</v>
      </c>
      <c r="I104">
        <v>1</v>
      </c>
      <c r="L104">
        <v>0</v>
      </c>
      <c r="M104">
        <v>3</v>
      </c>
    </row>
    <row r="105" spans="1:14" x14ac:dyDescent="0.25">
      <c r="A105" s="14" t="s">
        <v>397</v>
      </c>
      <c r="B105" s="14" t="s">
        <v>376</v>
      </c>
      <c r="I105">
        <v>1</v>
      </c>
      <c r="L105">
        <v>0</v>
      </c>
      <c r="M105">
        <v>3</v>
      </c>
    </row>
    <row r="106" spans="1:14" x14ac:dyDescent="0.25">
      <c r="A106" s="14" t="s">
        <v>398</v>
      </c>
      <c r="B106" s="14" t="s">
        <v>379</v>
      </c>
      <c r="I106">
        <v>1</v>
      </c>
      <c r="L106">
        <v>0</v>
      </c>
      <c r="M106">
        <v>3</v>
      </c>
    </row>
    <row r="107" spans="1:14" x14ac:dyDescent="0.25">
      <c r="A107" s="14" t="s">
        <v>175</v>
      </c>
      <c r="B107" s="14" t="s">
        <v>161</v>
      </c>
      <c r="I107">
        <v>1</v>
      </c>
      <c r="L107">
        <v>0</v>
      </c>
      <c r="M107">
        <v>3</v>
      </c>
    </row>
    <row r="108" spans="1:14" x14ac:dyDescent="0.25">
      <c r="A108" s="14" t="s">
        <v>176</v>
      </c>
      <c r="B108" s="14" t="s">
        <v>162</v>
      </c>
      <c r="I108">
        <v>1</v>
      </c>
      <c r="L108">
        <v>0</v>
      </c>
      <c r="M108">
        <v>3</v>
      </c>
    </row>
    <row r="109" spans="1:14" x14ac:dyDescent="0.25">
      <c r="A109" s="14" t="s">
        <v>256</v>
      </c>
      <c r="B109" s="14" t="s">
        <v>251</v>
      </c>
      <c r="I109">
        <v>1</v>
      </c>
      <c r="L109">
        <v>0</v>
      </c>
      <c r="M109">
        <v>3</v>
      </c>
    </row>
    <row r="110" spans="1:14" x14ac:dyDescent="0.25">
      <c r="A110" s="14" t="s">
        <v>399</v>
      </c>
      <c r="B110" s="14" t="s">
        <v>400</v>
      </c>
      <c r="I110">
        <v>1</v>
      </c>
      <c r="L110">
        <v>0</v>
      </c>
      <c r="M110">
        <v>3</v>
      </c>
    </row>
    <row r="111" spans="1:14" x14ac:dyDescent="0.25">
      <c r="A111" s="14" t="s">
        <v>401</v>
      </c>
      <c r="B111" s="14" t="s">
        <v>384</v>
      </c>
      <c r="I111">
        <v>1</v>
      </c>
      <c r="L111">
        <v>0</v>
      </c>
      <c r="M111">
        <v>3</v>
      </c>
    </row>
    <row r="112" spans="1:14" x14ac:dyDescent="0.25">
      <c r="A112" s="15" t="s">
        <v>177</v>
      </c>
      <c r="B112" s="15" t="s">
        <v>163</v>
      </c>
      <c r="D112" t="s">
        <v>120</v>
      </c>
      <c r="H112">
        <v>0.29305555555555551</v>
      </c>
      <c r="L112">
        <v>0</v>
      </c>
      <c r="M112">
        <v>3</v>
      </c>
    </row>
    <row r="113" spans="1:13" x14ac:dyDescent="0.25">
      <c r="A113" s="15" t="s">
        <v>178</v>
      </c>
      <c r="B113" s="15" t="s">
        <v>160</v>
      </c>
      <c r="D113" t="s">
        <v>120</v>
      </c>
      <c r="H113">
        <v>0.29305555555555551</v>
      </c>
      <c r="L113">
        <v>0</v>
      </c>
      <c r="M113">
        <v>3</v>
      </c>
    </row>
    <row r="114" spans="1:13" x14ac:dyDescent="0.25">
      <c r="A114" s="15" t="s">
        <v>402</v>
      </c>
      <c r="B114" s="15" t="s">
        <v>376</v>
      </c>
      <c r="D114" t="s">
        <v>120</v>
      </c>
      <c r="H114">
        <v>0.29305555555555551</v>
      </c>
      <c r="L114">
        <v>0</v>
      </c>
      <c r="M114">
        <v>3</v>
      </c>
    </row>
    <row r="115" spans="1:13" x14ac:dyDescent="0.25">
      <c r="A115" s="15" t="s">
        <v>403</v>
      </c>
      <c r="B115" s="15" t="s">
        <v>379</v>
      </c>
      <c r="D115" t="s">
        <v>120</v>
      </c>
      <c r="H115">
        <v>0.29305555555555551</v>
      </c>
      <c r="L115">
        <v>0</v>
      </c>
      <c r="M115">
        <v>3</v>
      </c>
    </row>
    <row r="116" spans="1:13" x14ac:dyDescent="0.25">
      <c r="A116" s="15" t="s">
        <v>179</v>
      </c>
      <c r="B116" s="15" t="s">
        <v>161</v>
      </c>
      <c r="D116" t="s">
        <v>120</v>
      </c>
      <c r="H116">
        <v>0.29305555555555551</v>
      </c>
      <c r="L116">
        <v>0</v>
      </c>
      <c r="M116">
        <v>3</v>
      </c>
    </row>
    <row r="117" spans="1:13" x14ac:dyDescent="0.25">
      <c r="A117" s="15" t="s">
        <v>180</v>
      </c>
      <c r="B117" s="15" t="s">
        <v>162</v>
      </c>
      <c r="D117" t="s">
        <v>120</v>
      </c>
      <c r="H117">
        <v>0.29305555555555551</v>
      </c>
      <c r="L117">
        <v>0</v>
      </c>
      <c r="M117">
        <v>3</v>
      </c>
    </row>
    <row r="118" spans="1:13" x14ac:dyDescent="0.25">
      <c r="A118" s="15" t="s">
        <v>257</v>
      </c>
      <c r="B118" s="15" t="s">
        <v>251</v>
      </c>
      <c r="D118" t="s">
        <v>120</v>
      </c>
      <c r="H118">
        <v>0.29305555555555551</v>
      </c>
      <c r="L118">
        <v>0</v>
      </c>
      <c r="M118">
        <v>3</v>
      </c>
    </row>
    <row r="119" spans="1:13" x14ac:dyDescent="0.25">
      <c r="A119" s="15" t="s">
        <v>404</v>
      </c>
      <c r="B119" s="15" t="s">
        <v>400</v>
      </c>
      <c r="D119" t="s">
        <v>120</v>
      </c>
      <c r="H119">
        <v>0.29305555555555551</v>
      </c>
      <c r="L119">
        <v>0</v>
      </c>
      <c r="M119">
        <v>3</v>
      </c>
    </row>
    <row r="120" spans="1:13" x14ac:dyDescent="0.25">
      <c r="A120" s="15" t="s">
        <v>405</v>
      </c>
      <c r="B120" s="15" t="s">
        <v>384</v>
      </c>
      <c r="D120" t="s">
        <v>120</v>
      </c>
      <c r="H120">
        <v>0.29305555555555551</v>
      </c>
      <c r="L120">
        <v>0</v>
      </c>
      <c r="M120">
        <v>3</v>
      </c>
    </row>
    <row r="121" spans="1:13" x14ac:dyDescent="0.25">
      <c r="A121" t="s">
        <v>190</v>
      </c>
      <c r="B121" t="s">
        <v>163</v>
      </c>
      <c r="K121">
        <v>1</v>
      </c>
      <c r="L121">
        <v>0</v>
      </c>
      <c r="M121">
        <v>3</v>
      </c>
    </row>
    <row r="122" spans="1:13" x14ac:dyDescent="0.25">
      <c r="A122" t="s">
        <v>191</v>
      </c>
      <c r="B122" t="s">
        <v>160</v>
      </c>
      <c r="K122">
        <v>1</v>
      </c>
      <c r="L122">
        <v>0</v>
      </c>
      <c r="M122">
        <v>3</v>
      </c>
    </row>
    <row r="123" spans="1:13" x14ac:dyDescent="0.25">
      <c r="A123" t="s">
        <v>192</v>
      </c>
      <c r="B123" t="s">
        <v>161</v>
      </c>
      <c r="K123">
        <v>1</v>
      </c>
      <c r="L123">
        <v>0</v>
      </c>
      <c r="M123">
        <v>3</v>
      </c>
    </row>
    <row r="124" spans="1:13" x14ac:dyDescent="0.25">
      <c r="A124" t="s">
        <v>193</v>
      </c>
      <c r="B124" t="s">
        <v>162</v>
      </c>
      <c r="K124">
        <v>1</v>
      </c>
      <c r="L124">
        <v>0</v>
      </c>
      <c r="M124">
        <v>3</v>
      </c>
    </row>
    <row r="125" spans="1:13" x14ac:dyDescent="0.25">
      <c r="A125" t="s">
        <v>172</v>
      </c>
    </row>
    <row r="126" spans="1:13" x14ac:dyDescent="0.25">
      <c r="A126" s="14" t="s">
        <v>181</v>
      </c>
      <c r="B126" s="14" t="s">
        <v>164</v>
      </c>
      <c r="I126">
        <v>1</v>
      </c>
      <c r="L126">
        <v>0</v>
      </c>
      <c r="M126">
        <v>3</v>
      </c>
    </row>
    <row r="127" spans="1:13" x14ac:dyDescent="0.25">
      <c r="A127" s="14" t="s">
        <v>182</v>
      </c>
      <c r="B127" s="14" t="s">
        <v>165</v>
      </c>
      <c r="I127">
        <v>1</v>
      </c>
      <c r="L127">
        <v>0</v>
      </c>
      <c r="M127">
        <v>3</v>
      </c>
    </row>
    <row r="128" spans="1:13" x14ac:dyDescent="0.25">
      <c r="A128" s="14" t="s">
        <v>406</v>
      </c>
      <c r="B128" s="14" t="s">
        <v>387</v>
      </c>
      <c r="I128">
        <v>1</v>
      </c>
      <c r="L128">
        <v>0</v>
      </c>
      <c r="M128">
        <v>3</v>
      </c>
    </row>
    <row r="129" spans="1:13" x14ac:dyDescent="0.25">
      <c r="A129" s="14" t="s">
        <v>407</v>
      </c>
      <c r="B129" s="14" t="s">
        <v>389</v>
      </c>
      <c r="I129">
        <v>1</v>
      </c>
      <c r="L129">
        <v>0</v>
      </c>
      <c r="M129">
        <v>3</v>
      </c>
    </row>
    <row r="130" spans="1:13" x14ac:dyDescent="0.25">
      <c r="A130" s="14" t="s">
        <v>183</v>
      </c>
      <c r="B130" s="14" t="s">
        <v>166</v>
      </c>
      <c r="I130">
        <v>1</v>
      </c>
      <c r="L130">
        <v>0</v>
      </c>
      <c r="M130">
        <v>3</v>
      </c>
    </row>
    <row r="131" spans="1:13" x14ac:dyDescent="0.25">
      <c r="A131" s="14" t="s">
        <v>184</v>
      </c>
      <c r="B131" s="14" t="s">
        <v>167</v>
      </c>
      <c r="I131">
        <v>1</v>
      </c>
      <c r="L131">
        <v>0</v>
      </c>
      <c r="M131">
        <v>3</v>
      </c>
    </row>
    <row r="132" spans="1:13" x14ac:dyDescent="0.25">
      <c r="A132" s="14" t="s">
        <v>258</v>
      </c>
      <c r="B132" s="14" t="s">
        <v>254</v>
      </c>
      <c r="I132">
        <v>1</v>
      </c>
      <c r="L132">
        <v>0</v>
      </c>
      <c r="M132">
        <v>3</v>
      </c>
    </row>
    <row r="133" spans="1:13" x14ac:dyDescent="0.25">
      <c r="A133" s="14" t="s">
        <v>408</v>
      </c>
      <c r="B133" s="14" t="s">
        <v>392</v>
      </c>
      <c r="I133">
        <v>1</v>
      </c>
      <c r="L133">
        <v>0</v>
      </c>
      <c r="M133">
        <v>3</v>
      </c>
    </row>
    <row r="134" spans="1:13" x14ac:dyDescent="0.25">
      <c r="A134" s="14" t="s">
        <v>409</v>
      </c>
      <c r="B134" s="14" t="s">
        <v>395</v>
      </c>
      <c r="I134">
        <v>1</v>
      </c>
      <c r="L134">
        <v>0</v>
      </c>
      <c r="M134">
        <v>3</v>
      </c>
    </row>
    <row r="135" spans="1:13" x14ac:dyDescent="0.25">
      <c r="A135" t="s">
        <v>185</v>
      </c>
      <c r="B135" s="15" t="s">
        <v>164</v>
      </c>
      <c r="D135" t="s">
        <v>189</v>
      </c>
      <c r="H135" s="15">
        <v>1</v>
      </c>
      <c r="L135">
        <v>0</v>
      </c>
      <c r="M135">
        <v>3</v>
      </c>
    </row>
    <row r="136" spans="1:13" x14ac:dyDescent="0.25">
      <c r="A136" t="s">
        <v>186</v>
      </c>
      <c r="B136" s="15" t="s">
        <v>165</v>
      </c>
      <c r="D136" t="s">
        <v>189</v>
      </c>
      <c r="H136" s="15">
        <v>1</v>
      </c>
      <c r="L136">
        <v>0</v>
      </c>
      <c r="M136">
        <v>3</v>
      </c>
    </row>
    <row r="137" spans="1:13" x14ac:dyDescent="0.25">
      <c r="A137" t="s">
        <v>410</v>
      </c>
      <c r="B137" s="15" t="s">
        <v>387</v>
      </c>
      <c r="D137" t="s">
        <v>189</v>
      </c>
      <c r="H137" s="15">
        <v>1</v>
      </c>
      <c r="L137">
        <v>0</v>
      </c>
      <c r="M137">
        <v>3</v>
      </c>
    </row>
    <row r="138" spans="1:13" x14ac:dyDescent="0.25">
      <c r="A138" t="s">
        <v>411</v>
      </c>
      <c r="B138" s="15" t="s">
        <v>389</v>
      </c>
      <c r="D138" t="s">
        <v>189</v>
      </c>
      <c r="H138" s="15">
        <v>1</v>
      </c>
      <c r="L138">
        <v>0</v>
      </c>
      <c r="M138">
        <v>3</v>
      </c>
    </row>
    <row r="139" spans="1:13" x14ac:dyDescent="0.25">
      <c r="A139" t="s">
        <v>187</v>
      </c>
      <c r="B139" s="15" t="s">
        <v>166</v>
      </c>
      <c r="D139" t="s">
        <v>189</v>
      </c>
      <c r="H139" s="15">
        <v>1</v>
      </c>
      <c r="L139">
        <v>0</v>
      </c>
      <c r="M139">
        <v>3</v>
      </c>
    </row>
    <row r="140" spans="1:13" x14ac:dyDescent="0.25">
      <c r="A140" t="s">
        <v>188</v>
      </c>
      <c r="B140" s="15" t="s">
        <v>167</v>
      </c>
      <c r="D140" t="s">
        <v>189</v>
      </c>
      <c r="H140" s="15">
        <v>1</v>
      </c>
      <c r="L140">
        <v>0</v>
      </c>
      <c r="M140">
        <v>3</v>
      </c>
    </row>
    <row r="141" spans="1:13" x14ac:dyDescent="0.25">
      <c r="A141" t="s">
        <v>259</v>
      </c>
      <c r="B141" s="15" t="s">
        <v>254</v>
      </c>
      <c r="D141" t="s">
        <v>189</v>
      </c>
      <c r="H141" s="15">
        <v>1</v>
      </c>
      <c r="L141">
        <v>0</v>
      </c>
      <c r="M141">
        <v>3</v>
      </c>
    </row>
    <row r="142" spans="1:13" x14ac:dyDescent="0.25">
      <c r="A142" t="s">
        <v>412</v>
      </c>
      <c r="B142" s="15" t="s">
        <v>392</v>
      </c>
      <c r="D142" t="s">
        <v>189</v>
      </c>
      <c r="H142" s="15">
        <v>1</v>
      </c>
      <c r="L142">
        <v>0</v>
      </c>
      <c r="M142">
        <v>3</v>
      </c>
    </row>
    <row r="143" spans="1:13" x14ac:dyDescent="0.25">
      <c r="A143" t="s">
        <v>413</v>
      </c>
      <c r="B143" s="15" t="s">
        <v>395</v>
      </c>
      <c r="D143" t="s">
        <v>189</v>
      </c>
      <c r="H143" s="15">
        <v>1</v>
      </c>
      <c r="L143">
        <v>0</v>
      </c>
      <c r="M143">
        <v>3</v>
      </c>
    </row>
    <row r="144" spans="1:13" x14ac:dyDescent="0.25">
      <c r="A144" t="s">
        <v>194</v>
      </c>
      <c r="B144" t="s">
        <v>164</v>
      </c>
      <c r="K144">
        <v>1</v>
      </c>
      <c r="L144">
        <v>0</v>
      </c>
      <c r="M144">
        <v>3</v>
      </c>
    </row>
    <row r="145" spans="1:13" x14ac:dyDescent="0.25">
      <c r="A145" t="s">
        <v>195</v>
      </c>
      <c r="B145" t="s">
        <v>165</v>
      </c>
      <c r="K145">
        <v>1</v>
      </c>
      <c r="L145">
        <v>0</v>
      </c>
      <c r="M145">
        <v>3</v>
      </c>
    </row>
    <row r="146" spans="1:13" x14ac:dyDescent="0.25">
      <c r="A146" t="s">
        <v>196</v>
      </c>
      <c r="B146" t="s">
        <v>166</v>
      </c>
      <c r="K146">
        <v>1</v>
      </c>
      <c r="L146">
        <v>0</v>
      </c>
      <c r="M146">
        <v>3</v>
      </c>
    </row>
    <row r="147" spans="1:13" x14ac:dyDescent="0.25">
      <c r="A147" t="s">
        <v>197</v>
      </c>
      <c r="B147" t="s">
        <v>167</v>
      </c>
      <c r="K147">
        <v>1</v>
      </c>
      <c r="L147">
        <v>0</v>
      </c>
      <c r="M147">
        <v>3</v>
      </c>
    </row>
    <row r="148" spans="1:13" x14ac:dyDescent="0.25">
      <c r="A148" t="s">
        <v>172</v>
      </c>
    </row>
    <row r="149" spans="1:13" x14ac:dyDescent="0.25">
      <c r="A149" t="str">
        <f>"UCrepWEPS_sucn_tech-"&amp;RIGHT(B149,4) &amp; "g"</f>
        <v>UCrepWEPS_sucn_tech-N-CTg</v>
      </c>
      <c r="B149" t="s">
        <v>210</v>
      </c>
      <c r="E149" t="s">
        <v>113</v>
      </c>
      <c r="G149" t="s">
        <v>114</v>
      </c>
      <c r="H149">
        <v>1</v>
      </c>
      <c r="L149">
        <v>0</v>
      </c>
      <c r="M149">
        <v>3</v>
      </c>
    </row>
    <row r="150" spans="1:13" x14ac:dyDescent="0.25">
      <c r="A150" t="str">
        <f>"UCrepWEPS_sucn_tech-"&amp;RIGHT(B150,4) &amp; "g"</f>
        <v>UCrepWEPS_sucn_tech-N-CCg</v>
      </c>
      <c r="B150" t="s">
        <v>211</v>
      </c>
      <c r="E150" t="s">
        <v>113</v>
      </c>
      <c r="G150" t="s">
        <v>114</v>
      </c>
      <c r="H150">
        <v>1</v>
      </c>
      <c r="L150">
        <v>0</v>
      </c>
      <c r="M150">
        <v>3</v>
      </c>
    </row>
    <row r="151" spans="1:13" x14ac:dyDescent="0.25">
      <c r="A151" t="str">
        <f>"UCrepWEPS_sucn_tech-"&amp;RIGHT(B151,4) &amp; "g"</f>
        <v>UCrepWEPS_sucn_tech-E-CTg</v>
      </c>
      <c r="B151" t="s">
        <v>212</v>
      </c>
      <c r="E151" t="s">
        <v>113</v>
      </c>
      <c r="G151" t="s">
        <v>114</v>
      </c>
      <c r="H151">
        <v>1</v>
      </c>
      <c r="L151">
        <v>0</v>
      </c>
      <c r="M151">
        <v>3</v>
      </c>
    </row>
    <row r="152" spans="1:13" x14ac:dyDescent="0.25">
      <c r="A152" t="str">
        <f>"UCrepWEPS_sucn_tech-"&amp;RIGHT(B152,4) &amp; "g"</f>
        <v>UCrepWEPS_sucn_tech-E-CCg</v>
      </c>
      <c r="B152" t="s">
        <v>213</v>
      </c>
      <c r="E152" t="s">
        <v>113</v>
      </c>
      <c r="G152" t="s">
        <v>114</v>
      </c>
      <c r="H152">
        <v>1</v>
      </c>
      <c r="L152">
        <v>0</v>
      </c>
      <c r="M152">
        <v>3</v>
      </c>
    </row>
    <row r="153" spans="1:13" x14ac:dyDescent="0.25">
      <c r="A153" t="str">
        <f>"UCrepWEPS_sucn_tech-"&amp;RIGHT(B153,4) &amp; "g"</f>
        <v>UCrepWEPS_sucn_tech-E-STg</v>
      </c>
      <c r="B153" t="s">
        <v>214</v>
      </c>
      <c r="E153" t="s">
        <v>113</v>
      </c>
      <c r="G153" t="s">
        <v>114</v>
      </c>
      <c r="H153">
        <v>1</v>
      </c>
      <c r="L153">
        <v>0</v>
      </c>
      <c r="M153">
        <v>3</v>
      </c>
    </row>
    <row r="154" spans="1:13" x14ac:dyDescent="0.25">
      <c r="A154" t="str">
        <f>"UCrepWEPS_sucp_tech-"&amp;RIGHT(B154,4) &amp; "g"</f>
        <v>UCrepWEPS_sucp_tech-N-CTg</v>
      </c>
      <c r="B154" t="str">
        <f t="shared" ref="B154:B168" si="14">B149</f>
        <v>EGasOil_N-CT</v>
      </c>
      <c r="I154">
        <v>1</v>
      </c>
      <c r="L154">
        <v>0</v>
      </c>
      <c r="M154">
        <v>3</v>
      </c>
    </row>
    <row r="155" spans="1:13" x14ac:dyDescent="0.25">
      <c r="A155" t="str">
        <f>"UCrepWEPS_sucp_tech-"&amp;RIGHT(B155,4) &amp; "g"</f>
        <v>UCrepWEPS_sucp_tech-N-CCg</v>
      </c>
      <c r="B155" t="str">
        <f t="shared" si="14"/>
        <v>EGasOil_N-CC</v>
      </c>
      <c r="I155">
        <v>1</v>
      </c>
      <c r="L155">
        <v>0</v>
      </c>
      <c r="M155">
        <v>3</v>
      </c>
    </row>
    <row r="156" spans="1:13" x14ac:dyDescent="0.25">
      <c r="A156" t="str">
        <f>"UCrepWEPS_sucp_tech-"&amp;RIGHT(B156,4) &amp; "g"</f>
        <v>UCrepWEPS_sucp_tech-E-CTg</v>
      </c>
      <c r="B156" t="str">
        <f t="shared" si="14"/>
        <v>EGasOil_E-CT</v>
      </c>
      <c r="I156">
        <v>1</v>
      </c>
      <c r="L156">
        <v>0</v>
      </c>
      <c r="M156">
        <v>3</v>
      </c>
    </row>
    <row r="157" spans="1:13" x14ac:dyDescent="0.25">
      <c r="A157" t="str">
        <f>"UCrepWEPS_sucp_tech-"&amp;RIGHT(B157,4) &amp; "g"</f>
        <v>UCrepWEPS_sucp_tech-E-CCg</v>
      </c>
      <c r="B157" t="str">
        <f t="shared" si="14"/>
        <v>EGasOil_E-CC</v>
      </c>
      <c r="I157">
        <v>1</v>
      </c>
      <c r="L157">
        <v>0</v>
      </c>
      <c r="M157">
        <v>3</v>
      </c>
    </row>
    <row r="158" spans="1:13" x14ac:dyDescent="0.25">
      <c r="A158" t="str">
        <f>"UCrepWEPS_sucp_tech-"&amp;RIGHT(B158,4) &amp; "g"</f>
        <v>UCrepWEPS_sucp_tech-E-STg</v>
      </c>
      <c r="B158" t="str">
        <f t="shared" si="14"/>
        <v>EGasOil_E-ST</v>
      </c>
      <c r="I158">
        <v>1</v>
      </c>
      <c r="L158">
        <v>0</v>
      </c>
      <c r="M158">
        <v>3</v>
      </c>
    </row>
    <row r="159" spans="1:13" x14ac:dyDescent="0.25">
      <c r="A159" t="str">
        <f>"UCrepWEPS_sugn_tech-"&amp;RIGHT(B159,4) &amp; "g"</f>
        <v>UCrepWEPS_sugn_tech-N-CTg</v>
      </c>
      <c r="B159" t="str">
        <f t="shared" si="14"/>
        <v>EGasOil_N-CT</v>
      </c>
      <c r="J159">
        <f t="shared" ref="J159:J163" si="15">1.055/3.6</f>
        <v>0.29305555555555551</v>
      </c>
      <c r="L159">
        <v>0</v>
      </c>
      <c r="M159">
        <v>3</v>
      </c>
    </row>
    <row r="160" spans="1:13" x14ac:dyDescent="0.25">
      <c r="A160" t="str">
        <f>"UCrepWEPS_sugn_tech-"&amp;RIGHT(B160,4) &amp; "g"</f>
        <v>UCrepWEPS_sugn_tech-N-CCg</v>
      </c>
      <c r="B160" t="str">
        <f t="shared" si="14"/>
        <v>EGasOil_N-CC</v>
      </c>
      <c r="J160">
        <f t="shared" si="15"/>
        <v>0.29305555555555551</v>
      </c>
      <c r="L160">
        <v>0</v>
      </c>
      <c r="M160">
        <v>3</v>
      </c>
    </row>
    <row r="161" spans="1:13" x14ac:dyDescent="0.25">
      <c r="A161" t="str">
        <f>"UCrepWEPS_sugn_tech-"&amp;RIGHT(B161,4) &amp; "g"</f>
        <v>UCrepWEPS_sugn_tech-E-CTg</v>
      </c>
      <c r="B161" t="str">
        <f t="shared" si="14"/>
        <v>EGasOil_E-CT</v>
      </c>
      <c r="J161">
        <f t="shared" si="15"/>
        <v>0.29305555555555551</v>
      </c>
      <c r="L161">
        <v>0</v>
      </c>
      <c r="M161">
        <v>3</v>
      </c>
    </row>
    <row r="162" spans="1:13" x14ac:dyDescent="0.25">
      <c r="A162" t="str">
        <f>"UCrepWEPS_sugn_tech-"&amp;RIGHT(B162,4) &amp; "g"</f>
        <v>UCrepWEPS_sugn_tech-E-CCg</v>
      </c>
      <c r="B162" t="str">
        <f t="shared" si="14"/>
        <v>EGasOil_E-CC</v>
      </c>
      <c r="J162">
        <f t="shared" si="15"/>
        <v>0.29305555555555551</v>
      </c>
      <c r="L162">
        <v>0</v>
      </c>
      <c r="M162">
        <v>3</v>
      </c>
    </row>
    <row r="163" spans="1:13" x14ac:dyDescent="0.25">
      <c r="A163" t="str">
        <f>"UCrepWEPS_sugn_tech-"&amp;RIGHT(B163,4) &amp; "g"</f>
        <v>UCrepWEPS_sugn_tech-E-STg</v>
      </c>
      <c r="B163" t="str">
        <f t="shared" si="14"/>
        <v>EGasOil_E-ST</v>
      </c>
      <c r="J163">
        <f t="shared" si="15"/>
        <v>0.29305555555555551</v>
      </c>
      <c r="L163">
        <v>0</v>
      </c>
      <c r="M163">
        <v>3</v>
      </c>
    </row>
    <row r="164" spans="1:13" x14ac:dyDescent="0.25">
      <c r="A164" t="str">
        <f>"UCrepWEPS_sucp_tech_new-"&amp;RIGHT(B164,4) &amp; "g"</f>
        <v>UCrepWEPS_sucp_tech_new-N-CTg</v>
      </c>
      <c r="B164" t="str">
        <f t="shared" si="14"/>
        <v>EGasOil_N-CT</v>
      </c>
      <c r="K164">
        <v>1</v>
      </c>
      <c r="L164">
        <v>0</v>
      </c>
      <c r="M164">
        <v>3</v>
      </c>
    </row>
    <row r="165" spans="1:13" x14ac:dyDescent="0.25">
      <c r="A165" t="str">
        <f>"UCrepWEPS_sucp_tech_new-"&amp;RIGHT(B165,4) &amp; "g"</f>
        <v>UCrepWEPS_sucp_tech_new-N-CCg</v>
      </c>
      <c r="B165" t="str">
        <f t="shared" si="14"/>
        <v>EGasOil_N-CC</v>
      </c>
      <c r="K165">
        <v>1</v>
      </c>
      <c r="L165">
        <v>0</v>
      </c>
      <c r="M165">
        <v>3</v>
      </c>
    </row>
    <row r="166" spans="1:13" x14ac:dyDescent="0.25">
      <c r="A166" t="str">
        <f>"UCrepWEPS_sucp_tech_new-"&amp;RIGHT(B166,4) &amp; "g"</f>
        <v>UCrepWEPS_sucp_tech_new-E-CTg</v>
      </c>
      <c r="B166" t="str">
        <f t="shared" si="14"/>
        <v>EGasOil_E-CT</v>
      </c>
      <c r="K166">
        <v>1</v>
      </c>
      <c r="L166">
        <v>0</v>
      </c>
      <c r="M166">
        <v>3</v>
      </c>
    </row>
    <row r="167" spans="1:13" x14ac:dyDescent="0.25">
      <c r="A167" t="str">
        <f>"UCrepWEPS_sucp_tech_new-"&amp;RIGHT(B167,4) &amp; "g"</f>
        <v>UCrepWEPS_sucp_tech_new-E-CCg</v>
      </c>
      <c r="B167" t="str">
        <f t="shared" si="14"/>
        <v>EGasOil_E-CC</v>
      </c>
      <c r="K167">
        <v>1</v>
      </c>
      <c r="L167">
        <v>0</v>
      </c>
      <c r="M167">
        <v>3</v>
      </c>
    </row>
    <row r="168" spans="1:13" x14ac:dyDescent="0.25">
      <c r="A168" t="str">
        <f>"UCrepWEPS_sucp_tech_new-"&amp;RIGHT(B168,4) &amp; "g"</f>
        <v>UCrepWEPS_sucp_tech_new-E-STg</v>
      </c>
      <c r="B168" t="str">
        <f t="shared" si="14"/>
        <v>EGasOil_E-ST</v>
      </c>
      <c r="K168">
        <v>1</v>
      </c>
      <c r="L168">
        <v>0</v>
      </c>
      <c r="M168">
        <v>3</v>
      </c>
    </row>
    <row r="169" spans="1:13" x14ac:dyDescent="0.25">
      <c r="A169" t="str">
        <f>"UCrepWEPS_sucn_tech-"&amp;RIGHT(B169,4) &amp; "c"</f>
        <v>UCrepWEPS_sucn_tech-E-CCc</v>
      </c>
      <c r="B169" t="s">
        <v>368</v>
      </c>
      <c r="E169" t="s">
        <v>113</v>
      </c>
      <c r="G169" t="s">
        <v>114</v>
      </c>
      <c r="H169">
        <v>1</v>
      </c>
      <c r="L169">
        <v>0</v>
      </c>
      <c r="M169">
        <v>3</v>
      </c>
    </row>
    <row r="170" spans="1:13" x14ac:dyDescent="0.25">
      <c r="A170" t="str">
        <f>"UCrepWEPS_sucn_tech-"&amp;RIGHT(B170,4) &amp; "c"</f>
        <v>UCrepWEPS_sucn_tech-N-CCc</v>
      </c>
      <c r="B170" t="s">
        <v>369</v>
      </c>
      <c r="E170" t="s">
        <v>113</v>
      </c>
      <c r="G170" t="s">
        <v>114</v>
      </c>
      <c r="H170">
        <v>1</v>
      </c>
      <c r="L170">
        <v>0</v>
      </c>
      <c r="M170">
        <v>3</v>
      </c>
    </row>
    <row r="171" spans="1:13" x14ac:dyDescent="0.25">
      <c r="A171" t="str">
        <f>"UCrepWEPS_sucn_tech-"&amp;RIGHT(B171,4) &amp; "c"</f>
        <v>UCrepWEPS_sucn_tech-N-CSc</v>
      </c>
      <c r="B171" t="s">
        <v>370</v>
      </c>
      <c r="E171" t="s">
        <v>113</v>
      </c>
      <c r="G171" t="s">
        <v>114</v>
      </c>
      <c r="H171">
        <v>1</v>
      </c>
      <c r="L171">
        <v>0</v>
      </c>
      <c r="M171">
        <v>3</v>
      </c>
    </row>
    <row r="172" spans="1:13" x14ac:dyDescent="0.25">
      <c r="A172" t="str">
        <f>"UCrepWEPS_sucn_tech-"&amp;RIGHT(B172,4) &amp; "c"</f>
        <v>UCrepWEPS_sucn_tech-N-STc</v>
      </c>
      <c r="B172" t="s">
        <v>371</v>
      </c>
      <c r="E172" t="s">
        <v>113</v>
      </c>
      <c r="G172" t="s">
        <v>114</v>
      </c>
      <c r="H172">
        <v>1</v>
      </c>
      <c r="L172">
        <v>0</v>
      </c>
      <c r="M172">
        <v>3</v>
      </c>
    </row>
    <row r="173" spans="1:13" x14ac:dyDescent="0.25">
      <c r="A173" t="str">
        <f>"UCrepWEPS_sucn_tech-"&amp;RIGHT(B173,4) &amp; "c"</f>
        <v>UCrepWEPS_sucn_tech-E-STc</v>
      </c>
      <c r="B173" t="s">
        <v>372</v>
      </c>
      <c r="E173" t="s">
        <v>113</v>
      </c>
      <c r="G173" t="s">
        <v>114</v>
      </c>
      <c r="H173">
        <v>1</v>
      </c>
      <c r="L173">
        <v>0</v>
      </c>
      <c r="M173">
        <v>3</v>
      </c>
    </row>
    <row r="174" spans="1:13" x14ac:dyDescent="0.25">
      <c r="A174" t="str">
        <f>"UCrepWEPS_sucp_tech-"&amp;RIGHT(B174,4) &amp; "c"</f>
        <v>UCrepWEPS_sucp_tech-E-CCc</v>
      </c>
      <c r="B174" t="str">
        <f t="shared" ref="B174:B188" si="16">B169</f>
        <v>ECoal_E-CC</v>
      </c>
      <c r="I174">
        <v>1</v>
      </c>
      <c r="L174">
        <v>0</v>
      </c>
      <c r="M174">
        <v>3</v>
      </c>
    </row>
    <row r="175" spans="1:13" x14ac:dyDescent="0.25">
      <c r="A175" t="str">
        <f>"UCrepWEPS_sucp_tech-"&amp;RIGHT(B175,4) &amp; "c"</f>
        <v>UCrepWEPS_sucp_tech-N-CCc</v>
      </c>
      <c r="B175" t="str">
        <f t="shared" si="16"/>
        <v>ECoal_N-CC</v>
      </c>
      <c r="I175">
        <v>1</v>
      </c>
      <c r="L175">
        <v>0</v>
      </c>
      <c r="M175">
        <v>3</v>
      </c>
    </row>
    <row r="176" spans="1:13" x14ac:dyDescent="0.25">
      <c r="A176" t="str">
        <f>"UCrepWEPS_sucp_tech-"&amp;RIGHT(B176,4) &amp; "c"</f>
        <v>UCrepWEPS_sucp_tech-N-CSc</v>
      </c>
      <c r="B176" t="str">
        <f t="shared" si="16"/>
        <v>ECoal_N-CS</v>
      </c>
      <c r="I176">
        <v>1</v>
      </c>
      <c r="L176">
        <v>0</v>
      </c>
      <c r="M176">
        <v>3</v>
      </c>
    </row>
    <row r="177" spans="1:13" x14ac:dyDescent="0.25">
      <c r="A177" t="str">
        <f>"UCrepWEPS_sucp_tech-"&amp;RIGHT(B177,4) &amp; "c"</f>
        <v>UCrepWEPS_sucp_tech-N-STc</v>
      </c>
      <c r="B177" t="str">
        <f t="shared" si="16"/>
        <v>ECoal_N-ST</v>
      </c>
      <c r="I177">
        <v>1</v>
      </c>
      <c r="L177">
        <v>0</v>
      </c>
      <c r="M177">
        <v>3</v>
      </c>
    </row>
    <row r="178" spans="1:13" x14ac:dyDescent="0.25">
      <c r="A178" t="str">
        <f>"UCrepWEPS_sucp_tech-"&amp;RIGHT(B178,4) &amp; "c"</f>
        <v>UCrepWEPS_sucp_tech-E-STc</v>
      </c>
      <c r="B178" t="str">
        <f t="shared" si="16"/>
        <v>ECoal_E-ST</v>
      </c>
      <c r="I178">
        <v>1</v>
      </c>
      <c r="L178">
        <v>0</v>
      </c>
      <c r="M178">
        <v>3</v>
      </c>
    </row>
    <row r="179" spans="1:13" x14ac:dyDescent="0.25">
      <c r="A179" t="str">
        <f>"UCrepWEPS_sugn_tech-"&amp;RIGHT(B179,4) &amp; "c"</f>
        <v>UCrepWEPS_sugn_tech-E-CCc</v>
      </c>
      <c r="B179" t="str">
        <f t="shared" si="16"/>
        <v>ECoal_E-CC</v>
      </c>
      <c r="J179">
        <f t="shared" ref="J179:J183" si="17">1.055/3.6</f>
        <v>0.29305555555555551</v>
      </c>
      <c r="L179">
        <v>0</v>
      </c>
      <c r="M179">
        <v>3</v>
      </c>
    </row>
    <row r="180" spans="1:13" x14ac:dyDescent="0.25">
      <c r="A180" t="str">
        <f>"UCrepWEPS_sugn_tech-"&amp;RIGHT(B180,4) &amp; "c"</f>
        <v>UCrepWEPS_sugn_tech-N-CCc</v>
      </c>
      <c r="B180" t="str">
        <f t="shared" si="16"/>
        <v>ECoal_N-CC</v>
      </c>
      <c r="J180">
        <f t="shared" si="17"/>
        <v>0.29305555555555551</v>
      </c>
      <c r="L180">
        <v>0</v>
      </c>
      <c r="M180">
        <v>3</v>
      </c>
    </row>
    <row r="181" spans="1:13" x14ac:dyDescent="0.25">
      <c r="A181" t="str">
        <f>"UCrepWEPS_sugn_tech-"&amp;RIGHT(B181,4) &amp; "c"</f>
        <v>UCrepWEPS_sugn_tech-N-CSc</v>
      </c>
      <c r="B181" t="str">
        <f t="shared" si="16"/>
        <v>ECoal_N-CS</v>
      </c>
      <c r="J181">
        <f t="shared" si="17"/>
        <v>0.29305555555555551</v>
      </c>
      <c r="L181">
        <v>0</v>
      </c>
      <c r="M181">
        <v>3</v>
      </c>
    </row>
    <row r="182" spans="1:13" x14ac:dyDescent="0.25">
      <c r="A182" t="str">
        <f>"UCrepWEPS_sugn_tech-"&amp;RIGHT(B182,4) &amp; "c"</f>
        <v>UCrepWEPS_sugn_tech-N-STc</v>
      </c>
      <c r="B182" t="str">
        <f t="shared" si="16"/>
        <v>ECoal_N-ST</v>
      </c>
      <c r="J182">
        <f t="shared" si="17"/>
        <v>0.29305555555555551</v>
      </c>
      <c r="L182">
        <v>0</v>
      </c>
      <c r="M182">
        <v>3</v>
      </c>
    </row>
    <row r="183" spans="1:13" x14ac:dyDescent="0.25">
      <c r="A183" t="str">
        <f>"UCrepWEPS_sugn_tech-"&amp;RIGHT(B183,4) &amp; "c"</f>
        <v>UCrepWEPS_sugn_tech-E-STc</v>
      </c>
      <c r="B183" t="str">
        <f t="shared" si="16"/>
        <v>ECoal_E-ST</v>
      </c>
      <c r="J183">
        <f t="shared" si="17"/>
        <v>0.29305555555555551</v>
      </c>
      <c r="L183">
        <v>0</v>
      </c>
      <c r="M183">
        <v>3</v>
      </c>
    </row>
    <row r="184" spans="1:13" x14ac:dyDescent="0.25">
      <c r="A184" t="str">
        <f>"UCrepWEPS_sucp_tech_new-"&amp;RIGHT(B184,4) &amp; "c"</f>
        <v>UCrepWEPS_sucp_tech_new-E-CCc</v>
      </c>
      <c r="B184" t="str">
        <f t="shared" si="16"/>
        <v>ECoal_E-CC</v>
      </c>
      <c r="K184">
        <v>1</v>
      </c>
      <c r="L184">
        <v>0</v>
      </c>
      <c r="M184">
        <v>3</v>
      </c>
    </row>
    <row r="185" spans="1:13" x14ac:dyDescent="0.25">
      <c r="A185" t="str">
        <f>"UCrepWEPS_sucp_tech_new-"&amp;RIGHT(B185,4) &amp; "c"</f>
        <v>UCrepWEPS_sucp_tech_new-N-CCc</v>
      </c>
      <c r="B185" t="str">
        <f t="shared" si="16"/>
        <v>ECoal_N-CC</v>
      </c>
      <c r="K185">
        <v>1</v>
      </c>
      <c r="L185">
        <v>0</v>
      </c>
      <c r="M185">
        <v>3</v>
      </c>
    </row>
    <row r="186" spans="1:13" x14ac:dyDescent="0.25">
      <c r="A186" t="str">
        <f>"UCrepWEPS_sucp_tech_new-"&amp;RIGHT(B186,4) &amp; "c"</f>
        <v>UCrepWEPS_sucp_tech_new-N-CSc</v>
      </c>
      <c r="B186" t="str">
        <f t="shared" si="16"/>
        <v>ECoal_N-CS</v>
      </c>
      <c r="K186">
        <v>1</v>
      </c>
      <c r="L186">
        <v>0</v>
      </c>
      <c r="M186">
        <v>3</v>
      </c>
    </row>
    <row r="187" spans="1:13" x14ac:dyDescent="0.25">
      <c r="A187" t="str">
        <f>"UCrepWEPS_sucp_tech_new-"&amp;RIGHT(B187,4) &amp; "c"</f>
        <v>UCrepWEPS_sucp_tech_new-N-STc</v>
      </c>
      <c r="B187" t="str">
        <f t="shared" si="16"/>
        <v>ECoal_N-ST</v>
      </c>
      <c r="K187">
        <v>1</v>
      </c>
      <c r="L187">
        <v>0</v>
      </c>
      <c r="M187">
        <v>3</v>
      </c>
    </row>
    <row r="188" spans="1:13" x14ac:dyDescent="0.25">
      <c r="A188" t="str">
        <f>"UCrepWEPS_sucp_tech_new-"&amp;RIGHT(B188,4) &amp; "c"</f>
        <v>UCrepWEPS_sucp_tech_new-E-STc</v>
      </c>
      <c r="B188" t="str">
        <f t="shared" si="16"/>
        <v>ECoal_E-ST</v>
      </c>
      <c r="K188">
        <v>1</v>
      </c>
      <c r="L188">
        <v>0</v>
      </c>
      <c r="M188">
        <v>3</v>
      </c>
    </row>
    <row r="189" spans="1:13" x14ac:dyDescent="0.25">
      <c r="A189" t="str">
        <f>"UCrepWEPS_sucpwn_"&amp;MID(C189,5,3)</f>
        <v>UCrepWEPS_sucpwn_AUT</v>
      </c>
      <c r="C189" t="s">
        <v>216</v>
      </c>
      <c r="F189" t="s">
        <v>247</v>
      </c>
      <c r="I189">
        <v>1</v>
      </c>
      <c r="L189">
        <v>0</v>
      </c>
      <c r="M189">
        <v>3</v>
      </c>
    </row>
    <row r="190" spans="1:13" x14ac:dyDescent="0.25">
      <c r="A190" t="str">
        <f t="shared" ref="A190:A219" si="18">"UCrepWEPS_sucpwn_"&amp;MID(C190,5,3)</f>
        <v>UCrepWEPS_sucpwn_BEL</v>
      </c>
      <c r="C190" t="s">
        <v>217</v>
      </c>
      <c r="F190" t="s">
        <v>247</v>
      </c>
      <c r="I190">
        <v>1</v>
      </c>
      <c r="L190">
        <v>0</v>
      </c>
      <c r="M190">
        <v>3</v>
      </c>
    </row>
    <row r="191" spans="1:13" x14ac:dyDescent="0.25">
      <c r="A191" t="str">
        <f t="shared" si="18"/>
        <v>UCrepWEPS_sucpwn_CZE</v>
      </c>
      <c r="C191" t="s">
        <v>218</v>
      </c>
      <c r="F191" t="s">
        <v>247</v>
      </c>
      <c r="I191">
        <v>1</v>
      </c>
      <c r="L191">
        <v>0</v>
      </c>
      <c r="M191">
        <v>3</v>
      </c>
    </row>
    <row r="192" spans="1:13" x14ac:dyDescent="0.25">
      <c r="A192" t="str">
        <f t="shared" si="18"/>
        <v>UCrepWEPS_sucpwn_DNK</v>
      </c>
      <c r="C192" t="s">
        <v>219</v>
      </c>
      <c r="F192" t="s">
        <v>247</v>
      </c>
      <c r="I192">
        <v>1</v>
      </c>
      <c r="L192">
        <v>0</v>
      </c>
      <c r="M192">
        <v>3</v>
      </c>
    </row>
    <row r="193" spans="1:13" x14ac:dyDescent="0.25">
      <c r="A193" t="str">
        <f t="shared" si="18"/>
        <v>UCrepWEPS_sucpwn_EST</v>
      </c>
      <c r="C193" t="s">
        <v>220</v>
      </c>
      <c r="F193" t="s">
        <v>247</v>
      </c>
      <c r="I193">
        <v>1</v>
      </c>
      <c r="L193">
        <v>0</v>
      </c>
      <c r="M193">
        <v>3</v>
      </c>
    </row>
    <row r="194" spans="1:13" x14ac:dyDescent="0.25">
      <c r="A194" t="str">
        <f t="shared" si="18"/>
        <v>UCrepWEPS_sucpwn_FIN</v>
      </c>
      <c r="C194" t="s">
        <v>221</v>
      </c>
      <c r="F194" t="s">
        <v>247</v>
      </c>
      <c r="I194">
        <v>1</v>
      </c>
      <c r="L194">
        <v>0</v>
      </c>
      <c r="M194">
        <v>3</v>
      </c>
    </row>
    <row r="195" spans="1:13" x14ac:dyDescent="0.25">
      <c r="A195" t="str">
        <f t="shared" si="18"/>
        <v>UCrepWEPS_sucpwn_FRA</v>
      </c>
      <c r="C195" t="s">
        <v>222</v>
      </c>
      <c r="F195" t="s">
        <v>247</v>
      </c>
      <c r="I195">
        <v>1</v>
      </c>
      <c r="L195">
        <v>0</v>
      </c>
      <c r="M195">
        <v>3</v>
      </c>
    </row>
    <row r="196" spans="1:13" x14ac:dyDescent="0.25">
      <c r="A196" t="str">
        <f t="shared" si="18"/>
        <v>UCrepWEPS_sucpwn_DEU</v>
      </c>
      <c r="C196" t="s">
        <v>223</v>
      </c>
      <c r="F196" t="s">
        <v>247</v>
      </c>
      <c r="I196">
        <v>1</v>
      </c>
      <c r="L196">
        <v>0</v>
      </c>
      <c r="M196">
        <v>3</v>
      </c>
    </row>
    <row r="197" spans="1:13" x14ac:dyDescent="0.25">
      <c r="A197" t="str">
        <f t="shared" si="18"/>
        <v>UCrepWEPS_sucpwn_GIB</v>
      </c>
      <c r="C197" t="s">
        <v>224</v>
      </c>
      <c r="F197" t="s">
        <v>247</v>
      </c>
      <c r="I197">
        <v>1</v>
      </c>
      <c r="L197">
        <v>0</v>
      </c>
      <c r="M197">
        <v>3</v>
      </c>
    </row>
    <row r="198" spans="1:13" x14ac:dyDescent="0.25">
      <c r="A198" t="str">
        <f t="shared" si="18"/>
        <v>UCrepWEPS_sucpwn_GRC</v>
      </c>
      <c r="C198" t="s">
        <v>225</v>
      </c>
      <c r="F198" t="s">
        <v>247</v>
      </c>
      <c r="I198">
        <v>1</v>
      </c>
      <c r="L198">
        <v>0</v>
      </c>
      <c r="M198">
        <v>3</v>
      </c>
    </row>
    <row r="199" spans="1:13" x14ac:dyDescent="0.25">
      <c r="A199" t="str">
        <f t="shared" si="18"/>
        <v>UCrepWEPS_sucpwn_GRL</v>
      </c>
      <c r="C199" t="s">
        <v>226</v>
      </c>
      <c r="F199" t="s">
        <v>247</v>
      </c>
      <c r="I199">
        <v>1</v>
      </c>
      <c r="L199">
        <v>0</v>
      </c>
      <c r="M199">
        <v>3</v>
      </c>
    </row>
    <row r="200" spans="1:13" x14ac:dyDescent="0.25">
      <c r="A200" t="str">
        <f t="shared" si="18"/>
        <v>UCrepWEPS_sucpwn_HUN</v>
      </c>
      <c r="C200" t="s">
        <v>227</v>
      </c>
      <c r="F200" t="s">
        <v>247</v>
      </c>
      <c r="I200">
        <v>1</v>
      </c>
      <c r="L200">
        <v>0</v>
      </c>
      <c r="M200">
        <v>3</v>
      </c>
    </row>
    <row r="201" spans="1:13" x14ac:dyDescent="0.25">
      <c r="A201" t="str">
        <f t="shared" si="18"/>
        <v>UCrepWEPS_sucpwn_ISL</v>
      </c>
      <c r="C201" t="s">
        <v>228</v>
      </c>
      <c r="F201" t="s">
        <v>247</v>
      </c>
      <c r="I201">
        <v>1</v>
      </c>
      <c r="L201">
        <v>0</v>
      </c>
      <c r="M201">
        <v>3</v>
      </c>
    </row>
    <row r="202" spans="1:13" x14ac:dyDescent="0.25">
      <c r="A202" t="str">
        <f t="shared" si="18"/>
        <v>UCrepWEPS_sucpwn_IRL</v>
      </c>
      <c r="C202" t="s">
        <v>229</v>
      </c>
      <c r="F202" t="s">
        <v>247</v>
      </c>
      <c r="I202">
        <v>1</v>
      </c>
      <c r="L202">
        <v>0</v>
      </c>
      <c r="M202">
        <v>3</v>
      </c>
    </row>
    <row r="203" spans="1:13" x14ac:dyDescent="0.25">
      <c r="A203" t="str">
        <f t="shared" si="18"/>
        <v>UCrepWEPS_sucpwn_IMY</v>
      </c>
      <c r="C203" t="s">
        <v>230</v>
      </c>
      <c r="F203" t="s">
        <v>247</v>
      </c>
      <c r="I203">
        <v>1</v>
      </c>
      <c r="L203">
        <v>0</v>
      </c>
      <c r="M203">
        <v>3</v>
      </c>
    </row>
    <row r="204" spans="1:13" x14ac:dyDescent="0.25">
      <c r="A204" t="str">
        <f t="shared" si="18"/>
        <v>UCrepWEPS_sucpwn_ISR</v>
      </c>
      <c r="C204" t="s">
        <v>231</v>
      </c>
      <c r="F204" t="s">
        <v>247</v>
      </c>
      <c r="I204">
        <v>1</v>
      </c>
      <c r="L204">
        <v>0</v>
      </c>
      <c r="M204">
        <v>3</v>
      </c>
    </row>
    <row r="205" spans="1:13" x14ac:dyDescent="0.25">
      <c r="A205" t="str">
        <f t="shared" si="18"/>
        <v>UCrepWEPS_sucpwn_ITA</v>
      </c>
      <c r="C205" t="s">
        <v>232</v>
      </c>
      <c r="F205" t="s">
        <v>247</v>
      </c>
      <c r="I205">
        <v>1</v>
      </c>
      <c r="L205">
        <v>0</v>
      </c>
      <c r="M205">
        <v>3</v>
      </c>
    </row>
    <row r="206" spans="1:13" x14ac:dyDescent="0.25">
      <c r="A206" t="str">
        <f t="shared" si="18"/>
        <v>UCrepWEPS_sucpwn_LUX</v>
      </c>
      <c r="C206" t="s">
        <v>233</v>
      </c>
      <c r="F206" t="s">
        <v>247</v>
      </c>
      <c r="I206">
        <v>1</v>
      </c>
      <c r="L206">
        <v>0</v>
      </c>
      <c r="M206">
        <v>3</v>
      </c>
    </row>
    <row r="207" spans="1:13" x14ac:dyDescent="0.25">
      <c r="A207" t="str">
        <f t="shared" si="18"/>
        <v>UCrepWEPS_sucpwn_MCO</v>
      </c>
      <c r="C207" t="s">
        <v>234</v>
      </c>
      <c r="F207" t="s">
        <v>247</v>
      </c>
      <c r="I207">
        <v>1</v>
      </c>
      <c r="L207">
        <v>0</v>
      </c>
      <c r="M207">
        <v>3</v>
      </c>
    </row>
    <row r="208" spans="1:13" x14ac:dyDescent="0.25">
      <c r="A208" t="str">
        <f t="shared" si="18"/>
        <v>UCrepWEPS_sucpwn_NLD</v>
      </c>
      <c r="C208" t="s">
        <v>235</v>
      </c>
      <c r="F208" t="s">
        <v>247</v>
      </c>
      <c r="I208">
        <v>1</v>
      </c>
      <c r="L208">
        <v>0</v>
      </c>
      <c r="M208">
        <v>3</v>
      </c>
    </row>
    <row r="209" spans="1:13" x14ac:dyDescent="0.25">
      <c r="A209" t="str">
        <f t="shared" si="18"/>
        <v>UCrepWEPS_sucpwn_NOR</v>
      </c>
      <c r="C209" t="s">
        <v>236</v>
      </c>
      <c r="F209" t="s">
        <v>247</v>
      </c>
      <c r="I209">
        <v>1</v>
      </c>
      <c r="L209">
        <v>0</v>
      </c>
      <c r="M209">
        <v>3</v>
      </c>
    </row>
    <row r="210" spans="1:13" x14ac:dyDescent="0.25">
      <c r="A210" t="str">
        <f t="shared" si="18"/>
        <v>UCrepWEPS_sucpwn_POL</v>
      </c>
      <c r="C210" t="s">
        <v>237</v>
      </c>
      <c r="F210" t="s">
        <v>247</v>
      </c>
      <c r="I210">
        <v>1</v>
      </c>
      <c r="L210">
        <v>0</v>
      </c>
      <c r="M210">
        <v>3</v>
      </c>
    </row>
    <row r="211" spans="1:13" x14ac:dyDescent="0.25">
      <c r="A211" t="str">
        <f t="shared" si="18"/>
        <v>UCrepWEPS_sucpwn_PRT</v>
      </c>
      <c r="C211" t="s">
        <v>238</v>
      </c>
      <c r="F211" t="s">
        <v>247</v>
      </c>
      <c r="I211">
        <v>1</v>
      </c>
      <c r="L211">
        <v>0</v>
      </c>
      <c r="M211">
        <v>3</v>
      </c>
    </row>
    <row r="212" spans="1:13" x14ac:dyDescent="0.25">
      <c r="A212" t="str">
        <f t="shared" si="18"/>
        <v>UCrepWEPS_sucpwn_SMR</v>
      </c>
      <c r="C212" t="s">
        <v>239</v>
      </c>
      <c r="F212" t="s">
        <v>247</v>
      </c>
      <c r="I212">
        <v>1</v>
      </c>
      <c r="L212">
        <v>0</v>
      </c>
      <c r="M212">
        <v>3</v>
      </c>
    </row>
    <row r="213" spans="1:13" x14ac:dyDescent="0.25">
      <c r="A213" t="str">
        <f t="shared" si="18"/>
        <v>UCrepWEPS_sucpwn_SVK</v>
      </c>
      <c r="C213" t="s">
        <v>240</v>
      </c>
      <c r="F213" t="s">
        <v>247</v>
      </c>
      <c r="I213">
        <v>1</v>
      </c>
      <c r="L213">
        <v>0</v>
      </c>
      <c r="M213">
        <v>3</v>
      </c>
    </row>
    <row r="214" spans="1:13" x14ac:dyDescent="0.25">
      <c r="A214" t="str">
        <f t="shared" si="18"/>
        <v>UCrepWEPS_sucpwn_SVN</v>
      </c>
      <c r="C214" t="s">
        <v>241</v>
      </c>
      <c r="F214" t="s">
        <v>247</v>
      </c>
      <c r="I214">
        <v>1</v>
      </c>
      <c r="L214">
        <v>0</v>
      </c>
      <c r="M214">
        <v>3</v>
      </c>
    </row>
    <row r="215" spans="1:13" x14ac:dyDescent="0.25">
      <c r="A215" t="str">
        <f t="shared" si="18"/>
        <v>UCrepWEPS_sucpwn_ESP</v>
      </c>
      <c r="C215" t="s">
        <v>242</v>
      </c>
      <c r="F215" t="s">
        <v>247</v>
      </c>
      <c r="I215">
        <v>1</v>
      </c>
      <c r="L215">
        <v>0</v>
      </c>
      <c r="M215">
        <v>3</v>
      </c>
    </row>
    <row r="216" spans="1:13" x14ac:dyDescent="0.25">
      <c r="A216" t="str">
        <f t="shared" si="18"/>
        <v>UCrepWEPS_sucpwn_SWE</v>
      </c>
      <c r="C216" t="s">
        <v>243</v>
      </c>
      <c r="F216" t="s">
        <v>247</v>
      </c>
      <c r="I216">
        <v>1</v>
      </c>
      <c r="L216">
        <v>0</v>
      </c>
      <c r="M216">
        <v>3</v>
      </c>
    </row>
    <row r="217" spans="1:13" x14ac:dyDescent="0.25">
      <c r="A217" t="str">
        <f t="shared" si="18"/>
        <v>UCrepWEPS_sucpwn_CHE</v>
      </c>
      <c r="C217" t="s">
        <v>244</v>
      </c>
      <c r="F217" t="s">
        <v>247</v>
      </c>
      <c r="I217">
        <v>1</v>
      </c>
      <c r="L217">
        <v>0</v>
      </c>
      <c r="M217">
        <v>3</v>
      </c>
    </row>
    <row r="218" spans="1:13" x14ac:dyDescent="0.25">
      <c r="A218" t="str">
        <f t="shared" si="18"/>
        <v>UCrepWEPS_sucpwn_TUR</v>
      </c>
      <c r="C218" t="s">
        <v>245</v>
      </c>
      <c r="F218" t="s">
        <v>247</v>
      </c>
      <c r="I218">
        <v>1</v>
      </c>
      <c r="L218">
        <v>0</v>
      </c>
      <c r="M218">
        <v>3</v>
      </c>
    </row>
    <row r="219" spans="1:13" x14ac:dyDescent="0.25">
      <c r="A219" t="str">
        <f t="shared" si="18"/>
        <v>UCrepWEPS_sucpwn_GBR</v>
      </c>
      <c r="C219" t="s">
        <v>246</v>
      </c>
      <c r="F219" t="s">
        <v>247</v>
      </c>
      <c r="I219">
        <v>1</v>
      </c>
      <c r="L219">
        <v>0</v>
      </c>
      <c r="M219">
        <v>3</v>
      </c>
    </row>
  </sheetData>
  <sortState xmlns:xlrd2="http://schemas.microsoft.com/office/spreadsheetml/2017/richdata2" ref="N58:P70">
    <sortCondition ref="N58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DAB-EEC4-409F-A8BD-2841B5A6DEF6}">
  <dimension ref="A1:H5"/>
  <sheetViews>
    <sheetView tabSelected="1" workbookViewId="0"/>
  </sheetViews>
  <sheetFormatPr defaultRowHeight="15" x14ac:dyDescent="0.25"/>
  <cols>
    <col min="1" max="1" width="24.42578125" bestFit="1" customWidth="1"/>
    <col min="3" max="3" width="8.7109375" bestFit="1" customWidth="1"/>
    <col min="4" max="4" width="20.140625" bestFit="1" customWidth="1"/>
    <col min="5" max="5" width="12" bestFit="1" customWidth="1"/>
    <col min="6" max="6" width="5" bestFit="1" customWidth="1"/>
    <col min="7" max="7" width="2" bestFit="1" customWidth="1"/>
    <col min="8" max="8" width="42.7109375" bestFit="1" customWidth="1"/>
  </cols>
  <sheetData>
    <row r="1" spans="1:8" x14ac:dyDescent="0.25">
      <c r="A1" t="s">
        <v>118</v>
      </c>
    </row>
    <row r="2" spans="1:8" x14ac:dyDescent="0.25">
      <c r="D2" t="s">
        <v>417</v>
      </c>
    </row>
    <row r="3" spans="1:8" x14ac:dyDescent="0.25">
      <c r="A3" t="s">
        <v>106</v>
      </c>
      <c r="B3" t="s">
        <v>107</v>
      </c>
      <c r="C3" t="s">
        <v>108</v>
      </c>
      <c r="D3" t="s">
        <v>418</v>
      </c>
      <c r="E3" t="s">
        <v>109</v>
      </c>
      <c r="F3">
        <v>2015</v>
      </c>
      <c r="G3">
        <v>0</v>
      </c>
      <c r="H3" t="s">
        <v>119</v>
      </c>
    </row>
    <row r="4" spans="1:8" x14ac:dyDescent="0.25">
      <c r="A4" t="s">
        <v>419</v>
      </c>
      <c r="B4" t="s">
        <v>102</v>
      </c>
      <c r="C4" t="s">
        <v>120</v>
      </c>
      <c r="D4" t="s">
        <v>420</v>
      </c>
      <c r="E4" s="17">
        <v>0.29305555599999999</v>
      </c>
      <c r="F4">
        <v>0</v>
      </c>
      <c r="G4">
        <v>3</v>
      </c>
      <c r="H4" t="s">
        <v>421</v>
      </c>
    </row>
    <row r="5" spans="1:8" x14ac:dyDescent="0.25">
      <c r="A5" t="s">
        <v>422</v>
      </c>
      <c r="B5" t="s">
        <v>423</v>
      </c>
      <c r="C5" t="s">
        <v>120</v>
      </c>
      <c r="D5" t="s">
        <v>420</v>
      </c>
      <c r="E5" s="17">
        <v>0.29305555599999999</v>
      </c>
      <c r="F5">
        <v>0</v>
      </c>
      <c r="G5">
        <v>3</v>
      </c>
      <c r="H5" t="s">
        <v>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selection activeCell="E12" sqref="E12"/>
    </sheetView>
  </sheetViews>
  <sheetFormatPr defaultColWidth="8.85546875" defaultRowHeight="15" x14ac:dyDescent="0.25"/>
  <cols>
    <col min="1" max="1" width="49.5703125" bestFit="1" customWidth="1"/>
    <col min="2" max="2" width="9.140625" bestFit="1" customWidth="1"/>
    <col min="3" max="3" width="11" bestFit="1" customWidth="1"/>
    <col min="5" max="5" width="19.140625" bestFit="1" customWidth="1"/>
    <col min="6" max="6" width="12.7109375" bestFit="1" customWidth="1"/>
    <col min="7" max="7" width="12.28515625" bestFit="1" customWidth="1"/>
    <col min="8" max="8" width="7.85546875" bestFit="1" customWidth="1"/>
    <col min="9" max="9" width="5" bestFit="1" customWidth="1"/>
    <col min="10" max="10" width="2" bestFit="1" customWidth="1"/>
    <col min="11" max="11" width="34.28515625" bestFit="1" customWidth="1"/>
  </cols>
  <sheetData>
    <row r="1" spans="1:13" x14ac:dyDescent="0.25">
      <c r="A1" t="s">
        <v>118</v>
      </c>
    </row>
    <row r="2" spans="1:13" x14ac:dyDescent="0.25">
      <c r="E2" t="s">
        <v>117</v>
      </c>
    </row>
    <row r="3" spans="1:13" x14ac:dyDescent="0.25">
      <c r="A3" t="s">
        <v>106</v>
      </c>
      <c r="B3" t="s">
        <v>107</v>
      </c>
      <c r="C3" t="s">
        <v>108</v>
      </c>
      <c r="D3" t="s">
        <v>110</v>
      </c>
      <c r="E3" t="s">
        <v>111</v>
      </c>
      <c r="F3" t="s">
        <v>121</v>
      </c>
      <c r="G3" t="s">
        <v>122</v>
      </c>
      <c r="H3" t="s">
        <v>115</v>
      </c>
      <c r="I3">
        <v>2010</v>
      </c>
      <c r="J3">
        <v>0</v>
      </c>
      <c r="K3" t="s">
        <v>119</v>
      </c>
    </row>
    <row r="4" spans="1:13" x14ac:dyDescent="0.25">
      <c r="A4" t="s">
        <v>146</v>
      </c>
      <c r="C4" t="s">
        <v>120</v>
      </c>
      <c r="F4">
        <v>1</v>
      </c>
      <c r="I4">
        <v>0</v>
      </c>
      <c r="J4">
        <v>3</v>
      </c>
      <c r="K4" t="s">
        <v>123</v>
      </c>
    </row>
    <row r="5" spans="1:13" x14ac:dyDescent="0.25">
      <c r="A5" t="s">
        <v>147</v>
      </c>
      <c r="C5" t="s">
        <v>120</v>
      </c>
      <c r="F5">
        <v>1</v>
      </c>
      <c r="I5">
        <v>0</v>
      </c>
      <c r="J5">
        <v>3</v>
      </c>
      <c r="K5" t="s">
        <v>123</v>
      </c>
      <c r="M5" s="2" t="s">
        <v>206</v>
      </c>
    </row>
    <row r="6" spans="1:13" x14ac:dyDescent="0.25">
      <c r="A6" t="s">
        <v>270</v>
      </c>
      <c r="B6" s="5" t="s">
        <v>269</v>
      </c>
      <c r="C6" t="s">
        <v>267</v>
      </c>
      <c r="G6">
        <v>0.29305555555555551</v>
      </c>
      <c r="I6">
        <v>0</v>
      </c>
      <c r="J6">
        <v>3</v>
      </c>
      <c r="K6" t="s">
        <v>273</v>
      </c>
    </row>
    <row r="7" spans="1:13" x14ac:dyDescent="0.25">
      <c r="A7" t="s">
        <v>271</v>
      </c>
      <c r="B7" s="5" t="s">
        <v>269</v>
      </c>
      <c r="C7" t="s">
        <v>268</v>
      </c>
      <c r="G7">
        <v>0.29305555555555551</v>
      </c>
      <c r="I7">
        <v>0</v>
      </c>
      <c r="J7">
        <v>3</v>
      </c>
      <c r="K7" t="s">
        <v>274</v>
      </c>
    </row>
    <row r="8" spans="1:13" x14ac:dyDescent="0.25">
      <c r="A8" t="s">
        <v>272</v>
      </c>
      <c r="B8" s="5" t="s">
        <v>269</v>
      </c>
      <c r="H8">
        <v>1</v>
      </c>
      <c r="I8">
        <v>0</v>
      </c>
      <c r="J8">
        <v>3</v>
      </c>
      <c r="K8" t="s">
        <v>275</v>
      </c>
    </row>
    <row r="9" spans="1:13" x14ac:dyDescent="0.25">
      <c r="A9" s="16" t="s">
        <v>414</v>
      </c>
      <c r="B9" s="5" t="s">
        <v>269</v>
      </c>
      <c r="C9" t="s">
        <v>267</v>
      </c>
      <c r="G9">
        <v>0.29305555555555551</v>
      </c>
      <c r="I9">
        <v>0</v>
      </c>
      <c r="J9">
        <v>3</v>
      </c>
      <c r="K9" t="s">
        <v>276</v>
      </c>
    </row>
    <row r="10" spans="1:13" x14ac:dyDescent="0.25">
      <c r="A10" s="16" t="s">
        <v>415</v>
      </c>
      <c r="B10" s="5" t="s">
        <v>269</v>
      </c>
      <c r="C10" t="s">
        <v>268</v>
      </c>
      <c r="G10">
        <v>0.29305555555555551</v>
      </c>
      <c r="I10">
        <v>0</v>
      </c>
      <c r="J10">
        <v>3</v>
      </c>
      <c r="K10" t="s">
        <v>277</v>
      </c>
    </row>
    <row r="11" spans="1:13" x14ac:dyDescent="0.25">
      <c r="A11" s="16" t="s">
        <v>416</v>
      </c>
      <c r="B11" s="5" t="s">
        <v>269</v>
      </c>
      <c r="H11">
        <v>1</v>
      </c>
      <c r="I11">
        <v>0</v>
      </c>
      <c r="J11">
        <v>3</v>
      </c>
      <c r="K11" t="s">
        <v>278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>
      <selection activeCell="A3" sqref="A3"/>
    </sheetView>
  </sheetViews>
  <sheetFormatPr defaultRowHeight="15" x14ac:dyDescent="0.25"/>
  <cols>
    <col min="1" max="1" width="31.5703125" bestFit="1" customWidth="1"/>
    <col min="2" max="2" width="16.7109375" bestFit="1" customWidth="1"/>
    <col min="3" max="3" width="7.140625" bestFit="1" customWidth="1"/>
    <col min="4" max="4" width="19.140625" bestFit="1" customWidth="1"/>
    <col min="5" max="5" width="8.42578125" bestFit="1" customWidth="1"/>
    <col min="6" max="6" width="8.85546875" bestFit="1" customWidth="1"/>
    <col min="7" max="7" width="5" bestFit="1" customWidth="1"/>
    <col min="8" max="8" width="2" bestFit="1" customWidth="1"/>
    <col min="9" max="9" width="33.140625" bestFit="1" customWidth="1"/>
  </cols>
  <sheetData>
    <row r="1" spans="1:9" x14ac:dyDescent="0.25">
      <c r="A1" t="s">
        <v>118</v>
      </c>
    </row>
    <row r="3" spans="1:9" x14ac:dyDescent="0.25">
      <c r="D3" t="s">
        <v>117</v>
      </c>
    </row>
    <row r="4" spans="1:9" x14ac:dyDescent="0.25">
      <c r="A4" t="s">
        <v>106</v>
      </c>
      <c r="B4" t="s">
        <v>215</v>
      </c>
      <c r="C4" t="s">
        <v>425</v>
      </c>
      <c r="D4" t="s">
        <v>108</v>
      </c>
      <c r="E4" t="s">
        <v>426</v>
      </c>
      <c r="F4" t="s">
        <v>427</v>
      </c>
      <c r="G4">
        <v>2010</v>
      </c>
      <c r="H4">
        <v>0</v>
      </c>
      <c r="I4" t="s">
        <v>119</v>
      </c>
    </row>
    <row r="5" spans="1:9" x14ac:dyDescent="0.25">
      <c r="A5" t="s">
        <v>428</v>
      </c>
      <c r="B5" t="s">
        <v>429</v>
      </c>
      <c r="C5" t="s">
        <v>430</v>
      </c>
      <c r="D5" t="s">
        <v>120</v>
      </c>
      <c r="E5">
        <v>1</v>
      </c>
      <c r="G5">
        <v>0</v>
      </c>
      <c r="H5">
        <v>3</v>
      </c>
      <c r="I5" t="s">
        <v>431</v>
      </c>
    </row>
    <row r="6" spans="1:9" x14ac:dyDescent="0.25">
      <c r="A6" t="s">
        <v>432</v>
      </c>
      <c r="B6" t="s">
        <v>433</v>
      </c>
      <c r="C6" t="s">
        <v>434</v>
      </c>
      <c r="D6" t="s">
        <v>120</v>
      </c>
      <c r="E6">
        <v>1</v>
      </c>
      <c r="G6">
        <v>0</v>
      </c>
      <c r="H6">
        <v>3</v>
      </c>
      <c r="I6" t="s">
        <v>435</v>
      </c>
    </row>
    <row r="7" spans="1:9" x14ac:dyDescent="0.25">
      <c r="A7" t="s">
        <v>436</v>
      </c>
      <c r="B7" t="s">
        <v>437</v>
      </c>
      <c r="C7" t="s">
        <v>438</v>
      </c>
      <c r="D7" t="s">
        <v>120</v>
      </c>
      <c r="E7">
        <v>1</v>
      </c>
      <c r="G7">
        <v>0</v>
      </c>
      <c r="H7">
        <v>3</v>
      </c>
      <c r="I7" t="s">
        <v>439</v>
      </c>
    </row>
    <row r="8" spans="1:9" x14ac:dyDescent="0.25">
      <c r="A8" t="s">
        <v>440</v>
      </c>
      <c r="B8" t="s">
        <v>441</v>
      </c>
      <c r="C8" t="s">
        <v>442</v>
      </c>
      <c r="D8" t="s">
        <v>120</v>
      </c>
      <c r="E8">
        <v>1</v>
      </c>
      <c r="G8">
        <v>0</v>
      </c>
      <c r="H8">
        <v>3</v>
      </c>
      <c r="I8" t="s">
        <v>443</v>
      </c>
    </row>
    <row r="9" spans="1:9" x14ac:dyDescent="0.25">
      <c r="A9" t="s">
        <v>444</v>
      </c>
      <c r="B9" t="s">
        <v>445</v>
      </c>
      <c r="C9" t="s">
        <v>446</v>
      </c>
      <c r="D9" t="s">
        <v>120</v>
      </c>
      <c r="E9">
        <v>1</v>
      </c>
      <c r="G9">
        <v>0</v>
      </c>
      <c r="H9">
        <v>3</v>
      </c>
      <c r="I9" t="s">
        <v>447</v>
      </c>
    </row>
    <row r="10" spans="1:9" x14ac:dyDescent="0.25">
      <c r="A10" t="s">
        <v>448</v>
      </c>
      <c r="B10" t="s">
        <v>449</v>
      </c>
      <c r="C10" t="s">
        <v>450</v>
      </c>
      <c r="D10" t="s">
        <v>120</v>
      </c>
      <c r="E10">
        <v>1</v>
      </c>
      <c r="G10">
        <v>0</v>
      </c>
      <c r="H10">
        <v>3</v>
      </c>
      <c r="I10" t="s">
        <v>451</v>
      </c>
    </row>
    <row r="11" spans="1:9" x14ac:dyDescent="0.25">
      <c r="A11" t="s">
        <v>452</v>
      </c>
      <c r="B11" t="s">
        <v>453</v>
      </c>
      <c r="C11" t="s">
        <v>454</v>
      </c>
      <c r="D11" t="s">
        <v>120</v>
      </c>
      <c r="E11">
        <v>1</v>
      </c>
      <c r="G11">
        <v>0</v>
      </c>
      <c r="H11">
        <v>3</v>
      </c>
      <c r="I11" t="s">
        <v>455</v>
      </c>
    </row>
    <row r="12" spans="1:9" x14ac:dyDescent="0.25">
      <c r="A12" t="s">
        <v>456</v>
      </c>
      <c r="B12" t="s">
        <v>457</v>
      </c>
      <c r="C12" t="s">
        <v>434</v>
      </c>
      <c r="D12" t="s">
        <v>120</v>
      </c>
      <c r="E12">
        <v>1</v>
      </c>
      <c r="G12">
        <v>0</v>
      </c>
      <c r="H12">
        <v>3</v>
      </c>
      <c r="I12" t="s">
        <v>458</v>
      </c>
    </row>
    <row r="13" spans="1:9" x14ac:dyDescent="0.25">
      <c r="A13" t="s">
        <v>459</v>
      </c>
      <c r="B13" t="s">
        <v>460</v>
      </c>
      <c r="C13" t="s">
        <v>461</v>
      </c>
      <c r="D13" t="s">
        <v>120</v>
      </c>
      <c r="E13">
        <v>1</v>
      </c>
      <c r="G13">
        <v>0</v>
      </c>
      <c r="H13">
        <v>3</v>
      </c>
      <c r="I13" t="s">
        <v>462</v>
      </c>
    </row>
    <row r="14" spans="1:9" x14ac:dyDescent="0.25">
      <c r="A14" t="s">
        <v>463</v>
      </c>
      <c r="B14" t="s">
        <v>464</v>
      </c>
      <c r="C14" t="s">
        <v>461</v>
      </c>
      <c r="D14" t="s">
        <v>120</v>
      </c>
      <c r="E14">
        <v>1</v>
      </c>
      <c r="G14">
        <v>0</v>
      </c>
      <c r="H14">
        <v>3</v>
      </c>
      <c r="I14" t="s">
        <v>465</v>
      </c>
    </row>
    <row r="15" spans="1:9" x14ac:dyDescent="0.25">
      <c r="A15" t="s">
        <v>466</v>
      </c>
      <c r="B15" t="s">
        <v>467</v>
      </c>
      <c r="C15" t="s">
        <v>468</v>
      </c>
      <c r="D15" t="s">
        <v>120</v>
      </c>
      <c r="E15">
        <v>1</v>
      </c>
      <c r="G15">
        <v>0</v>
      </c>
      <c r="H15">
        <v>3</v>
      </c>
      <c r="I15" t="s">
        <v>469</v>
      </c>
    </row>
    <row r="16" spans="1:9" x14ac:dyDescent="0.25">
      <c r="A16" t="s">
        <v>470</v>
      </c>
      <c r="B16" t="s">
        <v>471</v>
      </c>
      <c r="C16" t="s">
        <v>438</v>
      </c>
      <c r="D16" t="s">
        <v>120</v>
      </c>
      <c r="E16">
        <v>1</v>
      </c>
      <c r="G16">
        <v>0</v>
      </c>
      <c r="H16">
        <v>3</v>
      </c>
      <c r="I16" t="s">
        <v>472</v>
      </c>
    </row>
    <row r="17" spans="1:9" x14ac:dyDescent="0.25">
      <c r="A17" t="s">
        <v>473</v>
      </c>
      <c r="B17" t="s">
        <v>474</v>
      </c>
      <c r="C17" t="s">
        <v>454</v>
      </c>
      <c r="D17" t="s">
        <v>120</v>
      </c>
      <c r="E17">
        <v>1</v>
      </c>
      <c r="G17">
        <v>0</v>
      </c>
      <c r="H17">
        <v>3</v>
      </c>
      <c r="I17" t="s">
        <v>475</v>
      </c>
    </row>
    <row r="18" spans="1:9" x14ac:dyDescent="0.25">
      <c r="A18" t="s">
        <v>476</v>
      </c>
      <c r="B18" t="s">
        <v>477</v>
      </c>
      <c r="C18" t="s">
        <v>468</v>
      </c>
      <c r="D18" t="s">
        <v>120</v>
      </c>
      <c r="E18">
        <v>1</v>
      </c>
      <c r="G18">
        <v>0</v>
      </c>
      <c r="H18">
        <v>3</v>
      </c>
      <c r="I18" t="s">
        <v>478</v>
      </c>
    </row>
    <row r="19" spans="1:9" x14ac:dyDescent="0.25">
      <c r="A19" t="s">
        <v>479</v>
      </c>
      <c r="B19" t="s">
        <v>480</v>
      </c>
      <c r="C19" t="s">
        <v>450</v>
      </c>
      <c r="D19" t="s">
        <v>120</v>
      </c>
      <c r="E19">
        <v>1</v>
      </c>
      <c r="G19">
        <v>0</v>
      </c>
      <c r="H19">
        <v>3</v>
      </c>
      <c r="I19" t="s">
        <v>481</v>
      </c>
    </row>
    <row r="20" spans="1:9" x14ac:dyDescent="0.25">
      <c r="A20" t="s">
        <v>482</v>
      </c>
      <c r="B20" t="s">
        <v>483</v>
      </c>
      <c r="C20" t="s">
        <v>484</v>
      </c>
      <c r="D20" t="s">
        <v>120</v>
      </c>
      <c r="E20">
        <v>1</v>
      </c>
      <c r="G20">
        <v>0</v>
      </c>
      <c r="H20">
        <v>3</v>
      </c>
      <c r="I20" t="s">
        <v>485</v>
      </c>
    </row>
    <row r="21" spans="1:9" x14ac:dyDescent="0.25">
      <c r="A21" t="s">
        <v>486</v>
      </c>
      <c r="B21" t="s">
        <v>429</v>
      </c>
      <c r="C21" t="s">
        <v>442</v>
      </c>
      <c r="D21" t="s">
        <v>120</v>
      </c>
      <c r="F21">
        <v>1</v>
      </c>
      <c r="G21">
        <v>0</v>
      </c>
      <c r="H21">
        <v>3</v>
      </c>
      <c r="I21" t="s">
        <v>487</v>
      </c>
    </row>
    <row r="22" spans="1:9" x14ac:dyDescent="0.25">
      <c r="A22" t="s">
        <v>488</v>
      </c>
      <c r="B22" t="s">
        <v>433</v>
      </c>
      <c r="C22" t="s">
        <v>484</v>
      </c>
      <c r="D22" t="s">
        <v>120</v>
      </c>
      <c r="F22">
        <v>1</v>
      </c>
      <c r="G22">
        <v>0</v>
      </c>
      <c r="H22">
        <v>3</v>
      </c>
      <c r="I22" t="s">
        <v>489</v>
      </c>
    </row>
    <row r="23" spans="1:9" x14ac:dyDescent="0.25">
      <c r="A23" t="s">
        <v>490</v>
      </c>
      <c r="B23" t="s">
        <v>437</v>
      </c>
      <c r="C23" t="s">
        <v>461</v>
      </c>
      <c r="D23" t="s">
        <v>120</v>
      </c>
      <c r="F23">
        <v>1</v>
      </c>
      <c r="G23">
        <v>0</v>
      </c>
      <c r="H23">
        <v>3</v>
      </c>
      <c r="I23" t="s">
        <v>491</v>
      </c>
    </row>
    <row r="24" spans="1:9" x14ac:dyDescent="0.25">
      <c r="A24" t="s">
        <v>492</v>
      </c>
      <c r="B24" t="s">
        <v>441</v>
      </c>
      <c r="C24" t="s">
        <v>430</v>
      </c>
      <c r="D24" t="s">
        <v>120</v>
      </c>
      <c r="F24">
        <v>1</v>
      </c>
      <c r="G24">
        <v>0</v>
      </c>
      <c r="H24">
        <v>3</v>
      </c>
      <c r="I24" t="s">
        <v>493</v>
      </c>
    </row>
    <row r="25" spans="1:9" x14ac:dyDescent="0.25">
      <c r="A25" t="s">
        <v>494</v>
      </c>
      <c r="B25" t="s">
        <v>445</v>
      </c>
      <c r="C25" t="s">
        <v>430</v>
      </c>
      <c r="D25" t="s">
        <v>120</v>
      </c>
      <c r="F25">
        <v>1</v>
      </c>
      <c r="G25">
        <v>0</v>
      </c>
      <c r="H25">
        <v>3</v>
      </c>
      <c r="I25" t="s">
        <v>495</v>
      </c>
    </row>
    <row r="26" spans="1:9" x14ac:dyDescent="0.25">
      <c r="A26" t="s">
        <v>496</v>
      </c>
      <c r="B26" t="s">
        <v>449</v>
      </c>
      <c r="C26" t="s">
        <v>468</v>
      </c>
      <c r="D26" t="s">
        <v>120</v>
      </c>
      <c r="F26">
        <v>1</v>
      </c>
      <c r="G26">
        <v>0</v>
      </c>
      <c r="H26">
        <v>3</v>
      </c>
      <c r="I26" t="s">
        <v>497</v>
      </c>
    </row>
    <row r="27" spans="1:9" x14ac:dyDescent="0.25">
      <c r="A27" t="s">
        <v>498</v>
      </c>
      <c r="B27" t="s">
        <v>453</v>
      </c>
      <c r="C27" t="s">
        <v>468</v>
      </c>
      <c r="D27" t="s">
        <v>120</v>
      </c>
      <c r="F27">
        <v>1</v>
      </c>
      <c r="G27">
        <v>0</v>
      </c>
      <c r="H27">
        <v>3</v>
      </c>
      <c r="I27" t="s">
        <v>499</v>
      </c>
    </row>
    <row r="28" spans="1:9" x14ac:dyDescent="0.25">
      <c r="A28" t="s">
        <v>500</v>
      </c>
      <c r="B28" t="s">
        <v>457</v>
      </c>
      <c r="C28" t="s">
        <v>446</v>
      </c>
      <c r="D28" t="s">
        <v>120</v>
      </c>
      <c r="F28">
        <v>1</v>
      </c>
      <c r="G28">
        <v>0</v>
      </c>
      <c r="H28">
        <v>3</v>
      </c>
      <c r="I28" t="s">
        <v>501</v>
      </c>
    </row>
    <row r="29" spans="1:9" x14ac:dyDescent="0.25">
      <c r="A29" t="s">
        <v>502</v>
      </c>
      <c r="B29" t="s">
        <v>460</v>
      </c>
      <c r="C29" t="s">
        <v>438</v>
      </c>
      <c r="D29" t="s">
        <v>120</v>
      </c>
      <c r="F29">
        <v>1</v>
      </c>
      <c r="G29">
        <v>0</v>
      </c>
      <c r="H29">
        <v>3</v>
      </c>
      <c r="I29" t="s">
        <v>503</v>
      </c>
    </row>
    <row r="30" spans="1:9" x14ac:dyDescent="0.25">
      <c r="A30" t="s">
        <v>504</v>
      </c>
      <c r="B30" t="s">
        <v>464</v>
      </c>
      <c r="C30" t="s">
        <v>450</v>
      </c>
      <c r="D30" t="s">
        <v>120</v>
      </c>
      <c r="F30">
        <v>1</v>
      </c>
      <c r="G30">
        <v>0</v>
      </c>
      <c r="H30">
        <v>3</v>
      </c>
      <c r="I30" t="s">
        <v>505</v>
      </c>
    </row>
    <row r="31" spans="1:9" x14ac:dyDescent="0.25">
      <c r="A31" t="s">
        <v>506</v>
      </c>
      <c r="B31" t="s">
        <v>467</v>
      </c>
      <c r="C31" t="s">
        <v>450</v>
      </c>
      <c r="D31" t="s">
        <v>120</v>
      </c>
      <c r="F31">
        <v>1</v>
      </c>
      <c r="G31">
        <v>0</v>
      </c>
      <c r="H31">
        <v>3</v>
      </c>
      <c r="I31" t="s">
        <v>507</v>
      </c>
    </row>
    <row r="32" spans="1:9" x14ac:dyDescent="0.25">
      <c r="A32" t="s">
        <v>508</v>
      </c>
      <c r="B32" t="s">
        <v>471</v>
      </c>
      <c r="C32" t="s">
        <v>450</v>
      </c>
      <c r="D32" t="s">
        <v>120</v>
      </c>
      <c r="F32">
        <v>1</v>
      </c>
      <c r="G32">
        <v>0</v>
      </c>
      <c r="H32">
        <v>3</v>
      </c>
      <c r="I32" t="s">
        <v>509</v>
      </c>
    </row>
    <row r="33" spans="1:9" x14ac:dyDescent="0.25">
      <c r="A33" t="s">
        <v>510</v>
      </c>
      <c r="B33" t="s">
        <v>474</v>
      </c>
      <c r="C33" t="s">
        <v>450</v>
      </c>
      <c r="D33" t="s">
        <v>120</v>
      </c>
      <c r="F33">
        <v>1</v>
      </c>
      <c r="G33">
        <v>0</v>
      </c>
      <c r="H33">
        <v>3</v>
      </c>
      <c r="I33" t="s">
        <v>511</v>
      </c>
    </row>
    <row r="34" spans="1:9" x14ac:dyDescent="0.25">
      <c r="A34" t="s">
        <v>512</v>
      </c>
      <c r="B34" t="s">
        <v>477</v>
      </c>
      <c r="C34" t="s">
        <v>454</v>
      </c>
      <c r="D34" t="s">
        <v>120</v>
      </c>
      <c r="F34">
        <v>1</v>
      </c>
      <c r="G34">
        <v>0</v>
      </c>
      <c r="H34">
        <v>3</v>
      </c>
      <c r="I34" t="s">
        <v>513</v>
      </c>
    </row>
    <row r="35" spans="1:9" x14ac:dyDescent="0.25">
      <c r="A35" t="s">
        <v>514</v>
      </c>
      <c r="B35" t="s">
        <v>480</v>
      </c>
      <c r="C35" t="s">
        <v>454</v>
      </c>
      <c r="D35" t="s">
        <v>120</v>
      </c>
      <c r="F35">
        <v>1</v>
      </c>
      <c r="G35">
        <v>0</v>
      </c>
      <c r="H35">
        <v>3</v>
      </c>
      <c r="I35" t="s">
        <v>515</v>
      </c>
    </row>
    <row r="36" spans="1:9" x14ac:dyDescent="0.25">
      <c r="A36" t="s">
        <v>516</v>
      </c>
      <c r="B36" t="s">
        <v>483</v>
      </c>
      <c r="C36" t="s">
        <v>434</v>
      </c>
      <c r="D36" t="s">
        <v>120</v>
      </c>
      <c r="F36">
        <v>1</v>
      </c>
      <c r="G36">
        <v>0</v>
      </c>
      <c r="H36">
        <v>3</v>
      </c>
      <c r="I36" t="s">
        <v>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3"/>
  <sheetViews>
    <sheetView workbookViewId="0"/>
  </sheetViews>
  <sheetFormatPr defaultRowHeight="15" x14ac:dyDescent="0.25"/>
  <cols>
    <col min="2" max="2" width="24.28515625" bestFit="1" customWidth="1"/>
    <col min="3" max="3" width="18.5703125" bestFit="1" customWidth="1"/>
    <col min="4" max="4" width="5" bestFit="1" customWidth="1"/>
    <col min="5" max="5" width="9.42578125" bestFit="1" customWidth="1"/>
    <col min="6" max="6" width="11.5703125" bestFit="1" customWidth="1"/>
    <col min="7" max="7" width="59.28515625" bestFit="1" customWidth="1"/>
    <col min="10" max="10" width="11" customWidth="1"/>
    <col min="11" max="11" width="18" bestFit="1" customWidth="1"/>
  </cols>
  <sheetData>
    <row r="2" spans="2:11" x14ac:dyDescent="0.25">
      <c r="B2" s="6" t="s">
        <v>279</v>
      </c>
    </row>
    <row r="3" spans="2:11" x14ac:dyDescent="0.25">
      <c r="B3" s="6" t="s">
        <v>280</v>
      </c>
      <c r="J3" s="7" t="s">
        <v>281</v>
      </c>
    </row>
    <row r="4" spans="2:11" x14ac:dyDescent="0.25">
      <c r="C4" t="s">
        <v>282</v>
      </c>
    </row>
    <row r="5" spans="2:11" x14ac:dyDescent="0.25">
      <c r="B5" s="8" t="s">
        <v>106</v>
      </c>
      <c r="C5" s="9" t="s">
        <v>283</v>
      </c>
      <c r="D5" s="10">
        <v>2015</v>
      </c>
      <c r="E5" s="11" t="s">
        <v>284</v>
      </c>
      <c r="F5" s="11" t="s">
        <v>285</v>
      </c>
      <c r="G5" s="8" t="s">
        <v>119</v>
      </c>
      <c r="J5" s="2" t="s">
        <v>286</v>
      </c>
    </row>
    <row r="6" spans="2:11" x14ac:dyDescent="0.25">
      <c r="B6" t="s">
        <v>287</v>
      </c>
      <c r="C6" t="s">
        <v>288</v>
      </c>
      <c r="D6">
        <v>1</v>
      </c>
      <c r="E6">
        <v>0</v>
      </c>
      <c r="F6">
        <v>3</v>
      </c>
      <c r="G6" t="str">
        <f>"Capacity increment for component learning - "&amp;VLOOKUP(RIGHT(B6,3),$J$6:$K$33,2,FALSE)</f>
        <v xml:space="preserve">Capacity increment for component learning - Comb Turbine     </v>
      </c>
      <c r="J6" s="12" t="s">
        <v>289</v>
      </c>
      <c r="K6" s="12" t="s">
        <v>290</v>
      </c>
    </row>
    <row r="7" spans="2:11" x14ac:dyDescent="0.25">
      <c r="C7" t="s">
        <v>291</v>
      </c>
      <c r="D7">
        <v>0.67</v>
      </c>
      <c r="J7" s="12" t="s">
        <v>292</v>
      </c>
      <c r="K7" s="12" t="s">
        <v>293</v>
      </c>
    </row>
    <row r="8" spans="2:11" x14ac:dyDescent="0.25">
      <c r="B8" t="s">
        <v>294</v>
      </c>
      <c r="C8" t="s">
        <v>295</v>
      </c>
      <c r="D8">
        <v>1</v>
      </c>
      <c r="E8">
        <v>0</v>
      </c>
      <c r="F8">
        <v>3</v>
      </c>
      <c r="G8" t="str">
        <f>"Capacity increment for component learning - "&amp;VLOOKUP(RIGHT(B8,3),$J$6:$K$33,2,FALSE)</f>
        <v xml:space="preserve">Capacity increment for component learning - Comb Turbine Adv </v>
      </c>
      <c r="J8" s="12" t="s">
        <v>296</v>
      </c>
      <c r="K8" s="12" t="s">
        <v>297</v>
      </c>
    </row>
    <row r="9" spans="2:11" x14ac:dyDescent="0.25">
      <c r="C9" t="s">
        <v>298</v>
      </c>
      <c r="D9">
        <v>0.67</v>
      </c>
      <c r="J9" s="12" t="s">
        <v>299</v>
      </c>
      <c r="K9" s="12" t="s">
        <v>300</v>
      </c>
    </row>
    <row r="10" spans="2:11" x14ac:dyDescent="0.25">
      <c r="C10" t="s">
        <v>301</v>
      </c>
      <c r="D10">
        <v>0.67</v>
      </c>
      <c r="J10" s="12" t="s">
        <v>302</v>
      </c>
      <c r="K10" s="12" t="s">
        <v>303</v>
      </c>
    </row>
    <row r="11" spans="2:11" x14ac:dyDescent="0.25">
      <c r="C11" t="s">
        <v>304</v>
      </c>
      <c r="D11">
        <v>0.67</v>
      </c>
      <c r="J11" s="12" t="s">
        <v>305</v>
      </c>
      <c r="K11" s="12" t="s">
        <v>306</v>
      </c>
    </row>
    <row r="12" spans="2:11" x14ac:dyDescent="0.25">
      <c r="B12" t="s">
        <v>307</v>
      </c>
      <c r="C12" t="s">
        <v>291</v>
      </c>
      <c r="D12">
        <v>0.33</v>
      </c>
      <c r="E12">
        <v>0</v>
      </c>
      <c r="F12">
        <v>3</v>
      </c>
      <c r="G12" t="str">
        <f>"Capacity increment for component learning - "&amp;VLOOKUP(RIGHT(B12,3),$J$6:$K$33,2,FALSE)</f>
        <v xml:space="preserve">Capacity increment for component learning - Steam Comb Cyc   </v>
      </c>
      <c r="J12" s="12" t="s">
        <v>308</v>
      </c>
      <c r="K12" s="12" t="s">
        <v>309</v>
      </c>
    </row>
    <row r="13" spans="2:11" x14ac:dyDescent="0.25">
      <c r="C13" t="s">
        <v>298</v>
      </c>
      <c r="D13">
        <v>0.33</v>
      </c>
      <c r="J13" s="12" t="s">
        <v>310</v>
      </c>
      <c r="K13" s="12" t="s">
        <v>311</v>
      </c>
    </row>
    <row r="14" spans="2:11" x14ac:dyDescent="0.25">
      <c r="C14" t="s">
        <v>301</v>
      </c>
      <c r="D14">
        <v>0.33</v>
      </c>
      <c r="J14" s="12" t="s">
        <v>312</v>
      </c>
      <c r="K14" s="12" t="s">
        <v>313</v>
      </c>
    </row>
    <row r="15" spans="2:11" x14ac:dyDescent="0.25">
      <c r="C15" t="s">
        <v>304</v>
      </c>
      <c r="D15">
        <v>0.33</v>
      </c>
      <c r="J15" s="12" t="s">
        <v>314</v>
      </c>
      <c r="K15" s="12" t="s">
        <v>315</v>
      </c>
    </row>
    <row r="16" spans="2:11" x14ac:dyDescent="0.25">
      <c r="B16" t="s">
        <v>316</v>
      </c>
      <c r="C16" t="s">
        <v>301</v>
      </c>
      <c r="D16">
        <v>1</v>
      </c>
      <c r="E16">
        <v>0</v>
      </c>
      <c r="F16">
        <v>3</v>
      </c>
      <c r="G16" t="str">
        <f>"Capacity increment for component learning - "&amp;VLOOKUP(RIGHT(B16,3),$J$6:$K$33,2,FALSE)</f>
        <v xml:space="preserve">Capacity increment for component learning - Sequestration    </v>
      </c>
      <c r="J16" s="12" t="s">
        <v>317</v>
      </c>
      <c r="K16" s="12" t="s">
        <v>318</v>
      </c>
    </row>
    <row r="17" spans="2:11" x14ac:dyDescent="0.25">
      <c r="C17" t="s">
        <v>319</v>
      </c>
      <c r="D17">
        <v>1</v>
      </c>
      <c r="J17" s="12" t="s">
        <v>320</v>
      </c>
      <c r="K17" s="12" t="s">
        <v>321</v>
      </c>
    </row>
    <row r="18" spans="2:11" x14ac:dyDescent="0.25">
      <c r="B18" t="s">
        <v>322</v>
      </c>
      <c r="C18" t="s">
        <v>288</v>
      </c>
      <c r="D18">
        <v>1</v>
      </c>
      <c r="E18">
        <v>0</v>
      </c>
      <c r="F18">
        <v>3</v>
      </c>
      <c r="G18" t="str">
        <f>"Capacity increment for component learning - "&amp;VLOOKUP(RIGHT(B18,3),$J$6:$K$33,2,FALSE)</f>
        <v>Capacity increment for component learning - Balance - Turbine</v>
      </c>
      <c r="J18" s="12" t="s">
        <v>323</v>
      </c>
      <c r="K18" s="12" t="s">
        <v>324</v>
      </c>
    </row>
    <row r="19" spans="2:11" x14ac:dyDescent="0.25">
      <c r="C19" t="s">
        <v>295</v>
      </c>
      <c r="D19">
        <v>1</v>
      </c>
      <c r="J19" s="12" t="s">
        <v>325</v>
      </c>
      <c r="K19" s="12" t="s">
        <v>326</v>
      </c>
    </row>
    <row r="20" spans="2:11" x14ac:dyDescent="0.25">
      <c r="B20" t="s">
        <v>327</v>
      </c>
      <c r="C20" t="s">
        <v>298</v>
      </c>
      <c r="D20">
        <v>1</v>
      </c>
      <c r="E20">
        <v>0</v>
      </c>
      <c r="F20">
        <v>3</v>
      </c>
      <c r="G20" t="str">
        <f>"Capacity increment for component learning - "&amp;VLOOKUP(RIGHT(B20,3),$J$6:$K$33,2,FALSE)</f>
        <v xml:space="preserve">Capacity increment for component learning - Balance - CC     </v>
      </c>
      <c r="J20" s="12" t="s">
        <v>328</v>
      </c>
      <c r="K20" s="12" t="s">
        <v>326</v>
      </c>
    </row>
    <row r="21" spans="2:11" x14ac:dyDescent="0.25">
      <c r="C21" t="s">
        <v>301</v>
      </c>
      <c r="D21">
        <v>1</v>
      </c>
      <c r="J21" s="12" t="s">
        <v>329</v>
      </c>
      <c r="K21" s="12" t="s">
        <v>330</v>
      </c>
    </row>
    <row r="22" spans="2:11" x14ac:dyDescent="0.25">
      <c r="C22" t="s">
        <v>291</v>
      </c>
      <c r="D22">
        <v>1</v>
      </c>
      <c r="J22" s="12" t="s">
        <v>331</v>
      </c>
      <c r="K22" s="12" t="s">
        <v>332</v>
      </c>
    </row>
    <row r="23" spans="2:11" x14ac:dyDescent="0.25">
      <c r="B23" t="s">
        <v>333</v>
      </c>
      <c r="C23" t="s">
        <v>334</v>
      </c>
      <c r="D23">
        <v>1</v>
      </c>
      <c r="E23">
        <v>0</v>
      </c>
      <c r="F23">
        <v>3</v>
      </c>
      <c r="G23" t="str">
        <f>"Capacity increment for component learning - "&amp;VLOOKUP(RIGHT(B23,3),$J$6:$K$33,2,FALSE)</f>
        <v xml:space="preserve">Capacity increment for component learning - Solar PV - Mod   </v>
      </c>
      <c r="J23" s="12" t="s">
        <v>335</v>
      </c>
      <c r="K23" s="12" t="s">
        <v>336</v>
      </c>
    </row>
    <row r="24" spans="2:11" x14ac:dyDescent="0.25">
      <c r="B24" t="s">
        <v>337</v>
      </c>
      <c r="C24" t="s">
        <v>334</v>
      </c>
      <c r="D24">
        <v>1</v>
      </c>
      <c r="E24">
        <v>0</v>
      </c>
      <c r="F24">
        <v>3</v>
      </c>
      <c r="G24" t="str">
        <f>"Capacity increment for component learning - "&amp;VLOOKUP(RIGHT(B24,3),$J$6:$K$33,2,FALSE)</f>
        <v xml:space="preserve">Capacity increment for component learning - Solar PV - BOS   </v>
      </c>
      <c r="J24" s="12" t="s">
        <v>338</v>
      </c>
      <c r="K24" s="12" t="s">
        <v>339</v>
      </c>
    </row>
    <row r="25" spans="2:11" x14ac:dyDescent="0.25">
      <c r="B25" t="s">
        <v>340</v>
      </c>
      <c r="C25" t="s">
        <v>341</v>
      </c>
      <c r="D25">
        <v>1</v>
      </c>
      <c r="E25">
        <v>0</v>
      </c>
      <c r="F25">
        <v>3</v>
      </c>
      <c r="G25" t="str">
        <f>"Capacity increment for component learning - "&amp;VLOOKUP(RIGHT(B25,3),$J$6:$K$33,2,FALSE)</f>
        <v xml:space="preserve">Capacity increment for component learning - Pulv Coal New    </v>
      </c>
      <c r="J25" s="12" t="s">
        <v>342</v>
      </c>
      <c r="K25" s="12" t="s">
        <v>343</v>
      </c>
    </row>
    <row r="26" spans="2:11" x14ac:dyDescent="0.25">
      <c r="C26" t="s">
        <v>319</v>
      </c>
      <c r="D26">
        <v>1</v>
      </c>
      <c r="J26" s="12" t="s">
        <v>344</v>
      </c>
      <c r="K26" s="12" t="s">
        <v>345</v>
      </c>
    </row>
    <row r="27" spans="2:11" x14ac:dyDescent="0.25">
      <c r="C27" t="s">
        <v>346</v>
      </c>
      <c r="D27">
        <v>0.5</v>
      </c>
      <c r="J27" s="12" t="s">
        <v>347</v>
      </c>
      <c r="K27" s="12" t="s">
        <v>348</v>
      </c>
    </row>
    <row r="28" spans="2:11" x14ac:dyDescent="0.25">
      <c r="B28" t="s">
        <v>349</v>
      </c>
      <c r="C28" t="s">
        <v>304</v>
      </c>
      <c r="D28">
        <v>1</v>
      </c>
      <c r="E28">
        <v>0</v>
      </c>
      <c r="F28">
        <v>3</v>
      </c>
      <c r="G28" t="str">
        <f>"Capacity increment for component learning - "&amp;VLOOKUP(RIGHT(B28,3),$J$6:$K$33,2,FALSE)</f>
        <v xml:space="preserve">Capacity increment for component learning - Gasifier-coal/wd </v>
      </c>
      <c r="J28" s="12" t="s">
        <v>350</v>
      </c>
      <c r="K28" s="12" t="s">
        <v>351</v>
      </c>
    </row>
    <row r="29" spans="2:11" x14ac:dyDescent="0.25">
      <c r="B29" t="s">
        <v>352</v>
      </c>
      <c r="C29" t="s">
        <v>304</v>
      </c>
      <c r="D29">
        <v>1</v>
      </c>
      <c r="E29">
        <v>0</v>
      </c>
      <c r="F29">
        <v>3</v>
      </c>
      <c r="G29" t="str">
        <f>"Capacity increment for component learning - "&amp;VLOOKUP(RIGHT(B29,3),$J$6:$K$33,2,FALSE)</f>
        <v xml:space="preserve">Capacity increment for component learning - Balance - IGCC   </v>
      </c>
      <c r="J29" s="12" t="s">
        <v>353</v>
      </c>
      <c r="K29" s="12" t="s">
        <v>354</v>
      </c>
    </row>
    <row r="30" spans="2:11" x14ac:dyDescent="0.25">
      <c r="B30" t="s">
        <v>355</v>
      </c>
      <c r="C30" t="s">
        <v>346</v>
      </c>
      <c r="D30">
        <v>1</v>
      </c>
      <c r="E30">
        <v>0</v>
      </c>
      <c r="F30">
        <v>3</v>
      </c>
      <c r="G30" t="str">
        <f>"Capacity increment for component learning - "&amp;VLOOKUP(RIGHT(B30,3),$J$6:$K$33,2,FALSE)</f>
        <v xml:space="preserve">Capacity increment for component learning - Wood prep - bio  </v>
      </c>
      <c r="J30" s="12" t="s">
        <v>356</v>
      </c>
      <c r="K30" s="12" t="s">
        <v>357</v>
      </c>
    </row>
    <row r="31" spans="2:11" x14ac:dyDescent="0.25">
      <c r="B31" t="s">
        <v>358</v>
      </c>
      <c r="C31" t="s">
        <v>359</v>
      </c>
      <c r="D31">
        <v>1</v>
      </c>
      <c r="E31">
        <v>0</v>
      </c>
      <c r="F31">
        <v>3</v>
      </c>
      <c r="G31" t="str">
        <f>"Capacity increment for component learning - "&amp;VLOOKUP(RIGHT(B31,3),$J$6:$K$33,2,FALSE)</f>
        <v xml:space="preserve">Capacity increment for component learning - Wind             </v>
      </c>
      <c r="J31" s="12" t="s">
        <v>360</v>
      </c>
      <c r="K31" s="12" t="s">
        <v>361</v>
      </c>
    </row>
    <row r="32" spans="2:11" x14ac:dyDescent="0.25">
      <c r="C32" t="s">
        <v>362</v>
      </c>
      <c r="D32">
        <v>0.5</v>
      </c>
      <c r="J32" s="12" t="s">
        <v>363</v>
      </c>
      <c r="K32" s="12" t="s">
        <v>364</v>
      </c>
    </row>
    <row r="33" spans="2:11" x14ac:dyDescent="0.25">
      <c r="B33" t="s">
        <v>365</v>
      </c>
      <c r="C33" t="s">
        <v>362</v>
      </c>
      <c r="D33">
        <v>1</v>
      </c>
      <c r="E33">
        <v>0</v>
      </c>
      <c r="F33">
        <v>3</v>
      </c>
      <c r="G33" t="str">
        <f>"Capacity increment for component learning - "&amp;VLOOKUP(RIGHT(B33,3),$J$6:$K$33,2,FALSE)</f>
        <v xml:space="preserve">Capacity increment for component learning - Wind Offshore    </v>
      </c>
      <c r="J33" s="12" t="s">
        <v>366</v>
      </c>
      <c r="K33" s="12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Rep UCs</vt:lpstr>
      <vt:lpstr>for cap credit computation</vt:lpstr>
      <vt:lpstr>Supporting UCs</vt:lpstr>
      <vt:lpstr>Trade_flows</vt:lpstr>
      <vt:lpstr>ETL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2017-01-21T08:02:59Z</dcterms:created>
  <dcterms:modified xsi:type="dcterms:W3CDTF">2021-10-28T09:31:07Z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498043239116668</vt:r8>
  </property>
</Properties>
</file>