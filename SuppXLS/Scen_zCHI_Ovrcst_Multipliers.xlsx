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filterPrivacy="1" defaultThemeVersion="124226"/>
  <xr:revisionPtr revIDLastSave="0" documentId="13_ncr:1_{B971EF6D-97D9-4C4E-AB6C-08E667DE0B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19" i="1" l="1"/>
  <c r="R19" i="1" s="1"/>
  <c r="O19" i="1"/>
  <c r="O18" i="1"/>
  <c r="O17" i="1"/>
  <c r="P16" i="1"/>
  <c r="P17" i="1" s="1"/>
  <c r="P18" i="1" s="1"/>
  <c r="O16" i="1"/>
  <c r="Q15" i="1"/>
  <c r="R15" i="1" s="1"/>
  <c r="O15" i="1"/>
  <c r="Q10" i="1"/>
  <c r="R10" i="1" s="1"/>
  <c r="I10" i="1" l="1"/>
  <c r="S10" i="1"/>
  <c r="T10" i="1" s="1"/>
  <c r="U10" i="1" s="1"/>
  <c r="S15" i="1"/>
  <c r="T15" i="1" s="1"/>
  <c r="U15" i="1" s="1"/>
  <c r="I15" i="1"/>
  <c r="R16" i="1"/>
  <c r="S19" i="1"/>
  <c r="I19" i="1"/>
  <c r="R17" i="1"/>
  <c r="Q16" i="1"/>
  <c r="Q17" i="1" s="1"/>
  <c r="Q18" i="1" s="1"/>
  <c r="R18" i="1" l="1"/>
  <c r="S16" i="1"/>
  <c r="I16" i="1" s="1"/>
  <c r="T19" i="1"/>
  <c r="S17" i="1"/>
  <c r="S18" i="1" s="1"/>
  <c r="I18" i="1" l="1"/>
  <c r="I17" i="1"/>
  <c r="T16" i="1"/>
  <c r="U19" i="1"/>
  <c r="T17" i="1"/>
  <c r="T18" i="1" s="1"/>
  <c r="U16" i="1" l="1"/>
  <c r="U17" i="1"/>
  <c r="U18" i="1" s="1"/>
</calcChain>
</file>

<file path=xl/sharedStrings.xml><?xml version="1.0" encoding="utf-8"?>
<sst xmlns="http://schemas.openxmlformats.org/spreadsheetml/2006/main" count="63" uniqueCount="22">
  <si>
    <t>Attribute</t>
  </si>
  <si>
    <t>CHI</t>
  </si>
  <si>
    <t>SourceScen</t>
  </si>
  <si>
    <t>PSET_PN</t>
  </si>
  <si>
    <t>~TFM_UPD</t>
  </si>
  <si>
    <t>PSET_CI</t>
  </si>
  <si>
    <t>ELCCOA*</t>
  </si>
  <si>
    <t>Year</t>
  </si>
  <si>
    <t>EN*,EP*</t>
  </si>
  <si>
    <t>~TFM_INS</t>
  </si>
  <si>
    <t>PSET_SET</t>
  </si>
  <si>
    <t>END</t>
  </si>
  <si>
    <t>CHP</t>
  </si>
  <si>
    <t>NCAP_COST</t>
  </si>
  <si>
    <t>ELE</t>
  </si>
  <si>
    <t>2020,2025,2029</t>
  </si>
  <si>
    <t>~TFM_MIG</t>
  </si>
  <si>
    <t>Year2</t>
  </si>
  <si>
    <t>FossilELC</t>
  </si>
  <si>
    <t>NEMSLearning-2050</t>
  </si>
  <si>
    <t>PSET_CO</t>
  </si>
  <si>
    <t>-CO2Captured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</si>
</sst>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m\o\n\th\ d\,\ yyyy"/>
    <numFmt numFmtId="165" formatCode="#.00"/>
    <numFmt numFmtId="166" formatCode="#.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8">
    <xf numFmtId="0" fontId="0" fillId="0" borderId="0"/>
    <xf numFmtId="0" fontId="2" fillId="0" borderId="0"/>
    <xf numFmtId="0" fontId="7" fillId="0" borderId="2" applyNumberFormat="0" applyFont="0" applyProtection="0">
      <alignment wrapText="1"/>
    </xf>
    <xf numFmtId="43" fontId="1" fillId="0" borderId="0" applyFont="0" applyFill="0" applyBorder="0" applyAlignment="0" applyProtection="0"/>
    <xf numFmtId="164" fontId="4" fillId="0" borderId="0">
      <protection locked="0"/>
    </xf>
    <xf numFmtId="165" fontId="4" fillId="0" borderId="0">
      <protection locked="0"/>
    </xf>
    <xf numFmtId="0" fontId="7" fillId="0" borderId="0" applyNumberFormat="0" applyFill="0" applyBorder="0" applyAlignment="0" applyProtection="0"/>
    <xf numFmtId="0" fontId="7" fillId="0" borderId="0" applyNumberFormat="0" applyProtection="0">
      <alignment vertical="top" wrapText="1"/>
    </xf>
    <xf numFmtId="0" fontId="7" fillId="0" borderId="3" applyNumberFormat="0" applyProtection="0">
      <alignment vertical="top" wrapText="1"/>
    </xf>
    <xf numFmtId="0" fontId="8" fillId="0" borderId="1" applyNumberFormat="0" applyProtection="0">
      <alignment wrapText="1"/>
    </xf>
    <xf numFmtId="0" fontId="8" fillId="0" borderId="4" applyNumberFormat="0" applyProtection="0">
      <alignment horizontal="left" wrapText="1"/>
    </xf>
    <xf numFmtId="166" fontId="5" fillId="0" borderId="0">
      <protection locked="0"/>
    </xf>
    <xf numFmtId="166" fontId="5" fillId="0" borderId="0">
      <protection locked="0"/>
    </xf>
    <xf numFmtId="0" fontId="3" fillId="0" borderId="0"/>
    <xf numFmtId="0" fontId="2" fillId="0" borderId="0"/>
    <xf numFmtId="0" fontId="2" fillId="0" borderId="0"/>
    <xf numFmtId="0" fontId="6" fillId="0" borderId="0"/>
    <xf numFmtId="0" fontId="9" fillId="0" borderId="0"/>
    <xf numFmtId="0" fontId="8" fillId="0" borderId="5" applyNumberFormat="0" applyProtection="0">
      <alignment wrapTex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6" applyNumberFormat="0" applyFont="0" applyFill="0" applyProtection="0">
      <alignment wrapText="1"/>
    </xf>
    <xf numFmtId="0" fontId="8" fillId="0" borderId="7" applyNumberFormat="0" applyFill="0" applyProtection="0">
      <alignment wrapText="1"/>
    </xf>
    <xf numFmtId="0" fontId="2" fillId="0" borderId="0"/>
    <xf numFmtId="0" fontId="10" fillId="0" borderId="0" applyNumberFormat="0" applyProtection="0">
      <alignment horizontal="left"/>
    </xf>
    <xf numFmtId="43" fontId="1" fillId="0" borderId="0" applyFont="0" applyFill="0" applyBorder="0" applyAlignment="0" applyProtection="0"/>
    <xf numFmtId="0" fontId="11" fillId="2" borderId="8" applyNumberFormat="0" applyAlignment="0" applyProtection="0"/>
  </cellStyleXfs>
  <cellXfs count="3">
    <xf numFmtId="0" fontId="0" fillId="0" borderId="0" xfId="0"/>
    <xf numFmtId="0" fontId="11" fillId="2" borderId="8" xfId="27"/>
    <xf numFmtId="0" fontId="0" fillId="0" borderId="0" xfId="0" quotePrefix="1"/>
  </cellXfs>
  <cellStyles count="28">
    <cellStyle name="Body: normal cell" xfId="2" xr:uid="{00000000-0005-0000-0000-000000000000}"/>
    <cellStyle name="Comma 2" xfId="3" xr:uid="{00000000-0005-0000-0000-000001000000}"/>
    <cellStyle name="Comma 2 2" xfId="26" xr:uid="{00000000-0005-0000-0000-000002000000}"/>
    <cellStyle name="Date" xfId="4" xr:uid="{00000000-0005-0000-0000-000003000000}"/>
    <cellStyle name="Fixed" xfId="5" xr:uid="{00000000-0005-0000-0000-000004000000}"/>
    <cellStyle name="Font: Calibri, 9pt regular" xfId="6" xr:uid="{00000000-0005-0000-0000-000005000000}"/>
    <cellStyle name="Footnotes: all except top row" xfId="7" xr:uid="{00000000-0005-0000-0000-000006000000}"/>
    <cellStyle name="Footnotes: top row" xfId="8" xr:uid="{00000000-0005-0000-0000-000007000000}"/>
    <cellStyle name="Header: bottom row" xfId="9" xr:uid="{00000000-0005-0000-0000-000008000000}"/>
    <cellStyle name="Header: top rows" xfId="10" xr:uid="{00000000-0005-0000-0000-000009000000}"/>
    <cellStyle name="Heading1" xfId="11" xr:uid="{00000000-0005-0000-0000-00000A000000}"/>
    <cellStyle name="Heading2" xfId="12" xr:uid="{00000000-0005-0000-0000-00000B000000}"/>
    <cellStyle name="Input" xfId="27" builtinId="20"/>
    <cellStyle name="Normal" xfId="0" builtinId="0"/>
    <cellStyle name="Normal 2" xfId="1" xr:uid="{00000000-0005-0000-0000-00000D000000}"/>
    <cellStyle name="Normal 2 2" xfId="14" xr:uid="{00000000-0005-0000-0000-00000E000000}"/>
    <cellStyle name="Normal 2 3" xfId="15" xr:uid="{00000000-0005-0000-0000-00000F000000}"/>
    <cellStyle name="Normal 2 4" xfId="13" xr:uid="{00000000-0005-0000-0000-000010000000}"/>
    <cellStyle name="Normal 3" xfId="16" xr:uid="{00000000-0005-0000-0000-000011000000}"/>
    <cellStyle name="Normal 4" xfId="17" xr:uid="{00000000-0005-0000-0000-000012000000}"/>
    <cellStyle name="Parent row" xfId="18" xr:uid="{00000000-0005-0000-0000-000013000000}"/>
    <cellStyle name="Percent 2" xfId="20" xr:uid="{00000000-0005-0000-0000-000014000000}"/>
    <cellStyle name="Percent 3" xfId="21" xr:uid="{00000000-0005-0000-0000-000015000000}"/>
    <cellStyle name="Percent 4" xfId="19" xr:uid="{00000000-0005-0000-0000-000016000000}"/>
    <cellStyle name="Section Break" xfId="22" xr:uid="{00000000-0005-0000-0000-000017000000}"/>
    <cellStyle name="Section Break: parent row" xfId="23" xr:uid="{00000000-0005-0000-0000-000018000000}"/>
    <cellStyle name="Standard_WEO 2008 - RE Technology Cost (status 27-03-2008)-ext" xfId="24" xr:uid="{00000000-0005-0000-0000-000019000000}"/>
    <cellStyle name="Table title" xfId="25" xr:uid="{00000000-0005-0000-0000-00001A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19"/>
  <sheetViews>
    <sheetView tabSelected="1" workbookViewId="0">
      <selection activeCell="H22" sqref="H22"/>
    </sheetView>
  </sheetViews>
  <sheetFormatPr defaultRowHeight="15"/>
  <cols>
    <col min="3" max="3" width="12.7109375" bestFit="1" customWidth="1"/>
    <col min="7" max="7" width="11.5703125" bestFit="1" customWidth="1"/>
    <col min="13" max="13" width="13.5703125" bestFit="1" customWidth="1"/>
  </cols>
  <sheetData>
    <row r="2" spans="2:21">
      <c r="F2" t="s">
        <v>9</v>
      </c>
    </row>
    <row r="3" spans="2:21">
      <c r="B3" s="1">
        <v>4</v>
      </c>
      <c r="F3" t="s">
        <v>0</v>
      </c>
      <c r="G3" t="s">
        <v>5</v>
      </c>
      <c r="H3" t="s">
        <v>1</v>
      </c>
      <c r="I3" t="s">
        <v>10</v>
      </c>
    </row>
    <row r="4" spans="2:21">
      <c r="F4" t="s">
        <v>11</v>
      </c>
      <c r="G4" t="s">
        <v>6</v>
      </c>
      <c r="H4">
        <v>2030</v>
      </c>
      <c r="I4" t="s">
        <v>12</v>
      </c>
    </row>
    <row r="8" spans="2:21">
      <c r="F8" t="s">
        <v>16</v>
      </c>
    </row>
    <row r="9" spans="2:21">
      <c r="F9" t="s">
        <v>2</v>
      </c>
      <c r="G9" t="s">
        <v>0</v>
      </c>
      <c r="H9" t="s">
        <v>17</v>
      </c>
      <c r="I9" t="s">
        <v>1</v>
      </c>
      <c r="J9" t="s">
        <v>3</v>
      </c>
      <c r="K9" t="s">
        <v>5</v>
      </c>
      <c r="L9" t="s">
        <v>10</v>
      </c>
      <c r="M9" t="s">
        <v>20</v>
      </c>
    </row>
    <row r="10" spans="2:21">
      <c r="F10" t="s">
        <v>18</v>
      </c>
      <c r="G10" t="s">
        <v>13</v>
      </c>
      <c r="H10" s="2" t="s">
        <v>15</v>
      </c>
      <c r="I10" t="str">
        <f ca="1">"*"&amp;OFFSET($O$10,0,$B$3)</f>
        <v>*0.2325</v>
      </c>
      <c r="J10" t="s">
        <v>8</v>
      </c>
      <c r="K10" t="s">
        <v>6</v>
      </c>
      <c r="L10" t="s">
        <v>14</v>
      </c>
      <c r="M10" s="2" t="s">
        <v>21</v>
      </c>
      <c r="P10">
        <v>0.24</v>
      </c>
      <c r="Q10">
        <f>P10-0.0025</f>
        <v>0.23749999999999999</v>
      </c>
      <c r="R10">
        <f t="shared" ref="R10:U10" si="0">Q10-0.0025</f>
        <v>0.23499999999999999</v>
      </c>
      <c r="S10">
        <f t="shared" si="0"/>
        <v>0.23249999999999998</v>
      </c>
      <c r="T10">
        <f t="shared" si="0"/>
        <v>0.22999999999999998</v>
      </c>
      <c r="U10">
        <f t="shared" si="0"/>
        <v>0.22749999999999998</v>
      </c>
    </row>
    <row r="13" spans="2:21">
      <c r="F13" t="s">
        <v>4</v>
      </c>
    </row>
    <row r="14" spans="2:21">
      <c r="F14" t="s">
        <v>2</v>
      </c>
      <c r="G14" t="s">
        <v>0</v>
      </c>
      <c r="H14" t="s">
        <v>7</v>
      </c>
      <c r="I14" t="s">
        <v>1</v>
      </c>
      <c r="J14" t="s">
        <v>3</v>
      </c>
      <c r="K14" t="s">
        <v>5</v>
      </c>
      <c r="L14" t="s">
        <v>10</v>
      </c>
      <c r="M14" t="s">
        <v>20</v>
      </c>
    </row>
    <row r="15" spans="2:21">
      <c r="F15" t="s">
        <v>19</v>
      </c>
      <c r="G15" t="s">
        <v>13</v>
      </c>
      <c r="H15" s="2">
        <v>2030</v>
      </c>
      <c r="I15" t="str">
        <f>"*"&amp;VLOOKUP(H15,$O$15:$V$19,$B$3+1,FALSE)</f>
        <v>*1.1</v>
      </c>
      <c r="J15" t="s">
        <v>8</v>
      </c>
      <c r="K15" t="s">
        <v>6</v>
      </c>
      <c r="L15" t="s">
        <v>14</v>
      </c>
      <c r="M15" s="2" t="s">
        <v>21</v>
      </c>
      <c r="O15">
        <f>H15</f>
        <v>2030</v>
      </c>
      <c r="P15">
        <v>1.1000000000000001</v>
      </c>
      <c r="Q15">
        <f>P15</f>
        <v>1.1000000000000001</v>
      </c>
      <c r="R15">
        <f t="shared" ref="R15:U15" si="1">Q15</f>
        <v>1.1000000000000001</v>
      </c>
      <c r="S15">
        <f t="shared" si="1"/>
        <v>1.1000000000000001</v>
      </c>
      <c r="T15">
        <f t="shared" si="1"/>
        <v>1.1000000000000001</v>
      </c>
      <c r="U15">
        <f t="shared" si="1"/>
        <v>1.1000000000000001</v>
      </c>
    </row>
    <row r="16" spans="2:21">
      <c r="F16" t="s">
        <v>19</v>
      </c>
      <c r="G16" t="s">
        <v>13</v>
      </c>
      <c r="H16">
        <v>2035</v>
      </c>
      <c r="I16" t="str">
        <f>"*"&amp;VLOOKUP(H16,$O$15:$V$19,$B$3+1,FALSE)</f>
        <v>*1.154375</v>
      </c>
      <c r="J16" t="s">
        <v>8</v>
      </c>
      <c r="K16" t="s">
        <v>6</v>
      </c>
      <c r="L16" t="s">
        <v>14</v>
      </c>
      <c r="M16" s="2" t="s">
        <v>21</v>
      </c>
      <c r="O16">
        <f t="shared" ref="O16:O19" si="2">H16</f>
        <v>2035</v>
      </c>
      <c r="P16">
        <f>(P$19-P$15)/4+P15</f>
        <v>1.1600000000000001</v>
      </c>
      <c r="Q16">
        <f t="shared" ref="Q16:U18" si="3">(Q$19-Q$15)/4+Q15</f>
        <v>1.1581250000000001</v>
      </c>
      <c r="R16">
        <f t="shared" si="3"/>
        <v>1.15625</v>
      </c>
      <c r="S16">
        <f t="shared" si="3"/>
        <v>1.1543749999999999</v>
      </c>
      <c r="T16">
        <f t="shared" si="3"/>
        <v>1.1525000000000001</v>
      </c>
      <c r="U16">
        <f t="shared" si="3"/>
        <v>1.150625</v>
      </c>
    </row>
    <row r="17" spans="6:21">
      <c r="F17" t="s">
        <v>19</v>
      </c>
      <c r="G17" t="s">
        <v>13</v>
      </c>
      <c r="H17" s="2">
        <v>2040</v>
      </c>
      <c r="I17" t="str">
        <f>"*"&amp;VLOOKUP(H17,$O$15:$V$19,$B$3+1,FALSE)</f>
        <v>*1.20875</v>
      </c>
      <c r="J17" t="s">
        <v>8</v>
      </c>
      <c r="K17" t="s">
        <v>6</v>
      </c>
      <c r="L17" t="s">
        <v>14</v>
      </c>
      <c r="M17" s="2" t="s">
        <v>21</v>
      </c>
      <c r="O17">
        <f t="shared" si="2"/>
        <v>2040</v>
      </c>
      <c r="P17">
        <f>(P$19-P$15)/4+P16</f>
        <v>1.2200000000000002</v>
      </c>
      <c r="Q17">
        <f t="shared" si="3"/>
        <v>1.2162500000000001</v>
      </c>
      <c r="R17">
        <f t="shared" si="3"/>
        <v>1.2124999999999999</v>
      </c>
      <c r="S17">
        <f t="shared" si="3"/>
        <v>1.2087499999999998</v>
      </c>
      <c r="T17">
        <f t="shared" si="3"/>
        <v>1.2050000000000001</v>
      </c>
      <c r="U17">
        <f t="shared" si="3"/>
        <v>1.2012499999999999</v>
      </c>
    </row>
    <row r="18" spans="6:21">
      <c r="F18" t="s">
        <v>19</v>
      </c>
      <c r="G18" t="s">
        <v>13</v>
      </c>
      <c r="H18">
        <v>2045</v>
      </c>
      <c r="I18" t="str">
        <f>"*"&amp;VLOOKUP(H18,$O$15:$V$19,$B$3+1,FALSE)</f>
        <v>*1.263125</v>
      </c>
      <c r="J18" t="s">
        <v>8</v>
      </c>
      <c r="K18" t="s">
        <v>6</v>
      </c>
      <c r="L18" t="s">
        <v>14</v>
      </c>
      <c r="M18" s="2" t="s">
        <v>21</v>
      </c>
      <c r="O18">
        <f t="shared" si="2"/>
        <v>2045</v>
      </c>
      <c r="P18">
        <f>(P$19-P$15)/4+P17</f>
        <v>1.2800000000000002</v>
      </c>
      <c r="Q18">
        <f t="shared" si="3"/>
        <v>1.274375</v>
      </c>
      <c r="R18">
        <f t="shared" si="3"/>
        <v>1.2687499999999998</v>
      </c>
      <c r="S18">
        <f t="shared" si="3"/>
        <v>1.2631249999999996</v>
      </c>
      <c r="T18">
        <f t="shared" si="3"/>
        <v>1.2575000000000001</v>
      </c>
      <c r="U18">
        <f t="shared" si="3"/>
        <v>1.2518749999999998</v>
      </c>
    </row>
    <row r="19" spans="6:21">
      <c r="F19" t="s">
        <v>19</v>
      </c>
      <c r="G19" t="s">
        <v>13</v>
      </c>
      <c r="H19" s="2">
        <v>2050</v>
      </c>
      <c r="I19" t="str">
        <f>"*"&amp;VLOOKUP(H19,$O$15:$V$19,$B$3+1,FALSE)</f>
        <v>*1.3175</v>
      </c>
      <c r="J19" t="s">
        <v>8</v>
      </c>
      <c r="K19" t="s">
        <v>6</v>
      </c>
      <c r="L19" t="s">
        <v>14</v>
      </c>
      <c r="M19" s="2" t="s">
        <v>21</v>
      </c>
      <c r="O19">
        <f t="shared" si="2"/>
        <v>2050</v>
      </c>
      <c r="P19">
        <v>1.34</v>
      </c>
      <c r="Q19">
        <f>P19-0.0075</f>
        <v>1.3325</v>
      </c>
      <c r="R19">
        <f t="shared" ref="R19:U19" si="4">Q19-0.0075</f>
        <v>1.325</v>
      </c>
      <c r="S19">
        <f t="shared" si="4"/>
        <v>1.3174999999999999</v>
      </c>
      <c r="T19">
        <f t="shared" si="4"/>
        <v>1.3099999999999998</v>
      </c>
      <c r="U19">
        <f t="shared" si="4"/>
        <v>1.3024999999999998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2020-05-12T13:53:41Z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543941676616668</vt:r8>
  </property>
</Properties>
</file>