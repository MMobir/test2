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C:\Veda\Veda_models\IEMM_v60_10-1\SuppXLS\"/>
    </mc:Choice>
  </mc:AlternateContent>
  <xr:revisionPtr revIDLastSave="0" documentId="13_ncr:1_{A823ACA2-95D9-4C89-92B4-9D64A3D874BE}" xr6:coauthVersionLast="47" xr6:coauthVersionMax="47" xr10:uidLastSave="{00000000-0000-0000-0000-000000000000}"/>
  <bookViews>
    <workbookView xWindow="-108" yWindow="-108" windowWidth="30936" windowHeight="16896" firstSheet="1" activeTab="7" xr2:uid="{00000000-000D-0000-FFFF-FFFF00000000}"/>
  </bookViews>
  <sheets>
    <sheet name="Readme" sheetId="17" r:id="rId1"/>
    <sheet name="Constants" sheetId="12" r:id="rId2"/>
    <sheet name="Wind Costs" sheetId="7" r:id="rId3"/>
    <sheet name="YRFRs" sheetId="8" r:id="rId4"/>
    <sheet name="HydroCF" sheetId="9" r:id="rId5"/>
    <sheet name="WEPSp Demand" sheetId="13" r:id="rId6"/>
    <sheet name="Emission Factors" sheetId="15" r:id="rId7"/>
    <sheet name="Emission - CCS" sheetId="16" r:id="rId8"/>
    <sheet name="RE assumptions" sheetId="14" r:id="rId9"/>
    <sheet name="restart folder options" sheetId="18" r:id="rId10"/>
  </sheets>
  <definedNames>
    <definedName name="_xlnm._FilterDatabase" localSheetId="5" hidden="1">'WEPSp Demand'!$C$6:$F$3622</definedName>
    <definedName name="_xlnm._FilterDatabase" localSheetId="3" hidden="1">YRFRs!$P$4:$S$616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09" i="13" l="1"/>
  <c r="C5" i="13"/>
  <c r="Z82" i="13"/>
  <c r="AC87" i="13"/>
  <c r="AC88" i="13"/>
  <c r="AC89" i="13"/>
  <c r="AC90" i="13"/>
  <c r="AC91" i="13"/>
  <c r="AC92" i="13"/>
  <c r="AC93" i="13"/>
  <c r="AC94" i="13"/>
  <c r="AC95" i="13"/>
  <c r="AC96" i="13"/>
  <c r="AC97" i="13"/>
  <c r="AC98" i="13"/>
  <c r="AC99" i="13"/>
  <c r="AC100" i="13"/>
  <c r="AC101" i="13"/>
  <c r="AC102" i="13"/>
  <c r="AC86" i="13"/>
  <c r="Z60" i="13"/>
  <c r="Z61" i="13"/>
  <c r="Z62" i="13"/>
  <c r="Z63" i="13"/>
  <c r="Z64" i="13"/>
  <c r="Z65" i="13"/>
  <c r="AM65" i="13" s="1" a="1"/>
  <c r="AM65" i="13" s="1"/>
  <c r="Z66" i="13"/>
  <c r="Z67" i="13"/>
  <c r="AM67" i="13" s="1" a="1"/>
  <c r="AM67" i="13" s="1"/>
  <c r="Z68" i="13"/>
  <c r="Z69" i="13"/>
  <c r="Z70" i="13"/>
  <c r="Z71" i="13"/>
  <c r="Z72" i="13"/>
  <c r="Z73" i="13"/>
  <c r="Z74" i="13"/>
  <c r="Z75" i="13"/>
  <c r="Z76" i="13"/>
  <c r="AB60" i="13"/>
  <c r="AE60" i="13" s="1" a="1"/>
  <c r="AE60" i="13" s="1"/>
  <c r="AB61" i="13"/>
  <c r="AB62" i="13"/>
  <c r="AM62" i="13" s="1" a="1"/>
  <c r="AM62" i="13" s="1"/>
  <c r="AB63" i="13"/>
  <c r="AB64" i="13"/>
  <c r="AJ64" i="13" s="1" a="1"/>
  <c r="AJ64" i="13" s="1"/>
  <c r="AB65" i="13"/>
  <c r="AK65" i="13" s="1" a="1"/>
  <c r="AK65" i="13" s="1"/>
  <c r="AB66" i="13"/>
  <c r="AC66" i="13" s="1" a="1"/>
  <c r="AC66" i="13" s="1"/>
  <c r="AB67" i="13"/>
  <c r="AG67" i="13" s="1" a="1"/>
  <c r="AG67" i="13" s="1"/>
  <c r="AB68" i="13"/>
  <c r="AJ68" i="13" s="1" a="1"/>
  <c r="AJ68" i="13" s="1"/>
  <c r="AB69" i="13"/>
  <c r="AB70" i="13"/>
  <c r="AD70" i="13" s="1" a="1"/>
  <c r="AD70" i="13" s="1"/>
  <c r="AB71" i="13"/>
  <c r="AJ71" i="13" s="1" a="1"/>
  <c r="AJ71" i="13" s="1"/>
  <c r="AB72" i="13"/>
  <c r="AH72" i="13" s="1" a="1"/>
  <c r="AH72" i="13" s="1"/>
  <c r="AB73" i="13"/>
  <c r="AB74" i="13"/>
  <c r="AD74" i="13" s="1" a="1"/>
  <c r="AD74" i="13" s="1"/>
  <c r="AB75" i="13"/>
  <c r="AL75" i="13" s="1" a="1"/>
  <c r="AL75" i="13" s="1"/>
  <c r="AB76" i="13"/>
  <c r="AG76" i="13" s="1" a="1"/>
  <c r="AG76" i="13" s="1"/>
  <c r="AB26" i="13"/>
  <c r="Z26" i="13"/>
  <c r="AB27" i="13"/>
  <c r="Z27" i="13"/>
  <c r="AB28" i="13"/>
  <c r="Z28" i="13"/>
  <c r="AB29" i="13"/>
  <c r="Z29" i="13"/>
  <c r="AB30" i="13"/>
  <c r="Z30" i="13"/>
  <c r="AB31" i="13"/>
  <c r="Z31" i="13"/>
  <c r="AB32" i="13"/>
  <c r="Z32" i="13"/>
  <c r="AB33" i="13"/>
  <c r="Z33" i="13"/>
  <c r="AB34" i="13"/>
  <c r="Z34" i="13"/>
  <c r="AB35" i="13"/>
  <c r="Z35" i="13"/>
  <c r="AB36" i="13"/>
  <c r="Z36" i="13"/>
  <c r="AB37" i="13"/>
  <c r="Z37" i="13"/>
  <c r="AB38" i="13"/>
  <c r="Z38" i="13"/>
  <c r="AB39" i="13"/>
  <c r="Z39" i="13"/>
  <c r="AB40" i="13"/>
  <c r="Z40" i="13"/>
  <c r="AB41" i="13"/>
  <c r="Z41" i="13"/>
  <c r="AB42" i="13"/>
  <c r="Z42" i="13"/>
  <c r="AB43" i="13"/>
  <c r="Z43" i="13"/>
  <c r="AB44" i="13"/>
  <c r="Z44" i="13"/>
  <c r="AB45" i="13"/>
  <c r="Z45" i="13"/>
  <c r="AB46" i="13"/>
  <c r="Z46" i="13"/>
  <c r="AB47" i="13"/>
  <c r="Z47" i="13"/>
  <c r="AB48" i="13"/>
  <c r="Z48" i="13"/>
  <c r="AB49" i="13"/>
  <c r="Z49" i="13"/>
  <c r="AB50" i="13"/>
  <c r="Z50" i="13"/>
  <c r="AB51" i="13"/>
  <c r="Z51" i="13"/>
  <c r="AB52" i="13"/>
  <c r="Z52" i="13"/>
  <c r="AB53" i="13"/>
  <c r="Z53" i="13"/>
  <c r="AB54" i="13"/>
  <c r="Z54" i="13"/>
  <c r="AB55" i="13"/>
  <c r="Z55" i="13"/>
  <c r="AB56" i="13"/>
  <c r="AE56" i="13" s="1" a="1"/>
  <c r="AE56" i="13" s="1"/>
  <c r="Z56" i="13"/>
  <c r="AB57" i="13"/>
  <c r="Z57" i="13"/>
  <c r="AC57" i="13" s="1" a="1"/>
  <c r="AC57" i="13" s="1"/>
  <c r="AB58" i="13"/>
  <c r="Z58" i="13"/>
  <c r="AB59" i="13"/>
  <c r="Z59" i="13"/>
  <c r="AB10" i="13"/>
  <c r="Z10" i="13"/>
  <c r="AB11" i="13"/>
  <c r="Z11" i="13"/>
  <c r="AB12" i="13"/>
  <c r="Z12" i="13"/>
  <c r="AB13" i="13"/>
  <c r="Z13" i="13"/>
  <c r="AB14" i="13"/>
  <c r="AJ14" i="13" s="1" a="1"/>
  <c r="AJ14" i="13" s="1"/>
  <c r="Z14" i="13"/>
  <c r="AB15" i="13"/>
  <c r="Z15" i="13"/>
  <c r="AB16" i="13"/>
  <c r="Z16" i="13"/>
  <c r="AB17" i="13"/>
  <c r="Z17" i="13"/>
  <c r="AB18" i="13"/>
  <c r="Z18" i="13"/>
  <c r="AB19" i="13"/>
  <c r="Z19" i="13"/>
  <c r="AB20" i="13"/>
  <c r="Z20" i="13"/>
  <c r="AB21" i="13"/>
  <c r="Z21" i="13"/>
  <c r="AB22" i="13"/>
  <c r="AM22" i="13" s="1" a="1"/>
  <c r="AM22" i="13" s="1"/>
  <c r="Z22" i="13"/>
  <c r="AB23" i="13"/>
  <c r="Z23" i="13"/>
  <c r="AB24" i="13"/>
  <c r="Z24" i="13"/>
  <c r="AB25" i="13"/>
  <c r="AJ25" i="13" s="1" a="1"/>
  <c r="AJ25" i="13" s="1"/>
  <c r="Z25" i="13"/>
  <c r="Z9" i="13"/>
  <c r="AB9" i="13"/>
  <c r="Z5" i="13"/>
  <c r="P5" i="13"/>
  <c r="J5"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9" i="13"/>
  <c r="D21" i="14"/>
  <c r="L4"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9" i="12"/>
  <c r="H92" i="12"/>
  <c r="H91" i="12"/>
  <c r="H90" i="12"/>
  <c r="H89" i="12"/>
  <c r="H88" i="12"/>
  <c r="H87" i="12"/>
  <c r="H86" i="12"/>
  <c r="G49" i="12"/>
  <c r="G92" i="12" s="1"/>
  <c r="G47" i="12"/>
  <c r="D47" i="12" s="1"/>
  <c r="G48" i="12"/>
  <c r="D48" i="12" s="1"/>
  <c r="G43" i="12"/>
  <c r="G86" i="12" s="1"/>
  <c r="G44" i="12"/>
  <c r="G87" i="12" s="1"/>
  <c r="G45" i="12"/>
  <c r="G88" i="12" s="1"/>
  <c r="G46" i="12"/>
  <c r="D46" i="12" s="1"/>
  <c r="H5" i="12"/>
  <c r="E13" i="14"/>
  <c r="AM21" i="13" l="1" a="1"/>
  <c r="AM21" i="13" s="1"/>
  <c r="AJ17" i="13" a="1"/>
  <c r="AJ17" i="13" s="1"/>
  <c r="AJ52" i="13" a="1"/>
  <c r="AJ52" i="13" s="1"/>
  <c r="AM48" i="13" a="1"/>
  <c r="AM48" i="13" s="1"/>
  <c r="AM59" i="13" a="1"/>
  <c r="AM59" i="13" s="1"/>
  <c r="AT59" i="13" s="1"/>
  <c r="AG51" i="13" a="1"/>
  <c r="AG51" i="13" s="1"/>
  <c r="AG63" i="13" a="1"/>
  <c r="AG63" i="13" s="1"/>
  <c r="AM13" i="13" a="1"/>
  <c r="AM13" i="13" s="1"/>
  <c r="AR13" i="13" s="1"/>
  <c r="AD55" i="13" a="1"/>
  <c r="AD55" i="13" s="1"/>
  <c r="AM24" i="13" a="1"/>
  <c r="AM24" i="13" s="1"/>
  <c r="AI20" i="13" a="1"/>
  <c r="AI20" i="13" s="1"/>
  <c r="AM57" i="13" a="1"/>
  <c r="AM57" i="13" s="1"/>
  <c r="AE44" i="13" a="1"/>
  <c r="AE44" i="13" s="1"/>
  <c r="AF73" i="13" a="1"/>
  <c r="AF73" i="13" s="1"/>
  <c r="AM16" i="13" a="1"/>
  <c r="AM16" i="13" s="1"/>
  <c r="AF50" i="13" a="1"/>
  <c r="AF50" i="13" s="1"/>
  <c r="AM46" i="13" a="1"/>
  <c r="AM46" i="13" s="1"/>
  <c r="AM40" i="13" a="1"/>
  <c r="AM40" i="13" s="1"/>
  <c r="AD38" i="13" a="1"/>
  <c r="AD38" i="13" s="1"/>
  <c r="AM30" i="13" a="1"/>
  <c r="AM30" i="13" s="1"/>
  <c r="AH26" i="13" a="1"/>
  <c r="AH26" i="13" s="1"/>
  <c r="AK53" i="13" a="1"/>
  <c r="AK53" i="13" s="1"/>
  <c r="AF32" i="13" a="1"/>
  <c r="AF32" i="13" s="1"/>
  <c r="AE75" i="13" a="1"/>
  <c r="AE75" i="13" s="1"/>
  <c r="AM73" i="13" a="1"/>
  <c r="AM73" i="13" s="1"/>
  <c r="AG47" i="13" a="1"/>
  <c r="AG47" i="13" s="1"/>
  <c r="AI69" i="13" a="1"/>
  <c r="AI69" i="13" s="1"/>
  <c r="AC61" i="13" a="1"/>
  <c r="AC61" i="13" s="1"/>
  <c r="AK70" i="13" a="1"/>
  <c r="AK70" i="13" s="1"/>
  <c r="AM64" i="13" a="1"/>
  <c r="AM64" i="13" s="1"/>
  <c r="AK75" i="13" a="1"/>
  <c r="AK75" i="13" s="1"/>
  <c r="AM23" i="13" a="1"/>
  <c r="AM23" i="13" s="1"/>
  <c r="AN23" i="13" s="1"/>
  <c r="AG15" i="13" a="1"/>
  <c r="AG15" i="13" s="1"/>
  <c r="AC49" i="13" a="1"/>
  <c r="AC49" i="13" s="1"/>
  <c r="AM37" i="13" a="1"/>
  <c r="AM37" i="13" s="1"/>
  <c r="AP37" i="13" s="1"/>
  <c r="AM29" i="13" a="1"/>
  <c r="AM29" i="13" s="1"/>
  <c r="AM56" i="13" a="1"/>
  <c r="AM56" i="13" s="1"/>
  <c r="AC74" i="13" a="1"/>
  <c r="AC74" i="13" s="1"/>
  <c r="AK19" i="13" a="1"/>
  <c r="AK19" i="13" s="1"/>
  <c r="AM53" i="13" a="1"/>
  <c r="AM53" i="13" s="1"/>
  <c r="AR53" i="13" s="1"/>
  <c r="AM45" i="13" a="1"/>
  <c r="AM45" i="13" s="1"/>
  <c r="AP45" i="13" s="1"/>
  <c r="AC33" i="13" a="1"/>
  <c r="AC33" i="13" s="1"/>
  <c r="AM75" i="13" a="1"/>
  <c r="AM75" i="13" s="1"/>
  <c r="AE73" i="13" a="1"/>
  <c r="AE73" i="13" s="1"/>
  <c r="AC45" i="13" a="1"/>
  <c r="AC45" i="13" s="1"/>
  <c r="AM74" i="13" a="1"/>
  <c r="AM74" i="13" s="1"/>
  <c r="AG72" i="13" a="1"/>
  <c r="AG72" i="13" s="1"/>
  <c r="AK33" i="13" a="1"/>
  <c r="AK33" i="13" s="1"/>
  <c r="AM72" i="13" a="1"/>
  <c r="AM72" i="13" s="1"/>
  <c r="AM32" i="13" a="1"/>
  <c r="AM32" i="13" s="1"/>
  <c r="AQ32" i="13" s="1"/>
  <c r="AI71" i="13" a="1"/>
  <c r="AI71" i="13" s="1"/>
  <c r="AC22" i="13" a="1"/>
  <c r="AC22" i="13" s="1"/>
  <c r="AH39" i="13" a="1"/>
  <c r="AH39" i="13" s="1"/>
  <c r="AH31" i="13" a="1"/>
  <c r="AH31" i="13" s="1"/>
  <c r="AL76" i="13" a="1"/>
  <c r="AL76" i="13" s="1"/>
  <c r="AL67" i="13" a="1"/>
  <c r="AL67" i="13" s="1"/>
  <c r="AM43" i="13" a="1"/>
  <c r="AM43" i="13" s="1"/>
  <c r="AO43" i="13" s="1"/>
  <c r="AE35" i="13" a="1"/>
  <c r="AE35" i="13" s="1"/>
  <c r="AM27" i="13" a="1"/>
  <c r="AM27" i="13" s="1"/>
  <c r="AS27" i="13" s="1"/>
  <c r="AM66" i="13" a="1"/>
  <c r="AM66" i="13" s="1"/>
  <c r="AF76" i="13" a="1"/>
  <c r="AF76" i="13" s="1"/>
  <c r="AF66" i="13" a="1"/>
  <c r="AF66" i="13" s="1"/>
  <c r="AP46" i="13"/>
  <c r="AQ46" i="13"/>
  <c r="AR46" i="13"/>
  <c r="AS46" i="13"/>
  <c r="AT46" i="13"/>
  <c r="AN46" i="13"/>
  <c r="AV46" i="13"/>
  <c r="AO46" i="13"/>
  <c r="AU46" i="13"/>
  <c r="AP30" i="13"/>
  <c r="AQ30" i="13"/>
  <c r="AR30" i="13"/>
  <c r="AS30" i="13"/>
  <c r="AT30" i="13"/>
  <c r="AN30" i="13"/>
  <c r="AV30" i="13"/>
  <c r="AO30" i="13"/>
  <c r="AU30" i="13"/>
  <c r="AN16" i="13"/>
  <c r="AV16" i="13"/>
  <c r="AO16" i="13"/>
  <c r="AP16" i="13"/>
  <c r="AQ16" i="13"/>
  <c r="AR16" i="13"/>
  <c r="AT16" i="13"/>
  <c r="AU16" i="13"/>
  <c r="AS16" i="13"/>
  <c r="AR37" i="13"/>
  <c r="AT37" i="13"/>
  <c r="AU37" i="13"/>
  <c r="AO37" i="13"/>
  <c r="AN37" i="13"/>
  <c r="AQ29" i="13"/>
  <c r="AR29" i="13"/>
  <c r="AS29" i="13"/>
  <c r="AT29" i="13"/>
  <c r="AU29" i="13"/>
  <c r="AO29" i="13"/>
  <c r="AP29" i="13"/>
  <c r="AV29" i="13"/>
  <c r="AN29" i="13"/>
  <c r="AQ53" i="13"/>
  <c r="AV53" i="13"/>
  <c r="AU45" i="13"/>
  <c r="AN24" i="13"/>
  <c r="AV24" i="13"/>
  <c r="AO24" i="13"/>
  <c r="AP24" i="13"/>
  <c r="AQ24" i="13"/>
  <c r="AR24" i="13"/>
  <c r="AT24" i="13"/>
  <c r="AU24" i="13"/>
  <c r="AS24" i="13"/>
  <c r="AU23" i="13"/>
  <c r="AP22" i="13"/>
  <c r="AQ22" i="13"/>
  <c r="AR22" i="13"/>
  <c r="AS22" i="13"/>
  <c r="AT22" i="13"/>
  <c r="AN22" i="13"/>
  <c r="AV22" i="13"/>
  <c r="AO22" i="13"/>
  <c r="AU22" i="13"/>
  <c r="AU73" i="13"/>
  <c r="AN73" i="13"/>
  <c r="AV73" i="13"/>
  <c r="AO73" i="13"/>
  <c r="AP73" i="13"/>
  <c r="AQ73" i="13"/>
  <c r="AS73" i="13"/>
  <c r="AT73" i="13"/>
  <c r="AR73" i="13"/>
  <c r="AU65" i="13"/>
  <c r="AN65" i="13"/>
  <c r="AV65" i="13"/>
  <c r="AO65" i="13"/>
  <c r="AP65" i="13"/>
  <c r="AQ65" i="13"/>
  <c r="AS65" i="13"/>
  <c r="AT65" i="13"/>
  <c r="AR65" i="13"/>
  <c r="AQ21" i="13"/>
  <c r="AR21" i="13"/>
  <c r="AS21" i="13"/>
  <c r="AT21" i="13"/>
  <c r="AU21" i="13"/>
  <c r="AO21" i="13"/>
  <c r="AP21" i="13"/>
  <c r="AN21" i="13"/>
  <c r="AV21" i="13"/>
  <c r="AQ13" i="13"/>
  <c r="AV13" i="13"/>
  <c r="AS59" i="13"/>
  <c r="AP59" i="13"/>
  <c r="AP62" i="13"/>
  <c r="AQ62" i="13"/>
  <c r="AR62" i="13"/>
  <c r="AS62" i="13"/>
  <c r="AT62" i="13"/>
  <c r="AN62" i="13"/>
  <c r="AV62" i="13"/>
  <c r="AO62" i="13"/>
  <c r="AU62" i="13"/>
  <c r="AN64" i="13"/>
  <c r="AV64" i="13"/>
  <c r="AO64" i="13"/>
  <c r="AP64" i="13"/>
  <c r="AQ64" i="13"/>
  <c r="AR64" i="13"/>
  <c r="AT64" i="13"/>
  <c r="AU64" i="13"/>
  <c r="AD69" i="13" a="1"/>
  <c r="AD69" i="13" s="1"/>
  <c r="AM71" i="13" a="1"/>
  <c r="AM71" i="13" s="1"/>
  <c r="AM63" i="13" a="1"/>
  <c r="AM63" i="13" s="1"/>
  <c r="AM55" i="13" a="1"/>
  <c r="AM55" i="13" s="1"/>
  <c r="AM47" i="13" a="1"/>
  <c r="AM47" i="13" s="1"/>
  <c r="AM39" i="13" a="1"/>
  <c r="AM39" i="13" s="1"/>
  <c r="AM31" i="13" a="1"/>
  <c r="AM31" i="13" s="1"/>
  <c r="AM15" i="13" a="1"/>
  <c r="AM15" i="13" s="1"/>
  <c r="AE76" i="13" a="1"/>
  <c r="AE76" i="13" s="1"/>
  <c r="AJ75" i="13" a="1"/>
  <c r="AJ75" i="13" s="1"/>
  <c r="AH74" i="13" a="1"/>
  <c r="AH74" i="13" s="1"/>
  <c r="AL73" i="13" a="1"/>
  <c r="AL73" i="13" s="1"/>
  <c r="AD73" i="13" a="1"/>
  <c r="AD73" i="13" s="1"/>
  <c r="AF72" i="13" a="1"/>
  <c r="AF72" i="13" s="1"/>
  <c r="AH71" i="13" a="1"/>
  <c r="AH71" i="13" s="1"/>
  <c r="AJ70" i="13" a="1"/>
  <c r="AJ70" i="13" s="1"/>
  <c r="AL69" i="13" a="1"/>
  <c r="AL69" i="13" s="1"/>
  <c r="AC69" i="13" a="1"/>
  <c r="AC69" i="13" s="1"/>
  <c r="AI67" i="13" a="1"/>
  <c r="AI67" i="13" s="1"/>
  <c r="AG64" i="13" a="1"/>
  <c r="AG64" i="13" s="1"/>
  <c r="AI62" i="13" a="1"/>
  <c r="AI62" i="13" s="1"/>
  <c r="AL59" i="13" a="1"/>
  <c r="AL59" i="13" s="1"/>
  <c r="AJ56" i="13" a="1"/>
  <c r="AJ56" i="13" s="1"/>
  <c r="AH53" i="13" a="1"/>
  <c r="AH53" i="13" s="1"/>
  <c r="AL38" i="13" a="1"/>
  <c r="AL38" i="13" s="1"/>
  <c r="AE27" i="13" a="1"/>
  <c r="AE27" i="13" s="1"/>
  <c r="AN48" i="13"/>
  <c r="AV48" i="13"/>
  <c r="AO48" i="13"/>
  <c r="AP48" i="13"/>
  <c r="AQ48" i="13"/>
  <c r="AR48" i="13"/>
  <c r="AT48" i="13"/>
  <c r="AU48" i="13"/>
  <c r="AS48" i="13"/>
  <c r="AJ62" i="13" a="1"/>
  <c r="AJ62" i="13" s="1"/>
  <c r="AL27" i="13" a="1"/>
  <c r="AL27" i="13" s="1"/>
  <c r="AM70" i="13" a="1"/>
  <c r="AM70" i="13" s="1"/>
  <c r="AM38" i="13" a="1"/>
  <c r="AM38" i="13" s="1"/>
  <c r="AM14" i="13" a="1"/>
  <c r="AM14" i="13" s="1"/>
  <c r="AK76" i="13" a="1"/>
  <c r="AK76" i="13" s="1"/>
  <c r="AI75" i="13" a="1"/>
  <c r="AI75" i="13" s="1"/>
  <c r="AD75" i="13" a="1"/>
  <c r="AD75" i="13" s="1"/>
  <c r="AK73" i="13" a="1"/>
  <c r="AK73" i="13" s="1"/>
  <c r="AC73" i="13" a="1"/>
  <c r="AC73" i="13" s="1"/>
  <c r="AE72" i="13" a="1"/>
  <c r="AE72" i="13" s="1"/>
  <c r="AG71" i="13" a="1"/>
  <c r="AG71" i="13" s="1"/>
  <c r="AI70" i="13" a="1"/>
  <c r="AI70" i="13" s="1"/>
  <c r="AK69" i="13" a="1"/>
  <c r="AK69" i="13" s="1"/>
  <c r="AL68" i="13" a="1"/>
  <c r="AL68" i="13" s="1"/>
  <c r="AH67" i="13" a="1"/>
  <c r="AH67" i="13" s="1"/>
  <c r="AL65" i="13" a="1"/>
  <c r="AL65" i="13" s="1"/>
  <c r="AF64" i="13" a="1"/>
  <c r="AF64" i="13" s="1"/>
  <c r="AF62" i="13" a="1"/>
  <c r="AF62" i="13" s="1"/>
  <c r="AG59" i="13" a="1"/>
  <c r="AG59" i="13" s="1"/>
  <c r="AC53" i="13" a="1"/>
  <c r="AC53" i="13" s="1"/>
  <c r="AK49" i="13" a="1"/>
  <c r="AK49" i="13" s="1"/>
  <c r="AH43" i="13" a="1"/>
  <c r="AH43" i="13" s="1"/>
  <c r="AG24" i="13" a="1"/>
  <c r="AG24" i="13" s="1"/>
  <c r="AH24" i="13" a="1"/>
  <c r="AH24" i="13" s="1"/>
  <c r="AI24" i="13" a="1"/>
  <c r="AI24" i="13" s="1"/>
  <c r="AC24" i="13" a="1"/>
  <c r="AC24" i="13" s="1"/>
  <c r="AJ24" i="13" a="1"/>
  <c r="AJ24" i="13" s="1"/>
  <c r="AD24" i="13" a="1"/>
  <c r="AD24" i="13" s="1"/>
  <c r="AK24" i="13" a="1"/>
  <c r="AK24" i="13" s="1"/>
  <c r="AE24" i="13" a="1"/>
  <c r="AE24" i="13" s="1"/>
  <c r="AL24" i="13" a="1"/>
  <c r="AL24" i="13" s="1"/>
  <c r="AJ20" i="13" a="1"/>
  <c r="AJ20" i="13" s="1"/>
  <c r="AC20" i="13" a="1"/>
  <c r="AC20" i="13" s="1"/>
  <c r="AK20" i="13" a="1"/>
  <c r="AK20" i="13" s="1"/>
  <c r="AD20" i="13" a="1"/>
  <c r="AD20" i="13" s="1"/>
  <c r="AL20" i="13" a="1"/>
  <c r="AL20" i="13" s="1"/>
  <c r="AE20" i="13" a="1"/>
  <c r="AE20" i="13" s="1"/>
  <c r="AF20" i="13" a="1"/>
  <c r="AF20" i="13" s="1"/>
  <c r="AG20" i="13" a="1"/>
  <c r="AG20" i="13" s="1"/>
  <c r="AH20" i="13" a="1"/>
  <c r="AH20" i="13" s="1"/>
  <c r="AE16" i="13" a="1"/>
  <c r="AE16" i="13" s="1"/>
  <c r="AF16" i="13" a="1"/>
  <c r="AF16" i="13" s="1"/>
  <c r="AG16" i="13" a="1"/>
  <c r="AG16" i="13" s="1"/>
  <c r="AH16" i="13" a="1"/>
  <c r="AH16" i="13" s="1"/>
  <c r="AI16" i="13" a="1"/>
  <c r="AI16" i="13" s="1"/>
  <c r="AJ16" i="13" a="1"/>
  <c r="AJ16" i="13" s="1"/>
  <c r="AC16" i="13" a="1"/>
  <c r="AC16" i="13" s="1"/>
  <c r="AK16" i="13" a="1"/>
  <c r="AK16" i="13" s="1"/>
  <c r="AK12" i="13" a="1"/>
  <c r="AK12" i="13" s="1"/>
  <c r="AE12" i="13" a="1"/>
  <c r="AE12" i="13" s="1"/>
  <c r="AL12" i="13" a="1"/>
  <c r="AL12" i="13" s="1"/>
  <c r="AF12" i="13" a="1"/>
  <c r="AF12" i="13" s="1"/>
  <c r="AH12" i="13" a="1"/>
  <c r="AH12" i="13" s="1"/>
  <c r="AC12" i="13" a="1"/>
  <c r="AC12" i="13" s="1"/>
  <c r="AI12" i="13" a="1"/>
  <c r="AI12" i="13" s="1"/>
  <c r="AD12" i="13" a="1"/>
  <c r="AD12" i="13" s="1"/>
  <c r="AJ12" i="13" a="1"/>
  <c r="AJ12" i="13" s="1"/>
  <c r="AG12" i="13" a="1"/>
  <c r="AG12" i="13" s="1"/>
  <c r="AJ58" i="13" a="1"/>
  <c r="AJ58" i="13" s="1"/>
  <c r="AC58" i="13" a="1"/>
  <c r="AC58" i="13" s="1"/>
  <c r="AK58" i="13" a="1"/>
  <c r="AK58" i="13" s="1"/>
  <c r="AD58" i="13" a="1"/>
  <c r="AD58" i="13" s="1"/>
  <c r="AL58" i="13" a="1"/>
  <c r="AL58" i="13" s="1"/>
  <c r="AE58" i="13" a="1"/>
  <c r="AE58" i="13" s="1"/>
  <c r="AG58" i="13" a="1"/>
  <c r="AG58" i="13" s="1"/>
  <c r="AH58" i="13" a="1"/>
  <c r="AH58" i="13" s="1"/>
  <c r="AJ54" i="13" a="1"/>
  <c r="AJ54" i="13" s="1"/>
  <c r="AC54" i="13" a="1"/>
  <c r="AC54" i="13" s="1"/>
  <c r="AK54" i="13" a="1"/>
  <c r="AK54" i="13" s="1"/>
  <c r="AD54" i="13" a="1"/>
  <c r="AD54" i="13" s="1"/>
  <c r="AL54" i="13" a="1"/>
  <c r="AL54" i="13" s="1"/>
  <c r="AE54" i="13" a="1"/>
  <c r="AE54" i="13" s="1"/>
  <c r="AG54" i="13" a="1"/>
  <c r="AG54" i="13" s="1"/>
  <c r="AH54" i="13" a="1"/>
  <c r="AH54" i="13" s="1"/>
  <c r="AJ50" i="13" a="1"/>
  <c r="AJ50" i="13" s="1"/>
  <c r="AC50" i="13" a="1"/>
  <c r="AC50" i="13" s="1"/>
  <c r="AK50" i="13" a="1"/>
  <c r="AK50" i="13" s="1"/>
  <c r="AD50" i="13" a="1"/>
  <c r="AD50" i="13" s="1"/>
  <c r="AL50" i="13" a="1"/>
  <c r="AL50" i="13" s="1"/>
  <c r="AE50" i="13" a="1"/>
  <c r="AE50" i="13" s="1"/>
  <c r="AG50" i="13" a="1"/>
  <c r="AG50" i="13" s="1"/>
  <c r="AH50" i="13" a="1"/>
  <c r="AH50" i="13" s="1"/>
  <c r="AJ46" i="13" a="1"/>
  <c r="AJ46" i="13" s="1"/>
  <c r="AC46" i="13" a="1"/>
  <c r="AC46" i="13" s="1"/>
  <c r="AK46" i="13" a="1"/>
  <c r="AK46" i="13" s="1"/>
  <c r="AD46" i="13" a="1"/>
  <c r="AD46" i="13" s="1"/>
  <c r="AL46" i="13" a="1"/>
  <c r="AL46" i="13" s="1"/>
  <c r="AE46" i="13" a="1"/>
  <c r="AE46" i="13" s="1"/>
  <c r="AF46" i="13" a="1"/>
  <c r="AF46" i="13" s="1"/>
  <c r="AG46" i="13" a="1"/>
  <c r="AG46" i="13" s="1"/>
  <c r="AH46" i="13" a="1"/>
  <c r="AH46" i="13" s="1"/>
  <c r="AG42" i="13" a="1"/>
  <c r="AG42" i="13" s="1"/>
  <c r="AH42" i="13" a="1"/>
  <c r="AH42" i="13" s="1"/>
  <c r="AC42" i="13" a="1"/>
  <c r="AC42" i="13" s="1"/>
  <c r="AI42" i="13" a="1"/>
  <c r="AI42" i="13" s="1"/>
  <c r="AD42" i="13" a="1"/>
  <c r="AD42" i="13" s="1"/>
  <c r="AJ42" i="13" a="1"/>
  <c r="AJ42" i="13" s="1"/>
  <c r="AK42" i="13" a="1"/>
  <c r="AK42" i="13" s="1"/>
  <c r="AE42" i="13" a="1"/>
  <c r="AE42" i="13" s="1"/>
  <c r="AL42" i="13" a="1"/>
  <c r="AL42" i="13" s="1"/>
  <c r="AE38" i="13" a="1"/>
  <c r="AE38" i="13" s="1"/>
  <c r="AF38" i="13" a="1"/>
  <c r="AF38" i="13" s="1"/>
  <c r="AG38" i="13" a="1"/>
  <c r="AG38" i="13" s="1"/>
  <c r="AH38" i="13" a="1"/>
  <c r="AH38" i="13" s="1"/>
  <c r="AI38" i="13" a="1"/>
  <c r="AI38" i="13" s="1"/>
  <c r="AJ38" i="13" a="1"/>
  <c r="AJ38" i="13" s="1"/>
  <c r="AC38" i="13" a="1"/>
  <c r="AC38" i="13" s="1"/>
  <c r="AK38" i="13" a="1"/>
  <c r="AK38" i="13" s="1"/>
  <c r="AC34" i="13" a="1"/>
  <c r="AC34" i="13" s="1"/>
  <c r="AI34" i="13" a="1"/>
  <c r="AI34" i="13" s="1"/>
  <c r="AD34" i="13" a="1"/>
  <c r="AD34" i="13" s="1"/>
  <c r="AJ34" i="13" a="1"/>
  <c r="AJ34" i="13" s="1"/>
  <c r="AK34" i="13" a="1"/>
  <c r="AK34" i="13" s="1"/>
  <c r="AE34" i="13" a="1"/>
  <c r="AE34" i="13" s="1"/>
  <c r="AL34" i="13" a="1"/>
  <c r="AL34" i="13" s="1"/>
  <c r="AF34" i="13" a="1"/>
  <c r="AF34" i="13" s="1"/>
  <c r="AG34" i="13" a="1"/>
  <c r="AG34" i="13" s="1"/>
  <c r="AE30" i="13" a="1"/>
  <c r="AE30" i="13" s="1"/>
  <c r="AF30" i="13" a="1"/>
  <c r="AF30" i="13" s="1"/>
  <c r="AG30" i="13" a="1"/>
  <c r="AG30" i="13" s="1"/>
  <c r="AH30" i="13" a="1"/>
  <c r="AH30" i="13" s="1"/>
  <c r="AI30" i="13" a="1"/>
  <c r="AI30" i="13" s="1"/>
  <c r="AJ30" i="13" a="1"/>
  <c r="AJ30" i="13" s="1"/>
  <c r="AC30" i="13" a="1"/>
  <c r="AC30" i="13" s="1"/>
  <c r="AK30" i="13" a="1"/>
  <c r="AK30" i="13" s="1"/>
  <c r="AI26" i="13" a="1"/>
  <c r="AI26" i="13" s="1"/>
  <c r="AC26" i="13" a="1"/>
  <c r="AC26" i="13" s="1"/>
  <c r="AJ26" i="13" a="1"/>
  <c r="AJ26" i="13" s="1"/>
  <c r="AD26" i="13" a="1"/>
  <c r="AD26" i="13" s="1"/>
  <c r="AK26" i="13" a="1"/>
  <c r="AK26" i="13" s="1"/>
  <c r="AE26" i="13" a="1"/>
  <c r="AE26" i="13" s="1"/>
  <c r="AL26" i="13" a="1"/>
  <c r="AL26" i="13" s="1"/>
  <c r="AF26" i="13" a="1"/>
  <c r="AF26" i="13" s="1"/>
  <c r="AG26" i="13" a="1"/>
  <c r="AG26" i="13" s="1"/>
  <c r="AP32" i="13"/>
  <c r="AC70" i="13" a="1"/>
  <c r="AC70" i="13" s="1"/>
  <c r="AE9" i="13" a="1"/>
  <c r="AE9" i="13" s="1"/>
  <c r="AL9" i="13" a="1"/>
  <c r="AL9" i="13" s="1"/>
  <c r="AF9" i="13" a="1"/>
  <c r="AF9" i="13" s="1"/>
  <c r="AG9" i="13" a="1"/>
  <c r="AG9" i="13" s="1"/>
  <c r="AH9" i="13" a="1"/>
  <c r="AH9" i="13" s="1"/>
  <c r="AC9" i="13" a="1"/>
  <c r="AC9" i="13" s="1"/>
  <c r="AJ9" i="13" a="1"/>
  <c r="AJ9" i="13" s="1"/>
  <c r="AD9" i="13" a="1"/>
  <c r="AD9" i="13" s="1"/>
  <c r="AK9" i="13" a="1"/>
  <c r="AK9" i="13" s="1"/>
  <c r="AD66" i="13" a="1"/>
  <c r="AD66" i="13" s="1"/>
  <c r="AL66" i="13" a="1"/>
  <c r="AL66" i="13" s="1"/>
  <c r="AE66" i="13" a="1"/>
  <c r="AE66" i="13" s="1"/>
  <c r="AG66" i="13" a="1"/>
  <c r="AG66" i="13" s="1"/>
  <c r="AH66" i="13" a="1"/>
  <c r="AH66" i="13" s="1"/>
  <c r="AM9" i="13" a="1"/>
  <c r="AM9" i="13" s="1"/>
  <c r="AM69" i="13" a="1"/>
  <c r="AM69" i="13" s="1"/>
  <c r="AM61" i="13" a="1"/>
  <c r="AM61" i="13" s="1"/>
  <c r="AD76" i="13" a="1"/>
  <c r="AD76" i="13" s="1"/>
  <c r="AH75" i="13" a="1"/>
  <c r="AH75" i="13" s="1"/>
  <c r="AC75" i="13" a="1"/>
  <c r="AC75" i="13" s="1"/>
  <c r="AG74" i="13" a="1"/>
  <c r="AG74" i="13" s="1"/>
  <c r="AJ73" i="13" a="1"/>
  <c r="AJ73" i="13" s="1"/>
  <c r="AL72" i="13" a="1"/>
  <c r="AL72" i="13" s="1"/>
  <c r="AD72" i="13" a="1"/>
  <c r="AD72" i="13" s="1"/>
  <c r="AF71" i="13" a="1"/>
  <c r="AF71" i="13" s="1"/>
  <c r="AH70" i="13" a="1"/>
  <c r="AH70" i="13" s="1"/>
  <c r="AJ69" i="13" a="1"/>
  <c r="AJ69" i="13" s="1"/>
  <c r="AE64" i="13" a="1"/>
  <c r="AE64" i="13" s="1"/>
  <c r="AL61" i="13" a="1"/>
  <c r="AL61" i="13" s="1"/>
  <c r="AD59" i="13" a="1"/>
  <c r="AD59" i="13" s="1"/>
  <c r="AL55" i="13" a="1"/>
  <c r="AL55" i="13" s="1"/>
  <c r="AN40" i="13"/>
  <c r="AV40" i="13"/>
  <c r="AO40" i="13"/>
  <c r="AP40" i="13"/>
  <c r="AQ40" i="13"/>
  <c r="AR40" i="13"/>
  <c r="AT40" i="13"/>
  <c r="AU40" i="13"/>
  <c r="AS40" i="13"/>
  <c r="AI50" i="13" a="1"/>
  <c r="AI50" i="13" s="1"/>
  <c r="AD16" i="13" a="1"/>
  <c r="AD16" i="13" s="1"/>
  <c r="AH68" i="13" a="1"/>
  <c r="AH68" i="13" s="1"/>
  <c r="AI68" i="13" a="1"/>
  <c r="AI68" i="13" s="1"/>
  <c r="AC68" i="13" a="1"/>
  <c r="AC68" i="13" s="1"/>
  <c r="AK68" i="13" a="1"/>
  <c r="AK68" i="13" s="1"/>
  <c r="AF60" i="13" a="1"/>
  <c r="AF60" i="13" s="1"/>
  <c r="AG60" i="13" a="1"/>
  <c r="AG60" i="13" s="1"/>
  <c r="AH60" i="13" a="1"/>
  <c r="AH60" i="13" s="1"/>
  <c r="AI60" i="13" a="1"/>
  <c r="AI60" i="13" s="1"/>
  <c r="AC60" i="13" a="1"/>
  <c r="AC60" i="13" s="1"/>
  <c r="AK60" i="13" a="1"/>
  <c r="AK60" i="13" s="1"/>
  <c r="AD60" i="13" a="1"/>
  <c r="AD60" i="13" s="1"/>
  <c r="AL60" i="13" a="1"/>
  <c r="AL60" i="13" s="1"/>
  <c r="AI23" i="13" a="1"/>
  <c r="AI23" i="13" s="1"/>
  <c r="AC23" i="13" a="1"/>
  <c r="AC23" i="13" s="1"/>
  <c r="AJ23" i="13" a="1"/>
  <c r="AJ23" i="13" s="1"/>
  <c r="AD23" i="13" a="1"/>
  <c r="AD23" i="13" s="1"/>
  <c r="AK23" i="13" a="1"/>
  <c r="AK23" i="13" s="1"/>
  <c r="AE23" i="13" a="1"/>
  <c r="AE23" i="13" s="1"/>
  <c r="AL23" i="13" a="1"/>
  <c r="AL23" i="13" s="1"/>
  <c r="AF23" i="13" a="1"/>
  <c r="AF23" i="13" s="1"/>
  <c r="AG23" i="13" a="1"/>
  <c r="AG23" i="13" s="1"/>
  <c r="AD19" i="13" a="1"/>
  <c r="AD19" i="13" s="1"/>
  <c r="AL19" i="13" a="1"/>
  <c r="AL19" i="13" s="1"/>
  <c r="AE19" i="13" a="1"/>
  <c r="AE19" i="13" s="1"/>
  <c r="AF19" i="13" a="1"/>
  <c r="AF19" i="13" s="1"/>
  <c r="AG19" i="13" a="1"/>
  <c r="AG19" i="13" s="1"/>
  <c r="AH19" i="13" a="1"/>
  <c r="AH19" i="13" s="1"/>
  <c r="AI19" i="13" a="1"/>
  <c r="AI19" i="13" s="1"/>
  <c r="AJ19" i="13" a="1"/>
  <c r="AJ19" i="13" s="1"/>
  <c r="AD15" i="13" a="1"/>
  <c r="AD15" i="13" s="1"/>
  <c r="AH15" i="13" a="1"/>
  <c r="AH15" i="13" s="1"/>
  <c r="AI15" i="13" a="1"/>
  <c r="AI15" i="13" s="1"/>
  <c r="AJ15" i="13" a="1"/>
  <c r="AJ15" i="13" s="1"/>
  <c r="AC15" i="13" a="1"/>
  <c r="AC15" i="13" s="1"/>
  <c r="AE15" i="13" a="1"/>
  <c r="AE15" i="13" s="1"/>
  <c r="AK15" i="13" a="1"/>
  <c r="AK15" i="13" s="1"/>
  <c r="AF15" i="13" a="1"/>
  <c r="AF15" i="13" s="1"/>
  <c r="AL15" i="13" a="1"/>
  <c r="AL15" i="13" s="1"/>
  <c r="AH11" i="13" a="1"/>
  <c r="AH11" i="13" s="1"/>
  <c r="AI11" i="13" a="1"/>
  <c r="AI11" i="13" s="1"/>
  <c r="AJ11" i="13" a="1"/>
  <c r="AJ11" i="13" s="1"/>
  <c r="AD11" i="13" a="1"/>
  <c r="AD11" i="13" s="1"/>
  <c r="AK11" i="13" a="1"/>
  <c r="AK11" i="13" s="1"/>
  <c r="AF11" i="13" a="1"/>
  <c r="AF11" i="13" s="1"/>
  <c r="AG11" i="13" a="1"/>
  <c r="AG11" i="13" s="1"/>
  <c r="AC11" i="13" a="1"/>
  <c r="AC11" i="13" s="1"/>
  <c r="AE11" i="13" a="1"/>
  <c r="AE11" i="13" s="1"/>
  <c r="AL11" i="13" a="1"/>
  <c r="AL11" i="13" s="1"/>
  <c r="AD57" i="13" a="1"/>
  <c r="AD57" i="13" s="1"/>
  <c r="AL57" i="13" a="1"/>
  <c r="AL57" i="13" s="1"/>
  <c r="AE57" i="13" a="1"/>
  <c r="AE57" i="13" s="1"/>
  <c r="AF57" i="13" a="1"/>
  <c r="AF57" i="13" s="1"/>
  <c r="AG57" i="13" a="1"/>
  <c r="AG57" i="13" s="1"/>
  <c r="AI57" i="13" a="1"/>
  <c r="AI57" i="13" s="1"/>
  <c r="AJ57" i="13" a="1"/>
  <c r="AJ57" i="13" s="1"/>
  <c r="AD53" i="13" a="1"/>
  <c r="AD53" i="13" s="1"/>
  <c r="AL53" i="13" a="1"/>
  <c r="AL53" i="13" s="1"/>
  <c r="AE53" i="13" a="1"/>
  <c r="AE53" i="13" s="1"/>
  <c r="AF53" i="13" a="1"/>
  <c r="AF53" i="13" s="1"/>
  <c r="AG53" i="13" a="1"/>
  <c r="AG53" i="13" s="1"/>
  <c r="AI53" i="13" a="1"/>
  <c r="AI53" i="13" s="1"/>
  <c r="AJ53" i="13" a="1"/>
  <c r="AJ53" i="13" s="1"/>
  <c r="AD49" i="13" a="1"/>
  <c r="AD49" i="13" s="1"/>
  <c r="AL49" i="13" a="1"/>
  <c r="AL49" i="13" s="1"/>
  <c r="AE49" i="13" a="1"/>
  <c r="AE49" i="13" s="1"/>
  <c r="AF49" i="13" a="1"/>
  <c r="AF49" i="13" s="1"/>
  <c r="AG49" i="13" a="1"/>
  <c r="AG49" i="13" s="1"/>
  <c r="AH49" i="13" a="1"/>
  <c r="AH49" i="13" s="1"/>
  <c r="AI49" i="13" a="1"/>
  <c r="AI49" i="13" s="1"/>
  <c r="AJ49" i="13" a="1"/>
  <c r="AJ49" i="13" s="1"/>
  <c r="AD45" i="13" a="1"/>
  <c r="AD45" i="13" s="1"/>
  <c r="AL45" i="13" a="1"/>
  <c r="AL45" i="13" s="1"/>
  <c r="AE45" i="13" a="1"/>
  <c r="AE45" i="13" s="1"/>
  <c r="AF45" i="13" a="1"/>
  <c r="AF45" i="13" s="1"/>
  <c r="AG45" i="13" a="1"/>
  <c r="AG45" i="13" s="1"/>
  <c r="AH45" i="13" a="1"/>
  <c r="AH45" i="13" s="1"/>
  <c r="AI45" i="13" a="1"/>
  <c r="AI45" i="13" s="1"/>
  <c r="AJ45" i="13" a="1"/>
  <c r="AJ45" i="13" s="1"/>
  <c r="AJ41" i="13" a="1"/>
  <c r="AJ41" i="13" s="1"/>
  <c r="AC41" i="13" a="1"/>
  <c r="AC41" i="13" s="1"/>
  <c r="AK41" i="13" a="1"/>
  <c r="AK41" i="13" s="1"/>
  <c r="AD41" i="13" a="1"/>
  <c r="AD41" i="13" s="1"/>
  <c r="AL41" i="13" a="1"/>
  <c r="AL41" i="13" s="1"/>
  <c r="AE41" i="13" a="1"/>
  <c r="AE41" i="13" s="1"/>
  <c r="AF41" i="13" a="1"/>
  <c r="AF41" i="13" s="1"/>
  <c r="AG41" i="13" a="1"/>
  <c r="AG41" i="13" s="1"/>
  <c r="AH41" i="13" a="1"/>
  <c r="AH41" i="13" s="1"/>
  <c r="AG37" i="13" a="1"/>
  <c r="AG37" i="13" s="1"/>
  <c r="AH37" i="13" a="1"/>
  <c r="AH37" i="13" s="1"/>
  <c r="AI37" i="13" a="1"/>
  <c r="AI37" i="13" s="1"/>
  <c r="AC37" i="13" a="1"/>
  <c r="AC37" i="13" s="1"/>
  <c r="AJ37" i="13" a="1"/>
  <c r="AJ37" i="13" s="1"/>
  <c r="AD37" i="13" a="1"/>
  <c r="AD37" i="13" s="1"/>
  <c r="AK37" i="13" a="1"/>
  <c r="AK37" i="13" s="1"/>
  <c r="AE37" i="13" a="1"/>
  <c r="AE37" i="13" s="1"/>
  <c r="AL37" i="13" a="1"/>
  <c r="AL37" i="13" s="1"/>
  <c r="AF37" i="13" a="1"/>
  <c r="AF37" i="13" s="1"/>
  <c r="AD33" i="13" a="1"/>
  <c r="AD33" i="13" s="1"/>
  <c r="AL33" i="13" a="1"/>
  <c r="AL33" i="13" s="1"/>
  <c r="AE33" i="13" a="1"/>
  <c r="AE33" i="13" s="1"/>
  <c r="AF33" i="13" a="1"/>
  <c r="AF33" i="13" s="1"/>
  <c r="AG33" i="13" a="1"/>
  <c r="AG33" i="13" s="1"/>
  <c r="AH33" i="13" a="1"/>
  <c r="AH33" i="13" s="1"/>
  <c r="AI33" i="13" a="1"/>
  <c r="AI33" i="13" s="1"/>
  <c r="AJ33" i="13" a="1"/>
  <c r="AJ33" i="13" s="1"/>
  <c r="AH29" i="13" a="1"/>
  <c r="AH29" i="13" s="1"/>
  <c r="AI29" i="13" a="1"/>
  <c r="AI29" i="13" s="1"/>
  <c r="AJ29" i="13" a="1"/>
  <c r="AJ29" i="13" s="1"/>
  <c r="AC29" i="13" a="1"/>
  <c r="AC29" i="13" s="1"/>
  <c r="AD29" i="13" a="1"/>
  <c r="AD29" i="13" s="1"/>
  <c r="AK29" i="13" a="1"/>
  <c r="AK29" i="13" s="1"/>
  <c r="AE29" i="13" a="1"/>
  <c r="AE29" i="13" s="1"/>
  <c r="AL29" i="13" a="1"/>
  <c r="AL29" i="13" s="1"/>
  <c r="AF29" i="13" a="1"/>
  <c r="AF29" i="13" s="1"/>
  <c r="AJ67" i="13" a="1"/>
  <c r="AJ67" i="13" s="1"/>
  <c r="AC67" i="13" a="1"/>
  <c r="AC67" i="13" s="1"/>
  <c r="AK67" i="13" a="1"/>
  <c r="AK67" i="13" s="1"/>
  <c r="AE67" i="13" a="1"/>
  <c r="AE67" i="13" s="1"/>
  <c r="AF67" i="13" a="1"/>
  <c r="AF67" i="13" s="1"/>
  <c r="AM54" i="13" a="1"/>
  <c r="AM54" i="13" s="1"/>
  <c r="AD22" i="13" a="1"/>
  <c r="AD22" i="13" s="1"/>
  <c r="AL22" i="13" a="1"/>
  <c r="AL22" i="13" s="1"/>
  <c r="AE22" i="13" a="1"/>
  <c r="AE22" i="13" s="1"/>
  <c r="AF22" i="13" a="1"/>
  <c r="AF22" i="13" s="1"/>
  <c r="AG22" i="13" a="1"/>
  <c r="AG22" i="13" s="1"/>
  <c r="AH22" i="13" a="1"/>
  <c r="AH22" i="13" s="1"/>
  <c r="AI22" i="13" a="1"/>
  <c r="AI22" i="13" s="1"/>
  <c r="AJ22" i="13" a="1"/>
  <c r="AJ22" i="13" s="1"/>
  <c r="AH18" i="13" a="1"/>
  <c r="AH18" i="13" s="1"/>
  <c r="AC18" i="13" a="1"/>
  <c r="AC18" i="13" s="1"/>
  <c r="AI18" i="13" a="1"/>
  <c r="AI18" i="13" s="1"/>
  <c r="AD18" i="13" a="1"/>
  <c r="AD18" i="13" s="1"/>
  <c r="AJ18" i="13" a="1"/>
  <c r="AJ18" i="13" s="1"/>
  <c r="AK18" i="13" a="1"/>
  <c r="AK18" i="13" s="1"/>
  <c r="AE18" i="13" a="1"/>
  <c r="AE18" i="13" s="1"/>
  <c r="AL18" i="13" a="1"/>
  <c r="AL18" i="13" s="1"/>
  <c r="AF18" i="13" a="1"/>
  <c r="AF18" i="13" s="1"/>
  <c r="AG14" i="13" a="1"/>
  <c r="AG14" i="13" s="1"/>
  <c r="AI14" i="13" a="1"/>
  <c r="AI14" i="13" s="1"/>
  <c r="AC14" i="13" a="1"/>
  <c r="AC14" i="13" s="1"/>
  <c r="AK14" i="13" a="1"/>
  <c r="AK14" i="13" s="1"/>
  <c r="AL14" i="13" a="1"/>
  <c r="AL14" i="13" s="1"/>
  <c r="AD14" i="13" a="1"/>
  <c r="AD14" i="13" s="1"/>
  <c r="AE14" i="13" a="1"/>
  <c r="AE14" i="13" s="1"/>
  <c r="AF14" i="13" a="1"/>
  <c r="AF14" i="13" s="1"/>
  <c r="AH14" i="13" a="1"/>
  <c r="AH14" i="13" s="1"/>
  <c r="AJ10" i="13" a="1"/>
  <c r="AJ10" i="13" s="1"/>
  <c r="AC10" i="13" a="1"/>
  <c r="AC10" i="13" s="1"/>
  <c r="AK10" i="13" a="1"/>
  <c r="AK10" i="13" s="1"/>
  <c r="AD10" i="13" a="1"/>
  <c r="AD10" i="13" s="1"/>
  <c r="AL10" i="13" a="1"/>
  <c r="AL10" i="13" s="1"/>
  <c r="AF10" i="13" a="1"/>
  <c r="AF10" i="13" s="1"/>
  <c r="AH10" i="13" a="1"/>
  <c r="AH10" i="13" s="1"/>
  <c r="AI10" i="13" a="1"/>
  <c r="AI10" i="13" s="1"/>
  <c r="AE10" i="13" a="1"/>
  <c r="AE10" i="13" s="1"/>
  <c r="AG10" i="13" a="1"/>
  <c r="AG10" i="13" s="1"/>
  <c r="AF56" i="13" a="1"/>
  <c r="AF56" i="13" s="1"/>
  <c r="AG56" i="13" a="1"/>
  <c r="AG56" i="13" s="1"/>
  <c r="AH56" i="13" a="1"/>
  <c r="AH56" i="13" s="1"/>
  <c r="AI56" i="13" a="1"/>
  <c r="AI56" i="13" s="1"/>
  <c r="AC56" i="13" a="1"/>
  <c r="AC56" i="13" s="1"/>
  <c r="AK56" i="13" a="1"/>
  <c r="AK56" i="13" s="1"/>
  <c r="AD56" i="13" a="1"/>
  <c r="AD56" i="13" s="1"/>
  <c r="AL56" i="13" a="1"/>
  <c r="AL56" i="13" s="1"/>
  <c r="AF52" i="13" a="1"/>
  <c r="AF52" i="13" s="1"/>
  <c r="AG52" i="13" a="1"/>
  <c r="AG52" i="13" s="1"/>
  <c r="AH52" i="13" a="1"/>
  <c r="AH52" i="13" s="1"/>
  <c r="AI52" i="13" a="1"/>
  <c r="AI52" i="13" s="1"/>
  <c r="AC52" i="13" a="1"/>
  <c r="AC52" i="13" s="1"/>
  <c r="AK52" i="13" a="1"/>
  <c r="AK52" i="13" s="1"/>
  <c r="AD52" i="13" a="1"/>
  <c r="AD52" i="13" s="1"/>
  <c r="AL52" i="13" a="1"/>
  <c r="AL52" i="13" s="1"/>
  <c r="AF48" i="13" a="1"/>
  <c r="AF48" i="13" s="1"/>
  <c r="AG48" i="13" a="1"/>
  <c r="AG48" i="13" s="1"/>
  <c r="AH48" i="13" a="1"/>
  <c r="AH48" i="13" s="1"/>
  <c r="AI48" i="13" a="1"/>
  <c r="AI48" i="13" s="1"/>
  <c r="AJ48" i="13" a="1"/>
  <c r="AJ48" i="13" s="1"/>
  <c r="AC48" i="13" a="1"/>
  <c r="AC48" i="13" s="1"/>
  <c r="AK48" i="13" a="1"/>
  <c r="AK48" i="13" s="1"/>
  <c r="AD48" i="13" a="1"/>
  <c r="AD48" i="13" s="1"/>
  <c r="AL48" i="13" a="1"/>
  <c r="AL48" i="13" s="1"/>
  <c r="AF44" i="13" a="1"/>
  <c r="AF44" i="13" s="1"/>
  <c r="AG44" i="13" a="1"/>
  <c r="AG44" i="13" s="1"/>
  <c r="AH44" i="13" a="1"/>
  <c r="AH44" i="13" s="1"/>
  <c r="AI44" i="13" a="1"/>
  <c r="AI44" i="13" s="1"/>
  <c r="AC44" i="13" a="1"/>
  <c r="AC44" i="13" s="1"/>
  <c r="AJ44" i="13" a="1"/>
  <c r="AJ44" i="13" s="1"/>
  <c r="AK44" i="13" a="1"/>
  <c r="AK44" i="13" s="1"/>
  <c r="AD44" i="13" a="1"/>
  <c r="AD44" i="13" s="1"/>
  <c r="AL44" i="13" a="1"/>
  <c r="AL44" i="13" s="1"/>
  <c r="AF40" i="13" a="1"/>
  <c r="AF40" i="13" s="1"/>
  <c r="AG40" i="13" a="1"/>
  <c r="AG40" i="13" s="1"/>
  <c r="AH40" i="13" a="1"/>
  <c r="AH40" i="13" s="1"/>
  <c r="AC40" i="13" a="1"/>
  <c r="AC40" i="13" s="1"/>
  <c r="AI40" i="13" a="1"/>
  <c r="AI40" i="13" s="1"/>
  <c r="AD40" i="13" a="1"/>
  <c r="AD40" i="13" s="1"/>
  <c r="AJ40" i="13" a="1"/>
  <c r="AJ40" i="13" s="1"/>
  <c r="AK40" i="13" a="1"/>
  <c r="AK40" i="13" s="1"/>
  <c r="AC36" i="13" a="1"/>
  <c r="AC36" i="13" s="1"/>
  <c r="AJ36" i="13" a="1"/>
  <c r="AJ36" i="13" s="1"/>
  <c r="AD36" i="13" a="1"/>
  <c r="AD36" i="13" s="1"/>
  <c r="AK36" i="13" a="1"/>
  <c r="AK36" i="13" s="1"/>
  <c r="AL36" i="13" a="1"/>
  <c r="AL36" i="13" s="1"/>
  <c r="AE36" i="13" a="1"/>
  <c r="AE36" i="13" s="1"/>
  <c r="AF36" i="13" a="1"/>
  <c r="AF36" i="13" s="1"/>
  <c r="AG36" i="13" a="1"/>
  <c r="AG36" i="13" s="1"/>
  <c r="AH36" i="13" a="1"/>
  <c r="AH36" i="13" s="1"/>
  <c r="AG32" i="13" a="1"/>
  <c r="AG32" i="13" s="1"/>
  <c r="AH32" i="13" a="1"/>
  <c r="AH32" i="13" s="1"/>
  <c r="AI32" i="13" a="1"/>
  <c r="AI32" i="13" s="1"/>
  <c r="AJ32" i="13" a="1"/>
  <c r="AJ32" i="13" s="1"/>
  <c r="AC32" i="13" a="1"/>
  <c r="AC32" i="13" s="1"/>
  <c r="AK32" i="13" a="1"/>
  <c r="AK32" i="13" s="1"/>
  <c r="AD32" i="13" a="1"/>
  <c r="AD32" i="13" s="1"/>
  <c r="AL32" i="13" a="1"/>
  <c r="AL32" i="13" s="1"/>
  <c r="AE32" i="13" a="1"/>
  <c r="AE32" i="13" s="1"/>
  <c r="AC28" i="13" a="1"/>
  <c r="AC28" i="13" s="1"/>
  <c r="AJ28" i="13" a="1"/>
  <c r="AJ28" i="13" s="1"/>
  <c r="AD28" i="13" a="1"/>
  <c r="AD28" i="13" s="1"/>
  <c r="AK28" i="13" a="1"/>
  <c r="AK28" i="13" s="1"/>
  <c r="AL28" i="13" a="1"/>
  <c r="AL28" i="13" s="1"/>
  <c r="AE28" i="13" a="1"/>
  <c r="AE28" i="13" s="1"/>
  <c r="AF28" i="13" a="1"/>
  <c r="AF28" i="13" s="1"/>
  <c r="AG28" i="13" a="1"/>
  <c r="AG28" i="13" s="1"/>
  <c r="AH28" i="13" a="1"/>
  <c r="AH28" i="13" s="1"/>
  <c r="AF65" i="13" a="1"/>
  <c r="AF65" i="13" s="1"/>
  <c r="AG65" i="13" a="1"/>
  <c r="AG65" i="13" s="1"/>
  <c r="AI65" i="13" a="1"/>
  <c r="AI65" i="13" s="1"/>
  <c r="AJ65" i="13" a="1"/>
  <c r="AJ65" i="13" s="1"/>
  <c r="AM76" i="13" a="1"/>
  <c r="AM76" i="13" s="1"/>
  <c r="AM68" i="13" a="1"/>
  <c r="AM68" i="13" s="1"/>
  <c r="AM60" i="13" a="1"/>
  <c r="AM60" i="13" s="1"/>
  <c r="AM52" i="13" a="1"/>
  <c r="AM52" i="13" s="1"/>
  <c r="AM44" i="13" a="1"/>
  <c r="AM44" i="13" s="1"/>
  <c r="AM36" i="13" a="1"/>
  <c r="AM36" i="13" s="1"/>
  <c r="AM28" i="13" a="1"/>
  <c r="AM28" i="13" s="1"/>
  <c r="AM20" i="13" a="1"/>
  <c r="AM20" i="13" s="1"/>
  <c r="AM12" i="13" a="1"/>
  <c r="AM12" i="13" s="1"/>
  <c r="AJ76" i="13" a="1"/>
  <c r="AJ76" i="13" s="1"/>
  <c r="AG75" i="13" a="1"/>
  <c r="AG75" i="13" s="1"/>
  <c r="AL74" i="13" a="1"/>
  <c r="AL74" i="13" s="1"/>
  <c r="AI73" i="13" a="1"/>
  <c r="AI73" i="13" s="1"/>
  <c r="AK72" i="13" a="1"/>
  <c r="AK72" i="13" s="1"/>
  <c r="AC72" i="13" a="1"/>
  <c r="AC72" i="13" s="1"/>
  <c r="AE71" i="13" a="1"/>
  <c r="AE71" i="13" s="1"/>
  <c r="AG70" i="13" a="1"/>
  <c r="AG70" i="13" s="1"/>
  <c r="AH69" i="13" a="1"/>
  <c r="AH69" i="13" s="1"/>
  <c r="AG68" i="13" a="1"/>
  <c r="AG68" i="13" s="1"/>
  <c r="AD67" i="13" a="1"/>
  <c r="AD67" i="13" s="1"/>
  <c r="AH65" i="13" a="1"/>
  <c r="AH65" i="13" s="1"/>
  <c r="AL63" i="13" a="1"/>
  <c r="AL63" i="13" s="1"/>
  <c r="AK61" i="13" a="1"/>
  <c r="AK61" i="13" s="1"/>
  <c r="AI58" i="13" a="1"/>
  <c r="AI58" i="13" s="1"/>
  <c r="AG55" i="13" a="1"/>
  <c r="AG55" i="13" s="1"/>
  <c r="AE52" i="13" a="1"/>
  <c r="AE52" i="13" s="1"/>
  <c r="AE48" i="13" a="1"/>
  <c r="AE48" i="13" s="1"/>
  <c r="AF42" i="13" a="1"/>
  <c r="AF42" i="13" s="1"/>
  <c r="AI36" i="13" a="1"/>
  <c r="AI36" i="13" s="1"/>
  <c r="AL30" i="13" a="1"/>
  <c r="AL30" i="13" s="1"/>
  <c r="AC19" i="13" a="1"/>
  <c r="AC19" i="13" s="1"/>
  <c r="AI9" i="13" a="1"/>
  <c r="AI9" i="13" s="1"/>
  <c r="AN72" i="13"/>
  <c r="AV72" i="13"/>
  <c r="AO72" i="13"/>
  <c r="AP72" i="13"/>
  <c r="AQ72" i="13"/>
  <c r="AR72" i="13"/>
  <c r="AT72" i="13"/>
  <c r="AU72" i="13"/>
  <c r="AS72" i="13"/>
  <c r="AH64" i="13" a="1"/>
  <c r="AH64" i="13" s="1"/>
  <c r="AI64" i="13" a="1"/>
  <c r="AI64" i="13" s="1"/>
  <c r="AC64" i="13" a="1"/>
  <c r="AC64" i="13" s="1"/>
  <c r="AK64" i="13" a="1"/>
  <c r="AK64" i="13" s="1"/>
  <c r="AD64" i="13" a="1"/>
  <c r="AD64" i="13" s="1"/>
  <c r="AL64" i="13" a="1"/>
  <c r="AL64" i="13" s="1"/>
  <c r="AS75" i="13"/>
  <c r="AT75" i="13"/>
  <c r="AU75" i="13"/>
  <c r="AN75" i="13"/>
  <c r="AV75" i="13"/>
  <c r="AO75" i="13"/>
  <c r="AQ75" i="13"/>
  <c r="AR75" i="13"/>
  <c r="AP75" i="13"/>
  <c r="AS67" i="13"/>
  <c r="AT67" i="13"/>
  <c r="AU67" i="13"/>
  <c r="AN67" i="13"/>
  <c r="AV67" i="13"/>
  <c r="AO67" i="13"/>
  <c r="AQ67" i="13"/>
  <c r="AR67" i="13"/>
  <c r="AP67" i="13"/>
  <c r="AM51" i="13" a="1"/>
  <c r="AM51" i="13" s="1"/>
  <c r="AM35" i="13" a="1"/>
  <c r="AM35" i="13" s="1"/>
  <c r="AM19" i="13" a="1"/>
  <c r="AM19" i="13" s="1"/>
  <c r="AM11" i="13" a="1"/>
  <c r="AM11" i="13" s="1"/>
  <c r="AI76" i="13" a="1"/>
  <c r="AI76" i="13" s="1"/>
  <c r="AC76" i="13" a="1"/>
  <c r="AC76" i="13" s="1"/>
  <c r="AK74" i="13" a="1"/>
  <c r="AK74" i="13" s="1"/>
  <c r="AF74" i="13" a="1"/>
  <c r="AF74" i="13" s="1"/>
  <c r="AH73" i="13" a="1"/>
  <c r="AH73" i="13" s="1"/>
  <c r="AJ72" i="13" a="1"/>
  <c r="AJ72" i="13" s="1"/>
  <c r="AL71" i="13" a="1"/>
  <c r="AL71" i="13" s="1"/>
  <c r="AD71" i="13" a="1"/>
  <c r="AD71" i="13" s="1"/>
  <c r="AF70" i="13" a="1"/>
  <c r="AF70" i="13" s="1"/>
  <c r="AG69" i="13" a="1"/>
  <c r="AG69" i="13" s="1"/>
  <c r="AF68" i="13" a="1"/>
  <c r="AF68" i="13" s="1"/>
  <c r="AK66" i="13" a="1"/>
  <c r="AK66" i="13" s="1"/>
  <c r="AE65" i="13" a="1"/>
  <c r="AE65" i="13" s="1"/>
  <c r="AH63" i="13" a="1"/>
  <c r="AH63" i="13" s="1"/>
  <c r="AH61" i="13" a="1"/>
  <c r="AH61" i="13" s="1"/>
  <c r="AF58" i="13" a="1"/>
  <c r="AF58" i="13" s="1"/>
  <c r="AL51" i="13" a="1"/>
  <c r="AL51" i="13" s="1"/>
  <c r="AI41" i="13" a="1"/>
  <c r="AI41" i="13" s="1"/>
  <c r="AL35" i="13" a="1"/>
  <c r="AL35" i="13" s="1"/>
  <c r="AD30" i="13" a="1"/>
  <c r="AD30" i="13" s="1"/>
  <c r="AF24" i="13" a="1"/>
  <c r="AF24" i="13" s="1"/>
  <c r="AG18" i="13" a="1"/>
  <c r="AG18" i="13" s="1"/>
  <c r="AN56" i="13"/>
  <c r="AV56" i="13"/>
  <c r="AO56" i="13"/>
  <c r="AP56" i="13"/>
  <c r="AQ56" i="13"/>
  <c r="AR56" i="13"/>
  <c r="AT56" i="13"/>
  <c r="AU56" i="13"/>
  <c r="AS56" i="13"/>
  <c r="AT74" i="13"/>
  <c r="AU74" i="13"/>
  <c r="AN74" i="13"/>
  <c r="AV74" i="13"/>
  <c r="AO74" i="13"/>
  <c r="AP74" i="13"/>
  <c r="AR74" i="13"/>
  <c r="AS74" i="13"/>
  <c r="AQ74" i="13"/>
  <c r="AT66" i="13"/>
  <c r="AU66" i="13"/>
  <c r="AN66" i="13"/>
  <c r="AV66" i="13"/>
  <c r="AO66" i="13"/>
  <c r="AP66" i="13"/>
  <c r="AR66" i="13"/>
  <c r="AS66" i="13"/>
  <c r="AQ66" i="13"/>
  <c r="AM58" i="13" a="1"/>
  <c r="AM58" i="13" s="1"/>
  <c r="AM50" i="13" a="1"/>
  <c r="AM50" i="13" s="1"/>
  <c r="AM42" i="13" a="1"/>
  <c r="AM42" i="13" s="1"/>
  <c r="AM34" i="13" a="1"/>
  <c r="AM34" i="13" s="1"/>
  <c r="AM26" i="13" a="1"/>
  <c r="AM26" i="13" s="1"/>
  <c r="AM18" i="13" a="1"/>
  <c r="AM18" i="13" s="1"/>
  <c r="AM10" i="13" a="1"/>
  <c r="AM10" i="13" s="1"/>
  <c r="AH76" i="13" a="1"/>
  <c r="AH76" i="13" s="1"/>
  <c r="AF75" i="13" a="1"/>
  <c r="AF75" i="13" s="1"/>
  <c r="AJ74" i="13" a="1"/>
  <c r="AJ74" i="13" s="1"/>
  <c r="AE74" i="13" a="1"/>
  <c r="AE74" i="13" s="1"/>
  <c r="AG73" i="13" a="1"/>
  <c r="AG73" i="13" s="1"/>
  <c r="AI72" i="13" a="1"/>
  <c r="AI72" i="13" s="1"/>
  <c r="AK71" i="13" a="1"/>
  <c r="AK71" i="13" s="1"/>
  <c r="AC71" i="13" a="1"/>
  <c r="AC71" i="13" s="1"/>
  <c r="AE70" i="13" a="1"/>
  <c r="AE70" i="13" s="1"/>
  <c r="AF69" i="13" a="1"/>
  <c r="AF69" i="13" s="1"/>
  <c r="AE68" i="13" a="1"/>
  <c r="AE68" i="13" s="1"/>
  <c r="AJ66" i="13" a="1"/>
  <c r="AJ66" i="13" s="1"/>
  <c r="AD65" i="13" a="1"/>
  <c r="AD65" i="13" s="1"/>
  <c r="AK57" i="13" a="1"/>
  <c r="AK57" i="13" s="1"/>
  <c r="AI54" i="13" a="1"/>
  <c r="AI54" i="13" s="1"/>
  <c r="AI46" i="13" a="1"/>
  <c r="AI46" i="13" s="1"/>
  <c r="AL40" i="13" a="1"/>
  <c r="AL40" i="13" s="1"/>
  <c r="AG29" i="13" a="1"/>
  <c r="AG29" i="13" s="1"/>
  <c r="AH23" i="13" a="1"/>
  <c r="AH23" i="13" s="1"/>
  <c r="AS64" i="13"/>
  <c r="AD61" i="13" a="1"/>
  <c r="AD61" i="13" s="1"/>
  <c r="AE61" i="13" a="1"/>
  <c r="AE61" i="13" s="1"/>
  <c r="AF61" i="13" a="1"/>
  <c r="AF61" i="13" s="1"/>
  <c r="AG61" i="13" a="1"/>
  <c r="AG61" i="13" s="1"/>
  <c r="AI61" i="13" a="1"/>
  <c r="AI61" i="13" s="1"/>
  <c r="AJ61" i="13" a="1"/>
  <c r="AJ61" i="13" s="1"/>
  <c r="AC25" i="13" a="1"/>
  <c r="AC25" i="13" s="1"/>
  <c r="AK25" i="13" a="1"/>
  <c r="AK25" i="13" s="1"/>
  <c r="AD25" i="13" a="1"/>
  <c r="AD25" i="13" s="1"/>
  <c r="AL25" i="13" a="1"/>
  <c r="AL25" i="13" s="1"/>
  <c r="AE25" i="13" a="1"/>
  <c r="AE25" i="13" s="1"/>
  <c r="AF25" i="13" a="1"/>
  <c r="AF25" i="13" s="1"/>
  <c r="AG25" i="13" a="1"/>
  <c r="AG25" i="13" s="1"/>
  <c r="AH25" i="13" a="1"/>
  <c r="AH25" i="13" s="1"/>
  <c r="AI25" i="13" a="1"/>
  <c r="AI25" i="13" s="1"/>
  <c r="AG21" i="13" a="1"/>
  <c r="AG21" i="13" s="1"/>
  <c r="AH21" i="13" a="1"/>
  <c r="AH21" i="13" s="1"/>
  <c r="AI21" i="13" a="1"/>
  <c r="AI21" i="13" s="1"/>
  <c r="AC21" i="13" a="1"/>
  <c r="AC21" i="13" s="1"/>
  <c r="AJ21" i="13" a="1"/>
  <c r="AJ21" i="13" s="1"/>
  <c r="AD21" i="13" a="1"/>
  <c r="AD21" i="13" s="1"/>
  <c r="AE21" i="13" a="1"/>
  <c r="AE21" i="13" s="1"/>
  <c r="AK21" i="13" a="1"/>
  <c r="AK21" i="13" s="1"/>
  <c r="AF21" i="13" a="1"/>
  <c r="AF21" i="13" s="1"/>
  <c r="AL21" i="13" a="1"/>
  <c r="AL21" i="13" s="1"/>
  <c r="AC17" i="13" a="1"/>
  <c r="AC17" i="13" s="1"/>
  <c r="AK17" i="13" a="1"/>
  <c r="AK17" i="13" s="1"/>
  <c r="AD17" i="13" a="1"/>
  <c r="AD17" i="13" s="1"/>
  <c r="AL17" i="13" a="1"/>
  <c r="AL17" i="13" s="1"/>
  <c r="AE17" i="13" a="1"/>
  <c r="AE17" i="13" s="1"/>
  <c r="AF17" i="13" a="1"/>
  <c r="AF17" i="13" s="1"/>
  <c r="AG17" i="13" a="1"/>
  <c r="AG17" i="13" s="1"/>
  <c r="AH17" i="13" a="1"/>
  <c r="AH17" i="13" s="1"/>
  <c r="AI17" i="13" a="1"/>
  <c r="AI17" i="13" s="1"/>
  <c r="AI13" i="13" a="1"/>
  <c r="AI13" i="13" s="1"/>
  <c r="AJ13" i="13" a="1"/>
  <c r="AJ13" i="13" s="1"/>
  <c r="AC13" i="13" a="1"/>
  <c r="AC13" i="13" s="1"/>
  <c r="AK13" i="13" a="1"/>
  <c r="AK13" i="13" s="1"/>
  <c r="AE13" i="13" a="1"/>
  <c r="AE13" i="13" s="1"/>
  <c r="AG13" i="13" a="1"/>
  <c r="AG13" i="13" s="1"/>
  <c r="AH13" i="13" a="1"/>
  <c r="AH13" i="13" s="1"/>
  <c r="AD13" i="13" a="1"/>
  <c r="AD13" i="13" s="1"/>
  <c r="AF13" i="13" a="1"/>
  <c r="AF13" i="13" s="1"/>
  <c r="AL13" i="13" a="1"/>
  <c r="AL13" i="13" s="1"/>
  <c r="AH59" i="13" a="1"/>
  <c r="AH59" i="13" s="1"/>
  <c r="AI59" i="13" a="1"/>
  <c r="AI59" i="13" s="1"/>
  <c r="AJ59" i="13" a="1"/>
  <c r="AJ59" i="13" s="1"/>
  <c r="AC59" i="13" a="1"/>
  <c r="AC59" i="13" s="1"/>
  <c r="AK59" i="13" a="1"/>
  <c r="AK59" i="13" s="1"/>
  <c r="AE59" i="13" a="1"/>
  <c r="AE59" i="13" s="1"/>
  <c r="AF59" i="13" a="1"/>
  <c r="AF59" i="13" s="1"/>
  <c r="AH55" i="13" a="1"/>
  <c r="AH55" i="13" s="1"/>
  <c r="AI55" i="13" a="1"/>
  <c r="AI55" i="13" s="1"/>
  <c r="AJ55" i="13" a="1"/>
  <c r="AJ55" i="13" s="1"/>
  <c r="AC55" i="13" a="1"/>
  <c r="AC55" i="13" s="1"/>
  <c r="AK55" i="13" a="1"/>
  <c r="AK55" i="13" s="1"/>
  <c r="AE55" i="13" a="1"/>
  <c r="AE55" i="13" s="1"/>
  <c r="AF55" i="13" a="1"/>
  <c r="AF55" i="13" s="1"/>
  <c r="AH51" i="13" a="1"/>
  <c r="AH51" i="13" s="1"/>
  <c r="AI51" i="13" a="1"/>
  <c r="AI51" i="13" s="1"/>
  <c r="AJ51" i="13" a="1"/>
  <c r="AJ51" i="13" s="1"/>
  <c r="AC51" i="13" a="1"/>
  <c r="AC51" i="13" s="1"/>
  <c r="AK51" i="13" a="1"/>
  <c r="AK51" i="13" s="1"/>
  <c r="AE51" i="13" a="1"/>
  <c r="AE51" i="13" s="1"/>
  <c r="AF51" i="13" a="1"/>
  <c r="AF51" i="13" s="1"/>
  <c r="AH47" i="13" a="1"/>
  <c r="AH47" i="13" s="1"/>
  <c r="AI47" i="13" a="1"/>
  <c r="AI47" i="13" s="1"/>
  <c r="AJ47" i="13" a="1"/>
  <c r="AJ47" i="13" s="1"/>
  <c r="AC47" i="13" a="1"/>
  <c r="AC47" i="13" s="1"/>
  <c r="AK47" i="13" a="1"/>
  <c r="AK47" i="13" s="1"/>
  <c r="AD47" i="13" a="1"/>
  <c r="AD47" i="13" s="1"/>
  <c r="AL47" i="13" a="1"/>
  <c r="AL47" i="13" s="1"/>
  <c r="AE47" i="13" a="1"/>
  <c r="AE47" i="13" s="1"/>
  <c r="AF47" i="13" a="1"/>
  <c r="AF47" i="13" s="1"/>
  <c r="AC43" i="13" a="1"/>
  <c r="AC43" i="13" s="1"/>
  <c r="AI43" i="13" a="1"/>
  <c r="AI43" i="13" s="1"/>
  <c r="AJ43" i="13" a="1"/>
  <c r="AJ43" i="13" s="1"/>
  <c r="AD43" i="13" a="1"/>
  <c r="AD43" i="13" s="1"/>
  <c r="AK43" i="13" a="1"/>
  <c r="AK43" i="13" s="1"/>
  <c r="AE43" i="13" a="1"/>
  <c r="AE43" i="13" s="1"/>
  <c r="AL43" i="13" a="1"/>
  <c r="AL43" i="13" s="1"/>
  <c r="AF43" i="13" a="1"/>
  <c r="AF43" i="13" s="1"/>
  <c r="AG43" i="13" a="1"/>
  <c r="AG43" i="13" s="1"/>
  <c r="AI39" i="13" a="1"/>
  <c r="AI39" i="13" s="1"/>
  <c r="AC39" i="13" a="1"/>
  <c r="AC39" i="13" s="1"/>
  <c r="AJ39" i="13" a="1"/>
  <c r="AJ39" i="13" s="1"/>
  <c r="AD39" i="13" a="1"/>
  <c r="AD39" i="13" s="1"/>
  <c r="AK39" i="13" a="1"/>
  <c r="AK39" i="13" s="1"/>
  <c r="AE39" i="13" a="1"/>
  <c r="AE39" i="13" s="1"/>
  <c r="AL39" i="13" a="1"/>
  <c r="AL39" i="13" s="1"/>
  <c r="AF39" i="13" a="1"/>
  <c r="AF39" i="13" s="1"/>
  <c r="AG39" i="13" a="1"/>
  <c r="AG39" i="13" s="1"/>
  <c r="AF35" i="13" a="1"/>
  <c r="AF35" i="13" s="1"/>
  <c r="AG35" i="13" a="1"/>
  <c r="AG35" i="13" s="1"/>
  <c r="AH35" i="13" a="1"/>
  <c r="AH35" i="13" s="1"/>
  <c r="AI35" i="13" a="1"/>
  <c r="AI35" i="13" s="1"/>
  <c r="AJ35" i="13" a="1"/>
  <c r="AJ35" i="13" s="1"/>
  <c r="AC35" i="13" a="1"/>
  <c r="AC35" i="13" s="1"/>
  <c r="AD35" i="13" a="1"/>
  <c r="AD35" i="13" s="1"/>
  <c r="AK35" i="13" a="1"/>
  <c r="AK35" i="13" s="1"/>
  <c r="AI31" i="13" a="1"/>
  <c r="AI31" i="13" s="1"/>
  <c r="AC31" i="13" a="1"/>
  <c r="AC31" i="13" s="1"/>
  <c r="AJ31" i="13" a="1"/>
  <c r="AJ31" i="13" s="1"/>
  <c r="AD31" i="13" a="1"/>
  <c r="AD31" i="13" s="1"/>
  <c r="AK31" i="13" a="1"/>
  <c r="AK31" i="13" s="1"/>
  <c r="AE31" i="13" a="1"/>
  <c r="AE31" i="13" s="1"/>
  <c r="AL31" i="13" a="1"/>
  <c r="AL31" i="13" s="1"/>
  <c r="AF31" i="13" a="1"/>
  <c r="AF31" i="13" s="1"/>
  <c r="AG31" i="13" a="1"/>
  <c r="AG31" i="13" s="1"/>
  <c r="AF27" i="13" a="1"/>
  <c r="AF27" i="13" s="1"/>
  <c r="AG27" i="13" a="1"/>
  <c r="AG27" i="13" s="1"/>
  <c r="AH27" i="13" a="1"/>
  <c r="AH27" i="13" s="1"/>
  <c r="AI27" i="13" a="1"/>
  <c r="AI27" i="13" s="1"/>
  <c r="AJ27" i="13" a="1"/>
  <c r="AJ27" i="13" s="1"/>
  <c r="AC27" i="13" a="1"/>
  <c r="AC27" i="13" s="1"/>
  <c r="AD27" i="13" a="1"/>
  <c r="AD27" i="13" s="1"/>
  <c r="AK27" i="13" a="1"/>
  <c r="AK27" i="13" s="1"/>
  <c r="AI63" i="13" a="1"/>
  <c r="AI63" i="13" s="1"/>
  <c r="AJ63" i="13" a="1"/>
  <c r="AJ63" i="13" s="1"/>
  <c r="AC63" i="13" a="1"/>
  <c r="AC63" i="13" s="1"/>
  <c r="AK63" i="13" a="1"/>
  <c r="AK63" i="13" s="1"/>
  <c r="AE63" i="13" a="1"/>
  <c r="AE63" i="13" s="1"/>
  <c r="AF63" i="13" a="1"/>
  <c r="AF63" i="13" s="1"/>
  <c r="AC62" i="13" a="1"/>
  <c r="AC62" i="13" s="1"/>
  <c r="AK62" i="13" a="1"/>
  <c r="AK62" i="13" s="1"/>
  <c r="AD62" i="13" a="1"/>
  <c r="AD62" i="13" s="1"/>
  <c r="AL62" i="13" a="1"/>
  <c r="AL62" i="13" s="1"/>
  <c r="AE62" i="13" a="1"/>
  <c r="AE62" i="13" s="1"/>
  <c r="AG62" i="13" a="1"/>
  <c r="AG62" i="13" s="1"/>
  <c r="AH62" i="13" a="1"/>
  <c r="AH62" i="13" s="1"/>
  <c r="AU57" i="13"/>
  <c r="AN57" i="13"/>
  <c r="AV57" i="13"/>
  <c r="AO57" i="13"/>
  <c r="AP57" i="13"/>
  <c r="AQ57" i="13"/>
  <c r="AS57" i="13"/>
  <c r="AT57" i="13"/>
  <c r="AM49" i="13" a="1"/>
  <c r="AM49" i="13" s="1"/>
  <c r="AM41" i="13" a="1"/>
  <c r="AM41" i="13" s="1"/>
  <c r="AM33" i="13" a="1"/>
  <c r="AM33" i="13" s="1"/>
  <c r="AM25" i="13" a="1"/>
  <c r="AM25" i="13" s="1"/>
  <c r="AM17" i="13" a="1"/>
  <c r="AM17" i="13" s="1"/>
  <c r="AI74" i="13" a="1"/>
  <c r="AI74" i="13" s="1"/>
  <c r="AL70" i="13" a="1"/>
  <c r="AL70" i="13" s="1"/>
  <c r="AE69" i="13" a="1"/>
  <c r="AE69" i="13" s="1"/>
  <c r="AD68" i="13" a="1"/>
  <c r="AD68" i="13" s="1"/>
  <c r="AI66" i="13" a="1"/>
  <c r="AI66" i="13" s="1"/>
  <c r="AC65" i="13" a="1"/>
  <c r="AC65" i="13" s="1"/>
  <c r="AD63" i="13" a="1"/>
  <c r="AD63" i="13" s="1"/>
  <c r="AJ60" i="13" a="1"/>
  <c r="AJ60" i="13" s="1"/>
  <c r="AH57" i="13" a="1"/>
  <c r="AH57" i="13" s="1"/>
  <c r="AF54" i="13" a="1"/>
  <c r="AF54" i="13" s="1"/>
  <c r="AD51" i="13" a="1"/>
  <c r="AD51" i="13" s="1"/>
  <c r="AK45" i="13" a="1"/>
  <c r="AK45" i="13" s="1"/>
  <c r="AE40" i="13" a="1"/>
  <c r="AE40" i="13" s="1"/>
  <c r="AH34" i="13" a="1"/>
  <c r="AH34" i="13" s="1"/>
  <c r="AI28" i="13" a="1"/>
  <c r="AI28" i="13" s="1"/>
  <c r="AK22" i="13" a="1"/>
  <c r="AK22" i="13" s="1"/>
  <c r="AL16" i="13" a="1"/>
  <c r="AL16" i="13" s="1"/>
  <c r="AR57" i="13"/>
  <c r="D44" i="12"/>
  <c r="D45" i="12"/>
  <c r="D43" i="12"/>
  <c r="H34" i="12"/>
  <c r="H46" i="12"/>
  <c r="G90" i="12"/>
  <c r="H43" i="12"/>
  <c r="H35" i="12"/>
  <c r="G91" i="12"/>
  <c r="H47" i="12"/>
  <c r="D49" i="12"/>
  <c r="H44" i="12"/>
  <c r="G89" i="12"/>
  <c r="H45" i="12"/>
  <c r="H48" i="12"/>
  <c r="H49" i="12"/>
  <c r="H36" i="12"/>
  <c r="H11" i="12"/>
  <c r="H37" i="12"/>
  <c r="H12" i="12"/>
  <c r="H38" i="12"/>
  <c r="H13" i="12"/>
  <c r="H14" i="12"/>
  <c r="H15" i="12"/>
  <c r="H23" i="12"/>
  <c r="H24" i="12"/>
  <c r="H25" i="12"/>
  <c r="H26" i="12"/>
  <c r="H27" i="12"/>
  <c r="H41" i="12"/>
  <c r="H30" i="12"/>
  <c r="H32" i="12"/>
  <c r="H39" i="12"/>
  <c r="H28" i="12"/>
  <c r="H40" i="12"/>
  <c r="H42" i="12"/>
  <c r="H19" i="12"/>
  <c r="H7" i="12"/>
  <c r="H33" i="12"/>
  <c r="H16" i="12"/>
  <c r="H17" i="12"/>
  <c r="H29" i="12"/>
  <c r="H18" i="12"/>
  <c r="H31" i="12"/>
  <c r="H8" i="12"/>
  <c r="H20" i="12"/>
  <c r="H9" i="12"/>
  <c r="H21" i="12"/>
  <c r="H10" i="12"/>
  <c r="H22" i="12"/>
  <c r="D6" i="7"/>
  <c r="H85" i="12"/>
  <c r="H84" i="12"/>
  <c r="G41" i="12"/>
  <c r="G84" i="12" s="1"/>
  <c r="G42" i="12"/>
  <c r="G85" i="12" s="1"/>
  <c r="D5" i="7"/>
  <c r="G8" i="12"/>
  <c r="G51" i="12" s="1"/>
  <c r="D8" i="12"/>
  <c r="G9" i="12"/>
  <c r="G52" i="12" s="1"/>
  <c r="G10" i="12"/>
  <c r="D10" i="12" s="1"/>
  <c r="G11" i="12"/>
  <c r="G54" i="12" s="1"/>
  <c r="G12" i="12"/>
  <c r="G55" i="12" s="1"/>
  <c r="D12" i="12"/>
  <c r="G13" i="12"/>
  <c r="D13" i="12" s="1"/>
  <c r="G14" i="12"/>
  <c r="D14" i="12" s="1"/>
  <c r="G15" i="12"/>
  <c r="G58" i="12" s="1"/>
  <c r="G16" i="12"/>
  <c r="D16" i="12" s="1"/>
  <c r="G17" i="12"/>
  <c r="D17" i="12" s="1"/>
  <c r="G18" i="12"/>
  <c r="G61" i="12" s="1"/>
  <c r="G19" i="12"/>
  <c r="G62" i="12" s="1"/>
  <c r="G20" i="12"/>
  <c r="D20" i="12" s="1"/>
  <c r="G21" i="12"/>
  <c r="D21" i="12" s="1"/>
  <c r="G22" i="12"/>
  <c r="G65" i="12" s="1"/>
  <c r="G23" i="12"/>
  <c r="D23" i="12" s="1"/>
  <c r="G24" i="12"/>
  <c r="D24" i="12" s="1"/>
  <c r="G25" i="12"/>
  <c r="D25" i="12" s="1"/>
  <c r="G26" i="12"/>
  <c r="G69" i="12" s="1"/>
  <c r="G27" i="12"/>
  <c r="D27" i="12" s="1"/>
  <c r="G28" i="12"/>
  <c r="G71" i="12" s="1"/>
  <c r="G29" i="12"/>
  <c r="D29" i="12" s="1"/>
  <c r="G30" i="12"/>
  <c r="D30" i="12" s="1"/>
  <c r="G31" i="12"/>
  <c r="G74" i="12" s="1"/>
  <c r="G32" i="12"/>
  <c r="G75" i="12" s="1"/>
  <c r="D32" i="12"/>
  <c r="G33" i="12"/>
  <c r="D33" i="12" s="1"/>
  <c r="G34" i="12"/>
  <c r="G77" i="12" s="1"/>
  <c r="G35" i="12"/>
  <c r="D35" i="12" s="1"/>
  <c r="G36" i="12"/>
  <c r="D36" i="12" s="1"/>
  <c r="G37" i="12"/>
  <c r="G80" i="12" s="1"/>
  <c r="G38" i="12"/>
  <c r="D38" i="12" s="1"/>
  <c r="G81" i="12"/>
  <c r="G39" i="12"/>
  <c r="G40" i="12"/>
  <c r="D40" i="12" s="1"/>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50" i="12"/>
  <c r="G56" i="12"/>
  <c r="G7" i="12"/>
  <c r="G50" i="12" s="1"/>
  <c r="J15" i="7"/>
  <c r="D15" i="7" s="1"/>
  <c r="C15" i="7"/>
  <c r="J14" i="7"/>
  <c r="D14" i="7" s="1"/>
  <c r="C14" i="7"/>
  <c r="J13" i="7"/>
  <c r="D13" i="7" s="1"/>
  <c r="C13" i="7"/>
  <c r="J12" i="7"/>
  <c r="D12" i="7"/>
  <c r="C12" i="7"/>
  <c r="J11" i="7"/>
  <c r="D11" i="7" s="1"/>
  <c r="C11" i="7"/>
  <c r="J10" i="7"/>
  <c r="D10" i="7" s="1"/>
  <c r="C10" i="7"/>
  <c r="J9" i="7"/>
  <c r="D9" i="7"/>
  <c r="C9" i="7"/>
  <c r="J8" i="7"/>
  <c r="D8" i="7" s="1"/>
  <c r="C8" i="7"/>
  <c r="J7" i="7"/>
  <c r="D7" i="7"/>
  <c r="C7" i="7"/>
  <c r="C6" i="7"/>
  <c r="C5" i="7"/>
  <c r="D4" i="7"/>
  <c r="C4" i="7"/>
  <c r="G79" i="12"/>
  <c r="AN13" i="13" l="1"/>
  <c r="AS23" i="13"/>
  <c r="AN53" i="13"/>
  <c r="AP13" i="13"/>
  <c r="AR23" i="13"/>
  <c r="AP53" i="13"/>
  <c r="AO13" i="13"/>
  <c r="AQ23" i="13"/>
  <c r="AO53" i="13"/>
  <c r="AU13" i="13"/>
  <c r="AP23" i="13"/>
  <c r="AU53" i="13"/>
  <c r="AT13" i="13"/>
  <c r="AT23" i="13"/>
  <c r="AO23" i="13"/>
  <c r="AT53" i="13"/>
  <c r="AS13" i="13"/>
  <c r="AV23" i="13"/>
  <c r="AS53" i="13"/>
  <c r="AR59" i="13"/>
  <c r="AS37" i="13"/>
  <c r="AQ59" i="13"/>
  <c r="AO59" i="13"/>
  <c r="AV37" i="13"/>
  <c r="AQ37" i="13"/>
  <c r="AV59" i="13"/>
  <c r="AN59" i="13"/>
  <c r="AR27" i="13"/>
  <c r="AU59" i="13"/>
  <c r="AQ27" i="13"/>
  <c r="AN43" i="13"/>
  <c r="AU27" i="13"/>
  <c r="AO32" i="13"/>
  <c r="AO27" i="13"/>
  <c r="AV32" i="13"/>
  <c r="AV27" i="13"/>
  <c r="AS32" i="13"/>
  <c r="AN32" i="13"/>
  <c r="AU32" i="13"/>
  <c r="AT32" i="13"/>
  <c r="AR32" i="13"/>
  <c r="AN27" i="13"/>
  <c r="AV43" i="13"/>
  <c r="AO45" i="13"/>
  <c r="AT27" i="13"/>
  <c r="AU43" i="13"/>
  <c r="AT45" i="13"/>
  <c r="AP27" i="13"/>
  <c r="AT43" i="13"/>
  <c r="AS45" i="13"/>
  <c r="AP43" i="13"/>
  <c r="AS43" i="13"/>
  <c r="AR45" i="13"/>
  <c r="AR43" i="13"/>
  <c r="AV45" i="13"/>
  <c r="AQ45" i="13"/>
  <c r="AQ43" i="13"/>
  <c r="AN45" i="13"/>
  <c r="AT26" i="13"/>
  <c r="AU26" i="13"/>
  <c r="AN26" i="13"/>
  <c r="AV26" i="13"/>
  <c r="AO26" i="13"/>
  <c r="AP26" i="13"/>
  <c r="AR26" i="13"/>
  <c r="AS26" i="13"/>
  <c r="AQ26" i="13"/>
  <c r="AS35" i="13"/>
  <c r="AT35" i="13"/>
  <c r="AU35" i="13"/>
  <c r="AN35" i="13"/>
  <c r="AV35" i="13"/>
  <c r="AO35" i="13"/>
  <c r="AQ35" i="13"/>
  <c r="AR35" i="13"/>
  <c r="AP35" i="13"/>
  <c r="AR60" i="13"/>
  <c r="AS60" i="13"/>
  <c r="AT60" i="13"/>
  <c r="AU60" i="13"/>
  <c r="AN60" i="13"/>
  <c r="AV60" i="13"/>
  <c r="AP60" i="13"/>
  <c r="AQ60" i="13"/>
  <c r="AO60" i="13"/>
  <c r="AP54" i="13"/>
  <c r="AQ54" i="13"/>
  <c r="AR54" i="13"/>
  <c r="AS54" i="13"/>
  <c r="AT54" i="13"/>
  <c r="AN54" i="13"/>
  <c r="AV54" i="13"/>
  <c r="AO54" i="13"/>
  <c r="AU54" i="13"/>
  <c r="AP70" i="13"/>
  <c r="AQ70" i="13"/>
  <c r="AR70" i="13"/>
  <c r="AS70" i="13"/>
  <c r="AT70" i="13"/>
  <c r="AN70" i="13"/>
  <c r="AV70" i="13"/>
  <c r="AO70" i="13"/>
  <c r="AU70" i="13"/>
  <c r="AO39" i="13"/>
  <c r="AP39" i="13"/>
  <c r="AQ39" i="13"/>
  <c r="AR39" i="13"/>
  <c r="AS39" i="13"/>
  <c r="AU39" i="13"/>
  <c r="AN39" i="13"/>
  <c r="AV39" i="13"/>
  <c r="AT39" i="13"/>
  <c r="AT34" i="13"/>
  <c r="AU34" i="13"/>
  <c r="AN34" i="13"/>
  <c r="AV34" i="13"/>
  <c r="AO34" i="13"/>
  <c r="AP34" i="13"/>
  <c r="AR34" i="13"/>
  <c r="AS34" i="13"/>
  <c r="AQ34" i="13"/>
  <c r="AS51" i="13"/>
  <c r="AT51" i="13"/>
  <c r="AU51" i="13"/>
  <c r="AN51" i="13"/>
  <c r="AV51" i="13"/>
  <c r="AO51" i="13"/>
  <c r="AQ51" i="13"/>
  <c r="AR51" i="13"/>
  <c r="AP51" i="13"/>
  <c r="AR68" i="13"/>
  <c r="AS68" i="13"/>
  <c r="AT68" i="13"/>
  <c r="AU68" i="13"/>
  <c r="AN68" i="13"/>
  <c r="AV68" i="13"/>
  <c r="AP68" i="13"/>
  <c r="AQ68" i="13"/>
  <c r="AO68" i="13"/>
  <c r="AQ61" i="13"/>
  <c r="AR61" i="13"/>
  <c r="AS61" i="13"/>
  <c r="AT61" i="13"/>
  <c r="AU61" i="13"/>
  <c r="AO61" i="13"/>
  <c r="AP61" i="13"/>
  <c r="AN61" i="13"/>
  <c r="AV61" i="13"/>
  <c r="AO47" i="13"/>
  <c r="AP47" i="13"/>
  <c r="AQ47" i="13"/>
  <c r="AR47" i="13"/>
  <c r="AS47" i="13"/>
  <c r="AU47" i="13"/>
  <c r="AN47" i="13"/>
  <c r="AV47" i="13"/>
  <c r="AT47" i="13"/>
  <c r="AT42" i="13"/>
  <c r="AU42" i="13"/>
  <c r="AN42" i="13"/>
  <c r="AV42" i="13"/>
  <c r="AO42" i="13"/>
  <c r="AP42" i="13"/>
  <c r="AR42" i="13"/>
  <c r="AS42" i="13"/>
  <c r="AQ42" i="13"/>
  <c r="AR12" i="13"/>
  <c r="AS12" i="13"/>
  <c r="AT12" i="13"/>
  <c r="AU12" i="13"/>
  <c r="AN12" i="13"/>
  <c r="AV12" i="13"/>
  <c r="AP12" i="13"/>
  <c r="AQ12" i="13"/>
  <c r="AO12" i="13"/>
  <c r="AR76" i="13"/>
  <c r="AS76" i="13"/>
  <c r="AT76" i="13"/>
  <c r="AU76" i="13"/>
  <c r="AN76" i="13"/>
  <c r="AV76" i="13"/>
  <c r="AP76" i="13"/>
  <c r="AQ76" i="13"/>
  <c r="AO76" i="13"/>
  <c r="AQ69" i="13"/>
  <c r="AR69" i="13"/>
  <c r="AS69" i="13"/>
  <c r="AT69" i="13"/>
  <c r="AU69" i="13"/>
  <c r="AO69" i="13"/>
  <c r="AP69" i="13"/>
  <c r="AN69" i="13"/>
  <c r="AV69" i="13"/>
  <c r="AO55" i="13"/>
  <c r="AP55" i="13"/>
  <c r="AQ55" i="13"/>
  <c r="AR55" i="13"/>
  <c r="AS55" i="13"/>
  <c r="AU55" i="13"/>
  <c r="AN55" i="13"/>
  <c r="AV55" i="13"/>
  <c r="AT55" i="13"/>
  <c r="AR20" i="13"/>
  <c r="AS20" i="13"/>
  <c r="AT20" i="13"/>
  <c r="AU20" i="13"/>
  <c r="AN20" i="13"/>
  <c r="AV20" i="13"/>
  <c r="AP20" i="13"/>
  <c r="AQ20" i="13"/>
  <c r="AO20" i="13"/>
  <c r="AR9" i="13"/>
  <c r="AS9" i="13"/>
  <c r="AT9" i="13"/>
  <c r="AU9" i="13"/>
  <c r="AV9" i="13"/>
  <c r="AP9" i="13"/>
  <c r="AQ9" i="13"/>
  <c r="AO9" i="13"/>
  <c r="AN9" i="13"/>
  <c r="AO63" i="13"/>
  <c r="AP63" i="13"/>
  <c r="AQ63" i="13"/>
  <c r="AR63" i="13"/>
  <c r="AS63" i="13"/>
  <c r="AU63" i="13"/>
  <c r="AN63" i="13"/>
  <c r="AV63" i="13"/>
  <c r="AT63" i="13"/>
  <c r="AU17" i="13"/>
  <c r="AN17" i="13"/>
  <c r="AV17" i="13"/>
  <c r="AO17" i="13"/>
  <c r="AP17" i="13"/>
  <c r="AQ17" i="13"/>
  <c r="AS17" i="13"/>
  <c r="AT17" i="13"/>
  <c r="AR17" i="13"/>
  <c r="AT58" i="13"/>
  <c r="AU58" i="13"/>
  <c r="AN58" i="13"/>
  <c r="AV58" i="13"/>
  <c r="AO58" i="13"/>
  <c r="AP58" i="13"/>
  <c r="AR58" i="13"/>
  <c r="AS58" i="13"/>
  <c r="AQ58" i="13"/>
  <c r="AR28" i="13"/>
  <c r="AS28" i="13"/>
  <c r="AT28" i="13"/>
  <c r="AU28" i="13"/>
  <c r="AN28" i="13"/>
  <c r="AV28" i="13"/>
  <c r="AP28" i="13"/>
  <c r="AQ28" i="13"/>
  <c r="AO28" i="13"/>
  <c r="AO71" i="13"/>
  <c r="AP71" i="13"/>
  <c r="AQ71" i="13"/>
  <c r="AR71" i="13"/>
  <c r="AS71" i="13"/>
  <c r="AU71" i="13"/>
  <c r="AN71" i="13"/>
  <c r="AV71" i="13"/>
  <c r="AT71" i="13"/>
  <c r="AT50" i="13"/>
  <c r="AU50" i="13"/>
  <c r="AN50" i="13"/>
  <c r="AV50" i="13"/>
  <c r="AO50" i="13"/>
  <c r="AP50" i="13"/>
  <c r="AR50" i="13"/>
  <c r="AS50" i="13"/>
  <c r="AQ50" i="13"/>
  <c r="AU25" i="13"/>
  <c r="AN25" i="13"/>
  <c r="AV25" i="13"/>
  <c r="AO25" i="13"/>
  <c r="AP25" i="13"/>
  <c r="AQ25" i="13"/>
  <c r="AS25" i="13"/>
  <c r="AT25" i="13"/>
  <c r="AR25" i="13"/>
  <c r="AU33" i="13"/>
  <c r="AN33" i="13"/>
  <c r="AV33" i="13"/>
  <c r="AO33" i="13"/>
  <c r="AP33" i="13"/>
  <c r="AQ33" i="13"/>
  <c r="AS33" i="13"/>
  <c r="AT33" i="13"/>
  <c r="AR33" i="13"/>
  <c r="AR36" i="13"/>
  <c r="AS36" i="13"/>
  <c r="AT36" i="13"/>
  <c r="AU36" i="13"/>
  <c r="AN36" i="13"/>
  <c r="AV36" i="13"/>
  <c r="AP36" i="13"/>
  <c r="AQ36" i="13"/>
  <c r="AO36" i="13"/>
  <c r="AU41" i="13"/>
  <c r="AN41" i="13"/>
  <c r="AV41" i="13"/>
  <c r="AO41" i="13"/>
  <c r="AP41" i="13"/>
  <c r="AQ41" i="13"/>
  <c r="AS41" i="13"/>
  <c r="AT41" i="13"/>
  <c r="AR41" i="13"/>
  <c r="AT10" i="13"/>
  <c r="AU10" i="13"/>
  <c r="AN10" i="13"/>
  <c r="AV10" i="13"/>
  <c r="AO10" i="13"/>
  <c r="AP10" i="13"/>
  <c r="AR10" i="13"/>
  <c r="AS10" i="13"/>
  <c r="AQ10" i="13"/>
  <c r="AS11" i="13"/>
  <c r="AT11" i="13"/>
  <c r="AU11" i="13"/>
  <c r="AN11" i="13"/>
  <c r="AV11" i="13"/>
  <c r="AO11" i="13"/>
  <c r="AQ11" i="13"/>
  <c r="AR11" i="13"/>
  <c r="AP11" i="13"/>
  <c r="AR44" i="13"/>
  <c r="AS44" i="13"/>
  <c r="AT44" i="13"/>
  <c r="AU44" i="13"/>
  <c r="AN44" i="13"/>
  <c r="AV44" i="13"/>
  <c r="AP44" i="13"/>
  <c r="AQ44" i="13"/>
  <c r="AO44" i="13"/>
  <c r="AP14" i="13"/>
  <c r="AQ14" i="13"/>
  <c r="AR14" i="13"/>
  <c r="AS14" i="13"/>
  <c r="AT14" i="13"/>
  <c r="AN14" i="13"/>
  <c r="AV14" i="13"/>
  <c r="AO14" i="13"/>
  <c r="AU14" i="13"/>
  <c r="AO15" i="13"/>
  <c r="AP15" i="13"/>
  <c r="AQ15" i="13"/>
  <c r="AR15" i="13"/>
  <c r="AS15" i="13"/>
  <c r="AU15" i="13"/>
  <c r="AN15" i="13"/>
  <c r="AV15" i="13"/>
  <c r="AT15" i="13"/>
  <c r="AU49" i="13"/>
  <c r="AN49" i="13"/>
  <c r="AV49" i="13"/>
  <c r="AO49" i="13"/>
  <c r="AP49" i="13"/>
  <c r="AQ49" i="13"/>
  <c r="AS49" i="13"/>
  <c r="AT49" i="13"/>
  <c r="AR49" i="13"/>
  <c r="AT18" i="13"/>
  <c r="AU18" i="13"/>
  <c r="AN18" i="13"/>
  <c r="AV18" i="13"/>
  <c r="AO18" i="13"/>
  <c r="AP18" i="13"/>
  <c r="AR18" i="13"/>
  <c r="AS18" i="13"/>
  <c r="AQ18" i="13"/>
  <c r="AS19" i="13"/>
  <c r="AT19" i="13"/>
  <c r="AU19" i="13"/>
  <c r="AN19" i="13"/>
  <c r="AV19" i="13"/>
  <c r="AO19" i="13"/>
  <c r="AQ19" i="13"/>
  <c r="AR19" i="13"/>
  <c r="AP19" i="13"/>
  <c r="AR52" i="13"/>
  <c r="AS52" i="13"/>
  <c r="AT52" i="13"/>
  <c r="AU52" i="13"/>
  <c r="AN52" i="13"/>
  <c r="AV52" i="13"/>
  <c r="AP52" i="13"/>
  <c r="AQ52" i="13"/>
  <c r="AO52" i="13"/>
  <c r="AP38" i="13"/>
  <c r="AQ38" i="13"/>
  <c r="AR38" i="13"/>
  <c r="AS38" i="13"/>
  <c r="AT38" i="13"/>
  <c r="AN38" i="13"/>
  <c r="AV38" i="13"/>
  <c r="AO38" i="13"/>
  <c r="AU38" i="13"/>
  <c r="AO31" i="13"/>
  <c r="AP31" i="13"/>
  <c r="AQ31" i="13"/>
  <c r="AR31" i="13"/>
  <c r="AS31" i="13"/>
  <c r="AU31" i="13"/>
  <c r="AN31" i="13"/>
  <c r="AV31" i="13"/>
  <c r="AT31" i="13"/>
  <c r="G66" i="12"/>
  <c r="D22" i="12"/>
  <c r="G64" i="12"/>
  <c r="D28" i="12"/>
  <c r="D15" i="12"/>
  <c r="D31" i="12"/>
  <c r="D19" i="12"/>
  <c r="G73" i="12"/>
  <c r="G57" i="12"/>
  <c r="G68" i="12"/>
  <c r="G60" i="12"/>
  <c r="D37" i="12"/>
  <c r="D26" i="12"/>
  <c r="D18" i="12"/>
  <c r="D11" i="12"/>
  <c r="G78" i="12"/>
  <c r="G70" i="12"/>
  <c r="D34" i="12"/>
  <c r="G53" i="12"/>
  <c r="G82" i="12"/>
  <c r="D39" i="12"/>
  <c r="G83" i="12"/>
  <c r="D41" i="12"/>
  <c r="G59" i="12"/>
  <c r="G76" i="12"/>
  <c r="G72" i="12"/>
  <c r="D7" i="12"/>
  <c r="D42" i="12"/>
  <c r="G63" i="12"/>
  <c r="D9" i="12"/>
  <c r="G6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AMIT</author>
  </authors>
  <commentList>
    <comment ref="K3" authorId="0" shapeId="0" xr:uid="{00000000-0006-0000-0100-000001000000}">
      <text>
        <r>
          <rPr>
            <b/>
            <sz val="9"/>
            <color indexed="81"/>
            <rFont val="Tahoma"/>
            <family val="2"/>
          </rPr>
          <t>Amit Kanudia:</t>
        </r>
        <r>
          <rPr>
            <sz val="9"/>
            <color indexed="81"/>
            <rFont val="Tahoma"/>
            <family val="2"/>
          </rPr>
          <t xml:space="preserve">
1/7/2018
these regions have very high peak marginals…
</t>
        </r>
      </text>
    </comment>
    <comment ref="L3" authorId="1" shapeId="0" xr:uid="{B62817C7-3173-4955-8DA9-948783D3CBD8}">
      <text>
        <r>
          <rPr>
            <b/>
            <sz val="9"/>
            <color indexed="81"/>
            <rFont val="Tahoma"/>
            <charset val="1"/>
          </rPr>
          <t>AMIT:</t>
        </r>
        <r>
          <rPr>
            <sz val="9"/>
            <color indexed="81"/>
            <rFont val="Tahoma"/>
            <charset val="1"/>
          </rPr>
          <t xml:space="preserve">
16-04-2021
this fixes early storage capacity builds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Mahmoud MOBIR</author>
  </authors>
  <commentList>
    <comment ref="AK3" authorId="0" shapeId="0" xr:uid="{CB3F2C09-7CFB-4B3D-B443-D096EFE42DAF}">
      <text>
        <r>
          <rPr>
            <b/>
            <sz val="9"/>
            <color indexed="81"/>
            <rFont val="Tahoma"/>
            <charset val="1"/>
          </rPr>
          <t xml:space="preserve">Mahmoud MOBIR
</t>
        </r>
        <r>
          <rPr>
            <sz val="9"/>
            <color indexed="81"/>
            <rFont val="Tahoma"/>
            <family val="2"/>
          </rPr>
          <t xml:space="preserve">11-23-2021
Added to make test runs. Hydrogen load shape in transportation is similar to power load shape in this version. To be revised once the final data is available
 </t>
        </r>
      </text>
    </comment>
    <comment ref="AS3" authorId="0" shapeId="0" xr:uid="{BDEC356B-36D4-4375-AAEB-1F5AD74A52A7}">
      <text>
        <r>
          <rPr>
            <b/>
            <sz val="9"/>
            <color indexed="81"/>
            <rFont val="Tahoma"/>
            <charset val="1"/>
          </rPr>
          <t xml:space="preserve">Mahmoud MOBIR
</t>
        </r>
        <r>
          <rPr>
            <sz val="9"/>
            <color indexed="81"/>
            <rFont val="Tahoma"/>
            <family val="2"/>
          </rPr>
          <t xml:space="preserve">11-23-2021
Added to make test runs. Hydrogen load shape in transportation is similar to power load shape in this version. To be revised once the final data is available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Mahmoud Mobir</author>
    <author>Mahmoud MOBIR</author>
  </authors>
  <commentList>
    <comment ref="A1" authorId="0" shapeId="0" xr:uid="{5CDEB2D9-8FA5-489C-8EED-B83D3FBD1EAF}">
      <text>
        <r>
          <rPr>
            <b/>
            <sz val="9"/>
            <color indexed="81"/>
            <rFont val="Tahoma"/>
            <charset val="1"/>
          </rPr>
          <t>Mahmoud Mobir:</t>
        </r>
        <r>
          <rPr>
            <sz val="9"/>
            <color indexed="81"/>
            <rFont val="Tahoma"/>
            <charset val="1"/>
          </rPr>
          <t xml:space="preserve">
12-7-2021
1 for seed values (demands from EIA)
2 for an mvp product</t>
        </r>
      </text>
    </comment>
    <comment ref="J5" authorId="1" shapeId="0" xr:uid="{EE47A0C3-7D85-4D2A-B811-554B95EC04AA}">
      <text>
        <r>
          <rPr>
            <b/>
            <sz val="9"/>
            <color indexed="81"/>
            <rFont val="Tahoma"/>
            <family val="2"/>
          </rPr>
          <t>Mahmoud MOBIR:</t>
        </r>
        <r>
          <rPr>
            <sz val="9"/>
            <color indexed="81"/>
            <rFont val="Tahoma"/>
            <family val="2"/>
          </rPr>
          <t xml:space="preserve">
11-23-2021
Added industrial hydrogen demand to make some test runs (Incorporation of hydrogen into the model). Hydrogen demand in the industrrial sector is similar to the industrial power demand. To be revised when the data is available from end use modules</t>
        </r>
      </text>
    </comment>
    <comment ref="P5" authorId="1" shapeId="0" xr:uid="{54B8C6D9-DCF7-40A7-BE67-D1AD31E4697D}">
      <text>
        <r>
          <rPr>
            <b/>
            <sz val="9"/>
            <color indexed="81"/>
            <rFont val="Tahoma"/>
            <family val="2"/>
          </rPr>
          <t>Mahmoud MOBIR:</t>
        </r>
        <r>
          <rPr>
            <sz val="9"/>
            <color indexed="81"/>
            <rFont val="Tahoma"/>
            <family val="2"/>
          </rPr>
          <t xml:space="preserve">
11-23-2021
Added transportation hydrogen demand to make some test runs (Incorporation of hydrogen into the model). Hydrogen demand in the tranportation sector is set to zero between 2010 and 2040, after 2040 H2 demand in the tranportation sector is set to 1/20 * industrial hydrogen demand. To be revised when data is available from the end use modules.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AMIT</author>
    <author>Amit Kanudia</author>
  </authors>
  <commentList>
    <comment ref="P1" authorId="0" shapeId="0" xr:uid="{CB0287D0-6D74-441A-9E31-40BBA6DA3676}">
      <text>
        <r>
          <rPr>
            <b/>
            <sz val="9"/>
            <color indexed="81"/>
            <rFont val="Tahoma"/>
            <family val="2"/>
          </rPr>
          <t>AMIT:</t>
        </r>
        <r>
          <rPr>
            <sz val="9"/>
            <color indexed="81"/>
            <rFont val="Tahoma"/>
            <family val="2"/>
          </rPr>
          <t xml:space="preserve">
30-12-2020
last historical year (written by MIG)
</t>
        </r>
      </text>
    </comment>
    <comment ref="E4" authorId="1" shapeId="0" xr:uid="{00000000-0006-0000-0800-000001000000}">
      <text>
        <r>
          <rPr>
            <b/>
            <sz val="9"/>
            <color indexed="81"/>
            <rFont val="Tahoma"/>
            <family val="2"/>
          </rPr>
          <t>Amit Kanudia:</t>
        </r>
        <r>
          <rPr>
            <sz val="9"/>
            <color indexed="81"/>
            <rFont val="Tahoma"/>
            <family val="2"/>
          </rPr>
          <t xml:space="preserve">
24-06-2018
might add it back during calibration
</t>
        </r>
      </text>
    </comment>
    <comment ref="B21" authorId="0" shapeId="0" xr:uid="{ADD88DBE-8F0C-46B0-B3DE-62BABD39863C}">
      <text>
        <r>
          <rPr>
            <b/>
            <sz val="9"/>
            <color indexed="81"/>
            <rFont val="Tahoma"/>
            <charset val="1"/>
          </rPr>
          <t>AMIT:</t>
        </r>
        <r>
          <rPr>
            <sz val="9"/>
            <color indexed="81"/>
            <rFont val="Tahoma"/>
            <charset val="1"/>
          </rPr>
          <t xml:space="preserve">
16-04-2021
AEO2020 assumption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Mahmoud MOBIR</author>
  </authors>
  <commentList>
    <comment ref="B3" authorId="0" shapeId="0" xr:uid="{A56AC645-E465-452F-A0C4-CDA73211A8F6}">
      <text>
        <r>
          <rPr>
            <b/>
            <sz val="9"/>
            <color indexed="81"/>
            <rFont val="Tahoma"/>
            <charset val="1"/>
          </rPr>
          <t xml:space="preserve">Mahmoud MOBIR:
08-11-2021
</t>
        </r>
        <r>
          <rPr>
            <sz val="9"/>
            <color indexed="81"/>
            <rFont val="Tahoma"/>
            <charset val="1"/>
          </rPr>
          <t xml:space="preserve">
This table is used to define gams switch control. It suppresses the log output from CMD. Deactivating this one since It was not initiated or wanted by Rhodium Group (It was activated by EIA teams for some reason)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<sst xmlns="http://schemas.openxmlformats.org/spreadsheetml/2006/main" count="17450" uniqueCount="193">
  <si>
    <t>Year</t>
  </si>
  <si>
    <t>Attribute</t>
  </si>
  <si>
    <t>LimType</t>
  </si>
  <si>
    <t>TimeSlice</t>
  </si>
  <si>
    <t>AllRegions</t>
  </si>
  <si>
    <t>~TFM_UPD</t>
  </si>
  <si>
    <t>PSET_PN</t>
  </si>
  <si>
    <t>depth</t>
  </si>
  <si>
    <t>dist</t>
  </si>
  <si>
    <t>INVCOST</t>
  </si>
  <si>
    <t>-</t>
  </si>
  <si>
    <t>Far</t>
  </si>
  <si>
    <t>Trans</t>
  </si>
  <si>
    <t>Near</t>
  </si>
  <si>
    <t>deep</t>
  </si>
  <si>
    <t>Inter</t>
  </si>
  <si>
    <t>shal</t>
  </si>
  <si>
    <t>tran</t>
  </si>
  <si>
    <t>G_DRATE</t>
  </si>
  <si>
    <t>G_OFFTHD</t>
  </si>
  <si>
    <t>G_Dyear</t>
  </si>
  <si>
    <t>ELC</t>
  </si>
  <si>
    <t>COM_PKRSV</t>
  </si>
  <si>
    <t>Cset_CN</t>
  </si>
  <si>
    <t>Curr</t>
  </si>
  <si>
    <t>Other_Indexes</t>
  </si>
  <si>
    <t>~TFM_INS</t>
  </si>
  <si>
    <t>VT_G_YRFR_INS</t>
  </si>
  <si>
    <t>VT_COM_IE_DINS-TS</t>
  </si>
  <si>
    <t>VT_DINS_Sector_LoadShapes</t>
  </si>
  <si>
    <t>~TFM_DINS-AT: Year=2010</t>
  </si>
  <si>
    <t>VT_INS_TS_HydroCF</t>
  </si>
  <si>
    <t>~TFM_INS-TS</t>
  </si>
  <si>
    <t>VT_DINS_DEMAND</t>
  </si>
  <si>
    <t>~TFM_DINS-TS</t>
  </si>
  <si>
    <t>~UC_Sets: R_E: AllRegions</t>
  </si>
  <si>
    <t>~UC_Sets: T_SUC:</t>
  </si>
  <si>
    <t>UC_N</t>
  </si>
  <si>
    <t>UC_ATTR</t>
  </si>
  <si>
    <t>PSET_CI</t>
  </si>
  <si>
    <t>UP</t>
  </si>
  <si>
    <t>ACT, GROWTH</t>
  </si>
  <si>
    <t>UC_Non-Decr_Wind_Gen</t>
  </si>
  <si>
    <t>ELCWIN</t>
  </si>
  <si>
    <t>UC_ACT</t>
  </si>
  <si>
    <t>UC_ACT~RHS</t>
  </si>
  <si>
    <t>UC_RHSRT</t>
  </si>
  <si>
    <t>UC_RHSRT~0</t>
  </si>
  <si>
    <t>UC_Desc</t>
  </si>
  <si>
    <t>Wind Generation should not decrease with time in any region</t>
  </si>
  <si>
    <t>MXC</t>
  </si>
  <si>
    <t>SKO</t>
  </si>
  <si>
    <t>Deflator</t>
  </si>
  <si>
    <t>VT_INS_EmissionFactors</t>
  </si>
  <si>
    <t>ELCCO2N</t>
  </si>
  <si>
    <t>CSET_CN</t>
  </si>
  <si>
    <t>FLO_EMIS</t>
  </si>
  <si>
    <t>CO2Captured,ELCCO2-Seq</t>
  </si>
  <si>
    <t>ELCCOA</t>
  </si>
  <si>
    <t>EN_Z*</t>
  </si>
  <si>
    <t>ELCBIO</t>
  </si>
  <si>
    <t>ELCGAS</t>
  </si>
  <si>
    <t>COM_AGG</t>
  </si>
  <si>
    <t>ELCCO2Net</t>
  </si>
  <si>
    <t>ELCCO2-Seq</t>
  </si>
  <si>
    <t>VT_DINS_Sector_LoadShapes_tr</t>
  </si>
  <si>
    <t>DeACT UC_T: 2020</t>
  </si>
  <si>
    <t>PSET_SET</t>
  </si>
  <si>
    <t>NCAP_BND</t>
  </si>
  <si>
    <t>ELESOL-N</t>
  </si>
  <si>
    <t>*C08*</t>
  </si>
  <si>
    <t>AFA</t>
  </si>
  <si>
    <t>ELEWIN-N</t>
  </si>
  <si>
    <t>Discount Rate</t>
  </si>
  <si>
    <t>Workbook purpose and data sources:</t>
  </si>
  <si>
    <t>Constants: peak reserve requirement by region (ad hoc user assumption, may be modified)</t>
  </si>
  <si>
    <t>Constants: G_Dyear is model base year for discounting. No reason to modify this</t>
  </si>
  <si>
    <t>Constants: conversion factors for different year dollars. Read from restart file</t>
  </si>
  <si>
    <t>Wind costs: multipliers for different distance/depth classes for wind. User assumptions. May be modified</t>
  </si>
  <si>
    <t>YRFRs: G_YRFR is Fraction of the year in each timeslice. Written by MIG based on user settings in the Aggregation Controller. Do not modify here.</t>
  </si>
  <si>
    <t>YRFRs: COM_IE is transmission efficiency. This is written by the MIG based on IEA data, but is overwrittem by scenario T-D losses.</t>
  </si>
  <si>
    <t>YRFRs: Sector load shapes for RSD/COM/IND are created by the MIG based on recipes described in Load Shape Archetypes memo/workbook. These shapes are stored by country in the database for countries with load data. Country assisgnments for countries without data are made in the Aggregation Controller. Do not modify here.</t>
  </si>
  <si>
    <r>
      <t>YRFRs: LDV sector load shapes are based on two archetypes in file</t>
    </r>
    <r>
      <rPr>
        <i/>
        <sz val="11"/>
        <color indexed="8"/>
        <rFont val="Calibri"/>
        <family val="2"/>
      </rPr>
      <t xml:space="preserve"> NREL_EV_charge_profiles</t>
    </r>
    <r>
      <rPr>
        <sz val="11"/>
        <color theme="1"/>
        <rFont val="Calibri"/>
        <family val="2"/>
        <scheme val="minor"/>
      </rPr>
      <t>. User sets the share of smart vs dumb charging in the Aggregation Controller. Do not modify here.</t>
    </r>
  </si>
  <si>
    <t>Emission Factors: read from restart file. Do not modify</t>
  </si>
  <si>
    <t>WEPSp Demand: read from restart file. Do not modify</t>
  </si>
  <si>
    <t>Emission - CCS: sets up emissions accounting for CCS techs, with 90% capture rate for coal and gas and 80% for bio.These assumptions may be modified.</t>
  </si>
  <si>
    <t>Non-decreasing wind: The non-decreasing wind constraint is deactivated, now that wind LIFE is long enough to prevent retirements</t>
  </si>
  <si>
    <t xml:space="preserve">Non-decreasing wind: Two assumptions were made here during IEO reference case development that should be checked and probably revised: </t>
  </si>
  <si>
    <t>Class 8 solar is bounded out. Evidently there was too much of it coming in. This was a quick fix that should be further investigated.</t>
  </si>
  <si>
    <t>Annual wind CF is capped at 0.4. Wind CFs should be checked to see if some regions have excessive CFs.</t>
  </si>
  <si>
    <r>
      <t xml:space="preserve">HydroCF: Seasonal AFS for existing hydro, calculated by the MIG as the capacity weighted average of country AFS specified in </t>
    </r>
    <r>
      <rPr>
        <i/>
        <sz val="11"/>
        <color indexed="8"/>
        <rFont val="Calibri"/>
        <family val="2"/>
      </rPr>
      <t>EIA_HydroCapacityFactor</t>
    </r>
    <r>
      <rPr>
        <sz val="11"/>
        <color theme="1"/>
        <rFont val="Calibri"/>
        <family val="2"/>
        <scheme val="minor"/>
      </rPr>
      <t>. Do not modify here.</t>
    </r>
  </si>
  <si>
    <t>This scenario contains core information to be injected into both existing and new technology characteristics, as follows:</t>
  </si>
  <si>
    <t>VT_INS_Heat_load_shapes</t>
  </si>
  <si>
    <t>NCAP_START</t>
  </si>
  <si>
    <t>ELESOL-N,ELEWIN-N</t>
  </si>
  <si>
    <t>year</t>
  </si>
  <si>
    <t>USD15</t>
  </si>
  <si>
    <t>Sno</t>
  </si>
  <si>
    <t>Value</t>
  </si>
  <si>
    <t>CmdF_GAMS</t>
  </si>
  <si>
    <t>lo=2</t>
  </si>
  <si>
    <t>will suppress log output in CMD window</t>
  </si>
  <si>
    <t>CmdF_Title</t>
  </si>
  <si>
    <t>will suppress title of CMD window</t>
  </si>
  <si>
    <t>*These options will be written to the CMD file in restart folder case</t>
  </si>
  <si>
    <t>RUS</t>
  </si>
  <si>
    <t>EFF</t>
  </si>
  <si>
    <t>ELCSOL,ELCWIN,ELCHYD</t>
  </si>
  <si>
    <t>varbl</t>
  </si>
  <si>
    <t>region</t>
  </si>
  <si>
    <t>value</t>
  </si>
  <si>
    <t>hmacgdpd</t>
  </si>
  <si>
    <t>USA</t>
  </si>
  <si>
    <t>AFR_N</t>
  </si>
  <si>
    <t>AFR_S</t>
  </si>
  <si>
    <t>ANZ</t>
  </si>
  <si>
    <t>BRZ</t>
  </si>
  <si>
    <t>CAN</t>
  </si>
  <si>
    <t>CHI</t>
  </si>
  <si>
    <t>CSA</t>
  </si>
  <si>
    <t>EUR</t>
  </si>
  <si>
    <t>IND</t>
  </si>
  <si>
    <t>JPN</t>
  </si>
  <si>
    <t>MID</t>
  </si>
  <si>
    <t>OAS</t>
  </si>
  <si>
    <t>URA</t>
  </si>
  <si>
    <t>VDA_EMCB</t>
  </si>
  <si>
    <t>ELE,CHP</t>
  </si>
  <si>
    <t>ELCCOA*</t>
  </si>
  <si>
    <t>ELCOIL</t>
  </si>
  <si>
    <t>ELCOIL_DST</t>
  </si>
  <si>
    <t>Region</t>
  </si>
  <si>
    <t>F</t>
  </si>
  <si>
    <t>AFS</t>
  </si>
  <si>
    <t>EP_Hyd-HY</t>
  </si>
  <si>
    <t>EP_Hyd-Tidal</t>
  </si>
  <si>
    <t>R</t>
  </si>
  <si>
    <t>S</t>
  </si>
  <si>
    <t>W</t>
  </si>
  <si>
    <t>ANNUAL</t>
  </si>
  <si>
    <t>COM_PROJ</t>
  </si>
  <si>
    <t>DEMelcm</t>
  </si>
  <si>
    <t>DEMelin</t>
  </si>
  <si>
    <t>DEMelrs</t>
  </si>
  <si>
    <t>DEMeltr</t>
  </si>
  <si>
    <t>DEMhtin</t>
  </si>
  <si>
    <t>DEMhtcm</t>
  </si>
  <si>
    <t>DEMhtrs</t>
  </si>
  <si>
    <t>COM_IE</t>
  </si>
  <si>
    <t>COM_FR</t>
  </si>
  <si>
    <t>FD</t>
  </si>
  <si>
    <t>FN</t>
  </si>
  <si>
    <t>FP</t>
  </si>
  <si>
    <t>RD</t>
  </si>
  <si>
    <t>RN</t>
  </si>
  <si>
    <t>RP</t>
  </si>
  <si>
    <t>SD</t>
  </si>
  <si>
    <t>SN</t>
  </si>
  <si>
    <t>SP</t>
  </si>
  <si>
    <t>WD</t>
  </si>
  <si>
    <t>WN</t>
  </si>
  <si>
    <t>WP</t>
  </si>
  <si>
    <t>G_YRFR</t>
  </si>
  <si>
    <t>Demht*,-*in</t>
  </si>
  <si>
    <t>*WOF*,-*tran_near*,-*shal_near*</t>
  </si>
  <si>
    <t>DeactivatedTFM_INS</t>
  </si>
  <si>
    <t>*Region name</t>
  </si>
  <si>
    <t>Commodity name</t>
  </si>
  <si>
    <t>Demand projection</t>
  </si>
  <si>
    <t>*units</t>
  </si>
  <si>
    <t>TBTu</t>
  </si>
  <si>
    <t>AFR</t>
  </si>
  <si>
    <t>Industrial hydrogen demand</t>
  </si>
  <si>
    <t>Transport hydrogen demand</t>
  </si>
  <si>
    <t>DEMH2in</t>
  </si>
  <si>
    <t>DEMH2tr</t>
  </si>
  <si>
    <t>VT_INS_Hydrogen_loadShapes_tr</t>
  </si>
  <si>
    <t>VT_INS_Hydrogen_loadShapes_in</t>
  </si>
  <si>
    <t>SUPCO2N</t>
  </si>
  <si>
    <t>GASNAT</t>
  </si>
  <si>
    <t>CO2Captured,SUPCO2-Seq</t>
  </si>
  <si>
    <t>*RETCCS</t>
  </si>
  <si>
    <t>SUPCO2Net</t>
  </si>
  <si>
    <t>SUPCO2-Seq</t>
  </si>
  <si>
    <t>Pset_PN</t>
  </si>
  <si>
    <t>SGASH2*</t>
  </si>
  <si>
    <t>Demands to activate</t>
  </si>
  <si>
    <t>Sector</t>
  </si>
  <si>
    <t>Com_PROJ</t>
  </si>
  <si>
    <t>Historic values</t>
  </si>
  <si>
    <t>Calculated</t>
  </si>
  <si>
    <t xml:space="preserve">calculted </t>
  </si>
  <si>
    <t>TOTCO2Net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</si>
</sst>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164" formatCode="_-* #,##0_-;\-* #,##0_-;_-* &quot;-&quot;_-;_-@_-"/>
    <numFmt numFmtId="165" formatCode="_-* #,##0.00_-;\-* #,##0.00_-;_-* &quot;-&quot;??_-;_-@_-"/>
    <numFmt numFmtId="166" formatCode="_-* #,##0.00\ _€_-;\-* #,##0.00\ _€_-;_-* &quot;-&quot;??\ _€_-;_-@_-"/>
    <numFmt numFmtId="167" formatCode="0.0%"/>
    <numFmt numFmtId="168" formatCode="_ &quot;kr&quot;\ * #,##0_ ;_ &quot;kr&quot;\ * \-#,##0_ ;_ &quot;kr&quot;\ * &quot;-&quot;_ ;_ @_ "/>
    <numFmt numFmtId="169" formatCode="_ &quot;kr&quot;\ * #,##0.00_ ;_ &quot;kr&quot;\ * \-#,##0.00_ ;_ &quot;kr&quot;\ * &quot;-&quot;??_ ;_ @_ "/>
    <numFmt numFmtId="170" formatCode="_([$€]* #,##0.00_);_([$€]* \(#,##0.00\);_([$€]* &quot;-&quot;??_);_(@_)"/>
    <numFmt numFmtId="171" formatCode="_-[$€-2]\ * #,##0.00_-;\-[$€-2]\ * #,##0.00_-;_-[$€-2]\ * &quot;-&quot;??_-"/>
    <numFmt numFmtId="172" formatCode="#,##0;\-\ #,##0;_-\ &quot;- &quot;"/>
    <numFmt numFmtId="173" formatCode="_-&quot;€&quot;\ * #,##0.00_-;\-&quot;€&quot;\ * #,##0.00_-;_-&quot;€&quot;\ * &quot;-&quot;??_-;_-@_-"/>
    <numFmt numFmtId="174" formatCode="_-&quot;$&quot;* #,##0.00_-;\-&quot;$&quot;* #,##0.00_-;_-&quot;$&quot;* &quot;-&quot;??_-;_-@_-"/>
    <numFmt numFmtId="175" formatCode="_([$€-2]* #,##0.00_);_([$€-2]* \(#,##0.00\);_([$€-2]* &quot;-&quot;??_)"/>
    <numFmt numFmtId="176" formatCode="General_)"/>
    <numFmt numFmtId="177" formatCode="_-[$€]* #,##0.00_-;\-[$€]* #,##0.00_-;_-[$€]* &quot;-&quot;??_-;_-@_-"/>
  </numFmts>
  <fonts count="54">
    <font>
      <sz val="11"/>
      <color theme="1"/>
      <name val="Calibri"/>
      <family val="2"/>
      <scheme val="minor"/>
    </font>
    <font>
      <sz val="11"/>
      <color indexed="8"/>
      <name val="Calibri"/>
      <family val="2"/>
    </font>
    <font>
      <sz val="10"/>
      <name val="Arial"/>
      <family val="2"/>
    </font>
    <font>
      <sz val="10"/>
      <name val="Arial"/>
      <family val="2"/>
    </font>
    <font>
      <sz val="9"/>
      <color indexed="81"/>
      <name val="Tahoma"/>
      <family val="2"/>
    </font>
    <font>
      <b/>
      <sz val="9"/>
      <color indexed="81"/>
      <name val="Tahoma"/>
      <family val="2"/>
    </font>
    <font>
      <sz val="10"/>
      <name val="Arial"/>
      <family val="2"/>
    </font>
    <font>
      <b/>
      <sz val="11"/>
      <color indexed="8"/>
      <name val="Calibri"/>
      <family val="2"/>
    </font>
    <font>
      <i/>
      <sz val="11"/>
      <color indexed="8"/>
      <name val="Calibri"/>
      <family val="2"/>
    </font>
    <font>
      <sz val="11"/>
      <color rgb="FF3F3F76"/>
      <name val="Calibri"/>
      <family val="2"/>
      <scheme val="minor"/>
    </font>
    <font>
      <sz val="11"/>
      <color rgb="FF9C6500"/>
      <name val="Calibri"/>
      <family val="2"/>
      <scheme val="minor"/>
    </font>
    <font>
      <b/>
      <sz val="11"/>
      <color theme="1"/>
      <name val="Calibri"/>
      <family val="2"/>
      <scheme val="minor"/>
    </font>
    <font>
      <sz val="11"/>
      <color rgb="FFFF0000"/>
      <name val="Calibri"/>
      <family val="2"/>
      <scheme val="minor"/>
    </font>
    <font>
      <b/>
      <sz val="11"/>
      <color rgb="FF3F3F76"/>
      <name val="Calibri"/>
      <family val="2"/>
      <scheme val="minor"/>
    </font>
    <font>
      <b/>
      <i/>
      <sz val="11"/>
      <color theme="1"/>
      <name val="Calibri"/>
      <family val="2"/>
      <scheme val="minor"/>
    </font>
    <font>
      <sz val="8"/>
      <name val="Calibri"/>
      <family val="2"/>
      <scheme val="minor"/>
    </font>
    <font>
      <sz val="9"/>
      <color indexed="81"/>
      <name val="Tahoma"/>
      <charset val="1"/>
    </font>
    <font>
      <b/>
      <sz val="9"/>
      <color indexed="81"/>
      <name val="Tahoma"/>
      <charset val="1"/>
    </font>
    <font>
      <b/>
      <sz val="11"/>
      <color theme="8"/>
      <name val="Calibri"/>
      <family val="2"/>
      <scheme val="minor"/>
    </font>
    <font>
      <sz val="11"/>
      <color theme="1"/>
      <name val="Calibri"/>
      <family val="2"/>
      <scheme val="minor"/>
    </font>
    <font>
      <sz val="10"/>
      <name val="Arial"/>
    </font>
    <font>
      <b/>
      <sz val="10"/>
      <name val="Arial"/>
      <family val="2"/>
    </font>
    <font>
      <sz val="11"/>
      <color indexed="60"/>
      <name val="Calibri"/>
      <family val="2"/>
    </font>
    <font>
      <sz val="10"/>
      <name val="Courier"/>
      <family val="3"/>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sz val="11"/>
      <color indexed="10"/>
      <name val="Calibri"/>
      <family val="2"/>
    </font>
    <font>
      <sz val="8"/>
      <color indexed="9"/>
      <name val="Arial"/>
      <family val="2"/>
    </font>
    <font>
      <sz val="10"/>
      <name val="Helvetica"/>
    </font>
    <font>
      <b/>
      <sz val="12"/>
      <name val="Arial"/>
      <family val="2"/>
    </font>
    <font>
      <sz val="9"/>
      <color indexed="8"/>
      <name val="Times New Roman"/>
      <family val="1"/>
    </font>
    <font>
      <sz val="9"/>
      <name val="Times New Roman"/>
      <family val="1"/>
    </font>
    <font>
      <b/>
      <sz val="9"/>
      <name val="Times New Roman"/>
      <family val="1"/>
    </font>
    <font>
      <b/>
      <sz val="11"/>
      <color indexed="10"/>
      <name val="Calibri"/>
      <family val="2"/>
    </font>
    <font>
      <sz val="10"/>
      <name val="MS Sans Serif"/>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b/>
      <sz val="18"/>
      <color indexed="62"/>
      <name val="Cambria"/>
      <family val="2"/>
    </font>
    <font>
      <u/>
      <sz val="12"/>
      <color indexed="20"/>
      <name val="宋体"/>
      <charset val="134"/>
    </font>
    <font>
      <sz val="10"/>
      <color indexed="8"/>
      <name val="Arial"/>
      <family val="2"/>
    </font>
  </fonts>
  <fills count="40">
    <fill>
      <patternFill patternType="none"/>
    </fill>
    <fill>
      <patternFill patternType="gray125"/>
    </fill>
    <fill>
      <patternFill patternType="solid">
        <fgColor indexed="51"/>
        <bgColor indexed="64"/>
      </patternFill>
    </fill>
    <fill>
      <patternFill patternType="solid">
        <fgColor indexed="13"/>
        <bgColor indexed="64"/>
      </patternFill>
    </fill>
    <fill>
      <patternFill patternType="solid">
        <fgColor rgb="FFFFCC99"/>
      </patternFill>
    </fill>
    <fill>
      <patternFill patternType="solid">
        <fgColor rgb="FFFFEB9C"/>
      </patternFill>
    </fill>
    <fill>
      <patternFill patternType="solid">
        <fgColor rgb="FFFFC000"/>
        <bgColor indexed="64"/>
      </patternFill>
    </fill>
    <fill>
      <patternFill patternType="solid">
        <fgColor theme="8"/>
        <bgColor indexed="64"/>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55"/>
        <bgColor indexed="64"/>
      </patternFill>
    </fill>
    <fill>
      <patternFill patternType="solid">
        <fgColor indexed="63"/>
        <bgColor indexed="64"/>
      </patternFill>
    </fill>
    <fill>
      <patternFill patternType="solid">
        <fgColor indexed="6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s>
  <borders count="22">
    <border>
      <left/>
      <right/>
      <top/>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bottom style="thin">
        <color indexed="64"/>
      </bottom>
      <diagonal/>
    </border>
    <border>
      <left/>
      <right/>
      <top style="thin">
        <color indexed="64"/>
      </top>
      <bottom style="medium">
        <color indexed="64"/>
      </bottom>
      <diagonal/>
    </border>
  </borders>
  <cellStyleXfs count="1994">
    <xf numFmtId="0" fontId="0" fillId="0" borderId="0"/>
    <xf numFmtId="0" fontId="9" fillId="4" borderId="1" applyNumberFormat="0" applyAlignment="0" applyProtection="0"/>
    <xf numFmtId="0" fontId="10" fillId="5" borderId="0" applyNumberFormat="0" applyBorder="0" applyAlignment="0" applyProtection="0"/>
    <xf numFmtId="0" fontId="2" fillId="0" borderId="0"/>
    <xf numFmtId="0" fontId="3" fillId="0" borderId="0"/>
    <xf numFmtId="0" fontId="2" fillId="0" borderId="0"/>
    <xf numFmtId="0" fontId="20" fillId="0" borderId="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9"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0" borderId="0" applyNumberFormat="0" applyFont="0" applyFill="0" applyBorder="0" applyProtection="0">
      <alignment horizontal="left" vertical="center" indent="5"/>
    </xf>
    <xf numFmtId="0" fontId="24" fillId="20"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17"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22"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23"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24"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8"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22"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1"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4" fontId="41" fillId="30" borderId="4">
      <alignment horizontal="right" vertical="center"/>
    </xf>
    <xf numFmtId="4" fontId="41" fillId="30" borderId="4">
      <alignment horizontal="right" vertical="center"/>
    </xf>
    <xf numFmtId="0" fontId="25" fillId="10"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6" fillId="31" borderId="5" applyNumberFormat="0" applyAlignment="0" applyProtection="0"/>
    <xf numFmtId="0" fontId="44" fillId="32" borderId="5" applyNumberFormat="0" applyAlignment="0" applyProtection="0"/>
    <xf numFmtId="0" fontId="44" fillId="32" borderId="5" applyNumberFormat="0" applyAlignment="0" applyProtection="0"/>
    <xf numFmtId="0" fontId="44" fillId="32" borderId="5" applyNumberFormat="0" applyAlignment="0" applyProtection="0"/>
    <xf numFmtId="0" fontId="44" fillId="32" borderId="5" applyNumberFormat="0" applyAlignment="0" applyProtection="0"/>
    <xf numFmtId="0" fontId="44" fillId="32" borderId="5" applyNumberFormat="0" applyAlignment="0" applyProtection="0"/>
    <xf numFmtId="0" fontId="44" fillId="32" borderId="5" applyNumberFormat="0" applyAlignment="0" applyProtection="0"/>
    <xf numFmtId="0" fontId="44" fillId="32" borderId="5" applyNumberFormat="0" applyAlignment="0" applyProtection="0"/>
    <xf numFmtId="0" fontId="44" fillId="32" borderId="5" applyNumberFormat="0" applyAlignment="0" applyProtection="0"/>
    <xf numFmtId="0" fontId="44" fillId="32" borderId="5" applyNumberFormat="0" applyAlignment="0" applyProtection="0"/>
    <xf numFmtId="0" fontId="44" fillId="32" borderId="5"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0" fontId="27" fillId="33" borderId="6" applyNumberFormat="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5" fontId="19"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9"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0" fontId="45"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0" fontId="45"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4" fontId="2" fillId="0" borderId="0" applyFont="0" applyFill="0" applyBorder="0" applyAlignment="0" applyProtection="0"/>
    <xf numFmtId="0" fontId="42" fillId="0" borderId="7">
      <alignment horizontal="left" vertical="center" wrapText="1" indent="2"/>
    </xf>
    <xf numFmtId="170"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7" fontId="2" fillId="0" borderId="0" applyFont="0" applyFill="0" applyBorder="0" applyAlignment="0" applyProtection="0"/>
    <xf numFmtId="171"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0" fontId="2" fillId="0" borderId="0" applyFont="0" applyFill="0" applyBorder="0" applyAlignment="0" applyProtection="0"/>
    <xf numFmtId="177" fontId="2"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30" fillId="0" borderId="8"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46" fillId="0" borderId="9" applyNumberFormat="0" applyFill="0" applyAlignment="0" applyProtection="0"/>
    <xf numFmtId="0" fontId="31" fillId="0" borderId="10"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47" fillId="0" borderId="11" applyNumberFormat="0" applyFill="0" applyAlignment="0" applyProtection="0"/>
    <xf numFmtId="0" fontId="32" fillId="0" borderId="12"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48" fillId="0" borderId="13" applyNumberFormat="0" applyFill="0" applyAlignment="0" applyProtection="0"/>
    <xf numFmtId="0" fontId="32"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33" fillId="15" borderId="5" applyNumberFormat="0" applyAlignment="0" applyProtection="0"/>
    <xf numFmtId="0" fontId="33" fillId="18" borderId="5" applyNumberFormat="0" applyAlignment="0" applyProtection="0"/>
    <xf numFmtId="0" fontId="33" fillId="18" borderId="5" applyNumberFormat="0" applyAlignment="0" applyProtection="0"/>
    <xf numFmtId="0" fontId="33" fillId="18" borderId="5" applyNumberFormat="0" applyAlignment="0" applyProtection="0"/>
    <xf numFmtId="0" fontId="33" fillId="18" borderId="5" applyNumberFormat="0" applyAlignment="0" applyProtection="0"/>
    <xf numFmtId="0" fontId="33" fillId="18" borderId="5" applyNumberFormat="0" applyAlignment="0" applyProtection="0"/>
    <xf numFmtId="0" fontId="33" fillId="18" borderId="5" applyNumberFormat="0" applyAlignment="0" applyProtection="0"/>
    <xf numFmtId="0" fontId="33" fillId="18" borderId="5" applyNumberFormat="0" applyAlignment="0" applyProtection="0"/>
    <xf numFmtId="0" fontId="33" fillId="18" borderId="5" applyNumberFormat="0" applyAlignment="0" applyProtection="0"/>
    <xf numFmtId="0" fontId="33" fillId="18" borderId="5" applyNumberFormat="0" applyAlignment="0" applyProtection="0"/>
    <xf numFmtId="0" fontId="33" fillId="18" borderId="5" applyNumberFormat="0" applyAlignment="0" applyProtection="0"/>
    <xf numFmtId="4" fontId="42" fillId="0" borderId="0" applyBorder="0">
      <alignment horizontal="right" vertical="center"/>
    </xf>
    <xf numFmtId="0" fontId="34" fillId="0" borderId="14"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166" fontId="2" fillId="0" borderId="0" applyFont="0" applyFill="0" applyBorder="0" applyAlignment="0" applyProtection="0"/>
    <xf numFmtId="0" fontId="22"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5" fontId="50" fillId="0" borderId="0">
      <alignment vertical="center"/>
    </xf>
    <xf numFmtId="0" fontId="19" fillId="0" borderId="0"/>
    <xf numFmtId="0" fontId="19" fillId="0" borderId="0"/>
    <xf numFmtId="0" fontId="19" fillId="0" borderId="0"/>
    <xf numFmtId="0" fontId="19" fillId="0" borderId="0"/>
    <xf numFmtId="5" fontId="50" fillId="0" borderId="0">
      <alignment vertical="center"/>
    </xf>
    <xf numFmtId="5" fontId="50" fillId="0" borderId="0">
      <alignment vertical="center"/>
    </xf>
    <xf numFmtId="5" fontId="50" fillId="0" borderId="0">
      <alignment vertical="center"/>
    </xf>
    <xf numFmtId="5" fontId="50"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5" fontId="50" fillId="0" borderId="0">
      <alignment vertical="center"/>
    </xf>
    <xf numFmtId="5" fontId="50" fillId="0" borderId="0">
      <alignment vertical="center"/>
    </xf>
    <xf numFmtId="5" fontId="50"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5" fontId="50" fillId="0" borderId="0">
      <alignment vertical="center"/>
    </xf>
    <xf numFmtId="5" fontId="50" fillId="0" borderId="0">
      <alignment vertical="center"/>
    </xf>
    <xf numFmtId="5" fontId="50" fillId="0" borderId="0">
      <alignment vertical="center"/>
    </xf>
    <xf numFmtId="5" fontId="50" fillId="0" borderId="0">
      <alignment vertical="center"/>
    </xf>
    <xf numFmtId="0" fontId="19" fillId="0" borderId="0"/>
    <xf numFmtId="167" fontId="50"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2" fillId="0" borderId="0"/>
    <xf numFmtId="0" fontId="2" fillId="0" borderId="0"/>
    <xf numFmtId="0" fontId="2" fillId="0" borderId="0"/>
    <xf numFmtId="0" fontId="2" fillId="0" borderId="0"/>
    <xf numFmtId="167" fontId="50" fillId="0" borderId="0">
      <alignment vertical="center"/>
    </xf>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176" fontId="50" fillId="0" borderId="0">
      <alignment vertical="center"/>
    </xf>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 fontId="42" fillId="0" borderId="4" applyFill="0" applyBorder="0" applyProtection="0">
      <alignment horizontal="right" vertical="center"/>
    </xf>
    <xf numFmtId="0" fontId="43" fillId="0" borderId="0" applyNumberFormat="0" applyFill="0" applyBorder="0" applyProtection="0">
      <alignment horizontal="left" vertical="center"/>
    </xf>
    <xf numFmtId="0" fontId="2" fillId="34" borderId="0" applyNumberFormat="0" applyFont="0" applyBorder="0" applyAlignment="0" applyProtection="0"/>
    <xf numFmtId="0" fontId="23" fillId="0" borderId="0"/>
    <xf numFmtId="0" fontId="1"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0" fontId="2" fillId="13" borderId="16" applyNumberFormat="0" applyFont="0" applyAlignment="0" applyProtection="0"/>
    <xf numFmtId="172" fontId="2" fillId="0" borderId="0" applyFont="0" applyFill="0" applyBorder="0" applyAlignment="0" applyProtection="0"/>
    <xf numFmtId="172" fontId="2" fillId="0" borderId="0" applyFont="0" applyFill="0" applyBorder="0" applyAlignment="0" applyProtection="0"/>
    <xf numFmtId="0" fontId="35" fillId="31" borderId="17" applyNumberFormat="0" applyAlignment="0" applyProtection="0"/>
    <xf numFmtId="0" fontId="35" fillId="32" borderId="17" applyNumberFormat="0" applyAlignment="0" applyProtection="0"/>
    <xf numFmtId="0" fontId="35" fillId="32" borderId="17" applyNumberFormat="0" applyAlignment="0" applyProtection="0"/>
    <xf numFmtId="0" fontId="35" fillId="32" borderId="17" applyNumberFormat="0" applyAlignment="0" applyProtection="0"/>
    <xf numFmtId="0" fontId="35" fillId="32" borderId="17" applyNumberFormat="0" applyAlignment="0" applyProtection="0"/>
    <xf numFmtId="0" fontId="35" fillId="32" borderId="17" applyNumberFormat="0" applyAlignment="0" applyProtection="0"/>
    <xf numFmtId="0" fontId="35" fillId="32" borderId="17" applyNumberFormat="0" applyAlignment="0" applyProtection="0"/>
    <xf numFmtId="0" fontId="35" fillId="32" borderId="17" applyNumberFormat="0" applyAlignment="0" applyProtection="0"/>
    <xf numFmtId="0" fontId="35" fillId="32" borderId="17" applyNumberFormat="0" applyAlignment="0" applyProtection="0"/>
    <xf numFmtId="0" fontId="35" fillId="32" borderId="17" applyNumberFormat="0" applyAlignment="0" applyProtection="0"/>
    <xf numFmtId="0" fontId="35" fillId="32" borderId="17"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5" fontId="39" fillId="0" borderId="0" applyFont="0" applyFill="0" applyBorder="0" applyAlignment="0" applyProtection="0"/>
    <xf numFmtId="164" fontId="39" fillId="0" borderId="0" applyFont="0" applyFill="0" applyBorder="0" applyAlignment="0" applyProtection="0"/>
    <xf numFmtId="168" fontId="39" fillId="0" borderId="0" applyFont="0" applyFill="0" applyBorder="0" applyAlignment="0" applyProtection="0"/>
    <xf numFmtId="0" fontId="2" fillId="0" borderId="0"/>
    <xf numFmtId="0" fontId="2" fillId="0" borderId="4" applyNumberFormat="0" applyFill="0" applyProtection="0">
      <alignment horizontal="right"/>
    </xf>
    <xf numFmtId="0" fontId="2" fillId="0" borderId="4" applyNumberFormat="0" applyFill="0" applyProtection="0">
      <alignment horizontal="right"/>
    </xf>
    <xf numFmtId="0" fontId="2" fillId="0" borderId="4" applyNumberFormat="0" applyFill="0" applyProtection="0">
      <alignment horizontal="right"/>
    </xf>
    <xf numFmtId="0" fontId="2" fillId="0" borderId="4" applyNumberFormat="0" applyFill="0" applyProtection="0">
      <alignment horizontal="right"/>
    </xf>
    <xf numFmtId="0" fontId="21" fillId="35" borderId="4" applyNumberFormat="0" applyProtection="0">
      <alignment horizontal="right"/>
    </xf>
    <xf numFmtId="0" fontId="40" fillId="35" borderId="0" applyNumberFormat="0" applyBorder="0" applyProtection="0">
      <alignment horizontal="left"/>
    </xf>
    <xf numFmtId="0" fontId="21" fillId="35" borderId="4" applyNumberFormat="0" applyProtection="0">
      <alignment horizontal="left"/>
    </xf>
    <xf numFmtId="0" fontId="2" fillId="0" borderId="4" applyNumberFormat="0" applyFill="0" applyProtection="0">
      <alignment horizontal="right"/>
    </xf>
    <xf numFmtId="0" fontId="2" fillId="0" borderId="4" applyNumberFormat="0" applyFill="0" applyProtection="0">
      <alignment horizontal="right"/>
    </xf>
    <xf numFmtId="0" fontId="2" fillId="0" borderId="4" applyNumberFormat="0" applyFill="0" applyProtection="0">
      <alignment horizontal="right"/>
    </xf>
    <xf numFmtId="0" fontId="2" fillId="0" borderId="4" applyNumberFormat="0" applyFill="0" applyProtection="0">
      <alignment horizontal="right"/>
    </xf>
    <xf numFmtId="0" fontId="38" fillId="36" borderId="0" applyNumberFormat="0" applyBorder="0" applyProtection="0">
      <alignment horizontal="left"/>
    </xf>
    <xf numFmtId="0" fontId="36"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7" fillId="0" borderId="18"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0" fontId="7" fillId="0" borderId="19" applyNumberFormat="0" applyFill="0" applyAlignment="0" applyProtection="0"/>
    <xf numFmtId="169" fontId="39" fillId="0" borderId="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4" fontId="42" fillId="0" borderId="0"/>
    <xf numFmtId="0" fontId="52" fillId="0" borderId="0" applyNumberFormat="0" applyFill="0" applyBorder="0" applyAlignment="0" applyProtection="0">
      <alignment vertical="center"/>
    </xf>
    <xf numFmtId="0" fontId="19" fillId="0" borderId="0"/>
    <xf numFmtId="0" fontId="2" fillId="0" borderId="0"/>
    <xf numFmtId="0" fontId="20"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9" fontId="19" fillId="0" borderId="0" applyFont="0" applyFill="0" applyBorder="0" applyAlignment="0" applyProtection="0"/>
  </cellStyleXfs>
  <cellXfs count="45">
    <xf numFmtId="0" fontId="0" fillId="0" borderId="0" xfId="0"/>
    <xf numFmtId="0" fontId="6" fillId="0" borderId="0" xfId="4" applyFont="1"/>
    <xf numFmtId="0" fontId="7" fillId="2" borderId="0" xfId="4" applyFont="1" applyFill="1"/>
    <xf numFmtId="0" fontId="7" fillId="3" borderId="0" xfId="4" applyFont="1" applyFill="1"/>
    <xf numFmtId="2" fontId="6" fillId="0" borderId="0" xfId="4" applyNumberFormat="1" applyFont="1"/>
    <xf numFmtId="0" fontId="2" fillId="0" borderId="0" xfId="4" applyFont="1"/>
    <xf numFmtId="0" fontId="10" fillId="5" borderId="0" xfId="2"/>
    <xf numFmtId="0" fontId="1" fillId="0" borderId="0" xfId="0" applyNumberFormat="1" applyFont="1" applyFill="1" applyBorder="1" applyAlignment="1" applyProtection="1"/>
    <xf numFmtId="0" fontId="13" fillId="4" borderId="1" xfId="1" applyFont="1"/>
    <xf numFmtId="0" fontId="11" fillId="0" borderId="0" xfId="0" applyFont="1"/>
    <xf numFmtId="0" fontId="0" fillId="0" borderId="0" xfId="0" applyFont="1"/>
    <xf numFmtId="0" fontId="12" fillId="0" borderId="0" xfId="0" applyFont="1"/>
    <xf numFmtId="0" fontId="14" fillId="0" borderId="0" xfId="0" applyFont="1"/>
    <xf numFmtId="0" fontId="0" fillId="0" borderId="0" xfId="0"/>
    <xf numFmtId="2" fontId="10" fillId="5" borderId="0" xfId="2" applyNumberFormat="1"/>
    <xf numFmtId="0" fontId="2" fillId="0" borderId="0" xfId="5" applyFont="1"/>
    <xf numFmtId="0" fontId="10" fillId="5" borderId="0" xfId="2"/>
    <xf numFmtId="0" fontId="0" fillId="0" borderId="0" xfId="0" quotePrefix="1"/>
    <xf numFmtId="0" fontId="0" fillId="0" borderId="0" xfId="0"/>
    <xf numFmtId="0" fontId="18" fillId="0" borderId="0" xfId="0" applyFont="1"/>
    <xf numFmtId="0" fontId="0" fillId="6" borderId="2" xfId="0" applyFill="1" applyBorder="1"/>
    <xf numFmtId="0" fontId="0" fillId="7" borderId="3" xfId="0" applyFill="1" applyBorder="1" applyAlignment="1">
      <alignment horizontal="center" vertical="center"/>
    </xf>
    <xf numFmtId="0" fontId="0" fillId="7" borderId="3" xfId="0" applyFill="1" applyBorder="1" applyAlignment="1">
      <alignment horizontal="center" vertical="center" wrapText="1"/>
    </xf>
    <xf numFmtId="0" fontId="0" fillId="7" borderId="0" xfId="0" applyFill="1" applyBorder="1" applyAlignment="1">
      <alignment horizontal="center" vertical="center"/>
    </xf>
    <xf numFmtId="0" fontId="0" fillId="7" borderId="0" xfId="0" applyFill="1" applyBorder="1" applyAlignment="1">
      <alignment horizontal="center" vertical="center" wrapText="1"/>
    </xf>
    <xf numFmtId="0" fontId="0" fillId="37" borderId="0" xfId="0" applyFill="1" applyBorder="1"/>
    <xf numFmtId="0" fontId="0" fillId="37" borderId="20" xfId="0" applyFill="1" applyBorder="1"/>
    <xf numFmtId="0" fontId="0" fillId="37" borderId="2" xfId="0" applyFill="1" applyBorder="1"/>
    <xf numFmtId="0" fontId="20" fillId="0" borderId="0" xfId="1794"/>
    <xf numFmtId="0" fontId="20" fillId="0" borderId="0" xfId="1794" applyFill="1"/>
    <xf numFmtId="0" fontId="21" fillId="2" borderId="21" xfId="1794" applyFont="1" applyFill="1" applyBorder="1"/>
    <xf numFmtId="0" fontId="20" fillId="38" borderId="0" xfId="1794" applyFill="1"/>
    <xf numFmtId="0" fontId="53" fillId="38" borderId="0" xfId="1794" applyFont="1" applyFill="1"/>
    <xf numFmtId="0" fontId="2" fillId="38" borderId="0" xfId="1794" applyFont="1" applyFill="1"/>
    <xf numFmtId="0" fontId="2" fillId="38" borderId="0" xfId="3" applyFill="1"/>
    <xf numFmtId="2" fontId="53" fillId="38" borderId="0" xfId="1794" applyNumberFormat="1" applyFont="1" applyFill="1"/>
    <xf numFmtId="0" fontId="0" fillId="0" borderId="0" xfId="0"/>
    <xf numFmtId="0" fontId="0" fillId="39" borderId="0" xfId="0" applyFill="1"/>
    <xf numFmtId="9" fontId="0" fillId="39" borderId="0" xfId="1993" applyFont="1" applyFill="1"/>
    <xf numFmtId="0" fontId="0" fillId="6" borderId="0" xfId="0" applyFill="1" applyBorder="1"/>
    <xf numFmtId="0" fontId="0" fillId="0" borderId="0" xfId="0"/>
    <xf numFmtId="9" fontId="0" fillId="0" borderId="0" xfId="1993" applyFont="1"/>
    <xf numFmtId="0" fontId="0" fillId="0" borderId="0" xfId="0"/>
    <xf numFmtId="0" fontId="0" fillId="7" borderId="0" xfId="0" applyFill="1" applyAlignment="1">
      <alignment horizontal="center" vertical="center"/>
    </xf>
    <xf numFmtId="0" fontId="0" fillId="7" borderId="0" xfId="0" applyFill="1" applyAlignment="1">
      <alignment horizontal="center" vertical="center" wrapText="1"/>
    </xf>
  </cellXfs>
  <cellStyles count="1994">
    <cellStyle name="20% - Accent1 2" xfId="7" xr:uid="{F0D63C77-978A-4D7C-9E87-2E42A2DFBF6D}"/>
    <cellStyle name="20% - Accent1 2 10" xfId="8" xr:uid="{D3ACD579-CDD9-4B5B-9994-A9B75A83F14C}"/>
    <cellStyle name="20% - Accent1 2 11" xfId="9" xr:uid="{9CAA244D-90CF-46B6-AE10-5A55910E0A2D}"/>
    <cellStyle name="20% - Accent1 2 12" xfId="10" xr:uid="{1284786F-DD18-4649-ACBD-4C706FF52C28}"/>
    <cellStyle name="20% - Accent1 2 13" xfId="11" xr:uid="{904F6432-CF37-49BA-ADE7-504FDA34A202}"/>
    <cellStyle name="20% - Accent1 2 14" xfId="12" xr:uid="{30B184A8-84CF-42FA-90F8-125A050D76E9}"/>
    <cellStyle name="20% - Accent1 2 15" xfId="13" xr:uid="{1B0B0BA9-950E-4702-A53A-318A783E0155}"/>
    <cellStyle name="20% - Accent1 2 2" xfId="14" xr:uid="{167FF21A-1709-444F-A851-752A763C7E01}"/>
    <cellStyle name="20% - Accent1 2 3" xfId="15" xr:uid="{A76EBDE6-8036-4D87-A3DF-96CF643C232D}"/>
    <cellStyle name="20% - Accent1 2 4" xfId="16" xr:uid="{9AA00422-E35D-4AD9-8E09-A12467674719}"/>
    <cellStyle name="20% - Accent1 2 5" xfId="17" xr:uid="{0AC8D9FC-603F-4FB0-8B07-F05F74AC901E}"/>
    <cellStyle name="20% - Accent1 2 6" xfId="18" xr:uid="{E4B74E8C-6246-466B-9DDD-302A0DCFA800}"/>
    <cellStyle name="20% - Accent1 2 7" xfId="19" xr:uid="{EB48576C-01D1-487A-A428-038CEB51B72E}"/>
    <cellStyle name="20% - Accent1 2 8" xfId="20" xr:uid="{702665D9-A1AE-43F3-8530-88520285880E}"/>
    <cellStyle name="20% - Accent1 2 9" xfId="21" xr:uid="{59C5747E-485E-40E5-9B7B-855268138220}"/>
    <cellStyle name="20% - Accent1 3" xfId="22" xr:uid="{10C8B3FA-5B7C-4638-A36C-1389A2ABA23E}"/>
    <cellStyle name="20% - Accent1 4" xfId="23" xr:uid="{D675A1E8-89F8-4072-8948-F5EB22274C94}"/>
    <cellStyle name="20% - Accent1 5" xfId="24" xr:uid="{0EE719E7-705E-433E-B831-0469FDDD60BA}"/>
    <cellStyle name="20% - Accent1 6" xfId="25" xr:uid="{1EC6110D-2763-476B-B81D-B8D88BADA2E5}"/>
    <cellStyle name="20% - Accent1 7" xfId="26" xr:uid="{D3C4468B-2B53-4D57-AD31-5F86363883B2}"/>
    <cellStyle name="20% - Accent1 8" xfId="27" xr:uid="{8C6591E8-1C15-448D-9BF2-B55AABF3CA82}"/>
    <cellStyle name="20% - Accent2 2" xfId="28" xr:uid="{74B73837-1FB0-4852-BFD6-A97102EDD3BC}"/>
    <cellStyle name="20% - Accent2 2 10" xfId="29" xr:uid="{A7DBFD7B-3D52-4F1A-9E99-8821CDC03B3A}"/>
    <cellStyle name="20% - Accent2 2 11" xfId="30" xr:uid="{E9360603-88FF-4FEE-A154-7B12374E3171}"/>
    <cellStyle name="20% - Accent2 2 12" xfId="31" xr:uid="{D14D773B-019B-4BFC-B03B-CCC98A3CDC8F}"/>
    <cellStyle name="20% - Accent2 2 13" xfId="32" xr:uid="{70856D87-7070-4E43-A3D6-9100D5CBF19F}"/>
    <cellStyle name="20% - Accent2 2 14" xfId="33" xr:uid="{5840D967-2D30-4FE1-A011-547E4E8CF38A}"/>
    <cellStyle name="20% - Accent2 2 15" xfId="34" xr:uid="{BE30608F-9B2D-4221-B430-077D78C3835C}"/>
    <cellStyle name="20% - Accent2 2 2" xfId="35" xr:uid="{91465973-2076-4D28-B9BC-1DF154B3934B}"/>
    <cellStyle name="20% - Accent2 2 3" xfId="36" xr:uid="{A360CE01-DF50-4132-9690-03B5486E27B5}"/>
    <cellStyle name="20% - Accent2 2 4" xfId="37" xr:uid="{95C8E5FE-BDC8-42DE-9670-68DD304CF8C0}"/>
    <cellStyle name="20% - Accent2 2 5" xfId="38" xr:uid="{B2011229-BBA9-4DDE-8069-B5F814FB7B1D}"/>
    <cellStyle name="20% - Accent2 2 6" xfId="39" xr:uid="{FD60603B-8763-42E5-95A7-A02DDEAB3894}"/>
    <cellStyle name="20% - Accent2 2 7" xfId="40" xr:uid="{EB1B8989-7981-4FE9-8C1C-7E6B39184EE1}"/>
    <cellStyle name="20% - Accent2 2 8" xfId="41" xr:uid="{02596032-A3AF-4899-9C80-FF7E801CC56B}"/>
    <cellStyle name="20% - Accent2 2 9" xfId="42" xr:uid="{812DF4B3-0076-4D2B-9398-63F613574403}"/>
    <cellStyle name="20% - Accent2 3" xfId="43" xr:uid="{EF31E911-F4D1-440D-987D-65B88FB3A3E1}"/>
    <cellStyle name="20% - Accent2 4" xfId="44" xr:uid="{C9BD2629-FFA4-4379-8ADE-D9880D063327}"/>
    <cellStyle name="20% - Accent2 5" xfId="45" xr:uid="{DC96598D-9FBB-4008-9FA8-9A9DE37115BD}"/>
    <cellStyle name="20% - Accent2 6" xfId="46" xr:uid="{668C23DF-5BE1-45D1-97CB-A3B7779980F5}"/>
    <cellStyle name="20% - Accent2 7" xfId="47" xr:uid="{C3345A2E-CF33-40E9-82BC-B0BA8D141BE2}"/>
    <cellStyle name="20% - Accent2 8" xfId="48" xr:uid="{5E75EB09-439E-4C63-A90F-DCA2D72A1AE9}"/>
    <cellStyle name="20% - Accent3 2" xfId="49" xr:uid="{258E57A4-1286-40A4-B247-37F0551ACAE3}"/>
    <cellStyle name="20% - Accent3 2 10" xfId="50" xr:uid="{6A0CB65C-7330-46F4-95C2-760BA5B632C2}"/>
    <cellStyle name="20% - Accent3 2 11" xfId="51" xr:uid="{1E45BFEA-550E-4191-BBB7-94D76AD5FDBC}"/>
    <cellStyle name="20% - Accent3 2 12" xfId="52" xr:uid="{A448DF2A-B2EE-47BA-8651-FBA1552CCEBA}"/>
    <cellStyle name="20% - Accent3 2 13" xfId="53" xr:uid="{5C4B6C2E-7443-43C3-8A0F-E503B1D01B6B}"/>
    <cellStyle name="20% - Accent3 2 14" xfId="54" xr:uid="{A9402DF4-2C7A-431E-82D9-A6469CF5D310}"/>
    <cellStyle name="20% - Accent3 2 15" xfId="55" xr:uid="{8D20519D-2521-4CBB-BCB5-F7566E5C1A0B}"/>
    <cellStyle name="20% - Accent3 2 2" xfId="56" xr:uid="{9CAFFBE8-E6D9-4C23-807E-3D17E6D29B19}"/>
    <cellStyle name="20% - Accent3 2 3" xfId="57" xr:uid="{0508F7A1-8837-4F89-8483-E4553575A383}"/>
    <cellStyle name="20% - Accent3 2 4" xfId="58" xr:uid="{D90D50F7-FDB2-495D-A2F0-C21C1DD143B5}"/>
    <cellStyle name="20% - Accent3 2 5" xfId="59" xr:uid="{58FC1343-4487-4BAE-9D12-9A80E916FC08}"/>
    <cellStyle name="20% - Accent3 2 6" xfId="60" xr:uid="{0B5D00AA-4128-4E8A-9569-AAABE0B888B3}"/>
    <cellStyle name="20% - Accent3 2 7" xfId="61" xr:uid="{6E673632-7018-411E-A7FF-7F83FD43171A}"/>
    <cellStyle name="20% - Accent3 2 8" xfId="62" xr:uid="{573BC635-2457-4E4D-AAF2-9DE50F21992C}"/>
    <cellStyle name="20% - Accent3 2 9" xfId="63" xr:uid="{BAE488A7-A173-4E20-B4DD-28E030D1F120}"/>
    <cellStyle name="20% - Accent3 3" xfId="64" xr:uid="{42B86CED-4C02-41C8-8C9C-BFC5DB3F672A}"/>
    <cellStyle name="20% - Accent3 4" xfId="65" xr:uid="{3109A414-8D0E-4676-8229-67F60C68DBE9}"/>
    <cellStyle name="20% - Accent3 5" xfId="66" xr:uid="{6FB26584-553D-45AC-8C24-96B3F0F9D53C}"/>
    <cellStyle name="20% - Accent3 6" xfId="67" xr:uid="{E4EE0983-CF1A-41E2-82D8-2E805FE0922A}"/>
    <cellStyle name="20% - Accent3 7" xfId="68" xr:uid="{D422AD6C-0DAF-49BD-9531-F6860BBFED2D}"/>
    <cellStyle name="20% - Accent3 8" xfId="69" xr:uid="{E270341F-A669-4DE0-864C-9B58FB4BDC66}"/>
    <cellStyle name="20% - Accent4 2" xfId="70" xr:uid="{3B76CD81-7C4E-4587-B861-353F714D6095}"/>
    <cellStyle name="20% - Accent4 2 10" xfId="71" xr:uid="{BA5AD053-81C8-4DF0-9AB0-D218AF11E3EC}"/>
    <cellStyle name="20% - Accent4 2 11" xfId="72" xr:uid="{AC0AE9FD-377B-4F58-B18E-06939DC38864}"/>
    <cellStyle name="20% - Accent4 2 12" xfId="73" xr:uid="{7AEEA699-E8E3-4976-A0F6-24989B2259BD}"/>
    <cellStyle name="20% - Accent4 2 13" xfId="74" xr:uid="{2A602BD2-95C2-4E5C-A5F2-D56FC340B97A}"/>
    <cellStyle name="20% - Accent4 2 14" xfId="75" xr:uid="{F24867D4-6825-490C-B02D-72C0E0F9F4A3}"/>
    <cellStyle name="20% - Accent4 2 15" xfId="76" xr:uid="{923D58AD-8AC2-44E5-9981-965A29AB045A}"/>
    <cellStyle name="20% - Accent4 2 2" xfId="77" xr:uid="{E6104C77-4F74-4BC9-B4FD-01EA157C2E45}"/>
    <cellStyle name="20% - Accent4 2 3" xfId="78" xr:uid="{3CC4E3F1-E57F-4B1F-B324-8DCA43B23FC9}"/>
    <cellStyle name="20% - Accent4 2 4" xfId="79" xr:uid="{F626C457-1444-41DA-930B-E119C9EF1EC1}"/>
    <cellStyle name="20% - Accent4 2 5" xfId="80" xr:uid="{A910CF4B-3919-4689-8B2F-62F0FC7B0C06}"/>
    <cellStyle name="20% - Accent4 2 6" xfId="81" xr:uid="{8347C47B-A126-4097-B853-3F4777295ED9}"/>
    <cellStyle name="20% - Accent4 2 7" xfId="82" xr:uid="{CC47F14A-4D99-4568-8B33-7FE2D6CC934E}"/>
    <cellStyle name="20% - Accent4 2 8" xfId="83" xr:uid="{24940EB3-9A0D-4AF3-8E6D-93E430FDE76E}"/>
    <cellStyle name="20% - Accent4 2 9" xfId="84" xr:uid="{3C3967C3-D08E-470D-89AD-7A4893249EE7}"/>
    <cellStyle name="20% - Accent4 3" xfId="85" xr:uid="{CF225D6B-6412-4202-B30D-B01372EAE0E8}"/>
    <cellStyle name="20% - Accent4 4" xfId="86" xr:uid="{70C6D44A-57FD-4CA9-A940-1D5F959E0CAD}"/>
    <cellStyle name="20% - Accent4 5" xfId="87" xr:uid="{11700544-95D3-404A-9A84-BFC2EBA086AE}"/>
    <cellStyle name="20% - Accent4 6" xfId="88" xr:uid="{41069BE1-ACBF-4FA9-8FA6-1485D14A1AC3}"/>
    <cellStyle name="20% - Accent4 7" xfId="89" xr:uid="{87BB60C2-D224-4E43-B03B-1CA2D1156418}"/>
    <cellStyle name="20% - Accent4 8" xfId="90" xr:uid="{D8050BA6-865A-4830-9731-4E2A4B95C4C2}"/>
    <cellStyle name="20% - Accent5 2" xfId="91" xr:uid="{5FA93543-8526-42D2-9809-A4118A36B8BD}"/>
    <cellStyle name="20% - Accent5 2 10" xfId="92" xr:uid="{06395E1E-1B3F-4C08-9EB9-86B24AAB8F55}"/>
    <cellStyle name="20% - Accent5 2 11" xfId="93" xr:uid="{0A14F7FE-32C5-476D-A5DE-C63E6BF86F60}"/>
    <cellStyle name="20% - Accent5 2 12" xfId="94" xr:uid="{8E5941F2-2658-4F4D-B3FF-9AA3869AC947}"/>
    <cellStyle name="20% - Accent5 2 13" xfId="95" xr:uid="{EA25A914-D691-4CDC-9EB0-6AC640F8446E}"/>
    <cellStyle name="20% - Accent5 2 14" xfId="96" xr:uid="{FB34442A-A55C-4411-90FF-BB89F015EE82}"/>
    <cellStyle name="20% - Accent5 2 15" xfId="97" xr:uid="{2D26823C-F17F-4C7E-8524-C032B50C1929}"/>
    <cellStyle name="20% - Accent5 2 2" xfId="98" xr:uid="{316A1D30-CDFA-4377-8A7C-528DD223D892}"/>
    <cellStyle name="20% - Accent5 2 3" xfId="99" xr:uid="{FFE55D15-3FE7-4ADD-8A48-EE7E16E9ACFB}"/>
    <cellStyle name="20% - Accent5 2 4" xfId="100" xr:uid="{4B34D394-B8B7-4781-9770-6C10F2B16FD6}"/>
    <cellStyle name="20% - Accent5 2 5" xfId="101" xr:uid="{FB26AD9C-17AF-44FF-8329-36E24987C62F}"/>
    <cellStyle name="20% - Accent5 2 6" xfId="102" xr:uid="{1FE8E234-FED7-47D9-ABED-12E1667F188A}"/>
    <cellStyle name="20% - Accent5 2 7" xfId="103" xr:uid="{C6C24B88-D6AD-4C8C-9366-6280A7893A3B}"/>
    <cellStyle name="20% - Accent5 2 8" xfId="104" xr:uid="{2CD842F1-CB4E-4A0C-9A4C-69E01720836F}"/>
    <cellStyle name="20% - Accent5 2 9" xfId="105" xr:uid="{F8B17FA1-774E-43D8-A872-2B00E77D3E05}"/>
    <cellStyle name="20% - Accent5 3" xfId="106" xr:uid="{9737938A-14F4-4707-9C74-24A37D36F557}"/>
    <cellStyle name="20% - Accent5 4" xfId="107" xr:uid="{1EEEE281-8065-4AAA-BBA9-73156052D3E1}"/>
    <cellStyle name="20% - Accent5 5" xfId="108" xr:uid="{F68430A5-D56C-421C-9615-2BB795F50911}"/>
    <cellStyle name="20% - Accent5 6" xfId="109" xr:uid="{A704F173-F530-4C8B-8B31-3E249FC25AFD}"/>
    <cellStyle name="20% - Accent5 7" xfId="110" xr:uid="{8EBEADFF-F82C-4D7D-B8B4-1C3C1F6D17C4}"/>
    <cellStyle name="20% - Accent5 8" xfId="111" xr:uid="{AE894128-A697-40B7-AEA1-FCE759D03479}"/>
    <cellStyle name="20% - Accent6 2" xfId="112" xr:uid="{D4B4A672-4E1D-430A-8FFA-482D3197F2E6}"/>
    <cellStyle name="20% - Accent6 2 10" xfId="113" xr:uid="{A4650181-FD22-4626-9D44-7DEA98345172}"/>
    <cellStyle name="20% - Accent6 2 11" xfId="114" xr:uid="{A54FCA07-EF17-4514-9C81-AE589FCA8FDA}"/>
    <cellStyle name="20% - Accent6 2 12" xfId="115" xr:uid="{4600AB2C-87E7-4492-A2B9-85D04C65C8C6}"/>
    <cellStyle name="20% - Accent6 2 13" xfId="116" xr:uid="{30044B37-B954-43AE-8A19-15A5471F082B}"/>
    <cellStyle name="20% - Accent6 2 14" xfId="117" xr:uid="{D3A4D7BC-FE42-4EEA-A275-DAFE71331456}"/>
    <cellStyle name="20% - Accent6 2 15" xfId="118" xr:uid="{98C7D7FE-9FF4-4D17-9A05-5ED5093B972D}"/>
    <cellStyle name="20% - Accent6 2 2" xfId="119" xr:uid="{61291B59-16A4-4C48-A417-75E6455156E5}"/>
    <cellStyle name="20% - Accent6 2 3" xfId="120" xr:uid="{756DFA75-3A42-42F3-B937-993BD6119ED6}"/>
    <cellStyle name="20% - Accent6 2 4" xfId="121" xr:uid="{FAB63732-4FD2-478E-9A5F-B91CC20D97C9}"/>
    <cellStyle name="20% - Accent6 2 5" xfId="122" xr:uid="{F974D671-8E9B-43D0-A750-F36427281E16}"/>
    <cellStyle name="20% - Accent6 2 6" xfId="123" xr:uid="{AA4AD771-6B23-4FD4-B546-519087EC455E}"/>
    <cellStyle name="20% - Accent6 2 7" xfId="124" xr:uid="{A73F483F-A413-410A-8806-C87A5F866AD1}"/>
    <cellStyle name="20% - Accent6 2 8" xfId="125" xr:uid="{0B142423-C0A3-4418-A125-E3E05B9A3C82}"/>
    <cellStyle name="20% - Accent6 2 9" xfId="126" xr:uid="{0A9525EB-750B-4923-A4A8-CD8AD107F82E}"/>
    <cellStyle name="20% - Accent6 3" xfId="127" xr:uid="{FA78E74D-C531-471E-8723-A6F82693295B}"/>
    <cellStyle name="20% - Accent6 4" xfId="128" xr:uid="{A3FD6634-F264-4E6F-BBCA-01E38E90931B}"/>
    <cellStyle name="20% - Accent6 5" xfId="129" xr:uid="{9BF268A3-B21E-4E96-A4D9-6D7490287700}"/>
    <cellStyle name="20% - Accent6 6" xfId="130" xr:uid="{F41E647E-EF64-48EE-A4DB-E4042F72D4CF}"/>
    <cellStyle name="20% - Accent6 7" xfId="131" xr:uid="{4B21E92B-3527-48C8-9BDA-B7B1B610248E}"/>
    <cellStyle name="20% - Accent6 8" xfId="132" xr:uid="{FBBEC83B-194A-4520-8B8D-1D6B2136A1E3}"/>
    <cellStyle name="40% - Accent1 2" xfId="133" xr:uid="{64C6AD2E-BB55-4D51-A92F-524410D4F61B}"/>
    <cellStyle name="40% - Accent1 2 10" xfId="134" xr:uid="{736283B3-E506-4D0F-A214-F38F2861DB38}"/>
    <cellStyle name="40% - Accent1 2 11" xfId="135" xr:uid="{755BA3C6-6B2D-4B7C-B7DF-C3650845DD94}"/>
    <cellStyle name="40% - Accent1 2 12" xfId="136" xr:uid="{CBF91670-3456-44E6-B7B9-96FFEC81D5A6}"/>
    <cellStyle name="40% - Accent1 2 13" xfId="137" xr:uid="{2504C47C-3176-4165-A843-2A008E3EA8CE}"/>
    <cellStyle name="40% - Accent1 2 14" xfId="138" xr:uid="{986A8F85-3B1F-4A7E-977B-DAD50DA3749F}"/>
    <cellStyle name="40% - Accent1 2 15" xfId="139" xr:uid="{17099561-2A1F-421C-9CC5-F22A4F4D43B5}"/>
    <cellStyle name="40% - Accent1 2 2" xfId="140" xr:uid="{89E6F7EA-199D-4DEF-8790-7A6352B6929F}"/>
    <cellStyle name="40% - Accent1 2 3" xfId="141" xr:uid="{5BC642C7-1FCE-41A6-8624-414E7DE6E02E}"/>
    <cellStyle name="40% - Accent1 2 4" xfId="142" xr:uid="{E071CAC8-3BA8-4856-9F4C-0BD50C0BDCAE}"/>
    <cellStyle name="40% - Accent1 2 5" xfId="143" xr:uid="{25E0CEFC-AA8F-41A9-B275-F892137EC937}"/>
    <cellStyle name="40% - Accent1 2 6" xfId="144" xr:uid="{1E2C5AA4-B8DC-4657-B413-AD30A09FA657}"/>
    <cellStyle name="40% - Accent1 2 7" xfId="145" xr:uid="{12B06F5C-15ED-4782-8ED7-A57288244B69}"/>
    <cellStyle name="40% - Accent1 2 8" xfId="146" xr:uid="{74B0930C-25CA-4AD0-8979-C68F0BCD6820}"/>
    <cellStyle name="40% - Accent1 2 9" xfId="147" xr:uid="{32467436-349E-4947-8508-B8F33281A455}"/>
    <cellStyle name="40% - Accent1 3" xfId="148" xr:uid="{C36F34BF-B236-4F2C-9E25-6FCE91B3F355}"/>
    <cellStyle name="40% - Accent1 4" xfId="149" xr:uid="{78E6103F-5E64-453D-BD71-0A27CB1CB197}"/>
    <cellStyle name="40% - Accent1 5" xfId="150" xr:uid="{E2182EAF-E992-4323-AF3F-F2364242F136}"/>
    <cellStyle name="40% - Accent1 6" xfId="151" xr:uid="{B3DA707D-10DD-47CE-BBF4-6A5BB244BE4E}"/>
    <cellStyle name="40% - Accent1 7" xfId="152" xr:uid="{AB420587-9527-4CBA-BA62-EABB30370031}"/>
    <cellStyle name="40% - Accent1 8" xfId="153" xr:uid="{6F6879AD-C2DC-460A-8E4F-F438F0989483}"/>
    <cellStyle name="40% - Accent2 2" xfId="154" xr:uid="{D710B951-541C-48F8-A918-AEDC6479D8F8}"/>
    <cellStyle name="40% - Accent2 2 10" xfId="155" xr:uid="{01B7F83A-22F6-499A-9FFF-0D740903950C}"/>
    <cellStyle name="40% - Accent2 2 11" xfId="156" xr:uid="{B6F7622D-2EF8-4844-BAB8-CAA64855FAD0}"/>
    <cellStyle name="40% - Accent2 2 12" xfId="157" xr:uid="{CBAA2F13-B91D-465F-A8E9-E286EA238702}"/>
    <cellStyle name="40% - Accent2 2 13" xfId="158" xr:uid="{BC4ACF11-6D57-4351-86A2-6EAD374B628F}"/>
    <cellStyle name="40% - Accent2 2 14" xfId="159" xr:uid="{32517E4C-27DB-4CD4-AEE8-60AA3743340A}"/>
    <cellStyle name="40% - Accent2 2 15" xfId="160" xr:uid="{4E6FCF3A-4CFC-49C6-9A42-E2C62343B8F3}"/>
    <cellStyle name="40% - Accent2 2 2" xfId="161" xr:uid="{05E0183F-C262-4EB6-BB1A-706A103D6812}"/>
    <cellStyle name="40% - Accent2 2 3" xfId="162" xr:uid="{C9340A92-28DA-49F4-ADE8-39028A60C33A}"/>
    <cellStyle name="40% - Accent2 2 4" xfId="163" xr:uid="{541E0800-CDA5-44AA-B660-A0FEADC6C316}"/>
    <cellStyle name="40% - Accent2 2 5" xfId="164" xr:uid="{F46EDA09-DCB9-489A-BB18-18A29E56A837}"/>
    <cellStyle name="40% - Accent2 2 6" xfId="165" xr:uid="{DF80F802-3530-4DEC-A9F1-0B16814E6D87}"/>
    <cellStyle name="40% - Accent2 2 7" xfId="166" xr:uid="{8F0B5132-CFD4-4CC5-A7F7-40927915F507}"/>
    <cellStyle name="40% - Accent2 2 8" xfId="167" xr:uid="{0391E0FC-F8D7-4C24-BC6C-1BA9ABCB8F25}"/>
    <cellStyle name="40% - Accent2 2 9" xfId="168" xr:uid="{1D51FC4D-4927-4147-8CCA-5590A703C89B}"/>
    <cellStyle name="40% - Accent2 3" xfId="169" xr:uid="{88E4517C-1A70-4B80-A447-9F2F6D7FB9F7}"/>
    <cellStyle name="40% - Accent2 4" xfId="170" xr:uid="{9697BB49-50D7-4305-B255-59896A147E73}"/>
    <cellStyle name="40% - Accent2 5" xfId="171" xr:uid="{444E6FA5-04AF-4135-8F87-B90201FB0D95}"/>
    <cellStyle name="40% - Accent2 6" xfId="172" xr:uid="{13CC7343-B434-48AE-A1F6-8463EE403D26}"/>
    <cellStyle name="40% - Accent2 7" xfId="173" xr:uid="{BDFA82DA-1DFF-4F21-97B1-F9FE90A6D9A1}"/>
    <cellStyle name="40% - Accent2 8" xfId="174" xr:uid="{D38C8D31-A77E-433E-B3CA-8884121D093E}"/>
    <cellStyle name="40% - Accent3 2" xfId="175" xr:uid="{1A14549A-FD90-4A3E-B5AB-0AC2E2431AD4}"/>
    <cellStyle name="40% - Accent3 2 10" xfId="176" xr:uid="{CD024C7B-E910-45B4-9CF2-F9C8C33321AF}"/>
    <cellStyle name="40% - Accent3 2 11" xfId="177" xr:uid="{95D7D486-D7BB-4744-9D8A-F421769284E2}"/>
    <cellStyle name="40% - Accent3 2 12" xfId="178" xr:uid="{E89913E0-5EDE-4E59-8332-C835EEAAEFB7}"/>
    <cellStyle name="40% - Accent3 2 13" xfId="179" xr:uid="{4DBF1D78-B9A5-4994-B267-23AE309AC623}"/>
    <cellStyle name="40% - Accent3 2 14" xfId="180" xr:uid="{C33B5EC4-58B1-47CB-B636-901564E1C8E2}"/>
    <cellStyle name="40% - Accent3 2 15" xfId="181" xr:uid="{A2CCA170-23B5-4651-B7DF-76377F3E81EA}"/>
    <cellStyle name="40% - Accent3 2 2" xfId="182" xr:uid="{56A8C7DD-954C-40BB-8052-0D49145E0D8F}"/>
    <cellStyle name="40% - Accent3 2 3" xfId="183" xr:uid="{FCC46822-947B-4667-8447-B0D10A01F25F}"/>
    <cellStyle name="40% - Accent3 2 4" xfId="184" xr:uid="{D9788DE9-7394-493A-975C-82656D2E356C}"/>
    <cellStyle name="40% - Accent3 2 5" xfId="185" xr:uid="{4D3ECB0D-86A3-4C1B-979B-5854A1D22ED8}"/>
    <cellStyle name="40% - Accent3 2 6" xfId="186" xr:uid="{3EAF9219-BE68-4FEC-ABDB-0B501F398158}"/>
    <cellStyle name="40% - Accent3 2 7" xfId="187" xr:uid="{DC37E2BA-E5DC-4870-81D7-C58EE990D410}"/>
    <cellStyle name="40% - Accent3 2 8" xfId="188" xr:uid="{C9A695D7-CAA2-44F5-8541-1DB5AC9FF77A}"/>
    <cellStyle name="40% - Accent3 2 9" xfId="189" xr:uid="{63EF2149-787E-40A8-BBEE-594E717D305F}"/>
    <cellStyle name="40% - Accent3 3" xfId="190" xr:uid="{9A73E35E-199F-4312-AA6B-67CD61C80AC8}"/>
    <cellStyle name="40% - Accent3 4" xfId="191" xr:uid="{110E54B9-9A78-45BC-99EC-11D8F53FC822}"/>
    <cellStyle name="40% - Accent3 5" xfId="192" xr:uid="{E65C8628-A1E6-47A2-BA41-052B44664ADE}"/>
    <cellStyle name="40% - Accent3 6" xfId="193" xr:uid="{C4F668CA-29A8-4BCE-8542-1021B1961315}"/>
    <cellStyle name="40% - Accent3 7" xfId="194" xr:uid="{4E987D7E-80A3-4DEA-9084-5A81EFC44EB1}"/>
    <cellStyle name="40% - Accent3 8" xfId="195" xr:uid="{F42B8245-95C0-456F-9E46-44C145F98CFF}"/>
    <cellStyle name="40% - Accent4 2" xfId="196" xr:uid="{E773BF72-211D-458A-BAC2-064062FC2688}"/>
    <cellStyle name="40% - Accent4 2 10" xfId="197" xr:uid="{BBF6321B-D1B9-436E-B4FA-C302F6EA8289}"/>
    <cellStyle name="40% - Accent4 2 11" xfId="198" xr:uid="{E45A716F-E0AA-4631-890F-00836FF92080}"/>
    <cellStyle name="40% - Accent4 2 12" xfId="199" xr:uid="{4CE54C48-781B-45FD-8EB7-4E39D73019A8}"/>
    <cellStyle name="40% - Accent4 2 13" xfId="200" xr:uid="{AEAA1EF2-8A60-44BF-86F3-C3AB513DDBF2}"/>
    <cellStyle name="40% - Accent4 2 14" xfId="201" xr:uid="{95F9011E-A4A4-4BE6-B369-6C14BC5EC00B}"/>
    <cellStyle name="40% - Accent4 2 15" xfId="202" xr:uid="{BD342BA0-53FB-49FA-8442-B4778580552F}"/>
    <cellStyle name="40% - Accent4 2 2" xfId="203" xr:uid="{125DF28D-4EC9-4646-8D57-5F77DBD41194}"/>
    <cellStyle name="40% - Accent4 2 3" xfId="204" xr:uid="{571B29B7-4668-45E5-A482-248204425D33}"/>
    <cellStyle name="40% - Accent4 2 4" xfId="205" xr:uid="{5B09C7E2-800C-4A6D-9F30-BF4C59DC21EC}"/>
    <cellStyle name="40% - Accent4 2 5" xfId="206" xr:uid="{1C66A6EB-DFC4-4629-9C29-6398612B3718}"/>
    <cellStyle name="40% - Accent4 2 6" xfId="207" xr:uid="{AE267C2C-D920-4DF4-837C-C7DD4283354E}"/>
    <cellStyle name="40% - Accent4 2 7" xfId="208" xr:uid="{85D905B3-12C7-4C1B-B1A9-D49FAC80A4FD}"/>
    <cellStyle name="40% - Accent4 2 8" xfId="209" xr:uid="{F3B62E45-4334-471D-9071-4DB7BC5DC1C9}"/>
    <cellStyle name="40% - Accent4 2 9" xfId="210" xr:uid="{0918D81E-AAA3-4D53-B5AD-93CA7B8037D7}"/>
    <cellStyle name="40% - Accent4 3" xfId="211" xr:uid="{B84D972A-90C9-42B7-B35C-CC3F62AE400D}"/>
    <cellStyle name="40% - Accent4 4" xfId="212" xr:uid="{2646BE5B-99F2-4079-9B89-BE94C910D49F}"/>
    <cellStyle name="40% - Accent4 5" xfId="213" xr:uid="{1B99F2FD-AD19-42F5-BE35-926E2677C956}"/>
    <cellStyle name="40% - Accent4 6" xfId="214" xr:uid="{B4CA58C9-1967-4D36-A7E3-381E3A0C1CE4}"/>
    <cellStyle name="40% - Accent4 7" xfId="215" xr:uid="{D1AC8C6B-15D4-4BDD-AD72-A2EFDF37E7A5}"/>
    <cellStyle name="40% - Accent4 8" xfId="216" xr:uid="{BDB1F948-B72A-4E1F-BC49-201E0987EA1D}"/>
    <cellStyle name="40% - Accent5 2" xfId="217" xr:uid="{1E516275-22AF-4586-96A9-5135B7E774AB}"/>
    <cellStyle name="40% - Accent5 2 10" xfId="218" xr:uid="{36392E76-39B9-4CD5-A5E0-4B5DB592F634}"/>
    <cellStyle name="40% - Accent5 2 11" xfId="219" xr:uid="{4DD54CB5-8728-4AE5-BB67-C973ACC634A3}"/>
    <cellStyle name="40% - Accent5 2 12" xfId="220" xr:uid="{5EE0DE31-691F-4874-BC24-C6BFB9FD0775}"/>
    <cellStyle name="40% - Accent5 2 13" xfId="221" xr:uid="{9C8219D2-3591-4D93-9037-A38F0F906CFD}"/>
    <cellStyle name="40% - Accent5 2 14" xfId="222" xr:uid="{ADBA87B0-ACA2-4E6B-B7F6-E7CEFB6269B1}"/>
    <cellStyle name="40% - Accent5 2 15" xfId="223" xr:uid="{1B7F255B-4647-44E4-8CEF-D8F8551ECE77}"/>
    <cellStyle name="40% - Accent5 2 2" xfId="224" xr:uid="{620EB053-9408-4406-9515-5BB66ECCDDAB}"/>
    <cellStyle name="40% - Accent5 2 3" xfId="225" xr:uid="{59967D44-21FB-45CE-A88F-E30F1AEA1EBE}"/>
    <cellStyle name="40% - Accent5 2 4" xfId="226" xr:uid="{A388B6CD-617F-4369-9089-77B6FB4AC70E}"/>
    <cellStyle name="40% - Accent5 2 5" xfId="227" xr:uid="{0453947C-2662-4827-BA15-C52042D4E0C7}"/>
    <cellStyle name="40% - Accent5 2 6" xfId="228" xr:uid="{B5A4447D-1230-4988-A943-11D11777B4FE}"/>
    <cellStyle name="40% - Accent5 2 7" xfId="229" xr:uid="{0DDCF808-5A0B-4484-96AA-C42658F9BC43}"/>
    <cellStyle name="40% - Accent5 2 8" xfId="230" xr:uid="{F64BB660-18B1-4441-A615-C229F92C196E}"/>
    <cellStyle name="40% - Accent5 2 9" xfId="231" xr:uid="{20CC1DCE-7DA1-47B5-A85E-3B032E7A3EEF}"/>
    <cellStyle name="40% - Accent5 3" xfId="232" xr:uid="{BD59A252-B8F5-4397-87C6-9604299A8707}"/>
    <cellStyle name="40% - Accent5 4" xfId="233" xr:uid="{C691F5C6-49C3-44A4-B6DE-25722648D251}"/>
    <cellStyle name="40% - Accent5 5" xfId="234" xr:uid="{DCE0A039-151D-4C1B-A862-E02D4BA3770F}"/>
    <cellStyle name="40% - Accent5 6" xfId="235" xr:uid="{38ACF8FC-0741-45F3-AEFA-9552CC33EABB}"/>
    <cellStyle name="40% - Accent5 7" xfId="236" xr:uid="{E7462731-FB06-444A-96E8-212EB82C1678}"/>
    <cellStyle name="40% - Accent5 8" xfId="237" xr:uid="{1A5454EB-3A5B-4963-B8BE-2306BB9FD8A4}"/>
    <cellStyle name="40% - Accent6 2" xfId="238" xr:uid="{9BE43368-E268-4C23-980A-D636BFFB47AA}"/>
    <cellStyle name="40% - Accent6 2 10" xfId="239" xr:uid="{6807FD1F-4AE6-4572-9826-303C178A69D1}"/>
    <cellStyle name="40% - Accent6 2 11" xfId="240" xr:uid="{8CDF582B-FA45-44C7-A2F4-4793E57AA8DF}"/>
    <cellStyle name="40% - Accent6 2 12" xfId="241" xr:uid="{07B8E6DF-6DA5-4AE4-9C83-7A07450847AB}"/>
    <cellStyle name="40% - Accent6 2 13" xfId="242" xr:uid="{7BB02AC8-B22E-45A3-BDE0-A7AC6318B361}"/>
    <cellStyle name="40% - Accent6 2 14" xfId="243" xr:uid="{357F93AF-806D-49CA-8FC4-772E4EF1742B}"/>
    <cellStyle name="40% - Accent6 2 15" xfId="244" xr:uid="{4D7551B8-135A-4C35-91EA-8B25355F39F7}"/>
    <cellStyle name="40% - Accent6 2 2" xfId="245" xr:uid="{748B816E-F23D-44A8-AE51-D5014BC559AA}"/>
    <cellStyle name="40% - Accent6 2 3" xfId="246" xr:uid="{FD207E79-F8DE-44C2-A144-7B8D3E1B3ECF}"/>
    <cellStyle name="40% - Accent6 2 4" xfId="247" xr:uid="{06704922-37CC-4A26-9558-DACADB63471E}"/>
    <cellStyle name="40% - Accent6 2 5" xfId="248" xr:uid="{4C29423D-4D8E-40A1-B593-E596D97595C6}"/>
    <cellStyle name="40% - Accent6 2 6" xfId="249" xr:uid="{5F44AE89-0BBF-4003-8449-88CBACF03175}"/>
    <cellStyle name="40% - Accent6 2 7" xfId="250" xr:uid="{4BEC2978-0451-4319-BB52-CE543EFC672D}"/>
    <cellStyle name="40% - Accent6 2 8" xfId="251" xr:uid="{5122BB9E-7247-4FBE-B3FA-EE35FC858C6B}"/>
    <cellStyle name="40% - Accent6 2 9" xfId="252" xr:uid="{84424F71-C7EB-4D9C-84D1-F938FAD03731}"/>
    <cellStyle name="40% - Accent6 3" xfId="253" xr:uid="{436CA241-1CC1-4028-9F6B-2A0B31AC8B97}"/>
    <cellStyle name="40% - Accent6 4" xfId="254" xr:uid="{3B0129ED-43EA-4D2A-91B7-F1C0DC24E0FD}"/>
    <cellStyle name="40% - Accent6 5" xfId="255" xr:uid="{9DA2B35B-B9C6-47A4-88FA-AA53CB1E2C4C}"/>
    <cellStyle name="40% - Accent6 6" xfId="256" xr:uid="{1D4593C3-1CA0-434A-B67E-AC3D04F6A0F8}"/>
    <cellStyle name="40% - Accent6 7" xfId="257" xr:uid="{97ACC4CF-EE84-4BE1-8C0F-19EAD590371E}"/>
    <cellStyle name="40% - Accent6 8" xfId="258" xr:uid="{A2A783F1-F970-4F4E-B024-DFF89232B7B0}"/>
    <cellStyle name="5x indented GHG Textfiels" xfId="259" xr:uid="{E606710A-693E-4F1B-BA0D-5307BCF457E5}"/>
    <cellStyle name="60% - Accent1 2" xfId="260" xr:uid="{BC64B91E-AB3A-494E-8254-A22F1E5316EE}"/>
    <cellStyle name="60% - Accent1 2 10" xfId="261" xr:uid="{0CED51E0-4853-4450-9D7D-5BB2DCCA1919}"/>
    <cellStyle name="60% - Accent1 2 2" xfId="262" xr:uid="{C6CBC52C-D202-4D44-A7BF-5C6FA7241505}"/>
    <cellStyle name="60% - Accent1 2 3" xfId="263" xr:uid="{733E297C-9C2D-44C1-A902-6CA926C788B0}"/>
    <cellStyle name="60% - Accent1 2 4" xfId="264" xr:uid="{6E84E672-9638-45B1-90B9-36E38F2DC1BA}"/>
    <cellStyle name="60% - Accent1 2 5" xfId="265" xr:uid="{217FF81E-ED04-4A25-B5FA-1C2CF00D303E}"/>
    <cellStyle name="60% - Accent1 2 6" xfId="266" xr:uid="{09AB2DF6-AE59-4997-9014-957B2BF0E74C}"/>
    <cellStyle name="60% - Accent1 2 7" xfId="267" xr:uid="{7AA0E1EC-8B04-4792-BA2D-7DD5A1CA8BF9}"/>
    <cellStyle name="60% - Accent1 2 8" xfId="268" xr:uid="{BBF476EC-D987-4BF3-8A64-690EA0F76FD7}"/>
    <cellStyle name="60% - Accent1 2 9" xfId="269" xr:uid="{69585CC7-BEA7-495B-9AC3-5171E6144CC3}"/>
    <cellStyle name="60% - Accent1 3" xfId="270" xr:uid="{4A145B2B-3539-45FE-A46F-68CD70105A42}"/>
    <cellStyle name="60% - Accent2 2" xfId="271" xr:uid="{4336808B-D055-4770-A05F-A9A00384A9BE}"/>
    <cellStyle name="60% - Accent2 2 10" xfId="272" xr:uid="{4EAF5E2B-7662-4A4D-A37B-33DC82AEF1B2}"/>
    <cellStyle name="60% - Accent2 2 2" xfId="273" xr:uid="{0604E9D0-DE09-4BBB-B490-804B5CB2F195}"/>
    <cellStyle name="60% - Accent2 2 3" xfId="274" xr:uid="{5326F26A-4C26-47A6-846D-EBD280D77837}"/>
    <cellStyle name="60% - Accent2 2 4" xfId="275" xr:uid="{7467A81B-9FE0-439E-87F9-B2A7A4FB4B88}"/>
    <cellStyle name="60% - Accent2 2 5" xfId="276" xr:uid="{3C6E2FFF-3016-4067-A15C-B6C70BEB484E}"/>
    <cellStyle name="60% - Accent2 2 6" xfId="277" xr:uid="{99991592-3A83-4AD9-A4EB-475146388B21}"/>
    <cellStyle name="60% - Accent2 2 7" xfId="278" xr:uid="{788CE643-2EEC-4591-8246-4F524C60A7D7}"/>
    <cellStyle name="60% - Accent2 2 8" xfId="279" xr:uid="{FDBCC013-FFDB-465C-860E-F55712E26587}"/>
    <cellStyle name="60% - Accent2 2 9" xfId="280" xr:uid="{068DF182-F1E8-4763-83DA-09D110386560}"/>
    <cellStyle name="60% - Accent2 3" xfId="281" xr:uid="{3F4833FF-DF01-4A0F-A97A-48F2BDDC2CB3}"/>
    <cellStyle name="60% - Accent3 2" xfId="282" xr:uid="{26A11CC8-80CD-4FAB-B4E8-E6729F0F7461}"/>
    <cellStyle name="60% - Accent3 2 10" xfId="283" xr:uid="{43164CD2-D84F-40BB-90B3-7F4443145216}"/>
    <cellStyle name="60% - Accent3 2 2" xfId="284" xr:uid="{9D875C2C-C3F1-41AD-83C5-6417BF0BD082}"/>
    <cellStyle name="60% - Accent3 2 3" xfId="285" xr:uid="{B5A92E23-3530-4611-9393-50ADB9A23659}"/>
    <cellStyle name="60% - Accent3 2 4" xfId="286" xr:uid="{2EAFAD8A-2227-4376-B57E-668570FE9BF9}"/>
    <cellStyle name="60% - Accent3 2 5" xfId="287" xr:uid="{183FC9E0-5227-48D4-9E9D-DDC493D5AF72}"/>
    <cellStyle name="60% - Accent3 2 6" xfId="288" xr:uid="{2F6F8D7A-A560-475C-B477-C7D7B22BBF7F}"/>
    <cellStyle name="60% - Accent3 2 7" xfId="289" xr:uid="{D2BCA408-12B6-408E-A923-315343CFE964}"/>
    <cellStyle name="60% - Accent3 2 8" xfId="290" xr:uid="{BC9E23FF-CD94-4B8B-BFB1-5F86ADA111BB}"/>
    <cellStyle name="60% - Accent3 2 9" xfId="291" xr:uid="{1CD1FC3A-7730-4300-81FF-8FC693CC275F}"/>
    <cellStyle name="60% - Accent3 3" xfId="292" xr:uid="{CE4D90B0-82F3-4474-8113-E9A82A9C61D1}"/>
    <cellStyle name="60% - Accent4 2" xfId="293" xr:uid="{4D9BDEB0-AD6A-4772-9919-784D68872A23}"/>
    <cellStyle name="60% - Accent4 2 10" xfId="294" xr:uid="{EF7EF1B6-5FC5-49A9-B10C-832F866B4EE6}"/>
    <cellStyle name="60% - Accent4 2 2" xfId="295" xr:uid="{08B6C08F-A12A-4B9C-8D0F-71E2BAFE1CD5}"/>
    <cellStyle name="60% - Accent4 2 3" xfId="296" xr:uid="{E20EC2EC-B5A6-4448-B255-B70443A86078}"/>
    <cellStyle name="60% - Accent4 2 4" xfId="297" xr:uid="{6B267402-CAF3-457F-BE4B-F2641CD92402}"/>
    <cellStyle name="60% - Accent4 2 5" xfId="298" xr:uid="{10F5F38E-AA1C-4708-BC42-8A224E315A01}"/>
    <cellStyle name="60% - Accent4 2 6" xfId="299" xr:uid="{6FCF8473-CDC1-41D7-A0FA-B9461DF35819}"/>
    <cellStyle name="60% - Accent4 2 7" xfId="300" xr:uid="{76AA7174-6ED7-405B-87C6-37EA58AA7248}"/>
    <cellStyle name="60% - Accent4 2 8" xfId="301" xr:uid="{94C0EB32-9F33-4661-B3F5-02D550944569}"/>
    <cellStyle name="60% - Accent4 2 9" xfId="302" xr:uid="{4A8BA3AC-569C-4314-B100-0393F04E0D0A}"/>
    <cellStyle name="60% - Accent4 3" xfId="303" xr:uid="{7F10E51A-26EF-4E2B-83CE-E95594727EC7}"/>
    <cellStyle name="60% - Accent5 2" xfId="304" xr:uid="{1A0AF2D9-70F5-4284-9562-17F6B2881A13}"/>
    <cellStyle name="60% - Accent5 2 10" xfId="305" xr:uid="{3A84C5DF-22FE-4F38-A9C1-60AB456527EB}"/>
    <cellStyle name="60% - Accent5 2 2" xfId="306" xr:uid="{0ECC4332-A852-4189-B47D-8058A0C491B7}"/>
    <cellStyle name="60% - Accent5 2 3" xfId="307" xr:uid="{3B8C7C1F-D709-40BE-8197-3B8272DF80B2}"/>
    <cellStyle name="60% - Accent5 2 4" xfId="308" xr:uid="{17C57A85-5A52-4B23-BAC1-DBD03499FC40}"/>
    <cellStyle name="60% - Accent5 2 5" xfId="309" xr:uid="{6AEE3B6D-7318-40BF-B391-1C9370BB5064}"/>
    <cellStyle name="60% - Accent5 2 6" xfId="310" xr:uid="{FFD848B2-F849-45FA-9EDA-179737052222}"/>
    <cellStyle name="60% - Accent5 2 7" xfId="311" xr:uid="{7B139582-D8B7-4461-93E7-D7606DF5929E}"/>
    <cellStyle name="60% - Accent5 2 8" xfId="312" xr:uid="{C53943D3-4D4E-4444-89D0-E3499FD87526}"/>
    <cellStyle name="60% - Accent5 2 9" xfId="313" xr:uid="{ED498D5A-5074-4983-8750-D8C1D7972DDF}"/>
    <cellStyle name="60% - Accent5 3" xfId="314" xr:uid="{9E867055-016C-4279-BDB8-FFD040B79B04}"/>
    <cellStyle name="60% - Accent6 2" xfId="315" xr:uid="{DA8B1C37-DBF9-4C45-B26A-B63539C4916F}"/>
    <cellStyle name="60% - Accent6 2 10" xfId="316" xr:uid="{8EA9FDCB-1DEC-421D-BCA5-BEC66191EFF0}"/>
    <cellStyle name="60% - Accent6 2 2" xfId="317" xr:uid="{35B7A8C1-A0FB-47F7-AF76-1F7330B79801}"/>
    <cellStyle name="60% - Accent6 2 3" xfId="318" xr:uid="{D45EB8B2-F80F-43A9-9F0E-181DD9FE6690}"/>
    <cellStyle name="60% - Accent6 2 4" xfId="319" xr:uid="{605D4854-1ABE-4E69-A2DB-F2F161EBB899}"/>
    <cellStyle name="60% - Accent6 2 5" xfId="320" xr:uid="{55FD70CB-A88F-432F-84BF-F22462896575}"/>
    <cellStyle name="60% - Accent6 2 6" xfId="321" xr:uid="{18BA71B5-6BD7-41AA-B766-987B515F9C3D}"/>
    <cellStyle name="60% - Accent6 2 7" xfId="322" xr:uid="{659E2BF3-ECB9-4BFF-A27D-1023EB0898DA}"/>
    <cellStyle name="60% - Accent6 2 8" xfId="323" xr:uid="{C85B06FB-FC51-40A3-B5C3-CCC462B27C46}"/>
    <cellStyle name="60% - Accent6 2 9" xfId="324" xr:uid="{FF252D60-ABFA-4954-B7C1-C32DF722EC20}"/>
    <cellStyle name="60% - Accent6 3" xfId="325" xr:uid="{F1D24BAE-D3AB-40BF-A0E9-FB88D84ACD94}"/>
    <cellStyle name="Accent1 2" xfId="326" xr:uid="{2D4E53E4-8661-466A-B11D-DD00174C70B1}"/>
    <cellStyle name="Accent1 2 10" xfId="327" xr:uid="{B61CE884-E77E-4F87-AA8E-54E55D1FF953}"/>
    <cellStyle name="Accent1 2 2" xfId="328" xr:uid="{CBDF9212-ECBA-477A-90BA-CDE9A5FA7729}"/>
    <cellStyle name="Accent1 2 3" xfId="329" xr:uid="{0CB3A9C3-0C70-48F6-A804-8FF2CE89963E}"/>
    <cellStyle name="Accent1 2 4" xfId="330" xr:uid="{9356E79E-334C-46E5-A54E-D835642BAF5F}"/>
    <cellStyle name="Accent1 2 5" xfId="331" xr:uid="{A9E2B212-FDDB-493D-959C-EA8DF109463A}"/>
    <cellStyle name="Accent1 2 6" xfId="332" xr:uid="{2A3AF7FB-EF36-472B-9F38-8140DB55989A}"/>
    <cellStyle name="Accent1 2 7" xfId="333" xr:uid="{3E0EA179-0D43-4EBF-9810-425736E12388}"/>
    <cellStyle name="Accent1 2 8" xfId="334" xr:uid="{A5704277-AC48-4D70-BAFD-DF499B84C2CF}"/>
    <cellStyle name="Accent1 2 9" xfId="335" xr:uid="{5C605F31-9DD9-40D7-8F46-27F2F5B2E031}"/>
    <cellStyle name="Accent1 3" xfId="336" xr:uid="{F41FFE9D-CB42-4D00-89EF-6B20CA653D73}"/>
    <cellStyle name="Accent2 2" xfId="337" xr:uid="{F62D96A8-7AE5-4939-9AA9-1C46D5D27ADF}"/>
    <cellStyle name="Accent2 2 10" xfId="338" xr:uid="{45B11ECD-6FB8-423A-B28F-A3592E50A556}"/>
    <cellStyle name="Accent2 2 2" xfId="339" xr:uid="{261B60F6-0A57-4EA1-8AA7-059979D6E8DB}"/>
    <cellStyle name="Accent2 2 3" xfId="340" xr:uid="{9A75AEE8-2695-4349-9FE9-9A3F16131C98}"/>
    <cellStyle name="Accent2 2 4" xfId="341" xr:uid="{DE56FD0E-1EA2-4451-AD88-165A05DDED2E}"/>
    <cellStyle name="Accent2 2 5" xfId="342" xr:uid="{A68B43BD-53F5-4584-8780-5A169D80E53D}"/>
    <cellStyle name="Accent2 2 6" xfId="343" xr:uid="{C07A54A5-3AD3-43B3-862F-7755C43E0617}"/>
    <cellStyle name="Accent2 2 7" xfId="344" xr:uid="{BA8C6707-C353-46C2-9719-63DA0C4111FF}"/>
    <cellStyle name="Accent2 2 8" xfId="345" xr:uid="{49B99BC5-428E-40F4-A7D1-6456A34B9C7E}"/>
    <cellStyle name="Accent2 2 9" xfId="346" xr:uid="{AE791AC9-DEFE-4BD3-9C4C-9C84B31B0F01}"/>
    <cellStyle name="Accent2 3" xfId="347" xr:uid="{D7B76D2F-A8BC-465F-88A6-7E726EA70B07}"/>
    <cellStyle name="Accent3 2" xfId="348" xr:uid="{D7D903F9-A3C1-461C-BEE9-487482289C19}"/>
    <cellStyle name="Accent3 2 10" xfId="349" xr:uid="{33B8C288-B397-43A5-B598-669FA9B7A2E2}"/>
    <cellStyle name="Accent3 2 2" xfId="350" xr:uid="{73F5C3BE-8871-4D15-8FEB-2273BB57431E}"/>
    <cellStyle name="Accent3 2 3" xfId="351" xr:uid="{7FE44658-CEE6-4806-848A-123C86216CBC}"/>
    <cellStyle name="Accent3 2 4" xfId="352" xr:uid="{0F9AF4CA-F3D7-45A5-BF45-F939BF227966}"/>
    <cellStyle name="Accent3 2 5" xfId="353" xr:uid="{A94C6950-88F6-4481-9B2F-96683832ABD9}"/>
    <cellStyle name="Accent3 2 6" xfId="354" xr:uid="{66AB9D42-0591-4FB2-A66D-88B1537DB257}"/>
    <cellStyle name="Accent3 2 7" xfId="355" xr:uid="{0880C1E4-4FFB-4A44-AD8A-E28993087E08}"/>
    <cellStyle name="Accent3 2 8" xfId="356" xr:uid="{8E6721A7-987F-4560-B5D5-B70D812A87C2}"/>
    <cellStyle name="Accent3 2 9" xfId="357" xr:uid="{1BBC64BF-80D9-4F09-A174-83DFD3BC1A69}"/>
    <cellStyle name="Accent3 3" xfId="358" xr:uid="{2F71AD14-ECF3-4405-9897-F789BBB967EF}"/>
    <cellStyle name="Accent4 2" xfId="359" xr:uid="{C5A7ADF8-01DB-4AD8-B2C3-28C73857F6A8}"/>
    <cellStyle name="Accent4 2 10" xfId="360" xr:uid="{C41EFB15-DB93-4A44-A44B-1DAD147C1FB2}"/>
    <cellStyle name="Accent4 2 2" xfId="361" xr:uid="{4FF22172-B3F0-4DC0-AECA-31D243EC43B9}"/>
    <cellStyle name="Accent4 2 3" xfId="362" xr:uid="{5EAD50C4-FDA0-40AB-97A6-5DCA100864B1}"/>
    <cellStyle name="Accent4 2 4" xfId="363" xr:uid="{E6D940D7-B8CC-4C52-95BE-0937DDB7EA16}"/>
    <cellStyle name="Accent4 2 5" xfId="364" xr:uid="{1D4828FA-A962-4894-A4FA-C0323C163DE7}"/>
    <cellStyle name="Accent4 2 6" xfId="365" xr:uid="{81DB509B-37B1-4D67-9E8A-CECCAE6006A8}"/>
    <cellStyle name="Accent4 2 7" xfId="366" xr:uid="{B23891DC-114B-43FB-9D5A-379D2F9A9B70}"/>
    <cellStyle name="Accent4 2 8" xfId="367" xr:uid="{98547F56-4FD2-4BB1-B520-A0C313D8F19D}"/>
    <cellStyle name="Accent4 2 9" xfId="368" xr:uid="{219A9CF3-DDCE-4972-98A1-B57DAA57B8FB}"/>
    <cellStyle name="Accent4 3" xfId="369" xr:uid="{B857CD39-1947-4F47-8BA3-3741D2A8085A}"/>
    <cellStyle name="Accent5 2" xfId="370" xr:uid="{9747C7C6-CEA8-4111-B126-FFD1A5BBE49F}"/>
    <cellStyle name="Accent5 2 10" xfId="371" xr:uid="{A79C0ECC-3422-47E5-A9E1-CE1B97171AF6}"/>
    <cellStyle name="Accent5 2 2" xfId="372" xr:uid="{95C6C554-C113-46D3-9831-A7F4F56E6805}"/>
    <cellStyle name="Accent5 2 3" xfId="373" xr:uid="{F01F6068-758F-4E48-B5FF-E3D0AAB19D9E}"/>
    <cellStyle name="Accent5 2 4" xfId="374" xr:uid="{94200D37-6D37-4506-B318-68A01001BDED}"/>
    <cellStyle name="Accent5 2 5" xfId="375" xr:uid="{771D5EE1-F633-462F-844F-671666E73CEC}"/>
    <cellStyle name="Accent5 2 6" xfId="376" xr:uid="{A06656B2-DB9C-4284-9C1D-8134278F88B3}"/>
    <cellStyle name="Accent5 2 7" xfId="377" xr:uid="{AC0F30E7-DFD7-4AD3-9BCF-9F9C64091707}"/>
    <cellStyle name="Accent5 2 8" xfId="378" xr:uid="{51FD4187-647F-47C9-864D-73395823AB2E}"/>
    <cellStyle name="Accent5 2 9" xfId="379" xr:uid="{683CEB3D-5181-4CB6-8016-519B1C6F62FA}"/>
    <cellStyle name="Accent5 3" xfId="380" xr:uid="{FCF57ACC-E284-48F6-ABA2-B962B35F447D}"/>
    <cellStyle name="Accent6 2" xfId="381" xr:uid="{0DB54901-77D7-4FF9-B1E0-5A69B924AA14}"/>
    <cellStyle name="Accent6 2 10" xfId="382" xr:uid="{00E009F1-D694-412A-AF82-99EBD0DC85E3}"/>
    <cellStyle name="Accent6 2 2" xfId="383" xr:uid="{63FB0B92-5E39-49F1-8814-149CF8793E5D}"/>
    <cellStyle name="Accent6 2 3" xfId="384" xr:uid="{9ADAC35A-C22C-4791-AEE7-B17E2682207E}"/>
    <cellStyle name="Accent6 2 4" xfId="385" xr:uid="{D8B5CBEA-6568-4448-B36B-E61CA6FEF820}"/>
    <cellStyle name="Accent6 2 5" xfId="386" xr:uid="{78D0B1EB-2F44-44DA-89E6-E2EF9879C7FB}"/>
    <cellStyle name="Accent6 2 6" xfId="387" xr:uid="{6213B162-2F50-4520-B9BE-279E0C6E7029}"/>
    <cellStyle name="Accent6 2 7" xfId="388" xr:uid="{5D1FDBC3-64D3-4804-AF32-24B157329B1C}"/>
    <cellStyle name="Accent6 2 8" xfId="389" xr:uid="{1B33E8F6-CEBD-47C2-9951-D424BC5409CB}"/>
    <cellStyle name="Accent6 2 9" xfId="390" xr:uid="{E03025C6-7679-4999-BD02-59A0C61DFBED}"/>
    <cellStyle name="Accent6 3" xfId="391" xr:uid="{89B73422-A6CC-4C46-9726-43A2E1ADBFAC}"/>
    <cellStyle name="AggOrange_CRFReport-template" xfId="392" xr:uid="{0AF76CD9-B983-45E7-A784-6DA995A1FA3D}"/>
    <cellStyle name="AggOrange9_CRFReport-template" xfId="393" xr:uid="{FE77BECD-634F-4599-AF43-A88741BFF6E5}"/>
    <cellStyle name="Bad 2" xfId="394" xr:uid="{9B6A89F4-5143-420F-943E-522C031BB4A8}"/>
    <cellStyle name="Bad 2 10" xfId="395" xr:uid="{5493DDD0-A241-46E3-9A82-85E812F1F6F8}"/>
    <cellStyle name="Bad 2 2" xfId="396" xr:uid="{C1C5F878-6888-4691-93BA-D63C2462B6F9}"/>
    <cellStyle name="Bad 2 3" xfId="397" xr:uid="{0A7E8C76-D695-4ED1-BADE-83D11EC06017}"/>
    <cellStyle name="Bad 2 4" xfId="398" xr:uid="{F6D77C5E-B18B-4623-AECE-6224C6ECB9B5}"/>
    <cellStyle name="Bad 2 5" xfId="399" xr:uid="{35943D04-9594-4D0F-A970-6941E13193EC}"/>
    <cellStyle name="Bad 2 6" xfId="400" xr:uid="{2EE6F450-6CB6-4272-BB9D-ADFAC041F324}"/>
    <cellStyle name="Bad 2 7" xfId="401" xr:uid="{6756BD6D-1C0B-4AF6-A844-E82BBF651CB2}"/>
    <cellStyle name="Bad 2 8" xfId="402" xr:uid="{43BDBD2B-8166-4257-841B-7A600110C33B}"/>
    <cellStyle name="Bad 2 9" xfId="403" xr:uid="{871724B2-6718-4F43-A1FA-E2698DDBF92B}"/>
    <cellStyle name="Bad 3" xfId="404" xr:uid="{BDF353B0-D1BC-4A05-9BF7-5179A9172A08}"/>
    <cellStyle name="Calculation 2" xfId="405" xr:uid="{212D5441-7287-4436-A1E9-FC0A2492B1F3}"/>
    <cellStyle name="Calculation 2 10" xfId="406" xr:uid="{C643A93D-5859-4AF3-A9B9-48359D254EB0}"/>
    <cellStyle name="Calculation 2 2" xfId="407" xr:uid="{C38E56F1-020D-4F61-A2B9-C4F45E69099C}"/>
    <cellStyle name="Calculation 2 3" xfId="408" xr:uid="{3F4B1D19-3C3B-493B-996C-8BA83B96AB2D}"/>
    <cellStyle name="Calculation 2 4" xfId="409" xr:uid="{45BEFC14-CB53-453F-A1A1-69F3EA3EA480}"/>
    <cellStyle name="Calculation 2 5" xfId="410" xr:uid="{BA3CEA02-E930-4501-8F2B-3E2ECD3C7038}"/>
    <cellStyle name="Calculation 2 6" xfId="411" xr:uid="{0BD6E118-95C0-4801-AADE-B57461816BEC}"/>
    <cellStyle name="Calculation 2 7" xfId="412" xr:uid="{54114C5D-4EBD-458D-9CFE-638E6E31506D}"/>
    <cellStyle name="Calculation 2 8" xfId="413" xr:uid="{BAF30C3A-A289-4C27-8847-A38B44616025}"/>
    <cellStyle name="Calculation 2 9" xfId="414" xr:uid="{435E7ED8-32C5-49AA-9742-FBF5D8ECAB77}"/>
    <cellStyle name="Calculation 3" xfId="415" xr:uid="{5B15E31A-5F15-49E1-838E-8F527B2C0248}"/>
    <cellStyle name="Check Cell 2" xfId="416" xr:uid="{CCADF5E5-2803-413E-9ACE-8383546C27F6}"/>
    <cellStyle name="Check Cell 2 10" xfId="417" xr:uid="{A2BAA652-F251-4D52-8E52-CB78C2B2E3B8}"/>
    <cellStyle name="Check Cell 2 2" xfId="418" xr:uid="{B3F3FB08-331E-4012-A67C-CE980705D334}"/>
    <cellStyle name="Check Cell 2 3" xfId="419" xr:uid="{10F2FE1B-7955-4C2E-BBD5-0D6A76DD7547}"/>
    <cellStyle name="Check Cell 2 4" xfId="420" xr:uid="{0377BD46-DD51-4AED-B52D-B3D3F95686B0}"/>
    <cellStyle name="Check Cell 2 5" xfId="421" xr:uid="{EA0BA814-EE5F-4F5F-89C0-F885D88BC5FC}"/>
    <cellStyle name="Check Cell 2 6" xfId="422" xr:uid="{ECF7C590-F5B4-41C7-A6F8-5916BD3ED574}"/>
    <cellStyle name="Check Cell 2 7" xfId="423" xr:uid="{04E303AD-6E32-4C5E-87EC-54A29D98FCB9}"/>
    <cellStyle name="Check Cell 2 8" xfId="424" xr:uid="{CE149EDE-959D-4C3A-B2C3-54AA86D39DBC}"/>
    <cellStyle name="Check Cell 2 9" xfId="425" xr:uid="{C060E001-D8DA-417E-8D37-8FFE1752867F}"/>
    <cellStyle name="Check Cell 3" xfId="426" xr:uid="{4233C9E7-96DD-494D-B509-FC680A25C0CC}"/>
    <cellStyle name="Comma [0] 2 10" xfId="427" xr:uid="{5C22581B-F957-4AC0-BBA4-D2E3F7A9383D}"/>
    <cellStyle name="Comma [0] 2 10 2" xfId="1795" xr:uid="{1E8097DF-6E13-4E8B-8F91-F7E6D97D2746}"/>
    <cellStyle name="Comma [0] 2 2" xfId="428" xr:uid="{B7B2D2E3-815E-48B1-BDF7-6F623388FDE7}"/>
    <cellStyle name="Comma [0] 2 2 2" xfId="1796" xr:uid="{CDE4A824-B615-4FB6-9457-9248F4E645C8}"/>
    <cellStyle name="Comma [0] 2 3" xfId="429" xr:uid="{33B3E4E3-87BE-4987-B6E7-BD8F4D97854E}"/>
    <cellStyle name="Comma [0] 2 3 2" xfId="1797" xr:uid="{4A608090-878E-4D63-A0DF-68AC1C44E76E}"/>
    <cellStyle name="Comma [0] 2 4" xfId="430" xr:uid="{713F07DA-E498-47EF-ACB9-697D9B19A6E5}"/>
    <cellStyle name="Comma [0] 2 4 2" xfId="1798" xr:uid="{BB81FA39-20BD-4296-ADA0-B9D87C39F3C0}"/>
    <cellStyle name="Comma [0] 2 5" xfId="431" xr:uid="{C30A78A9-1FD9-40D4-8030-6B764FCE35A2}"/>
    <cellStyle name="Comma [0] 2 5 2" xfId="1799" xr:uid="{934A59E5-77AE-4C46-B5FD-D85D12127CE5}"/>
    <cellStyle name="Comma [0] 2 6" xfId="432" xr:uid="{B0C65578-33FB-469A-B3E6-69E39748E375}"/>
    <cellStyle name="Comma [0] 2 6 2" xfId="1800" xr:uid="{50A2D393-3540-4DEA-8DB1-FE277794FE83}"/>
    <cellStyle name="Comma [0] 2 7" xfId="433" xr:uid="{490CF748-FB79-461F-8E26-F775DFA894B2}"/>
    <cellStyle name="Comma [0] 2 7 2" xfId="1801" xr:uid="{A05BFE0E-C5C1-4001-BC9F-58CAAD06CC7D}"/>
    <cellStyle name="Comma [0] 2 8" xfId="434" xr:uid="{5B336754-DD4B-40AF-B16D-6F79D55FB6C3}"/>
    <cellStyle name="Comma [0] 2 8 2" xfId="1802" xr:uid="{F838C86B-C0C0-4FF5-9FD9-55961D454EFE}"/>
    <cellStyle name="Comma [0] 2 9" xfId="435" xr:uid="{04A8ABD0-8F61-4D23-9916-7FE4454DA1E8}"/>
    <cellStyle name="Comma [0] 2 9 2" xfId="1803" xr:uid="{A6D1AAC4-5BDC-4A17-BA5A-B0E3C83A86E5}"/>
    <cellStyle name="Comma 10" xfId="436" xr:uid="{B84752CD-1CF4-4D4A-974B-91CED8284477}"/>
    <cellStyle name="Comma 10 2" xfId="437" xr:uid="{75B22CB7-2B41-4E98-8DBC-EF8220A391E0}"/>
    <cellStyle name="Comma 10 2 10" xfId="438" xr:uid="{9885B4F9-AB25-4504-ADF1-1DD3A748F926}"/>
    <cellStyle name="Comma 10 2 10 2" xfId="1805" xr:uid="{68568B6E-E999-42E3-874B-8957AB2A0DDF}"/>
    <cellStyle name="Comma 10 2 11" xfId="439" xr:uid="{B3D5E1AB-2C64-44C9-B33E-88B17C5D51BB}"/>
    <cellStyle name="Comma 10 2 11 2" xfId="1806" xr:uid="{F9006308-B442-4019-81DD-0FAE6A01AECD}"/>
    <cellStyle name="Comma 10 2 12" xfId="440" xr:uid="{7C059276-C4B6-496A-8692-CF0A61E35B5D}"/>
    <cellStyle name="Comma 10 2 12 2" xfId="1807" xr:uid="{FF86F104-3712-4174-B579-FBE5B0595659}"/>
    <cellStyle name="Comma 10 2 13" xfId="441" xr:uid="{0C0FBCF5-A9FB-403C-B996-E3B8BDBFB302}"/>
    <cellStyle name="Comma 10 2 13 2" xfId="1808" xr:uid="{1FA3E8D9-8A44-4A6D-8979-EC174E02B8D7}"/>
    <cellStyle name="Comma 10 2 14" xfId="442" xr:uid="{60DB1B11-C431-47BD-BA33-EEAB73B4C7A9}"/>
    <cellStyle name="Comma 10 2 14 2" xfId="1809" xr:uid="{66FD628F-21F3-43E0-AD5D-D85CC4519D61}"/>
    <cellStyle name="Comma 10 2 15" xfId="443" xr:uid="{E3BF7E2C-C671-4B63-A976-314401340412}"/>
    <cellStyle name="Comma 10 2 15 2" xfId="1810" xr:uid="{0A0ABF7D-B687-4EDD-B5DB-EE82A82D7DBC}"/>
    <cellStyle name="Comma 10 2 16" xfId="444" xr:uid="{2A09784C-5350-463C-8DC2-954BF3F75130}"/>
    <cellStyle name="Comma 10 2 16 2" xfId="1811" xr:uid="{B02F01B9-469A-4CE1-BC0F-2E09ED796A02}"/>
    <cellStyle name="Comma 10 2 17" xfId="445" xr:uid="{112C4277-F4EA-47BF-8F31-3F4AE8B89951}"/>
    <cellStyle name="Comma 10 2 17 2" xfId="1812" xr:uid="{D441D1A8-239C-467F-A310-F44E9BE04ABA}"/>
    <cellStyle name="Comma 10 2 18" xfId="1804" xr:uid="{9E1A8D82-909D-42E2-91F7-62D340D4E912}"/>
    <cellStyle name="Comma 10 2 2" xfId="446" xr:uid="{F9A365AF-E134-447E-AC1F-FB322A4DF888}"/>
    <cellStyle name="Comma 10 2 2 2" xfId="1813" xr:uid="{B7FAC2D8-9EC9-49A3-B355-61C308037ADB}"/>
    <cellStyle name="Comma 10 2 3" xfId="447" xr:uid="{972423C8-0F46-4914-BE6F-7300A484D8FB}"/>
    <cellStyle name="Comma 10 2 3 2" xfId="1814" xr:uid="{178F91DB-3054-4559-822E-263E11FF755C}"/>
    <cellStyle name="Comma 10 2 4" xfId="448" xr:uid="{D502DEA1-E323-46AD-9011-63997C6DF263}"/>
    <cellStyle name="Comma 10 2 4 2" xfId="1815" xr:uid="{F665F1B0-34B6-487D-8AF1-5BAC370FE73E}"/>
    <cellStyle name="Comma 10 2 5" xfId="449" xr:uid="{9295C532-A2C6-40C8-9F1C-BE56011E7584}"/>
    <cellStyle name="Comma 10 2 5 2" xfId="1816" xr:uid="{931F8990-9DE0-431C-8918-5A2D576B5837}"/>
    <cellStyle name="Comma 10 2 6" xfId="450" xr:uid="{3ACACB36-3143-49B9-BC6B-7E9371CE6397}"/>
    <cellStyle name="Comma 10 2 6 2" xfId="1817" xr:uid="{523307F4-499B-4234-BDC1-09A70AF11ADC}"/>
    <cellStyle name="Comma 10 2 7" xfId="451" xr:uid="{8B754EA8-A8CA-486C-B65F-AB12B149912F}"/>
    <cellStyle name="Comma 10 2 7 2" xfId="1818" xr:uid="{867466FB-2872-4D2E-AD21-E5B7143C6F95}"/>
    <cellStyle name="Comma 10 2 8" xfId="452" xr:uid="{37F640F7-D17E-4254-9329-DC40895CE03C}"/>
    <cellStyle name="Comma 10 2 8 2" xfId="1819" xr:uid="{838DCE8B-3F8E-48E7-94EB-DF285DF73D12}"/>
    <cellStyle name="Comma 10 2 9" xfId="453" xr:uid="{598D8F26-FD3E-4E7C-ABEA-4307933E742F}"/>
    <cellStyle name="Comma 10 2 9 2" xfId="1820" xr:uid="{343D8714-4C3F-4B0E-94BE-68B8752F73BC}"/>
    <cellStyle name="Comma 10 3" xfId="454" xr:uid="{C836A8E4-E00F-418E-B993-781F0A0AE2F4}"/>
    <cellStyle name="Comma 10 3 10" xfId="455" xr:uid="{0500B509-96A2-4E6A-A5C2-CD3A04E85F59}"/>
    <cellStyle name="Comma 10 3 10 2" xfId="1822" xr:uid="{ECA3BA75-EC4F-40EB-9C83-D350E4AF3D55}"/>
    <cellStyle name="Comma 10 3 11" xfId="456" xr:uid="{0AC2B2C9-8994-4ABE-A045-F744D7005D28}"/>
    <cellStyle name="Comma 10 3 11 2" xfId="1823" xr:uid="{85899089-4B58-4920-A10E-C3C5CACDB55E}"/>
    <cellStyle name="Comma 10 3 12" xfId="457" xr:uid="{1125FF0A-E87E-4857-BEDE-FC7F6B35D038}"/>
    <cellStyle name="Comma 10 3 12 2" xfId="1824" xr:uid="{14AA56E1-CBCF-4444-B1AE-05DCFA367F46}"/>
    <cellStyle name="Comma 10 3 13" xfId="458" xr:uid="{C58D0962-D7E9-4505-BE9A-5BDF078BB7C5}"/>
    <cellStyle name="Comma 10 3 13 2" xfId="1825" xr:uid="{EC9ED29B-5DD6-42B7-BC43-FA919DC13786}"/>
    <cellStyle name="Comma 10 3 14" xfId="459" xr:uid="{C9DDAF77-07E7-41EB-A96A-9F2693E9DCEA}"/>
    <cellStyle name="Comma 10 3 14 2" xfId="1826" xr:uid="{04BA816A-6E78-42E3-8839-16A105B10EE9}"/>
    <cellStyle name="Comma 10 3 15" xfId="460" xr:uid="{A960B6CB-16B4-4EAD-9968-CDB0861E4F3F}"/>
    <cellStyle name="Comma 10 3 15 2" xfId="1827" xr:uid="{0A494EC1-AC94-4F2B-9960-E085429204BC}"/>
    <cellStyle name="Comma 10 3 16" xfId="461" xr:uid="{385B8882-586E-4419-B47E-1D3C8C5440D4}"/>
    <cellStyle name="Comma 10 3 16 2" xfId="1828" xr:uid="{31BE483F-3525-4835-AD59-7BD3FC5E04FC}"/>
    <cellStyle name="Comma 10 3 17" xfId="462" xr:uid="{A0E5958E-7DF3-4B63-8EBA-54A8F483E1E7}"/>
    <cellStyle name="Comma 10 3 17 2" xfId="1829" xr:uid="{AE1225D0-B1B5-4F77-97DA-31D8152559CC}"/>
    <cellStyle name="Comma 10 3 18" xfId="1821" xr:uid="{8BFEE741-FAA4-43A9-A3E6-4997E8239C86}"/>
    <cellStyle name="Comma 10 3 2" xfId="463" xr:uid="{02FCCBA3-A24A-44FB-B093-28B028D547C8}"/>
    <cellStyle name="Comma 10 3 2 2" xfId="1830" xr:uid="{23686CC5-55BB-4CCF-8997-00D57DBD2D78}"/>
    <cellStyle name="Comma 10 3 3" xfId="464" xr:uid="{4B90A3C1-9DF4-418B-896E-C31E38B92B29}"/>
    <cellStyle name="Comma 10 3 3 2" xfId="1831" xr:uid="{6B57A84F-6B88-4194-987F-AAE378FD7751}"/>
    <cellStyle name="Comma 10 3 4" xfId="465" xr:uid="{656DED6A-F413-40A0-BD4D-9031893F46DD}"/>
    <cellStyle name="Comma 10 3 4 2" xfId="1832" xr:uid="{2C50E074-6353-48F0-9EFD-1DBF7F35BB2D}"/>
    <cellStyle name="Comma 10 3 5" xfId="466" xr:uid="{9F57EBCB-166B-4E59-9BFA-EB9DCB9B1717}"/>
    <cellStyle name="Comma 10 3 5 2" xfId="1833" xr:uid="{85C72C4E-5E9C-4861-9141-DD8BA92F5ED5}"/>
    <cellStyle name="Comma 10 3 6" xfId="467" xr:uid="{D04CEC4B-4E1F-4B51-BBC2-72BD584CED60}"/>
    <cellStyle name="Comma 10 3 6 2" xfId="1834" xr:uid="{21A3E589-4FCC-4346-B647-E741A77C7058}"/>
    <cellStyle name="Comma 10 3 7" xfId="468" xr:uid="{8632A65E-7CC6-4A0B-BF1F-075B1FF2D02C}"/>
    <cellStyle name="Comma 10 3 7 2" xfId="1835" xr:uid="{3BD4E4D7-A626-47A6-B8F7-B5D24F759CFC}"/>
    <cellStyle name="Comma 10 3 8" xfId="469" xr:uid="{45536021-4172-43D7-8FDE-2C1D32EEE579}"/>
    <cellStyle name="Comma 10 3 8 2" xfId="1836" xr:uid="{474EDD59-1B5A-4346-BA3C-BC760FF4455B}"/>
    <cellStyle name="Comma 10 3 9" xfId="470" xr:uid="{D8C1F0CF-8F19-4F8C-9AE8-988ABD765C24}"/>
    <cellStyle name="Comma 10 3 9 2" xfId="1837" xr:uid="{9AF63EFF-C1F8-45FE-8D94-45F87411CEFB}"/>
    <cellStyle name="Comma 10 4" xfId="471" xr:uid="{1FC8E51D-7A55-4A2D-9A96-E2E68FC1CD2C}"/>
    <cellStyle name="Comma 10 4 10" xfId="472" xr:uid="{5C535DF1-2D42-473B-A557-53F301495D4A}"/>
    <cellStyle name="Comma 10 4 10 2" xfId="1839" xr:uid="{08837B80-C11A-4638-B13C-B96954E0BA46}"/>
    <cellStyle name="Comma 10 4 11" xfId="473" xr:uid="{9EE872FD-9AF8-4BDE-8B6E-B7DEA3EFA4FD}"/>
    <cellStyle name="Comma 10 4 11 2" xfId="1840" xr:uid="{90D7C3FE-09D4-4233-819E-270B1676C0B5}"/>
    <cellStyle name="Comma 10 4 12" xfId="474" xr:uid="{0183D331-A008-43C1-AB2F-62F4AA5FBE42}"/>
    <cellStyle name="Comma 10 4 12 2" xfId="1841" xr:uid="{F0C63622-7B26-4C6F-BE20-9749B8FB048E}"/>
    <cellStyle name="Comma 10 4 13" xfId="475" xr:uid="{7FA548AD-6260-4B08-AD2F-74CF77811AA8}"/>
    <cellStyle name="Comma 10 4 13 2" xfId="1842" xr:uid="{45297738-E03A-44DD-84EC-ADE3BE5C0973}"/>
    <cellStyle name="Comma 10 4 14" xfId="476" xr:uid="{B6BB9E16-9A8C-4C1E-AE74-CB555CE93BF7}"/>
    <cellStyle name="Comma 10 4 14 2" xfId="1843" xr:uid="{D78C5D76-E2A7-4BFA-B5D3-703B349FF9B7}"/>
    <cellStyle name="Comma 10 4 15" xfId="477" xr:uid="{B80F1316-8BE7-4EDC-9375-E1028A45CDE3}"/>
    <cellStyle name="Comma 10 4 15 2" xfId="1844" xr:uid="{E62FB50F-09CB-4CDD-973D-6792467D3BC9}"/>
    <cellStyle name="Comma 10 4 16" xfId="478" xr:uid="{7BAD4BC1-3ED9-4D7C-8F8E-40CC6A677972}"/>
    <cellStyle name="Comma 10 4 16 2" xfId="1845" xr:uid="{B226BECE-C69B-410D-A3EB-2D109B48003D}"/>
    <cellStyle name="Comma 10 4 17" xfId="479" xr:uid="{E2CFE3A2-4F64-4221-B197-B587A92C334A}"/>
    <cellStyle name="Comma 10 4 17 2" xfId="1846" xr:uid="{1820B309-58BA-4AC9-AC11-22DAA5FE744C}"/>
    <cellStyle name="Comma 10 4 18" xfId="1838" xr:uid="{8D8CCC51-0CA2-4632-BE5B-507447F7E9CB}"/>
    <cellStyle name="Comma 10 4 2" xfId="480" xr:uid="{2B3BAAAD-2C23-4D99-BC0C-4BF3D450C09C}"/>
    <cellStyle name="Comma 10 4 2 2" xfId="1847" xr:uid="{9A967F53-D347-468A-AF3E-5937DB470DD8}"/>
    <cellStyle name="Comma 10 4 3" xfId="481" xr:uid="{AC5AE8EC-692E-4A1E-9BDA-AC4CFFF0A172}"/>
    <cellStyle name="Comma 10 4 3 2" xfId="1848" xr:uid="{6D3053D3-5913-450E-8700-726D2CEE7E2B}"/>
    <cellStyle name="Comma 10 4 4" xfId="482" xr:uid="{6E105074-7B15-40C0-AB8B-82F2738FF4B9}"/>
    <cellStyle name="Comma 10 4 4 2" xfId="1849" xr:uid="{5E42BBBF-FCD3-4ABA-9EF9-6E4306357F57}"/>
    <cellStyle name="Comma 10 4 5" xfId="483" xr:uid="{0AF5F8CD-61CA-49B3-8A32-608D35474CAB}"/>
    <cellStyle name="Comma 10 4 5 2" xfId="1850" xr:uid="{058C95BE-162E-46CA-A02F-E9D75D5BF1E0}"/>
    <cellStyle name="Comma 10 4 6" xfId="484" xr:uid="{3C99FA3A-58C6-4264-BFA0-174274D651EE}"/>
    <cellStyle name="Comma 10 4 6 2" xfId="1851" xr:uid="{0414AF60-DDAA-481A-9F81-046C44962650}"/>
    <cellStyle name="Comma 10 4 7" xfId="485" xr:uid="{4F117607-85E9-4717-A777-911A7744BD35}"/>
    <cellStyle name="Comma 10 4 7 2" xfId="1852" xr:uid="{3AA4C519-8C5C-44C1-B6C1-F8A68F17A5D4}"/>
    <cellStyle name="Comma 10 4 8" xfId="486" xr:uid="{ABA6179F-4EDF-4D38-886F-566F2FDD107B}"/>
    <cellStyle name="Comma 10 4 8 2" xfId="1853" xr:uid="{7E840DC9-74CD-4530-A26F-91E579306162}"/>
    <cellStyle name="Comma 10 4 9" xfId="487" xr:uid="{A30CEA13-0D79-43F4-8B41-A46339391E11}"/>
    <cellStyle name="Comma 10 4 9 2" xfId="1854" xr:uid="{90658F46-6CBE-4419-B887-CCBC90BDFD45}"/>
    <cellStyle name="Comma 10 5" xfId="488" xr:uid="{1BA3C638-C990-4489-9711-A8C03DCBB472}"/>
    <cellStyle name="Comma 10 5 10" xfId="489" xr:uid="{47F56DFB-AD00-46BE-984C-0DB914471D14}"/>
    <cellStyle name="Comma 10 5 10 2" xfId="1856" xr:uid="{85C99C32-BC4C-4751-A332-BCE8A93E6CAC}"/>
    <cellStyle name="Comma 10 5 11" xfId="490" xr:uid="{A804B3E4-7818-4C81-BFEC-25C4E5DB2A62}"/>
    <cellStyle name="Comma 10 5 11 2" xfId="1857" xr:uid="{F0244C57-F0BE-4EDB-ADFC-D7DF8A5FE579}"/>
    <cellStyle name="Comma 10 5 12" xfId="491" xr:uid="{DC75B044-384C-4F5E-9ACF-AAF965C80ADD}"/>
    <cellStyle name="Comma 10 5 12 2" xfId="1858" xr:uid="{19C39860-6E38-4A13-B69F-B92C870BF3E7}"/>
    <cellStyle name="Comma 10 5 13" xfId="492" xr:uid="{6DEACAF8-E9DA-4EB4-AA58-A518153DB426}"/>
    <cellStyle name="Comma 10 5 13 2" xfId="1859" xr:uid="{E6674BBB-2AAF-4DDB-B1F7-6FE03F94D0AB}"/>
    <cellStyle name="Comma 10 5 14" xfId="493" xr:uid="{C5E5D717-3B91-4DFB-BCBE-70ED4A31C5D6}"/>
    <cellStyle name="Comma 10 5 14 2" xfId="1860" xr:uid="{FD83E835-EFE8-4878-A9D2-5F863E02FEB5}"/>
    <cellStyle name="Comma 10 5 15" xfId="494" xr:uid="{C36A0C07-D3A3-458F-B6B7-F3EBA59790B0}"/>
    <cellStyle name="Comma 10 5 15 2" xfId="1861" xr:uid="{1937C684-81B2-47C4-89F2-573A04C96340}"/>
    <cellStyle name="Comma 10 5 16" xfId="495" xr:uid="{88566B11-361C-4F26-8887-BB96A5A28439}"/>
    <cellStyle name="Comma 10 5 16 2" xfId="1862" xr:uid="{3EC740F9-78F6-481F-9874-9CC041C7FED1}"/>
    <cellStyle name="Comma 10 5 17" xfId="496" xr:uid="{296E8085-AEFB-4EB1-9B9F-EA31ACA5024C}"/>
    <cellStyle name="Comma 10 5 17 2" xfId="1863" xr:uid="{60E01FC4-A30F-434F-855D-BC0FF56CCDAF}"/>
    <cellStyle name="Comma 10 5 18" xfId="1855" xr:uid="{1E1B5580-5D3C-4676-94EB-D046ECE240BF}"/>
    <cellStyle name="Comma 10 5 2" xfId="497" xr:uid="{AD43DA23-82ED-4DBB-A940-7CC7540C1003}"/>
    <cellStyle name="Comma 10 5 2 2" xfId="1864" xr:uid="{061A9D10-BDB0-4999-9CC2-583518FD021A}"/>
    <cellStyle name="Comma 10 5 3" xfId="498" xr:uid="{7E2100F5-01FC-472F-9CA1-61B3B06B147A}"/>
    <cellStyle name="Comma 10 5 3 2" xfId="1865" xr:uid="{2CABE518-C4D0-4689-8EB9-710818A9B41C}"/>
    <cellStyle name="Comma 10 5 4" xfId="499" xr:uid="{21A9B3DF-1F2A-427D-883E-C7C3FBCF3E20}"/>
    <cellStyle name="Comma 10 5 4 2" xfId="1866" xr:uid="{52FB1963-1EFB-4204-8DB7-575AB085C955}"/>
    <cellStyle name="Comma 10 5 5" xfId="500" xr:uid="{F99F1D2D-9E2C-4E9B-8A0D-EA1DE0D8285A}"/>
    <cellStyle name="Comma 10 5 5 2" xfId="1867" xr:uid="{F6920A71-3BDA-44B8-8C47-925ECB5613D2}"/>
    <cellStyle name="Comma 10 5 6" xfId="501" xr:uid="{DAD11E17-7A5B-49AE-BF9D-26C93CE76FBE}"/>
    <cellStyle name="Comma 10 5 6 2" xfId="1868" xr:uid="{E1F180AD-3A57-4A13-9FFA-F0E3389D3A62}"/>
    <cellStyle name="Comma 10 5 7" xfId="502" xr:uid="{94FA7E82-88D9-4814-BCAA-0AD8DC1D2BB5}"/>
    <cellStyle name="Comma 10 5 7 2" xfId="1869" xr:uid="{582317C4-217D-4C4B-B0ED-AC1191DB6E25}"/>
    <cellStyle name="Comma 10 5 8" xfId="503" xr:uid="{3B5A6B59-D4E3-435A-A3B8-45BA7C75CB89}"/>
    <cellStyle name="Comma 10 5 8 2" xfId="1870" xr:uid="{BD3BA375-7653-4116-8D75-7AF0E089837C}"/>
    <cellStyle name="Comma 10 5 9" xfId="504" xr:uid="{B0D62E77-09E8-40EE-934A-64D521479426}"/>
    <cellStyle name="Comma 10 5 9 2" xfId="1871" xr:uid="{70F711C9-E099-4157-8A88-8658CD99EB55}"/>
    <cellStyle name="Comma 10 6" xfId="505" xr:uid="{1D7856AD-F397-459F-8D7E-30E32E3A6E29}"/>
    <cellStyle name="Comma 10 6 10" xfId="506" xr:uid="{B3EE3763-A39F-47A3-92FE-F35EB917C38B}"/>
    <cellStyle name="Comma 10 6 10 2" xfId="1873" xr:uid="{4A3FEE21-4E51-4269-9E54-5350DD9EC3A1}"/>
    <cellStyle name="Comma 10 6 11" xfId="507" xr:uid="{73769638-F686-4809-8220-7A8C2F307484}"/>
    <cellStyle name="Comma 10 6 11 2" xfId="1874" xr:uid="{23228D89-C6C9-419A-8637-45365A541134}"/>
    <cellStyle name="Comma 10 6 12" xfId="508" xr:uid="{E4CA01D6-57FA-4C67-BA7F-423628D5A485}"/>
    <cellStyle name="Comma 10 6 12 2" xfId="1875" xr:uid="{440AA7CD-6D2B-4BC0-A429-20B0D9C1E671}"/>
    <cellStyle name="Comma 10 6 13" xfId="509" xr:uid="{6F2B1395-DAA1-4F7D-906E-C7699928CD8F}"/>
    <cellStyle name="Comma 10 6 13 2" xfId="1876" xr:uid="{F1BF9132-3A8B-40AA-B485-024177B3A33E}"/>
    <cellStyle name="Comma 10 6 14" xfId="510" xr:uid="{9A2E7F41-F234-4149-BADC-959B9B274518}"/>
    <cellStyle name="Comma 10 6 14 2" xfId="1877" xr:uid="{5E3DA2C3-5E61-40DC-B796-820C3109AEDC}"/>
    <cellStyle name="Comma 10 6 15" xfId="511" xr:uid="{76AF71F0-9A81-426B-B5D2-A2B0F9FF809E}"/>
    <cellStyle name="Comma 10 6 15 2" xfId="1878" xr:uid="{DBC193BB-6B59-44E6-816D-DF2E52D2CA43}"/>
    <cellStyle name="Comma 10 6 16" xfId="512" xr:uid="{8660209F-340C-468F-BFBC-65B80562817F}"/>
    <cellStyle name="Comma 10 6 16 2" xfId="1879" xr:uid="{DAF12779-B426-427F-B710-51825AE12004}"/>
    <cellStyle name="Comma 10 6 17" xfId="513" xr:uid="{E69AC131-AAA6-4DBB-8256-843892B94CB6}"/>
    <cellStyle name="Comma 10 6 17 2" xfId="1880" xr:uid="{B1F0FADD-E855-42C0-B7FE-2878FDE14DD7}"/>
    <cellStyle name="Comma 10 6 18" xfId="1872" xr:uid="{061E03A1-8571-4EA1-841E-3A349D77FE40}"/>
    <cellStyle name="Comma 10 6 2" xfId="514" xr:uid="{D900A186-AB99-4C8F-9439-D3CC6469E922}"/>
    <cellStyle name="Comma 10 6 2 2" xfId="1881" xr:uid="{C6CCDAE5-44A2-4B83-A1BB-873467F95650}"/>
    <cellStyle name="Comma 10 6 3" xfId="515" xr:uid="{88297BE9-6B02-443C-9BE5-B030713E22E8}"/>
    <cellStyle name="Comma 10 6 3 2" xfId="1882" xr:uid="{A2745534-7F97-43D4-A5FC-78526CBCC0E2}"/>
    <cellStyle name="Comma 10 6 4" xfId="516" xr:uid="{C7A7D7EF-0DBA-4EAE-A1B9-77139D3AEC90}"/>
    <cellStyle name="Comma 10 6 4 2" xfId="1883" xr:uid="{3A3C384B-A6E0-4A52-A067-DBC941791BE8}"/>
    <cellStyle name="Comma 10 6 5" xfId="517" xr:uid="{777E17BB-076D-401B-9726-116FA2732123}"/>
    <cellStyle name="Comma 10 6 5 2" xfId="1884" xr:uid="{5ED34D41-2464-4EEE-8580-BBC3BE71DD7D}"/>
    <cellStyle name="Comma 10 6 6" xfId="518" xr:uid="{10C94212-85E7-4E6B-BF91-67A8AD83E9A4}"/>
    <cellStyle name="Comma 10 6 6 2" xfId="1885" xr:uid="{66FBADE2-0C4C-46DD-9407-7D4330839DA6}"/>
    <cellStyle name="Comma 10 6 7" xfId="519" xr:uid="{B1AD51A7-FBFF-4168-AD20-E8B82A8179AB}"/>
    <cellStyle name="Comma 10 6 7 2" xfId="1886" xr:uid="{B8A45CC1-9F5F-434A-B4DE-6FB8D9297430}"/>
    <cellStyle name="Comma 10 6 8" xfId="520" xr:uid="{41A7250E-A0C7-4CC1-B663-D3021E0F2584}"/>
    <cellStyle name="Comma 10 6 8 2" xfId="1887" xr:uid="{41E04041-8173-4933-A30A-4A2D2F10342F}"/>
    <cellStyle name="Comma 10 6 9" xfId="521" xr:uid="{215EA91B-0D4F-4815-A010-2D8D652FA79B}"/>
    <cellStyle name="Comma 10 6 9 2" xfId="1888" xr:uid="{4C632F3D-6661-45F2-825E-CF8D70A368B6}"/>
    <cellStyle name="Comma 10 7" xfId="522" xr:uid="{FFB8D0A8-3660-49F7-8C07-0BD2958E0E62}"/>
    <cellStyle name="Comma 10 7 10" xfId="523" xr:uid="{DC293378-8795-4455-B3EE-9B41D0B7D8E1}"/>
    <cellStyle name="Comma 10 7 10 2" xfId="1890" xr:uid="{F3BB5D42-A9C2-40F1-91D3-9ECD29974599}"/>
    <cellStyle name="Comma 10 7 11" xfId="524" xr:uid="{2CFA98D4-2253-4E2A-8BDD-6A969E066847}"/>
    <cellStyle name="Comma 10 7 11 2" xfId="1891" xr:uid="{0000EA5D-1F9B-411D-B70E-277F02735EB1}"/>
    <cellStyle name="Comma 10 7 12" xfId="525" xr:uid="{18604FE5-78E3-4330-8F02-5AD8F0CDA383}"/>
    <cellStyle name="Comma 10 7 12 2" xfId="1892" xr:uid="{0691C48C-270F-40AE-95F3-73BD37025E25}"/>
    <cellStyle name="Comma 10 7 13" xfId="526" xr:uid="{9E1CC30E-06E7-4720-9BF2-8B502C7B1EA6}"/>
    <cellStyle name="Comma 10 7 13 2" xfId="1893" xr:uid="{35499ACD-7E07-4FE4-93E6-1B8448078905}"/>
    <cellStyle name="Comma 10 7 14" xfId="527" xr:uid="{FA30D4D0-4695-401E-A48B-72706A2881AE}"/>
    <cellStyle name="Comma 10 7 14 2" xfId="1894" xr:uid="{AD1D4BBF-456E-49C7-A892-F59ED4A3D6ED}"/>
    <cellStyle name="Comma 10 7 15" xfId="528" xr:uid="{ACED81F7-D4DB-4E7F-9B1C-DA2BEA5B9D4D}"/>
    <cellStyle name="Comma 10 7 15 2" xfId="1895" xr:uid="{F7CD83A0-4259-4965-AB39-89F39D4F5313}"/>
    <cellStyle name="Comma 10 7 16" xfId="529" xr:uid="{CCD14A04-F70C-4837-89A7-6E2361ED68B7}"/>
    <cellStyle name="Comma 10 7 16 2" xfId="1896" xr:uid="{26B1CB4F-AB32-4850-83E2-A2AEACBAA974}"/>
    <cellStyle name="Comma 10 7 17" xfId="530" xr:uid="{AA711A3F-9343-4505-91B0-AD06AC3D3C67}"/>
    <cellStyle name="Comma 10 7 17 2" xfId="1897" xr:uid="{D1168734-1021-4B2A-ADED-5E6A01BCFFFE}"/>
    <cellStyle name="Comma 10 7 18" xfId="1889" xr:uid="{44895E76-A83D-4EA0-B7E8-5244EE6C198A}"/>
    <cellStyle name="Comma 10 7 2" xfId="531" xr:uid="{9E365680-13FA-46A0-AD61-3B8D83833C8A}"/>
    <cellStyle name="Comma 10 7 2 2" xfId="1898" xr:uid="{3862A80B-DF25-4C9D-8A46-8AFD17F8B32F}"/>
    <cellStyle name="Comma 10 7 3" xfId="532" xr:uid="{6B4BD98C-9008-4265-89DB-6752BB1A93D9}"/>
    <cellStyle name="Comma 10 7 3 2" xfId="1899" xr:uid="{370B3B09-ECB5-42B5-8F50-6FA106961C4F}"/>
    <cellStyle name="Comma 10 7 4" xfId="533" xr:uid="{AA1AA09D-B2D8-4122-A14B-DA0269D1319E}"/>
    <cellStyle name="Comma 10 7 4 2" xfId="1900" xr:uid="{BAF3F38F-1D40-4DDA-B92C-B77BCCD8D782}"/>
    <cellStyle name="Comma 10 7 5" xfId="534" xr:uid="{1843B817-79EA-40CA-98D9-E19B81BEA4F7}"/>
    <cellStyle name="Comma 10 7 5 2" xfId="1901" xr:uid="{160ED771-A390-4E66-AEB3-5383892BC4E5}"/>
    <cellStyle name="Comma 10 7 6" xfId="535" xr:uid="{A86C681F-D3C9-42FB-8888-9275342EE727}"/>
    <cellStyle name="Comma 10 7 6 2" xfId="1902" xr:uid="{1BDBE627-6AE6-4414-917E-B4175D6FB0C8}"/>
    <cellStyle name="Comma 10 7 7" xfId="536" xr:uid="{6AB92CB6-6A11-4CDC-AE1B-1120F21CEDB2}"/>
    <cellStyle name="Comma 10 7 7 2" xfId="1903" xr:uid="{186FADB8-3CE4-45AD-9DCC-C1A16281FFDF}"/>
    <cellStyle name="Comma 10 7 8" xfId="537" xr:uid="{951A41FA-3B7F-4C6F-95BF-43F41E4F9D19}"/>
    <cellStyle name="Comma 10 7 8 2" xfId="1904" xr:uid="{46ED8B2A-C803-4CE3-9CDD-1FA42607C088}"/>
    <cellStyle name="Comma 10 7 9" xfId="538" xr:uid="{BB071C79-6289-4350-972F-DB9AD5A47EB3}"/>
    <cellStyle name="Comma 10 7 9 2" xfId="1905" xr:uid="{FC897805-09A9-42FB-B636-7F922A40146E}"/>
    <cellStyle name="Comma 10 8" xfId="539" xr:uid="{0F4ADD57-E6E8-4130-9C27-BCC8F3537D8D}"/>
    <cellStyle name="Comma 10 8 10" xfId="540" xr:uid="{D50C4095-AC4A-4ACB-96F2-A49A91E87707}"/>
    <cellStyle name="Comma 10 8 10 2" xfId="1907" xr:uid="{FDC8970E-E06C-460D-8674-23AE54835FDB}"/>
    <cellStyle name="Comma 10 8 11" xfId="541" xr:uid="{1510BFD2-0935-42FB-9AE0-A39591DABACF}"/>
    <cellStyle name="Comma 10 8 11 2" xfId="1908" xr:uid="{5F558481-BA19-4AFF-8A03-EF982DB39CCA}"/>
    <cellStyle name="Comma 10 8 12" xfId="542" xr:uid="{3E47774C-0594-49E5-855B-BA9812F4AA51}"/>
    <cellStyle name="Comma 10 8 12 2" xfId="1909" xr:uid="{A3A77477-7D19-445A-B61E-F4ABF923E00A}"/>
    <cellStyle name="Comma 10 8 13" xfId="543" xr:uid="{41936BC5-2C44-4F04-9770-5806CF36E96A}"/>
    <cellStyle name="Comma 10 8 13 2" xfId="1910" xr:uid="{8518EA55-46A3-4683-954A-C2655D46091E}"/>
    <cellStyle name="Comma 10 8 14" xfId="544" xr:uid="{ADB35F3C-5A43-47E0-9508-1E9FFBBA4AFD}"/>
    <cellStyle name="Comma 10 8 14 2" xfId="1911" xr:uid="{8DEB0C8E-8D69-4296-8023-1DB488B87728}"/>
    <cellStyle name="Comma 10 8 15" xfId="545" xr:uid="{59C0D70A-A343-4D3C-9C54-9D745ED70E78}"/>
    <cellStyle name="Comma 10 8 15 2" xfId="1912" xr:uid="{9AB8C056-F667-48ED-8735-AAF2A6E38458}"/>
    <cellStyle name="Comma 10 8 16" xfId="546" xr:uid="{0B0D1998-02D8-4B92-9F99-715DC99B5244}"/>
    <cellStyle name="Comma 10 8 16 2" xfId="1913" xr:uid="{CD8C50F3-028F-42BC-AFA6-711865543A61}"/>
    <cellStyle name="Comma 10 8 17" xfId="547" xr:uid="{AA25CC77-0196-4964-9EA9-C72587A2050A}"/>
    <cellStyle name="Comma 10 8 17 2" xfId="1914" xr:uid="{377C4800-D911-4987-B41D-0FBA836B56E2}"/>
    <cellStyle name="Comma 10 8 18" xfId="1906" xr:uid="{F06B7B59-AF12-4AA4-811B-4C81C85D1A98}"/>
    <cellStyle name="Comma 10 8 2" xfId="548" xr:uid="{891FE687-3B37-4AEE-B27A-B5F417FFBD36}"/>
    <cellStyle name="Comma 10 8 2 2" xfId="1915" xr:uid="{7DE9832A-EF10-415D-A54B-08C339FE9405}"/>
    <cellStyle name="Comma 10 8 3" xfId="549" xr:uid="{0E993F11-D0FF-46EF-8B34-620B186897DF}"/>
    <cellStyle name="Comma 10 8 3 2" xfId="1916" xr:uid="{ABDA5B20-0A16-417C-9704-940A5B79E84D}"/>
    <cellStyle name="Comma 10 8 4" xfId="550" xr:uid="{B5AF6023-53F9-4E72-9221-C1FF91E71BBB}"/>
    <cellStyle name="Comma 10 8 4 2" xfId="1917" xr:uid="{6E9A2F81-2E0D-4701-8504-4E98D2B44F6A}"/>
    <cellStyle name="Comma 10 8 5" xfId="551" xr:uid="{CC09D3B4-BD34-41F2-A2FE-B1901934FB20}"/>
    <cellStyle name="Comma 10 8 5 2" xfId="1918" xr:uid="{EF96B93B-40D0-49EF-9709-966A84E33520}"/>
    <cellStyle name="Comma 10 8 6" xfId="552" xr:uid="{7CA2DECE-5F9C-4F27-84AC-1034FC8D1843}"/>
    <cellStyle name="Comma 10 8 6 2" xfId="1919" xr:uid="{1A509539-DA1B-4190-99BA-055177B97C68}"/>
    <cellStyle name="Comma 10 8 7" xfId="553" xr:uid="{9D92F382-F40E-4399-87D1-E6043282C0E7}"/>
    <cellStyle name="Comma 10 8 7 2" xfId="1920" xr:uid="{40D2046D-182A-49A7-9EB7-CBA2F03483DC}"/>
    <cellStyle name="Comma 10 8 8" xfId="554" xr:uid="{916FB25D-0EDE-4F73-ACAA-11877A678E01}"/>
    <cellStyle name="Comma 10 8 8 2" xfId="1921" xr:uid="{B3ECB720-1977-4E06-9DF5-C48BD18BF9D0}"/>
    <cellStyle name="Comma 10 8 9" xfId="555" xr:uid="{455C9B9D-80E8-4ADB-B341-311FDBC4238B}"/>
    <cellStyle name="Comma 10 8 9 2" xfId="1922" xr:uid="{ED49DF2C-3540-47E3-887E-545C44696E09}"/>
    <cellStyle name="Comma 11" xfId="556" xr:uid="{2CA736DD-16EA-4749-AF5C-C9617F4037A3}"/>
    <cellStyle name="Comma 12" xfId="557" xr:uid="{2FF1976B-13AF-4596-984D-332C3602196E}"/>
    <cellStyle name="Comma 13" xfId="558" xr:uid="{02B1CC64-430B-4674-A939-6EA455EA8185}"/>
    <cellStyle name="Comma 14" xfId="559" xr:uid="{FF7CA3A5-0A0B-4861-B7BF-158773BCAEE3}"/>
    <cellStyle name="Comma 15" xfId="560" xr:uid="{DC441625-6C79-4546-BDC5-69BDC78454F0}"/>
    <cellStyle name="Comma 16" xfId="561" xr:uid="{948D8176-1BE6-4837-B348-E842FDF80CDD}"/>
    <cellStyle name="Comma 17" xfId="562" xr:uid="{B31958D7-A04E-40BE-9482-5F8BFE477766}"/>
    <cellStyle name="Comma 18" xfId="563" xr:uid="{55CC733C-B93B-4D07-9938-0E0525D62D23}"/>
    <cellStyle name="Comma 19" xfId="564" xr:uid="{1167A52C-5912-47A2-B585-DA1DFFAEF30F}"/>
    <cellStyle name="Comma 2" xfId="565" xr:uid="{EA3E5E60-BAD4-4027-B9E0-0833E03588D5}"/>
    <cellStyle name="Comma 2 10" xfId="566" xr:uid="{33D83AAF-390A-4B08-9718-A8FD7E49FF24}"/>
    <cellStyle name="Comma 2 11" xfId="567" xr:uid="{AA90944F-6C44-490C-9BA6-21D328C4496A}"/>
    <cellStyle name="Comma 2 12" xfId="568" xr:uid="{D2689DFD-6700-42E9-8831-69828E825E4F}"/>
    <cellStyle name="Comma 2 13" xfId="569" xr:uid="{89659083-FFB8-4995-9386-FF9C44999067}"/>
    <cellStyle name="Comma 2 14" xfId="570" xr:uid="{F3FCBFF4-68BA-4DDF-9D07-68C92082E070}"/>
    <cellStyle name="Comma 2 15" xfId="571" xr:uid="{0DA6E16C-66B0-4276-8C15-14622A45284E}"/>
    <cellStyle name="Comma 2 16" xfId="572" xr:uid="{D3BFA90C-C362-4D0B-A722-A08B73F26630}"/>
    <cellStyle name="Comma 2 17" xfId="573" xr:uid="{8FAF49D1-841D-4AEB-9C2E-B45AC1ABC11D}"/>
    <cellStyle name="Comma 2 18" xfId="574" xr:uid="{C9F51E86-68C8-4A79-9F0C-10AD80E07F29}"/>
    <cellStyle name="Comma 2 19" xfId="575" xr:uid="{60C69059-EE80-4890-A715-352C4136EFB7}"/>
    <cellStyle name="Comma 2 19 2" xfId="576" xr:uid="{F37E38CB-9E27-4A2E-8B7F-8620BC45E1D6}"/>
    <cellStyle name="Comma 2 19 3" xfId="577" xr:uid="{6125E1F8-31E0-47A7-9D9D-16748DF9C557}"/>
    <cellStyle name="Comma 2 2" xfId="578" xr:uid="{018A7579-8283-4563-A84D-6E3919F3D40E}"/>
    <cellStyle name="Comma 2 2 2" xfId="579" xr:uid="{E4B5FB75-7510-4E7A-94EA-F7D9BACB9DF7}"/>
    <cellStyle name="Comma 2 2 3" xfId="580" xr:uid="{90DF5AFB-365D-4D97-BB4B-84EA4E026309}"/>
    <cellStyle name="Comma 2 2 4" xfId="581" xr:uid="{054AC856-158C-4DB0-945A-35A01EA7EEFE}"/>
    <cellStyle name="Comma 2 2 4 2" xfId="1923" xr:uid="{0258EDBD-FEDF-40D9-8137-E72EA0858DF2}"/>
    <cellStyle name="Comma 2 2 5" xfId="582" xr:uid="{89ED9A48-F59E-4925-8E4C-A06ABC30899C}"/>
    <cellStyle name="Comma 2 2 5 2" xfId="1924" xr:uid="{F4CA7EC8-4087-4C8F-AE3D-0AA29E8E9E00}"/>
    <cellStyle name="Comma 2 20" xfId="583" xr:uid="{B915CE4E-B375-4B63-A5F2-865852E938D1}"/>
    <cellStyle name="Comma 2 21" xfId="584" xr:uid="{99E64EC1-45E3-44FB-88B0-61E23278FB88}"/>
    <cellStyle name="Comma 2 3" xfId="585" xr:uid="{6E02BD0F-EF6F-4E4D-9360-A11BA7590EDE}"/>
    <cellStyle name="Comma 2 3 2" xfId="586" xr:uid="{1D4A3273-7337-44EC-96B8-C939ACF6A791}"/>
    <cellStyle name="Comma 2 3 2 2" xfId="1925" xr:uid="{5AD584F3-5D9B-4E2E-B133-9C023D37D4BE}"/>
    <cellStyle name="Comma 2 3 3" xfId="587" xr:uid="{84C40769-0D03-4FCC-87DF-0303CD7D879D}"/>
    <cellStyle name="Comma 2 3 3 2" xfId="1926" xr:uid="{0B64B908-A61D-4495-B870-CEA1B0AE49B4}"/>
    <cellStyle name="Comma 2 4" xfId="588" xr:uid="{C95584DA-61E8-4B8E-99F9-A8DE34736B68}"/>
    <cellStyle name="Comma 2 5" xfId="589" xr:uid="{D872A65C-403E-43A0-942B-36D9FF5FB9C5}"/>
    <cellStyle name="Comma 2 6" xfId="590" xr:uid="{032F6DA4-EB31-4559-99EE-AB0B57B1E168}"/>
    <cellStyle name="Comma 2 7" xfId="591" xr:uid="{153B5417-21DE-4239-89DC-089F623305DC}"/>
    <cellStyle name="Comma 2 8" xfId="592" xr:uid="{C75C29CB-09FC-4CDD-9EEB-04A7CD8B486C}"/>
    <cellStyle name="Comma 2 9" xfId="593" xr:uid="{06670893-ED33-46A2-81DC-21603D971ADF}"/>
    <cellStyle name="Comma 3" xfId="594" xr:uid="{C309E6A2-050F-4D7D-85D3-AFF1040933F0}"/>
    <cellStyle name="Comma 3 10" xfId="595" xr:uid="{B2AD529B-3BCD-40EA-BFC0-6B99A567E18D}"/>
    <cellStyle name="Comma 3 2" xfId="596" xr:uid="{6B661337-27C5-4A7B-B075-44B372AD2D4B}"/>
    <cellStyle name="Comma 3 2 2" xfId="1927" xr:uid="{BFF65041-3A10-4C2B-A0A3-FE9F8A36847A}"/>
    <cellStyle name="Comma 3 3" xfId="597" xr:uid="{87DF1F7E-7D03-44D4-9E8A-AE0286009A4A}"/>
    <cellStyle name="Comma 3 3 2" xfId="1928" xr:uid="{9780D320-BEC3-41F4-AA70-F31F334115E1}"/>
    <cellStyle name="Comma 3 4" xfId="598" xr:uid="{AA4B94F2-0792-4EF0-97DC-257B2049490A}"/>
    <cellStyle name="Comma 3 4 2" xfId="1929" xr:uid="{ADC8C800-6F6A-4BED-946E-FFCD2B2262E3}"/>
    <cellStyle name="Comma 3 5" xfId="599" xr:uid="{6F7A9DBE-D6DD-49EE-8DFA-BDF7311CBAE5}"/>
    <cellStyle name="Comma 3 5 2" xfId="1930" xr:uid="{2597BA45-B4CE-40F8-BE46-C5B2CECCE533}"/>
    <cellStyle name="Comma 3 6" xfId="600" xr:uid="{EC2D624A-37E5-4BE4-957F-5D9EAF436421}"/>
    <cellStyle name="Comma 3 6 2" xfId="1931" xr:uid="{E77E996C-A49E-43E2-9786-C0DD33596DFC}"/>
    <cellStyle name="Comma 3 7" xfId="601" xr:uid="{7607DEED-1980-408E-B351-2CFFD8E80767}"/>
    <cellStyle name="Comma 3 7 2" xfId="1932" xr:uid="{21EBA6D5-1783-4CF1-8B5E-469F556A5B36}"/>
    <cellStyle name="Comma 3 8" xfId="602" xr:uid="{A85EFA2B-06BD-405D-9C00-706699722898}"/>
    <cellStyle name="Comma 3 8 2" xfId="1933" xr:uid="{39B9D8F6-6EA7-4EEC-A77E-3A4641198D0D}"/>
    <cellStyle name="Comma 3 9" xfId="603" xr:uid="{1B6DFEF2-3991-4E49-93B3-C004C9328F69}"/>
    <cellStyle name="Comma 3 9 2" xfId="1934" xr:uid="{6BC1676A-7777-47BA-BBEE-4C07E4F0AB7D}"/>
    <cellStyle name="Comma 4" xfId="604" xr:uid="{90986110-464C-4641-8E59-763C2BD237EA}"/>
    <cellStyle name="Comma 4 2" xfId="605" xr:uid="{4D02255F-0047-4614-AECE-D33146CE0930}"/>
    <cellStyle name="Comma 4 2 2" xfId="1935" xr:uid="{291A30B3-5406-48CD-B2B5-4685B7493BEE}"/>
    <cellStyle name="Comma 4 3" xfId="606" xr:uid="{EFB8E541-4454-44A9-A1EE-F1D4E4CCD9B8}"/>
    <cellStyle name="Comma 4 3 2" xfId="1936" xr:uid="{B303499E-B81E-4681-B775-07EE40359AE1}"/>
    <cellStyle name="Comma 4 4" xfId="607" xr:uid="{7DCB5C81-C7C3-4884-B6B6-B8C23A49C0FE}"/>
    <cellStyle name="Comma 4 4 2" xfId="1937" xr:uid="{A48017FF-EE75-4819-90F3-B200EAC77AC9}"/>
    <cellStyle name="Comma 4 5" xfId="608" xr:uid="{3850E8D3-0803-4256-A078-FE7C7ED60B88}"/>
    <cellStyle name="Comma 4 5 2" xfId="1938" xr:uid="{D4235D71-47F1-4F3F-96F6-FAD6F3579E49}"/>
    <cellStyle name="Comma 4 6" xfId="609" xr:uid="{32C028D8-143B-47A3-BE7F-A9055298E536}"/>
    <cellStyle name="Comma 4 6 2" xfId="1939" xr:uid="{E6F0E4B2-040B-48A9-B951-93D5E082B14B}"/>
    <cellStyle name="Comma 4 7" xfId="610" xr:uid="{69E02BBC-D52F-4FBC-BD79-97FE0E547C55}"/>
    <cellStyle name="Comma 4 7 2" xfId="1940" xr:uid="{4217180C-49FD-42D7-B109-C507E71F5CDF}"/>
    <cellStyle name="Comma 4 8" xfId="611" xr:uid="{7B47BF0B-5821-4DF9-BE42-0C45C00AC900}"/>
    <cellStyle name="Comma 4 8 2" xfId="1941" xr:uid="{739123EC-E683-4244-ABA8-091A6C4F735F}"/>
    <cellStyle name="Comma 4 9" xfId="612" xr:uid="{CEB953F9-CCF2-49A0-9CAD-0208F37E3BD6}"/>
    <cellStyle name="Comma 4 9 2" xfId="1942" xr:uid="{BE432FE5-51DC-44DB-B8A8-B63927C26B53}"/>
    <cellStyle name="Comma 5" xfId="613" xr:uid="{49DBAF3C-E849-45B1-9B31-EE7581319675}"/>
    <cellStyle name="Comma 5 2" xfId="614" xr:uid="{F1E7A67E-F094-459D-96FC-F58DD7282E12}"/>
    <cellStyle name="Comma 5 2 2" xfId="1944" xr:uid="{794203D0-A83E-4537-ADAB-EC3D966D2618}"/>
    <cellStyle name="Comma 5 3" xfId="615" xr:uid="{F99A79D6-8214-43AD-BD2B-A35312001223}"/>
    <cellStyle name="Comma 5 3 2" xfId="1945" xr:uid="{3C9E4363-81BB-433F-BAC1-F8A9786E7222}"/>
    <cellStyle name="Comma 5 4" xfId="616" xr:uid="{8A5C0C8B-386F-4BED-B100-A7516FD37ADA}"/>
    <cellStyle name="Comma 5 4 2" xfId="1946" xr:uid="{77CCE1DB-F397-4F55-A95D-BFC46F8DA3E5}"/>
    <cellStyle name="Comma 5 5" xfId="617" xr:uid="{592174DF-8C0A-4872-8139-11283957111F}"/>
    <cellStyle name="Comma 5 5 2" xfId="1947" xr:uid="{6447E52E-6471-437D-9FF4-44D6AEB76B43}"/>
    <cellStyle name="Comma 5 6" xfId="618" xr:uid="{9035D547-10FF-4EBE-8CF6-073B9B003560}"/>
    <cellStyle name="Comma 5 6 2" xfId="1948" xr:uid="{BA133416-1B03-4D91-BDE4-6DA888FF9C11}"/>
    <cellStyle name="Comma 5 7" xfId="619" xr:uid="{BA5A7134-F14F-4777-8025-10C95F7318EE}"/>
    <cellStyle name="Comma 5 7 2" xfId="1949" xr:uid="{6DBEC202-715E-4309-9261-C19E3F9C8945}"/>
    <cellStyle name="Comma 5 8" xfId="620" xr:uid="{3F47AD54-9ACC-42B1-93B5-A37AD74080F9}"/>
    <cellStyle name="Comma 5 8 2" xfId="1950" xr:uid="{AC2DC1B9-DC04-46D4-8652-35FDD5581901}"/>
    <cellStyle name="Comma 5 9" xfId="1943" xr:uid="{FD2EFC82-554E-453F-9556-48E6AD8A2CFE}"/>
    <cellStyle name="Comma 6" xfId="621" xr:uid="{0A06F498-00A0-45BA-A167-778DF33B34DE}"/>
    <cellStyle name="Comma 6 2" xfId="622" xr:uid="{4C08E6C4-88ED-472B-9805-18C23568983F}"/>
    <cellStyle name="Comma 6 2 2" xfId="1952" xr:uid="{0E410A9B-CD45-427B-9B95-8E55D7431884}"/>
    <cellStyle name="Comma 6 3" xfId="623" xr:uid="{2F7489E5-30CE-4E94-89E1-382CB3CEA924}"/>
    <cellStyle name="Comma 6 3 2" xfId="1953" xr:uid="{A0FDAAC0-1A48-4CA5-A6AC-8B5F95D77C1E}"/>
    <cellStyle name="Comma 6 4" xfId="624" xr:uid="{F33BE2AC-B9F4-4559-B119-F8242F90E180}"/>
    <cellStyle name="Comma 6 4 2" xfId="1954" xr:uid="{4A8B0D67-CC16-421A-A01E-222BF9320EE1}"/>
    <cellStyle name="Comma 6 5" xfId="625" xr:uid="{29FC5332-007B-47DB-A397-F95A83E20643}"/>
    <cellStyle name="Comma 6 5 2" xfId="1955" xr:uid="{3A76856F-750E-404E-80B6-028AE707EEE6}"/>
    <cellStyle name="Comma 6 6" xfId="626" xr:uid="{003D8FE4-B391-4607-AD49-0E2D4EFA8F19}"/>
    <cellStyle name="Comma 6 6 2" xfId="1956" xr:uid="{8852B14C-B1E8-4AA0-9B3A-4862A56D2898}"/>
    <cellStyle name="Comma 6 7" xfId="627" xr:uid="{AF3D9FED-BACB-4F6D-A9CF-331F06FABFEB}"/>
    <cellStyle name="Comma 6 7 2" xfId="1957" xr:uid="{9392D487-1CD1-4A2B-BD2A-28B6B7233BB6}"/>
    <cellStyle name="Comma 6 8" xfId="628" xr:uid="{5F9418D3-8286-40F3-8446-FE134E75A6F6}"/>
    <cellStyle name="Comma 6 8 2" xfId="1958" xr:uid="{8B5A14A1-2DF6-4737-AE90-FD56A5224C2F}"/>
    <cellStyle name="Comma 6 9" xfId="1951" xr:uid="{A53F85BA-19CA-4973-917D-26401D8FEFF4}"/>
    <cellStyle name="Comma 7" xfId="629" xr:uid="{67F7BB71-1E22-48B2-AACC-C271B53778F8}"/>
    <cellStyle name="Comma 7 10" xfId="630" xr:uid="{4F4F4D74-6C9B-450C-BD07-41255C657672}"/>
    <cellStyle name="Comma 7 10 2" xfId="1959" xr:uid="{9260EA42-3177-4800-8CA5-F84B320FBE66}"/>
    <cellStyle name="Comma 7 11" xfId="631" xr:uid="{92700BCA-0EA3-4BF4-8059-D8CFE09C7849}"/>
    <cellStyle name="Comma 7 12" xfId="632" xr:uid="{50BA5F3F-AE1F-44A6-9FC4-2E37D61CC138}"/>
    <cellStyle name="Comma 7 12 2" xfId="1960" xr:uid="{E603E0EC-0665-4046-AE2C-3F7E26FCB3F3}"/>
    <cellStyle name="Comma 7 13" xfId="633" xr:uid="{2D5AF9C6-BD77-48EF-9A1A-2F6E077E1DCE}"/>
    <cellStyle name="Comma 7 13 2" xfId="1961" xr:uid="{04461457-F6E5-40D2-91BE-126E530930BC}"/>
    <cellStyle name="Comma 7 14" xfId="634" xr:uid="{F951FF20-166F-4F0E-9811-96828CE3BEA4}"/>
    <cellStyle name="Comma 7 14 2" xfId="1962" xr:uid="{099BE19C-6D0C-4ABA-8A82-DCB3597B0DBE}"/>
    <cellStyle name="Comma 7 15" xfId="635" xr:uid="{901E1917-797F-48B5-A9B3-04FC8C031235}"/>
    <cellStyle name="Comma 7 15 2" xfId="1963" xr:uid="{E5025EC3-32E9-4013-ACE1-49D627D12BA2}"/>
    <cellStyle name="Comma 7 16" xfId="636" xr:uid="{B094D5C0-3492-4273-89C4-430B139278CC}"/>
    <cellStyle name="Comma 7 17" xfId="637" xr:uid="{B16CB3D2-9129-4CF7-9AB2-D9057A6952DF}"/>
    <cellStyle name="Comma 7 18" xfId="638" xr:uid="{50F83750-00F5-4200-8684-B3A08D39EF80}"/>
    <cellStyle name="Comma 7 19" xfId="639" xr:uid="{0A985BBE-4FF9-43D6-B02C-508B990FA842}"/>
    <cellStyle name="Comma 7 2" xfId="640" xr:uid="{410F26EC-B201-4131-9F00-19E4C1FEC14C}"/>
    <cellStyle name="Comma 7 2 2" xfId="1964" xr:uid="{12A3233B-C673-4F18-8993-CFE8E30FC8D2}"/>
    <cellStyle name="Comma 7 20" xfId="641" xr:uid="{8303F7B6-DF5F-4CFE-9639-4B3E6D3F0360}"/>
    <cellStyle name="Comma 7 21" xfId="642" xr:uid="{7C27F797-01CC-4181-8080-051496B7E3D6}"/>
    <cellStyle name="Comma 7 3" xfId="643" xr:uid="{AEEBBA6B-AC24-4A1F-A05D-385B2C581D0C}"/>
    <cellStyle name="Comma 7 3 10" xfId="644" xr:uid="{5D1E7AC2-F19C-4CF0-AE01-86C5B820C22D}"/>
    <cellStyle name="Comma 7 3 10 2" xfId="1965" xr:uid="{03E96D2A-E041-4FA7-B086-74E5371A8D27}"/>
    <cellStyle name="Comma 7 3 11" xfId="645" xr:uid="{9F31885D-7982-4C7E-8C5B-21D9307EE693}"/>
    <cellStyle name="Comma 7 3 11 2" xfId="1966" xr:uid="{680CD53D-F235-43AE-8DFC-273F46CF044D}"/>
    <cellStyle name="Comma 7 3 12" xfId="646" xr:uid="{553D58D0-DDEC-4FD2-BF69-91D5B44D1B52}"/>
    <cellStyle name="Comma 7 3 12 2" xfId="1967" xr:uid="{87BD021D-9062-4679-8077-E8FE99021935}"/>
    <cellStyle name="Comma 7 3 13" xfId="647" xr:uid="{A38B09A8-A86E-4FFA-BD62-CDE689DACD69}"/>
    <cellStyle name="Comma 7 3 13 2" xfId="1968" xr:uid="{F225607A-F60F-4C29-855C-E8D231809D67}"/>
    <cellStyle name="Comma 7 3 14" xfId="648" xr:uid="{427904A9-6D7E-4009-ADEE-6F13B8D4870A}"/>
    <cellStyle name="Comma 7 3 14 2" xfId="1969" xr:uid="{BE4EE996-1E7E-4265-9EF4-DB331C65BC3C}"/>
    <cellStyle name="Comma 7 3 15" xfId="649" xr:uid="{DB487EF0-C5FA-44DB-B321-8529A3268AE2}"/>
    <cellStyle name="Comma 7 3 15 2" xfId="1970" xr:uid="{ABE673A9-4CF6-49AB-88A6-A09BF623F75E}"/>
    <cellStyle name="Comma 7 3 2" xfId="650" xr:uid="{3BDFEA82-390D-497C-85B8-27296B99AB35}"/>
    <cellStyle name="Comma 7 3 2 2" xfId="1971" xr:uid="{93DCCE0D-6359-475D-B1A5-D7A0C5ADB280}"/>
    <cellStyle name="Comma 7 3 3" xfId="651" xr:uid="{24645000-4CBF-4E63-B9B5-63E14E790C76}"/>
    <cellStyle name="Comma 7 3 3 2" xfId="1972" xr:uid="{51EE30D3-492A-466A-A2B8-A3C117D18AAD}"/>
    <cellStyle name="Comma 7 3 4" xfId="652" xr:uid="{18ED0255-D2C1-493B-BABC-8006DEE6DACF}"/>
    <cellStyle name="Comma 7 3 4 2" xfId="1973" xr:uid="{4B12B981-5CB5-4F6D-87A0-23388D37151C}"/>
    <cellStyle name="Comma 7 3 5" xfId="653" xr:uid="{5560011A-3B14-419C-A77A-538FC685B7A3}"/>
    <cellStyle name="Comma 7 3 5 2" xfId="1974" xr:uid="{407046D0-E278-4F15-9EA7-22307F06625F}"/>
    <cellStyle name="Comma 7 3 6" xfId="654" xr:uid="{DB036555-CC0C-4C5C-917A-B4100F0B5D19}"/>
    <cellStyle name="Comma 7 3 6 2" xfId="1975" xr:uid="{4FDF9CF9-C4A9-4B3C-8EAF-163D07179388}"/>
    <cellStyle name="Comma 7 3 7" xfId="655" xr:uid="{5AABF79E-665E-4563-8878-853F8228AC85}"/>
    <cellStyle name="Comma 7 3 7 2" xfId="1976" xr:uid="{83D02295-B189-4E37-8145-83A784D9615F}"/>
    <cellStyle name="Comma 7 3 8" xfId="656" xr:uid="{A50FD21F-1079-40E9-A90F-60636216EA04}"/>
    <cellStyle name="Comma 7 3 8 2" xfId="1977" xr:uid="{258E1C12-10F9-4619-BA35-043230A28D33}"/>
    <cellStyle name="Comma 7 3 9" xfId="657" xr:uid="{3DD66E94-BD47-4D54-9B29-437879A540D9}"/>
    <cellStyle name="Comma 7 3 9 2" xfId="1978" xr:uid="{02A7C76D-1D64-4C6A-ABD7-02862CBE6FBA}"/>
    <cellStyle name="Comma 7 4" xfId="658" xr:uid="{B50B1F58-7048-4EF0-9AF2-099E84CCB5C2}"/>
    <cellStyle name="Comma 7 4 2" xfId="1979" xr:uid="{3C0876FE-2988-457E-88C6-173D62BFC7B3}"/>
    <cellStyle name="Comma 7 5" xfId="659" xr:uid="{CB255BE9-02BA-491E-82F8-FF3C01370BCC}"/>
    <cellStyle name="Comma 7 5 2" xfId="1980" xr:uid="{358AA8E9-44B6-45BB-BC1B-466DAE91EB55}"/>
    <cellStyle name="Comma 7 6" xfId="660" xr:uid="{B9AF9814-0067-4D39-BCD2-B32A43C21584}"/>
    <cellStyle name="Comma 7 6 2" xfId="1981" xr:uid="{FB4E28FC-B103-4DAB-8EDC-269D667A79CF}"/>
    <cellStyle name="Comma 7 7" xfId="661" xr:uid="{2DD3A808-C5A5-48D9-8CBC-159C1366AE74}"/>
    <cellStyle name="Comma 7 7 2" xfId="1982" xr:uid="{9AB1F217-AFC6-4AA2-8C49-CFB543D4A985}"/>
    <cellStyle name="Comma 7 8" xfId="662" xr:uid="{4A156510-304E-4D74-B327-949E4B47212E}"/>
    <cellStyle name="Comma 7 8 2" xfId="1983" xr:uid="{54577E61-694C-4F80-B5D0-9F165D4CBDE1}"/>
    <cellStyle name="Comma 7 9" xfId="663" xr:uid="{F4EA0743-6B59-4CF7-B94A-BCE189F8D4B3}"/>
    <cellStyle name="Comma 7 9 2" xfId="1984" xr:uid="{B35A3D53-84CA-443C-8943-2FE4061CC9AC}"/>
    <cellStyle name="Comma 8" xfId="664" xr:uid="{26E62AE6-C233-43A9-B310-27DA3CE64AA6}"/>
    <cellStyle name="Comma 8 2" xfId="665" xr:uid="{361DE86C-D473-4C89-909D-FBC7E5241141}"/>
    <cellStyle name="Comma 8 3" xfId="666" xr:uid="{CB062D89-8A54-4449-A56B-12CFBD195E20}"/>
    <cellStyle name="Comma 8 4" xfId="667" xr:uid="{1FBE7971-6E02-4135-A762-79B33C7D5D7C}"/>
    <cellStyle name="Comma 8 5" xfId="668" xr:uid="{3581C55B-A97A-46B4-B8F1-0B47AE5270A8}"/>
    <cellStyle name="Comma 8 6" xfId="669" xr:uid="{53BB9DD4-6F9B-4D94-8AE1-74FE4F216542}"/>
    <cellStyle name="Comma 8 7" xfId="670" xr:uid="{D8D974BF-CC79-4E6F-9A51-E93062862F5B}"/>
    <cellStyle name="Comma 8 8" xfId="671" xr:uid="{6A12CDD8-0D1C-4312-B0AF-82074CD905FD}"/>
    <cellStyle name="Comma 9" xfId="672" xr:uid="{2DEB54B0-7C06-4025-A9D0-C0234879A334}"/>
    <cellStyle name="Comma 9 2" xfId="673" xr:uid="{434EB636-A658-4BC4-B4C1-1B2EC4A0B844}"/>
    <cellStyle name="Comma 9 2 2" xfId="1985" xr:uid="{4D61B2F2-2A59-46E6-A565-3B4A245ED5E7}"/>
    <cellStyle name="Comma 9 3" xfId="674" xr:uid="{6F020AD0-0591-469B-84A2-5590A7B0A0E0}"/>
    <cellStyle name="Comma 9 3 2" xfId="1986" xr:uid="{00F6BCF1-C0B6-4849-B64D-62FCB1A8B8F0}"/>
    <cellStyle name="Comma 9 4" xfId="675" xr:uid="{421721E9-BBBD-4EAD-9275-B0899DD5BB98}"/>
    <cellStyle name="Comma 9 4 2" xfId="1987" xr:uid="{8FE2A668-D2A8-4C8B-AAC9-6F1ADB6C43FB}"/>
    <cellStyle name="Comma 9 5" xfId="676" xr:uid="{CD166A6B-A0AC-437B-9B43-57CB4C374A25}"/>
    <cellStyle name="Comma 9 5 2" xfId="1988" xr:uid="{C0CBD9E9-4C04-485D-BB93-709B158A4657}"/>
    <cellStyle name="Comma 9 6" xfId="677" xr:uid="{BEE347CA-2F82-4ECE-B695-E01B967B1742}"/>
    <cellStyle name="Comma 9 6 2" xfId="1989" xr:uid="{01633066-F134-49E5-BE64-C956A383EE56}"/>
    <cellStyle name="Comma 9 7" xfId="678" xr:uid="{B1BD15DD-842A-4A4D-BA97-34729F0C1642}"/>
    <cellStyle name="Comma 9 7 2" xfId="1990" xr:uid="{5F7A90AF-F308-4820-9135-F0A22EDFE6A6}"/>
    <cellStyle name="Comma 9 8" xfId="679" xr:uid="{ECDEF800-16E4-434C-8315-F7DF371E0051}"/>
    <cellStyle name="Comma 9 8 2" xfId="1991" xr:uid="{C8B2E5EA-754B-4E08-A733-2855A5AE8850}"/>
    <cellStyle name="Comma 9 9" xfId="680" xr:uid="{D7B67BF6-0188-4C7E-A987-9C58C786BBE4}"/>
    <cellStyle name="Comma 9 9 2" xfId="1992" xr:uid="{EAF486BB-D075-4BB4-8B3E-E8859BF729D4}"/>
    <cellStyle name="Currency 2 2" xfId="681" xr:uid="{25B1B3A7-5562-4ECE-8B56-6D388B8A31E7}"/>
    <cellStyle name="CustomizationCells" xfId="682" xr:uid="{6E157B40-AA3E-41CE-AD58-1B8D00094440}"/>
    <cellStyle name="Euro" xfId="683" xr:uid="{ED8677B8-2438-4935-B120-2B023E7D39F2}"/>
    <cellStyle name="Euro 2" xfId="684" xr:uid="{F4BD7DF6-07FF-4FCD-A030-0B93E6275432}"/>
    <cellStyle name="Euro 2 2" xfId="685" xr:uid="{72A2F023-0A0D-4885-A894-23935AAAC73F}"/>
    <cellStyle name="Euro 2 2 2" xfId="686" xr:uid="{CD1C2715-73E0-41B4-8251-E8B3C3EFDE9D}"/>
    <cellStyle name="Euro 3" xfId="687" xr:uid="{B86A7940-8A20-4CCF-B439-A2337D66AA40}"/>
    <cellStyle name="Euro 3 2" xfId="688" xr:uid="{9D9257F9-47A1-4041-ADDE-47D21C0F46BC}"/>
    <cellStyle name="Euro 3 3" xfId="689" xr:uid="{0F2C3579-1B2E-4095-8159-B06F61925086}"/>
    <cellStyle name="Euro 4" xfId="690" xr:uid="{A81C7652-1687-44C4-B7AF-A75134AFEB3A}"/>
    <cellStyle name="Euro 4 2" xfId="691" xr:uid="{B32A80A5-A2BA-424B-A566-6436F2322FDF}"/>
    <cellStyle name="Euro 4 3" xfId="692" xr:uid="{90F6BCFD-C101-4127-8199-D73514903B5E}"/>
    <cellStyle name="Euro 4 4" xfId="693" xr:uid="{EFD6B64D-E1FA-45A6-AC13-379FAB23AAD8}"/>
    <cellStyle name="Euro 5" xfId="694" xr:uid="{FACDE6A7-64DA-47DE-BECF-6CA75D3A48DA}"/>
    <cellStyle name="Euro 6" xfId="695" xr:uid="{7C037625-ABA9-404C-A0FE-822E69507578}"/>
    <cellStyle name="Euro_UC_ICM" xfId="696" xr:uid="{61436C71-6B43-487F-A10F-CE47A1C64F6B}"/>
    <cellStyle name="Explanatory Text 2" xfId="697" xr:uid="{002D763E-ADC7-4CD6-B329-AFED4AF5E728}"/>
    <cellStyle name="Explanatory Text 2 10" xfId="698" xr:uid="{6CBE8EEF-DF71-4F45-9849-B4DBB0B6E4F2}"/>
    <cellStyle name="Explanatory Text 2 2" xfId="699" xr:uid="{4BCB72DB-7CC6-4DD8-93A4-4550807B8FDC}"/>
    <cellStyle name="Explanatory Text 2 3" xfId="700" xr:uid="{D892DE03-D2DC-4F6C-9B4F-5F6DB60863F5}"/>
    <cellStyle name="Explanatory Text 2 4" xfId="701" xr:uid="{36063E26-52FA-470E-9319-AA0AB874A92A}"/>
    <cellStyle name="Explanatory Text 2 5" xfId="702" xr:uid="{C602A7B9-2B9D-4331-AD86-99BB64A58B03}"/>
    <cellStyle name="Explanatory Text 2 6" xfId="703" xr:uid="{B5C870C9-479A-46FE-83FD-E6036393A60D}"/>
    <cellStyle name="Explanatory Text 2 7" xfId="704" xr:uid="{EAC1A9DE-3A82-44DE-9A8D-72CCBAB87113}"/>
    <cellStyle name="Explanatory Text 2 8" xfId="705" xr:uid="{845BBF54-4CF2-4DCA-8443-071877D3188B}"/>
    <cellStyle name="Explanatory Text 2 9" xfId="706" xr:uid="{309CF277-5CC3-42BE-8ACF-0D142FBB1A12}"/>
    <cellStyle name="Explanatory Text 3" xfId="707" xr:uid="{24395761-D1FE-4FD0-A1A7-472FF697FC61}"/>
    <cellStyle name="Float" xfId="708" xr:uid="{E3A99BCC-979A-4F30-932A-A2EC47C1D13D}"/>
    <cellStyle name="Float 2" xfId="709" xr:uid="{FEBC52B8-AD51-402B-974F-A816375ECC80}"/>
    <cellStyle name="Float 2 2" xfId="710" xr:uid="{90119530-FAAB-4FBA-8A45-B6EACE1B52FA}"/>
    <cellStyle name="Float 3" xfId="711" xr:uid="{6DBB7594-1D80-4903-93A2-F4EC267FD772}"/>
    <cellStyle name="Good 2" xfId="712" xr:uid="{0DAB3AD1-4824-47B6-9EA3-8F32509E555E}"/>
    <cellStyle name="Good 2 10" xfId="713" xr:uid="{D19C3411-898E-42E6-9C01-D0806A25E1AB}"/>
    <cellStyle name="Good 2 2" xfId="714" xr:uid="{BE2EF299-2597-4846-B35A-861D4FF3DD74}"/>
    <cellStyle name="Good 2 3" xfId="715" xr:uid="{8F03C04B-CD4B-47ED-A416-CB31FD78CE60}"/>
    <cellStyle name="Good 2 4" xfId="716" xr:uid="{BEE509C0-D325-4855-9748-263CB7927FAC}"/>
    <cellStyle name="Good 2 5" xfId="717" xr:uid="{0F70EA37-291E-428A-A0BD-8DD34FDCAFCC}"/>
    <cellStyle name="Good 2 6" xfId="718" xr:uid="{246FCB6E-5365-4BA0-BF89-332C2102FB44}"/>
    <cellStyle name="Good 2 7" xfId="719" xr:uid="{85E5485C-CA7E-4F71-A86D-BD3A86BDAFEE}"/>
    <cellStyle name="Good 2 8" xfId="720" xr:uid="{C14B7D74-07D4-49EF-BB78-CEA39E401575}"/>
    <cellStyle name="Good 2 9" xfId="721" xr:uid="{06A45F3A-9A9B-4D1D-B851-A325E67C2F89}"/>
    <cellStyle name="Good 3" xfId="722" xr:uid="{F0FD7397-8209-4521-8427-36A2D2C518C8}"/>
    <cellStyle name="Heading 1 2" xfId="723" xr:uid="{A710DB39-F434-43BA-A85E-B9F09FB8E168}"/>
    <cellStyle name="Heading 1 2 10" xfId="724" xr:uid="{C6EA6AE0-2B1C-43FB-8FEE-63CBB98D40C0}"/>
    <cellStyle name="Heading 1 2 2" xfId="725" xr:uid="{6B8F0642-BE29-4FFD-9428-6B409977B25A}"/>
    <cellStyle name="Heading 1 2 3" xfId="726" xr:uid="{09D009A8-CB56-4F4C-A4B0-01AFCF5EF696}"/>
    <cellStyle name="Heading 1 2 4" xfId="727" xr:uid="{6309572B-69B6-476B-A73F-D658079CC53A}"/>
    <cellStyle name="Heading 1 2 5" xfId="728" xr:uid="{86C9F495-8B48-41AA-BD2A-C74FA9C9045E}"/>
    <cellStyle name="Heading 1 2 6" xfId="729" xr:uid="{38F67015-1688-4EEF-AF34-8E80BD7C6AA5}"/>
    <cellStyle name="Heading 1 2 7" xfId="730" xr:uid="{97181922-1A61-4A1D-ABCB-1AAD83CEB21A}"/>
    <cellStyle name="Heading 1 2 8" xfId="731" xr:uid="{3EB32F62-4C00-4610-8E3C-440670458825}"/>
    <cellStyle name="Heading 1 2 9" xfId="732" xr:uid="{A32EC48D-B924-4834-B0B7-EF2BA64C5B0E}"/>
    <cellStyle name="Heading 1 3" xfId="733" xr:uid="{C12D8E41-9987-43AF-86E4-8427C2F28E11}"/>
    <cellStyle name="Heading 2 2" xfId="734" xr:uid="{C4BB2E96-1E27-4491-B6FC-8FECA67FB654}"/>
    <cellStyle name="Heading 2 2 10" xfId="735" xr:uid="{A25E092B-49BD-4854-80F9-06D5D474CBAD}"/>
    <cellStyle name="Heading 2 2 2" xfId="736" xr:uid="{EE03E11F-D1AA-494D-9BB7-5C5B19EF53D7}"/>
    <cellStyle name="Heading 2 2 3" xfId="737" xr:uid="{02A2F045-9177-46A6-8804-700A7BCBE884}"/>
    <cellStyle name="Heading 2 2 4" xfId="738" xr:uid="{5357A00E-2CE2-4908-856A-2AE221501A63}"/>
    <cellStyle name="Heading 2 2 5" xfId="739" xr:uid="{E16D5E92-AEAF-4101-A021-9DC6B0E35060}"/>
    <cellStyle name="Heading 2 2 6" xfId="740" xr:uid="{9C795FF6-7BA1-44CB-8146-1AD7DA145F15}"/>
    <cellStyle name="Heading 2 2 7" xfId="741" xr:uid="{28E83DBA-5B10-4E64-8CCE-FAE5053BF331}"/>
    <cellStyle name="Heading 2 2 8" xfId="742" xr:uid="{B599DB51-F5D1-47CF-BA07-755B66DACD25}"/>
    <cellStyle name="Heading 2 2 9" xfId="743" xr:uid="{2DEFB528-C230-450C-B016-78012ADF631D}"/>
    <cellStyle name="Heading 2 3" xfId="744" xr:uid="{1A479A36-9F95-4182-B76A-6E39B3B38ACE}"/>
    <cellStyle name="Heading 3 2" xfId="745" xr:uid="{7CFEEE1F-96E6-4041-BF93-AD0BA511624F}"/>
    <cellStyle name="Heading 3 2 10" xfId="746" xr:uid="{1A00DEAA-7DF8-4A17-AC9A-9D07B0C0B40B}"/>
    <cellStyle name="Heading 3 2 2" xfId="747" xr:uid="{D0973F44-E48A-47BD-992E-BED2D7E28561}"/>
    <cellStyle name="Heading 3 2 3" xfId="748" xr:uid="{72C857E3-2713-48EA-8CC4-3CED21852889}"/>
    <cellStyle name="Heading 3 2 4" xfId="749" xr:uid="{3B2B1FD3-F9A4-42EE-9F22-F9B994BF3638}"/>
    <cellStyle name="Heading 3 2 5" xfId="750" xr:uid="{2183BE2F-3FA9-48FF-B309-3344EF0715C5}"/>
    <cellStyle name="Heading 3 2 6" xfId="751" xr:uid="{DF992DE5-675A-4125-B309-7373625FD4F2}"/>
    <cellStyle name="Heading 3 2 7" xfId="752" xr:uid="{6B031C80-4AEA-47EE-86F3-54367F3FE9F4}"/>
    <cellStyle name="Heading 3 2 8" xfId="753" xr:uid="{1729FD48-5CF7-4218-838C-B4E37C10A3C8}"/>
    <cellStyle name="Heading 3 2 9" xfId="754" xr:uid="{2B317C56-6633-4D39-BD1D-9DAE63E74BEE}"/>
    <cellStyle name="Heading 3 3" xfId="755" xr:uid="{032217AF-02A9-4046-AB12-8E9E99EEBCFB}"/>
    <cellStyle name="Heading 4 2" xfId="756" xr:uid="{696CF1E4-4EEF-4EC4-B3AE-C8AD4E219AE1}"/>
    <cellStyle name="Heading 4 2 10" xfId="757" xr:uid="{6F540C5B-315F-40C0-B9FC-E54181181BCB}"/>
    <cellStyle name="Heading 4 2 2" xfId="758" xr:uid="{14F8B8E5-AEDC-4EBE-B766-9E24CE5414EF}"/>
    <cellStyle name="Heading 4 2 3" xfId="759" xr:uid="{4FD84F58-100C-411F-A66F-B137BC7D6877}"/>
    <cellStyle name="Heading 4 2 4" xfId="760" xr:uid="{0DB55704-64EF-4AC5-B5E2-A0A59EDA1A92}"/>
    <cellStyle name="Heading 4 2 5" xfId="761" xr:uid="{E9E1290F-D2F1-4E5E-8151-8AB5FC520C7F}"/>
    <cellStyle name="Heading 4 2 6" xfId="762" xr:uid="{B2A54095-E5E4-4E47-9FFD-76D0200EED83}"/>
    <cellStyle name="Heading 4 2 7" xfId="763" xr:uid="{DC2F103B-56B6-434D-9827-989D58DAC3A5}"/>
    <cellStyle name="Heading 4 2 8" xfId="764" xr:uid="{2F9CB651-F567-4E6C-A2C4-311F729AA533}"/>
    <cellStyle name="Heading 4 2 9" xfId="765" xr:uid="{AFC58689-4527-4F4D-B57A-4D9C9F997D70}"/>
    <cellStyle name="Heading 4 3" xfId="766" xr:uid="{808E7849-08EF-4E84-B7E9-394FB7D82548}"/>
    <cellStyle name="Input" xfId="1" builtinId="20"/>
    <cellStyle name="Input 2" xfId="767" xr:uid="{D9ABB163-FA0C-4250-B229-44C097A57FF7}"/>
    <cellStyle name="Input 2 10" xfId="768" xr:uid="{F3606BCC-F53F-4A59-8A0B-3AF26C638F97}"/>
    <cellStyle name="Input 2 2" xfId="769" xr:uid="{1C2C8092-40E9-4CAB-8166-0F2B6D0802FA}"/>
    <cellStyle name="Input 2 3" xfId="770" xr:uid="{5B85F281-7F0D-4CD9-8DC5-CF17EDF62591}"/>
    <cellStyle name="Input 2 4" xfId="771" xr:uid="{F4F2C4D7-CCD2-46CB-9F9B-41EC2B036D6E}"/>
    <cellStyle name="Input 2 5" xfId="772" xr:uid="{5BDFFBD1-301A-49C6-81A4-42E25A199D70}"/>
    <cellStyle name="Input 2 6" xfId="773" xr:uid="{39C8C251-EE1C-4C9E-9B3A-FF11D831207F}"/>
    <cellStyle name="Input 2 7" xfId="774" xr:uid="{151CB4C3-A071-4F91-B405-85B38A772D7A}"/>
    <cellStyle name="Input 2 8" xfId="775" xr:uid="{10685177-0F08-4CFA-B3D6-81B529A14B3C}"/>
    <cellStyle name="Input 2 9" xfId="776" xr:uid="{3413ABFD-C1BA-4B03-9B71-16B41E6FD452}"/>
    <cellStyle name="Input 3" xfId="777" xr:uid="{FA7D0425-D465-49C9-8DC3-1779A8FC87B4}"/>
    <cellStyle name="InputCells" xfId="778" xr:uid="{F38E303E-5A38-43FF-8309-4B85E0C4FDF9}"/>
    <cellStyle name="Linked Cell 2" xfId="779" xr:uid="{118BEA7E-757D-4BE3-ACDF-CC1C239F0B6B}"/>
    <cellStyle name="Linked Cell 2 10" xfId="780" xr:uid="{2DF12E0C-500B-434B-882A-AC74ADF1229A}"/>
    <cellStyle name="Linked Cell 2 2" xfId="781" xr:uid="{C2CA6950-278A-48F8-85ED-ED0B0102675A}"/>
    <cellStyle name="Linked Cell 2 3" xfId="782" xr:uid="{993B9C12-B95C-44CD-9368-2D0AE1D2CC32}"/>
    <cellStyle name="Linked Cell 2 4" xfId="783" xr:uid="{BCDAF4AD-309A-4F4A-A1FC-634C596B61E0}"/>
    <cellStyle name="Linked Cell 2 5" xfId="784" xr:uid="{1F6F5484-9DEB-4EB0-9873-D9E2E9F1195D}"/>
    <cellStyle name="Linked Cell 2 6" xfId="785" xr:uid="{9B9090D3-80A8-439A-813F-6D61DD475089}"/>
    <cellStyle name="Linked Cell 2 7" xfId="786" xr:uid="{B513E161-ED4C-4827-A6C1-671703111B30}"/>
    <cellStyle name="Linked Cell 2 8" xfId="787" xr:uid="{7ADF6C71-1F06-4D96-8999-EB98BBAFFAF3}"/>
    <cellStyle name="Linked Cell 2 9" xfId="788" xr:uid="{4958D3B4-BFB4-42A2-B701-4548AA4FFA4D}"/>
    <cellStyle name="Linked Cell 3" xfId="789" xr:uid="{86DB2C8D-4A93-46DA-9099-D003D59D0BED}"/>
    <cellStyle name="Migliaia_Oil&amp;Gas IFE ARC POLITO" xfId="790" xr:uid="{107E5128-6E20-4762-99B8-D0CC86157F5F}"/>
    <cellStyle name="Neutral" xfId="2" builtinId="28"/>
    <cellStyle name="Neutral 2" xfId="791" xr:uid="{E143DA6E-F4F5-49CE-936E-605005D0D354}"/>
    <cellStyle name="Neutral 2 10" xfId="792" xr:uid="{C9E4B053-BA84-4D3A-A498-2C5EC522FD1B}"/>
    <cellStyle name="Neutral 2 2" xfId="793" xr:uid="{EC283E03-8EF5-4C08-9379-D38700BBB7C2}"/>
    <cellStyle name="Neutral 2 3" xfId="794" xr:uid="{85F5AC19-6DC0-49F2-B12C-B995284AADEB}"/>
    <cellStyle name="Neutral 2 4" xfId="795" xr:uid="{DCFD584E-6487-45EB-9614-AF5AEE1E18E0}"/>
    <cellStyle name="Neutral 2 5" xfId="796" xr:uid="{C875D635-D6A3-435E-B453-6B6A8E844FED}"/>
    <cellStyle name="Neutral 2 6" xfId="797" xr:uid="{B98F1615-61A8-4B14-9B00-1D0C0845F7DC}"/>
    <cellStyle name="Neutral 2 7" xfId="798" xr:uid="{DCE70791-41D4-4E84-92BC-0EA1ABFC5176}"/>
    <cellStyle name="Neutral 2 8" xfId="799" xr:uid="{74919348-5E55-40F2-B97B-CDD6F2C4A880}"/>
    <cellStyle name="Neutral 2 9" xfId="800" xr:uid="{AEB9CD69-784E-4476-9545-29F013E76272}"/>
    <cellStyle name="Neutral 3" xfId="801" xr:uid="{20888A9A-E98D-44FD-A4CF-392E6C1232FB}"/>
    <cellStyle name="Normal" xfId="0" builtinId="0"/>
    <cellStyle name="Normal 10" xfId="3" xr:uid="{00000000-0005-0000-0000-000003000000}"/>
    <cellStyle name="Normal 10 2" xfId="802" xr:uid="{8A7E56B3-ED63-4806-A160-91DFC8BFC23B}"/>
    <cellStyle name="Normal 10 2 2 2 2 2" xfId="1793" xr:uid="{C6A3581C-0705-400E-A603-4A6CDD74DD40}"/>
    <cellStyle name="Normal 10 3" xfId="803" xr:uid="{B5F15AD6-E341-4612-A67F-124F09F23B31}"/>
    <cellStyle name="Normal 10 4" xfId="804" xr:uid="{2D92F6C5-6A3B-464F-A22F-85BAF790FA28}"/>
    <cellStyle name="Normal 10 5" xfId="805" xr:uid="{3B1CA5E3-FDC8-4A17-BFFC-AA33E3726513}"/>
    <cellStyle name="Normal 10 6" xfId="806" xr:uid="{800F61F4-0400-45A5-9F57-4B837009E9C5}"/>
    <cellStyle name="Normal 10 7" xfId="807" xr:uid="{6387617B-5D85-4EB0-83FC-613E1D28414F}"/>
    <cellStyle name="Normal 10 8" xfId="808" xr:uid="{A83DFABC-5E71-45DD-A604-46896AD91BB7}"/>
    <cellStyle name="Normal 10 9" xfId="809" xr:uid="{D849D332-64D0-4090-BFBC-2B19385E3902}"/>
    <cellStyle name="Normal 11" xfId="810" xr:uid="{C222595A-E792-4376-AEF8-213E19B5BF4C}"/>
    <cellStyle name="Normal 11 2" xfId="811" xr:uid="{B3C6BF33-90AD-4C5E-B1CA-FF65817B7899}"/>
    <cellStyle name="Normal 11 3" xfId="812" xr:uid="{B67B5A82-AD2A-4AE8-9D87-578FA130D960}"/>
    <cellStyle name="Normal 11 4" xfId="813" xr:uid="{2DBF7856-5D67-482F-AB43-61A2651E9E57}"/>
    <cellStyle name="Normal 11 5" xfId="814" xr:uid="{22F421A2-2AED-4549-9082-E6C44381E6E3}"/>
    <cellStyle name="Normal 11 6" xfId="815" xr:uid="{A5AF654D-18B9-4F54-A9CA-A516D958FA34}"/>
    <cellStyle name="Normal 11 7" xfId="816" xr:uid="{9E076DF0-EC54-4B97-B3D1-096D362EB264}"/>
    <cellStyle name="Normal 11 8" xfId="817" xr:uid="{6AFFB976-292F-478A-A072-D559C356864A}"/>
    <cellStyle name="Normal 12" xfId="818" xr:uid="{7C248111-387E-441C-9389-7C38D7066C81}"/>
    <cellStyle name="Normal 12 2" xfId="819" xr:uid="{ED9A95D4-5DE0-4AAF-B8FD-1017B2D0004E}"/>
    <cellStyle name="Normal 12 3" xfId="820" xr:uid="{66E6B5AC-D952-4CA0-92EA-573964422CE3}"/>
    <cellStyle name="Normal 12 4" xfId="821" xr:uid="{C7CF081F-9B8B-4A3C-AC8A-62302E839977}"/>
    <cellStyle name="Normal 12 5" xfId="822" xr:uid="{7685323E-001F-4DD2-B8A5-626876C5C2EE}"/>
    <cellStyle name="Normal 12 6" xfId="823" xr:uid="{31131918-B382-429E-9CDD-59F73C7B53B8}"/>
    <cellStyle name="Normal 12 7" xfId="824" xr:uid="{112FCCFB-4FD6-4D3F-9DD6-EF2CEABFB9C5}"/>
    <cellStyle name="Normal 12 8" xfId="825" xr:uid="{869F3FB9-6807-44E6-B82E-A3E3BA9A911F}"/>
    <cellStyle name="Normal 13" xfId="826" xr:uid="{511B79A2-CF4B-46CA-ACB0-DC61D826A768}"/>
    <cellStyle name="Normal 13 10" xfId="827" xr:uid="{6B1E317D-1CF3-49CD-8494-8514814DB5A5}"/>
    <cellStyle name="Normal 13 11" xfId="828" xr:uid="{FB302F30-5989-4700-8EC0-B894FE9E4A12}"/>
    <cellStyle name="Normal 13 12" xfId="829" xr:uid="{7712E7D2-ED03-4F58-B9B6-BB5B7069DF53}"/>
    <cellStyle name="Normal 13 13" xfId="830" xr:uid="{8DC5B098-491C-4191-AB88-025527E18AB1}"/>
    <cellStyle name="Normal 13 14" xfId="831" xr:uid="{2043302F-643C-400A-9AC1-95953CF34884}"/>
    <cellStyle name="Normal 13 15" xfId="832" xr:uid="{51CA98D6-E26F-4F83-90B2-4B95F88AC671}"/>
    <cellStyle name="Normal 13 16" xfId="833" xr:uid="{64FF5064-7CF6-44D7-83E8-CD7686D93FF8}"/>
    <cellStyle name="Normal 13 17" xfId="834" xr:uid="{A4762CAF-4680-45D7-9ED6-9720A99BCBFD}"/>
    <cellStyle name="Normal 13 18" xfId="835" xr:uid="{D7EB4F9E-80C8-442B-B9A5-03534018D4A3}"/>
    <cellStyle name="Normal 13 19" xfId="836" xr:uid="{5DC192BF-8BD4-4201-B88F-ADFE3CAABF40}"/>
    <cellStyle name="Normal 13 2" xfId="837" xr:uid="{DBDACEEF-9D19-476B-8C07-4A232227C7ED}"/>
    <cellStyle name="Normal 13 2 2" xfId="838" xr:uid="{DBAC71DD-F3A1-46C9-AF84-B9FB0D2D8ACE}"/>
    <cellStyle name="Normal 13 2 3" xfId="839" xr:uid="{7E8E09B6-6EFE-4FDF-9D1E-B863DB1A4430}"/>
    <cellStyle name="Normal 13 2 4" xfId="840" xr:uid="{611BFB4E-8D8C-40FE-A6B0-3192D54B5583}"/>
    <cellStyle name="Normal 13 2 5" xfId="841" xr:uid="{F3B5D22C-3735-4BFC-842E-BAB7C8B7FF9B}"/>
    <cellStyle name="Normal 13 2 6" xfId="842" xr:uid="{AD248A56-8D00-404B-8115-5D083925809F}"/>
    <cellStyle name="Normal 13 2 7" xfId="843" xr:uid="{160C19A5-E0B4-4FA0-9ED8-5A856150F6CF}"/>
    <cellStyle name="Normal 13 2 8" xfId="844" xr:uid="{3F0B056D-4FBD-45F7-922F-E14D59B2B224}"/>
    <cellStyle name="Normal 13 20" xfId="845" xr:uid="{57C57605-FCB0-44B7-AC52-3274B02266D6}"/>
    <cellStyle name="Normal 13 21" xfId="846" xr:uid="{85820204-E8B8-4D4B-9809-A5FE56DE733F}"/>
    <cellStyle name="Normal 13 22" xfId="847" xr:uid="{DC6E8051-B1A2-46DF-839D-4009535AED53}"/>
    <cellStyle name="Normal 13 23" xfId="848" xr:uid="{AEF165CB-4FDE-453C-B89B-8995B24A0CCC}"/>
    <cellStyle name="Normal 13 24" xfId="849" xr:uid="{BB5CEE24-7273-4A0E-9117-8C4D2DF9061B}"/>
    <cellStyle name="Normal 13 25" xfId="850" xr:uid="{82DEEB3A-F8A3-4CF0-918D-E1D682CD67E8}"/>
    <cellStyle name="Normal 13 26" xfId="851" xr:uid="{31BD68B1-9F8C-4EDE-95D9-35109F56D937}"/>
    <cellStyle name="Normal 13 27" xfId="852" xr:uid="{89FCA534-FC50-4D58-8458-30D7A8E328A8}"/>
    <cellStyle name="Normal 13 28" xfId="853" xr:uid="{ED81FC24-A3B9-48AB-A1BC-0FDD1FAE0734}"/>
    <cellStyle name="Normal 13 29" xfId="854" xr:uid="{DA74D266-74AA-480E-B25B-9D5DA1C94F9C}"/>
    <cellStyle name="Normal 13 3" xfId="855" xr:uid="{363FCD2E-A2A6-410D-9514-D09BA0B34480}"/>
    <cellStyle name="Normal 13 30" xfId="856" xr:uid="{13667A5A-1265-437F-9D9D-BFAE7EC6DBDC}"/>
    <cellStyle name="Normal 13 31" xfId="857" xr:uid="{713799E9-A44C-49B4-9E96-AC891D1FB231}"/>
    <cellStyle name="Normal 13 32" xfId="858" xr:uid="{E3395784-1129-4C9F-85C3-546CD552860F}"/>
    <cellStyle name="Normal 13 33" xfId="859" xr:uid="{3929E734-3EA2-45DD-970B-2340B2C96E91}"/>
    <cellStyle name="Normal 13 34" xfId="860" xr:uid="{65FCFABF-8192-4DA6-ADCD-5EA19269CF90}"/>
    <cellStyle name="Normal 13 35" xfId="861" xr:uid="{82D5FFEA-D77F-47FE-BC98-497075ACE5BA}"/>
    <cellStyle name="Normal 13 36" xfId="862" xr:uid="{F62A4AD8-D42E-4543-A32D-7BF8587CC0B5}"/>
    <cellStyle name="Normal 13 37" xfId="863" xr:uid="{A9CA432C-09C7-48D9-8110-719FB109AF39}"/>
    <cellStyle name="Normal 13 38" xfId="864" xr:uid="{A8F97783-F13A-4147-9F36-B74C22FC83DF}"/>
    <cellStyle name="Normal 13 4" xfId="865" xr:uid="{4FA1AF5F-1DD5-484E-ACDD-56D75BDFB5F1}"/>
    <cellStyle name="Normal 13 5" xfId="866" xr:uid="{BFD47424-37F2-4927-92C4-AB1D349F4C6F}"/>
    <cellStyle name="Normal 13 6" xfId="867" xr:uid="{6ADFD718-D430-4403-A57A-2BB7E774D6DD}"/>
    <cellStyle name="Normal 13 7" xfId="868" xr:uid="{B8113BF1-4466-4712-A053-1E9261B9E958}"/>
    <cellStyle name="Normal 13 8" xfId="869" xr:uid="{7A37C182-8FDA-48CB-BA08-ED490F899D09}"/>
    <cellStyle name="Normal 13 9" xfId="870" xr:uid="{B5FD3AE9-ECC6-4776-A099-5033BE7CC390}"/>
    <cellStyle name="Normal 14" xfId="871" xr:uid="{39AF5AF6-CDBD-4A58-8364-E1053136A027}"/>
    <cellStyle name="Normal 14 10" xfId="872" xr:uid="{C69230CD-59FE-496D-8984-EE1B5BA26DD0}"/>
    <cellStyle name="Normal 14 11" xfId="873" xr:uid="{3BD1580C-65D2-4A88-8D72-BEEA7779099C}"/>
    <cellStyle name="Normal 14 12" xfId="874" xr:uid="{09E8175B-A138-4218-BD73-1AB0BA8CACA8}"/>
    <cellStyle name="Normal 14 13" xfId="875" xr:uid="{FEDD3B95-7A69-429A-86A9-ACD533AE9E7D}"/>
    <cellStyle name="Normal 14 14" xfId="876" xr:uid="{34C4B62C-6776-4080-AC97-EF0356F324BA}"/>
    <cellStyle name="Normal 14 15" xfId="877" xr:uid="{70B85F6C-E5BC-4905-B091-B89E9DA2212B}"/>
    <cellStyle name="Normal 14 2" xfId="878" xr:uid="{019E5978-73C1-4768-8CEA-D6021883A8D2}"/>
    <cellStyle name="Normal 14 2 2" xfId="879" xr:uid="{AF4566EA-0EFB-4CDD-9B3A-1AEAF4208362}"/>
    <cellStyle name="Normal 14 2 3" xfId="880" xr:uid="{2AAAAC98-3BC9-469E-B8AE-7E6647A66D3D}"/>
    <cellStyle name="Normal 14 2 4" xfId="881" xr:uid="{989E5823-8D4A-44C1-A07B-8D87EBD042EC}"/>
    <cellStyle name="Normal 14 2 5" xfId="882" xr:uid="{246DEEFB-D434-4E5F-A453-27BC6A75BA86}"/>
    <cellStyle name="Normal 14 2 6" xfId="883" xr:uid="{F821FC73-9DBF-401B-818F-C74D0D9D97E8}"/>
    <cellStyle name="Normal 14 2 7" xfId="884" xr:uid="{18792366-A938-40CA-A716-E3BB24C4B6B7}"/>
    <cellStyle name="Normal 14 3" xfId="885" xr:uid="{8EBA1882-70A7-4D3B-A6CF-2F98EE2FB5A1}"/>
    <cellStyle name="Normal 14 4" xfId="886" xr:uid="{57E279AE-A304-4A47-A361-46A3FD6706FA}"/>
    <cellStyle name="Normal 14 5" xfId="887" xr:uid="{F625D14A-2084-4B8E-9707-AE42385CE43A}"/>
    <cellStyle name="Normal 14 6" xfId="888" xr:uid="{31CA4671-0CDE-4200-BA75-E045EA41C26F}"/>
    <cellStyle name="Normal 14 7" xfId="889" xr:uid="{264D7C56-080F-455A-97BD-AEEEB7EBADF6}"/>
    <cellStyle name="Normal 14 8" xfId="890" xr:uid="{81E91CC4-CDF0-4FAB-B5C2-E339A79BC930}"/>
    <cellStyle name="Normal 14 9" xfId="891" xr:uid="{F02273D8-08CF-421F-B5D3-ECFCE6C57857}"/>
    <cellStyle name="Normal 15" xfId="892" xr:uid="{6136A36E-EECA-4DB7-B3A1-116EA9085FD9}"/>
    <cellStyle name="Normal 15 2" xfId="893" xr:uid="{77662831-9885-4602-BE5A-F4FB14FAC8E0}"/>
    <cellStyle name="Normal 15 3" xfId="894" xr:uid="{A2AF1C8B-7D0A-4511-98A9-F99E96480CB3}"/>
    <cellStyle name="Normal 15 4" xfId="895" xr:uid="{8C0829DB-57A4-47EC-8A78-2F4CD528E8F2}"/>
    <cellStyle name="Normal 15 5" xfId="896" xr:uid="{3A1CC841-2AC6-4E2A-8483-EAD7154B9354}"/>
    <cellStyle name="Normal 15 6" xfId="897" xr:uid="{C6799177-41F4-4912-A3A7-855B87A4A93C}"/>
    <cellStyle name="Normal 16" xfId="898" xr:uid="{29CE9A7A-053E-413E-BA66-2AFCB1C62F8E}"/>
    <cellStyle name="Normal 16 2" xfId="899" xr:uid="{1FC819A5-F7C8-47D0-B47F-EB2FA5318F29}"/>
    <cellStyle name="Normal 16 3" xfId="900" xr:uid="{06D9B6DE-EA2A-4DDD-B356-4FBE72681514}"/>
    <cellStyle name="Normal 16 4" xfId="901" xr:uid="{AAFEB8C4-676A-459C-9D56-980B39695508}"/>
    <cellStyle name="Normal 16 5" xfId="902" xr:uid="{B90843E5-8C43-4451-8DA7-9E8665AC6B46}"/>
    <cellStyle name="Normal 16 6" xfId="903" xr:uid="{28AC2BFD-3315-47B1-884D-40FD40F0E891}"/>
    <cellStyle name="Normal 17" xfId="904" xr:uid="{BE4C6E2E-196E-440C-B6E3-EF1BE3197881}"/>
    <cellStyle name="Normal 17 10" xfId="905" xr:uid="{6B4C429A-D155-4B6A-8EC6-12CB9950B040}"/>
    <cellStyle name="Normal 17 11" xfId="906" xr:uid="{33D2ABC9-EC83-403A-A19B-B8EEC63142D4}"/>
    <cellStyle name="Normal 17 12" xfId="907" xr:uid="{AFF0AA4A-D353-4B98-9AA0-EB62D3C341E5}"/>
    <cellStyle name="Normal 17 13" xfId="908" xr:uid="{802FBD57-8DE8-4B05-9D8E-774E33633250}"/>
    <cellStyle name="Normal 17 2" xfId="909" xr:uid="{B82DC61F-2FB9-46E9-B7C8-5E85C00D149A}"/>
    <cellStyle name="Normal 17 3" xfId="910" xr:uid="{BB971C9C-FCD5-4C73-95CE-E1ACAFD01628}"/>
    <cellStyle name="Normal 17 4" xfId="911" xr:uid="{B93C8C9F-36DF-4988-9B29-490F084915C7}"/>
    <cellStyle name="Normal 17 5" xfId="912" xr:uid="{6A10C4F6-3BE2-4E7B-A633-7D09B0BB120E}"/>
    <cellStyle name="Normal 17 6" xfId="913" xr:uid="{61701C9A-31F3-44F3-A50B-9FE37B8CFC11}"/>
    <cellStyle name="Normal 17 7" xfId="914" xr:uid="{41147383-1EDE-405F-9F13-E76B10C7535C}"/>
    <cellStyle name="Normal 17 8" xfId="915" xr:uid="{3E55774A-C715-4C82-B414-DA2A5A4DAFDF}"/>
    <cellStyle name="Normal 17 9" xfId="916" xr:uid="{325F4E5A-2595-405B-9318-BB566AD49008}"/>
    <cellStyle name="Normal 18" xfId="917" xr:uid="{40EDB3A9-BF9D-484A-A2B6-8D68A211CAEE}"/>
    <cellStyle name="Normal 19" xfId="918" xr:uid="{8103EC4E-8606-4BD1-826C-8B2E139FA9C5}"/>
    <cellStyle name="Normal 2" xfId="4" xr:uid="{00000000-0005-0000-0000-000004000000}"/>
    <cellStyle name="Normal 2 10" xfId="920" xr:uid="{74E2888E-1B58-4990-BFE5-7C036542EB80}"/>
    <cellStyle name="Normal 2 11" xfId="921" xr:uid="{47E36B95-B677-4146-B08F-BE483243C1D6}"/>
    <cellStyle name="Normal 2 12" xfId="922" xr:uid="{C8E146A6-B4C7-4299-AB72-DB4D32D95F7C}"/>
    <cellStyle name="Normal 2 13" xfId="923" xr:uid="{0FCDC2F8-0F90-4977-9696-3FCDAA3354A1}"/>
    <cellStyle name="Normal 2 14" xfId="924" xr:uid="{51555F11-F516-4F9A-9AF1-AAA6C6B8BD9B}"/>
    <cellStyle name="Normal 2 15" xfId="925" xr:uid="{BE8B795B-987A-495C-B0C6-E130EE47E1DD}"/>
    <cellStyle name="Normal 2 16" xfId="926" xr:uid="{13D5C913-61BC-4039-B87F-7416DF8D93CA}"/>
    <cellStyle name="Normal 2 17" xfId="927" xr:uid="{AB303272-EE09-451A-93CD-6E7EEAF0FE9F}"/>
    <cellStyle name="Normal 2 18" xfId="928" xr:uid="{5E51FB3B-D251-4B2E-9851-4A4B67C5CDBA}"/>
    <cellStyle name="Normal 2 19" xfId="929" xr:uid="{9CF31168-3B4A-4092-9A4B-AF9BE598BD0C}"/>
    <cellStyle name="Normal 2 2" xfId="5" xr:uid="{AE99D57F-7953-4AA1-9161-A5C9BDAE27FD}"/>
    <cellStyle name="Normal 2 2 10" xfId="930" xr:uid="{7E63692E-1DEA-4575-A4A3-57ED14A1BCD6}"/>
    <cellStyle name="Normal 2 2 11" xfId="931" xr:uid="{1025B0EA-EA65-4F04-9277-6EBEA5481CC3}"/>
    <cellStyle name="Normal 2 2 12" xfId="932" xr:uid="{ADA854C7-83DC-4E50-95A0-EF79D6283001}"/>
    <cellStyle name="Normal 2 2 13" xfId="933" xr:uid="{550F93D8-B276-44DE-BD11-6FB007CDFE88}"/>
    <cellStyle name="Normal 2 2 14" xfId="934" xr:uid="{7CCDF5BB-C44A-42CF-87F1-6CE0C9727699}"/>
    <cellStyle name="Normal 2 2 2" xfId="935" xr:uid="{E09B62CA-40EC-4CF6-85D1-13BBC8A4C820}"/>
    <cellStyle name="Normal 2 2 2 2" xfId="936" xr:uid="{3C6FE79D-B08C-4E2C-B2B0-51E2FA4783D6}"/>
    <cellStyle name="Normal 2 2 3" xfId="937" xr:uid="{4ED42979-37C0-43D1-A39E-DFD8E10B630D}"/>
    <cellStyle name="Normal 2 2 4" xfId="938" xr:uid="{214A4E23-B897-4678-9D13-D37A9CDA9FF3}"/>
    <cellStyle name="Normal 2 2 5" xfId="939" xr:uid="{054A2323-8050-416E-91C4-8804548E1A3D}"/>
    <cellStyle name="Normal 2 2 6" xfId="940" xr:uid="{1E94328A-8BF1-47F8-9C2D-FD1FF214714B}"/>
    <cellStyle name="Normal 2 2 7" xfId="941" xr:uid="{AB038DDA-04B0-41F5-B4FF-538F2B6F4EB1}"/>
    <cellStyle name="Normal 2 2 8" xfId="942" xr:uid="{3D3F32E4-A0D6-425C-86F9-539F7E95DD76}"/>
    <cellStyle name="Normal 2 2 9" xfId="943" xr:uid="{CC85D058-BD26-4E27-8C0F-0835F626AA90}"/>
    <cellStyle name="Normal 2 20" xfId="919" xr:uid="{8806C8F8-30D3-48E6-869C-D9E8DF70038B}"/>
    <cellStyle name="Normal 2 3" xfId="944" xr:uid="{6240C26A-FF02-4824-B457-2C3BA5BB4759}"/>
    <cellStyle name="Normal 2 3 10" xfId="945" xr:uid="{5652C09A-B19A-4300-A258-65D02EDF8F12}"/>
    <cellStyle name="Normal 2 3 11" xfId="946" xr:uid="{0FBF38AA-B93C-474A-9A6A-07039671ED10}"/>
    <cellStyle name="Normal 2 3 12" xfId="947" xr:uid="{EDBB6CBD-BBE7-41CD-AF47-E77E8E7EEDC2}"/>
    <cellStyle name="Normal 2 3 13" xfId="948" xr:uid="{57854B56-418F-4AAA-A32D-3963A29E7010}"/>
    <cellStyle name="Normal 2 3 14" xfId="949" xr:uid="{D5E68959-619F-4D8C-ACA0-4E37FFF5CBEA}"/>
    <cellStyle name="Normal 2 3 2" xfId="950" xr:uid="{F5DABDDC-18B5-4575-8F9D-D085AAA9E510}"/>
    <cellStyle name="Normal 2 3 2 2" xfId="951" xr:uid="{438792C5-BC83-461E-B0E0-D16BD15F1CE2}"/>
    <cellStyle name="Normal 2 3 3" xfId="952" xr:uid="{B22D8640-71FA-47C8-B71C-F44823EF8535}"/>
    <cellStyle name="Normal 2 3 4" xfId="953" xr:uid="{7878F3C5-90F8-4287-B37B-A6B7F91E22ED}"/>
    <cellStyle name="Normal 2 3 4 2" xfId="954" xr:uid="{F3545FEB-83CD-495D-AF95-DA6399193715}"/>
    <cellStyle name="Normal 2 3 5" xfId="955" xr:uid="{C3F517A5-C528-48F0-870D-F4ACF4F91860}"/>
    <cellStyle name="Normal 2 3 6" xfId="956" xr:uid="{88C347D2-8DCA-4360-8AED-575B8BCEDD88}"/>
    <cellStyle name="Normal 2 3 7" xfId="957" xr:uid="{63D6C678-4BF1-4E55-B1A7-24A623CA893E}"/>
    <cellStyle name="Normal 2 3 8" xfId="958" xr:uid="{631B5A3C-56F4-47E7-B55D-7A76BCF54817}"/>
    <cellStyle name="Normal 2 3 9" xfId="959" xr:uid="{2DB5B7DD-624A-4229-B4A4-E69057D660A3}"/>
    <cellStyle name="Normal 2 4" xfId="960" xr:uid="{0BD0F371-7888-45C6-956A-BB9C915A909A}"/>
    <cellStyle name="Normal 2 4 10" xfId="961" xr:uid="{1B2A36C5-CD16-4991-A6E1-6E80CAFC8927}"/>
    <cellStyle name="Normal 2 4 11" xfId="962" xr:uid="{DF0DA26F-14D3-4A16-855D-7B63903E6BD2}"/>
    <cellStyle name="Normal 2 4 12" xfId="963" xr:uid="{1362335C-CF18-4F0A-B14E-3496DD5E06C4}"/>
    <cellStyle name="Normal 2 4 13" xfId="964" xr:uid="{A9DCBD94-B85D-404E-BE6F-7DCE0086245A}"/>
    <cellStyle name="Normal 2 4 2" xfId="965" xr:uid="{6C31E1F9-4E20-44AA-A79F-DB6DA44FCC38}"/>
    <cellStyle name="Normal 2 4 3" xfId="966" xr:uid="{82BB8C6B-9A3D-4489-95A8-1519405DF163}"/>
    <cellStyle name="Normal 2 4 4" xfId="967" xr:uid="{4823417D-B014-41EA-A180-C94EF1B77F99}"/>
    <cellStyle name="Normal 2 4 5" xfId="968" xr:uid="{8235BBA2-39F3-4F04-97EA-3EF15CCC0DB3}"/>
    <cellStyle name="Normal 2 4 6" xfId="969" xr:uid="{3BE9AD9A-0487-4DF7-B280-FC1C78FF8A33}"/>
    <cellStyle name="Normal 2 4 7" xfId="970" xr:uid="{036606C0-B405-4829-929C-229365D74E1C}"/>
    <cellStyle name="Normal 2 4 8" xfId="971" xr:uid="{2CB48FFA-BEEB-462F-A545-918113452854}"/>
    <cellStyle name="Normal 2 4 9" xfId="972" xr:uid="{1F03033A-22E0-4AB6-9091-C3BDB2F9D316}"/>
    <cellStyle name="Normal 2 5" xfId="973" xr:uid="{23420032-B5FD-4B59-884F-2691F447B611}"/>
    <cellStyle name="Normal 2 5 2" xfId="974" xr:uid="{77F56A3B-223F-4C12-91C7-0A2D01C11C06}"/>
    <cellStyle name="Normal 2 6" xfId="975" xr:uid="{57E6F32B-4C03-4C74-9D78-A6F876EB0470}"/>
    <cellStyle name="Normal 2 6 2" xfId="976" xr:uid="{8FC46ADD-C9C1-4111-A4C2-3CAAA2F54C5B}"/>
    <cellStyle name="Normal 2 7" xfId="977" xr:uid="{A5FB3C7D-1672-4818-A0BC-280DA0C3EB06}"/>
    <cellStyle name="Normal 2 7 2" xfId="978" xr:uid="{6EC03173-AA6E-4D3F-A4BF-98616CADE79B}"/>
    <cellStyle name="Normal 2 8" xfId="979" xr:uid="{E0ADB6BB-CBA2-46FB-A827-35D60D02435D}"/>
    <cellStyle name="Normal 2 9" xfId="980" xr:uid="{7555FA78-7AD3-427B-BCB8-1CEE5447038F}"/>
    <cellStyle name="Normal 2_FILL-ICM" xfId="981" xr:uid="{501327B4-3011-49BD-9752-CE56BE5E6DC6}"/>
    <cellStyle name="Normal 20" xfId="982" xr:uid="{2C5CDFA1-D58D-4DC4-BCD1-29873DC02FE4}"/>
    <cellStyle name="Normal 21" xfId="983" xr:uid="{F06BA05D-30D7-4A10-BC5A-34B521118F94}"/>
    <cellStyle name="Normal 22" xfId="1794" xr:uid="{BEDC135F-A6E8-4028-8DF8-3D22B34BC75E}"/>
    <cellStyle name="Normal 26" xfId="984" xr:uid="{55E16D9E-F6EA-4587-BB05-3FA81FEE1802}"/>
    <cellStyle name="Normal 3" xfId="6" xr:uid="{AD4EEB9F-0E23-4C07-8278-F3B9F3E0BBF8}"/>
    <cellStyle name="Normal 3 10" xfId="985" xr:uid="{D0CD03B2-145C-4854-923F-75ABBBC35E62}"/>
    <cellStyle name="Normal 3 11" xfId="986" xr:uid="{33EB5CF9-58CB-4ED4-BEEA-8E5C548DFC5A}"/>
    <cellStyle name="Normal 3 12" xfId="987" xr:uid="{2FEB34B1-6CB4-48F8-945E-21D10D63549E}"/>
    <cellStyle name="Normal 3 2" xfId="988" xr:uid="{81DFAF72-7513-49E4-AA54-79C37997A72B}"/>
    <cellStyle name="Normal 3 2 10" xfId="989" xr:uid="{2B41D1D4-DFD0-4516-9A81-37C9786838AD}"/>
    <cellStyle name="Normal 3 2 2" xfId="990" xr:uid="{AB7C82B3-A1AA-4CFF-808E-0F5BE93CD0A1}"/>
    <cellStyle name="Normal 3 2 3" xfId="991" xr:uid="{CE4A7530-8D1A-42DA-8BCA-23D1DA12CF35}"/>
    <cellStyle name="Normal 3 2 4" xfId="992" xr:uid="{384F7AA5-BFFF-437E-8372-928D5D96B00A}"/>
    <cellStyle name="Normal 3 2 5" xfId="993" xr:uid="{960A8472-7E53-4EE0-AE3B-9169FE1298D1}"/>
    <cellStyle name="Normal 3 2 6" xfId="994" xr:uid="{CA483895-8EC6-405B-842B-853911DC4A0C}"/>
    <cellStyle name="Normal 3 2 7" xfId="995" xr:uid="{B542B384-9AE9-4FB1-8644-47FC58F87B9E}"/>
    <cellStyle name="Normal 3 2 8" xfId="996" xr:uid="{06DE4D0A-B7FB-473B-B883-928690EAEC18}"/>
    <cellStyle name="Normal 3 2 9" xfId="997" xr:uid="{11515394-9011-4AAF-A653-D5F1C1C0B1D3}"/>
    <cellStyle name="Normal 3 2 9 2" xfId="998" xr:uid="{5CF9640C-11B9-4726-8C40-7598531328BE}"/>
    <cellStyle name="Normal 3 3" xfId="999" xr:uid="{471E054B-19D9-41D9-9E2A-EF3D313D385D}"/>
    <cellStyle name="Normal 3 3 2" xfId="1000" xr:uid="{247E19C6-C386-4ACE-987D-C0AA80423670}"/>
    <cellStyle name="Normal 3 3 3" xfId="1001" xr:uid="{E1E84726-D9AA-4B6F-AE72-575C9D9BF256}"/>
    <cellStyle name="Normal 3 3 4" xfId="1002" xr:uid="{A8A59119-FFE8-44E6-87CD-B1F268DA73D8}"/>
    <cellStyle name="Normal 3 3 5" xfId="1003" xr:uid="{A88470B6-06CE-4373-B895-013752C3D9A9}"/>
    <cellStyle name="Normal 3 3 6" xfId="1004" xr:uid="{4A537C7F-C2D3-4DE0-9388-7157515FDCA5}"/>
    <cellStyle name="Normal 3 3 7" xfId="1005" xr:uid="{81B43EAD-1A3D-40D8-A7FE-4056B0979E8E}"/>
    <cellStyle name="Normal 3 3 8" xfId="1006" xr:uid="{D990A66F-6B89-414B-930C-E9C871946AB7}"/>
    <cellStyle name="Normal 3 3 9" xfId="1007" xr:uid="{CA0E3286-914C-482C-BFF8-CAF964F9F816}"/>
    <cellStyle name="Normal 3 4" xfId="1008" xr:uid="{ADE476F9-AF2C-490F-98FB-3D8AA25B8147}"/>
    <cellStyle name="Normal 3 4 2" xfId="1009" xr:uid="{20F31EC4-6A18-4597-94F7-818A3513546C}"/>
    <cellStyle name="Normal 3 4 3" xfId="1010" xr:uid="{B431B8D9-4AB7-44F8-9979-C5C1CD8DCAC7}"/>
    <cellStyle name="Normal 3 4 4" xfId="1011" xr:uid="{C4899798-CBE4-476D-917B-B65560DE4B4F}"/>
    <cellStyle name="Normal 3 4 5" xfId="1012" xr:uid="{D88C985D-B1AA-4E15-84AD-CDD4A6D2EB4F}"/>
    <cellStyle name="Normal 3 4 6" xfId="1013" xr:uid="{6E1C0AAC-45AC-40D1-8734-A372A6752E42}"/>
    <cellStyle name="Normal 3 4 7" xfId="1014" xr:uid="{23DDA28A-80C0-4CE7-8B72-E12BC722D6CC}"/>
    <cellStyle name="Normal 3 4 8" xfId="1015" xr:uid="{3FF54BF3-DCDB-47A7-A8E7-708E38F71388}"/>
    <cellStyle name="Normal 3 5" xfId="1016" xr:uid="{CD004B87-62AF-4F8C-886E-69E7DD2D612D}"/>
    <cellStyle name="Normal 3 5 2" xfId="1017" xr:uid="{990D7120-A8D6-4A63-BD6F-19F11B189FDE}"/>
    <cellStyle name="Normal 3 5 3" xfId="1018" xr:uid="{5CA51492-1EA4-47C5-9FE5-54D9665968B7}"/>
    <cellStyle name="Normal 3 5 4" xfId="1019" xr:uid="{642F08A4-BEC6-4B46-8EE7-DE7F744D51B1}"/>
    <cellStyle name="Normal 3 5 5" xfId="1020" xr:uid="{0AA93E06-38CD-4523-8B11-4AA2B777D2F6}"/>
    <cellStyle name="Normal 3 5 6" xfId="1021" xr:uid="{F51018AC-DDE2-4796-AE85-F81FF720F0A5}"/>
    <cellStyle name="Normal 3 5 7" xfId="1022" xr:uid="{F031A84D-1F0B-449D-B256-717BCA96A848}"/>
    <cellStyle name="Normal 3 5 8" xfId="1023" xr:uid="{9F2A6DE0-93AA-45C7-A039-5E64517B953A}"/>
    <cellStyle name="Normal 3 6" xfId="1024" xr:uid="{ECFC4853-F783-477E-AF93-F24BF479BF1B}"/>
    <cellStyle name="Normal 3 7" xfId="1025" xr:uid="{29A1965B-B784-489F-A02E-95298741EA6C}"/>
    <cellStyle name="Normal 3 8" xfId="1026" xr:uid="{E1F05096-689E-4924-9079-36CFE1D131A5}"/>
    <cellStyle name="Normal 3 9" xfId="1027" xr:uid="{1485CD6E-445B-41F6-8BDB-4AB15C722351}"/>
    <cellStyle name="Normal 4" xfId="1028" xr:uid="{B03D0F4D-0E06-426C-8BDB-8AF5BC388144}"/>
    <cellStyle name="Normal 4 10" xfId="1029" xr:uid="{9F8B4126-9246-48C5-9C82-818522409AD7}"/>
    <cellStyle name="Normal 4 11" xfId="1030" xr:uid="{908E4D9B-EC29-45AA-94A1-BC8827F623ED}"/>
    <cellStyle name="Normal 4 12" xfId="1031" xr:uid="{DFDABC4C-4EBD-4AB2-9CAB-E17C6A95BC05}"/>
    <cellStyle name="Normal 4 2" xfId="1032" xr:uid="{07C9A0F8-8A5E-452D-AA6E-06C8B22EEFAD}"/>
    <cellStyle name="Normal 4 2 2" xfId="1033" xr:uid="{097F171E-6DF1-4600-B6B8-5A4DF581A36E}"/>
    <cellStyle name="Normal 4 2 2 10" xfId="1034" xr:uid="{B012186D-C223-4529-9631-543BBA124E1C}"/>
    <cellStyle name="Normal 4 2 2 11" xfId="1035" xr:uid="{406860DB-66E2-4CF5-8504-B146151E2466}"/>
    <cellStyle name="Normal 4 2 2 12" xfId="1036" xr:uid="{50BC481A-90F4-4ED2-A93D-F9A9D6006233}"/>
    <cellStyle name="Normal 4 2 2 13" xfId="1037" xr:uid="{98A73D5D-CD30-4C6F-B5BD-ED1DB733A04D}"/>
    <cellStyle name="Normal 4 2 2 2" xfId="1038" xr:uid="{E4AA1784-78A8-46D8-92BC-CE234DDA18D9}"/>
    <cellStyle name="Normal 4 2 2 2 10" xfId="1039" xr:uid="{4E8B444E-7533-4307-ACCC-C41A5D8E3E1B}"/>
    <cellStyle name="Normal 4 2 2 2 11" xfId="1040" xr:uid="{E5F78502-7D94-4D41-AC99-0D2AC3028CF6}"/>
    <cellStyle name="Normal 4 2 2 2 12" xfId="1041" xr:uid="{64D81BB9-F9D3-4345-9B3A-EA4405216FA3}"/>
    <cellStyle name="Normal 4 2 2 2 13" xfId="1042" xr:uid="{AD51477E-1806-448A-AE0D-7674BE874FA7}"/>
    <cellStyle name="Normal 4 2 2 2 2" xfId="1043" xr:uid="{BC9B8B7D-ECE0-4F5B-84FC-979D0DC2A503}"/>
    <cellStyle name="Normal 4 2 2 2 3" xfId="1044" xr:uid="{E8DFBFEB-CC74-4DE7-BF87-DDD23DABAA59}"/>
    <cellStyle name="Normal 4 2 2 2 4" xfId="1045" xr:uid="{669B8815-F9A0-4564-B52E-B331E4F379A7}"/>
    <cellStyle name="Normal 4 2 2 2 5" xfId="1046" xr:uid="{CE7CD988-8790-4E84-9482-DFD892526A8D}"/>
    <cellStyle name="Normal 4 2 2 2 6" xfId="1047" xr:uid="{4D3136BC-F463-4D51-B040-48EFD8944933}"/>
    <cellStyle name="Normal 4 2 2 2 7" xfId="1048" xr:uid="{FB8908C7-64BF-408F-9EF7-267CD30B0D50}"/>
    <cellStyle name="Normal 4 2 2 2 8" xfId="1049" xr:uid="{6748FC32-6D0B-43C0-BACD-1149FD246287}"/>
    <cellStyle name="Normal 4 2 2 2 9" xfId="1050" xr:uid="{2F795C08-C7AA-4597-B35C-2EC5399A34A0}"/>
    <cellStyle name="Normal 4 2 2 3" xfId="1051" xr:uid="{AE388DEA-268E-414B-87BD-A1030FB386FA}"/>
    <cellStyle name="Normal 4 2 2 4" xfId="1052" xr:uid="{76125EFF-5F06-47B6-9B3A-C8FE558DA488}"/>
    <cellStyle name="Normal 4 2 2 5" xfId="1053" xr:uid="{5ACA0B54-68AE-4519-9527-6FAA199E8334}"/>
    <cellStyle name="Normal 4 2 2 6" xfId="1054" xr:uid="{C94726E9-BE86-4FAA-BDD3-D9563BA4EC7A}"/>
    <cellStyle name="Normal 4 2 2 7" xfId="1055" xr:uid="{914E654C-2337-4C0E-AFE0-81B167012BFE}"/>
    <cellStyle name="Normal 4 2 2 8" xfId="1056" xr:uid="{6256B834-41CF-476B-BABB-D9181AA2C530}"/>
    <cellStyle name="Normal 4 2 2 9" xfId="1057" xr:uid="{D992D150-2BDE-40BF-91DD-CBF002CBEFE9}"/>
    <cellStyle name="Normal 4 2 3" xfId="1058" xr:uid="{9C3DE2CB-8A64-4DE8-9CF5-529A9A6FF391}"/>
    <cellStyle name="Normal 4 2 4" xfId="1059" xr:uid="{F06F6CE5-6343-4D0C-9C16-E523A13EE89D}"/>
    <cellStyle name="Normal 4 2 5" xfId="1060" xr:uid="{B23FE96F-65C2-4C51-9ED5-1A406922B491}"/>
    <cellStyle name="Normal 4 2 6" xfId="1061" xr:uid="{23113BE8-BE0A-401C-B6F7-4392CC40826C}"/>
    <cellStyle name="Normal 4 2 7" xfId="1062" xr:uid="{C949D63F-E39D-4A55-A56A-0407311024BF}"/>
    <cellStyle name="Normal 4 2 8" xfId="1063" xr:uid="{5674FF9B-1A5E-4678-8C6A-1F392CA6E7DA}"/>
    <cellStyle name="Normal 4 2 9" xfId="1064" xr:uid="{52A99CED-62E7-487C-A4AD-6DD5C96C9732}"/>
    <cellStyle name="Normal 4 3" xfId="1065" xr:uid="{87BE6E05-065F-4920-80AD-F4D97469EAD6}"/>
    <cellStyle name="Normal 4 3 2" xfId="1066" xr:uid="{D19CE40C-A9B0-49AE-9757-43A4E07F5C1A}"/>
    <cellStyle name="Normal 4 3 3" xfId="1067" xr:uid="{3B31F688-D9AE-4258-91DD-FE17707652E9}"/>
    <cellStyle name="Normal 4 3 4" xfId="1068" xr:uid="{5219A3A6-5E85-464C-95C8-D4FCFF96A408}"/>
    <cellStyle name="Normal 4 3 5" xfId="1069" xr:uid="{0A2C403C-AB66-4B5C-A208-EF94587BF320}"/>
    <cellStyle name="Normal 4 3 6" xfId="1070" xr:uid="{B467D314-0A3C-41BB-A054-E9AA436A47D2}"/>
    <cellStyle name="Normal 4 3 7" xfId="1071" xr:uid="{6DA27C54-EA51-47B9-931F-9C3C7FC73D0C}"/>
    <cellStyle name="Normal 4 3 8" xfId="1072" xr:uid="{5A0197C0-728B-4463-AC35-2FEEA4F34590}"/>
    <cellStyle name="Normal 4 4" xfId="1073" xr:uid="{F6D901A3-AFE7-47AF-B570-37C99E9814DF}"/>
    <cellStyle name="Normal 4 4 2" xfId="1074" xr:uid="{CDFEF3F0-3498-409B-B9DF-B71929C6CD69}"/>
    <cellStyle name="Normal 4 4 3" xfId="1075" xr:uid="{2D06B9D9-442F-4C2D-BC8C-37B63D57F76B}"/>
    <cellStyle name="Normal 4 4 4" xfId="1076" xr:uid="{30DAADE5-0C25-412D-B959-3C4AE1CB8303}"/>
    <cellStyle name="Normal 4 4 5" xfId="1077" xr:uid="{BADA9906-5D50-4E45-BAD9-EFB5B18201E5}"/>
    <cellStyle name="Normal 4 4 6" xfId="1078" xr:uid="{E4584853-02D1-4D4A-82CE-9C3DDED9BC42}"/>
    <cellStyle name="Normal 4 4 7" xfId="1079" xr:uid="{75E43AC9-9740-4BC3-86C6-99C3D975F2E9}"/>
    <cellStyle name="Normal 4 4 8" xfId="1080" xr:uid="{A2501F17-AE57-40B4-B986-1330C7B2BECF}"/>
    <cellStyle name="Normal 4 5" xfId="1081" xr:uid="{7FC4D76F-7503-4764-9824-58A1C095DD37}"/>
    <cellStyle name="Normal 4 5 2" xfId="1082" xr:uid="{7F2FD556-CFBA-4888-B6BC-855784138C61}"/>
    <cellStyle name="Normal 4 5 3" xfId="1083" xr:uid="{4232D20A-097F-419A-807F-B957423C4E48}"/>
    <cellStyle name="Normal 4 5 4" xfId="1084" xr:uid="{55294A6C-2B54-4116-92D9-B1DBF0DFC342}"/>
    <cellStyle name="Normal 4 5 5" xfId="1085" xr:uid="{AEFBC890-9E03-4F26-8A8F-788ED120ED24}"/>
    <cellStyle name="Normal 4 5 6" xfId="1086" xr:uid="{1C4FD47D-AD47-4A52-B1B5-A4F20818DE6A}"/>
    <cellStyle name="Normal 4 5 7" xfId="1087" xr:uid="{2D986F55-3434-4394-B52E-97613FB2ABC1}"/>
    <cellStyle name="Normal 4 5 8" xfId="1088" xr:uid="{46458E1F-33C8-49E1-8051-60FB3EF46743}"/>
    <cellStyle name="Normal 4 6" xfId="1089" xr:uid="{5639D417-3D4A-4C65-BA79-E75B5B9367D4}"/>
    <cellStyle name="Normal 4 7" xfId="1090" xr:uid="{0AF59E57-CAE9-46AD-AE91-0A911D9EAD87}"/>
    <cellStyle name="Normal 4 8" xfId="1091" xr:uid="{F6AE7B79-E6A5-48D0-BE19-59A4B46B481B}"/>
    <cellStyle name="Normal 4 9" xfId="1092" xr:uid="{80E87A2F-7797-4678-90EC-7236D211CF1D}"/>
    <cellStyle name="Normal 4_SUP" xfId="1093" xr:uid="{53C49B68-EE4C-4C12-9255-63ABFA6F8164}"/>
    <cellStyle name="Normal 41" xfId="1792" xr:uid="{4112297C-9022-486B-B61E-1A84F5BC6357}"/>
    <cellStyle name="Normal 5" xfId="1094" xr:uid="{CC6C2FBD-0103-4C0A-82C6-851B5B5AFDDA}"/>
    <cellStyle name="Normal 5 10" xfId="1095" xr:uid="{E88B2C52-9050-488E-8D60-71732F349A73}"/>
    <cellStyle name="Normal 5 11" xfId="1096" xr:uid="{089DD57F-E136-49E4-B8F5-D3F2C0A8A621}"/>
    <cellStyle name="Normal 5 12" xfId="1097" xr:uid="{CBDDD5D3-EEC7-4199-A05D-9E1612A03858}"/>
    <cellStyle name="Normal 5 2" xfId="1098" xr:uid="{5C21832B-DED7-411D-A874-62B351926F22}"/>
    <cellStyle name="Normal 5 2 2" xfId="1099" xr:uid="{530BEA61-40B0-43C7-852C-4D4A026A45FB}"/>
    <cellStyle name="Normal 5 2 2 10" xfId="1100" xr:uid="{7C2448AB-8E12-4606-9A41-BFA43D5ED607}"/>
    <cellStyle name="Normal 5 2 2 11" xfId="1101" xr:uid="{9D8D59DF-76CC-4743-923D-3B8FC95EC010}"/>
    <cellStyle name="Normal 5 2 2 12" xfId="1102" xr:uid="{BE65931C-0933-42C1-9084-36EEAA345894}"/>
    <cellStyle name="Normal 5 2 2 13" xfId="1103" xr:uid="{82CF3284-C73D-4806-A3CB-13FED461B744}"/>
    <cellStyle name="Normal 5 2 2 2" xfId="1104" xr:uid="{0B3FEBC5-5967-453E-8324-A18582E446B7}"/>
    <cellStyle name="Normal 5 2 2 2 10" xfId="1105" xr:uid="{C676DD67-C4D7-4F8E-8B36-4490B645861B}"/>
    <cellStyle name="Normal 5 2 2 2 11" xfId="1106" xr:uid="{CF458141-492D-4EE8-A5F6-0C718CAE8052}"/>
    <cellStyle name="Normal 5 2 2 2 12" xfId="1107" xr:uid="{85512EBA-3EDF-4718-BFA9-3EB02276A21B}"/>
    <cellStyle name="Normal 5 2 2 2 13" xfId="1108" xr:uid="{34F7C7C5-5396-4F5F-B8C6-3F34F65FD9C3}"/>
    <cellStyle name="Normal 5 2 2 2 2" xfId="1109" xr:uid="{F2970F83-4382-44B2-8E2F-F3E659A9584A}"/>
    <cellStyle name="Normal 5 2 2 2 3" xfId="1110" xr:uid="{1E998B54-917C-416D-A9D2-7CA76F6CB8BA}"/>
    <cellStyle name="Normal 5 2 2 2 4" xfId="1111" xr:uid="{7FE89195-9275-4CAB-A244-F99508CA18DF}"/>
    <cellStyle name="Normal 5 2 2 2 5" xfId="1112" xr:uid="{28730F75-0183-40C8-9F85-7484870B6664}"/>
    <cellStyle name="Normal 5 2 2 2 6" xfId="1113" xr:uid="{2081EB60-6A97-4FBF-9D0E-091F05782F61}"/>
    <cellStyle name="Normal 5 2 2 2 7" xfId="1114" xr:uid="{36AD15B6-E516-489C-B3EE-9C18B923B751}"/>
    <cellStyle name="Normal 5 2 2 2 8" xfId="1115" xr:uid="{FEE47387-8BC3-4F75-8073-F9B671D4FAA7}"/>
    <cellStyle name="Normal 5 2 2 2 9" xfId="1116" xr:uid="{EB2600EB-AB63-42EF-B277-C10DDFE00F91}"/>
    <cellStyle name="Normal 5 2 2 3" xfId="1117" xr:uid="{2412DDAB-2042-4665-BBD4-3EA3A40CA412}"/>
    <cellStyle name="Normal 5 2 2 4" xfId="1118" xr:uid="{BE80878F-57C5-45F4-AFB2-79A87E9B199C}"/>
    <cellStyle name="Normal 5 2 2 5" xfId="1119" xr:uid="{2C1815D5-990E-4C57-9B72-F025B0843113}"/>
    <cellStyle name="Normal 5 2 2 6" xfId="1120" xr:uid="{B1484802-B77C-4AB4-9D2C-BD593FE8E0B2}"/>
    <cellStyle name="Normal 5 2 2 7" xfId="1121" xr:uid="{BEE5F64D-167A-48D0-BF75-48D3C3606F47}"/>
    <cellStyle name="Normal 5 2 2 8" xfId="1122" xr:uid="{8C4BE341-0699-4F4F-9ECE-206996719E57}"/>
    <cellStyle name="Normal 5 2 2 9" xfId="1123" xr:uid="{92A69E76-3B07-44C7-B6FC-9084EE96D589}"/>
    <cellStyle name="Normal 5 2 3" xfId="1124" xr:uid="{48683D30-C473-4B8C-9D9C-EB951337A6C1}"/>
    <cellStyle name="Normal 5 2 4" xfId="1125" xr:uid="{AB44347C-82BB-4614-914A-75322A17C71E}"/>
    <cellStyle name="Normal 5 2 5" xfId="1126" xr:uid="{C789F5C1-0A69-463B-82F9-493F3B883380}"/>
    <cellStyle name="Normal 5 2 6" xfId="1127" xr:uid="{BD7F20A5-6612-49D8-ABEF-FCEB7F819821}"/>
    <cellStyle name="Normal 5 2 7" xfId="1128" xr:uid="{4E340E60-4103-46A3-93F7-570E64FDD383}"/>
    <cellStyle name="Normal 5 2 8" xfId="1129" xr:uid="{3789C1AB-7583-4851-86FC-C2194EBFD341}"/>
    <cellStyle name="Normal 5 3" xfId="1130" xr:uid="{496E05F3-24B1-41FA-B0F2-1E015A4E4C44}"/>
    <cellStyle name="Normal 5 3 2" xfId="1131" xr:uid="{13B52D28-3C1C-4C4D-ACC3-09CC2E970380}"/>
    <cellStyle name="Normal 5 3 3" xfId="1132" xr:uid="{BB5CA2EB-521B-4C0F-96FD-2AF021167900}"/>
    <cellStyle name="Normal 5 3 4" xfId="1133" xr:uid="{1D023C90-0D6D-480C-8049-5CDCB96870DB}"/>
    <cellStyle name="Normal 5 3 5" xfId="1134" xr:uid="{6276E5E2-CF2A-486B-B045-91FD341E1567}"/>
    <cellStyle name="Normal 5 3 6" xfId="1135" xr:uid="{CABF5905-A303-4AF7-ABC5-4ABBBE8BCA2E}"/>
    <cellStyle name="Normal 5 3 7" xfId="1136" xr:uid="{52A7FFBB-0275-4DF4-BCE7-3BEA46699757}"/>
    <cellStyle name="Normal 5 3 8" xfId="1137" xr:uid="{CEFD36CE-1739-41FE-8148-B2C15CC91C9B}"/>
    <cellStyle name="Normal 5 4" xfId="1138" xr:uid="{855107E1-1763-463E-8D78-D1A982681CE3}"/>
    <cellStyle name="Normal 5 4 2" xfId="1139" xr:uid="{780FAAF7-4D5B-426A-ADB5-AAE0EDF0CF82}"/>
    <cellStyle name="Normal 5 4 3" xfId="1140" xr:uid="{CB27F101-CED4-42CA-A7F5-99031B1CEC92}"/>
    <cellStyle name="Normal 5 4 4" xfId="1141" xr:uid="{2226D5B9-A251-4766-9A7C-75FDF08C7D95}"/>
    <cellStyle name="Normal 5 4 5" xfId="1142" xr:uid="{8C98ECC2-7E90-4187-BE08-21E289D6AACA}"/>
    <cellStyle name="Normal 5 4 6" xfId="1143" xr:uid="{8D71FB21-5005-42EA-B313-25A4BAEAE3DE}"/>
    <cellStyle name="Normal 5 4 7" xfId="1144" xr:uid="{6F3DA2D2-7D05-442B-B853-218786DA6136}"/>
    <cellStyle name="Normal 5 4 8" xfId="1145" xr:uid="{C6867959-60B6-4010-92E2-E0B3EFCE5BFF}"/>
    <cellStyle name="Normal 5 5" xfId="1146" xr:uid="{BA5C5E35-1058-416E-BA02-A9426E510BC9}"/>
    <cellStyle name="Normal 5 5 2" xfId="1147" xr:uid="{FFEEECCC-F141-4AA6-9A6D-EB59BC8032C7}"/>
    <cellStyle name="Normal 5 5 3" xfId="1148" xr:uid="{A712D3FF-A27E-4D6F-80B4-C594FACF142F}"/>
    <cellStyle name="Normal 5 5 4" xfId="1149" xr:uid="{840C75F2-12F1-4891-A6A2-F31330CD6F19}"/>
    <cellStyle name="Normal 5 5 5" xfId="1150" xr:uid="{B3C75A36-4FB1-4A7C-98F0-5CED91485827}"/>
    <cellStyle name="Normal 5 5 6" xfId="1151" xr:uid="{F8D62FB4-1D6F-420B-9249-BF3DBA1FA943}"/>
    <cellStyle name="Normal 5 5 7" xfId="1152" xr:uid="{E636021E-4329-476D-BFC2-05C542AB039E}"/>
    <cellStyle name="Normal 5 5 8" xfId="1153" xr:uid="{CE8642A0-ED1E-493F-8285-A0975D2D9BFC}"/>
    <cellStyle name="Normal 5 6" xfId="1154" xr:uid="{B101C4B3-8255-4752-A214-BBB780AB66D0}"/>
    <cellStyle name="Normal 5 7" xfId="1155" xr:uid="{F98F2E5A-7CF1-4F89-97C9-163870925963}"/>
    <cellStyle name="Normal 5 8" xfId="1156" xr:uid="{71033CD4-F5E4-449A-8D65-AE4B7BBEFE59}"/>
    <cellStyle name="Normal 5 9" xfId="1157" xr:uid="{50C024CC-2129-4505-A5D6-A2298BE88EBA}"/>
    <cellStyle name="Normal 6" xfId="1158" xr:uid="{426C7BA6-1699-4B7B-AC1D-23224683A84A}"/>
    <cellStyle name="Normal 6 10" xfId="1159" xr:uid="{81FDE009-4CEF-4224-9E7A-79B54101CEA5}"/>
    <cellStyle name="Normal 6 11" xfId="1160" xr:uid="{47442FCA-738A-4BC8-8E46-90043171081A}"/>
    <cellStyle name="Normal 6 12" xfId="1161" xr:uid="{88252767-730C-4394-9C28-D9B420822A71}"/>
    <cellStyle name="Normal 6 2" xfId="1162" xr:uid="{F6EA0EDE-896F-478E-A37E-EE703768F9DF}"/>
    <cellStyle name="Normal 6 2 2" xfId="1163" xr:uid="{2EA28DE0-1E48-43D9-89D5-F5A4E55886CC}"/>
    <cellStyle name="Normal 6 2 2 10" xfId="1164" xr:uid="{94BF9D26-78FB-4829-9E68-FE5978808F4E}"/>
    <cellStyle name="Normal 6 2 2 11" xfId="1165" xr:uid="{9C62999A-5600-4F68-8561-24629C45F0A2}"/>
    <cellStyle name="Normal 6 2 2 12" xfId="1166" xr:uid="{381E8971-B1B3-4993-9EA7-0733270B0632}"/>
    <cellStyle name="Normal 6 2 2 13" xfId="1167" xr:uid="{9531D504-BDD3-435C-8821-C7041B1B647D}"/>
    <cellStyle name="Normal 6 2 2 2" xfId="1168" xr:uid="{85073DB9-C7C0-459D-B62D-C0D83DA5EAEE}"/>
    <cellStyle name="Normal 6 2 2 3" xfId="1169" xr:uid="{BF1DA9CD-FE25-4C9E-BAD8-DD9A3389F39C}"/>
    <cellStyle name="Normal 6 2 2 4" xfId="1170" xr:uid="{C9F5F02A-5712-463E-9495-C0F025650DA2}"/>
    <cellStyle name="Normal 6 2 2 5" xfId="1171" xr:uid="{708F06F7-0A80-4300-929D-1623AA314D6B}"/>
    <cellStyle name="Normal 6 2 2 6" xfId="1172" xr:uid="{4486DCBA-D75B-4F4C-872A-23A05814CC7A}"/>
    <cellStyle name="Normal 6 2 2 7" xfId="1173" xr:uid="{3734C814-21BE-49B8-989A-B4E2FB10B8D1}"/>
    <cellStyle name="Normal 6 2 2 8" xfId="1174" xr:uid="{46132CFD-BDCB-455E-9A14-E31536A4E77C}"/>
    <cellStyle name="Normal 6 2 2 9" xfId="1175" xr:uid="{4AC49E1A-EA5E-4E5D-9156-075535047EC7}"/>
    <cellStyle name="Normal 6 2 3" xfId="1176" xr:uid="{F4E9E0BD-CC65-4F24-9BDB-9F755C087846}"/>
    <cellStyle name="Normal 6 2 4" xfId="1177" xr:uid="{35125F28-BA28-4AAA-8904-ACD3CAA461A2}"/>
    <cellStyle name="Normal 6 2 5" xfId="1178" xr:uid="{EA6FD44A-FF80-4C08-8EEC-C15E2AE9D535}"/>
    <cellStyle name="Normal 6 2 6" xfId="1179" xr:uid="{37B9C125-C5C0-4525-9151-F83CF41EEAA5}"/>
    <cellStyle name="Normal 6 2 7" xfId="1180" xr:uid="{5AB404C1-E8EA-4038-9761-7D8065B8AA31}"/>
    <cellStyle name="Normal 6 2 8" xfId="1181" xr:uid="{32804857-EC00-4A76-AEBF-44F8BD3B3A22}"/>
    <cellStyle name="Normal 6 3" xfId="1182" xr:uid="{784A52A2-B151-4A56-9BF2-66BC704C31A3}"/>
    <cellStyle name="Normal 6 3 2" xfId="1183" xr:uid="{0D1C9E00-FEA1-4809-9575-2C3FA183A969}"/>
    <cellStyle name="Normal 6 3 3" xfId="1184" xr:uid="{4B4F9584-C0D5-427A-8FE7-6634BD215E7B}"/>
    <cellStyle name="Normal 6 3 4" xfId="1185" xr:uid="{93C3C809-28DC-4574-9978-9DA0308B2797}"/>
    <cellStyle name="Normal 6 3 5" xfId="1186" xr:uid="{CD59D1C5-94AF-492B-9B56-BB35D25FDB13}"/>
    <cellStyle name="Normal 6 3 6" xfId="1187" xr:uid="{9FA733EF-4197-4535-A712-1DCCEC692ECD}"/>
    <cellStyle name="Normal 6 3 7" xfId="1188" xr:uid="{6470084A-73FE-466E-8569-AE14467100C3}"/>
    <cellStyle name="Normal 6 3 8" xfId="1189" xr:uid="{2C37B3F1-254B-408E-9D1D-B25208DB06CA}"/>
    <cellStyle name="Normal 6 4" xfId="1190" xr:uid="{196A0528-59BF-42F3-9BE6-33C7A737C93F}"/>
    <cellStyle name="Normal 6 4 2" xfId="1191" xr:uid="{D8FE2BF9-3818-489E-BDC5-13406078723E}"/>
    <cellStyle name="Normal 6 4 3" xfId="1192" xr:uid="{B67DC285-0BC8-4779-8102-BF0767C0CF97}"/>
    <cellStyle name="Normal 6 4 4" xfId="1193" xr:uid="{3AD0DBA5-E910-47F8-9BFC-FFFC05F52E2D}"/>
    <cellStyle name="Normal 6 4 5" xfId="1194" xr:uid="{24160E5B-5F9E-49D9-85B0-050F6DC66D14}"/>
    <cellStyle name="Normal 6 4 6" xfId="1195" xr:uid="{A99D1595-C77B-4199-861C-7C9AB1B8841F}"/>
    <cellStyle name="Normal 6 4 7" xfId="1196" xr:uid="{3FC46BEC-32BF-475A-BCEC-3F1D97DBA4C9}"/>
    <cellStyle name="Normal 6 4 8" xfId="1197" xr:uid="{BCBC99DD-0EB7-4147-B5C3-88B4AEE7BF04}"/>
    <cellStyle name="Normal 6 5" xfId="1198" xr:uid="{E7E7D24F-CB51-43F9-8129-832035A6E8CE}"/>
    <cellStyle name="Normal 6 5 2" xfId="1199" xr:uid="{2FC72133-4663-45F6-966A-BBD7BFEC8A51}"/>
    <cellStyle name="Normal 6 5 3" xfId="1200" xr:uid="{C5532318-88C6-460F-9965-1645F40B8125}"/>
    <cellStyle name="Normal 6 5 4" xfId="1201" xr:uid="{29D6AFE9-8B0E-41D4-BEAF-50C6B2D64DFA}"/>
    <cellStyle name="Normal 6 5 5" xfId="1202" xr:uid="{5D5E76D1-AA8C-4D71-B4FA-51A1FE738277}"/>
    <cellStyle name="Normal 6 5 6" xfId="1203" xr:uid="{BF9F200A-D67D-4A1A-A694-55777C5263DE}"/>
    <cellStyle name="Normal 6 5 7" xfId="1204" xr:uid="{34ADFB5A-EEA1-440A-BF9B-E30895E74B09}"/>
    <cellStyle name="Normal 6 5 8" xfId="1205" xr:uid="{0E2CD482-1458-447B-A38E-F854AFE9955C}"/>
    <cellStyle name="Normal 6 6" xfId="1206" xr:uid="{E9A4CED6-B78D-4160-8F4B-422C704E481E}"/>
    <cellStyle name="Normal 6 7" xfId="1207" xr:uid="{6A4DB32D-7DAC-48C3-8186-40F3D0DBF3F2}"/>
    <cellStyle name="Normal 6 8" xfId="1208" xr:uid="{9A3CBF49-D399-41F4-867A-5402D37BB0A8}"/>
    <cellStyle name="Normal 6 9" xfId="1209" xr:uid="{4D4B01F3-C7FF-4588-8768-1ABD9E25629E}"/>
    <cellStyle name="Normal 7" xfId="1210" xr:uid="{64998823-0618-43A3-B105-A47BB50B4CC5}"/>
    <cellStyle name="Normal 7 10" xfId="1211" xr:uid="{3D95A153-4338-4CDF-B437-094DF5030F9E}"/>
    <cellStyle name="Normal 7 11" xfId="1212" xr:uid="{757E094C-0471-44FE-AF2B-D60803EE78E5}"/>
    <cellStyle name="Normal 7 12" xfId="1213" xr:uid="{18C2AB4F-056A-4C59-8085-342AD2706EF1}"/>
    <cellStyle name="Normal 7 13" xfId="1214" xr:uid="{AB9B1B03-2401-4325-A423-2545547C7AEF}"/>
    <cellStyle name="Normal 7 2" xfId="1215" xr:uid="{8ECFB1CC-3C44-4BCB-A761-743108CE0735}"/>
    <cellStyle name="Normal 7 2 2" xfId="1216" xr:uid="{F3C105C6-0D72-4895-BC5E-38C2FA9E4D97}"/>
    <cellStyle name="Normal 7 2 3" xfId="1217" xr:uid="{E054375B-F28F-42ED-93CA-16E438D88D80}"/>
    <cellStyle name="Normal 7 2 4" xfId="1218" xr:uid="{171AC7D5-125E-4529-8110-BD396B717D81}"/>
    <cellStyle name="Normal 7 2 5" xfId="1219" xr:uid="{543179A2-E8AE-4843-BDAC-E08D1B1DDD94}"/>
    <cellStyle name="Normal 7 2 6" xfId="1220" xr:uid="{BD590AA6-AA1D-499E-8A8E-9E33CB416FB6}"/>
    <cellStyle name="Normal 7 2 7" xfId="1221" xr:uid="{E908E072-A7FD-4644-84F4-ECE045CA39BE}"/>
    <cellStyle name="Normal 7 2 8" xfId="1222" xr:uid="{6FAAA788-FFFC-484C-9DBC-B5C1A6956FFA}"/>
    <cellStyle name="Normal 7 2 9" xfId="1223" xr:uid="{BE43E1B0-35EB-47F9-B9C4-F57B82582D55}"/>
    <cellStyle name="Normal 7 3" xfId="1224" xr:uid="{CAFFFB05-DEFD-4B8A-877B-8CBF5F3CE928}"/>
    <cellStyle name="Normal 7 3 2" xfId="1225" xr:uid="{48A871A7-C21B-44FC-AD51-2A2B968E8768}"/>
    <cellStyle name="Normal 7 3 3" xfId="1226" xr:uid="{8D69DC15-65E5-4D8B-91C6-25E6E78070E1}"/>
    <cellStyle name="Normal 7 3 4" xfId="1227" xr:uid="{0C7B4ADF-C20D-4C6B-B5C5-B176CB0E6242}"/>
    <cellStyle name="Normal 7 3 5" xfId="1228" xr:uid="{6AB1AB4C-5E9D-42EB-B521-307DBF410C3B}"/>
    <cellStyle name="Normal 7 3 6" xfId="1229" xr:uid="{FE55296D-933C-4173-B92E-5AE2D8CE48C7}"/>
    <cellStyle name="Normal 7 3 7" xfId="1230" xr:uid="{B99D1540-C428-42AF-A0AC-10CB11EF1B57}"/>
    <cellStyle name="Normal 7 3 8" xfId="1231" xr:uid="{168AA1E4-AA52-4A0F-956C-115339FB26D1}"/>
    <cellStyle name="Normal 7 4" xfId="1232" xr:uid="{6D3AEA1C-80B2-436B-B32A-2F5A1513BF13}"/>
    <cellStyle name="Normal 7 4 2" xfId="1233" xr:uid="{AC430E07-F56E-49D0-A04A-C3D3DC9EFC8A}"/>
    <cellStyle name="Normal 7 4 3" xfId="1234" xr:uid="{0A452768-A722-4B80-98BD-E5001A4D2DBC}"/>
    <cellStyle name="Normal 7 4 4" xfId="1235" xr:uid="{6242DB78-BADE-4397-87D7-4467D967B1E4}"/>
    <cellStyle name="Normal 7 4 5" xfId="1236" xr:uid="{E9990A2B-A362-4DAB-B3D9-A883DC9849A7}"/>
    <cellStyle name="Normal 7 4 6" xfId="1237" xr:uid="{57AF3E7D-A6BC-43CC-A687-A69F7CA3F4EA}"/>
    <cellStyle name="Normal 7 4 7" xfId="1238" xr:uid="{7C70B6A7-03B4-4A25-B939-C63612259A96}"/>
    <cellStyle name="Normal 7 4 8" xfId="1239" xr:uid="{7C9B9ACF-C8C1-4295-B1C2-A4C29F7FE8B4}"/>
    <cellStyle name="Normal 7 5" xfId="1240" xr:uid="{426AB825-1C63-432E-8A34-3AC83AA755B2}"/>
    <cellStyle name="Normal 7 5 2" xfId="1241" xr:uid="{95E2A38E-6CAE-4ABD-BB60-8A71C025B63A}"/>
    <cellStyle name="Normal 7 5 3" xfId="1242" xr:uid="{00C47E40-350C-4603-994B-06969DF19070}"/>
    <cellStyle name="Normal 7 5 4" xfId="1243" xr:uid="{BF77EFA1-E4C2-4E4F-B76A-81B2FA4F19C6}"/>
    <cellStyle name="Normal 7 5 5" xfId="1244" xr:uid="{82A84F6E-007F-41C2-BE6A-39A1261BB723}"/>
    <cellStyle name="Normal 7 5 6" xfId="1245" xr:uid="{F6F45CD3-62B9-431B-9DC7-FF1F41856D91}"/>
    <cellStyle name="Normal 7 5 7" xfId="1246" xr:uid="{50C613A8-7490-4107-B2BD-28B35D423483}"/>
    <cellStyle name="Normal 7 5 8" xfId="1247" xr:uid="{B799AD2F-08AB-463A-B0C7-0D855FE468A5}"/>
    <cellStyle name="Normal 7 6" xfId="1248" xr:uid="{14A61E5F-886F-4D46-A8C8-C5040E89CE69}"/>
    <cellStyle name="Normal 7 7" xfId="1249" xr:uid="{4DF14686-F44D-465E-AC4C-CA95D09A3C7C}"/>
    <cellStyle name="Normal 7 8" xfId="1250" xr:uid="{EDD1F5BD-D588-4E1A-96A1-2046BD7AE700}"/>
    <cellStyle name="Normal 7 9" xfId="1251" xr:uid="{C363C8F5-7FE0-412E-9474-513188888DC1}"/>
    <cellStyle name="Normal 8" xfId="1252" xr:uid="{0935F1AA-6F4E-4665-816E-5A28B81A2D5C}"/>
    <cellStyle name="Normal 8 10" xfId="1253" xr:uid="{B26F4B0E-75CE-45E1-A58B-49B74D832627}"/>
    <cellStyle name="Normal 8 11" xfId="1254" xr:uid="{E129B1D8-7EB5-4709-A0CB-99B6DD2CAF7C}"/>
    <cellStyle name="Normal 8 12" xfId="1255" xr:uid="{4A567E56-4D5E-4DC4-A069-E587CE22F5B9}"/>
    <cellStyle name="Normal 8 13" xfId="1256" xr:uid="{86CEB674-4714-442F-B477-47C4404A132C}"/>
    <cellStyle name="Normal 8 2" xfId="1257" xr:uid="{3B2B13EB-4D76-4045-B27E-1ADE37225F8C}"/>
    <cellStyle name="Normal 8 2 2" xfId="1258" xr:uid="{1AD1417C-32D7-4C41-AC72-83BC7C4181FB}"/>
    <cellStyle name="Normal 8 2 3" xfId="1259" xr:uid="{22A573DF-BA10-4C33-9B97-5A011D960574}"/>
    <cellStyle name="Normal 8 2 4" xfId="1260" xr:uid="{3C8BC15B-0C75-4270-A8BC-9F0922208F7D}"/>
    <cellStyle name="Normal 8 2 5" xfId="1261" xr:uid="{11D112D3-A1E6-4212-A366-3A134EE158D6}"/>
    <cellStyle name="Normal 8 2 6" xfId="1262" xr:uid="{28349EAD-903B-4F41-85A9-1B5F7C0FF5C0}"/>
    <cellStyle name="Normal 8 2 7" xfId="1263" xr:uid="{D6969507-E637-4F03-8BEF-88C3E159B6D5}"/>
    <cellStyle name="Normal 8 2 8" xfId="1264" xr:uid="{5E62CEBD-C0C5-4101-902D-B054AE21F9BE}"/>
    <cellStyle name="Normal 8 2 9" xfId="1265" xr:uid="{6773F44B-9371-4236-8FE6-276304161771}"/>
    <cellStyle name="Normal 8 3" xfId="1266" xr:uid="{39CFCD75-A8C5-47A4-ACD4-E2F265BDE893}"/>
    <cellStyle name="Normal 8 3 2" xfId="1267" xr:uid="{BB74A5FB-C7BC-4568-B526-AB8CAF43A86B}"/>
    <cellStyle name="Normal 8 3 3" xfId="1268" xr:uid="{53F2B426-5997-4954-8EC8-C9F4B6AFA334}"/>
    <cellStyle name="Normal 8 3 4" xfId="1269" xr:uid="{ABFCB48F-EF61-4DC0-B021-0665155FF9B2}"/>
    <cellStyle name="Normal 8 3 5" xfId="1270" xr:uid="{CBD7B92C-197B-411C-9740-AFF0AC00CF9D}"/>
    <cellStyle name="Normal 8 3 6" xfId="1271" xr:uid="{9106659E-BF92-4469-AD8D-B732D426EA2B}"/>
    <cellStyle name="Normal 8 3 7" xfId="1272" xr:uid="{8D5D4D6C-FC6D-48B8-8B72-D15D07C2D8ED}"/>
    <cellStyle name="Normal 8 3 8" xfId="1273" xr:uid="{53BA39D8-845E-46FF-91DA-70354120CEB9}"/>
    <cellStyle name="Normal 8 4" xfId="1274" xr:uid="{C06542F6-D9B9-4ED1-A2BF-62C2C665F181}"/>
    <cellStyle name="Normal 8 4 2" xfId="1275" xr:uid="{DA8C7D29-9BE1-4F2B-88A7-9DC1D1F07012}"/>
    <cellStyle name="Normal 8 4 3" xfId="1276" xr:uid="{C9ACBFDD-F5EF-4F91-B20D-53A579CFF1F4}"/>
    <cellStyle name="Normal 8 4 4" xfId="1277" xr:uid="{866013F1-C63F-4576-811A-DF99768E9766}"/>
    <cellStyle name="Normal 8 4 5" xfId="1278" xr:uid="{7188E582-9DAB-47A5-BC83-32C98BFA4685}"/>
    <cellStyle name="Normal 8 4 6" xfId="1279" xr:uid="{7B5B7542-05AE-4EC3-9C37-86023EC4A255}"/>
    <cellStyle name="Normal 8 4 7" xfId="1280" xr:uid="{AD364DAF-0C25-4CE3-81DA-83301BAC9A65}"/>
    <cellStyle name="Normal 8 4 8" xfId="1281" xr:uid="{9993CB92-0341-4157-A130-2E63081AD25E}"/>
    <cellStyle name="Normal 8 5" xfId="1282" xr:uid="{B1D0A211-0422-45AF-A6B9-DFF6CA56920A}"/>
    <cellStyle name="Normal 8 5 2" xfId="1283" xr:uid="{FBE047B1-0AB6-4D0A-B8C1-F5CE926472E0}"/>
    <cellStyle name="Normal 8 5 3" xfId="1284" xr:uid="{7663F707-0AD5-460E-9022-AD0DEF8C916B}"/>
    <cellStyle name="Normal 8 5 4" xfId="1285" xr:uid="{5A9B87FF-C481-462B-AAB1-90100BF22B3D}"/>
    <cellStyle name="Normal 8 5 5" xfId="1286" xr:uid="{982F5FB0-6425-4367-A539-4A134FCD7053}"/>
    <cellStyle name="Normal 8 5 6" xfId="1287" xr:uid="{0414B35E-2EB8-441E-8BBE-DC34A9C97DAB}"/>
    <cellStyle name="Normal 8 5 7" xfId="1288" xr:uid="{1CFCBE8D-6276-45BB-A403-12ACFCD9A174}"/>
    <cellStyle name="Normal 8 5 8" xfId="1289" xr:uid="{D7BD8FFF-CC81-41AA-932B-E19DF17BCD60}"/>
    <cellStyle name="Normal 8 6" xfId="1290" xr:uid="{1C80FE6C-A6D0-4C37-9AF8-034374DF8682}"/>
    <cellStyle name="Normal 8 7" xfId="1291" xr:uid="{EDA2F182-8780-451C-B798-BFF790B3CBCA}"/>
    <cellStyle name="Normal 8 8" xfId="1292" xr:uid="{5A27C34A-1E68-4529-B94D-9041A47354BB}"/>
    <cellStyle name="Normal 8 9" xfId="1293" xr:uid="{2655304E-DAF8-42CF-A5C1-64C4DBF23F3F}"/>
    <cellStyle name="Normal 9" xfId="1294" xr:uid="{787E550E-47E4-4DD8-A036-3561DAAAB6E5}"/>
    <cellStyle name="Normal 9 2" xfId="1295" xr:uid="{670E2E6E-587C-4742-9814-8433382D0FA5}"/>
    <cellStyle name="Normal 9 3" xfId="1296" xr:uid="{0171FA4C-CD7A-4CFD-ADD5-576337EB4882}"/>
    <cellStyle name="Normal 9 4" xfId="1297" xr:uid="{FED19976-003C-4262-9385-F4E04598D2BA}"/>
    <cellStyle name="Normal 9 5" xfId="1298" xr:uid="{3A895DF2-5994-4E3F-BDDC-FE5F9CF2A2B5}"/>
    <cellStyle name="Normal 9 6" xfId="1299" xr:uid="{27ED2640-F634-464D-B699-55BDF56C797C}"/>
    <cellStyle name="Normal 9 7" xfId="1300" xr:uid="{01C5CDBC-3F6A-48AA-9686-F6F3150A4123}"/>
    <cellStyle name="Normal 9 8" xfId="1301" xr:uid="{4013F891-9B2A-4BCC-9393-954D04E149F9}"/>
    <cellStyle name="Normal GHG Numbers (0.00)" xfId="1302" xr:uid="{019E791B-BDE0-48AE-B0E8-12B78BB70CB8}"/>
    <cellStyle name="Normal GHG Textfiels Bold" xfId="1303" xr:uid="{D94BB607-6DB8-4F57-85D6-1F6D0EF3DB13}"/>
    <cellStyle name="Normal GHG-Shade" xfId="1304" xr:uid="{A327ABFE-B359-48F2-B374-8B52DFDADD9E}"/>
    <cellStyle name="Normale_B2020" xfId="1305" xr:uid="{2F4A2D55-94CD-46F4-84BA-D27F8D2532D2}"/>
    <cellStyle name="Note 2" xfId="1306" xr:uid="{C139307B-6355-4C1D-9EF5-48F4B9E58D3D}"/>
    <cellStyle name="Note 2 10" xfId="1307" xr:uid="{096795EC-317A-4B07-BEC5-2B6793596519}"/>
    <cellStyle name="Note 2 11" xfId="1308" xr:uid="{F18AEAD7-C9A4-42A0-8B53-1F4B6E043047}"/>
    <cellStyle name="Note 2 12" xfId="1309" xr:uid="{483FC8A3-86C6-4836-92E8-DD8D33B46C51}"/>
    <cellStyle name="Note 2 13" xfId="1310" xr:uid="{C5065F94-1DC8-4B04-9AA7-A6AD1238EA24}"/>
    <cellStyle name="Note 2 14" xfId="1311" xr:uid="{927431EC-431B-45F2-AAD5-A31A6F500CC1}"/>
    <cellStyle name="Note 2 15" xfId="1312" xr:uid="{23E3A2F4-766C-4596-B620-8D4C54407B6C}"/>
    <cellStyle name="Note 2 2" xfId="1313" xr:uid="{99900179-B2E2-485D-A01B-5389B4240FEB}"/>
    <cellStyle name="Note 2 3" xfId="1314" xr:uid="{13074742-A426-4774-AFFE-BC3704B7B2B5}"/>
    <cellStyle name="Note 2 4" xfId="1315" xr:uid="{7A89D816-4174-4290-9FCD-B9DD1D46C65C}"/>
    <cellStyle name="Note 2 5" xfId="1316" xr:uid="{73660E22-BDF7-4E7E-9E2D-B83DA12C6760}"/>
    <cellStyle name="Note 2 6" xfId="1317" xr:uid="{BA3951A2-850B-4741-B07E-3CCF47F82CBB}"/>
    <cellStyle name="Note 2 7" xfId="1318" xr:uid="{935C4C19-E8D6-4BA1-9D6E-B9FBB61A58D9}"/>
    <cellStyle name="Note 2 8" xfId="1319" xr:uid="{A5B63391-F06A-4335-B6A0-0EB6DD5946CB}"/>
    <cellStyle name="Note 2 9" xfId="1320" xr:uid="{951EF76E-6FEF-4EB4-96F8-5DC07647F688}"/>
    <cellStyle name="Note 3" xfId="1321" xr:uid="{1F05A126-62FC-4353-86BA-7CB2529964C8}"/>
    <cellStyle name="Note 3 2" xfId="1322" xr:uid="{BC48FB3F-66FF-4EA2-9AB1-5AAA778BAC04}"/>
    <cellStyle name="Note 4" xfId="1323" xr:uid="{2D0E4502-01CA-477C-AA07-7BED667E150F}"/>
    <cellStyle name="Note 5" xfId="1324" xr:uid="{FEDB5BA7-5036-419A-9B3D-3448A57603A7}"/>
    <cellStyle name="Note 6" xfId="1325" xr:uid="{7F655241-B2F9-4C8B-B13B-8002D89D132F}"/>
    <cellStyle name="Note 7" xfId="1326" xr:uid="{91005119-BFAD-4E15-A565-92BD6AA03AF1}"/>
    <cellStyle name="Note 8" xfId="1327" xr:uid="{866C840E-0A2A-4110-8280-192BAD12A76A}"/>
    <cellStyle name="Nuovo" xfId="1328" xr:uid="{4049BDEF-8286-4B54-9984-4014C17590DD}"/>
    <cellStyle name="Nuovo 2" xfId="1329" xr:uid="{01D11004-1AB2-42FC-A165-D309C285654E}"/>
    <cellStyle name="Output 2" xfId="1330" xr:uid="{84008AA9-B030-4261-A75B-6BFFC52C268D}"/>
    <cellStyle name="Output 2 10" xfId="1331" xr:uid="{353BCD8D-D98F-4269-B24B-3A7DF064696A}"/>
    <cellStyle name="Output 2 2" xfId="1332" xr:uid="{3D294AAF-3FD4-4D2D-BC81-E946F1C01A29}"/>
    <cellStyle name="Output 2 3" xfId="1333" xr:uid="{33D2B4FB-DFA2-4515-96B5-CC0315CF8507}"/>
    <cellStyle name="Output 2 4" xfId="1334" xr:uid="{DA111EB2-A15C-4106-AD5E-FC25707B7210}"/>
    <cellStyle name="Output 2 5" xfId="1335" xr:uid="{9B72EB7F-517C-417B-A56A-A112C8377AEC}"/>
    <cellStyle name="Output 2 6" xfId="1336" xr:uid="{F9107750-F1AD-47AA-9CB1-8083C7AD030F}"/>
    <cellStyle name="Output 2 7" xfId="1337" xr:uid="{9B6785AE-ACBE-4B8C-BD80-6418C7FF0A37}"/>
    <cellStyle name="Output 2 8" xfId="1338" xr:uid="{8D4178C4-6E22-4136-90F5-B6924295EB3B}"/>
    <cellStyle name="Output 2 9" xfId="1339" xr:uid="{D3ED0E4B-A060-4344-B8E0-B6F3716024EA}"/>
    <cellStyle name="Output 3" xfId="1340" xr:uid="{2D7C1FA2-FAEA-4699-BC3A-5B57A75A04B3}"/>
    <cellStyle name="Percent" xfId="1993" builtinId="5"/>
    <cellStyle name="Percent 10" xfId="1341" xr:uid="{F5185A9C-BF7B-4916-BED3-98A72E9627AB}"/>
    <cellStyle name="Percent 10 2" xfId="1342" xr:uid="{38FC26CD-EE32-407B-8DCC-7DE2F7C34AD8}"/>
    <cellStyle name="Percent 10 3" xfId="1343" xr:uid="{9FD9BA0A-75A0-4F42-8727-5D0AE58872CE}"/>
    <cellStyle name="Percent 10 4" xfId="1344" xr:uid="{D8E7469C-EF9F-4599-B8D3-87F2A9BB0CC1}"/>
    <cellStyle name="Percent 10 5" xfId="1345" xr:uid="{3AAD7EA7-4999-4CA3-80A2-BE5B66979ED5}"/>
    <cellStyle name="Percent 10 6" xfId="1346" xr:uid="{59A30A3C-26C1-4ADE-BAD4-2CD66C1BCFBE}"/>
    <cellStyle name="Percent 10 7" xfId="1347" xr:uid="{AF4D2768-F0CF-4683-90F2-59F492953E18}"/>
    <cellStyle name="Percent 10 8" xfId="1348" xr:uid="{EFC2E47E-4828-46B2-8999-E3A11222087F}"/>
    <cellStyle name="Percent 11" xfId="1349" xr:uid="{57F66F26-508F-4FFE-BFCC-6BEE1F5E81E9}"/>
    <cellStyle name="Percent 11 2" xfId="1350" xr:uid="{EB3E4BB3-C735-4F4E-9283-A4F8B6817359}"/>
    <cellStyle name="Percent 11 3" xfId="1351" xr:uid="{28C467B1-C90A-41B5-89CB-EFA4289561F0}"/>
    <cellStyle name="Percent 11 4" xfId="1352" xr:uid="{E41719F0-8393-41BB-8095-16211473B6AB}"/>
    <cellStyle name="Percent 11 5" xfId="1353" xr:uid="{37CD6E95-B1F2-4583-8C35-5887A83BD028}"/>
    <cellStyle name="Percent 11 6" xfId="1354" xr:uid="{610CDDD5-7A07-49BC-AD10-73E9F14ED9A4}"/>
    <cellStyle name="Percent 11 7" xfId="1355" xr:uid="{4A984DEC-B04D-4277-8E1F-BAD00B96A25B}"/>
    <cellStyle name="Percent 11 8" xfId="1356" xr:uid="{30731053-A2D2-4F56-8302-EE42864FE12D}"/>
    <cellStyle name="Percent 12" xfId="1357" xr:uid="{A7928B68-7953-4571-A68F-BF29504F6EB6}"/>
    <cellStyle name="Percent 12 2" xfId="1358" xr:uid="{1A9D404C-2037-44DA-BF09-36ACE3B324A7}"/>
    <cellStyle name="Percent 12 3" xfId="1359" xr:uid="{840069DA-8693-4EFC-9F3F-7405826498F4}"/>
    <cellStyle name="Percent 12 4" xfId="1360" xr:uid="{480EF8B8-6ED9-4A62-827F-AF33B80AFDE6}"/>
    <cellStyle name="Percent 12 5" xfId="1361" xr:uid="{2FDE7381-2554-4722-B13A-BBF0AE320AB6}"/>
    <cellStyle name="Percent 12 6" xfId="1362" xr:uid="{F01926AD-4456-4562-8DA3-3E5BE81DE0EF}"/>
    <cellStyle name="Percent 12 7" xfId="1363" xr:uid="{E40A0048-4808-414E-90D2-1CF56E35D235}"/>
    <cellStyle name="Percent 12 8" xfId="1364" xr:uid="{BF70C476-35CB-4591-9E0D-3A704A93A4A1}"/>
    <cellStyle name="Percent 13" xfId="1365" xr:uid="{74C6678F-9550-4A8F-BF6D-3EB41696D1EF}"/>
    <cellStyle name="Percent 13 2" xfId="1366" xr:uid="{75E801FD-5A76-4822-B22B-57B1974D2A0B}"/>
    <cellStyle name="Percent 13 3" xfId="1367" xr:uid="{EDF500EA-D187-45EC-8405-F72BC80079EF}"/>
    <cellStyle name="Percent 13 4" xfId="1368" xr:uid="{83CBE88E-7D7C-44BC-9179-B64FE2E9FF01}"/>
    <cellStyle name="Percent 13 5" xfId="1369" xr:uid="{D68C0B2A-578A-4B9D-A603-436FFD648D06}"/>
    <cellStyle name="Percent 13 6" xfId="1370" xr:uid="{249512A6-0DB6-495D-B205-1CB5F641C170}"/>
    <cellStyle name="Percent 13 7" xfId="1371" xr:uid="{2CBB659E-33E4-4E15-9EF7-0E81E3B2312D}"/>
    <cellStyle name="Percent 13 8" xfId="1372" xr:uid="{C58471C0-36C7-4E4F-8AED-CD93F7A03945}"/>
    <cellStyle name="Percent 14" xfId="1373" xr:uid="{33F6D49A-9FA3-41DD-A9C0-C40B407D1DA4}"/>
    <cellStyle name="Percent 14 2" xfId="1374" xr:uid="{9E3C617D-E5CC-46A7-88AE-8AAB18E475A1}"/>
    <cellStyle name="Percent 14 3" xfId="1375" xr:uid="{1A94F1DD-937D-4EDE-9797-8E1A8BFAC6A8}"/>
    <cellStyle name="Percent 14 4" xfId="1376" xr:uid="{8106E677-853C-4E79-B559-BAB85353A019}"/>
    <cellStyle name="Percent 14 5" xfId="1377" xr:uid="{574E2E5D-63E4-4D79-8D22-C86852336F03}"/>
    <cellStyle name="Percent 14 6" xfId="1378" xr:uid="{EE95F6A7-0E4E-454D-A25B-4B694E1D2A79}"/>
    <cellStyle name="Percent 14 7" xfId="1379" xr:uid="{CFC681E6-69E9-4B15-A2BC-61F36E7EB057}"/>
    <cellStyle name="Percent 14 8" xfId="1380" xr:uid="{40857209-F7B0-4BA6-A889-380C524C806C}"/>
    <cellStyle name="Percent 15" xfId="1381" xr:uid="{D24C1128-0C44-48EC-839A-C64B993EC67C}"/>
    <cellStyle name="Percent 15 10" xfId="1382" xr:uid="{756197D8-03EF-45D4-AA1C-0335F237B4EF}"/>
    <cellStyle name="Percent 15 11" xfId="1383" xr:uid="{651E2D6B-7882-4F62-8FEB-F0C5791AE485}"/>
    <cellStyle name="Percent 15 12" xfId="1384" xr:uid="{D882F3B7-0157-41E7-A4AB-B162B547030E}"/>
    <cellStyle name="Percent 15 13" xfId="1385" xr:uid="{D8EAA7AD-A97C-4DAD-AD81-72B47DD3E8D9}"/>
    <cellStyle name="Percent 15 14" xfId="1386" xr:uid="{EE96FA41-BB7F-4F1D-B054-69695116CA85}"/>
    <cellStyle name="Percent 15 2" xfId="1387" xr:uid="{F171327A-CB59-4A0E-9528-E42883218FA1}"/>
    <cellStyle name="Percent 15 2 2" xfId="1388" xr:uid="{84E3F6BD-911C-4008-8AA7-ADB48224DB44}"/>
    <cellStyle name="Percent 15 2 3" xfId="1389" xr:uid="{FA92E6AD-6B8E-41BF-B122-509A43F998DA}"/>
    <cellStyle name="Percent 15 2 4" xfId="1390" xr:uid="{031FEA54-7B5E-40BD-B7FC-D4F64BAB7EE0}"/>
    <cellStyle name="Percent 15 2 5" xfId="1391" xr:uid="{CD1FAC9C-6968-4E12-B92E-725CF98F933B}"/>
    <cellStyle name="Percent 15 2 6" xfId="1392" xr:uid="{3789A853-9916-4F21-86F6-12C5AFA9505D}"/>
    <cellStyle name="Percent 15 2 7" xfId="1393" xr:uid="{09D3447E-ED18-4663-AFB8-5D3EB6C21310}"/>
    <cellStyle name="Percent 15 3" xfId="1394" xr:uid="{1DA9AFD6-AB40-4A70-8913-EFCA7CE7E75F}"/>
    <cellStyle name="Percent 15 4" xfId="1395" xr:uid="{F52EAB88-38BA-42E2-A6CB-F82F1ABD7771}"/>
    <cellStyle name="Percent 15 5" xfId="1396" xr:uid="{5EB4C51A-6FB4-40A8-B023-F1ABA0BC73FB}"/>
    <cellStyle name="Percent 15 6" xfId="1397" xr:uid="{94156573-F5D0-4AB9-AD43-7CA0856530C5}"/>
    <cellStyle name="Percent 15 7" xfId="1398" xr:uid="{8E594B23-E642-4DEA-875E-6627D5A1160B}"/>
    <cellStyle name="Percent 15 8" xfId="1399" xr:uid="{D9577F26-6D91-401D-A8A2-74CA81704DBB}"/>
    <cellStyle name="Percent 15 9" xfId="1400" xr:uid="{624994FB-0D28-49DD-B554-591287B594E2}"/>
    <cellStyle name="Percent 16" xfId="1401" xr:uid="{B8DF2CF3-2D09-4D9A-99C0-F21691FB2D84}"/>
    <cellStyle name="Percent 16 2" xfId="1402" xr:uid="{AE686078-60A3-4A62-BED7-2EAF3D94D9B4}"/>
    <cellStyle name="Percent 16 3" xfId="1403" xr:uid="{04F5B4B6-F207-4172-86F2-5545539CD484}"/>
    <cellStyle name="Percent 16 3 10" xfId="1404" xr:uid="{223F97CE-BDAC-4A55-A476-AEA3900A86A2}"/>
    <cellStyle name="Percent 16 3 11" xfId="1405" xr:uid="{96827003-09B3-4C90-979F-6720BDC2FF6A}"/>
    <cellStyle name="Percent 16 3 12" xfId="1406" xr:uid="{1425DCDF-C775-41D6-B260-2907F2E72984}"/>
    <cellStyle name="Percent 16 3 13" xfId="1407" xr:uid="{F685FD88-6D78-47EC-8130-3683589E4774}"/>
    <cellStyle name="Percent 16 3 14" xfId="1408" xr:uid="{1DF6A053-387A-4C9B-9133-450F93FEF390}"/>
    <cellStyle name="Percent 16 3 15" xfId="1409" xr:uid="{1B675F85-A83B-4C9F-9A2D-3D1BA829DF02}"/>
    <cellStyle name="Percent 16 3 16" xfId="1410" xr:uid="{F900964C-161A-4425-8220-9A9364E3C713}"/>
    <cellStyle name="Percent 16 3 17" xfId="1411" xr:uid="{751B6F3F-842F-441D-92A5-6818AED77B83}"/>
    <cellStyle name="Percent 16 3 2" xfId="1412" xr:uid="{08D96107-8DDE-4DBD-BBCB-9170DE52DD0C}"/>
    <cellStyle name="Percent 16 3 3" xfId="1413" xr:uid="{733611FB-AB1D-4703-9E42-63E6F5B22B86}"/>
    <cellStyle name="Percent 16 3 4" xfId="1414" xr:uid="{DD877303-8BC9-4616-927F-4EF5E2CD9B4D}"/>
    <cellStyle name="Percent 16 3 5" xfId="1415" xr:uid="{A513D1ED-1516-429B-9565-CF2C5A200DB4}"/>
    <cellStyle name="Percent 16 3 6" xfId="1416" xr:uid="{F1FFE3C1-015A-4669-A4DF-7DCAF62992E4}"/>
    <cellStyle name="Percent 16 3 7" xfId="1417" xr:uid="{A1F86050-38B1-453A-A04E-F2788FA105F5}"/>
    <cellStyle name="Percent 16 3 8" xfId="1418" xr:uid="{E1215A60-D52F-4216-985E-EAD5C9BF9B10}"/>
    <cellStyle name="Percent 16 3 9" xfId="1419" xr:uid="{466D96B6-266C-410C-8F70-54E391C30786}"/>
    <cellStyle name="Percent 16 4" xfId="1420" xr:uid="{BB00C778-D65B-48EE-A7FE-42D1193A532F}"/>
    <cellStyle name="Percent 16 4 10" xfId="1421" xr:uid="{9A5481DD-4C57-4855-8F74-51D5BDC1B1D9}"/>
    <cellStyle name="Percent 16 4 11" xfId="1422" xr:uid="{01A35CC8-A1C1-407E-B5CD-ED2641580514}"/>
    <cellStyle name="Percent 16 4 12" xfId="1423" xr:uid="{DF47D995-77DA-4B96-B34A-A37CCA741868}"/>
    <cellStyle name="Percent 16 4 13" xfId="1424" xr:uid="{E7E289B7-BC1D-43CB-AF60-CF239AFC90A4}"/>
    <cellStyle name="Percent 16 4 14" xfId="1425" xr:uid="{EF312D43-1AC1-456D-963C-E2868809C8DF}"/>
    <cellStyle name="Percent 16 4 15" xfId="1426" xr:uid="{46832B66-719E-4AAA-B4E3-9C4CF35ED67D}"/>
    <cellStyle name="Percent 16 4 16" xfId="1427" xr:uid="{EA45ABCC-33EC-4989-9B45-27EBC0089956}"/>
    <cellStyle name="Percent 16 4 17" xfId="1428" xr:uid="{4298C04D-6F53-4D71-A7B6-76476B4511A4}"/>
    <cellStyle name="Percent 16 4 2" xfId="1429" xr:uid="{AA6065EA-6D90-4E3B-8F9E-E7579B24069E}"/>
    <cellStyle name="Percent 16 4 3" xfId="1430" xr:uid="{4FCFB647-35A5-4786-A848-FFC1054D5EF7}"/>
    <cellStyle name="Percent 16 4 4" xfId="1431" xr:uid="{939E599B-69D6-4ECC-A499-58BEFB864B66}"/>
    <cellStyle name="Percent 16 4 5" xfId="1432" xr:uid="{F1D81C16-C62D-4803-AE8D-84FA7AED561F}"/>
    <cellStyle name="Percent 16 4 6" xfId="1433" xr:uid="{FC456208-1393-4AED-A189-521E280F9CD8}"/>
    <cellStyle name="Percent 16 4 7" xfId="1434" xr:uid="{FAF12DE6-707D-4D7A-A605-E34B763FF674}"/>
    <cellStyle name="Percent 16 4 8" xfId="1435" xr:uid="{6FB7EF02-DA0F-42A7-9ECF-A73AAF622F82}"/>
    <cellStyle name="Percent 16 4 9" xfId="1436" xr:uid="{80BE4CC8-A2EA-435D-AA8D-D6ADBA53D5F6}"/>
    <cellStyle name="Percent 16 5" xfId="1437" xr:uid="{D704FB13-F31E-4311-A5E8-43E3FEFF01F6}"/>
    <cellStyle name="Percent 16 5 10" xfId="1438" xr:uid="{1D064F03-AEE6-406B-B5FE-E2C453797557}"/>
    <cellStyle name="Percent 16 5 11" xfId="1439" xr:uid="{72BF2095-86FE-4E10-962B-985321FA3FFD}"/>
    <cellStyle name="Percent 16 5 12" xfId="1440" xr:uid="{4FB9BD40-AB7E-4C4A-8FE3-1A7137A300D9}"/>
    <cellStyle name="Percent 16 5 13" xfId="1441" xr:uid="{0C9E2358-5E02-4959-8D95-9E959654A39E}"/>
    <cellStyle name="Percent 16 5 14" xfId="1442" xr:uid="{AE038D1A-BEBF-490F-BE74-6955FB57C4E0}"/>
    <cellStyle name="Percent 16 5 15" xfId="1443" xr:uid="{7F3D7916-5787-4C30-9C88-A25B285A3D2F}"/>
    <cellStyle name="Percent 16 5 16" xfId="1444" xr:uid="{72A18429-3F7B-4ED9-BF5B-DC3204495DF0}"/>
    <cellStyle name="Percent 16 5 17" xfId="1445" xr:uid="{312E733F-0E61-4092-B957-DA7B78F27191}"/>
    <cellStyle name="Percent 16 5 2" xfId="1446" xr:uid="{4D33EEFF-6EF8-4B0B-B0CB-A06EC960D811}"/>
    <cellStyle name="Percent 16 5 3" xfId="1447" xr:uid="{F6458F67-1F1E-47E9-9CF9-FE022F768AB7}"/>
    <cellStyle name="Percent 16 5 4" xfId="1448" xr:uid="{E3D0803D-905C-4987-861D-40FBF7D1228C}"/>
    <cellStyle name="Percent 16 5 5" xfId="1449" xr:uid="{8BEF0AF9-5BCE-43D3-AACD-1EC99D4A675F}"/>
    <cellStyle name="Percent 16 5 6" xfId="1450" xr:uid="{60A6EB17-64BB-4070-B8E9-57CBECCB8716}"/>
    <cellStyle name="Percent 16 5 7" xfId="1451" xr:uid="{A1F99432-293D-4FE8-BF39-893F7103DB1B}"/>
    <cellStyle name="Percent 16 5 8" xfId="1452" xr:uid="{793063B9-D88D-4482-9E57-2187A8D5BF1E}"/>
    <cellStyle name="Percent 16 5 9" xfId="1453" xr:uid="{2C394474-DEAB-4BC2-876F-785BE52CC8E5}"/>
    <cellStyle name="Percent 16 6" xfId="1454" xr:uid="{80B820DE-A5AC-4D87-AEDD-E810B5B76393}"/>
    <cellStyle name="Percent 16 6 10" xfId="1455" xr:uid="{B66EC3A2-205D-4E78-A7AE-746CE5FE7795}"/>
    <cellStyle name="Percent 16 6 11" xfId="1456" xr:uid="{8C374261-5ECE-4BBE-A805-933CD2A217C5}"/>
    <cellStyle name="Percent 16 6 12" xfId="1457" xr:uid="{BCEE17D1-FD64-4D33-ACDF-51979B240D9E}"/>
    <cellStyle name="Percent 16 6 13" xfId="1458" xr:uid="{64F27EA7-955F-4784-B12C-E0F627A97559}"/>
    <cellStyle name="Percent 16 6 14" xfId="1459" xr:uid="{D4D1FE9D-9E3F-4FD2-B039-C0C032DE31F3}"/>
    <cellStyle name="Percent 16 6 15" xfId="1460" xr:uid="{019BE3FD-B716-4053-B518-361180D89331}"/>
    <cellStyle name="Percent 16 6 16" xfId="1461" xr:uid="{37A8BC36-38E8-4DFA-8233-0B41F8FD0DAA}"/>
    <cellStyle name="Percent 16 6 17" xfId="1462" xr:uid="{0D7BC5F7-0E3C-4F4A-8495-91D1EAFD58A5}"/>
    <cellStyle name="Percent 16 6 2" xfId="1463" xr:uid="{277A3068-A001-441F-B3CC-120559EEA410}"/>
    <cellStyle name="Percent 16 6 3" xfId="1464" xr:uid="{00DB0A27-E8EC-4B9A-8960-6D3E5EAA12C7}"/>
    <cellStyle name="Percent 16 6 4" xfId="1465" xr:uid="{0E79DBCF-71A2-44FE-A47B-B1D2B2CE97D6}"/>
    <cellStyle name="Percent 16 6 5" xfId="1466" xr:uid="{4EE096F8-D1BA-4B5F-990B-175BD5D301F3}"/>
    <cellStyle name="Percent 16 6 6" xfId="1467" xr:uid="{3895DA2B-2D37-4B11-BA4A-8AD7B1C4F63C}"/>
    <cellStyle name="Percent 16 6 7" xfId="1468" xr:uid="{28EEBA46-5910-4DC2-BE01-1CF3B134C897}"/>
    <cellStyle name="Percent 16 6 8" xfId="1469" xr:uid="{D3DA43E2-8790-4C4E-A86D-77FA6988CE61}"/>
    <cellStyle name="Percent 16 6 9" xfId="1470" xr:uid="{3C78FB22-C731-455C-8651-612B03AA314C}"/>
    <cellStyle name="Percent 16 7" xfId="1471" xr:uid="{BA7BC839-19E4-479A-B9CE-A50EE0D2E078}"/>
    <cellStyle name="Percent 16 7 10" xfId="1472" xr:uid="{6F45AA39-96DC-42EA-BBE9-6E5FE9D843C0}"/>
    <cellStyle name="Percent 16 7 11" xfId="1473" xr:uid="{6F406595-E021-4521-82E8-1E9655AE01BB}"/>
    <cellStyle name="Percent 16 7 12" xfId="1474" xr:uid="{6F3F6F1A-66F2-4491-B9F3-B845F9DAD9C0}"/>
    <cellStyle name="Percent 16 7 13" xfId="1475" xr:uid="{F1B1535E-81A9-4CBF-BDD7-6A28169A144A}"/>
    <cellStyle name="Percent 16 7 14" xfId="1476" xr:uid="{5ED4FB05-A55B-4FB8-BCAB-F2287E255E8C}"/>
    <cellStyle name="Percent 16 7 15" xfId="1477" xr:uid="{5D4C58CC-82EB-417B-9AFE-AEFCBD923359}"/>
    <cellStyle name="Percent 16 7 16" xfId="1478" xr:uid="{32BE7805-8F16-4C81-9AEA-156512861C78}"/>
    <cellStyle name="Percent 16 7 17" xfId="1479" xr:uid="{4615A488-3045-4CF4-A6C0-AA66193569C0}"/>
    <cellStyle name="Percent 16 7 2" xfId="1480" xr:uid="{ADFA083D-1EF4-4BD8-9A59-3C7BC697E08D}"/>
    <cellStyle name="Percent 16 7 3" xfId="1481" xr:uid="{789509C7-72CA-4133-986A-091FD6D0BA06}"/>
    <cellStyle name="Percent 16 7 4" xfId="1482" xr:uid="{D8D41930-1A8E-4D85-8173-F5551A3AB2EC}"/>
    <cellStyle name="Percent 16 7 5" xfId="1483" xr:uid="{17BF7512-6A6F-4AF3-88E7-D7DB75A2614F}"/>
    <cellStyle name="Percent 16 7 6" xfId="1484" xr:uid="{3A1BE87C-19D7-4F69-B52D-0078A8C1DF5A}"/>
    <cellStyle name="Percent 16 7 7" xfId="1485" xr:uid="{5D7896CE-ED63-43AD-AE26-0EC805B25316}"/>
    <cellStyle name="Percent 16 7 8" xfId="1486" xr:uid="{4CB0F577-5DF9-407D-9B0E-D7370A92E740}"/>
    <cellStyle name="Percent 16 7 9" xfId="1487" xr:uid="{001FA3B8-4A20-4B54-9D14-328757A52064}"/>
    <cellStyle name="Percent 16 8" xfId="1488" xr:uid="{794F812A-5976-4EBC-AC43-23B6E4FD1555}"/>
    <cellStyle name="Percent 16 8 10" xfId="1489" xr:uid="{D865F24D-2C82-41D3-9CB6-324E818130A5}"/>
    <cellStyle name="Percent 16 8 11" xfId="1490" xr:uid="{D17B65C9-0DAF-4B94-BA60-A76BAC802CC3}"/>
    <cellStyle name="Percent 16 8 12" xfId="1491" xr:uid="{3CCA79BB-5209-4935-9831-35B8AA63A741}"/>
    <cellStyle name="Percent 16 8 13" xfId="1492" xr:uid="{91CA2574-4678-43CC-948E-C9A0F675D5F2}"/>
    <cellStyle name="Percent 16 8 14" xfId="1493" xr:uid="{DA2C8810-D78E-4728-8B10-9FDED2274B5F}"/>
    <cellStyle name="Percent 16 8 15" xfId="1494" xr:uid="{275AFEF2-D77E-4DDD-A6B8-E95FDDB763D5}"/>
    <cellStyle name="Percent 16 8 16" xfId="1495" xr:uid="{9660EA59-8CB3-4856-B073-7DB4B95673C2}"/>
    <cellStyle name="Percent 16 8 17" xfId="1496" xr:uid="{2C8C7FC6-F5FF-4E9C-B414-D2324322F47F}"/>
    <cellStyle name="Percent 16 8 2" xfId="1497" xr:uid="{36CAFF3E-BFCB-4765-920D-1351ADE2EA81}"/>
    <cellStyle name="Percent 16 8 3" xfId="1498" xr:uid="{3DF352FC-4846-4DDF-8D94-C580B8553202}"/>
    <cellStyle name="Percent 16 8 4" xfId="1499" xr:uid="{82AC6C78-52A0-4E47-A752-8FC06665C9F7}"/>
    <cellStyle name="Percent 16 8 5" xfId="1500" xr:uid="{CFE64B80-CE34-4A09-9096-3D9037A4F04C}"/>
    <cellStyle name="Percent 16 8 6" xfId="1501" xr:uid="{A497AE5A-EE72-48E0-9671-F5A003C052A5}"/>
    <cellStyle name="Percent 16 8 7" xfId="1502" xr:uid="{1BE3E12F-1486-406C-ADD8-F07A62B96D57}"/>
    <cellStyle name="Percent 16 8 8" xfId="1503" xr:uid="{38AE4E4D-B084-4626-83AD-B513E89EDF6F}"/>
    <cellStyle name="Percent 16 8 9" xfId="1504" xr:uid="{37516D8E-6C3B-4C11-AF43-93B64EBB23E9}"/>
    <cellStyle name="Percent 16 9" xfId="1505" xr:uid="{E51A08B7-BE08-46EA-B7D6-AE2CF241E3B5}"/>
    <cellStyle name="Percent 16 9 10" xfId="1506" xr:uid="{4955D723-BEEA-43CC-A696-041931FF85A1}"/>
    <cellStyle name="Percent 16 9 11" xfId="1507" xr:uid="{6575AB4C-EC09-4DB1-AC7B-D50215BB572F}"/>
    <cellStyle name="Percent 16 9 12" xfId="1508" xr:uid="{51099E79-7545-4B0D-B06C-FBC6E3046458}"/>
    <cellStyle name="Percent 16 9 13" xfId="1509" xr:uid="{7E3D3351-7542-4131-83B0-85C34E1631B7}"/>
    <cellStyle name="Percent 16 9 14" xfId="1510" xr:uid="{C7D6E4D2-5231-4555-9CF3-3AA9761A00BF}"/>
    <cellStyle name="Percent 16 9 15" xfId="1511" xr:uid="{88161617-55E9-4C60-90B0-1DAA3A4BD576}"/>
    <cellStyle name="Percent 16 9 16" xfId="1512" xr:uid="{06D72FB5-360A-40AD-B202-5F6B0E314F08}"/>
    <cellStyle name="Percent 16 9 17" xfId="1513" xr:uid="{1441F30C-280F-448B-A589-E0762FA13F2B}"/>
    <cellStyle name="Percent 16 9 2" xfId="1514" xr:uid="{D517D3B5-F35B-4C59-9E8A-9D065560B57F}"/>
    <cellStyle name="Percent 16 9 3" xfId="1515" xr:uid="{89712FF2-B63B-4487-874F-32B94F4BF87E}"/>
    <cellStyle name="Percent 16 9 4" xfId="1516" xr:uid="{ED5549BB-6F45-44F3-B609-45C7362D2060}"/>
    <cellStyle name="Percent 16 9 5" xfId="1517" xr:uid="{4009926D-5218-478A-943B-40046FC521A7}"/>
    <cellStyle name="Percent 16 9 6" xfId="1518" xr:uid="{19B7C361-8F95-442B-BF06-3AE9F2F90E8D}"/>
    <cellStyle name="Percent 16 9 7" xfId="1519" xr:uid="{7D66A60D-F3C4-49DC-8330-760B1422550F}"/>
    <cellStyle name="Percent 16 9 8" xfId="1520" xr:uid="{21623A9A-78D0-4AC2-9B75-8A28B9B61FDE}"/>
    <cellStyle name="Percent 16 9 9" xfId="1521" xr:uid="{29FE7BCB-BAE8-416D-9AB4-B2C160F67414}"/>
    <cellStyle name="Percent 17" xfId="1522" xr:uid="{41C33D9D-3CF2-4FE3-B674-8EEADEB17045}"/>
    <cellStyle name="Percent 18" xfId="1523" xr:uid="{55F71CF0-E227-4CC4-A095-0D0A570ADB99}"/>
    <cellStyle name="Percent 18 2" xfId="1524" xr:uid="{FAF5B97A-05B7-4D5E-A466-8F8D1F95121A}"/>
    <cellStyle name="Percent 19" xfId="1525" xr:uid="{10871901-7691-45D7-8686-1612FA227BD3}"/>
    <cellStyle name="Percent 2" xfId="1526" xr:uid="{B8118373-4808-4A0E-B6DB-31ADDDCF76B2}"/>
    <cellStyle name="Percent 2 10" xfId="1527" xr:uid="{F0A99DC2-0080-4E14-96FA-8EEDACFC321D}"/>
    <cellStyle name="Percent 2 10 2" xfId="1528" xr:uid="{DDED1C12-A561-44BB-B5B3-CB011D955511}"/>
    <cellStyle name="Percent 2 10 3" xfId="1529" xr:uid="{7C278DF0-B54B-40D8-BEFA-3C46DB73142F}"/>
    <cellStyle name="Percent 2 10 4" xfId="1530" xr:uid="{B0563DCE-839F-4A03-AC5E-99938C9C67A9}"/>
    <cellStyle name="Percent 2 10 5" xfId="1531" xr:uid="{D188AB91-7A4D-4D89-9403-77B0E101A1DB}"/>
    <cellStyle name="Percent 2 10 6" xfId="1532" xr:uid="{2E320140-376D-4159-B2F5-3BB6CE6EBA6E}"/>
    <cellStyle name="Percent 2 10 7" xfId="1533" xr:uid="{871EDC5B-3761-4D36-9EC5-45A4DE5208B8}"/>
    <cellStyle name="Percent 2 10 8" xfId="1534" xr:uid="{090F2BCA-2ABD-4950-B745-01545D338D86}"/>
    <cellStyle name="Percent 2 11" xfId="1535" xr:uid="{9D5C27BD-DD9A-4304-81F3-221A3AEC7FDF}"/>
    <cellStyle name="Percent 2 11 2" xfId="1536" xr:uid="{E381602A-0BDC-4895-AD53-88CF67A84AAB}"/>
    <cellStyle name="Percent 2 11 3" xfId="1537" xr:uid="{AFFDEAB3-D7B7-46EC-9277-E83A352CA7D2}"/>
    <cellStyle name="Percent 2 11 4" xfId="1538" xr:uid="{E9C521EF-AA32-4BCB-9D72-63D3452B66FF}"/>
    <cellStyle name="Percent 2 11 5" xfId="1539" xr:uid="{33D06CAF-7D1C-441A-9771-87517B7923B2}"/>
    <cellStyle name="Percent 2 11 6" xfId="1540" xr:uid="{605540CD-E9AE-4994-9E62-8793FB07B86E}"/>
    <cellStyle name="Percent 2 11 7" xfId="1541" xr:uid="{B4E8CF3F-9B00-47BD-921C-104E34FC0469}"/>
    <cellStyle name="Percent 2 11 8" xfId="1542" xr:uid="{A01379B0-BC92-48F9-A08F-713966613A1F}"/>
    <cellStyle name="Percent 2 12" xfId="1543" xr:uid="{A341848E-715A-4A53-8900-9425BC6D8E18}"/>
    <cellStyle name="Percent 2 13" xfId="1544" xr:uid="{9F228EC6-B39A-4264-90C6-0C91229AE85A}"/>
    <cellStyle name="Percent 2 14" xfId="1545" xr:uid="{B90AD4E4-433E-49FB-BB3B-C68C95B8DB27}"/>
    <cellStyle name="Percent 2 15" xfId="1546" xr:uid="{5D91A404-AB8B-4E24-B54B-537D0C7C5C3E}"/>
    <cellStyle name="Percent 2 16" xfId="1547" xr:uid="{F65B846D-47E3-42B9-9A36-F394D541FADB}"/>
    <cellStyle name="Percent 2 17" xfId="1548" xr:uid="{9F56E35B-60A0-4E82-A279-1C4AA618CC9F}"/>
    <cellStyle name="Percent 2 18" xfId="1549" xr:uid="{3B0D9583-AF2D-46C0-9E38-34D274409066}"/>
    <cellStyle name="Percent 2 19" xfId="1550" xr:uid="{0825B126-8AA8-4271-BE0B-FDB0AFABAF7C}"/>
    <cellStyle name="Percent 2 2" xfId="1551" xr:uid="{E5B7B502-B0A7-40D7-A7FC-A5FDC87A727F}"/>
    <cellStyle name="Percent 2 2 2" xfId="1552" xr:uid="{700E91E5-A1FA-464D-8955-D93D59934F3F}"/>
    <cellStyle name="Percent 2 2 3" xfId="1553" xr:uid="{E96B4A60-63D2-4879-860C-04C948DEF2ED}"/>
    <cellStyle name="Percent 2 2 3 2" xfId="1554" xr:uid="{76AF7881-29F7-4BF1-AEEE-2DF1AD99ED16}"/>
    <cellStyle name="Percent 2 2 4" xfId="1555" xr:uid="{27A3B452-5789-492E-9518-EA24BBF859EB}"/>
    <cellStyle name="Percent 2 2 5" xfId="1556" xr:uid="{70A3C8CC-58C6-4264-ADA3-9E00CEF647E9}"/>
    <cellStyle name="Percent 2 2 6" xfId="1557" xr:uid="{D41C3AF8-4E5A-4CE2-9802-7A8503FDBB1E}"/>
    <cellStyle name="Percent 2 2 7" xfId="1558" xr:uid="{85B2A445-CA74-4DA3-BCC4-1223F1832DF9}"/>
    <cellStyle name="Percent 2 2 8" xfId="1559" xr:uid="{F5B8AE3C-A066-49E0-8039-61C7FA347B5C}"/>
    <cellStyle name="Percent 2 2 9" xfId="1560" xr:uid="{07F1233E-7462-4BB5-A999-098AF8C11FD8}"/>
    <cellStyle name="Percent 2 3" xfId="1561" xr:uid="{55EEA362-DBE4-4197-AEAA-76A654A6E76E}"/>
    <cellStyle name="Percent 2 3 2" xfId="1562" xr:uid="{9ED0EE42-86B4-4044-AA99-772B27D98BE0}"/>
    <cellStyle name="Percent 2 3 3" xfId="1563" xr:uid="{026985C3-DB9B-4779-B4DA-E96F9028E6E0}"/>
    <cellStyle name="Percent 2 3 3 2" xfId="1564" xr:uid="{8D1A0674-B326-4269-930B-019C5E498BD3}"/>
    <cellStyle name="Percent 2 3 3 3" xfId="1565" xr:uid="{95ABBD73-9A0A-4FDF-B790-7D2AF578E462}"/>
    <cellStyle name="Percent 2 3 4" xfId="1566" xr:uid="{CBC2DAD3-D1B0-49EA-94B5-5CDE75D9486C}"/>
    <cellStyle name="Percent 2 3 5" xfId="1567" xr:uid="{F9A74654-1443-40A4-87D6-7D66C912ACF2}"/>
    <cellStyle name="Percent 2 3 6" xfId="1568" xr:uid="{F134373F-969B-406A-A34B-E3C416B1F506}"/>
    <cellStyle name="Percent 2 3 7" xfId="1569" xr:uid="{56510927-C2F2-4A17-8FC3-FEC899AEEDA1}"/>
    <cellStyle name="Percent 2 3 8" xfId="1570" xr:uid="{CE8E7564-3E94-436D-B42B-95C8B468F5A9}"/>
    <cellStyle name="Percent 2 4" xfId="1571" xr:uid="{8BE10D98-F2FB-4EBA-855C-802B1323A8B2}"/>
    <cellStyle name="Percent 2 4 2" xfId="1572" xr:uid="{1B69078B-0720-46DE-A74B-99D3EE514BD9}"/>
    <cellStyle name="Percent 2 4 3" xfId="1573" xr:uid="{31A726CD-9C98-49B3-8B50-8BE9AEF832AF}"/>
    <cellStyle name="Percent 2 4 4" xfId="1574" xr:uid="{80138055-C1DB-47CE-A3AF-790A91177B76}"/>
    <cellStyle name="Percent 2 4 5" xfId="1575" xr:uid="{8F3E2DEF-19B4-41FA-B747-576FF7872BF4}"/>
    <cellStyle name="Percent 2 4 6" xfId="1576" xr:uid="{40DD3FF9-376F-42C0-BC19-36833532FD22}"/>
    <cellStyle name="Percent 2 4 7" xfId="1577" xr:uid="{2C80B20F-4384-4707-92B4-26C5EF084F5C}"/>
    <cellStyle name="Percent 2 4 8" xfId="1578" xr:uid="{DB6DD8FF-B7C8-44E4-8D13-5590CBEE81D4}"/>
    <cellStyle name="Percent 2 5" xfId="1579" xr:uid="{DC2C5A6E-35C7-49E9-8809-3A260AFF0265}"/>
    <cellStyle name="Percent 2 5 2" xfId="1580" xr:uid="{1AD2244D-24D6-4087-8ED8-169D3F2B3C11}"/>
    <cellStyle name="Percent 2 5 3" xfId="1581" xr:uid="{17B1CC62-5F3D-469C-96F1-01A7CF37C61D}"/>
    <cellStyle name="Percent 2 5 4" xfId="1582" xr:uid="{5919FDF0-2302-4BBB-BD29-23FBA3A61491}"/>
    <cellStyle name="Percent 2 5 5" xfId="1583" xr:uid="{9EE35009-378B-4AA7-93AF-78090BB18768}"/>
    <cellStyle name="Percent 2 5 6" xfId="1584" xr:uid="{45B13328-5441-4A3A-9B16-921FBA2DCDC9}"/>
    <cellStyle name="Percent 2 5 7" xfId="1585" xr:uid="{8CA84244-B3D5-4991-934D-68FA06B6827D}"/>
    <cellStyle name="Percent 2 5 8" xfId="1586" xr:uid="{D5093D7A-6D9D-43A0-8D8D-2966595C167E}"/>
    <cellStyle name="Percent 2 6" xfId="1587" xr:uid="{13981C3E-1CC6-462A-99B0-B1AC1EEA30BA}"/>
    <cellStyle name="Percent 2 6 2" xfId="1588" xr:uid="{84C1CD31-64B0-4322-BCCD-E7FFE07F0ECB}"/>
    <cellStyle name="Percent 2 6 3" xfId="1589" xr:uid="{53BF350B-6D9E-4AF7-88D2-0040904C7908}"/>
    <cellStyle name="Percent 2 6 4" xfId="1590" xr:uid="{3088A663-70B3-4F72-A70B-21662A889784}"/>
    <cellStyle name="Percent 2 6 5" xfId="1591" xr:uid="{282D007D-E251-41BB-8A47-0CD95C0B71CD}"/>
    <cellStyle name="Percent 2 6 6" xfId="1592" xr:uid="{D74CB143-F868-40CC-8408-342ADDFFDAFC}"/>
    <cellStyle name="Percent 2 6 7" xfId="1593" xr:uid="{8A8C4E1C-5C70-43E4-817F-423ECDBA0A69}"/>
    <cellStyle name="Percent 2 6 8" xfId="1594" xr:uid="{F23F4B44-87CA-4CF4-A9F4-1822D42833AA}"/>
    <cellStyle name="Percent 2 7" xfId="1595" xr:uid="{4D645B51-54D6-4D41-B341-4DDDB97EE825}"/>
    <cellStyle name="Percent 2 7 2" xfId="1596" xr:uid="{8ED3EE82-F182-4959-80E0-39F7D9FD3A36}"/>
    <cellStyle name="Percent 2 7 3" xfId="1597" xr:uid="{1224687C-6BAF-432E-BF72-46E91F5EF610}"/>
    <cellStyle name="Percent 2 7 4" xfId="1598" xr:uid="{59150B47-5396-49A5-B1FB-4D266D4B0DD8}"/>
    <cellStyle name="Percent 2 7 5" xfId="1599" xr:uid="{BD3B7632-C204-4DFE-869B-33002EADE2A5}"/>
    <cellStyle name="Percent 2 7 6" xfId="1600" xr:uid="{8BC50DDA-2870-421A-89E7-E33E5070CBAA}"/>
    <cellStyle name="Percent 2 7 7" xfId="1601" xr:uid="{5DF8771B-F23E-4A73-8117-29865143092E}"/>
    <cellStyle name="Percent 2 7 8" xfId="1602" xr:uid="{B5721DE3-46C3-4376-9BCF-CAF141227450}"/>
    <cellStyle name="Percent 2 8" xfId="1603" xr:uid="{27A134D4-7A2A-4FAF-BE07-88985ABE2C03}"/>
    <cellStyle name="Percent 2 8 2" xfId="1604" xr:uid="{AD5BFD2B-E450-4AC3-BEDA-D9D0A8D2E662}"/>
    <cellStyle name="Percent 2 8 3" xfId="1605" xr:uid="{E688470B-9A4D-4303-8BF2-78A754B774F5}"/>
    <cellStyle name="Percent 2 8 4" xfId="1606" xr:uid="{C6DC64EA-8F4B-4010-A1D6-6513F48CDE4E}"/>
    <cellStyle name="Percent 2 8 5" xfId="1607" xr:uid="{F1E8DC66-8279-4E04-8711-62AA713DD998}"/>
    <cellStyle name="Percent 2 8 6" xfId="1608" xr:uid="{4096F1DF-E3C3-4A04-8483-690D213351E0}"/>
    <cellStyle name="Percent 2 8 7" xfId="1609" xr:uid="{23F1014C-D676-4EA0-BB79-F7F7936F174D}"/>
    <cellStyle name="Percent 2 8 8" xfId="1610" xr:uid="{76194271-5654-43E5-ADAF-02A2030B86A3}"/>
    <cellStyle name="Percent 2 9" xfId="1611" xr:uid="{CCB16C0B-8C2D-4F76-A493-254027878000}"/>
    <cellStyle name="Percent 2 9 2" xfId="1612" xr:uid="{DCA08FE3-46FF-48C6-A221-1F81A6502A0D}"/>
    <cellStyle name="Percent 2 9 3" xfId="1613" xr:uid="{84AB6C17-C923-4477-97D7-C21D7EA2C7C3}"/>
    <cellStyle name="Percent 2 9 4" xfId="1614" xr:uid="{6B37F692-0F7A-4135-A465-B70D3DD9A1CB}"/>
    <cellStyle name="Percent 2 9 5" xfId="1615" xr:uid="{9341ED9C-B24F-41D2-8373-2F797E3D1996}"/>
    <cellStyle name="Percent 2 9 6" xfId="1616" xr:uid="{605EB9AD-F811-4254-BE73-C4C1FE8DA23D}"/>
    <cellStyle name="Percent 2 9 7" xfId="1617" xr:uid="{40CBE8EF-64D4-406A-84DB-A42A1FFB955E}"/>
    <cellStyle name="Percent 2 9 8" xfId="1618" xr:uid="{08347BE5-6C11-439E-B9DD-F9305C414D79}"/>
    <cellStyle name="Percent 3" xfId="1619" xr:uid="{B2A56324-4D76-4ABA-A793-E58ABF945D05}"/>
    <cellStyle name="Percent 3 2" xfId="1620" xr:uid="{9344AB3B-E02A-498F-ACA4-FF5C4E658A40}"/>
    <cellStyle name="Percent 3 2 2" xfId="1621" xr:uid="{E1AB794E-7861-4155-B3B8-25161235ECCA}"/>
    <cellStyle name="Percent 3 2 2 2" xfId="1622" xr:uid="{48DA7CF7-5932-4A83-B7F2-580836CE7699}"/>
    <cellStyle name="Percent 3 2 3" xfId="1623" xr:uid="{EBBCF172-2CB6-4088-8834-313E709BA234}"/>
    <cellStyle name="Percent 3 2 4" xfId="1624" xr:uid="{D342E2D1-5CBA-44D9-8E99-EA596C794687}"/>
    <cellStyle name="Percent 3 3" xfId="1625" xr:uid="{64BC1F9A-D790-4CFF-BA94-9A60B523F3C2}"/>
    <cellStyle name="Percent 3 3 2" xfId="1626" xr:uid="{D3C3F677-4063-439E-8B76-14FCF33C4956}"/>
    <cellStyle name="Percent 3 3 3" xfId="1627" xr:uid="{F4EDAF72-FA14-4094-B435-CBEB3E7A298C}"/>
    <cellStyle name="Percent 3 3 3 2" xfId="1628" xr:uid="{6DAB9F60-584D-442E-A7AD-8EA5DD751776}"/>
    <cellStyle name="Percent 3 3 3 3" xfId="1629" xr:uid="{1EF63FC6-841D-481B-AF70-FD38D2E0D199}"/>
    <cellStyle name="Percent 3 3 4" xfId="1630" xr:uid="{AF8EA568-5290-42FF-89EF-9521A1DBC5BB}"/>
    <cellStyle name="Percent 3 4" xfId="1631" xr:uid="{4BC91066-FFF7-4B36-A7C2-9F2B4294C86C}"/>
    <cellStyle name="Percent 3 4 2" xfId="1632" xr:uid="{5D9E48BB-C0EE-4AFD-9B82-7A384A791073}"/>
    <cellStyle name="Percent 3 5" xfId="1633" xr:uid="{D8FD75A7-D382-498E-9DD3-B3E49E3E96BF}"/>
    <cellStyle name="Percent 3 6" xfId="1634" xr:uid="{C2504C33-6F90-4FA4-8805-916D003737B1}"/>
    <cellStyle name="Percent 3 7" xfId="1635" xr:uid="{DDAD88E7-8251-425F-9399-DFF14B210B3B}"/>
    <cellStyle name="Percent 3 8" xfId="1636" xr:uid="{1C4D1C88-7D8C-46A9-BAEE-2424448F65CE}"/>
    <cellStyle name="Percent 4" xfId="1637" xr:uid="{E3966DF5-E610-4C02-92DA-8E3F4402E2FE}"/>
    <cellStyle name="Percent 4 10" xfId="1638" xr:uid="{3FC3C640-145F-47E6-8F45-BDE76D821128}"/>
    <cellStyle name="Percent 4 11" xfId="1639" xr:uid="{536D5D14-EF52-4CA1-A936-9B033E69EAB0}"/>
    <cellStyle name="Percent 4 12" xfId="1640" xr:uid="{0023F54F-CA97-424B-883B-E286EE145882}"/>
    <cellStyle name="Percent 4 13" xfId="1641" xr:uid="{BE612976-D753-4C64-AC60-A52EEBFC2B33}"/>
    <cellStyle name="Percent 4 14" xfId="1642" xr:uid="{62EE83CC-5416-4658-B137-558BF75A7933}"/>
    <cellStyle name="Percent 4 15" xfId="1643" xr:uid="{55A4D58A-C5F4-48EF-87D1-4E099A240E8A}"/>
    <cellStyle name="Percent 4 16" xfId="1644" xr:uid="{6F5A01A1-317C-4764-8FF9-EAD530869F4C}"/>
    <cellStyle name="Percent 4 16 2" xfId="1645" xr:uid="{27195B27-611D-4357-BBB4-2C9217903DB2}"/>
    <cellStyle name="Percent 4 16 3" xfId="1646" xr:uid="{48DAEFDE-F8F9-4B34-9AC0-8CACDC6E2668}"/>
    <cellStyle name="Percent 4 17" xfId="1647" xr:uid="{A3D898B3-E3AD-497F-BDAB-2D765B589777}"/>
    <cellStyle name="Percent 4 18" xfId="1648" xr:uid="{2FCDF132-9C72-4F78-8237-8058C9D264BD}"/>
    <cellStyle name="Percent 4 2" xfId="1649" xr:uid="{18520549-963E-4A7A-A664-A9ABC9DBF1E9}"/>
    <cellStyle name="Percent 4 2 2" xfId="1650" xr:uid="{FB28EAE7-A9C0-428A-8131-45A1B5AF4BF7}"/>
    <cellStyle name="Percent 4 2 3" xfId="1651" xr:uid="{A1AFD53C-4F4B-409B-8943-B990F9A2A31F}"/>
    <cellStyle name="Percent 4 2 4" xfId="1652" xr:uid="{5C4776E3-BA96-4924-939A-5ECA3CC17BF4}"/>
    <cellStyle name="Percent 4 2 5" xfId="1653" xr:uid="{A13A685C-6875-4EF3-B7CA-D2FBD5A4A12C}"/>
    <cellStyle name="Percent 4 2 6" xfId="1654" xr:uid="{750883EA-63EF-432E-8D18-4951B7F5B27A}"/>
    <cellStyle name="Percent 4 2 7" xfId="1655" xr:uid="{EF8955F1-7546-48EB-B89A-08C12A461F9A}"/>
    <cellStyle name="Percent 4 2 8" xfId="1656" xr:uid="{D3E0FF19-5496-4A26-95A7-573B5831D2AB}"/>
    <cellStyle name="Percent 4 2 9" xfId="1657" xr:uid="{A878822C-63A0-44EC-93FC-C42BA2FB91B9}"/>
    <cellStyle name="Percent 4 3" xfId="1658" xr:uid="{C6BC4163-FF77-4165-B116-78B9B1A07754}"/>
    <cellStyle name="Percent 4 3 2" xfId="1659" xr:uid="{485AFE7B-41A5-4DCC-BA95-FDDFFA3B6BF8}"/>
    <cellStyle name="Percent 4 3 3" xfId="1660" xr:uid="{09E82EAB-6E9C-4F98-A117-1F68F71F64AC}"/>
    <cellStyle name="Percent 4 3 4" xfId="1661" xr:uid="{456BA052-23C0-46D2-A3EC-EECB3638EB54}"/>
    <cellStyle name="Percent 4 3 5" xfId="1662" xr:uid="{FF09C516-F909-4C2E-A9E8-36DE95986B72}"/>
    <cellStyle name="Percent 4 3 6" xfId="1663" xr:uid="{00313398-3878-4C39-8FCF-96BE24513033}"/>
    <cellStyle name="Percent 4 3 7" xfId="1664" xr:uid="{75B27456-AC1A-4F4A-8B5F-3EBAFF31CCCB}"/>
    <cellStyle name="Percent 4 3 8" xfId="1665" xr:uid="{C1895CCD-ABCA-462D-A3E6-5D5B03201FC1}"/>
    <cellStyle name="Percent 4 4" xfId="1666" xr:uid="{6F06E691-C4BF-4908-8EBB-1BF72FFB7FE0}"/>
    <cellStyle name="Percent 4 4 2" xfId="1667" xr:uid="{0E6CE9EC-BEA9-4B7E-B36A-1070CAD129E8}"/>
    <cellStyle name="Percent 4 4 3" xfId="1668" xr:uid="{2B7E3CE1-A66D-4903-A4F7-FB49417FC91F}"/>
    <cellStyle name="Percent 4 4 4" xfId="1669" xr:uid="{423D7335-75A2-45BB-9151-3153FB4CD036}"/>
    <cellStyle name="Percent 4 4 5" xfId="1670" xr:uid="{40E1DB1D-CE90-4CF8-8B59-68347FB4D6EE}"/>
    <cellStyle name="Percent 4 4 6" xfId="1671" xr:uid="{D8075666-BB94-4BB2-947D-56E4E4E3747D}"/>
    <cellStyle name="Percent 4 4 7" xfId="1672" xr:uid="{22287CB6-545B-436E-BCDB-3DD85D8A1103}"/>
    <cellStyle name="Percent 4 4 8" xfId="1673" xr:uid="{627B12ED-9F16-40FF-8568-5ADDDEAD84A7}"/>
    <cellStyle name="Percent 4 5" xfId="1674" xr:uid="{5F5901E8-2493-4672-915A-BF62DDF81AA0}"/>
    <cellStyle name="Percent 4 5 2" xfId="1675" xr:uid="{DE5DC608-A4A4-4EED-928E-77E0DFEFD43E}"/>
    <cellStyle name="Percent 4 5 3" xfId="1676" xr:uid="{B6F07539-0F0E-48B0-A51B-5F705710402A}"/>
    <cellStyle name="Percent 4 5 4" xfId="1677" xr:uid="{5AD8FF6A-E8BF-43AC-AF32-53B0F37692FC}"/>
    <cellStyle name="Percent 4 5 5" xfId="1678" xr:uid="{B37A6171-044A-4509-AC43-C42807D8EAF4}"/>
    <cellStyle name="Percent 4 5 6" xfId="1679" xr:uid="{E19C4109-DD35-44EC-928F-A1ED324A8B28}"/>
    <cellStyle name="Percent 4 5 7" xfId="1680" xr:uid="{AC294274-EBBB-41D1-A657-C24E2F15B87D}"/>
    <cellStyle name="Percent 4 5 8" xfId="1681" xr:uid="{1878EC99-9D63-4A68-8D56-18462678A37C}"/>
    <cellStyle name="Percent 4 6" xfId="1682" xr:uid="{E5F3C493-E946-4421-A986-8282C684CC51}"/>
    <cellStyle name="Percent 4 6 2" xfId="1683" xr:uid="{4519C4F6-BF11-4779-8041-F6F1E0C580D1}"/>
    <cellStyle name="Percent 4 6 3" xfId="1684" xr:uid="{13060CF9-3DD4-44C4-976F-A1862C1460B4}"/>
    <cellStyle name="Percent 4 6 4" xfId="1685" xr:uid="{9088A55F-3D60-4C4A-AC83-3A63143DF778}"/>
    <cellStyle name="Percent 4 6 5" xfId="1686" xr:uid="{14A93377-873B-46E5-AEF9-7FBCC979958B}"/>
    <cellStyle name="Percent 4 6 6" xfId="1687" xr:uid="{DCE39254-7253-40F1-9654-7F8C987F3552}"/>
    <cellStyle name="Percent 4 6 7" xfId="1688" xr:uid="{107BBB1A-F17B-4497-AA07-4EC4F32CC031}"/>
    <cellStyle name="Percent 4 6 8" xfId="1689" xr:uid="{02DCA943-D87C-4977-BDA0-95E967A5A185}"/>
    <cellStyle name="Percent 4 7" xfId="1690" xr:uid="{C11E812E-962B-44DA-B3EB-440312FBE2B8}"/>
    <cellStyle name="Percent 4 8" xfId="1691" xr:uid="{CE750927-CC0F-4985-95AB-6B7776FBF5BE}"/>
    <cellStyle name="Percent 4 9" xfId="1692" xr:uid="{D8A1E13E-0AA0-4F32-BF9D-A7C2BADE374A}"/>
    <cellStyle name="Percent 5" xfId="1693" xr:uid="{41BE910E-2FAC-46E5-B85A-136D33323AA3}"/>
    <cellStyle name="Percent 5 10" xfId="1694" xr:uid="{84E4EDE0-88A4-4C4D-9A40-520E20D017C8}"/>
    <cellStyle name="Percent 5 11" xfId="1695" xr:uid="{028E9D02-D447-4C60-89C9-C363E08129F1}"/>
    <cellStyle name="Percent 5 12" xfId="1696" xr:uid="{A3E3B3D4-FCE1-4901-8C64-57CCD270F01E}"/>
    <cellStyle name="Percent 5 2" xfId="1697" xr:uid="{394F8A86-B21E-4430-8BA1-F18CB087F7BC}"/>
    <cellStyle name="Percent 5 3" xfId="1698" xr:uid="{62A99788-1FE1-43E8-8E6A-819DDF8A7015}"/>
    <cellStyle name="Percent 5 4" xfId="1699" xr:uid="{DC740BF1-6D97-4BC3-9CAC-E3707A5016F7}"/>
    <cellStyle name="Percent 5 5" xfId="1700" xr:uid="{B7041043-A587-4C1C-9B26-9253F8665AD5}"/>
    <cellStyle name="Percent 5 6" xfId="1701" xr:uid="{898C50CE-5D49-43F8-A403-B3C0B6BFD89E}"/>
    <cellStyle name="Percent 5 7" xfId="1702" xr:uid="{AC13A2A2-76B2-4E91-A07A-569228E66916}"/>
    <cellStyle name="Percent 5 8" xfId="1703" xr:uid="{999C9C98-B340-44D9-8890-83F41DEFC38D}"/>
    <cellStyle name="Percent 5 9" xfId="1704" xr:uid="{001F6EE5-8CE2-4DE8-84F5-D0CFCD1967AE}"/>
    <cellStyle name="Percent 5 9 2" xfId="1705" xr:uid="{F94F947C-B19A-475F-980F-9C2310C923A7}"/>
    <cellStyle name="Percent 5 9 2 2" xfId="1706" xr:uid="{0DACB47E-C2AC-4641-B9AC-5813D86620BE}"/>
    <cellStyle name="Percent 6" xfId="1707" xr:uid="{3DD4D448-45DD-4678-977B-1BF8FAF85825}"/>
    <cellStyle name="Percent 6 2" xfId="1708" xr:uid="{9D50AD8B-8C11-4A9E-973A-DED2D842F4DB}"/>
    <cellStyle name="Percent 6 3" xfId="1709" xr:uid="{345E75BE-D76D-4A48-94A7-095570DB290A}"/>
    <cellStyle name="Percent 6 4" xfId="1710" xr:uid="{2395C0A8-124A-49AA-9085-664A84260D07}"/>
    <cellStyle name="Percent 6 5" xfId="1711" xr:uid="{09DB2CA7-54E3-423D-9413-F7565DD937D5}"/>
    <cellStyle name="Percent 6 6" xfId="1712" xr:uid="{A8B20A9A-730A-48D5-A53C-64FADF225C51}"/>
    <cellStyle name="Percent 6 7" xfId="1713" xr:uid="{178A0ED9-4DA4-44DD-8B4C-7038D09B66CA}"/>
    <cellStyle name="Percent 6 8" xfId="1714" xr:uid="{2507D1C6-C23F-4828-8A9F-D444294019E2}"/>
    <cellStyle name="Percent 6 9" xfId="1715" xr:uid="{D2103597-5CBE-4631-BAD7-F01BFEF799ED}"/>
    <cellStyle name="Percent 7" xfId="1716" xr:uid="{041F1E89-496A-4D5F-8A8A-907FE48EC7D3}"/>
    <cellStyle name="Percent 7 2" xfId="1717" xr:uid="{59FD255D-B4E9-4BF6-90A5-10F590C2B300}"/>
    <cellStyle name="Percent 7 3" xfId="1718" xr:uid="{C23E3DF0-A1B0-48A4-97A7-79BA840F7AAC}"/>
    <cellStyle name="Percent 7 4" xfId="1719" xr:uid="{FAAAE981-FEC4-4ED5-A1C0-0BB68D768F42}"/>
    <cellStyle name="Percent 7 5" xfId="1720" xr:uid="{C383BDD5-1B77-4199-9658-51AB35B706A7}"/>
    <cellStyle name="Percent 7 6" xfId="1721" xr:uid="{1CBE73D1-389A-470C-AC5A-335C7B9144BA}"/>
    <cellStyle name="Percent 7 7" xfId="1722" xr:uid="{A4CCF777-8AC1-46C1-8E0C-08CD2F23C7EB}"/>
    <cellStyle name="Percent 7 8" xfId="1723" xr:uid="{7D5FF4C5-DF0B-437D-9D6A-75D8D653748B}"/>
    <cellStyle name="Percent 8" xfId="1724" xr:uid="{EDFCD9EF-52EB-42D7-BCBD-006F311D1C87}"/>
    <cellStyle name="Percent 8 2" xfId="1725" xr:uid="{DC66A081-CA69-4D98-8D8B-C944E5E512A3}"/>
    <cellStyle name="Percent 8 3" xfId="1726" xr:uid="{CED6D23C-09AF-4C21-9E58-A6345E1D0839}"/>
    <cellStyle name="Percent 8 4" xfId="1727" xr:uid="{94CC3F5A-C958-429F-8966-D454022157A2}"/>
    <cellStyle name="Percent 8 5" xfId="1728" xr:uid="{E736F221-2710-456E-846F-4A5844C75F3E}"/>
    <cellStyle name="Percent 8 6" xfId="1729" xr:uid="{826B2FBC-EEF7-4B55-B002-77F787BC617F}"/>
    <cellStyle name="Percent 8 7" xfId="1730" xr:uid="{873A9BE7-A2B6-4408-8F72-D0563AB76B02}"/>
    <cellStyle name="Percent 8 8" xfId="1731" xr:uid="{80AFFD74-E3C5-41F2-B1FD-E03BB6307A88}"/>
    <cellStyle name="Percent 9" xfId="1732" xr:uid="{9C908908-AC45-4152-A7BD-D5B3E1015660}"/>
    <cellStyle name="Percent 9 2" xfId="1733" xr:uid="{CD620E22-951A-4F7E-AEE7-3E731AE1E942}"/>
    <cellStyle name="Percent 9 3" xfId="1734" xr:uid="{D1D72A32-7605-4A26-ACB0-A2FF10CC85CF}"/>
    <cellStyle name="Percent 9 4" xfId="1735" xr:uid="{B835DD52-97BA-4A9B-AC05-8612D49DEAA1}"/>
    <cellStyle name="Percent 9 5" xfId="1736" xr:uid="{A0862296-D0B6-4FC0-BF46-4C74398BEB41}"/>
    <cellStyle name="Percent 9 6" xfId="1737" xr:uid="{6B992FF4-3751-4BAA-B672-247F8BA13A46}"/>
    <cellStyle name="Percent 9 7" xfId="1738" xr:uid="{514BCB26-D469-4D72-838C-F2AC41360DE6}"/>
    <cellStyle name="Percent 9 8" xfId="1739" xr:uid="{16CD1AE3-49FB-4D25-ADAA-B25B14E24D37}"/>
    <cellStyle name="Pilkku_Layo9704" xfId="1740" xr:uid="{7F470337-952E-4ACF-B69F-0C44C246FD14}"/>
    <cellStyle name="Pyör. luku_Layo9704" xfId="1741" xr:uid="{8B1B0F97-4E8D-4E1A-99ED-01657CD33C10}"/>
    <cellStyle name="Pyör. valuutta_Layo9704" xfId="1742" xr:uid="{7AA92E8B-66D3-4A36-837B-25001D4F0473}"/>
    <cellStyle name="Standard_Sce_D_Extraction" xfId="1743" xr:uid="{4357D789-AC5F-46E5-AA97-622400FBBB47}"/>
    <cellStyle name="Style 21" xfId="1744" xr:uid="{E0252F65-5D0A-4F21-9787-8C8FAFE3D993}"/>
    <cellStyle name="Style 21 2" xfId="1745" xr:uid="{18EEC768-9978-435D-AF80-E27A80847E65}"/>
    <cellStyle name="Style 21 2 2" xfId="1746" xr:uid="{63D3E55F-ACE6-44DF-B2E1-FDD3030FEB6E}"/>
    <cellStyle name="Style 21 3" xfId="1747" xr:uid="{C24CBCC8-0C43-4351-BBDF-7D0807B30EE4}"/>
    <cellStyle name="Style 22" xfId="1748" xr:uid="{C92FA00B-6E43-471C-B74E-C662A13BF046}"/>
    <cellStyle name="Style 23" xfId="1749" xr:uid="{8DCAF629-EC1D-4994-A7BE-25621C8CB363}"/>
    <cellStyle name="Style 24" xfId="1750" xr:uid="{56A50353-683E-4C5F-90A7-C440FAA96E7F}"/>
    <cellStyle name="Style 25" xfId="1751" xr:uid="{83CB653D-18A0-45D6-A50D-DB62623A2562}"/>
    <cellStyle name="Style 25 2" xfId="1752" xr:uid="{468978DD-7382-42D3-853B-E00D531F13FF}"/>
    <cellStyle name="Style 25 2 2" xfId="1753" xr:uid="{1E8F0AE8-63FE-4747-937F-02C101AFD4BE}"/>
    <cellStyle name="Style 25 3" xfId="1754" xr:uid="{1ECE43FE-9C3D-4D73-86D0-E32F3D80A935}"/>
    <cellStyle name="Style 26" xfId="1755" xr:uid="{D33ADFBB-29FA-4F03-B97E-309A11C1BF5B}"/>
    <cellStyle name="Title 2" xfId="1756" xr:uid="{3F0B5DAC-FD92-496C-B9FB-798365AD6E34}"/>
    <cellStyle name="Title 2 10" xfId="1757" xr:uid="{7DA30381-C3B6-443B-AE58-2A9FF2ABD499}"/>
    <cellStyle name="Title 2 2" xfId="1758" xr:uid="{91D9630C-D450-49E8-8FB6-3E36CEA88413}"/>
    <cellStyle name="Title 2 3" xfId="1759" xr:uid="{86D04DC7-7B65-447D-9591-75C6F28661AB}"/>
    <cellStyle name="Title 2 4" xfId="1760" xr:uid="{96652C30-88C7-4E44-B86C-F8C4065E7D86}"/>
    <cellStyle name="Title 2 5" xfId="1761" xr:uid="{61D9C5FD-E625-440D-BFA5-6B4A92FD72A4}"/>
    <cellStyle name="Title 2 6" xfId="1762" xr:uid="{6E65D01D-D0B1-488B-8E12-62E6A6B7E451}"/>
    <cellStyle name="Title 2 7" xfId="1763" xr:uid="{C8909937-9B91-4553-BBA7-C40EE010DFFE}"/>
    <cellStyle name="Title 2 8" xfId="1764" xr:uid="{0AA8D875-A164-4346-9B65-52F08419BD18}"/>
    <cellStyle name="Title 2 9" xfId="1765" xr:uid="{69704E50-C60C-48A0-AFE5-B144341F6F5B}"/>
    <cellStyle name="Title 3" xfId="1766" xr:uid="{FF6DFC54-75C2-4358-92FB-2EE8ADA27E5B}"/>
    <cellStyle name="Total 2" xfId="1767" xr:uid="{37A50B6A-2BBF-4E56-971C-135414992E72}"/>
    <cellStyle name="Total 2 10" xfId="1768" xr:uid="{C2446F26-2DC4-4DC9-BDEA-CA0CE1857BD5}"/>
    <cellStyle name="Total 2 2" xfId="1769" xr:uid="{D350DAE7-4824-48EC-B137-12E4BA43656E}"/>
    <cellStyle name="Total 2 3" xfId="1770" xr:uid="{AC2291C9-2B39-427B-99CE-8CDF8B1C64B7}"/>
    <cellStyle name="Total 2 4" xfId="1771" xr:uid="{BA134461-134C-47CE-AA1C-F3C62792F01B}"/>
    <cellStyle name="Total 2 5" xfId="1772" xr:uid="{143D88B0-133A-4AFE-A9CD-895E30C8EEBB}"/>
    <cellStyle name="Total 2 6" xfId="1773" xr:uid="{C5963A34-BD54-4B3F-AD37-A7921A0D4814}"/>
    <cellStyle name="Total 2 7" xfId="1774" xr:uid="{D0758773-F962-4DF3-86B1-9B1FDAEF79A8}"/>
    <cellStyle name="Total 2 8" xfId="1775" xr:uid="{10F12BB6-A2AD-4BEC-9845-3522028B4B90}"/>
    <cellStyle name="Total 2 9" xfId="1776" xr:uid="{FAB82078-A264-4657-BF5C-1B4A30CA4357}"/>
    <cellStyle name="Total 3" xfId="1777" xr:uid="{0A638277-DE62-4EF9-9A65-67C69C48F6A2}"/>
    <cellStyle name="Valuutta_Layo9704" xfId="1778" xr:uid="{C00A9D45-3835-494E-81F8-7B2DD5C97840}"/>
    <cellStyle name="Warning Text 2" xfId="1779" xr:uid="{C345B545-C1F6-43A6-990B-97ED8E87A3E1}"/>
    <cellStyle name="Warning Text 2 10" xfId="1780" xr:uid="{EBD6D7FE-BCCE-441B-8F03-7C67EF5D3D0F}"/>
    <cellStyle name="Warning Text 2 2" xfId="1781" xr:uid="{AA89916B-6943-4670-BDC8-537A7CB0FB89}"/>
    <cellStyle name="Warning Text 2 3" xfId="1782" xr:uid="{C7B20369-7417-48AF-8F30-A561F371A92C}"/>
    <cellStyle name="Warning Text 2 4" xfId="1783" xr:uid="{2BFE1FBC-A13B-4599-A21A-682F15B50D17}"/>
    <cellStyle name="Warning Text 2 5" xfId="1784" xr:uid="{CEFAE308-1966-4713-ABD6-86510EDD0523}"/>
    <cellStyle name="Warning Text 2 6" xfId="1785" xr:uid="{480CF25D-2137-4A7E-B164-76A2CE5D67BD}"/>
    <cellStyle name="Warning Text 2 7" xfId="1786" xr:uid="{6CB33141-EF60-4B06-BFA2-34C312EEA53A}"/>
    <cellStyle name="Warning Text 2 8" xfId="1787" xr:uid="{C40035FD-2765-4D29-9CCD-9EFFFA02F933}"/>
    <cellStyle name="Warning Text 2 9" xfId="1788" xr:uid="{BFD7D684-93E3-4189-B922-20E1B0BEF02C}"/>
    <cellStyle name="Warning Text 3" xfId="1789" xr:uid="{A8925172-11F1-44D5-96B3-6F5A7EC05B9E}"/>
    <cellStyle name="Обычный_CRF2002 (1)" xfId="1790" xr:uid="{7517E75B-801A-4309-AE57-A5FC9252B38B}"/>
    <cellStyle name="已访问的超链接" xfId="1791" xr:uid="{3ADC7290-1918-459A-BB33-B6C445E4B35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heetViews>
  <sheetFormatPr defaultColWidth="9.109375" defaultRowHeight="14.4"/>
  <cols>
    <col min="1" max="256" width="11.44140625" customWidth="1"/>
  </cols>
  <sheetData>
    <row r="1" spans="1:1">
      <c r="A1" s="9" t="s">
        <v>74</v>
      </c>
    </row>
    <row r="2" spans="1:1">
      <c r="A2" t="s">
        <v>91</v>
      </c>
    </row>
    <row r="3" spans="1:1">
      <c r="A3" t="s">
        <v>75</v>
      </c>
    </row>
    <row r="4" spans="1:1">
      <c r="A4" t="s">
        <v>76</v>
      </c>
    </row>
    <row r="5" spans="1:1">
      <c r="A5" t="s">
        <v>77</v>
      </c>
    </row>
    <row r="6" spans="1:1">
      <c r="A6" t="s">
        <v>78</v>
      </c>
    </row>
    <row r="7" spans="1:1">
      <c r="A7" t="s">
        <v>79</v>
      </c>
    </row>
    <row r="8" spans="1:1">
      <c r="A8" s="10" t="s">
        <v>80</v>
      </c>
    </row>
    <row r="9" spans="1:1">
      <c r="A9" s="10" t="s">
        <v>81</v>
      </c>
    </row>
    <row r="10" spans="1:1">
      <c r="A10" s="10" t="s">
        <v>82</v>
      </c>
    </row>
    <row r="11" spans="1:1">
      <c r="A11" s="10" t="s">
        <v>90</v>
      </c>
    </row>
    <row r="12" spans="1:1">
      <c r="A12" s="10" t="s">
        <v>84</v>
      </c>
    </row>
    <row r="13" spans="1:1">
      <c r="A13" s="10" t="s">
        <v>83</v>
      </c>
    </row>
    <row r="14" spans="1:1">
      <c r="A14" s="10" t="s">
        <v>85</v>
      </c>
    </row>
    <row r="15" spans="1:1">
      <c r="A15" s="10" t="s">
        <v>86</v>
      </c>
    </row>
    <row r="16" spans="1:1">
      <c r="A16" s="10" t="s">
        <v>87</v>
      </c>
    </row>
    <row r="17" spans="2:2">
      <c r="B17" s="11" t="s">
        <v>88</v>
      </c>
    </row>
    <row r="18" spans="2:2">
      <c r="B18" s="11"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92"/>
  <sheetViews>
    <sheetView workbookViewId="0"/>
  </sheetViews>
  <sheetFormatPr defaultColWidth="9.109375" defaultRowHeight="13.2"/>
  <cols>
    <col min="1" max="1" width="9.109375" style="1" customWidth="1"/>
    <col min="2" max="2" width="9.88671875" style="1" bestFit="1" customWidth="1"/>
    <col min="3" max="3" width="8.44140625" style="1" bestFit="1" customWidth="1"/>
    <col min="4" max="4" width="12.6640625" style="1" bestFit="1" customWidth="1"/>
    <col min="5" max="5" width="5" style="1" bestFit="1" customWidth="1"/>
    <col min="6" max="6" width="14.33203125" style="1" bestFit="1" customWidth="1"/>
    <col min="7" max="7" width="6.88671875" style="1" bestFit="1" customWidth="1"/>
    <col min="8" max="8" width="10.44140625" style="1" bestFit="1" customWidth="1"/>
    <col min="9" max="9" width="8.44140625" style="1" bestFit="1" customWidth="1"/>
    <col min="10" max="10" width="5.109375" style="1" bestFit="1" customWidth="1"/>
    <col min="11" max="12" width="5" style="1" bestFit="1" customWidth="1"/>
    <col min="13" max="256" width="11.44140625" style="1" customWidth="1"/>
    <col min="257" max="16384" width="9.109375" style="1"/>
  </cols>
  <sheetData>
    <row r="2" spans="2:23">
      <c r="B2" s="1" t="s">
        <v>26</v>
      </c>
    </row>
    <row r="3" spans="2:23" ht="14.4">
      <c r="B3" s="2" t="s">
        <v>3</v>
      </c>
      <c r="C3" s="2" t="s">
        <v>2</v>
      </c>
      <c r="D3" s="2" t="s">
        <v>1</v>
      </c>
      <c r="E3" s="2" t="s">
        <v>0</v>
      </c>
      <c r="F3" s="2" t="s">
        <v>25</v>
      </c>
      <c r="G3" s="3" t="s">
        <v>24</v>
      </c>
      <c r="H3" s="3" t="s">
        <v>4</v>
      </c>
      <c r="I3" s="2" t="s">
        <v>23</v>
      </c>
      <c r="J3" s="3" t="s">
        <v>50</v>
      </c>
      <c r="K3" s="3" t="s">
        <v>51</v>
      </c>
      <c r="L3" s="3" t="s">
        <v>105</v>
      </c>
    </row>
    <row r="4" spans="2:23">
      <c r="D4" s="1" t="s">
        <v>22</v>
      </c>
      <c r="H4" s="4">
        <v>0.25</v>
      </c>
      <c r="I4" s="1" t="s">
        <v>21</v>
      </c>
      <c r="J4" s="1">
        <v>0.05</v>
      </c>
      <c r="K4" s="1">
        <v>0.05</v>
      </c>
      <c r="L4" s="1">
        <f>K4</f>
        <v>0.05</v>
      </c>
      <c r="T4" s="15" t="s">
        <v>108</v>
      </c>
      <c r="U4" s="15" t="s">
        <v>109</v>
      </c>
      <c r="V4" s="15" t="s">
        <v>95</v>
      </c>
      <c r="W4" s="15" t="s">
        <v>110</v>
      </c>
    </row>
    <row r="5" spans="2:23">
      <c r="D5" s="1" t="s">
        <v>20</v>
      </c>
      <c r="H5" s="1">
        <f>MAX('RE assumptions'!$P$2:$P$6)+1</f>
        <v>2019</v>
      </c>
      <c r="T5" s="15" t="s">
        <v>111</v>
      </c>
      <c r="U5" s="15" t="s">
        <v>112</v>
      </c>
      <c r="V5" s="15">
        <v>2001</v>
      </c>
      <c r="W5" s="15">
        <v>0.76282751560211182</v>
      </c>
    </row>
    <row r="6" spans="2:23" ht="14.4">
      <c r="D6" s="1" t="s">
        <v>19</v>
      </c>
      <c r="H6" s="1">
        <v>1</v>
      </c>
      <c r="O6" s="8">
        <v>7.0000000000000007E-2</v>
      </c>
      <c r="P6" s="5" t="s">
        <v>73</v>
      </c>
      <c r="T6" s="15" t="s">
        <v>111</v>
      </c>
      <c r="U6" s="15" t="s">
        <v>112</v>
      </c>
      <c r="V6" s="15">
        <v>2002</v>
      </c>
      <c r="W6" s="15">
        <v>0.7744603157043457</v>
      </c>
    </row>
    <row r="7" spans="2:23">
      <c r="D7" s="1" t="str">
        <f>IF(F7=G7,"*","")&amp;"G_CUREX"</f>
        <v>G_CUREX</v>
      </c>
      <c r="F7" s="5" t="s">
        <v>96</v>
      </c>
      <c r="G7" s="1" t="str">
        <f>"USD"&amp;RIGHT(O9,2)</f>
        <v>USD83</v>
      </c>
      <c r="H7" s="4">
        <f>ROUND($P$41/P9,4)</f>
        <v>2.0497000000000001</v>
      </c>
      <c r="T7" s="15" t="s">
        <v>111</v>
      </c>
      <c r="U7" s="15" t="s">
        <v>112</v>
      </c>
      <c r="V7" s="15">
        <v>2003</v>
      </c>
      <c r="W7" s="15">
        <v>0.78906536102294922</v>
      </c>
    </row>
    <row r="8" spans="2:23" ht="14.4">
      <c r="D8" s="1" t="str">
        <f t="shared" ref="D8:D40" si="0">IF(F8=G8,"*","")&amp;"G_CUREX"</f>
        <v>G_CUREX</v>
      </c>
      <c r="F8" s="5" t="s">
        <v>96</v>
      </c>
      <c r="G8" s="1" t="str">
        <f t="shared" ref="G8:G40" si="1">"USD"&amp;RIGHT(O10,2)</f>
        <v>USD84</v>
      </c>
      <c r="H8" s="4">
        <f t="shared" ref="H8:H49" si="2">ROUND($P$41/P10,4)</f>
        <v>1.9782999999999999</v>
      </c>
      <c r="O8" s="6"/>
      <c r="P8" s="6" t="s">
        <v>52</v>
      </c>
      <c r="T8" s="15" t="s">
        <v>111</v>
      </c>
      <c r="U8" s="15" t="s">
        <v>112</v>
      </c>
      <c r="V8" s="15">
        <v>2004</v>
      </c>
      <c r="W8" s="15">
        <v>0.81019747257232666</v>
      </c>
    </row>
    <row r="9" spans="2:23" ht="14.4">
      <c r="D9" s="1" t="str">
        <f t="shared" si="0"/>
        <v>G_CUREX</v>
      </c>
      <c r="F9" s="5" t="s">
        <v>96</v>
      </c>
      <c r="G9" s="1" t="str">
        <f t="shared" si="1"/>
        <v>USD85</v>
      </c>
      <c r="H9" s="4">
        <f t="shared" si="2"/>
        <v>1.9176</v>
      </c>
      <c r="O9" s="6">
        <v>1983</v>
      </c>
      <c r="P9" s="14">
        <f>VLOOKUP(O9,$V$5:$W$99,2,FALSE)</f>
        <v>0.48787263035774231</v>
      </c>
      <c r="T9" s="15" t="s">
        <v>111</v>
      </c>
      <c r="U9" s="15" t="s">
        <v>112</v>
      </c>
      <c r="V9" s="15">
        <v>2005</v>
      </c>
      <c r="W9" s="15">
        <v>0.83531957864761353</v>
      </c>
    </row>
    <row r="10" spans="2:23" ht="14.4">
      <c r="D10" s="1" t="str">
        <f t="shared" si="0"/>
        <v>G_CUREX</v>
      </c>
      <c r="F10" s="5" t="s">
        <v>96</v>
      </c>
      <c r="G10" s="1" t="str">
        <f t="shared" si="1"/>
        <v>USD86</v>
      </c>
      <c r="H10" s="4">
        <f t="shared" si="2"/>
        <v>1.8794999999999999</v>
      </c>
      <c r="O10" s="6">
        <v>1984</v>
      </c>
      <c r="P10" s="14">
        <f t="shared" ref="P10:P51" si="3">VLOOKUP(O10,$V$5:$W$99,2,FALSE)</f>
        <v>0.50549513101577759</v>
      </c>
      <c r="T10" s="15" t="s">
        <v>111</v>
      </c>
      <c r="U10" s="15" t="s">
        <v>112</v>
      </c>
      <c r="V10" s="15">
        <v>2006</v>
      </c>
      <c r="W10" s="15">
        <v>0.86080724000930786</v>
      </c>
    </row>
    <row r="11" spans="2:23" ht="14.4">
      <c r="D11" s="1" t="str">
        <f t="shared" si="0"/>
        <v>G_CUREX</v>
      </c>
      <c r="F11" s="5" t="s">
        <v>96</v>
      </c>
      <c r="G11" s="1" t="str">
        <f t="shared" si="1"/>
        <v>USD87</v>
      </c>
      <c r="H11" s="4">
        <f t="shared" si="2"/>
        <v>1.8345</v>
      </c>
      <c r="O11" s="6">
        <v>1985</v>
      </c>
      <c r="P11" s="14">
        <f t="shared" si="3"/>
        <v>0.52148580551147461</v>
      </c>
      <c r="T11" s="15" t="s">
        <v>111</v>
      </c>
      <c r="U11" s="15" t="s">
        <v>112</v>
      </c>
      <c r="V11" s="15">
        <v>2007</v>
      </c>
      <c r="W11" s="15">
        <v>0.88397014141082764</v>
      </c>
    </row>
    <row r="12" spans="2:23" ht="14.4">
      <c r="D12" s="1" t="str">
        <f t="shared" si="0"/>
        <v>G_CUREX</v>
      </c>
      <c r="F12" s="5" t="s">
        <v>96</v>
      </c>
      <c r="G12" s="1" t="str">
        <f t="shared" si="1"/>
        <v>USD88</v>
      </c>
      <c r="H12" s="4">
        <f t="shared" si="2"/>
        <v>1.7719</v>
      </c>
      <c r="O12" s="6">
        <v>1986</v>
      </c>
      <c r="P12" s="14">
        <f t="shared" si="3"/>
        <v>0.5320507287979126</v>
      </c>
      <c r="T12" s="15" t="s">
        <v>111</v>
      </c>
      <c r="U12" s="15" t="s">
        <v>112</v>
      </c>
      <c r="V12" s="15">
        <v>2008</v>
      </c>
      <c r="W12" s="15">
        <v>0.90084481239318848</v>
      </c>
    </row>
    <row r="13" spans="2:23" ht="14.4">
      <c r="D13" s="1" t="str">
        <f t="shared" si="0"/>
        <v>G_CUREX</v>
      </c>
      <c r="F13" s="5" t="s">
        <v>96</v>
      </c>
      <c r="G13" s="1" t="str">
        <f t="shared" si="1"/>
        <v>USD89</v>
      </c>
      <c r="H13" s="4">
        <f t="shared" si="2"/>
        <v>1.7050000000000001</v>
      </c>
      <c r="O13" s="6">
        <v>1987</v>
      </c>
      <c r="P13" s="14">
        <f t="shared" si="3"/>
        <v>0.54511946439743042</v>
      </c>
      <c r="T13" s="15" t="s">
        <v>111</v>
      </c>
      <c r="U13" s="15" t="s">
        <v>112</v>
      </c>
      <c r="V13" s="15">
        <v>2009</v>
      </c>
      <c r="W13" s="15">
        <v>0.90787374973297119</v>
      </c>
    </row>
    <row r="14" spans="2:23" ht="14.4">
      <c r="D14" s="1" t="str">
        <f t="shared" si="0"/>
        <v>G_CUREX</v>
      </c>
      <c r="F14" s="5" t="s">
        <v>96</v>
      </c>
      <c r="G14" s="1" t="str">
        <f t="shared" si="1"/>
        <v>USD90</v>
      </c>
      <c r="H14" s="4">
        <f t="shared" si="2"/>
        <v>1.6433</v>
      </c>
      <c r="O14" s="6">
        <v>1988</v>
      </c>
      <c r="P14" s="14">
        <f t="shared" si="3"/>
        <v>0.56437134742736816</v>
      </c>
      <c r="T14" s="15" t="s">
        <v>111</v>
      </c>
      <c r="U14" s="15" t="s">
        <v>112</v>
      </c>
      <c r="V14" s="15">
        <v>2010</v>
      </c>
      <c r="W14" s="15">
        <v>0.91847920417785645</v>
      </c>
    </row>
    <row r="15" spans="2:23" ht="14.4">
      <c r="D15" s="1" t="str">
        <f t="shared" si="0"/>
        <v>G_CUREX</v>
      </c>
      <c r="F15" s="5" t="s">
        <v>96</v>
      </c>
      <c r="G15" s="1" t="str">
        <f t="shared" si="1"/>
        <v>USD91</v>
      </c>
      <c r="H15" s="4">
        <f t="shared" si="2"/>
        <v>1.5898000000000001</v>
      </c>
      <c r="O15" s="6">
        <v>1989</v>
      </c>
      <c r="P15" s="14">
        <f t="shared" si="3"/>
        <v>0.58649742603302002</v>
      </c>
      <c r="T15" s="15" t="s">
        <v>111</v>
      </c>
      <c r="U15" s="15" t="s">
        <v>112</v>
      </c>
      <c r="V15" s="15">
        <v>2011</v>
      </c>
      <c r="W15" s="15">
        <v>0.93761897087097168</v>
      </c>
    </row>
    <row r="16" spans="2:23" ht="14.4">
      <c r="D16" s="1" t="str">
        <f t="shared" si="0"/>
        <v>G_CUREX</v>
      </c>
      <c r="F16" s="5" t="s">
        <v>96</v>
      </c>
      <c r="G16" s="1" t="str">
        <f t="shared" si="1"/>
        <v>USD92</v>
      </c>
      <c r="H16" s="4">
        <f t="shared" si="2"/>
        <v>1.5543</v>
      </c>
      <c r="O16" s="6">
        <v>1990</v>
      </c>
      <c r="P16" s="14">
        <f t="shared" si="3"/>
        <v>0.60853272676467896</v>
      </c>
      <c r="T16" s="15" t="s">
        <v>111</v>
      </c>
      <c r="U16" s="15" t="s">
        <v>112</v>
      </c>
      <c r="V16" s="15">
        <v>2012</v>
      </c>
      <c r="W16" s="15">
        <v>0.95566660165786743</v>
      </c>
    </row>
    <row r="17" spans="4:23" ht="14.4">
      <c r="D17" s="1" t="str">
        <f t="shared" si="0"/>
        <v>G_CUREX</v>
      </c>
      <c r="F17" s="5" t="s">
        <v>96</v>
      </c>
      <c r="G17" s="1" t="str">
        <f t="shared" si="1"/>
        <v>USD93</v>
      </c>
      <c r="H17" s="4">
        <f t="shared" si="2"/>
        <v>1.5183</v>
      </c>
      <c r="O17" s="6">
        <v>1991</v>
      </c>
      <c r="P17" s="14">
        <f t="shared" si="3"/>
        <v>0.6290125846862793</v>
      </c>
      <c r="T17" s="15" t="s">
        <v>111</v>
      </c>
      <c r="U17" s="15" t="s">
        <v>112</v>
      </c>
      <c r="V17" s="15">
        <v>2013</v>
      </c>
      <c r="W17" s="15">
        <v>0.97260576486587524</v>
      </c>
    </row>
    <row r="18" spans="4:23" ht="14.4">
      <c r="D18" s="1" t="str">
        <f t="shared" si="0"/>
        <v>G_CUREX</v>
      </c>
      <c r="F18" s="5" t="s">
        <v>96</v>
      </c>
      <c r="G18" s="1" t="str">
        <f t="shared" si="1"/>
        <v>USD94</v>
      </c>
      <c r="H18" s="4">
        <f t="shared" si="2"/>
        <v>1.4865999999999999</v>
      </c>
      <c r="O18" s="6">
        <v>1992</v>
      </c>
      <c r="P18" s="14">
        <f t="shared" si="3"/>
        <v>0.64336210489273071</v>
      </c>
      <c r="T18" s="15" t="s">
        <v>111</v>
      </c>
      <c r="U18" s="15" t="s">
        <v>112</v>
      </c>
      <c r="V18" s="15">
        <v>2014</v>
      </c>
      <c r="W18" s="15">
        <v>0.99051731824874878</v>
      </c>
    </row>
    <row r="19" spans="4:23" ht="14.4">
      <c r="D19" s="1" t="str">
        <f t="shared" si="0"/>
        <v>G_CUREX</v>
      </c>
      <c r="F19" s="5" t="s">
        <v>96</v>
      </c>
      <c r="G19" s="1" t="str">
        <f t="shared" si="1"/>
        <v>USD95</v>
      </c>
      <c r="H19" s="4">
        <f t="shared" si="2"/>
        <v>1.4560999999999999</v>
      </c>
      <c r="O19" s="6">
        <v>1993</v>
      </c>
      <c r="P19" s="14">
        <f t="shared" si="3"/>
        <v>0.658619225025177</v>
      </c>
      <c r="T19" s="15" t="s">
        <v>111</v>
      </c>
      <c r="U19" s="15" t="s">
        <v>112</v>
      </c>
      <c r="V19" s="15">
        <v>2015</v>
      </c>
      <c r="W19" s="15">
        <v>1</v>
      </c>
    </row>
    <row r="20" spans="4:23" ht="14.4">
      <c r="D20" s="1" t="str">
        <f t="shared" si="0"/>
        <v>G_CUREX</v>
      </c>
      <c r="F20" s="5" t="s">
        <v>96</v>
      </c>
      <c r="G20" s="1" t="str">
        <f t="shared" si="1"/>
        <v>USD96</v>
      </c>
      <c r="H20" s="4">
        <f t="shared" si="2"/>
        <v>1.4298999999999999</v>
      </c>
      <c r="O20" s="6">
        <v>1994</v>
      </c>
      <c r="P20" s="14">
        <f t="shared" si="3"/>
        <v>0.67265796661376953</v>
      </c>
      <c r="T20" s="15" t="s">
        <v>111</v>
      </c>
      <c r="U20" s="15" t="s">
        <v>112</v>
      </c>
      <c r="V20" s="15">
        <v>2016</v>
      </c>
      <c r="W20" s="15">
        <v>1.0104837417602539</v>
      </c>
    </row>
    <row r="21" spans="4:23" ht="14.4">
      <c r="D21" s="1" t="str">
        <f t="shared" si="0"/>
        <v>G_CUREX</v>
      </c>
      <c r="F21" s="5" t="s">
        <v>96</v>
      </c>
      <c r="G21" s="1" t="str">
        <f t="shared" si="1"/>
        <v>USD97</v>
      </c>
      <c r="H21" s="4">
        <f t="shared" si="2"/>
        <v>1.4056</v>
      </c>
      <c r="O21" s="6">
        <v>1995</v>
      </c>
      <c r="P21" s="14">
        <f t="shared" si="3"/>
        <v>0.68678039312362671</v>
      </c>
      <c r="T21" s="15" t="s">
        <v>111</v>
      </c>
      <c r="U21" s="15" t="s">
        <v>112</v>
      </c>
      <c r="V21" s="15">
        <v>2017</v>
      </c>
      <c r="W21" s="15">
        <v>1.0297403335571289</v>
      </c>
    </row>
    <row r="22" spans="4:23" ht="14.4">
      <c r="D22" s="1" t="str">
        <f t="shared" si="0"/>
        <v>G_CUREX</v>
      </c>
      <c r="F22" s="5" t="s">
        <v>96</v>
      </c>
      <c r="G22" s="1" t="str">
        <f t="shared" si="1"/>
        <v>USD98</v>
      </c>
      <c r="H22" s="4">
        <f t="shared" si="2"/>
        <v>1.3902000000000001</v>
      </c>
      <c r="O22" s="6">
        <v>1996</v>
      </c>
      <c r="P22" s="14">
        <f t="shared" si="3"/>
        <v>0.69933539628982544</v>
      </c>
      <c r="T22" s="15" t="s">
        <v>111</v>
      </c>
      <c r="U22" s="15" t="s">
        <v>112</v>
      </c>
      <c r="V22" s="15">
        <v>2018</v>
      </c>
      <c r="W22" s="15">
        <v>1.0543080568313599</v>
      </c>
    </row>
    <row r="23" spans="4:23" ht="14.4">
      <c r="D23" s="1" t="str">
        <f t="shared" si="0"/>
        <v>G_CUREX</v>
      </c>
      <c r="F23" s="5" t="s">
        <v>96</v>
      </c>
      <c r="G23" s="1" t="str">
        <f t="shared" si="1"/>
        <v>USD99</v>
      </c>
      <c r="H23" s="4">
        <f t="shared" si="2"/>
        <v>1.3706</v>
      </c>
      <c r="O23" s="6">
        <v>1997</v>
      </c>
      <c r="P23" s="14">
        <f t="shared" si="3"/>
        <v>0.71145087480545044</v>
      </c>
      <c r="T23" s="15" t="s">
        <v>111</v>
      </c>
      <c r="U23" s="15" t="s">
        <v>112</v>
      </c>
      <c r="V23" s="15">
        <v>2019</v>
      </c>
      <c r="W23" s="15">
        <v>1.073378324508667</v>
      </c>
    </row>
    <row r="24" spans="4:23" ht="14.4">
      <c r="D24" s="1" t="str">
        <f t="shared" si="0"/>
        <v>G_CUREX</v>
      </c>
      <c r="F24" s="5" t="s">
        <v>96</v>
      </c>
      <c r="G24" s="1" t="str">
        <f t="shared" si="1"/>
        <v>USD00</v>
      </c>
      <c r="H24" s="4">
        <f t="shared" si="2"/>
        <v>1.3403</v>
      </c>
      <c r="O24" s="6">
        <v>1998</v>
      </c>
      <c r="P24" s="14">
        <f t="shared" si="3"/>
        <v>0.71929687261581421</v>
      </c>
      <c r="T24" s="15" t="s">
        <v>111</v>
      </c>
      <c r="U24" s="15" t="s">
        <v>112</v>
      </c>
      <c r="V24" s="15">
        <v>2020</v>
      </c>
      <c r="W24" s="15">
        <v>1.0831453800201416</v>
      </c>
    </row>
    <row r="25" spans="4:23" ht="14.4">
      <c r="D25" s="1" t="str">
        <f t="shared" si="0"/>
        <v>G_CUREX</v>
      </c>
      <c r="F25" s="5" t="s">
        <v>96</v>
      </c>
      <c r="G25" s="1" t="str">
        <f t="shared" si="1"/>
        <v>USD01</v>
      </c>
      <c r="H25" s="4">
        <f t="shared" si="2"/>
        <v>1.3109</v>
      </c>
      <c r="O25" s="6">
        <v>1999</v>
      </c>
      <c r="P25" s="14">
        <f t="shared" si="3"/>
        <v>0.72961330413818359</v>
      </c>
      <c r="T25" s="15" t="s">
        <v>111</v>
      </c>
      <c r="U25" s="15" t="s">
        <v>112</v>
      </c>
      <c r="V25" s="15">
        <v>2021</v>
      </c>
      <c r="W25" s="15">
        <v>1.0945699214935303</v>
      </c>
    </row>
    <row r="26" spans="4:23" ht="14.4">
      <c r="D26" s="1" t="str">
        <f t="shared" si="0"/>
        <v>G_CUREX</v>
      </c>
      <c r="F26" s="5" t="s">
        <v>96</v>
      </c>
      <c r="G26" s="1" t="str">
        <f t="shared" si="1"/>
        <v>USD02</v>
      </c>
      <c r="H26" s="4">
        <f t="shared" si="2"/>
        <v>1.2911999999999999</v>
      </c>
      <c r="O26" s="6">
        <v>2000</v>
      </c>
      <c r="P26" s="14">
        <f t="shared" si="3"/>
        <v>0.7460746169090271</v>
      </c>
      <c r="T26" s="15" t="s">
        <v>111</v>
      </c>
      <c r="U26" s="15" t="s">
        <v>112</v>
      </c>
      <c r="V26" s="15">
        <v>2022</v>
      </c>
      <c r="W26" s="15">
        <v>1.1073887348175049</v>
      </c>
    </row>
    <row r="27" spans="4:23" ht="14.4">
      <c r="D27" s="1" t="str">
        <f t="shared" si="0"/>
        <v>G_CUREX</v>
      </c>
      <c r="F27" s="5" t="s">
        <v>96</v>
      </c>
      <c r="G27" s="1" t="str">
        <f t="shared" si="1"/>
        <v>USD03</v>
      </c>
      <c r="H27" s="4">
        <f t="shared" si="2"/>
        <v>1.2673000000000001</v>
      </c>
      <c r="O27" s="6">
        <v>2001</v>
      </c>
      <c r="P27" s="14">
        <f t="shared" si="3"/>
        <v>0.76282751560211182</v>
      </c>
      <c r="T27" s="15" t="s">
        <v>111</v>
      </c>
      <c r="U27" s="15" t="s">
        <v>112</v>
      </c>
      <c r="V27" s="15">
        <v>2023</v>
      </c>
      <c r="W27" s="15">
        <v>1.1224308013916016</v>
      </c>
    </row>
    <row r="28" spans="4:23" ht="14.4">
      <c r="D28" s="1" t="str">
        <f t="shared" si="0"/>
        <v>G_CUREX</v>
      </c>
      <c r="F28" s="5" t="s">
        <v>96</v>
      </c>
      <c r="G28" s="1" t="str">
        <f t="shared" si="1"/>
        <v>USD04</v>
      </c>
      <c r="H28" s="4">
        <f t="shared" si="2"/>
        <v>1.2343</v>
      </c>
      <c r="O28" s="6">
        <v>2002</v>
      </c>
      <c r="P28" s="14">
        <f t="shared" si="3"/>
        <v>0.7744603157043457</v>
      </c>
      <c r="T28" s="15" t="s">
        <v>111</v>
      </c>
      <c r="U28" s="15" t="s">
        <v>112</v>
      </c>
      <c r="V28" s="15">
        <v>2024</v>
      </c>
      <c r="W28" s="15">
        <v>1.1412873268127441</v>
      </c>
    </row>
    <row r="29" spans="4:23" ht="14.4">
      <c r="D29" s="1" t="str">
        <f t="shared" si="0"/>
        <v>G_CUREX</v>
      </c>
      <c r="F29" s="5" t="s">
        <v>96</v>
      </c>
      <c r="G29" s="1" t="str">
        <f t="shared" si="1"/>
        <v>USD05</v>
      </c>
      <c r="H29" s="4">
        <f t="shared" si="2"/>
        <v>1.1971000000000001</v>
      </c>
      <c r="O29" s="6">
        <v>2003</v>
      </c>
      <c r="P29" s="14">
        <f t="shared" si="3"/>
        <v>0.78906536102294922</v>
      </c>
      <c r="T29" s="15" t="s">
        <v>111</v>
      </c>
      <c r="U29" s="15" t="s">
        <v>112</v>
      </c>
      <c r="V29" s="15">
        <v>2025</v>
      </c>
      <c r="W29" s="15">
        <v>1.165064811706543</v>
      </c>
    </row>
    <row r="30" spans="4:23" ht="14.4">
      <c r="D30" s="1" t="str">
        <f t="shared" si="0"/>
        <v>G_CUREX</v>
      </c>
      <c r="F30" s="5" t="s">
        <v>96</v>
      </c>
      <c r="G30" s="1" t="str">
        <f t="shared" si="1"/>
        <v>USD06</v>
      </c>
      <c r="H30" s="4">
        <f t="shared" si="2"/>
        <v>1.1617</v>
      </c>
      <c r="O30" s="6">
        <v>2004</v>
      </c>
      <c r="P30" s="14">
        <f t="shared" si="3"/>
        <v>0.81019747257232666</v>
      </c>
      <c r="T30" s="15" t="s">
        <v>111</v>
      </c>
      <c r="U30" s="15" t="s">
        <v>112</v>
      </c>
      <c r="V30" s="15">
        <v>2026</v>
      </c>
      <c r="W30" s="15">
        <v>1.1928025484085083</v>
      </c>
    </row>
    <row r="31" spans="4:23" ht="14.4">
      <c r="D31" s="1" t="str">
        <f t="shared" si="0"/>
        <v>G_CUREX</v>
      </c>
      <c r="F31" s="5" t="s">
        <v>96</v>
      </c>
      <c r="G31" s="1" t="str">
        <f t="shared" si="1"/>
        <v>USD07</v>
      </c>
      <c r="H31" s="4">
        <f t="shared" si="2"/>
        <v>1.1313</v>
      </c>
      <c r="O31" s="6">
        <v>2005</v>
      </c>
      <c r="P31" s="14">
        <f t="shared" si="3"/>
        <v>0.83531957864761353</v>
      </c>
      <c r="T31" s="15" t="s">
        <v>111</v>
      </c>
      <c r="U31" s="15" t="s">
        <v>112</v>
      </c>
      <c r="V31" s="15">
        <v>2027</v>
      </c>
      <c r="W31" s="15">
        <v>1.2230976819992065</v>
      </c>
    </row>
    <row r="32" spans="4:23" ht="14.4">
      <c r="D32" s="1" t="str">
        <f t="shared" si="0"/>
        <v>G_CUREX</v>
      </c>
      <c r="F32" s="5" t="s">
        <v>96</v>
      </c>
      <c r="G32" s="1" t="str">
        <f t="shared" si="1"/>
        <v>USD08</v>
      </c>
      <c r="H32" s="4">
        <f t="shared" si="2"/>
        <v>1.1101000000000001</v>
      </c>
      <c r="O32" s="6">
        <v>2006</v>
      </c>
      <c r="P32" s="14">
        <f t="shared" si="3"/>
        <v>0.86080724000930786</v>
      </c>
      <c r="T32" s="15" t="s">
        <v>111</v>
      </c>
      <c r="U32" s="15" t="s">
        <v>112</v>
      </c>
      <c r="V32" s="15">
        <v>2028</v>
      </c>
      <c r="W32" s="15">
        <v>1.2553139925003052</v>
      </c>
    </row>
    <row r="33" spans="4:23" ht="14.4">
      <c r="D33" s="1" t="str">
        <f t="shared" si="0"/>
        <v>G_CUREX</v>
      </c>
      <c r="F33" s="5" t="s">
        <v>96</v>
      </c>
      <c r="G33" s="1" t="str">
        <f t="shared" si="1"/>
        <v>USD09</v>
      </c>
      <c r="H33" s="4">
        <f t="shared" si="2"/>
        <v>1.1014999999999999</v>
      </c>
      <c r="O33" s="6">
        <v>2007</v>
      </c>
      <c r="P33" s="14">
        <f t="shared" si="3"/>
        <v>0.88397014141082764</v>
      </c>
      <c r="T33" s="15" t="s">
        <v>111</v>
      </c>
      <c r="U33" s="15" t="s">
        <v>112</v>
      </c>
      <c r="V33" s="15">
        <v>2029</v>
      </c>
      <c r="W33" s="15">
        <v>1.2883955240249634</v>
      </c>
    </row>
    <row r="34" spans="4:23" ht="14.4">
      <c r="D34" s="1" t="str">
        <f t="shared" si="0"/>
        <v>G_CUREX</v>
      </c>
      <c r="F34" s="5" t="s">
        <v>96</v>
      </c>
      <c r="G34" s="1" t="str">
        <f t="shared" si="1"/>
        <v>USD10</v>
      </c>
      <c r="H34" s="4">
        <f t="shared" si="2"/>
        <v>1.0888</v>
      </c>
      <c r="O34" s="6">
        <v>2008</v>
      </c>
      <c r="P34" s="14">
        <f t="shared" si="3"/>
        <v>0.90084481239318848</v>
      </c>
      <c r="T34" s="15" t="s">
        <v>111</v>
      </c>
      <c r="U34" s="15" t="s">
        <v>112</v>
      </c>
      <c r="V34" s="15">
        <v>2030</v>
      </c>
      <c r="W34" s="15">
        <v>1.3217517137527466</v>
      </c>
    </row>
    <row r="35" spans="4:23" ht="14.4">
      <c r="D35" s="1" t="str">
        <f t="shared" si="0"/>
        <v>G_CUREX</v>
      </c>
      <c r="F35" s="5" t="s">
        <v>96</v>
      </c>
      <c r="G35" s="1" t="str">
        <f t="shared" si="1"/>
        <v>USD11</v>
      </c>
      <c r="H35" s="4">
        <f t="shared" si="2"/>
        <v>1.0665</v>
      </c>
      <c r="O35" s="6">
        <v>2009</v>
      </c>
      <c r="P35" s="14">
        <f t="shared" si="3"/>
        <v>0.90787374973297119</v>
      </c>
      <c r="T35" s="15" t="s">
        <v>111</v>
      </c>
      <c r="U35" s="15" t="s">
        <v>112</v>
      </c>
      <c r="V35" s="15">
        <v>1980</v>
      </c>
      <c r="W35" s="15">
        <v>0.40403914451599121</v>
      </c>
    </row>
    <row r="36" spans="4:23" ht="14.4">
      <c r="D36" s="1" t="str">
        <f t="shared" si="0"/>
        <v>G_CUREX</v>
      </c>
      <c r="F36" s="5" t="s">
        <v>96</v>
      </c>
      <c r="G36" s="1" t="str">
        <f t="shared" si="1"/>
        <v>USD12</v>
      </c>
      <c r="H36" s="4">
        <f t="shared" si="2"/>
        <v>1.0464</v>
      </c>
      <c r="O36" s="6">
        <v>2010</v>
      </c>
      <c r="P36" s="14">
        <f t="shared" si="3"/>
        <v>0.91847920417785645</v>
      </c>
      <c r="T36" s="15" t="s">
        <v>111</v>
      </c>
      <c r="U36" s="15" t="s">
        <v>112</v>
      </c>
      <c r="V36" s="15">
        <v>1981</v>
      </c>
      <c r="W36" s="15">
        <v>0.44217979907989502</v>
      </c>
    </row>
    <row r="37" spans="4:23" ht="14.4">
      <c r="D37" s="1" t="str">
        <f t="shared" si="0"/>
        <v>G_CUREX</v>
      </c>
      <c r="F37" s="5" t="s">
        <v>96</v>
      </c>
      <c r="G37" s="1" t="str">
        <f t="shared" si="1"/>
        <v>USD13</v>
      </c>
      <c r="H37" s="4">
        <f t="shared" si="2"/>
        <v>1.0282</v>
      </c>
      <c r="O37" s="6">
        <v>2011</v>
      </c>
      <c r="P37" s="14">
        <f t="shared" si="3"/>
        <v>0.93761897087097168</v>
      </c>
      <c r="T37" s="15" t="s">
        <v>111</v>
      </c>
      <c r="U37" s="15" t="s">
        <v>112</v>
      </c>
      <c r="V37" s="15">
        <v>1982</v>
      </c>
      <c r="W37" s="15">
        <v>0.46952143311500549</v>
      </c>
    </row>
    <row r="38" spans="4:23" ht="14.4">
      <c r="D38" s="1" t="str">
        <f t="shared" si="0"/>
        <v>G_CUREX</v>
      </c>
      <c r="F38" s="5" t="s">
        <v>96</v>
      </c>
      <c r="G38" s="1" t="str">
        <f t="shared" si="1"/>
        <v>USD14</v>
      </c>
      <c r="H38" s="4">
        <f t="shared" si="2"/>
        <v>1.0096000000000001</v>
      </c>
      <c r="O38" s="6">
        <v>2012</v>
      </c>
      <c r="P38" s="14">
        <f t="shared" si="3"/>
        <v>0.95566660165786743</v>
      </c>
      <c r="T38" s="15" t="s">
        <v>111</v>
      </c>
      <c r="U38" s="15" t="s">
        <v>112</v>
      </c>
      <c r="V38" s="15">
        <v>1983</v>
      </c>
      <c r="W38" s="15">
        <v>0.48787263035774231</v>
      </c>
    </row>
    <row r="39" spans="4:23" ht="14.4">
      <c r="D39" s="1" t="str">
        <f t="shared" si="0"/>
        <v>*G_CUREX</v>
      </c>
      <c r="F39" s="5" t="s">
        <v>96</v>
      </c>
      <c r="G39" s="1" t="str">
        <f t="shared" si="1"/>
        <v>USD15</v>
      </c>
      <c r="H39" s="4">
        <f t="shared" si="2"/>
        <v>1</v>
      </c>
      <c r="O39" s="6">
        <v>2013</v>
      </c>
      <c r="P39" s="14">
        <f t="shared" si="3"/>
        <v>0.97260576486587524</v>
      </c>
      <c r="T39" s="15" t="s">
        <v>111</v>
      </c>
      <c r="U39" s="15" t="s">
        <v>112</v>
      </c>
      <c r="V39" s="15">
        <v>1984</v>
      </c>
      <c r="W39" s="15">
        <v>0.50549513101577759</v>
      </c>
    </row>
    <row r="40" spans="4:23" ht="14.4">
      <c r="D40" s="1" t="str">
        <f t="shared" si="0"/>
        <v>G_CUREX</v>
      </c>
      <c r="F40" s="5" t="s">
        <v>96</v>
      </c>
      <c r="G40" s="1" t="str">
        <f t="shared" si="1"/>
        <v>USD16</v>
      </c>
      <c r="H40" s="4">
        <f t="shared" si="2"/>
        <v>0.98960000000000004</v>
      </c>
      <c r="O40" s="6">
        <v>2014</v>
      </c>
      <c r="P40" s="14">
        <f t="shared" si="3"/>
        <v>0.99051731824874878</v>
      </c>
      <c r="T40" s="15" t="s">
        <v>111</v>
      </c>
      <c r="U40" s="15" t="s">
        <v>112</v>
      </c>
      <c r="V40" s="15">
        <v>1985</v>
      </c>
      <c r="W40" s="15">
        <v>0.52148580551147461</v>
      </c>
    </row>
    <row r="41" spans="4:23" ht="14.4">
      <c r="D41" s="1" t="str">
        <f>IF(F41=G41,"*","")&amp;"G_CUREX"</f>
        <v>G_CUREX</v>
      </c>
      <c r="F41" s="5" t="s">
        <v>96</v>
      </c>
      <c r="G41" s="1" t="str">
        <f>"USD"&amp;RIGHT(O43,2)</f>
        <v>USD17</v>
      </c>
      <c r="H41" s="4">
        <f t="shared" si="2"/>
        <v>0.97109999999999996</v>
      </c>
      <c r="O41" s="16">
        <v>2015</v>
      </c>
      <c r="P41" s="14">
        <f t="shared" si="3"/>
        <v>1</v>
      </c>
      <c r="T41" s="15" t="s">
        <v>111</v>
      </c>
      <c r="U41" s="15" t="s">
        <v>112</v>
      </c>
      <c r="V41" s="15">
        <v>1986</v>
      </c>
      <c r="W41" s="15">
        <v>0.5320507287979126</v>
      </c>
    </row>
    <row r="42" spans="4:23" ht="14.4">
      <c r="D42" s="1" t="str">
        <f>IF(F42=G42,"*","")&amp;"G_CUREX"</f>
        <v>G_CUREX</v>
      </c>
      <c r="F42" s="5" t="s">
        <v>96</v>
      </c>
      <c r="G42" s="1" t="str">
        <f>"USD"&amp;RIGHT(O44,2)</f>
        <v>USD18</v>
      </c>
      <c r="H42" s="4">
        <f t="shared" si="2"/>
        <v>0.94850000000000001</v>
      </c>
      <c r="O42" s="16">
        <v>2016</v>
      </c>
      <c r="P42" s="14">
        <f t="shared" si="3"/>
        <v>1.0104837417602539</v>
      </c>
      <c r="T42" s="15" t="s">
        <v>111</v>
      </c>
      <c r="U42" s="15" t="s">
        <v>112</v>
      </c>
      <c r="V42" s="15">
        <v>1987</v>
      </c>
      <c r="W42" s="15">
        <v>0.54511946439743042</v>
      </c>
    </row>
    <row r="43" spans="4:23" ht="14.4">
      <c r="D43" s="1" t="str">
        <f t="shared" ref="D43:D49" si="4">IF(F43=G43,"*","")&amp;"G_CUREX"</f>
        <v>G_CUREX</v>
      </c>
      <c r="F43" s="5" t="s">
        <v>96</v>
      </c>
      <c r="G43" s="1" t="str">
        <f t="shared" ref="G43:G49" si="5">"USD"&amp;RIGHT(O45,2)</f>
        <v>USD19</v>
      </c>
      <c r="H43" s="4">
        <f t="shared" si="2"/>
        <v>0.93159999999999998</v>
      </c>
      <c r="O43" s="16">
        <v>2017</v>
      </c>
      <c r="P43" s="14">
        <f t="shared" si="3"/>
        <v>1.0297403335571289</v>
      </c>
      <c r="T43" s="15" t="s">
        <v>111</v>
      </c>
      <c r="U43" s="15" t="s">
        <v>112</v>
      </c>
      <c r="V43" s="15">
        <v>1988</v>
      </c>
      <c r="W43" s="15">
        <v>0.56437134742736816</v>
      </c>
    </row>
    <row r="44" spans="4:23" ht="14.4">
      <c r="D44" s="1" t="str">
        <f t="shared" si="4"/>
        <v>G_CUREX</v>
      </c>
      <c r="F44" s="5" t="s">
        <v>96</v>
      </c>
      <c r="G44" s="1" t="str">
        <f t="shared" si="5"/>
        <v>USD20</v>
      </c>
      <c r="H44" s="4">
        <f t="shared" si="2"/>
        <v>0.92320000000000002</v>
      </c>
      <c r="O44" s="16">
        <v>2018</v>
      </c>
      <c r="P44" s="14">
        <f t="shared" si="3"/>
        <v>1.0543080568313599</v>
      </c>
      <c r="T44" s="15" t="s">
        <v>111</v>
      </c>
      <c r="U44" s="15" t="s">
        <v>112</v>
      </c>
      <c r="V44" s="15">
        <v>1989</v>
      </c>
      <c r="W44" s="15">
        <v>0.58649742603302002</v>
      </c>
    </row>
    <row r="45" spans="4:23" ht="14.4">
      <c r="D45" s="1" t="str">
        <f t="shared" si="4"/>
        <v>G_CUREX</v>
      </c>
      <c r="F45" s="5" t="s">
        <v>96</v>
      </c>
      <c r="G45" s="1" t="str">
        <f t="shared" si="5"/>
        <v>USD21</v>
      </c>
      <c r="H45" s="4">
        <f t="shared" si="2"/>
        <v>0.91359999999999997</v>
      </c>
      <c r="O45" s="16">
        <v>2019</v>
      </c>
      <c r="P45" s="14">
        <f t="shared" si="3"/>
        <v>1.073378324508667</v>
      </c>
      <c r="T45" s="15" t="s">
        <v>111</v>
      </c>
      <c r="U45" s="15" t="s">
        <v>112</v>
      </c>
      <c r="V45" s="15">
        <v>1990</v>
      </c>
      <c r="W45" s="15">
        <v>0.60853272676467896</v>
      </c>
    </row>
    <row r="46" spans="4:23" ht="14.4">
      <c r="D46" s="1" t="str">
        <f t="shared" si="4"/>
        <v>G_CUREX</v>
      </c>
      <c r="F46" s="5" t="s">
        <v>96</v>
      </c>
      <c r="G46" s="1" t="str">
        <f t="shared" si="5"/>
        <v>USD22</v>
      </c>
      <c r="H46" s="4">
        <f t="shared" si="2"/>
        <v>0.90300000000000002</v>
      </c>
      <c r="O46" s="16">
        <v>2020</v>
      </c>
      <c r="P46" s="14">
        <f t="shared" si="3"/>
        <v>1.0831453800201416</v>
      </c>
      <c r="T46" s="15" t="s">
        <v>111</v>
      </c>
      <c r="U46" s="15" t="s">
        <v>112</v>
      </c>
      <c r="V46" s="15">
        <v>1991</v>
      </c>
      <c r="W46" s="15">
        <v>0.6290125846862793</v>
      </c>
    </row>
    <row r="47" spans="4:23" ht="14.4">
      <c r="D47" s="1" t="str">
        <f t="shared" si="4"/>
        <v>G_CUREX</v>
      </c>
      <c r="F47" s="5" t="s">
        <v>96</v>
      </c>
      <c r="G47" s="1" t="str">
        <f>"USD"&amp;RIGHT(O49,2)</f>
        <v>USD23</v>
      </c>
      <c r="H47" s="4">
        <f t="shared" si="2"/>
        <v>0.89090000000000003</v>
      </c>
      <c r="O47" s="16">
        <v>2021</v>
      </c>
      <c r="P47" s="14">
        <f t="shared" si="3"/>
        <v>1.0945699214935303</v>
      </c>
      <c r="T47" s="15" t="s">
        <v>111</v>
      </c>
      <c r="U47" s="15" t="s">
        <v>112</v>
      </c>
      <c r="V47" s="15">
        <v>1992</v>
      </c>
      <c r="W47" s="15">
        <v>0.64336210489273071</v>
      </c>
    </row>
    <row r="48" spans="4:23" ht="14.4">
      <c r="D48" s="1" t="str">
        <f t="shared" si="4"/>
        <v>G_CUREX</v>
      </c>
      <c r="F48" s="5" t="s">
        <v>96</v>
      </c>
      <c r="G48" s="1" t="str">
        <f t="shared" si="5"/>
        <v>USD24</v>
      </c>
      <c r="H48" s="4">
        <f t="shared" si="2"/>
        <v>0.87619999999999998</v>
      </c>
      <c r="O48" s="16">
        <v>2022</v>
      </c>
      <c r="P48" s="14">
        <f t="shared" si="3"/>
        <v>1.1073887348175049</v>
      </c>
      <c r="T48" s="15" t="s">
        <v>111</v>
      </c>
      <c r="U48" s="15" t="s">
        <v>112</v>
      </c>
      <c r="V48" s="15">
        <v>1993</v>
      </c>
      <c r="W48" s="15">
        <v>0.658619225025177</v>
      </c>
    </row>
    <row r="49" spans="4:23" ht="14.4">
      <c r="D49" s="1" t="str">
        <f t="shared" si="4"/>
        <v>G_CUREX</v>
      </c>
      <c r="F49" s="5" t="s">
        <v>96</v>
      </c>
      <c r="G49" s="1" t="str">
        <f t="shared" si="5"/>
        <v>USD25</v>
      </c>
      <c r="H49" s="4">
        <f t="shared" si="2"/>
        <v>0.85829999999999995</v>
      </c>
      <c r="O49" s="16">
        <v>2023</v>
      </c>
      <c r="P49" s="14">
        <f t="shared" si="3"/>
        <v>1.1224308013916016</v>
      </c>
      <c r="T49" s="15" t="s">
        <v>111</v>
      </c>
      <c r="U49" s="15" t="s">
        <v>112</v>
      </c>
      <c r="V49" s="15">
        <v>1994</v>
      </c>
      <c r="W49" s="15">
        <v>0.67265796661376953</v>
      </c>
    </row>
    <row r="50" spans="4:23" ht="14.4">
      <c r="D50" s="5" t="s">
        <v>18</v>
      </c>
      <c r="G50" s="1" t="str">
        <f t="shared" ref="G50:G85" si="6">G7</f>
        <v>USD83</v>
      </c>
      <c r="H50" s="4">
        <f>$O$6</f>
        <v>7.0000000000000007E-2</v>
      </c>
      <c r="O50" s="16">
        <v>2024</v>
      </c>
      <c r="P50" s="14">
        <f t="shared" si="3"/>
        <v>1.1412873268127441</v>
      </c>
      <c r="T50" s="15" t="s">
        <v>111</v>
      </c>
      <c r="U50" s="15" t="s">
        <v>112</v>
      </c>
      <c r="V50" s="15">
        <v>1995</v>
      </c>
      <c r="W50" s="15">
        <v>0.68678039312362671</v>
      </c>
    </row>
    <row r="51" spans="4:23" ht="14.4">
      <c r="D51" s="5" t="s">
        <v>18</v>
      </c>
      <c r="G51" s="1" t="str">
        <f t="shared" si="6"/>
        <v>USD84</v>
      </c>
      <c r="H51" s="4">
        <f t="shared" ref="H51:H92" si="7">$O$6</f>
        <v>7.0000000000000007E-2</v>
      </c>
      <c r="O51" s="16">
        <v>2025</v>
      </c>
      <c r="P51" s="14">
        <f t="shared" si="3"/>
        <v>1.165064811706543</v>
      </c>
      <c r="T51" s="15" t="s">
        <v>111</v>
      </c>
      <c r="U51" s="15" t="s">
        <v>112</v>
      </c>
      <c r="V51" s="15">
        <v>1996</v>
      </c>
      <c r="W51" s="15">
        <v>0.69933539628982544</v>
      </c>
    </row>
    <row r="52" spans="4:23">
      <c r="D52" s="5" t="s">
        <v>18</v>
      </c>
      <c r="G52" s="1" t="str">
        <f t="shared" si="6"/>
        <v>USD85</v>
      </c>
      <c r="H52" s="4">
        <f t="shared" si="7"/>
        <v>7.0000000000000007E-2</v>
      </c>
      <c r="T52" s="15" t="s">
        <v>111</v>
      </c>
      <c r="U52" s="15" t="s">
        <v>112</v>
      </c>
      <c r="V52" s="15">
        <v>1997</v>
      </c>
      <c r="W52" s="15">
        <v>0.71145087480545044</v>
      </c>
    </row>
    <row r="53" spans="4:23">
      <c r="D53" s="5" t="s">
        <v>18</v>
      </c>
      <c r="G53" s="1" t="str">
        <f t="shared" si="6"/>
        <v>USD86</v>
      </c>
      <c r="H53" s="4">
        <f t="shared" si="7"/>
        <v>7.0000000000000007E-2</v>
      </c>
      <c r="T53" s="15" t="s">
        <v>111</v>
      </c>
      <c r="U53" s="15" t="s">
        <v>112</v>
      </c>
      <c r="V53" s="15">
        <v>1998</v>
      </c>
      <c r="W53" s="15">
        <v>0.71929687261581421</v>
      </c>
    </row>
    <row r="54" spans="4:23">
      <c r="D54" s="5" t="s">
        <v>18</v>
      </c>
      <c r="G54" s="1" t="str">
        <f t="shared" si="6"/>
        <v>USD87</v>
      </c>
      <c r="H54" s="4">
        <f t="shared" si="7"/>
        <v>7.0000000000000007E-2</v>
      </c>
      <c r="T54" s="15" t="s">
        <v>111</v>
      </c>
      <c r="U54" s="15" t="s">
        <v>112</v>
      </c>
      <c r="V54" s="15">
        <v>1999</v>
      </c>
      <c r="W54" s="15">
        <v>0.72961330413818359</v>
      </c>
    </row>
    <row r="55" spans="4:23">
      <c r="D55" s="5" t="s">
        <v>18</v>
      </c>
      <c r="G55" s="1" t="str">
        <f t="shared" si="6"/>
        <v>USD88</v>
      </c>
      <c r="H55" s="4">
        <f t="shared" si="7"/>
        <v>7.0000000000000007E-2</v>
      </c>
      <c r="T55" s="15" t="s">
        <v>111</v>
      </c>
      <c r="U55" s="15" t="s">
        <v>112</v>
      </c>
      <c r="V55" s="15">
        <v>2000</v>
      </c>
      <c r="W55" s="15">
        <v>0.7460746169090271</v>
      </c>
    </row>
    <row r="56" spans="4:23">
      <c r="D56" s="5" t="s">
        <v>18</v>
      </c>
      <c r="G56" s="1" t="str">
        <f t="shared" si="6"/>
        <v>USD89</v>
      </c>
      <c r="H56" s="4">
        <f t="shared" si="7"/>
        <v>7.0000000000000007E-2</v>
      </c>
    </row>
    <row r="57" spans="4:23">
      <c r="D57" s="5" t="s">
        <v>18</v>
      </c>
      <c r="G57" s="1" t="str">
        <f t="shared" si="6"/>
        <v>USD90</v>
      </c>
      <c r="H57" s="4">
        <f t="shared" si="7"/>
        <v>7.0000000000000007E-2</v>
      </c>
    </row>
    <row r="58" spans="4:23">
      <c r="D58" s="5" t="s">
        <v>18</v>
      </c>
      <c r="G58" s="1" t="str">
        <f t="shared" si="6"/>
        <v>USD91</v>
      </c>
      <c r="H58" s="4">
        <f t="shared" si="7"/>
        <v>7.0000000000000007E-2</v>
      </c>
    </row>
    <row r="59" spans="4:23">
      <c r="D59" s="5" t="s">
        <v>18</v>
      </c>
      <c r="G59" s="1" t="str">
        <f t="shared" si="6"/>
        <v>USD92</v>
      </c>
      <c r="H59" s="4">
        <f t="shared" si="7"/>
        <v>7.0000000000000007E-2</v>
      </c>
    </row>
    <row r="60" spans="4:23">
      <c r="D60" s="5" t="s">
        <v>18</v>
      </c>
      <c r="G60" s="1" t="str">
        <f t="shared" si="6"/>
        <v>USD93</v>
      </c>
      <c r="H60" s="4">
        <f t="shared" si="7"/>
        <v>7.0000000000000007E-2</v>
      </c>
    </row>
    <row r="61" spans="4:23">
      <c r="D61" s="5" t="s">
        <v>18</v>
      </c>
      <c r="G61" s="1" t="str">
        <f t="shared" si="6"/>
        <v>USD94</v>
      </c>
      <c r="H61" s="4">
        <f t="shared" si="7"/>
        <v>7.0000000000000007E-2</v>
      </c>
    </row>
    <row r="62" spans="4:23">
      <c r="D62" s="5" t="s">
        <v>18</v>
      </c>
      <c r="G62" s="1" t="str">
        <f t="shared" si="6"/>
        <v>USD95</v>
      </c>
      <c r="H62" s="4">
        <f t="shared" si="7"/>
        <v>7.0000000000000007E-2</v>
      </c>
    </row>
    <row r="63" spans="4:23">
      <c r="D63" s="5" t="s">
        <v>18</v>
      </c>
      <c r="G63" s="1" t="str">
        <f t="shared" si="6"/>
        <v>USD96</v>
      </c>
      <c r="H63" s="4">
        <f t="shared" si="7"/>
        <v>7.0000000000000007E-2</v>
      </c>
    </row>
    <row r="64" spans="4:23">
      <c r="D64" s="5" t="s">
        <v>18</v>
      </c>
      <c r="G64" s="1" t="str">
        <f t="shared" si="6"/>
        <v>USD97</v>
      </c>
      <c r="H64" s="4">
        <f t="shared" si="7"/>
        <v>7.0000000000000007E-2</v>
      </c>
    </row>
    <row r="65" spans="4:8">
      <c r="D65" s="5" t="s">
        <v>18</v>
      </c>
      <c r="G65" s="1" t="str">
        <f t="shared" si="6"/>
        <v>USD98</v>
      </c>
      <c r="H65" s="4">
        <f t="shared" si="7"/>
        <v>7.0000000000000007E-2</v>
      </c>
    </row>
    <row r="66" spans="4:8">
      <c r="D66" s="5" t="s">
        <v>18</v>
      </c>
      <c r="G66" s="1" t="str">
        <f t="shared" si="6"/>
        <v>USD99</v>
      </c>
      <c r="H66" s="4">
        <f t="shared" si="7"/>
        <v>7.0000000000000007E-2</v>
      </c>
    </row>
    <row r="67" spans="4:8">
      <c r="D67" s="5" t="s">
        <v>18</v>
      </c>
      <c r="G67" s="1" t="str">
        <f t="shared" si="6"/>
        <v>USD00</v>
      </c>
      <c r="H67" s="4">
        <f t="shared" si="7"/>
        <v>7.0000000000000007E-2</v>
      </c>
    </row>
    <row r="68" spans="4:8">
      <c r="D68" s="5" t="s">
        <v>18</v>
      </c>
      <c r="G68" s="1" t="str">
        <f t="shared" si="6"/>
        <v>USD01</v>
      </c>
      <c r="H68" s="4">
        <f t="shared" si="7"/>
        <v>7.0000000000000007E-2</v>
      </c>
    </row>
    <row r="69" spans="4:8">
      <c r="D69" s="5" t="s">
        <v>18</v>
      </c>
      <c r="G69" s="1" t="str">
        <f t="shared" si="6"/>
        <v>USD02</v>
      </c>
      <c r="H69" s="4">
        <f t="shared" si="7"/>
        <v>7.0000000000000007E-2</v>
      </c>
    </row>
    <row r="70" spans="4:8">
      <c r="D70" s="5" t="s">
        <v>18</v>
      </c>
      <c r="G70" s="1" t="str">
        <f t="shared" si="6"/>
        <v>USD03</v>
      </c>
      <c r="H70" s="4">
        <f t="shared" si="7"/>
        <v>7.0000000000000007E-2</v>
      </c>
    </row>
    <row r="71" spans="4:8">
      <c r="D71" s="5" t="s">
        <v>18</v>
      </c>
      <c r="G71" s="1" t="str">
        <f t="shared" si="6"/>
        <v>USD04</v>
      </c>
      <c r="H71" s="4">
        <f t="shared" si="7"/>
        <v>7.0000000000000007E-2</v>
      </c>
    </row>
    <row r="72" spans="4:8">
      <c r="D72" s="5" t="s">
        <v>18</v>
      </c>
      <c r="G72" s="1" t="str">
        <f t="shared" si="6"/>
        <v>USD05</v>
      </c>
      <c r="H72" s="4">
        <f t="shared" si="7"/>
        <v>7.0000000000000007E-2</v>
      </c>
    </row>
    <row r="73" spans="4:8">
      <c r="D73" s="5" t="s">
        <v>18</v>
      </c>
      <c r="G73" s="1" t="str">
        <f t="shared" si="6"/>
        <v>USD06</v>
      </c>
      <c r="H73" s="4">
        <f t="shared" si="7"/>
        <v>7.0000000000000007E-2</v>
      </c>
    </row>
    <row r="74" spans="4:8">
      <c r="D74" s="5" t="s">
        <v>18</v>
      </c>
      <c r="G74" s="1" t="str">
        <f t="shared" si="6"/>
        <v>USD07</v>
      </c>
      <c r="H74" s="4">
        <f t="shared" si="7"/>
        <v>7.0000000000000007E-2</v>
      </c>
    </row>
    <row r="75" spans="4:8">
      <c r="D75" s="5" t="s">
        <v>18</v>
      </c>
      <c r="G75" s="1" t="str">
        <f t="shared" si="6"/>
        <v>USD08</v>
      </c>
      <c r="H75" s="4">
        <f t="shared" si="7"/>
        <v>7.0000000000000007E-2</v>
      </c>
    </row>
    <row r="76" spans="4:8">
      <c r="D76" s="5" t="s">
        <v>18</v>
      </c>
      <c r="G76" s="1" t="str">
        <f t="shared" si="6"/>
        <v>USD09</v>
      </c>
      <c r="H76" s="4">
        <f t="shared" si="7"/>
        <v>7.0000000000000007E-2</v>
      </c>
    </row>
    <row r="77" spans="4:8">
      <c r="D77" s="5" t="s">
        <v>18</v>
      </c>
      <c r="G77" s="1" t="str">
        <f t="shared" si="6"/>
        <v>USD10</v>
      </c>
      <c r="H77" s="4">
        <f t="shared" si="7"/>
        <v>7.0000000000000007E-2</v>
      </c>
    </row>
    <row r="78" spans="4:8">
      <c r="D78" s="5" t="s">
        <v>18</v>
      </c>
      <c r="G78" s="1" t="str">
        <f t="shared" si="6"/>
        <v>USD11</v>
      </c>
      <c r="H78" s="4">
        <f t="shared" si="7"/>
        <v>7.0000000000000007E-2</v>
      </c>
    </row>
    <row r="79" spans="4:8">
      <c r="D79" s="5" t="s">
        <v>18</v>
      </c>
      <c r="G79" s="1" t="str">
        <f t="shared" si="6"/>
        <v>USD12</v>
      </c>
      <c r="H79" s="4">
        <f t="shared" si="7"/>
        <v>7.0000000000000007E-2</v>
      </c>
    </row>
    <row r="80" spans="4:8">
      <c r="D80" s="5" t="s">
        <v>18</v>
      </c>
      <c r="G80" s="1" t="str">
        <f t="shared" si="6"/>
        <v>USD13</v>
      </c>
      <c r="H80" s="4">
        <f t="shared" si="7"/>
        <v>7.0000000000000007E-2</v>
      </c>
    </row>
    <row r="81" spans="4:8">
      <c r="D81" s="5" t="s">
        <v>18</v>
      </c>
      <c r="G81" s="1" t="str">
        <f t="shared" si="6"/>
        <v>USD14</v>
      </c>
      <c r="H81" s="4">
        <f t="shared" si="7"/>
        <v>7.0000000000000007E-2</v>
      </c>
    </row>
    <row r="82" spans="4:8">
      <c r="D82" s="5" t="s">
        <v>18</v>
      </c>
      <c r="G82" s="1" t="str">
        <f t="shared" si="6"/>
        <v>USD15</v>
      </c>
      <c r="H82" s="4">
        <f t="shared" si="7"/>
        <v>7.0000000000000007E-2</v>
      </c>
    </row>
    <row r="83" spans="4:8">
      <c r="D83" s="5" t="s">
        <v>18</v>
      </c>
      <c r="G83" s="1" t="str">
        <f t="shared" si="6"/>
        <v>USD16</v>
      </c>
      <c r="H83" s="4">
        <f t="shared" si="7"/>
        <v>7.0000000000000007E-2</v>
      </c>
    </row>
    <row r="84" spans="4:8">
      <c r="D84" s="5" t="s">
        <v>18</v>
      </c>
      <c r="G84" s="1" t="str">
        <f t="shared" si="6"/>
        <v>USD17</v>
      </c>
      <c r="H84" s="4">
        <f t="shared" si="7"/>
        <v>7.0000000000000007E-2</v>
      </c>
    </row>
    <row r="85" spans="4:8">
      <c r="D85" s="5" t="s">
        <v>18</v>
      </c>
      <c r="G85" s="1" t="str">
        <f t="shared" si="6"/>
        <v>USD18</v>
      </c>
      <c r="H85" s="4">
        <f t="shared" si="7"/>
        <v>7.0000000000000007E-2</v>
      </c>
    </row>
    <row r="86" spans="4:8">
      <c r="D86" s="5" t="s">
        <v>18</v>
      </c>
      <c r="G86" s="1" t="str">
        <f t="shared" ref="G86:G92" si="8">G43</f>
        <v>USD19</v>
      </c>
      <c r="H86" s="4">
        <f t="shared" si="7"/>
        <v>7.0000000000000007E-2</v>
      </c>
    </row>
    <row r="87" spans="4:8">
      <c r="D87" s="5" t="s">
        <v>18</v>
      </c>
      <c r="G87" s="1" t="str">
        <f t="shared" si="8"/>
        <v>USD20</v>
      </c>
      <c r="H87" s="4">
        <f t="shared" si="7"/>
        <v>7.0000000000000007E-2</v>
      </c>
    </row>
    <row r="88" spans="4:8">
      <c r="D88" s="5" t="s">
        <v>18</v>
      </c>
      <c r="G88" s="1" t="str">
        <f t="shared" si="8"/>
        <v>USD21</v>
      </c>
      <c r="H88" s="4">
        <f t="shared" si="7"/>
        <v>7.0000000000000007E-2</v>
      </c>
    </row>
    <row r="89" spans="4:8">
      <c r="D89" s="5" t="s">
        <v>18</v>
      </c>
      <c r="G89" s="1" t="str">
        <f t="shared" si="8"/>
        <v>USD22</v>
      </c>
      <c r="H89" s="4">
        <f t="shared" si="7"/>
        <v>7.0000000000000007E-2</v>
      </c>
    </row>
    <row r="90" spans="4:8">
      <c r="D90" s="5" t="s">
        <v>18</v>
      </c>
      <c r="G90" s="1" t="str">
        <f t="shared" si="8"/>
        <v>USD23</v>
      </c>
      <c r="H90" s="4">
        <f t="shared" si="7"/>
        <v>7.0000000000000007E-2</v>
      </c>
    </row>
    <row r="91" spans="4:8">
      <c r="D91" s="5" t="s">
        <v>18</v>
      </c>
      <c r="G91" s="1" t="str">
        <f t="shared" si="8"/>
        <v>USD24</v>
      </c>
      <c r="H91" s="4">
        <f t="shared" si="7"/>
        <v>7.0000000000000007E-2</v>
      </c>
    </row>
    <row r="92" spans="4:8">
      <c r="D92" s="5" t="s">
        <v>18</v>
      </c>
      <c r="G92" s="1" t="str">
        <f t="shared" si="8"/>
        <v>USD25</v>
      </c>
      <c r="H92" s="4">
        <f t="shared" si="7"/>
        <v>7.0000000000000007E-2</v>
      </c>
    </row>
  </sheetData>
  <phoneticPr fontId="15" type="noConversion"/>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15"/>
  <sheetViews>
    <sheetView workbookViewId="0"/>
  </sheetViews>
  <sheetFormatPr defaultColWidth="8.88671875" defaultRowHeight="14.4"/>
  <cols>
    <col min="1" max="1" width="8.88671875" customWidth="1"/>
    <col min="2" max="2" width="10.44140625" bestFit="1" customWidth="1"/>
    <col min="3" max="3" width="20.88671875" bestFit="1" customWidth="1"/>
    <col min="4" max="4" width="10.44140625" bestFit="1" customWidth="1"/>
    <col min="5" max="7" width="8.88671875" customWidth="1"/>
    <col min="8" max="8" width="5.44140625" bestFit="1" customWidth="1"/>
    <col min="9" max="9" width="5.6640625" bestFit="1" customWidth="1"/>
    <col min="10" max="10" width="5" bestFit="1" customWidth="1"/>
    <col min="11" max="11" width="8.88671875" customWidth="1"/>
    <col min="12" max="12" width="6.33203125" bestFit="1" customWidth="1"/>
    <col min="13" max="13" width="4.33203125" bestFit="1" customWidth="1"/>
  </cols>
  <sheetData>
    <row r="2" spans="2:13">
      <c r="B2" t="s">
        <v>5</v>
      </c>
    </row>
    <row r="3" spans="2:13">
      <c r="B3" t="s">
        <v>1</v>
      </c>
      <c r="C3" t="s">
        <v>6</v>
      </c>
      <c r="D3" t="s">
        <v>4</v>
      </c>
      <c r="L3" t="s">
        <v>7</v>
      </c>
      <c r="M3" t="s">
        <v>8</v>
      </c>
    </row>
    <row r="4" spans="2:13">
      <c r="B4" t="s">
        <v>9</v>
      </c>
      <c r="C4" t="str">
        <f>"E[_]WON*"&amp;I4&amp;"*"</f>
        <v>E[_]WON*Far*</v>
      </c>
      <c r="D4" t="str">
        <f>"*"&amp;J4</f>
        <v>*1.75</v>
      </c>
      <c r="H4" t="s">
        <v>10</v>
      </c>
      <c r="I4" t="s">
        <v>11</v>
      </c>
      <c r="J4">
        <v>1.75</v>
      </c>
    </row>
    <row r="5" spans="2:13">
      <c r="B5" t="s">
        <v>9</v>
      </c>
      <c r="C5" t="str">
        <f>"E[_]WON*"&amp;I5&amp;"*"</f>
        <v>E[_]WON*Trans*</v>
      </c>
      <c r="D5" t="str">
        <f t="shared" ref="D5:D15" si="0">"*"&amp;J5</f>
        <v>*1.5</v>
      </c>
      <c r="H5" t="s">
        <v>10</v>
      </c>
      <c r="I5" t="s">
        <v>12</v>
      </c>
      <c r="J5">
        <v>1.5</v>
      </c>
    </row>
    <row r="6" spans="2:13">
      <c r="B6" t="s">
        <v>9</v>
      </c>
      <c r="C6" t="str">
        <f>"E[_]WON*"&amp;I6&amp;"*"</f>
        <v>E[_]WON*Near*</v>
      </c>
      <c r="D6" t="str">
        <f t="shared" si="0"/>
        <v>*1</v>
      </c>
      <c r="H6" t="s">
        <v>10</v>
      </c>
      <c r="I6" t="s">
        <v>13</v>
      </c>
      <c r="J6">
        <v>1</v>
      </c>
    </row>
    <row r="7" spans="2:13">
      <c r="B7" t="s">
        <v>9</v>
      </c>
      <c r="C7" t="str">
        <f t="shared" ref="C7:C15" si="1">"E[_]WOF*"&amp;H7&amp;"*"&amp;I7&amp;"*"</f>
        <v>E[_]WOF*deep*Far*</v>
      </c>
      <c r="D7" t="str">
        <f t="shared" si="0"/>
        <v>*1.8</v>
      </c>
      <c r="H7" t="s">
        <v>14</v>
      </c>
      <c r="I7" t="s">
        <v>11</v>
      </c>
      <c r="J7">
        <f>L7*M7</f>
        <v>1.7999999999999998</v>
      </c>
      <c r="L7">
        <v>1.5</v>
      </c>
      <c r="M7">
        <v>1.2</v>
      </c>
    </row>
    <row r="8" spans="2:13">
      <c r="B8" t="s">
        <v>9</v>
      </c>
      <c r="C8" t="str">
        <f t="shared" si="1"/>
        <v>E[_]WOF*deep*Inter*</v>
      </c>
      <c r="D8" t="str">
        <f t="shared" si="0"/>
        <v>*1.5</v>
      </c>
      <c r="H8" t="s">
        <v>14</v>
      </c>
      <c r="I8" t="s">
        <v>15</v>
      </c>
      <c r="J8">
        <f t="shared" ref="J8:J15" si="2">L8*M8</f>
        <v>1.5</v>
      </c>
      <c r="L8">
        <v>1.5</v>
      </c>
      <c r="M8">
        <v>1</v>
      </c>
    </row>
    <row r="9" spans="2:13">
      <c r="B9" t="s">
        <v>9</v>
      </c>
      <c r="C9" t="str">
        <f t="shared" si="1"/>
        <v>E[_]WOF*deep*Near*</v>
      </c>
      <c r="D9" t="str">
        <f t="shared" si="0"/>
        <v>*1.35</v>
      </c>
      <c r="H9" t="s">
        <v>14</v>
      </c>
      <c r="I9" t="s">
        <v>13</v>
      </c>
      <c r="J9">
        <f t="shared" si="2"/>
        <v>1.35</v>
      </c>
      <c r="L9">
        <v>1.5</v>
      </c>
      <c r="M9">
        <v>0.9</v>
      </c>
    </row>
    <row r="10" spans="2:13">
      <c r="B10" t="s">
        <v>9</v>
      </c>
      <c r="C10" t="str">
        <f t="shared" si="1"/>
        <v>E[_]WOF*shal*Far*</v>
      </c>
      <c r="D10" t="str">
        <f t="shared" si="0"/>
        <v>*1.2</v>
      </c>
      <c r="H10" t="s">
        <v>16</v>
      </c>
      <c r="I10" t="s">
        <v>11</v>
      </c>
      <c r="J10">
        <f t="shared" si="2"/>
        <v>1.2</v>
      </c>
      <c r="L10">
        <v>1</v>
      </c>
      <c r="M10">
        <v>1.2</v>
      </c>
    </row>
    <row r="11" spans="2:13">
      <c r="B11" t="s">
        <v>9</v>
      </c>
      <c r="C11" t="str">
        <f t="shared" si="1"/>
        <v>E[_]WOF*shal*Inter*</v>
      </c>
      <c r="D11" t="str">
        <f t="shared" si="0"/>
        <v>*1</v>
      </c>
      <c r="H11" t="s">
        <v>16</v>
      </c>
      <c r="I11" t="s">
        <v>15</v>
      </c>
      <c r="J11">
        <f t="shared" si="2"/>
        <v>1</v>
      </c>
      <c r="L11">
        <v>1</v>
      </c>
      <c r="M11">
        <v>1</v>
      </c>
    </row>
    <row r="12" spans="2:13">
      <c r="B12" t="s">
        <v>9</v>
      </c>
      <c r="C12" t="str">
        <f t="shared" si="1"/>
        <v>E[_]WOF*shal*Near*</v>
      </c>
      <c r="D12" t="str">
        <f t="shared" si="0"/>
        <v>*0.9</v>
      </c>
      <c r="H12" t="s">
        <v>16</v>
      </c>
      <c r="I12" t="s">
        <v>13</v>
      </c>
      <c r="J12">
        <f t="shared" si="2"/>
        <v>0.9</v>
      </c>
      <c r="L12">
        <v>1</v>
      </c>
      <c r="M12">
        <v>0.9</v>
      </c>
    </row>
    <row r="13" spans="2:13">
      <c r="B13" t="s">
        <v>9</v>
      </c>
      <c r="C13" t="str">
        <f t="shared" si="1"/>
        <v>E[_]WOF*tran*Far*</v>
      </c>
      <c r="D13" t="str">
        <f t="shared" si="0"/>
        <v>*1.32</v>
      </c>
      <c r="H13" t="s">
        <v>17</v>
      </c>
      <c r="I13" t="s">
        <v>11</v>
      </c>
      <c r="J13">
        <f t="shared" si="2"/>
        <v>1.32</v>
      </c>
      <c r="L13">
        <v>1.1000000000000001</v>
      </c>
      <c r="M13">
        <v>1.2</v>
      </c>
    </row>
    <row r="14" spans="2:13">
      <c r="B14" t="s">
        <v>9</v>
      </c>
      <c r="C14" t="str">
        <f t="shared" si="1"/>
        <v>E[_]WOF*tran*Inter*</v>
      </c>
      <c r="D14" t="str">
        <f t="shared" si="0"/>
        <v>*1.1</v>
      </c>
      <c r="H14" t="s">
        <v>17</v>
      </c>
      <c r="I14" t="s">
        <v>15</v>
      </c>
      <c r="J14">
        <f t="shared" si="2"/>
        <v>1.1000000000000001</v>
      </c>
      <c r="L14">
        <v>1.1000000000000001</v>
      </c>
      <c r="M14">
        <v>1</v>
      </c>
    </row>
    <row r="15" spans="2:13">
      <c r="B15" t="s">
        <v>9</v>
      </c>
      <c r="C15" t="str">
        <f t="shared" si="1"/>
        <v>E[_]WOF*tran*Near*</v>
      </c>
      <c r="D15" t="str">
        <f t="shared" si="0"/>
        <v>*0.99</v>
      </c>
      <c r="H15" t="s">
        <v>17</v>
      </c>
      <c r="I15" t="s">
        <v>13</v>
      </c>
      <c r="J15">
        <f t="shared" si="2"/>
        <v>0.9900000000000001</v>
      </c>
      <c r="L15">
        <v>1.1000000000000001</v>
      </c>
      <c r="M15">
        <v>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B1:AV616"/>
  <sheetViews>
    <sheetView topLeftCell="AL1" workbookViewId="0">
      <selection activeCell="AT17" sqref="AT17:AT208"/>
    </sheetView>
  </sheetViews>
  <sheetFormatPr defaultColWidth="8.88671875" defaultRowHeight="14.4"/>
  <cols>
    <col min="1" max="16" width="8.88671875" customWidth="1"/>
    <col min="17" max="17" width="10.44140625" bestFit="1" customWidth="1"/>
    <col min="18" max="18" width="9.44140625" bestFit="1" customWidth="1"/>
    <col min="19" max="19" width="12" bestFit="1" customWidth="1"/>
  </cols>
  <sheetData>
    <row r="1" spans="2:48">
      <c r="B1" t="s">
        <v>27</v>
      </c>
      <c r="H1" t="s">
        <v>28</v>
      </c>
      <c r="P1" t="s">
        <v>29</v>
      </c>
      <c r="U1" t="s">
        <v>65</v>
      </c>
      <c r="AB1" t="s">
        <v>92</v>
      </c>
      <c r="AK1" t="s">
        <v>176</v>
      </c>
      <c r="AS1" s="18" t="s">
        <v>177</v>
      </c>
    </row>
    <row r="3" spans="2:48">
      <c r="B3" t="s">
        <v>26</v>
      </c>
      <c r="H3" t="s">
        <v>32</v>
      </c>
      <c r="P3" t="s">
        <v>30</v>
      </c>
      <c r="U3" t="s">
        <v>34</v>
      </c>
      <c r="AB3" t="s">
        <v>32</v>
      </c>
      <c r="AK3" s="18" t="s">
        <v>34</v>
      </c>
      <c r="AS3" s="18" t="s">
        <v>30</v>
      </c>
    </row>
    <row r="4" spans="2:48">
      <c r="B4" t="s">
        <v>1</v>
      </c>
      <c r="C4" t="s">
        <v>3</v>
      </c>
      <c r="D4" t="s">
        <v>4</v>
      </c>
      <c r="H4" t="s">
        <v>1</v>
      </c>
      <c r="I4" t="s">
        <v>55</v>
      </c>
      <c r="J4" t="s">
        <v>131</v>
      </c>
      <c r="K4">
        <v>2015</v>
      </c>
      <c r="L4">
        <v>2030</v>
      </c>
      <c r="M4">
        <v>2050</v>
      </c>
      <c r="N4">
        <v>2100</v>
      </c>
      <c r="P4" t="s">
        <v>131</v>
      </c>
      <c r="Q4" t="s">
        <v>55</v>
      </c>
      <c r="R4" t="s">
        <v>3</v>
      </c>
      <c r="S4" t="s">
        <v>149</v>
      </c>
      <c r="U4" t="s">
        <v>1</v>
      </c>
      <c r="V4" t="s">
        <v>131</v>
      </c>
      <c r="W4" t="s">
        <v>3</v>
      </c>
      <c r="X4" t="s">
        <v>55</v>
      </c>
      <c r="Y4">
        <v>2010</v>
      </c>
      <c r="AB4" t="s">
        <v>1</v>
      </c>
      <c r="AC4" t="s">
        <v>131</v>
      </c>
      <c r="AD4" t="s">
        <v>3</v>
      </c>
      <c r="AE4">
        <v>2015</v>
      </c>
      <c r="AF4" t="s">
        <v>55</v>
      </c>
      <c r="AK4" s="18" t="s">
        <v>1</v>
      </c>
      <c r="AL4" s="18" t="s">
        <v>131</v>
      </c>
      <c r="AM4" s="18" t="s">
        <v>3</v>
      </c>
      <c r="AN4" s="18" t="s">
        <v>55</v>
      </c>
      <c r="AO4" s="18">
        <v>2010</v>
      </c>
      <c r="AS4" s="18" t="s">
        <v>131</v>
      </c>
      <c r="AT4" s="18" t="s">
        <v>55</v>
      </c>
      <c r="AU4" s="18" t="s">
        <v>3</v>
      </c>
      <c r="AV4" s="18" t="s">
        <v>149</v>
      </c>
    </row>
    <row r="5" spans="2:48" hidden="1">
      <c r="B5" t="s">
        <v>162</v>
      </c>
      <c r="C5" t="s">
        <v>150</v>
      </c>
      <c r="D5">
        <v>0.13504566210045663</v>
      </c>
      <c r="H5" t="s">
        <v>148</v>
      </c>
      <c r="I5" t="s">
        <v>21</v>
      </c>
      <c r="J5" t="s">
        <v>113</v>
      </c>
      <c r="K5">
        <v>0.89300000000000002</v>
      </c>
      <c r="P5" t="s">
        <v>113</v>
      </c>
      <c r="Q5" t="s">
        <v>141</v>
      </c>
      <c r="R5" t="s">
        <v>150</v>
      </c>
      <c r="S5">
        <v>0.13734141603975306</v>
      </c>
      <c r="U5" t="s">
        <v>149</v>
      </c>
      <c r="V5" t="s">
        <v>113</v>
      </c>
      <c r="W5" t="s">
        <v>150</v>
      </c>
      <c r="X5" t="s">
        <v>144</v>
      </c>
      <c r="Y5">
        <v>5.9589061680379897E-2</v>
      </c>
      <c r="AB5" t="s">
        <v>149</v>
      </c>
      <c r="AC5" t="s">
        <v>113</v>
      </c>
      <c r="AD5" t="s">
        <v>132</v>
      </c>
      <c r="AE5">
        <v>0.11411411411411412</v>
      </c>
      <c r="AF5" t="s">
        <v>163</v>
      </c>
      <c r="AK5" s="18" t="s">
        <v>149</v>
      </c>
      <c r="AL5" s="18" t="s">
        <v>113</v>
      </c>
      <c r="AM5" s="18" t="s">
        <v>150</v>
      </c>
      <c r="AN5" s="18" t="s">
        <v>175</v>
      </c>
      <c r="AO5" s="18">
        <v>5.9589061680379897E-2</v>
      </c>
      <c r="AS5" s="18" t="s">
        <v>113</v>
      </c>
      <c r="AT5" s="18" t="s">
        <v>142</v>
      </c>
      <c r="AU5" s="18" t="s">
        <v>150</v>
      </c>
      <c r="AV5" s="18">
        <v>0.13546586619795278</v>
      </c>
    </row>
    <row r="6" spans="2:48" hidden="1">
      <c r="B6" t="s">
        <v>162</v>
      </c>
      <c r="C6" t="s">
        <v>151</v>
      </c>
      <c r="D6">
        <v>9.3493150684931511E-2</v>
      </c>
      <c r="H6" t="s">
        <v>148</v>
      </c>
      <c r="I6" t="s">
        <v>21</v>
      </c>
      <c r="J6" t="s">
        <v>114</v>
      </c>
      <c r="K6">
        <v>0.89790000000000003</v>
      </c>
      <c r="P6" t="s">
        <v>113</v>
      </c>
      <c r="Q6" t="s">
        <v>141</v>
      </c>
      <c r="R6" t="s">
        <v>151</v>
      </c>
      <c r="S6">
        <v>7.2759384469206517E-2</v>
      </c>
      <c r="U6" t="s">
        <v>149</v>
      </c>
      <c r="V6" t="s">
        <v>114</v>
      </c>
      <c r="W6" t="s">
        <v>150</v>
      </c>
      <c r="X6" t="s">
        <v>144</v>
      </c>
      <c r="Y6">
        <v>5.9589061680379897E-2</v>
      </c>
      <c r="AB6" t="s">
        <v>149</v>
      </c>
      <c r="AC6" t="s">
        <v>113</v>
      </c>
      <c r="AD6" t="s">
        <v>136</v>
      </c>
      <c r="AE6">
        <v>0.21471471471471473</v>
      </c>
      <c r="AF6" t="s">
        <v>163</v>
      </c>
      <c r="AK6" s="18" t="s">
        <v>149</v>
      </c>
      <c r="AL6" s="18" t="s">
        <v>114</v>
      </c>
      <c r="AM6" s="18" t="s">
        <v>150</v>
      </c>
      <c r="AN6" s="18" t="s">
        <v>175</v>
      </c>
      <c r="AO6" s="18">
        <v>5.9589061680379897E-2</v>
      </c>
      <c r="AS6" s="18" t="s">
        <v>113</v>
      </c>
      <c r="AT6" s="18" t="s">
        <v>142</v>
      </c>
      <c r="AU6" s="18" t="s">
        <v>151</v>
      </c>
      <c r="AV6" s="18">
        <v>9.0938952338799978E-2</v>
      </c>
    </row>
    <row r="7" spans="2:48" hidden="1">
      <c r="B7" t="s">
        <v>162</v>
      </c>
      <c r="C7" t="s">
        <v>152</v>
      </c>
      <c r="D7">
        <v>2.0776255707762557E-2</v>
      </c>
      <c r="H7" t="s">
        <v>148</v>
      </c>
      <c r="I7" t="s">
        <v>21</v>
      </c>
      <c r="J7" t="s">
        <v>115</v>
      </c>
      <c r="K7">
        <v>0.93969999999999998</v>
      </c>
      <c r="P7" t="s">
        <v>113</v>
      </c>
      <c r="Q7" t="s">
        <v>141</v>
      </c>
      <c r="R7" t="s">
        <v>152</v>
      </c>
      <c r="S7">
        <v>2.2771465459668933E-2</v>
      </c>
      <c r="U7" t="s">
        <v>149</v>
      </c>
      <c r="V7" t="s">
        <v>115</v>
      </c>
      <c r="W7" t="s">
        <v>150</v>
      </c>
      <c r="X7" t="s">
        <v>144</v>
      </c>
      <c r="Y7">
        <v>5.9589061680379897E-2</v>
      </c>
      <c r="AB7" t="s">
        <v>149</v>
      </c>
      <c r="AC7" t="s">
        <v>113</v>
      </c>
      <c r="AD7" t="s">
        <v>137</v>
      </c>
      <c r="AE7">
        <v>0.65165165165165151</v>
      </c>
      <c r="AF7" t="s">
        <v>163</v>
      </c>
      <c r="AK7" s="18" t="s">
        <v>149</v>
      </c>
      <c r="AL7" s="18" t="s">
        <v>115</v>
      </c>
      <c r="AM7" s="18" t="s">
        <v>150</v>
      </c>
      <c r="AN7" s="18" t="s">
        <v>175</v>
      </c>
      <c r="AO7" s="18">
        <v>5.9589061680379897E-2</v>
      </c>
      <c r="AS7" s="18" t="s">
        <v>113</v>
      </c>
      <c r="AT7" s="18" t="s">
        <v>142</v>
      </c>
      <c r="AU7" s="18" t="s">
        <v>152</v>
      </c>
      <c r="AV7" s="18">
        <v>2.110321124225108E-2</v>
      </c>
    </row>
    <row r="8" spans="2:48" hidden="1">
      <c r="B8" t="s">
        <v>162</v>
      </c>
      <c r="C8" t="s">
        <v>153</v>
      </c>
      <c r="D8">
        <v>0.13652968036529681</v>
      </c>
      <c r="H8" t="s">
        <v>148</v>
      </c>
      <c r="I8" t="s">
        <v>21</v>
      </c>
      <c r="J8" t="s">
        <v>116</v>
      </c>
      <c r="K8">
        <v>0.93</v>
      </c>
      <c r="P8" t="s">
        <v>113</v>
      </c>
      <c r="Q8" t="s">
        <v>141</v>
      </c>
      <c r="R8" t="s">
        <v>153</v>
      </c>
      <c r="S8">
        <v>0.1295415849959593</v>
      </c>
      <c r="U8" t="s">
        <v>149</v>
      </c>
      <c r="V8" t="s">
        <v>116</v>
      </c>
      <c r="W8" t="s">
        <v>150</v>
      </c>
      <c r="X8" t="s">
        <v>144</v>
      </c>
      <c r="Y8">
        <v>5.9589061680379897E-2</v>
      </c>
      <c r="AB8" t="s">
        <v>149</v>
      </c>
      <c r="AC8" t="s">
        <v>113</v>
      </c>
      <c r="AD8" t="s">
        <v>138</v>
      </c>
      <c r="AE8">
        <v>1.951951951951952E-2</v>
      </c>
      <c r="AF8" t="s">
        <v>163</v>
      </c>
      <c r="AK8" s="18" t="s">
        <v>149</v>
      </c>
      <c r="AL8" s="18" t="s">
        <v>116</v>
      </c>
      <c r="AM8" s="18" t="s">
        <v>150</v>
      </c>
      <c r="AN8" s="18" t="s">
        <v>175</v>
      </c>
      <c r="AO8" s="18">
        <v>5.9589061680379897E-2</v>
      </c>
      <c r="AS8" s="18" t="s">
        <v>113</v>
      </c>
      <c r="AT8" s="18" t="s">
        <v>142</v>
      </c>
      <c r="AU8" s="18" t="s">
        <v>153</v>
      </c>
      <c r="AV8" s="18">
        <v>0.1343934714351418</v>
      </c>
    </row>
    <row r="9" spans="2:48" hidden="1">
      <c r="B9" t="s">
        <v>162</v>
      </c>
      <c r="C9" t="s">
        <v>154</v>
      </c>
      <c r="D9">
        <v>9.452054794520548E-2</v>
      </c>
      <c r="H9" t="s">
        <v>148</v>
      </c>
      <c r="I9" t="s">
        <v>21</v>
      </c>
      <c r="J9" t="s">
        <v>117</v>
      </c>
      <c r="K9">
        <v>0.91539999999999999</v>
      </c>
      <c r="P9" t="s">
        <v>113</v>
      </c>
      <c r="Q9" t="s">
        <v>141</v>
      </c>
      <c r="R9" t="s">
        <v>154</v>
      </c>
      <c r="S9">
        <v>6.9632208434971171E-2</v>
      </c>
      <c r="U9" t="s">
        <v>149</v>
      </c>
      <c r="V9" t="s">
        <v>117</v>
      </c>
      <c r="W9" t="s">
        <v>150</v>
      </c>
      <c r="X9" t="s">
        <v>144</v>
      </c>
      <c r="Y9">
        <v>5.9589061680379897E-2</v>
      </c>
      <c r="AB9" t="s">
        <v>149</v>
      </c>
      <c r="AC9" t="s">
        <v>114</v>
      </c>
      <c r="AD9" t="s">
        <v>132</v>
      </c>
      <c r="AE9">
        <v>0.11684835856264424</v>
      </c>
      <c r="AF9" t="s">
        <v>163</v>
      </c>
      <c r="AK9" s="18" t="s">
        <v>149</v>
      </c>
      <c r="AL9" s="18" t="s">
        <v>117</v>
      </c>
      <c r="AM9" s="18" t="s">
        <v>150</v>
      </c>
      <c r="AN9" s="18" t="s">
        <v>175</v>
      </c>
      <c r="AO9" s="18">
        <v>5.9589061680379897E-2</v>
      </c>
      <c r="AS9" s="18" t="s">
        <v>113</v>
      </c>
      <c r="AT9" s="18" t="s">
        <v>142</v>
      </c>
      <c r="AU9" s="18" t="s">
        <v>154</v>
      </c>
      <c r="AV9" s="18">
        <v>9.0481266886833084E-2</v>
      </c>
    </row>
    <row r="10" spans="2:48" hidden="1">
      <c r="B10" t="s">
        <v>162</v>
      </c>
      <c r="C10" t="s">
        <v>155</v>
      </c>
      <c r="D10">
        <v>2.1004566210045664E-2</v>
      </c>
      <c r="H10" t="s">
        <v>148</v>
      </c>
      <c r="I10" t="s">
        <v>21</v>
      </c>
      <c r="J10" t="s">
        <v>118</v>
      </c>
      <c r="K10">
        <v>0.94</v>
      </c>
      <c r="P10" t="s">
        <v>113</v>
      </c>
      <c r="Q10" t="s">
        <v>141</v>
      </c>
      <c r="R10" t="s">
        <v>155</v>
      </c>
      <c r="S10">
        <v>2.0591140894576417E-2</v>
      </c>
      <c r="U10" t="s">
        <v>149</v>
      </c>
      <c r="V10" t="s">
        <v>118</v>
      </c>
      <c r="W10" t="s">
        <v>150</v>
      </c>
      <c r="X10" t="s">
        <v>144</v>
      </c>
      <c r="Y10">
        <v>5.9589061680379897E-2</v>
      </c>
      <c r="AB10" t="s">
        <v>149</v>
      </c>
      <c r="AC10" t="s">
        <v>114</v>
      </c>
      <c r="AD10" t="s">
        <v>136</v>
      </c>
      <c r="AE10">
        <v>0.21470903556617832</v>
      </c>
      <c r="AF10" t="s">
        <v>163</v>
      </c>
      <c r="AK10" s="18" t="s">
        <v>149</v>
      </c>
      <c r="AL10" s="18" t="s">
        <v>118</v>
      </c>
      <c r="AM10" s="18" t="s">
        <v>150</v>
      </c>
      <c r="AN10" s="18" t="s">
        <v>175</v>
      </c>
      <c r="AO10" s="18">
        <v>5.9589061680379897E-2</v>
      </c>
      <c r="AS10" s="18" t="s">
        <v>113</v>
      </c>
      <c r="AT10" s="18" t="s">
        <v>142</v>
      </c>
      <c r="AU10" s="18" t="s">
        <v>155</v>
      </c>
      <c r="AV10" s="18">
        <v>2.0807388684464953E-2</v>
      </c>
    </row>
    <row r="11" spans="2:48" hidden="1">
      <c r="B11" t="s">
        <v>162</v>
      </c>
      <c r="C11" t="s">
        <v>156</v>
      </c>
      <c r="D11">
        <v>0.13652968036529681</v>
      </c>
      <c r="H11" t="s">
        <v>148</v>
      </c>
      <c r="I11" t="s">
        <v>21</v>
      </c>
      <c r="J11" t="s">
        <v>119</v>
      </c>
      <c r="K11">
        <v>0.86170000000000002</v>
      </c>
      <c r="P11" t="s">
        <v>113</v>
      </c>
      <c r="Q11" t="s">
        <v>141</v>
      </c>
      <c r="R11" t="s">
        <v>156</v>
      </c>
      <c r="S11">
        <v>0.18301816616784045</v>
      </c>
      <c r="U11" t="s">
        <v>149</v>
      </c>
      <c r="V11" t="s">
        <v>119</v>
      </c>
      <c r="W11" t="s">
        <v>150</v>
      </c>
      <c r="X11" t="s">
        <v>144</v>
      </c>
      <c r="Y11">
        <v>5.9589061680379897E-2</v>
      </c>
      <c r="AB11" t="s">
        <v>149</v>
      </c>
      <c r="AC11" t="s">
        <v>114</v>
      </c>
      <c r="AD11" t="s">
        <v>137</v>
      </c>
      <c r="AE11">
        <v>0.63615427672570535</v>
      </c>
      <c r="AF11" t="s">
        <v>163</v>
      </c>
      <c r="AK11" s="18" t="s">
        <v>149</v>
      </c>
      <c r="AL11" s="18" t="s">
        <v>119</v>
      </c>
      <c r="AM11" s="18" t="s">
        <v>150</v>
      </c>
      <c r="AN11" s="18" t="s">
        <v>175</v>
      </c>
      <c r="AO11" s="18">
        <v>5.9589061680379897E-2</v>
      </c>
      <c r="AS11" s="18" t="s">
        <v>113</v>
      </c>
      <c r="AT11" s="18" t="s">
        <v>142</v>
      </c>
      <c r="AU11" s="18" t="s">
        <v>156</v>
      </c>
      <c r="AV11" s="18">
        <v>0.14163641011828992</v>
      </c>
    </row>
    <row r="12" spans="2:48" hidden="1">
      <c r="B12" t="s">
        <v>162</v>
      </c>
      <c r="C12" t="s">
        <v>157</v>
      </c>
      <c r="D12">
        <v>9.452054794520548E-2</v>
      </c>
      <c r="H12" t="s">
        <v>148</v>
      </c>
      <c r="I12" t="s">
        <v>21</v>
      </c>
      <c r="J12" t="s">
        <v>120</v>
      </c>
      <c r="K12">
        <v>0.93340000000000001</v>
      </c>
      <c r="P12" t="s">
        <v>113</v>
      </c>
      <c r="Q12" t="s">
        <v>141</v>
      </c>
      <c r="R12" t="s">
        <v>157</v>
      </c>
      <c r="S12">
        <v>9.1967203340206805E-2</v>
      </c>
      <c r="U12" t="s">
        <v>149</v>
      </c>
      <c r="V12" t="s">
        <v>120</v>
      </c>
      <c r="W12" t="s">
        <v>150</v>
      </c>
      <c r="X12" t="s">
        <v>144</v>
      </c>
      <c r="Y12">
        <v>5.9589061680379897E-2</v>
      </c>
      <c r="AB12" t="s">
        <v>149</v>
      </c>
      <c r="AC12" t="s">
        <v>114</v>
      </c>
      <c r="AD12" t="s">
        <v>138</v>
      </c>
      <c r="AE12">
        <v>3.2288329145472007E-2</v>
      </c>
      <c r="AF12" t="s">
        <v>163</v>
      </c>
      <c r="AK12" s="18" t="s">
        <v>149</v>
      </c>
      <c r="AL12" s="18" t="s">
        <v>120</v>
      </c>
      <c r="AM12" s="18" t="s">
        <v>150</v>
      </c>
      <c r="AN12" s="18" t="s">
        <v>175</v>
      </c>
      <c r="AO12" s="18">
        <v>5.9589061680379897E-2</v>
      </c>
      <c r="AS12" s="18" t="s">
        <v>113</v>
      </c>
      <c r="AT12" s="18" t="s">
        <v>142</v>
      </c>
      <c r="AU12" s="18" t="s">
        <v>157</v>
      </c>
      <c r="AV12" s="18">
        <v>9.3751607750426375E-2</v>
      </c>
    </row>
    <row r="13" spans="2:48" hidden="1">
      <c r="B13" t="s">
        <v>162</v>
      </c>
      <c r="C13" t="s">
        <v>158</v>
      </c>
      <c r="D13">
        <v>2.1004566210045664E-2</v>
      </c>
      <c r="H13" t="s">
        <v>148</v>
      </c>
      <c r="I13" t="s">
        <v>21</v>
      </c>
      <c r="J13" t="s">
        <v>121</v>
      </c>
      <c r="K13">
        <v>0.79620000000000002</v>
      </c>
      <c r="P13" t="s">
        <v>113</v>
      </c>
      <c r="Q13" t="s">
        <v>141</v>
      </c>
      <c r="R13" t="s">
        <v>158</v>
      </c>
      <c r="S13">
        <v>2.8193491525580948E-2</v>
      </c>
      <c r="U13" t="s">
        <v>149</v>
      </c>
      <c r="V13" t="s">
        <v>121</v>
      </c>
      <c r="W13" t="s">
        <v>150</v>
      </c>
      <c r="X13" t="s">
        <v>144</v>
      </c>
      <c r="Y13">
        <v>5.9589061680379897E-2</v>
      </c>
      <c r="AB13" t="s">
        <v>149</v>
      </c>
      <c r="AC13" t="s">
        <v>115</v>
      </c>
      <c r="AD13" t="s">
        <v>132</v>
      </c>
      <c r="AE13">
        <v>0.2059871703492516</v>
      </c>
      <c r="AF13" t="s">
        <v>163</v>
      </c>
      <c r="AK13" s="18" t="s">
        <v>149</v>
      </c>
      <c r="AL13" s="18" t="s">
        <v>121</v>
      </c>
      <c r="AM13" s="18" t="s">
        <v>150</v>
      </c>
      <c r="AN13" s="18" t="s">
        <v>175</v>
      </c>
      <c r="AO13" s="18">
        <v>5.9589061680379897E-2</v>
      </c>
      <c r="AS13" s="18" t="s">
        <v>113</v>
      </c>
      <c r="AT13" s="18" t="s">
        <v>142</v>
      </c>
      <c r="AU13" s="18" t="s">
        <v>158</v>
      </c>
      <c r="AV13" s="18">
        <v>2.1897552858004262E-2</v>
      </c>
    </row>
    <row r="14" spans="2:48" hidden="1">
      <c r="B14" t="s">
        <v>162</v>
      </c>
      <c r="C14" t="s">
        <v>159</v>
      </c>
      <c r="D14">
        <v>0.13356164383561644</v>
      </c>
      <c r="H14" t="s">
        <v>148</v>
      </c>
      <c r="I14" t="s">
        <v>21</v>
      </c>
      <c r="J14" t="s">
        <v>122</v>
      </c>
      <c r="K14">
        <v>0.95389999999999997</v>
      </c>
      <c r="P14" t="s">
        <v>113</v>
      </c>
      <c r="Q14" t="s">
        <v>141</v>
      </c>
      <c r="R14" t="s">
        <v>159</v>
      </c>
      <c r="S14">
        <v>0.1373246531618508</v>
      </c>
      <c r="U14" t="s">
        <v>149</v>
      </c>
      <c r="V14" t="s">
        <v>122</v>
      </c>
      <c r="W14" t="s">
        <v>150</v>
      </c>
      <c r="X14" t="s">
        <v>144</v>
      </c>
      <c r="Y14">
        <v>5.9589061680379897E-2</v>
      </c>
      <c r="AB14" t="s">
        <v>149</v>
      </c>
      <c r="AC14" t="s">
        <v>115</v>
      </c>
      <c r="AD14" t="s">
        <v>136</v>
      </c>
      <c r="AE14">
        <v>0.22665716322166785</v>
      </c>
      <c r="AF14" t="s">
        <v>163</v>
      </c>
      <c r="AK14" s="18" t="s">
        <v>149</v>
      </c>
      <c r="AL14" s="18" t="s">
        <v>122</v>
      </c>
      <c r="AM14" s="18" t="s">
        <v>150</v>
      </c>
      <c r="AN14" s="18" t="s">
        <v>175</v>
      </c>
      <c r="AO14" s="18">
        <v>5.9589061680379897E-2</v>
      </c>
      <c r="AS14" s="18" t="s">
        <v>113</v>
      </c>
      <c r="AT14" s="18" t="s">
        <v>142</v>
      </c>
      <c r="AU14" s="18" t="s">
        <v>159</v>
      </c>
      <c r="AV14" s="18">
        <v>0.13583827377887353</v>
      </c>
    </row>
    <row r="15" spans="2:48" hidden="1">
      <c r="B15" t="s">
        <v>162</v>
      </c>
      <c r="C15" t="s">
        <v>160</v>
      </c>
      <c r="D15">
        <v>9.2465753424657529E-2</v>
      </c>
      <c r="H15" t="s">
        <v>148</v>
      </c>
      <c r="I15" t="s">
        <v>21</v>
      </c>
      <c r="J15" t="s">
        <v>123</v>
      </c>
      <c r="K15">
        <v>0.86140000000000005</v>
      </c>
      <c r="P15" t="s">
        <v>113</v>
      </c>
      <c r="Q15" t="s">
        <v>141</v>
      </c>
      <c r="R15" t="s">
        <v>160</v>
      </c>
      <c r="S15">
        <v>8.2331877432933756E-2</v>
      </c>
      <c r="U15" t="s">
        <v>149</v>
      </c>
      <c r="V15" t="s">
        <v>123</v>
      </c>
      <c r="W15" t="s">
        <v>150</v>
      </c>
      <c r="X15" t="s">
        <v>144</v>
      </c>
      <c r="Y15">
        <v>5.9589061680379897E-2</v>
      </c>
      <c r="AB15" t="s">
        <v>149</v>
      </c>
      <c r="AC15" t="s">
        <v>115</v>
      </c>
      <c r="AD15" t="s">
        <v>137</v>
      </c>
      <c r="AE15">
        <v>0.54739843193157522</v>
      </c>
      <c r="AF15" t="s">
        <v>163</v>
      </c>
      <c r="AK15" s="18" t="s">
        <v>149</v>
      </c>
      <c r="AL15" s="18" t="s">
        <v>123</v>
      </c>
      <c r="AM15" s="18" t="s">
        <v>150</v>
      </c>
      <c r="AN15" s="18" t="s">
        <v>175</v>
      </c>
      <c r="AO15" s="18">
        <v>5.9589061680379897E-2</v>
      </c>
      <c r="AS15" s="18" t="s">
        <v>113</v>
      </c>
      <c r="AT15" s="18" t="s">
        <v>142</v>
      </c>
      <c r="AU15" s="18" t="s">
        <v>160</v>
      </c>
      <c r="AV15" s="18">
        <v>9.2338325970644383E-2</v>
      </c>
    </row>
    <row r="16" spans="2:48" hidden="1">
      <c r="B16" t="s">
        <v>162</v>
      </c>
      <c r="C16" t="s">
        <v>161</v>
      </c>
      <c r="D16">
        <v>2.0547945205479451E-2</v>
      </c>
      <c r="H16" t="s">
        <v>148</v>
      </c>
      <c r="I16" t="s">
        <v>21</v>
      </c>
      <c r="J16" t="s">
        <v>50</v>
      </c>
      <c r="K16">
        <v>0.85680000000000001</v>
      </c>
      <c r="P16" t="s">
        <v>113</v>
      </c>
      <c r="Q16" t="s">
        <v>141</v>
      </c>
      <c r="R16" t="s">
        <v>161</v>
      </c>
      <c r="S16">
        <v>2.4527408077454706E-2</v>
      </c>
      <c r="U16" t="s">
        <v>149</v>
      </c>
      <c r="V16" t="s">
        <v>50</v>
      </c>
      <c r="W16" t="s">
        <v>150</v>
      </c>
      <c r="X16" t="s">
        <v>144</v>
      </c>
      <c r="Y16">
        <v>5.9589061680379897E-2</v>
      </c>
      <c r="AB16" t="s">
        <v>149</v>
      </c>
      <c r="AC16" t="s">
        <v>115</v>
      </c>
      <c r="AD16" t="s">
        <v>138</v>
      </c>
      <c r="AE16">
        <v>1.9957234497505347E-2</v>
      </c>
      <c r="AF16" t="s">
        <v>163</v>
      </c>
      <c r="AK16" s="18" t="s">
        <v>149</v>
      </c>
      <c r="AL16" s="18" t="s">
        <v>50</v>
      </c>
      <c r="AM16" s="18" t="s">
        <v>150</v>
      </c>
      <c r="AN16" s="18" t="s">
        <v>175</v>
      </c>
      <c r="AO16" s="18">
        <v>5.9589061680379897E-2</v>
      </c>
      <c r="AS16" s="18" t="s">
        <v>113</v>
      </c>
      <c r="AT16" s="18" t="s">
        <v>142</v>
      </c>
      <c r="AU16" s="18" t="s">
        <v>161</v>
      </c>
      <c r="AV16" s="18">
        <v>2.1347672738321874E-2</v>
      </c>
    </row>
    <row r="17" spans="8:48">
      <c r="H17" t="s">
        <v>148</v>
      </c>
      <c r="I17" t="s">
        <v>21</v>
      </c>
      <c r="J17" t="s">
        <v>124</v>
      </c>
      <c r="K17">
        <v>0.91679999999999995</v>
      </c>
      <c r="P17" t="s">
        <v>113</v>
      </c>
      <c r="Q17" t="s">
        <v>142</v>
      </c>
      <c r="R17" t="s">
        <v>150</v>
      </c>
      <c r="S17">
        <v>0.13546586619795278</v>
      </c>
      <c r="U17" t="s">
        <v>149</v>
      </c>
      <c r="V17" t="s">
        <v>124</v>
      </c>
      <c r="W17" t="s">
        <v>150</v>
      </c>
      <c r="X17" t="s">
        <v>144</v>
      </c>
      <c r="Y17">
        <v>5.9589061680379897E-2</v>
      </c>
      <c r="AB17" t="s">
        <v>149</v>
      </c>
      <c r="AC17" t="s">
        <v>116</v>
      </c>
      <c r="AD17" t="s">
        <v>132</v>
      </c>
      <c r="AE17">
        <v>0.17300613496932515</v>
      </c>
      <c r="AF17" t="s">
        <v>163</v>
      </c>
      <c r="AK17" s="18" t="s">
        <v>149</v>
      </c>
      <c r="AL17" s="18" t="s">
        <v>124</v>
      </c>
      <c r="AM17" s="18" t="s">
        <v>150</v>
      </c>
      <c r="AN17" s="18" t="s">
        <v>175</v>
      </c>
      <c r="AO17" s="18">
        <v>5.9589061680379897E-2</v>
      </c>
      <c r="AS17" s="18" t="s">
        <v>114</v>
      </c>
      <c r="AT17" s="18" t="s">
        <v>174</v>
      </c>
      <c r="AU17" s="18" t="s">
        <v>150</v>
      </c>
      <c r="AV17" s="18">
        <v>0.13650795165184815</v>
      </c>
    </row>
    <row r="18" spans="8:48">
      <c r="H18" t="s">
        <v>148</v>
      </c>
      <c r="I18" t="s">
        <v>21</v>
      </c>
      <c r="J18" t="s">
        <v>105</v>
      </c>
      <c r="K18">
        <v>0.89670000000000005</v>
      </c>
      <c r="P18" t="s">
        <v>113</v>
      </c>
      <c r="Q18" t="s">
        <v>142</v>
      </c>
      <c r="R18" t="s">
        <v>151</v>
      </c>
      <c r="S18">
        <v>9.0938952338799978E-2</v>
      </c>
      <c r="U18" t="s">
        <v>149</v>
      </c>
      <c r="V18" t="s">
        <v>105</v>
      </c>
      <c r="W18" t="s">
        <v>150</v>
      </c>
      <c r="X18" t="s">
        <v>144</v>
      </c>
      <c r="Y18">
        <v>5.9589061680379897E-2</v>
      </c>
      <c r="AB18" t="s">
        <v>149</v>
      </c>
      <c r="AC18" t="s">
        <v>116</v>
      </c>
      <c r="AD18" t="s">
        <v>136</v>
      </c>
      <c r="AE18">
        <v>0.16441717791411042</v>
      </c>
      <c r="AF18" t="s">
        <v>163</v>
      </c>
      <c r="AK18" s="18" t="s">
        <v>149</v>
      </c>
      <c r="AL18" s="18" t="s">
        <v>105</v>
      </c>
      <c r="AM18" s="18" t="s">
        <v>150</v>
      </c>
      <c r="AN18" s="18" t="s">
        <v>175</v>
      </c>
      <c r="AO18" s="18">
        <v>5.9589061680379897E-2</v>
      </c>
      <c r="AS18" s="18" t="s">
        <v>114</v>
      </c>
      <c r="AT18" s="18" t="s">
        <v>174</v>
      </c>
      <c r="AU18" s="18" t="s">
        <v>151</v>
      </c>
      <c r="AV18" s="18">
        <v>9.23396054904808E-2</v>
      </c>
    </row>
    <row r="19" spans="8:48">
      <c r="H19" t="s">
        <v>148</v>
      </c>
      <c r="I19" t="s">
        <v>21</v>
      </c>
      <c r="J19" t="s">
        <v>51</v>
      </c>
      <c r="K19">
        <v>0.96489999999999998</v>
      </c>
      <c r="P19" t="s">
        <v>113</v>
      </c>
      <c r="Q19" t="s">
        <v>142</v>
      </c>
      <c r="R19" t="s">
        <v>152</v>
      </c>
      <c r="S19">
        <v>2.110321124225108E-2</v>
      </c>
      <c r="U19" t="s">
        <v>149</v>
      </c>
      <c r="V19" t="s">
        <v>51</v>
      </c>
      <c r="W19" t="s">
        <v>150</v>
      </c>
      <c r="X19" t="s">
        <v>144</v>
      </c>
      <c r="Y19">
        <v>5.9589061680379897E-2</v>
      </c>
      <c r="AB19" t="s">
        <v>149</v>
      </c>
      <c r="AC19" t="s">
        <v>116</v>
      </c>
      <c r="AD19" t="s">
        <v>137</v>
      </c>
      <c r="AE19">
        <v>0.65276073619631902</v>
      </c>
      <c r="AF19" t="s">
        <v>163</v>
      </c>
      <c r="AK19" s="18" t="s">
        <v>149</v>
      </c>
      <c r="AL19" s="18" t="s">
        <v>51</v>
      </c>
      <c r="AM19" s="18" t="s">
        <v>150</v>
      </c>
      <c r="AN19" s="18" t="s">
        <v>175</v>
      </c>
      <c r="AO19" s="18">
        <v>5.9589061680379897E-2</v>
      </c>
      <c r="AS19" s="18" t="s">
        <v>114</v>
      </c>
      <c r="AT19" s="18" t="s">
        <v>174</v>
      </c>
      <c r="AU19" s="18" t="s">
        <v>152</v>
      </c>
      <c r="AV19" s="18">
        <v>2.12060893242348E-2</v>
      </c>
    </row>
    <row r="20" spans="8:48">
      <c r="H20" t="s">
        <v>148</v>
      </c>
      <c r="I20" t="s">
        <v>21</v>
      </c>
      <c r="J20" t="s">
        <v>125</v>
      </c>
      <c r="K20">
        <v>0.88419999999999999</v>
      </c>
      <c r="P20" t="s">
        <v>113</v>
      </c>
      <c r="Q20" t="s">
        <v>142</v>
      </c>
      <c r="R20" t="s">
        <v>153</v>
      </c>
      <c r="S20">
        <v>0.1343934714351418</v>
      </c>
      <c r="U20" t="s">
        <v>149</v>
      </c>
      <c r="V20" t="s">
        <v>125</v>
      </c>
      <c r="W20" t="s">
        <v>150</v>
      </c>
      <c r="X20" t="s">
        <v>144</v>
      </c>
      <c r="Y20">
        <v>5.9589061680379897E-2</v>
      </c>
      <c r="AB20" t="s">
        <v>149</v>
      </c>
      <c r="AC20" t="s">
        <v>116</v>
      </c>
      <c r="AD20" t="s">
        <v>138</v>
      </c>
      <c r="AE20">
        <v>9.8159509202453993E-3</v>
      </c>
      <c r="AF20" t="s">
        <v>163</v>
      </c>
      <c r="AK20" s="18" t="s">
        <v>149</v>
      </c>
      <c r="AL20" s="18" t="s">
        <v>125</v>
      </c>
      <c r="AM20" s="18" t="s">
        <v>150</v>
      </c>
      <c r="AN20" s="18" t="s">
        <v>175</v>
      </c>
      <c r="AO20" s="18">
        <v>5.9589061680379897E-2</v>
      </c>
      <c r="AS20" s="18" t="s">
        <v>114</v>
      </c>
      <c r="AT20" s="18" t="s">
        <v>174</v>
      </c>
      <c r="AU20" s="18" t="s">
        <v>153</v>
      </c>
      <c r="AV20" s="18">
        <v>0.13566056052224901</v>
      </c>
    </row>
    <row r="21" spans="8:48">
      <c r="H21" t="s">
        <v>148</v>
      </c>
      <c r="I21" t="s">
        <v>21</v>
      </c>
      <c r="J21" t="s">
        <v>112</v>
      </c>
      <c r="K21">
        <v>0.93930000000000002</v>
      </c>
      <c r="P21" t="s">
        <v>113</v>
      </c>
      <c r="Q21" t="s">
        <v>142</v>
      </c>
      <c r="R21" t="s">
        <v>154</v>
      </c>
      <c r="S21">
        <v>9.0481266886833084E-2</v>
      </c>
      <c r="U21" t="s">
        <v>149</v>
      </c>
      <c r="V21" t="s">
        <v>112</v>
      </c>
      <c r="W21" t="s">
        <v>150</v>
      </c>
      <c r="X21" t="s">
        <v>144</v>
      </c>
      <c r="Y21">
        <v>5.9589061680379897E-2</v>
      </c>
      <c r="AB21" t="s">
        <v>149</v>
      </c>
      <c r="AC21" t="s">
        <v>117</v>
      </c>
      <c r="AD21" t="s">
        <v>132</v>
      </c>
      <c r="AE21">
        <v>0.21585482330468003</v>
      </c>
      <c r="AF21" t="s">
        <v>163</v>
      </c>
      <c r="AK21" s="18" t="s">
        <v>149</v>
      </c>
      <c r="AL21" s="18" t="s">
        <v>112</v>
      </c>
      <c r="AM21" s="18" t="s">
        <v>150</v>
      </c>
      <c r="AN21" s="18" t="s">
        <v>175</v>
      </c>
      <c r="AO21" s="18">
        <v>5.9589061680379897E-2</v>
      </c>
      <c r="AS21" s="18" t="s">
        <v>114</v>
      </c>
      <c r="AT21" s="18" t="s">
        <v>174</v>
      </c>
      <c r="AU21" s="18" t="s">
        <v>154</v>
      </c>
      <c r="AV21" s="18">
        <v>9.1940164745158828E-2</v>
      </c>
    </row>
    <row r="22" spans="8:48">
      <c r="P22" t="s">
        <v>113</v>
      </c>
      <c r="Q22" t="s">
        <v>142</v>
      </c>
      <c r="R22" t="s">
        <v>155</v>
      </c>
      <c r="S22">
        <v>2.0807388684464953E-2</v>
      </c>
      <c r="U22" t="s">
        <v>149</v>
      </c>
      <c r="V22" t="s">
        <v>113</v>
      </c>
      <c r="W22" t="s">
        <v>151</v>
      </c>
      <c r="X22" t="s">
        <v>144</v>
      </c>
      <c r="Y22">
        <v>0.137805387667261</v>
      </c>
      <c r="AB22" t="s">
        <v>149</v>
      </c>
      <c r="AC22" t="s">
        <v>117</v>
      </c>
      <c r="AD22" t="s">
        <v>136</v>
      </c>
      <c r="AE22">
        <v>0.27468958930276982</v>
      </c>
      <c r="AF22" t="s">
        <v>163</v>
      </c>
      <c r="AK22" s="18" t="s">
        <v>149</v>
      </c>
      <c r="AL22" s="18" t="s">
        <v>113</v>
      </c>
      <c r="AM22" s="18" t="s">
        <v>151</v>
      </c>
      <c r="AN22" s="18" t="s">
        <v>175</v>
      </c>
      <c r="AO22" s="18">
        <v>0.137805387667261</v>
      </c>
      <c r="AS22" s="18" t="s">
        <v>114</v>
      </c>
      <c r="AT22" s="18" t="s">
        <v>174</v>
      </c>
      <c r="AU22" s="18" t="s">
        <v>155</v>
      </c>
      <c r="AV22" s="18">
        <v>2.1156911347836347E-2</v>
      </c>
    </row>
    <row r="23" spans="8:48">
      <c r="P23" t="s">
        <v>113</v>
      </c>
      <c r="Q23" t="s">
        <v>142</v>
      </c>
      <c r="R23" t="s">
        <v>156</v>
      </c>
      <c r="S23">
        <v>0.14163641011828992</v>
      </c>
      <c r="U23" t="s">
        <v>149</v>
      </c>
      <c r="V23" t="s">
        <v>114</v>
      </c>
      <c r="W23" t="s">
        <v>151</v>
      </c>
      <c r="X23" t="s">
        <v>144</v>
      </c>
      <c r="Y23">
        <v>0.137805387667261</v>
      </c>
      <c r="AB23" t="s">
        <v>149</v>
      </c>
      <c r="AC23" t="s">
        <v>117</v>
      </c>
      <c r="AD23" t="s">
        <v>137</v>
      </c>
      <c r="AE23">
        <v>2.8462273161413566E-2</v>
      </c>
      <c r="AF23" t="s">
        <v>163</v>
      </c>
      <c r="AK23" s="18" t="s">
        <v>149</v>
      </c>
      <c r="AL23" s="18" t="s">
        <v>114</v>
      </c>
      <c r="AM23" s="18" t="s">
        <v>151</v>
      </c>
      <c r="AN23" s="18" t="s">
        <v>175</v>
      </c>
      <c r="AO23" s="18">
        <v>0.137805387667261</v>
      </c>
      <c r="AS23" s="18" t="s">
        <v>114</v>
      </c>
      <c r="AT23" s="18" t="s">
        <v>174</v>
      </c>
      <c r="AU23" s="18" t="s">
        <v>156</v>
      </c>
      <c r="AV23" s="18">
        <v>0.13816590643966345</v>
      </c>
    </row>
    <row r="24" spans="8:48">
      <c r="P24" t="s">
        <v>113</v>
      </c>
      <c r="Q24" t="s">
        <v>142</v>
      </c>
      <c r="R24" t="s">
        <v>157</v>
      </c>
      <c r="S24">
        <v>9.3751607750426375E-2</v>
      </c>
      <c r="U24" t="s">
        <v>149</v>
      </c>
      <c r="V24" t="s">
        <v>115</v>
      </c>
      <c r="W24" t="s">
        <v>151</v>
      </c>
      <c r="X24" t="s">
        <v>144</v>
      </c>
      <c r="Y24">
        <v>0.137805387667261</v>
      </c>
      <c r="AB24" t="s">
        <v>149</v>
      </c>
      <c r="AC24" t="s">
        <v>117</v>
      </c>
      <c r="AD24" t="s">
        <v>138</v>
      </c>
      <c r="AE24">
        <v>0.48099331423113656</v>
      </c>
      <c r="AF24" t="s">
        <v>163</v>
      </c>
      <c r="AK24" s="18" t="s">
        <v>149</v>
      </c>
      <c r="AL24" s="18" t="s">
        <v>115</v>
      </c>
      <c r="AM24" s="18" t="s">
        <v>151</v>
      </c>
      <c r="AN24" s="18" t="s">
        <v>175</v>
      </c>
      <c r="AO24" s="18">
        <v>0.137805387667261</v>
      </c>
      <c r="AS24" s="18" t="s">
        <v>114</v>
      </c>
      <c r="AT24" s="18" t="s">
        <v>174</v>
      </c>
      <c r="AU24" s="18" t="s">
        <v>157</v>
      </c>
      <c r="AV24" s="18">
        <v>9.3312277922841441E-2</v>
      </c>
    </row>
    <row r="25" spans="8:48">
      <c r="P25" t="s">
        <v>113</v>
      </c>
      <c r="Q25" t="s">
        <v>142</v>
      </c>
      <c r="R25" t="s">
        <v>158</v>
      </c>
      <c r="S25">
        <v>2.1897552858004262E-2</v>
      </c>
      <c r="U25" t="s">
        <v>149</v>
      </c>
      <c r="V25" t="s">
        <v>116</v>
      </c>
      <c r="W25" t="s">
        <v>151</v>
      </c>
      <c r="X25" t="s">
        <v>144</v>
      </c>
      <c r="Y25">
        <v>0.137805387667261</v>
      </c>
      <c r="AB25" t="s">
        <v>149</v>
      </c>
      <c r="AC25" t="s">
        <v>118</v>
      </c>
      <c r="AD25" t="s">
        <v>132</v>
      </c>
      <c r="AE25">
        <v>0.2005411906193626</v>
      </c>
      <c r="AF25" t="s">
        <v>163</v>
      </c>
      <c r="AK25" s="18" t="s">
        <v>149</v>
      </c>
      <c r="AL25" s="18" t="s">
        <v>116</v>
      </c>
      <c r="AM25" s="18" t="s">
        <v>151</v>
      </c>
      <c r="AN25" s="18" t="s">
        <v>175</v>
      </c>
      <c r="AO25" s="18">
        <v>0.137805387667261</v>
      </c>
      <c r="AS25" s="18" t="s">
        <v>114</v>
      </c>
      <c r="AT25" s="18" t="s">
        <v>174</v>
      </c>
      <c r="AU25" s="18" t="s">
        <v>158</v>
      </c>
      <c r="AV25" s="18">
        <v>2.1665122436574851E-2</v>
      </c>
    </row>
    <row r="26" spans="8:48">
      <c r="P26" t="s">
        <v>113</v>
      </c>
      <c r="Q26" t="s">
        <v>142</v>
      </c>
      <c r="R26" t="s">
        <v>159</v>
      </c>
      <c r="S26">
        <v>0.13583827377887353</v>
      </c>
      <c r="U26" t="s">
        <v>149</v>
      </c>
      <c r="V26" t="s">
        <v>117</v>
      </c>
      <c r="W26" t="s">
        <v>151</v>
      </c>
      <c r="X26" t="s">
        <v>144</v>
      </c>
      <c r="Y26">
        <v>0.137805387667261</v>
      </c>
      <c r="AB26" t="s">
        <v>149</v>
      </c>
      <c r="AC26" t="s">
        <v>118</v>
      </c>
      <c r="AD26" t="s">
        <v>136</v>
      </c>
      <c r="AE26">
        <v>0.17528562838244136</v>
      </c>
      <c r="AF26" t="s">
        <v>163</v>
      </c>
      <c r="AK26" s="18" t="s">
        <v>149</v>
      </c>
      <c r="AL26" s="18" t="s">
        <v>117</v>
      </c>
      <c r="AM26" s="18" t="s">
        <v>151</v>
      </c>
      <c r="AN26" s="18" t="s">
        <v>175</v>
      </c>
      <c r="AO26" s="18">
        <v>0.137805387667261</v>
      </c>
      <c r="AS26" s="18" t="s">
        <v>114</v>
      </c>
      <c r="AT26" s="18" t="s">
        <v>174</v>
      </c>
      <c r="AU26" s="18" t="s">
        <v>159</v>
      </c>
      <c r="AV26" s="18">
        <v>0.13519901385189695</v>
      </c>
    </row>
    <row r="27" spans="8:48">
      <c r="P27" t="s">
        <v>113</v>
      </c>
      <c r="Q27" t="s">
        <v>142</v>
      </c>
      <c r="R27" t="s">
        <v>160</v>
      </c>
      <c r="S27">
        <v>9.2338325970644383E-2</v>
      </c>
      <c r="U27" t="s">
        <v>149</v>
      </c>
      <c r="V27" t="s">
        <v>118</v>
      </c>
      <c r="W27" t="s">
        <v>151</v>
      </c>
      <c r="X27" t="s">
        <v>144</v>
      </c>
      <c r="Y27">
        <v>0.137805387667261</v>
      </c>
      <c r="AB27" t="s">
        <v>149</v>
      </c>
      <c r="AC27" t="s">
        <v>118</v>
      </c>
      <c r="AD27" t="s">
        <v>137</v>
      </c>
      <c r="AE27">
        <v>6.0132291040288638E-4</v>
      </c>
      <c r="AF27" t="s">
        <v>163</v>
      </c>
      <c r="AK27" s="18" t="s">
        <v>149</v>
      </c>
      <c r="AL27" s="18" t="s">
        <v>118</v>
      </c>
      <c r="AM27" s="18" t="s">
        <v>151</v>
      </c>
      <c r="AN27" s="18" t="s">
        <v>175</v>
      </c>
      <c r="AO27" s="18">
        <v>0.137805387667261</v>
      </c>
      <c r="AS27" s="18" t="s">
        <v>114</v>
      </c>
      <c r="AT27" s="18" t="s">
        <v>174</v>
      </c>
      <c r="AU27" s="18" t="s">
        <v>160</v>
      </c>
      <c r="AV27" s="18">
        <v>9.1910991174892182E-2</v>
      </c>
    </row>
    <row r="28" spans="8:48">
      <c r="P28" t="s">
        <v>113</v>
      </c>
      <c r="Q28" t="s">
        <v>142</v>
      </c>
      <c r="R28" t="s">
        <v>161</v>
      </c>
      <c r="S28">
        <v>2.1347672738321874E-2</v>
      </c>
      <c r="U28" t="s">
        <v>149</v>
      </c>
      <c r="V28" t="s">
        <v>119</v>
      </c>
      <c r="W28" t="s">
        <v>151</v>
      </c>
      <c r="X28" t="s">
        <v>144</v>
      </c>
      <c r="Y28">
        <v>0.137805387667261</v>
      </c>
      <c r="AB28" t="s">
        <v>149</v>
      </c>
      <c r="AC28" t="s">
        <v>118</v>
      </c>
      <c r="AD28" t="s">
        <v>138</v>
      </c>
      <c r="AE28">
        <v>0.62357185808779314</v>
      </c>
      <c r="AF28" t="s">
        <v>163</v>
      </c>
      <c r="AK28" s="18" t="s">
        <v>149</v>
      </c>
      <c r="AL28" s="18" t="s">
        <v>119</v>
      </c>
      <c r="AM28" s="18" t="s">
        <v>151</v>
      </c>
      <c r="AN28" s="18" t="s">
        <v>175</v>
      </c>
      <c r="AO28" s="18">
        <v>0.137805387667261</v>
      </c>
      <c r="AS28" s="18" t="s">
        <v>114</v>
      </c>
      <c r="AT28" s="18" t="s">
        <v>174</v>
      </c>
      <c r="AU28" s="18" t="s">
        <v>161</v>
      </c>
      <c r="AV28" s="18">
        <v>2.0935405092324031E-2</v>
      </c>
    </row>
    <row r="29" spans="8:48" hidden="1">
      <c r="P29" t="s">
        <v>113</v>
      </c>
      <c r="Q29" t="s">
        <v>143</v>
      </c>
      <c r="R29" t="s">
        <v>150</v>
      </c>
      <c r="S29">
        <v>0.13475756446983755</v>
      </c>
      <c r="U29" t="s">
        <v>149</v>
      </c>
      <c r="V29" t="s">
        <v>120</v>
      </c>
      <c r="W29" t="s">
        <v>151</v>
      </c>
      <c r="X29" t="s">
        <v>144</v>
      </c>
      <c r="Y29">
        <v>0.137805387667261</v>
      </c>
      <c r="AB29" t="s">
        <v>149</v>
      </c>
      <c r="AC29" t="s">
        <v>119</v>
      </c>
      <c r="AD29" t="s">
        <v>132</v>
      </c>
      <c r="AE29">
        <v>0.17300613496932515</v>
      </c>
      <c r="AF29" t="s">
        <v>163</v>
      </c>
      <c r="AK29" s="18" t="s">
        <v>149</v>
      </c>
      <c r="AL29" s="18" t="s">
        <v>120</v>
      </c>
      <c r="AM29" s="18" t="s">
        <v>151</v>
      </c>
      <c r="AN29" s="18" t="s">
        <v>175</v>
      </c>
      <c r="AO29" s="18">
        <v>0.137805387667261</v>
      </c>
      <c r="AS29" s="18" t="s">
        <v>115</v>
      </c>
      <c r="AT29" s="18" t="s">
        <v>142</v>
      </c>
      <c r="AU29" s="18" t="s">
        <v>150</v>
      </c>
      <c r="AV29" s="18">
        <v>0.13546549888699058</v>
      </c>
    </row>
    <row r="30" spans="8:48" hidden="1">
      <c r="P30" t="s">
        <v>113</v>
      </c>
      <c r="Q30" t="s">
        <v>143</v>
      </c>
      <c r="R30" t="s">
        <v>151</v>
      </c>
      <c r="S30">
        <v>7.5997490309093363E-2</v>
      </c>
      <c r="U30" t="s">
        <v>149</v>
      </c>
      <c r="V30" t="s">
        <v>121</v>
      </c>
      <c r="W30" t="s">
        <v>151</v>
      </c>
      <c r="X30" t="s">
        <v>144</v>
      </c>
      <c r="Y30">
        <v>0.137805387667261</v>
      </c>
      <c r="AB30" t="s">
        <v>149</v>
      </c>
      <c r="AC30" t="s">
        <v>119</v>
      </c>
      <c r="AD30" t="s">
        <v>136</v>
      </c>
      <c r="AE30">
        <v>0.16441717791411045</v>
      </c>
      <c r="AF30" t="s">
        <v>163</v>
      </c>
      <c r="AK30" s="18" t="s">
        <v>149</v>
      </c>
      <c r="AL30" s="18" t="s">
        <v>121</v>
      </c>
      <c r="AM30" s="18" t="s">
        <v>151</v>
      </c>
      <c r="AN30" s="18" t="s">
        <v>175</v>
      </c>
      <c r="AO30" s="18">
        <v>0.137805387667261</v>
      </c>
      <c r="AS30" s="18" t="s">
        <v>115</v>
      </c>
      <c r="AT30" s="18" t="s">
        <v>142</v>
      </c>
      <c r="AU30" s="18" t="s">
        <v>151</v>
      </c>
      <c r="AV30" s="18">
        <v>9.0938966070503155E-2</v>
      </c>
    </row>
    <row r="31" spans="8:48" hidden="1">
      <c r="P31" t="s">
        <v>113</v>
      </c>
      <c r="Q31" t="s">
        <v>143</v>
      </c>
      <c r="R31" t="s">
        <v>152</v>
      </c>
      <c r="S31">
        <v>2.2585698794144814E-2</v>
      </c>
      <c r="U31" t="s">
        <v>149</v>
      </c>
      <c r="V31" t="s">
        <v>122</v>
      </c>
      <c r="W31" t="s">
        <v>151</v>
      </c>
      <c r="X31" t="s">
        <v>144</v>
      </c>
      <c r="Y31">
        <v>0.137805387667261</v>
      </c>
      <c r="AB31" t="s">
        <v>149</v>
      </c>
      <c r="AC31" t="s">
        <v>119</v>
      </c>
      <c r="AD31" t="s">
        <v>137</v>
      </c>
      <c r="AE31">
        <v>0.65276073619631902</v>
      </c>
      <c r="AF31" t="s">
        <v>163</v>
      </c>
      <c r="AK31" s="18" t="s">
        <v>149</v>
      </c>
      <c r="AL31" s="18" t="s">
        <v>122</v>
      </c>
      <c r="AM31" s="18" t="s">
        <v>151</v>
      </c>
      <c r="AN31" s="18" t="s">
        <v>175</v>
      </c>
      <c r="AO31" s="18">
        <v>0.137805387667261</v>
      </c>
      <c r="AS31" s="18" t="s">
        <v>115</v>
      </c>
      <c r="AT31" s="18" t="s">
        <v>142</v>
      </c>
      <c r="AU31" s="18" t="s">
        <v>152</v>
      </c>
      <c r="AV31" s="18">
        <v>2.1103123178774552E-2</v>
      </c>
    </row>
    <row r="32" spans="8:48" hidden="1">
      <c r="P32" t="s">
        <v>113</v>
      </c>
      <c r="Q32" t="s">
        <v>143</v>
      </c>
      <c r="R32" t="s">
        <v>153</v>
      </c>
      <c r="S32">
        <v>0.12785504789238836</v>
      </c>
      <c r="U32" t="s">
        <v>149</v>
      </c>
      <c r="V32" t="s">
        <v>123</v>
      </c>
      <c r="W32" t="s">
        <v>151</v>
      </c>
      <c r="X32" t="s">
        <v>144</v>
      </c>
      <c r="Y32">
        <v>0.137805387667261</v>
      </c>
      <c r="AB32" t="s">
        <v>149</v>
      </c>
      <c r="AC32" t="s">
        <v>119</v>
      </c>
      <c r="AD32" t="s">
        <v>138</v>
      </c>
      <c r="AE32">
        <v>9.8159509202454028E-3</v>
      </c>
      <c r="AF32" t="s">
        <v>163</v>
      </c>
      <c r="AK32" s="18" t="s">
        <v>149</v>
      </c>
      <c r="AL32" s="18" t="s">
        <v>123</v>
      </c>
      <c r="AM32" s="18" t="s">
        <v>151</v>
      </c>
      <c r="AN32" s="18" t="s">
        <v>175</v>
      </c>
      <c r="AO32" s="18">
        <v>0.137805387667261</v>
      </c>
      <c r="AS32" s="18" t="s">
        <v>115</v>
      </c>
      <c r="AT32" s="18" t="s">
        <v>142</v>
      </c>
      <c r="AU32" s="18" t="s">
        <v>153</v>
      </c>
      <c r="AV32" s="18">
        <v>0.13439366534147892</v>
      </c>
    </row>
    <row r="33" spans="16:48" hidden="1">
      <c r="P33" t="s">
        <v>113</v>
      </c>
      <c r="Q33" t="s">
        <v>143</v>
      </c>
      <c r="R33" t="s">
        <v>154</v>
      </c>
      <c r="S33">
        <v>7.2924920393623069E-2</v>
      </c>
      <c r="U33" t="s">
        <v>149</v>
      </c>
      <c r="V33" t="s">
        <v>50</v>
      </c>
      <c r="W33" t="s">
        <v>151</v>
      </c>
      <c r="X33" t="s">
        <v>144</v>
      </c>
      <c r="Y33">
        <v>0.137805387667261</v>
      </c>
      <c r="AB33" t="s">
        <v>149</v>
      </c>
      <c r="AC33" t="s">
        <v>120</v>
      </c>
      <c r="AD33" t="s">
        <v>132</v>
      </c>
      <c r="AE33">
        <v>0.23085926564690409</v>
      </c>
      <c r="AF33" t="s">
        <v>163</v>
      </c>
      <c r="AK33" s="18" t="s">
        <v>149</v>
      </c>
      <c r="AL33" s="18" t="s">
        <v>50</v>
      </c>
      <c r="AM33" s="18" t="s">
        <v>151</v>
      </c>
      <c r="AN33" s="18" t="s">
        <v>175</v>
      </c>
      <c r="AO33" s="18">
        <v>0.137805387667261</v>
      </c>
      <c r="AS33" s="18" t="s">
        <v>115</v>
      </c>
      <c r="AT33" s="18" t="s">
        <v>142</v>
      </c>
      <c r="AU33" s="18" t="s">
        <v>154</v>
      </c>
      <c r="AV33" s="18">
        <v>9.0481288212978683E-2</v>
      </c>
    </row>
    <row r="34" spans="16:48" hidden="1">
      <c r="P34" t="s">
        <v>113</v>
      </c>
      <c r="Q34" t="s">
        <v>143</v>
      </c>
      <c r="R34" t="s">
        <v>155</v>
      </c>
      <c r="S34">
        <v>2.0699178353113086E-2</v>
      </c>
      <c r="U34" t="s">
        <v>149</v>
      </c>
      <c r="V34" t="s">
        <v>124</v>
      </c>
      <c r="W34" t="s">
        <v>151</v>
      </c>
      <c r="X34" t="s">
        <v>144</v>
      </c>
      <c r="Y34">
        <v>0.137805387667261</v>
      </c>
      <c r="AB34" t="s">
        <v>149</v>
      </c>
      <c r="AC34" t="s">
        <v>120</v>
      </c>
      <c r="AD34" t="s">
        <v>136</v>
      </c>
      <c r="AE34">
        <v>0.27189515674078601</v>
      </c>
      <c r="AF34" t="s">
        <v>163</v>
      </c>
      <c r="AK34" s="18" t="s">
        <v>149</v>
      </c>
      <c r="AL34" s="18" t="s">
        <v>124</v>
      </c>
      <c r="AM34" s="18" t="s">
        <v>151</v>
      </c>
      <c r="AN34" s="18" t="s">
        <v>175</v>
      </c>
      <c r="AO34" s="18">
        <v>0.137805387667261</v>
      </c>
      <c r="AS34" s="18" t="s">
        <v>115</v>
      </c>
      <c r="AT34" s="18" t="s">
        <v>142</v>
      </c>
      <c r="AU34" s="18" t="s">
        <v>155</v>
      </c>
      <c r="AV34" s="18">
        <v>2.0807325059500399E-2</v>
      </c>
    </row>
    <row r="35" spans="16:48" hidden="1">
      <c r="P35" t="s">
        <v>113</v>
      </c>
      <c r="Q35" t="s">
        <v>143</v>
      </c>
      <c r="R35" t="s">
        <v>156</v>
      </c>
      <c r="S35">
        <v>0.17397863846278769</v>
      </c>
      <c r="U35" t="s">
        <v>149</v>
      </c>
      <c r="V35" t="s">
        <v>105</v>
      </c>
      <c r="W35" t="s">
        <v>151</v>
      </c>
      <c r="X35" t="s">
        <v>144</v>
      </c>
      <c r="Y35">
        <v>0.137805387667261</v>
      </c>
      <c r="AB35" t="s">
        <v>149</v>
      </c>
      <c r="AC35" t="s">
        <v>120</v>
      </c>
      <c r="AD35" t="s">
        <v>137</v>
      </c>
      <c r="AE35">
        <v>2.2091146606457682E-2</v>
      </c>
      <c r="AF35" t="s">
        <v>163</v>
      </c>
      <c r="AK35" s="18" t="s">
        <v>149</v>
      </c>
      <c r="AL35" s="18" t="s">
        <v>105</v>
      </c>
      <c r="AM35" s="18" t="s">
        <v>151</v>
      </c>
      <c r="AN35" s="18" t="s">
        <v>175</v>
      </c>
      <c r="AO35" s="18">
        <v>0.137805387667261</v>
      </c>
      <c r="AS35" s="18" t="s">
        <v>115</v>
      </c>
      <c r="AT35" s="18" t="s">
        <v>142</v>
      </c>
      <c r="AU35" s="18" t="s">
        <v>156</v>
      </c>
      <c r="AV35" s="18">
        <v>0.14163623732843239</v>
      </c>
    </row>
    <row r="36" spans="16:48" hidden="1">
      <c r="P36" t="s">
        <v>113</v>
      </c>
      <c r="Q36" t="s">
        <v>143</v>
      </c>
      <c r="R36" t="s">
        <v>157</v>
      </c>
      <c r="S36">
        <v>9.4877687982430917E-2</v>
      </c>
      <c r="U36" t="s">
        <v>149</v>
      </c>
      <c r="V36" t="s">
        <v>51</v>
      </c>
      <c r="W36" t="s">
        <v>151</v>
      </c>
      <c r="X36" t="s">
        <v>144</v>
      </c>
      <c r="Y36">
        <v>0.137805387667261</v>
      </c>
      <c r="AB36" t="s">
        <v>149</v>
      </c>
      <c r="AC36" t="s">
        <v>120</v>
      </c>
      <c r="AD36" t="s">
        <v>138</v>
      </c>
      <c r="AE36">
        <v>0.4751544310058522</v>
      </c>
      <c r="AF36" t="s">
        <v>163</v>
      </c>
      <c r="AK36" s="18" t="s">
        <v>149</v>
      </c>
      <c r="AL36" s="18" t="s">
        <v>51</v>
      </c>
      <c r="AM36" s="18" t="s">
        <v>151</v>
      </c>
      <c r="AN36" s="18" t="s">
        <v>175</v>
      </c>
      <c r="AO36" s="18">
        <v>0.137805387667261</v>
      </c>
      <c r="AS36" s="18" t="s">
        <v>115</v>
      </c>
      <c r="AT36" s="18" t="s">
        <v>142</v>
      </c>
      <c r="AU36" s="18" t="s">
        <v>157</v>
      </c>
      <c r="AV36" s="18">
        <v>9.3751730911311795E-2</v>
      </c>
    </row>
    <row r="37" spans="16:48" hidden="1">
      <c r="P37" t="s">
        <v>113</v>
      </c>
      <c r="Q37" t="s">
        <v>143</v>
      </c>
      <c r="R37" t="s">
        <v>158</v>
      </c>
      <c r="S37">
        <v>2.7919766936594103E-2</v>
      </c>
      <c r="U37" t="s">
        <v>149</v>
      </c>
      <c r="V37" t="s">
        <v>125</v>
      </c>
      <c r="W37" t="s">
        <v>151</v>
      </c>
      <c r="X37" t="s">
        <v>144</v>
      </c>
      <c r="Y37">
        <v>0.137805387667261</v>
      </c>
      <c r="AB37" t="s">
        <v>149</v>
      </c>
      <c r="AC37" t="s">
        <v>121</v>
      </c>
      <c r="AD37" t="s">
        <v>132</v>
      </c>
      <c r="AE37">
        <v>0.22895238095238094</v>
      </c>
      <c r="AF37" t="s">
        <v>163</v>
      </c>
      <c r="AK37" s="18" t="s">
        <v>149</v>
      </c>
      <c r="AL37" s="18" t="s">
        <v>125</v>
      </c>
      <c r="AM37" s="18" t="s">
        <v>151</v>
      </c>
      <c r="AN37" s="18" t="s">
        <v>175</v>
      </c>
      <c r="AO37" s="18">
        <v>0.137805387667261</v>
      </c>
      <c r="AS37" s="18" t="s">
        <v>115</v>
      </c>
      <c r="AT37" s="18" t="s">
        <v>142</v>
      </c>
      <c r="AU37" s="18" t="s">
        <v>158</v>
      </c>
      <c r="AV37" s="18">
        <v>2.1897581557676498E-2</v>
      </c>
    </row>
    <row r="38" spans="16:48" hidden="1">
      <c r="P38" t="s">
        <v>113</v>
      </c>
      <c r="Q38" t="s">
        <v>143</v>
      </c>
      <c r="R38" t="s">
        <v>159</v>
      </c>
      <c r="S38">
        <v>0.13885108262703397</v>
      </c>
      <c r="U38" t="s">
        <v>149</v>
      </c>
      <c r="V38" t="s">
        <v>112</v>
      </c>
      <c r="W38" t="s">
        <v>151</v>
      </c>
      <c r="X38" t="s">
        <v>144</v>
      </c>
      <c r="Y38">
        <v>0.137805387667261</v>
      </c>
      <c r="AB38" t="s">
        <v>149</v>
      </c>
      <c r="AC38" t="s">
        <v>121</v>
      </c>
      <c r="AD38" t="s">
        <v>136</v>
      </c>
      <c r="AE38">
        <v>0.21447619047619046</v>
      </c>
      <c r="AF38" t="s">
        <v>163</v>
      </c>
      <c r="AK38" s="18" t="s">
        <v>149</v>
      </c>
      <c r="AL38" s="18" t="s">
        <v>112</v>
      </c>
      <c r="AM38" s="18" t="s">
        <v>151</v>
      </c>
      <c r="AN38" s="18" t="s">
        <v>175</v>
      </c>
      <c r="AO38" s="18">
        <v>0.137805387667261</v>
      </c>
      <c r="AS38" s="18" t="s">
        <v>115</v>
      </c>
      <c r="AT38" s="18" t="s">
        <v>142</v>
      </c>
      <c r="AU38" s="18" t="s">
        <v>159</v>
      </c>
      <c r="AV38" s="18">
        <v>0.13583838870191081</v>
      </c>
    </row>
    <row r="39" spans="16:48" hidden="1">
      <c r="P39" t="s">
        <v>113</v>
      </c>
      <c r="Q39" t="s">
        <v>143</v>
      </c>
      <c r="R39" t="s">
        <v>160</v>
      </c>
      <c r="S39">
        <v>8.5379746682753346E-2</v>
      </c>
      <c r="U39" t="s">
        <v>149</v>
      </c>
      <c r="V39" t="s">
        <v>113</v>
      </c>
      <c r="W39" t="s">
        <v>152</v>
      </c>
      <c r="X39" t="s">
        <v>144</v>
      </c>
      <c r="Y39">
        <v>5.2605550652358703E-2</v>
      </c>
      <c r="AB39" t="s">
        <v>149</v>
      </c>
      <c r="AC39" t="s">
        <v>121</v>
      </c>
      <c r="AD39" t="s">
        <v>137</v>
      </c>
      <c r="AE39">
        <v>7.6190476190476182E-4</v>
      </c>
      <c r="AF39" t="s">
        <v>163</v>
      </c>
      <c r="AK39" s="18" t="s">
        <v>149</v>
      </c>
      <c r="AL39" s="18" t="s">
        <v>113</v>
      </c>
      <c r="AM39" s="18" t="s">
        <v>152</v>
      </c>
      <c r="AN39" s="18" t="s">
        <v>175</v>
      </c>
      <c r="AO39" s="18">
        <v>5.2605550652358703E-2</v>
      </c>
      <c r="AS39" s="18" t="s">
        <v>115</v>
      </c>
      <c r="AT39" s="18" t="s">
        <v>142</v>
      </c>
      <c r="AU39" s="18" t="s">
        <v>160</v>
      </c>
      <c r="AV39" s="18">
        <v>9.2338368000886573E-2</v>
      </c>
    </row>
    <row r="40" spans="16:48" hidden="1">
      <c r="P40" t="s">
        <v>113</v>
      </c>
      <c r="Q40" t="s">
        <v>143</v>
      </c>
      <c r="R40" t="s">
        <v>161</v>
      </c>
      <c r="S40">
        <v>2.4173177096195982E-2</v>
      </c>
      <c r="U40" t="s">
        <v>149</v>
      </c>
      <c r="V40" t="s">
        <v>114</v>
      </c>
      <c r="W40" t="s">
        <v>152</v>
      </c>
      <c r="X40" t="s">
        <v>144</v>
      </c>
      <c r="Y40">
        <v>5.2605550652358703E-2</v>
      </c>
      <c r="AB40" t="s">
        <v>149</v>
      </c>
      <c r="AC40" t="s">
        <v>121</v>
      </c>
      <c r="AD40" t="s">
        <v>138</v>
      </c>
      <c r="AE40">
        <v>0.55580952380952375</v>
      </c>
      <c r="AF40" t="s">
        <v>163</v>
      </c>
      <c r="AK40" s="18" t="s">
        <v>149</v>
      </c>
      <c r="AL40" s="18" t="s">
        <v>114</v>
      </c>
      <c r="AM40" s="18" t="s">
        <v>152</v>
      </c>
      <c r="AN40" s="18" t="s">
        <v>175</v>
      </c>
      <c r="AO40" s="18">
        <v>5.2605550652358703E-2</v>
      </c>
      <c r="AS40" s="18" t="s">
        <v>115</v>
      </c>
      <c r="AT40" s="18" t="s">
        <v>142</v>
      </c>
      <c r="AU40" s="18" t="s">
        <v>161</v>
      </c>
      <c r="AV40" s="18">
        <v>2.1347826749556046E-2</v>
      </c>
    </row>
    <row r="41" spans="16:48" hidden="1">
      <c r="P41" t="s">
        <v>114</v>
      </c>
      <c r="Q41" t="s">
        <v>141</v>
      </c>
      <c r="R41" t="s">
        <v>150</v>
      </c>
      <c r="S41">
        <v>0.15017837043721066</v>
      </c>
      <c r="U41" t="s">
        <v>149</v>
      </c>
      <c r="V41" t="s">
        <v>115</v>
      </c>
      <c r="W41" t="s">
        <v>152</v>
      </c>
      <c r="X41" t="s">
        <v>144</v>
      </c>
      <c r="Y41">
        <v>5.2605550652358703E-2</v>
      </c>
      <c r="AB41" t="s">
        <v>149</v>
      </c>
      <c r="AC41" t="s">
        <v>122</v>
      </c>
      <c r="AD41" t="s">
        <v>132</v>
      </c>
      <c r="AE41">
        <v>9.1254752851711002E-2</v>
      </c>
      <c r="AF41" t="s">
        <v>163</v>
      </c>
      <c r="AK41" s="18" t="s">
        <v>149</v>
      </c>
      <c r="AL41" s="18" t="s">
        <v>115</v>
      </c>
      <c r="AM41" s="18" t="s">
        <v>152</v>
      </c>
      <c r="AN41" s="18" t="s">
        <v>175</v>
      </c>
      <c r="AO41" s="18">
        <v>5.2605550652358703E-2</v>
      </c>
      <c r="AS41" s="18" t="s">
        <v>116</v>
      </c>
      <c r="AT41" s="18" t="s">
        <v>142</v>
      </c>
      <c r="AU41" s="18" t="s">
        <v>150</v>
      </c>
      <c r="AV41" s="18">
        <v>0.13546551895852055</v>
      </c>
    </row>
    <row r="42" spans="16:48" hidden="1">
      <c r="P42" t="s">
        <v>114</v>
      </c>
      <c r="Q42" t="s">
        <v>141</v>
      </c>
      <c r="R42" t="s">
        <v>151</v>
      </c>
      <c r="S42">
        <v>7.4645119372743748E-2</v>
      </c>
      <c r="U42" t="s">
        <v>149</v>
      </c>
      <c r="V42" t="s">
        <v>116</v>
      </c>
      <c r="W42" t="s">
        <v>152</v>
      </c>
      <c r="X42" t="s">
        <v>144</v>
      </c>
      <c r="Y42">
        <v>5.2605550652358703E-2</v>
      </c>
      <c r="AB42" t="s">
        <v>149</v>
      </c>
      <c r="AC42" t="s">
        <v>122</v>
      </c>
      <c r="AD42" t="s">
        <v>136</v>
      </c>
      <c r="AE42">
        <v>0.25475285171102663</v>
      </c>
      <c r="AF42" t="s">
        <v>163</v>
      </c>
      <c r="AK42" s="18" t="s">
        <v>149</v>
      </c>
      <c r="AL42" s="18" t="s">
        <v>116</v>
      </c>
      <c r="AM42" s="18" t="s">
        <v>152</v>
      </c>
      <c r="AN42" s="18" t="s">
        <v>175</v>
      </c>
      <c r="AO42" s="18">
        <v>5.2605550652358703E-2</v>
      </c>
      <c r="AS42" s="18" t="s">
        <v>116</v>
      </c>
      <c r="AT42" s="18" t="s">
        <v>142</v>
      </c>
      <c r="AU42" s="18" t="s">
        <v>151</v>
      </c>
      <c r="AV42" s="18">
        <v>9.093893823566962E-2</v>
      </c>
    </row>
    <row r="43" spans="16:48" hidden="1">
      <c r="P43" t="s">
        <v>114</v>
      </c>
      <c r="Q43" t="s">
        <v>141</v>
      </c>
      <c r="R43" t="s">
        <v>152</v>
      </c>
      <c r="S43">
        <v>2.5226770950832762E-2</v>
      </c>
      <c r="U43" t="s">
        <v>149</v>
      </c>
      <c r="V43" t="s">
        <v>117</v>
      </c>
      <c r="W43" t="s">
        <v>152</v>
      </c>
      <c r="X43" t="s">
        <v>144</v>
      </c>
      <c r="Y43">
        <v>5.2605550652358703E-2</v>
      </c>
      <c r="AB43" t="s">
        <v>149</v>
      </c>
      <c r="AC43" t="s">
        <v>122</v>
      </c>
      <c r="AD43" t="s">
        <v>137</v>
      </c>
      <c r="AE43">
        <v>0</v>
      </c>
      <c r="AF43" t="s">
        <v>163</v>
      </c>
      <c r="AK43" s="18" t="s">
        <v>149</v>
      </c>
      <c r="AL43" s="18" t="s">
        <v>117</v>
      </c>
      <c r="AM43" s="18" t="s">
        <v>152</v>
      </c>
      <c r="AN43" s="18" t="s">
        <v>175</v>
      </c>
      <c r="AO43" s="18">
        <v>5.2605550652358703E-2</v>
      </c>
      <c r="AS43" s="18" t="s">
        <v>116</v>
      </c>
      <c r="AT43" s="18" t="s">
        <v>142</v>
      </c>
      <c r="AU43" s="18" t="s">
        <v>152</v>
      </c>
      <c r="AV43" s="18">
        <v>2.1103177647763722E-2</v>
      </c>
    </row>
    <row r="44" spans="16:48" hidden="1">
      <c r="P44" t="s">
        <v>114</v>
      </c>
      <c r="Q44" t="s">
        <v>141</v>
      </c>
      <c r="R44" t="s">
        <v>153</v>
      </c>
      <c r="S44">
        <v>0.13958483801246471</v>
      </c>
      <c r="U44" t="s">
        <v>149</v>
      </c>
      <c r="V44" t="s">
        <v>118</v>
      </c>
      <c r="W44" t="s">
        <v>152</v>
      </c>
      <c r="X44" t="s">
        <v>144</v>
      </c>
      <c r="Y44">
        <v>5.2605550652358703E-2</v>
      </c>
      <c r="AB44" t="s">
        <v>149</v>
      </c>
      <c r="AC44" t="s">
        <v>122</v>
      </c>
      <c r="AD44" t="s">
        <v>138</v>
      </c>
      <c r="AE44">
        <v>0.65399239543726229</v>
      </c>
      <c r="AF44" t="s">
        <v>163</v>
      </c>
      <c r="AK44" s="18" t="s">
        <v>149</v>
      </c>
      <c r="AL44" s="18" t="s">
        <v>118</v>
      </c>
      <c r="AM44" s="18" t="s">
        <v>152</v>
      </c>
      <c r="AN44" s="18" t="s">
        <v>175</v>
      </c>
      <c r="AO44" s="18">
        <v>5.2605550652358703E-2</v>
      </c>
      <c r="AS44" s="18" t="s">
        <v>116</v>
      </c>
      <c r="AT44" s="18" t="s">
        <v>142</v>
      </c>
      <c r="AU44" s="18" t="s">
        <v>153</v>
      </c>
      <c r="AV44" s="18">
        <v>0.13439373842864563</v>
      </c>
    </row>
    <row r="45" spans="16:48" hidden="1">
      <c r="P45" t="s">
        <v>114</v>
      </c>
      <c r="Q45" t="s">
        <v>141</v>
      </c>
      <c r="R45" t="s">
        <v>154</v>
      </c>
      <c r="S45">
        <v>6.9983417284541674E-2</v>
      </c>
      <c r="U45" t="s">
        <v>149</v>
      </c>
      <c r="V45" t="s">
        <v>119</v>
      </c>
      <c r="W45" t="s">
        <v>152</v>
      </c>
      <c r="X45" t="s">
        <v>144</v>
      </c>
      <c r="Y45">
        <v>5.2605550652358703E-2</v>
      </c>
      <c r="AB45" t="s">
        <v>149</v>
      </c>
      <c r="AC45" t="s">
        <v>123</v>
      </c>
      <c r="AD45" t="s">
        <v>132</v>
      </c>
      <c r="AE45">
        <v>0.21321392322836852</v>
      </c>
      <c r="AF45" t="s">
        <v>163</v>
      </c>
      <c r="AK45" s="18" t="s">
        <v>149</v>
      </c>
      <c r="AL45" s="18" t="s">
        <v>119</v>
      </c>
      <c r="AM45" s="18" t="s">
        <v>152</v>
      </c>
      <c r="AN45" s="18" t="s">
        <v>175</v>
      </c>
      <c r="AO45" s="18">
        <v>5.2605550652358703E-2</v>
      </c>
      <c r="AS45" s="18" t="s">
        <v>116</v>
      </c>
      <c r="AT45" s="18" t="s">
        <v>142</v>
      </c>
      <c r="AU45" s="18" t="s">
        <v>154</v>
      </c>
      <c r="AV45" s="18">
        <v>9.0481360197478294E-2</v>
      </c>
    </row>
    <row r="46" spans="16:48" hidden="1">
      <c r="P46" t="s">
        <v>114</v>
      </c>
      <c r="Q46" t="s">
        <v>141</v>
      </c>
      <c r="R46" t="s">
        <v>155</v>
      </c>
      <c r="S46">
        <v>2.466910578350957E-2</v>
      </c>
      <c r="U46" t="s">
        <v>149</v>
      </c>
      <c r="V46" t="s">
        <v>120</v>
      </c>
      <c r="W46" t="s">
        <v>152</v>
      </c>
      <c r="X46" t="s">
        <v>144</v>
      </c>
      <c r="Y46">
        <v>5.2605550652358703E-2</v>
      </c>
      <c r="AB46" t="s">
        <v>149</v>
      </c>
      <c r="AC46" t="s">
        <v>123</v>
      </c>
      <c r="AD46" t="s">
        <v>136</v>
      </c>
      <c r="AE46">
        <v>0.21957007344535948</v>
      </c>
      <c r="AF46" t="s">
        <v>163</v>
      </c>
      <c r="AK46" s="18" t="s">
        <v>149</v>
      </c>
      <c r="AL46" s="18" t="s">
        <v>120</v>
      </c>
      <c r="AM46" s="18" t="s">
        <v>152</v>
      </c>
      <c r="AN46" s="18" t="s">
        <v>175</v>
      </c>
      <c r="AO46" s="18">
        <v>5.2605550652358703E-2</v>
      </c>
      <c r="AS46" s="18" t="s">
        <v>116</v>
      </c>
      <c r="AT46" s="18" t="s">
        <v>142</v>
      </c>
      <c r="AU46" s="18" t="s">
        <v>155</v>
      </c>
      <c r="AV46" s="18">
        <v>2.0807421915779452E-2</v>
      </c>
    </row>
    <row r="47" spans="16:48" hidden="1">
      <c r="P47" t="s">
        <v>114</v>
      </c>
      <c r="Q47" t="s">
        <v>141</v>
      </c>
      <c r="R47" t="s">
        <v>156</v>
      </c>
      <c r="S47">
        <v>0.17143128705028704</v>
      </c>
      <c r="U47" t="s">
        <v>149</v>
      </c>
      <c r="V47" t="s">
        <v>121</v>
      </c>
      <c r="W47" t="s">
        <v>152</v>
      </c>
      <c r="X47" t="s">
        <v>144</v>
      </c>
      <c r="Y47">
        <v>5.2605550652358703E-2</v>
      </c>
      <c r="AB47" t="s">
        <v>149</v>
      </c>
      <c r="AC47" t="s">
        <v>123</v>
      </c>
      <c r="AD47" t="s">
        <v>137</v>
      </c>
      <c r="AE47">
        <v>7.0748299319727871E-4</v>
      </c>
      <c r="AF47" t="s">
        <v>163</v>
      </c>
      <c r="AK47" s="18" t="s">
        <v>149</v>
      </c>
      <c r="AL47" s="18" t="s">
        <v>121</v>
      </c>
      <c r="AM47" s="18" t="s">
        <v>152</v>
      </c>
      <c r="AN47" s="18" t="s">
        <v>175</v>
      </c>
      <c r="AO47" s="18">
        <v>5.2605550652358703E-2</v>
      </c>
      <c r="AS47" s="18" t="s">
        <v>116</v>
      </c>
      <c r="AT47" s="18" t="s">
        <v>142</v>
      </c>
      <c r="AU47" s="18" t="s">
        <v>156</v>
      </c>
      <c r="AV47" s="18">
        <v>0.14163601725328051</v>
      </c>
    </row>
    <row r="48" spans="16:48" hidden="1">
      <c r="P48" t="s">
        <v>114</v>
      </c>
      <c r="Q48" t="s">
        <v>141</v>
      </c>
      <c r="R48" t="s">
        <v>157</v>
      </c>
      <c r="S48">
        <v>8.6521960225154695E-2</v>
      </c>
      <c r="U48" t="s">
        <v>149</v>
      </c>
      <c r="V48" t="s">
        <v>122</v>
      </c>
      <c r="W48" t="s">
        <v>152</v>
      </c>
      <c r="X48" t="s">
        <v>144</v>
      </c>
      <c r="Y48">
        <v>5.2605550652358703E-2</v>
      </c>
      <c r="AB48" t="s">
        <v>149</v>
      </c>
      <c r="AC48" t="s">
        <v>123</v>
      </c>
      <c r="AD48" t="s">
        <v>138</v>
      </c>
      <c r="AE48">
        <v>0.56650852033307475</v>
      </c>
      <c r="AF48" t="s">
        <v>163</v>
      </c>
      <c r="AK48" s="18" t="s">
        <v>149</v>
      </c>
      <c r="AL48" s="18" t="s">
        <v>122</v>
      </c>
      <c r="AM48" s="18" t="s">
        <v>152</v>
      </c>
      <c r="AN48" s="18" t="s">
        <v>175</v>
      </c>
      <c r="AO48" s="18">
        <v>5.2605550652358703E-2</v>
      </c>
      <c r="AS48" s="18" t="s">
        <v>116</v>
      </c>
      <c r="AT48" s="18" t="s">
        <v>142</v>
      </c>
      <c r="AU48" s="18" t="s">
        <v>157</v>
      </c>
      <c r="AV48" s="18">
        <v>9.3751686301363907E-2</v>
      </c>
    </row>
    <row r="49" spans="16:48" hidden="1">
      <c r="P49" t="s">
        <v>114</v>
      </c>
      <c r="Q49" t="s">
        <v>141</v>
      </c>
      <c r="R49" t="s">
        <v>158</v>
      </c>
      <c r="S49">
        <v>3.1000332122257796E-2</v>
      </c>
      <c r="U49" t="s">
        <v>149</v>
      </c>
      <c r="V49" t="s">
        <v>123</v>
      </c>
      <c r="W49" t="s">
        <v>152</v>
      </c>
      <c r="X49" t="s">
        <v>144</v>
      </c>
      <c r="Y49">
        <v>5.2605550652358703E-2</v>
      </c>
      <c r="AB49" t="s">
        <v>149</v>
      </c>
      <c r="AC49" t="s">
        <v>50</v>
      </c>
      <c r="AD49" t="s">
        <v>132</v>
      </c>
      <c r="AE49">
        <v>0.19165488363034375</v>
      </c>
      <c r="AF49" t="s">
        <v>163</v>
      </c>
      <c r="AK49" s="18" t="s">
        <v>149</v>
      </c>
      <c r="AL49" s="18" t="s">
        <v>123</v>
      </c>
      <c r="AM49" s="18" t="s">
        <v>152</v>
      </c>
      <c r="AN49" s="18" t="s">
        <v>175</v>
      </c>
      <c r="AO49" s="18">
        <v>5.2605550652358703E-2</v>
      </c>
      <c r="AS49" s="18" t="s">
        <v>116</v>
      </c>
      <c r="AT49" s="18" t="s">
        <v>142</v>
      </c>
      <c r="AU49" s="18" t="s">
        <v>158</v>
      </c>
      <c r="AV49" s="18">
        <v>2.1897572366895664E-2</v>
      </c>
    </row>
    <row r="50" spans="16:48" hidden="1">
      <c r="P50" t="s">
        <v>114</v>
      </c>
      <c r="Q50" t="s">
        <v>141</v>
      </c>
      <c r="R50" t="s">
        <v>159</v>
      </c>
      <c r="S50">
        <v>0.1345103281550373</v>
      </c>
      <c r="U50" t="s">
        <v>149</v>
      </c>
      <c r="V50" t="s">
        <v>50</v>
      </c>
      <c r="W50" t="s">
        <v>152</v>
      </c>
      <c r="X50" t="s">
        <v>144</v>
      </c>
      <c r="Y50">
        <v>5.2605550652358703E-2</v>
      </c>
      <c r="AB50" t="s">
        <v>149</v>
      </c>
      <c r="AC50" t="s">
        <v>50</v>
      </c>
      <c r="AD50" t="s">
        <v>136</v>
      </c>
      <c r="AE50">
        <v>0.1811035154348038</v>
      </c>
      <c r="AF50" t="s">
        <v>163</v>
      </c>
      <c r="AK50" s="18" t="s">
        <v>149</v>
      </c>
      <c r="AL50" s="18" t="s">
        <v>50</v>
      </c>
      <c r="AM50" s="18" t="s">
        <v>152</v>
      </c>
      <c r="AN50" s="18" t="s">
        <v>175</v>
      </c>
      <c r="AO50" s="18">
        <v>5.2605550652358703E-2</v>
      </c>
      <c r="AS50" s="18" t="s">
        <v>116</v>
      </c>
      <c r="AT50" s="18" t="s">
        <v>142</v>
      </c>
      <c r="AU50" s="18" t="s">
        <v>159</v>
      </c>
      <c r="AV50" s="18">
        <v>0.1358384283597181</v>
      </c>
    </row>
    <row r="51" spans="16:48" hidden="1">
      <c r="P51" t="s">
        <v>114</v>
      </c>
      <c r="Q51" t="s">
        <v>141</v>
      </c>
      <c r="R51" t="s">
        <v>160</v>
      </c>
      <c r="S51">
        <v>7.0172076287560406E-2</v>
      </c>
      <c r="U51" t="s">
        <v>149</v>
      </c>
      <c r="V51" t="s">
        <v>124</v>
      </c>
      <c r="W51" t="s">
        <v>152</v>
      </c>
      <c r="X51" t="s">
        <v>144</v>
      </c>
      <c r="Y51">
        <v>5.2605550652358703E-2</v>
      </c>
      <c r="AB51" t="s">
        <v>149</v>
      </c>
      <c r="AC51" t="s">
        <v>50</v>
      </c>
      <c r="AD51" t="s">
        <v>137</v>
      </c>
      <c r="AE51">
        <v>0.43542779238484763</v>
      </c>
      <c r="AF51" t="s">
        <v>163</v>
      </c>
      <c r="AK51" s="18" t="s">
        <v>149</v>
      </c>
      <c r="AL51" s="18" t="s">
        <v>124</v>
      </c>
      <c r="AM51" s="18" t="s">
        <v>152</v>
      </c>
      <c r="AN51" s="18" t="s">
        <v>175</v>
      </c>
      <c r="AO51" s="18">
        <v>5.2605550652358703E-2</v>
      </c>
      <c r="AS51" s="18" t="s">
        <v>116</v>
      </c>
      <c r="AT51" s="18" t="s">
        <v>142</v>
      </c>
      <c r="AU51" s="18" t="s">
        <v>160</v>
      </c>
      <c r="AV51" s="18">
        <v>9.2338392235685574E-2</v>
      </c>
    </row>
    <row r="52" spans="16:48" hidden="1">
      <c r="P52" t="s">
        <v>114</v>
      </c>
      <c r="Q52" t="s">
        <v>141</v>
      </c>
      <c r="R52" t="s">
        <v>161</v>
      </c>
      <c r="S52">
        <v>2.2076394318399136E-2</v>
      </c>
      <c r="U52" t="s">
        <v>149</v>
      </c>
      <c r="V52" t="s">
        <v>105</v>
      </c>
      <c r="W52" t="s">
        <v>152</v>
      </c>
      <c r="X52" t="s">
        <v>144</v>
      </c>
      <c r="Y52">
        <v>5.2605550652358703E-2</v>
      </c>
      <c r="AB52" t="s">
        <v>149</v>
      </c>
      <c r="AC52" t="s">
        <v>50</v>
      </c>
      <c r="AD52" t="s">
        <v>138</v>
      </c>
      <c r="AE52">
        <v>0.19181380855000488</v>
      </c>
      <c r="AF52" t="s">
        <v>163</v>
      </c>
      <c r="AK52" s="18" t="s">
        <v>149</v>
      </c>
      <c r="AL52" s="18" t="s">
        <v>105</v>
      </c>
      <c r="AM52" s="18" t="s">
        <v>152</v>
      </c>
      <c r="AN52" s="18" t="s">
        <v>175</v>
      </c>
      <c r="AO52" s="18">
        <v>5.2605550652358703E-2</v>
      </c>
      <c r="AS52" s="18" t="s">
        <v>116</v>
      </c>
      <c r="AT52" s="18" t="s">
        <v>142</v>
      </c>
      <c r="AU52" s="18" t="s">
        <v>161</v>
      </c>
      <c r="AV52" s="18">
        <v>2.1347748099198486E-2</v>
      </c>
    </row>
    <row r="53" spans="16:48">
      <c r="P53" t="s">
        <v>114</v>
      </c>
      <c r="Q53" t="s">
        <v>142</v>
      </c>
      <c r="R53" t="s">
        <v>150</v>
      </c>
      <c r="S53">
        <v>0.13650795165184815</v>
      </c>
      <c r="U53" t="s">
        <v>149</v>
      </c>
      <c r="V53" t="s">
        <v>51</v>
      </c>
      <c r="W53" t="s">
        <v>152</v>
      </c>
      <c r="X53" t="s">
        <v>144</v>
      </c>
      <c r="Y53">
        <v>5.2605550652358703E-2</v>
      </c>
      <c r="AB53" t="s">
        <v>149</v>
      </c>
      <c r="AC53" t="s">
        <v>124</v>
      </c>
      <c r="AD53" t="s">
        <v>132</v>
      </c>
      <c r="AE53">
        <v>9.1254752851711127E-2</v>
      </c>
      <c r="AF53" t="s">
        <v>163</v>
      </c>
      <c r="AK53" s="18" t="s">
        <v>149</v>
      </c>
      <c r="AL53" s="18" t="s">
        <v>51</v>
      </c>
      <c r="AM53" s="18" t="s">
        <v>152</v>
      </c>
      <c r="AN53" s="18" t="s">
        <v>175</v>
      </c>
      <c r="AO53" s="18">
        <v>5.2605550652358703E-2</v>
      </c>
      <c r="AS53" s="18" t="s">
        <v>117</v>
      </c>
      <c r="AT53" s="18" t="s">
        <v>174</v>
      </c>
      <c r="AU53" s="18" t="s">
        <v>150</v>
      </c>
      <c r="AV53" s="18">
        <v>0.13546560360396692</v>
      </c>
    </row>
    <row r="54" spans="16:48">
      <c r="P54" t="s">
        <v>114</v>
      </c>
      <c r="Q54" t="s">
        <v>142</v>
      </c>
      <c r="R54" t="s">
        <v>151</v>
      </c>
      <c r="S54">
        <v>9.23396054904808E-2</v>
      </c>
      <c r="U54" t="s">
        <v>149</v>
      </c>
      <c r="V54" t="s">
        <v>125</v>
      </c>
      <c r="W54" t="s">
        <v>152</v>
      </c>
      <c r="X54" t="s">
        <v>144</v>
      </c>
      <c r="Y54">
        <v>5.2605550652358703E-2</v>
      </c>
      <c r="AB54" t="s">
        <v>149</v>
      </c>
      <c r="AC54" t="s">
        <v>124</v>
      </c>
      <c r="AD54" t="s">
        <v>136</v>
      </c>
      <c r="AE54">
        <v>0.25475285171102696</v>
      </c>
      <c r="AF54" t="s">
        <v>163</v>
      </c>
      <c r="AK54" s="18" t="s">
        <v>149</v>
      </c>
      <c r="AL54" s="18" t="s">
        <v>125</v>
      </c>
      <c r="AM54" s="18" t="s">
        <v>152</v>
      </c>
      <c r="AN54" s="18" t="s">
        <v>175</v>
      </c>
      <c r="AO54" s="18">
        <v>5.2605550652358703E-2</v>
      </c>
      <c r="AS54" s="18" t="s">
        <v>117</v>
      </c>
      <c r="AT54" s="18" t="s">
        <v>174</v>
      </c>
      <c r="AU54" s="18" t="s">
        <v>151</v>
      </c>
      <c r="AV54" s="18">
        <v>9.0938882985413708E-2</v>
      </c>
    </row>
    <row r="55" spans="16:48">
      <c r="P55" t="s">
        <v>114</v>
      </c>
      <c r="Q55" t="s">
        <v>142</v>
      </c>
      <c r="R55" t="s">
        <v>152</v>
      </c>
      <c r="S55">
        <v>2.12060893242348E-2</v>
      </c>
      <c r="U55" t="s">
        <v>149</v>
      </c>
      <c r="V55" t="s">
        <v>112</v>
      </c>
      <c r="W55" t="s">
        <v>152</v>
      </c>
      <c r="X55" t="s">
        <v>144</v>
      </c>
      <c r="Y55">
        <v>5.2605550652358703E-2</v>
      </c>
      <c r="AB55" t="s">
        <v>149</v>
      </c>
      <c r="AC55" t="s">
        <v>124</v>
      </c>
      <c r="AD55" t="s">
        <v>137</v>
      </c>
      <c r="AE55">
        <v>0</v>
      </c>
      <c r="AF55" t="s">
        <v>163</v>
      </c>
      <c r="AK55" s="18" t="s">
        <v>149</v>
      </c>
      <c r="AL55" s="18" t="s">
        <v>112</v>
      </c>
      <c r="AM55" s="18" t="s">
        <v>152</v>
      </c>
      <c r="AN55" s="18" t="s">
        <v>175</v>
      </c>
      <c r="AO55" s="18">
        <v>5.2605550652358703E-2</v>
      </c>
      <c r="AS55" s="18" t="s">
        <v>117</v>
      </c>
      <c r="AT55" s="18" t="s">
        <v>174</v>
      </c>
      <c r="AU55" s="18" t="s">
        <v>152</v>
      </c>
      <c r="AV55" s="18">
        <v>2.1103178820672169E-2</v>
      </c>
    </row>
    <row r="56" spans="16:48">
      <c r="P56" t="s">
        <v>114</v>
      </c>
      <c r="Q56" t="s">
        <v>142</v>
      </c>
      <c r="R56" t="s">
        <v>153</v>
      </c>
      <c r="S56">
        <v>0.13566056052224901</v>
      </c>
      <c r="U56" t="s">
        <v>149</v>
      </c>
      <c r="V56" t="s">
        <v>113</v>
      </c>
      <c r="W56" t="s">
        <v>153</v>
      </c>
      <c r="X56" t="s">
        <v>144</v>
      </c>
      <c r="Y56">
        <v>5.9589061680379897E-2</v>
      </c>
      <c r="AB56" t="s">
        <v>149</v>
      </c>
      <c r="AC56" t="s">
        <v>124</v>
      </c>
      <c r="AD56" t="s">
        <v>138</v>
      </c>
      <c r="AE56">
        <v>0.65399239543726195</v>
      </c>
      <c r="AF56" t="s">
        <v>163</v>
      </c>
      <c r="AK56" s="18" t="s">
        <v>149</v>
      </c>
      <c r="AL56" s="18" t="s">
        <v>113</v>
      </c>
      <c r="AM56" s="18" t="s">
        <v>153</v>
      </c>
      <c r="AN56" s="18" t="s">
        <v>175</v>
      </c>
      <c r="AO56" s="18">
        <v>5.9589061680379897E-2</v>
      </c>
      <c r="AS56" s="18" t="s">
        <v>117</v>
      </c>
      <c r="AT56" s="18" t="s">
        <v>174</v>
      </c>
      <c r="AU56" s="18" t="s">
        <v>153</v>
      </c>
      <c r="AV56" s="18">
        <v>0.13439372399473901</v>
      </c>
    </row>
    <row r="57" spans="16:48">
      <c r="P57" t="s">
        <v>114</v>
      </c>
      <c r="Q57" t="s">
        <v>142</v>
      </c>
      <c r="R57" t="s">
        <v>154</v>
      </c>
      <c r="S57">
        <v>9.1940164745158828E-2</v>
      </c>
      <c r="U57" t="s">
        <v>149</v>
      </c>
      <c r="V57" t="s">
        <v>114</v>
      </c>
      <c r="W57" t="s">
        <v>153</v>
      </c>
      <c r="X57" t="s">
        <v>144</v>
      </c>
      <c r="Y57">
        <v>5.9589061680379897E-2</v>
      </c>
      <c r="AB57" t="s">
        <v>149</v>
      </c>
      <c r="AC57" t="s">
        <v>105</v>
      </c>
      <c r="AD57" t="s">
        <v>132</v>
      </c>
      <c r="AE57">
        <v>0.29360636417206837</v>
      </c>
      <c r="AF57" t="s">
        <v>163</v>
      </c>
      <c r="AK57" s="18" t="s">
        <v>149</v>
      </c>
      <c r="AL57" s="18" t="s">
        <v>114</v>
      </c>
      <c r="AM57" s="18" t="s">
        <v>153</v>
      </c>
      <c r="AN57" s="18" t="s">
        <v>175</v>
      </c>
      <c r="AO57" s="18">
        <v>5.9589061680379897E-2</v>
      </c>
      <c r="AS57" s="18" t="s">
        <v>117</v>
      </c>
      <c r="AT57" s="18" t="s">
        <v>174</v>
      </c>
      <c r="AU57" s="18" t="s">
        <v>154</v>
      </c>
      <c r="AV57" s="18">
        <v>9.0481327058455713E-2</v>
      </c>
    </row>
    <row r="58" spans="16:48">
      <c r="P58" t="s">
        <v>114</v>
      </c>
      <c r="Q58" t="s">
        <v>142</v>
      </c>
      <c r="R58" t="s">
        <v>155</v>
      </c>
      <c r="S58">
        <v>2.1156911347836347E-2</v>
      </c>
      <c r="U58" t="s">
        <v>149</v>
      </c>
      <c r="V58" t="s">
        <v>115</v>
      </c>
      <c r="W58" t="s">
        <v>153</v>
      </c>
      <c r="X58" t="s">
        <v>144</v>
      </c>
      <c r="Y58">
        <v>5.9589061680379897E-2</v>
      </c>
      <c r="AB58" t="s">
        <v>149</v>
      </c>
      <c r="AC58" t="s">
        <v>105</v>
      </c>
      <c r="AD58" t="s">
        <v>136</v>
      </c>
      <c r="AE58">
        <v>0.19490276959340011</v>
      </c>
      <c r="AF58" t="s">
        <v>163</v>
      </c>
      <c r="AK58" s="18" t="s">
        <v>149</v>
      </c>
      <c r="AL58" s="18" t="s">
        <v>115</v>
      </c>
      <c r="AM58" s="18" t="s">
        <v>153</v>
      </c>
      <c r="AN58" s="18" t="s">
        <v>175</v>
      </c>
      <c r="AO58" s="18">
        <v>5.9589061680379897E-2</v>
      </c>
      <c r="AS58" s="18" t="s">
        <v>117</v>
      </c>
      <c r="AT58" s="18" t="s">
        <v>174</v>
      </c>
      <c r="AU58" s="18" t="s">
        <v>155</v>
      </c>
      <c r="AV58" s="18">
        <v>2.0807416042276875E-2</v>
      </c>
    </row>
    <row r="59" spans="16:48">
      <c r="P59" t="s">
        <v>114</v>
      </c>
      <c r="Q59" t="s">
        <v>142</v>
      </c>
      <c r="R59" t="s">
        <v>156</v>
      </c>
      <c r="S59">
        <v>0.13816590643966345</v>
      </c>
      <c r="U59" t="s">
        <v>149</v>
      </c>
      <c r="V59" t="s">
        <v>116</v>
      </c>
      <c r="W59" t="s">
        <v>153</v>
      </c>
      <c r="X59" t="s">
        <v>144</v>
      </c>
      <c r="Y59">
        <v>5.9589061680379897E-2</v>
      </c>
      <c r="AB59" t="s">
        <v>149</v>
      </c>
      <c r="AC59" t="s">
        <v>105</v>
      </c>
      <c r="AD59" t="s">
        <v>137</v>
      </c>
      <c r="AE59">
        <v>3.2557454331172658E-2</v>
      </c>
      <c r="AF59" t="s">
        <v>163</v>
      </c>
      <c r="AK59" s="18" t="s">
        <v>149</v>
      </c>
      <c r="AL59" s="18" t="s">
        <v>116</v>
      </c>
      <c r="AM59" s="18" t="s">
        <v>153</v>
      </c>
      <c r="AN59" s="18" t="s">
        <v>175</v>
      </c>
      <c r="AO59" s="18">
        <v>5.9589061680379897E-2</v>
      </c>
      <c r="AS59" s="18" t="s">
        <v>117</v>
      </c>
      <c r="AT59" s="18" t="s">
        <v>174</v>
      </c>
      <c r="AU59" s="18" t="s">
        <v>156</v>
      </c>
      <c r="AV59" s="18">
        <v>0.14163605109256036</v>
      </c>
    </row>
    <row r="60" spans="16:48">
      <c r="P60" t="s">
        <v>114</v>
      </c>
      <c r="Q60" t="s">
        <v>142</v>
      </c>
      <c r="R60" t="s">
        <v>157</v>
      </c>
      <c r="S60">
        <v>9.3312277922841441E-2</v>
      </c>
      <c r="U60" t="s">
        <v>149</v>
      </c>
      <c r="V60" t="s">
        <v>117</v>
      </c>
      <c r="W60" t="s">
        <v>153</v>
      </c>
      <c r="X60" t="s">
        <v>144</v>
      </c>
      <c r="Y60">
        <v>5.9589061680379897E-2</v>
      </c>
      <c r="AB60" t="s">
        <v>149</v>
      </c>
      <c r="AC60" t="s">
        <v>105</v>
      </c>
      <c r="AD60" t="s">
        <v>138</v>
      </c>
      <c r="AE60">
        <v>0.47893341190335886</v>
      </c>
      <c r="AF60" t="s">
        <v>163</v>
      </c>
      <c r="AK60" s="18" t="s">
        <v>149</v>
      </c>
      <c r="AL60" s="18" t="s">
        <v>117</v>
      </c>
      <c r="AM60" s="18" t="s">
        <v>153</v>
      </c>
      <c r="AN60" s="18" t="s">
        <v>175</v>
      </c>
      <c r="AO60" s="18">
        <v>5.9589061680379897E-2</v>
      </c>
      <c r="AS60" s="18" t="s">
        <v>117</v>
      </c>
      <c r="AT60" s="18" t="s">
        <v>174</v>
      </c>
      <c r="AU60" s="18" t="s">
        <v>157</v>
      </c>
      <c r="AV60" s="18">
        <v>9.3751693644346337E-2</v>
      </c>
    </row>
    <row r="61" spans="16:48">
      <c r="P61" t="s">
        <v>114</v>
      </c>
      <c r="Q61" t="s">
        <v>142</v>
      </c>
      <c r="R61" t="s">
        <v>158</v>
      </c>
      <c r="S61">
        <v>2.1665122436574851E-2</v>
      </c>
      <c r="U61" t="s">
        <v>149</v>
      </c>
      <c r="V61" t="s">
        <v>118</v>
      </c>
      <c r="W61" t="s">
        <v>153</v>
      </c>
      <c r="X61" t="s">
        <v>144</v>
      </c>
      <c r="Y61">
        <v>5.9589061680379897E-2</v>
      </c>
      <c r="AB61" t="s">
        <v>149</v>
      </c>
      <c r="AC61" t="s">
        <v>51</v>
      </c>
      <c r="AD61" t="s">
        <v>132</v>
      </c>
      <c r="AE61">
        <v>9.125475285171103E-2</v>
      </c>
      <c r="AF61" t="s">
        <v>163</v>
      </c>
      <c r="AK61" s="18" t="s">
        <v>149</v>
      </c>
      <c r="AL61" s="18" t="s">
        <v>118</v>
      </c>
      <c r="AM61" s="18" t="s">
        <v>153</v>
      </c>
      <c r="AN61" s="18" t="s">
        <v>175</v>
      </c>
      <c r="AO61" s="18">
        <v>5.9589061680379897E-2</v>
      </c>
      <c r="AS61" s="18" t="s">
        <v>117</v>
      </c>
      <c r="AT61" s="18" t="s">
        <v>174</v>
      </c>
      <c r="AU61" s="18" t="s">
        <v>158</v>
      </c>
      <c r="AV61" s="18">
        <v>2.1897599522857296E-2</v>
      </c>
    </row>
    <row r="62" spans="16:48">
      <c r="P62" t="s">
        <v>114</v>
      </c>
      <c r="Q62" t="s">
        <v>142</v>
      </c>
      <c r="R62" t="s">
        <v>159</v>
      </c>
      <c r="S62">
        <v>0.13519901385189695</v>
      </c>
      <c r="U62" t="s">
        <v>149</v>
      </c>
      <c r="V62" t="s">
        <v>119</v>
      </c>
      <c r="W62" t="s">
        <v>153</v>
      </c>
      <c r="X62" t="s">
        <v>144</v>
      </c>
      <c r="Y62">
        <v>5.9589061680379897E-2</v>
      </c>
      <c r="AB62" t="s">
        <v>149</v>
      </c>
      <c r="AC62" t="s">
        <v>51</v>
      </c>
      <c r="AD62" t="s">
        <v>136</v>
      </c>
      <c r="AE62">
        <v>0.25475285171102663</v>
      </c>
      <c r="AF62" t="s">
        <v>163</v>
      </c>
      <c r="AK62" s="18" t="s">
        <v>149</v>
      </c>
      <c r="AL62" s="18" t="s">
        <v>119</v>
      </c>
      <c r="AM62" s="18" t="s">
        <v>153</v>
      </c>
      <c r="AN62" s="18" t="s">
        <v>175</v>
      </c>
      <c r="AO62" s="18">
        <v>5.9589061680379897E-2</v>
      </c>
      <c r="AS62" s="18" t="s">
        <v>117</v>
      </c>
      <c r="AT62" s="18" t="s">
        <v>174</v>
      </c>
      <c r="AU62" s="18" t="s">
        <v>159</v>
      </c>
      <c r="AV62" s="18">
        <v>0.13583842241220795</v>
      </c>
    </row>
    <row r="63" spans="16:48">
      <c r="P63" t="s">
        <v>114</v>
      </c>
      <c r="Q63" t="s">
        <v>142</v>
      </c>
      <c r="R63" t="s">
        <v>160</v>
      </c>
      <c r="S63">
        <v>9.1910991174892182E-2</v>
      </c>
      <c r="U63" t="s">
        <v>149</v>
      </c>
      <c r="V63" t="s">
        <v>120</v>
      </c>
      <c r="W63" t="s">
        <v>153</v>
      </c>
      <c r="X63" t="s">
        <v>144</v>
      </c>
      <c r="Y63">
        <v>5.9589061680379897E-2</v>
      </c>
      <c r="AB63" t="s">
        <v>149</v>
      </c>
      <c r="AC63" t="s">
        <v>51</v>
      </c>
      <c r="AD63" t="s">
        <v>137</v>
      </c>
      <c r="AE63">
        <v>0</v>
      </c>
      <c r="AF63" t="s">
        <v>163</v>
      </c>
      <c r="AK63" s="18" t="s">
        <v>149</v>
      </c>
      <c r="AL63" s="18" t="s">
        <v>120</v>
      </c>
      <c r="AM63" s="18" t="s">
        <v>153</v>
      </c>
      <c r="AN63" s="18" t="s">
        <v>175</v>
      </c>
      <c r="AO63" s="18">
        <v>5.9589061680379897E-2</v>
      </c>
      <c r="AS63" s="18" t="s">
        <v>117</v>
      </c>
      <c r="AT63" s="18" t="s">
        <v>174</v>
      </c>
      <c r="AU63" s="18" t="s">
        <v>160</v>
      </c>
      <c r="AV63" s="18">
        <v>9.233835286362535E-2</v>
      </c>
    </row>
    <row r="64" spans="16:48">
      <c r="P64" t="s">
        <v>114</v>
      </c>
      <c r="Q64" t="s">
        <v>142</v>
      </c>
      <c r="R64" t="s">
        <v>161</v>
      </c>
      <c r="S64">
        <v>2.0935405092324031E-2</v>
      </c>
      <c r="U64" t="s">
        <v>149</v>
      </c>
      <c r="V64" t="s">
        <v>121</v>
      </c>
      <c r="W64" t="s">
        <v>153</v>
      </c>
      <c r="X64" t="s">
        <v>144</v>
      </c>
      <c r="Y64">
        <v>5.9589061680379897E-2</v>
      </c>
      <c r="AB64" t="s">
        <v>149</v>
      </c>
      <c r="AC64" t="s">
        <v>51</v>
      </c>
      <c r="AD64" t="s">
        <v>138</v>
      </c>
      <c r="AE64">
        <v>0.6539923954372624</v>
      </c>
      <c r="AF64" t="s">
        <v>163</v>
      </c>
      <c r="AK64" s="18" t="s">
        <v>149</v>
      </c>
      <c r="AL64" s="18" t="s">
        <v>121</v>
      </c>
      <c r="AM64" s="18" t="s">
        <v>153</v>
      </c>
      <c r="AN64" s="18" t="s">
        <v>175</v>
      </c>
      <c r="AO64" s="18">
        <v>5.9589061680379897E-2</v>
      </c>
      <c r="AS64" s="18" t="s">
        <v>117</v>
      </c>
      <c r="AT64" s="18" t="s">
        <v>174</v>
      </c>
      <c r="AU64" s="18" t="s">
        <v>161</v>
      </c>
      <c r="AV64" s="18">
        <v>2.1347747958878307E-2</v>
      </c>
    </row>
    <row r="65" spans="16:48" hidden="1">
      <c r="P65" t="s">
        <v>114</v>
      </c>
      <c r="Q65" t="s">
        <v>143</v>
      </c>
      <c r="R65" t="s">
        <v>150</v>
      </c>
      <c r="S65">
        <v>0.14416435578000572</v>
      </c>
      <c r="U65" t="s">
        <v>149</v>
      </c>
      <c r="V65" t="s">
        <v>122</v>
      </c>
      <c r="W65" t="s">
        <v>153</v>
      </c>
      <c r="X65" t="s">
        <v>144</v>
      </c>
      <c r="Y65">
        <v>5.9589061680379897E-2</v>
      </c>
      <c r="AB65" t="s">
        <v>149</v>
      </c>
      <c r="AC65" t="s">
        <v>125</v>
      </c>
      <c r="AD65" t="s">
        <v>132</v>
      </c>
      <c r="AE65">
        <v>0.22337561491492258</v>
      </c>
      <c r="AF65" t="s">
        <v>163</v>
      </c>
      <c r="AK65" s="18" t="s">
        <v>149</v>
      </c>
      <c r="AL65" s="18" t="s">
        <v>122</v>
      </c>
      <c r="AM65" s="18" t="s">
        <v>153</v>
      </c>
      <c r="AN65" s="18" t="s">
        <v>175</v>
      </c>
      <c r="AO65" s="18">
        <v>5.9589061680379897E-2</v>
      </c>
      <c r="AS65" s="18" t="s">
        <v>118</v>
      </c>
      <c r="AT65" s="18" t="s">
        <v>142</v>
      </c>
      <c r="AU65" s="18" t="s">
        <v>150</v>
      </c>
      <c r="AV65" s="18">
        <v>0.13546550989739714</v>
      </c>
    </row>
    <row r="66" spans="16:48" hidden="1">
      <c r="P66" t="s">
        <v>114</v>
      </c>
      <c r="Q66" t="s">
        <v>143</v>
      </c>
      <c r="R66" t="s">
        <v>151</v>
      </c>
      <c r="S66">
        <v>7.8443362793427174E-2</v>
      </c>
      <c r="U66" t="s">
        <v>149</v>
      </c>
      <c r="V66" t="s">
        <v>123</v>
      </c>
      <c r="W66" t="s">
        <v>153</v>
      </c>
      <c r="X66" t="s">
        <v>144</v>
      </c>
      <c r="Y66">
        <v>5.9589061680379897E-2</v>
      </c>
      <c r="AB66" t="s">
        <v>149</v>
      </c>
      <c r="AC66" t="s">
        <v>125</v>
      </c>
      <c r="AD66" t="s">
        <v>136</v>
      </c>
      <c r="AE66">
        <v>0.22006804493370749</v>
      </c>
      <c r="AF66" t="s">
        <v>163</v>
      </c>
      <c r="AK66" s="18" t="s">
        <v>149</v>
      </c>
      <c r="AL66" s="18" t="s">
        <v>123</v>
      </c>
      <c r="AM66" s="18" t="s">
        <v>153</v>
      </c>
      <c r="AN66" s="18" t="s">
        <v>175</v>
      </c>
      <c r="AO66" s="18">
        <v>5.9589061680379897E-2</v>
      </c>
      <c r="AS66" s="18" t="s">
        <v>118</v>
      </c>
      <c r="AT66" s="18" t="s">
        <v>142</v>
      </c>
      <c r="AU66" s="18" t="s">
        <v>151</v>
      </c>
      <c r="AV66" s="18">
        <v>9.0938906533365255E-2</v>
      </c>
    </row>
    <row r="67" spans="16:48" hidden="1">
      <c r="P67" t="s">
        <v>114</v>
      </c>
      <c r="Q67" t="s">
        <v>143</v>
      </c>
      <c r="R67" t="s">
        <v>152</v>
      </c>
      <c r="S67">
        <v>2.4640299184187569E-2</v>
      </c>
      <c r="U67" t="s">
        <v>149</v>
      </c>
      <c r="V67" t="s">
        <v>50</v>
      </c>
      <c r="W67" t="s">
        <v>153</v>
      </c>
      <c r="X67" t="s">
        <v>144</v>
      </c>
      <c r="Y67">
        <v>5.9589061680379897E-2</v>
      </c>
      <c r="AB67" t="s">
        <v>149</v>
      </c>
      <c r="AC67" t="s">
        <v>125</v>
      </c>
      <c r="AD67" t="s">
        <v>137</v>
      </c>
      <c r="AE67">
        <v>2.3609487482732167E-3</v>
      </c>
      <c r="AF67" t="s">
        <v>163</v>
      </c>
      <c r="AK67" s="18" t="s">
        <v>149</v>
      </c>
      <c r="AL67" s="18" t="s">
        <v>50</v>
      </c>
      <c r="AM67" s="18" t="s">
        <v>153</v>
      </c>
      <c r="AN67" s="18" t="s">
        <v>175</v>
      </c>
      <c r="AO67" s="18">
        <v>5.9589061680379897E-2</v>
      </c>
      <c r="AS67" s="18" t="s">
        <v>118</v>
      </c>
      <c r="AT67" s="18" t="s">
        <v>142</v>
      </c>
      <c r="AU67" s="18" t="s">
        <v>152</v>
      </c>
      <c r="AV67" s="18">
        <v>2.1103185531767491E-2</v>
      </c>
    </row>
    <row r="68" spans="16:48" hidden="1">
      <c r="P68" t="s">
        <v>114</v>
      </c>
      <c r="Q68" t="s">
        <v>143</v>
      </c>
      <c r="R68" t="s">
        <v>153</v>
      </c>
      <c r="S68">
        <v>0.13525596748526503</v>
      </c>
      <c r="U68" t="s">
        <v>149</v>
      </c>
      <c r="V68" t="s">
        <v>124</v>
      </c>
      <c r="W68" t="s">
        <v>153</v>
      </c>
      <c r="X68" t="s">
        <v>144</v>
      </c>
      <c r="Y68">
        <v>5.9589061680379897E-2</v>
      </c>
      <c r="AB68" t="s">
        <v>149</v>
      </c>
      <c r="AC68" t="s">
        <v>125</v>
      </c>
      <c r="AD68" t="s">
        <v>138</v>
      </c>
      <c r="AE68">
        <v>0.5541953914030967</v>
      </c>
      <c r="AF68" t="s">
        <v>163</v>
      </c>
      <c r="AK68" s="18" t="s">
        <v>149</v>
      </c>
      <c r="AL68" s="18" t="s">
        <v>124</v>
      </c>
      <c r="AM68" s="18" t="s">
        <v>153</v>
      </c>
      <c r="AN68" s="18" t="s">
        <v>175</v>
      </c>
      <c r="AO68" s="18">
        <v>5.9589061680379897E-2</v>
      </c>
      <c r="AS68" s="18" t="s">
        <v>118</v>
      </c>
      <c r="AT68" s="18" t="s">
        <v>142</v>
      </c>
      <c r="AU68" s="18" t="s">
        <v>153</v>
      </c>
      <c r="AV68" s="18">
        <v>0.13439373133040514</v>
      </c>
    </row>
    <row r="69" spans="16:48" hidden="1">
      <c r="P69" t="s">
        <v>114</v>
      </c>
      <c r="Q69" t="s">
        <v>143</v>
      </c>
      <c r="R69" t="s">
        <v>154</v>
      </c>
      <c r="S69">
        <v>7.4083657485987151E-2</v>
      </c>
      <c r="U69" t="s">
        <v>149</v>
      </c>
      <c r="V69" t="s">
        <v>105</v>
      </c>
      <c r="W69" t="s">
        <v>153</v>
      </c>
      <c r="X69" t="s">
        <v>144</v>
      </c>
      <c r="Y69">
        <v>5.9589061680379897E-2</v>
      </c>
      <c r="AB69" t="s">
        <v>149</v>
      </c>
      <c r="AC69" t="s">
        <v>112</v>
      </c>
      <c r="AD69" t="s">
        <v>132</v>
      </c>
      <c r="AE69">
        <v>0.22895238095238094</v>
      </c>
      <c r="AF69" t="s">
        <v>163</v>
      </c>
      <c r="AK69" s="18" t="s">
        <v>149</v>
      </c>
      <c r="AL69" s="18" t="s">
        <v>105</v>
      </c>
      <c r="AM69" s="18" t="s">
        <v>153</v>
      </c>
      <c r="AN69" s="18" t="s">
        <v>175</v>
      </c>
      <c r="AO69" s="18">
        <v>5.9589061680379897E-2</v>
      </c>
      <c r="AS69" s="18" t="s">
        <v>118</v>
      </c>
      <c r="AT69" s="18" t="s">
        <v>142</v>
      </c>
      <c r="AU69" s="18" t="s">
        <v>154</v>
      </c>
      <c r="AV69" s="18">
        <v>9.0481321197018919E-2</v>
      </c>
    </row>
    <row r="70" spans="16:48" hidden="1">
      <c r="P70" t="s">
        <v>114</v>
      </c>
      <c r="Q70" t="s">
        <v>143</v>
      </c>
      <c r="R70" t="s">
        <v>155</v>
      </c>
      <c r="S70">
        <v>2.374129201104927E-2</v>
      </c>
      <c r="U70" t="s">
        <v>149</v>
      </c>
      <c r="V70" t="s">
        <v>51</v>
      </c>
      <c r="W70" t="s">
        <v>153</v>
      </c>
      <c r="X70" t="s">
        <v>144</v>
      </c>
      <c r="Y70">
        <v>5.9589061680379897E-2</v>
      </c>
      <c r="AB70" t="s">
        <v>149</v>
      </c>
      <c r="AC70" t="s">
        <v>112</v>
      </c>
      <c r="AD70" t="s">
        <v>136</v>
      </c>
      <c r="AE70">
        <v>0.21447619047619046</v>
      </c>
      <c r="AF70" t="s">
        <v>163</v>
      </c>
      <c r="AK70" s="18" t="s">
        <v>149</v>
      </c>
      <c r="AL70" s="18" t="s">
        <v>51</v>
      </c>
      <c r="AM70" s="18" t="s">
        <v>153</v>
      </c>
      <c r="AN70" s="18" t="s">
        <v>175</v>
      </c>
      <c r="AO70" s="18">
        <v>5.9589061680379897E-2</v>
      </c>
      <c r="AS70" s="18" t="s">
        <v>118</v>
      </c>
      <c r="AT70" s="18" t="s">
        <v>142</v>
      </c>
      <c r="AU70" s="18" t="s">
        <v>155</v>
      </c>
      <c r="AV70" s="18">
        <v>2.0807440180628859E-2</v>
      </c>
    </row>
    <row r="71" spans="16:48" hidden="1">
      <c r="P71" t="s">
        <v>114</v>
      </c>
      <c r="Q71" t="s">
        <v>143</v>
      </c>
      <c r="R71" t="s">
        <v>156</v>
      </c>
      <c r="S71">
        <v>0.16718786523110349</v>
      </c>
      <c r="U71" t="s">
        <v>149</v>
      </c>
      <c r="V71" t="s">
        <v>125</v>
      </c>
      <c r="W71" t="s">
        <v>153</v>
      </c>
      <c r="X71" t="s">
        <v>144</v>
      </c>
      <c r="Y71">
        <v>5.9589061680379897E-2</v>
      </c>
      <c r="AB71" t="s">
        <v>149</v>
      </c>
      <c r="AC71" t="s">
        <v>112</v>
      </c>
      <c r="AD71" t="s">
        <v>137</v>
      </c>
      <c r="AE71">
        <v>7.6190476190476182E-4</v>
      </c>
      <c r="AF71" t="s">
        <v>163</v>
      </c>
      <c r="AK71" s="18" t="s">
        <v>149</v>
      </c>
      <c r="AL71" s="18" t="s">
        <v>125</v>
      </c>
      <c r="AM71" s="18" t="s">
        <v>153</v>
      </c>
      <c r="AN71" s="18" t="s">
        <v>175</v>
      </c>
      <c r="AO71" s="18">
        <v>5.9589061680379897E-2</v>
      </c>
      <c r="AS71" s="18" t="s">
        <v>118</v>
      </c>
      <c r="AT71" s="18" t="s">
        <v>142</v>
      </c>
      <c r="AU71" s="18" t="s">
        <v>156</v>
      </c>
      <c r="AV71" s="18">
        <v>0.14163607292853084</v>
      </c>
    </row>
    <row r="72" spans="16:48" hidden="1">
      <c r="P72" t="s">
        <v>114</v>
      </c>
      <c r="Q72" t="s">
        <v>143</v>
      </c>
      <c r="R72" t="s">
        <v>157</v>
      </c>
      <c r="S72">
        <v>9.117466900631957E-2</v>
      </c>
      <c r="U72" t="s">
        <v>149</v>
      </c>
      <c r="V72" t="s">
        <v>112</v>
      </c>
      <c r="W72" t="s">
        <v>153</v>
      </c>
      <c r="X72" t="s">
        <v>144</v>
      </c>
      <c r="Y72">
        <v>5.9589061680379897E-2</v>
      </c>
      <c r="AB72" t="s">
        <v>149</v>
      </c>
      <c r="AC72" t="s">
        <v>112</v>
      </c>
      <c r="AD72" t="s">
        <v>138</v>
      </c>
      <c r="AE72">
        <v>0.55580952380952375</v>
      </c>
      <c r="AF72" t="s">
        <v>163</v>
      </c>
      <c r="AK72" s="18" t="s">
        <v>149</v>
      </c>
      <c r="AL72" s="18" t="s">
        <v>112</v>
      </c>
      <c r="AM72" s="18" t="s">
        <v>153</v>
      </c>
      <c r="AN72" s="18" t="s">
        <v>175</v>
      </c>
      <c r="AO72" s="18">
        <v>5.9589061680379897E-2</v>
      </c>
      <c r="AS72" s="18" t="s">
        <v>118</v>
      </c>
      <c r="AT72" s="18" t="s">
        <v>142</v>
      </c>
      <c r="AU72" s="18" t="s">
        <v>157</v>
      </c>
      <c r="AV72" s="18">
        <v>9.3751694426201099E-2</v>
      </c>
    </row>
    <row r="73" spans="16:48" hidden="1">
      <c r="P73" t="s">
        <v>114</v>
      </c>
      <c r="Q73" t="s">
        <v>143</v>
      </c>
      <c r="R73" t="s">
        <v>158</v>
      </c>
      <c r="S73">
        <v>2.9752230627875978E-2</v>
      </c>
      <c r="U73" t="s">
        <v>149</v>
      </c>
      <c r="V73" t="s">
        <v>113</v>
      </c>
      <c r="W73" t="s">
        <v>154</v>
      </c>
      <c r="X73" t="s">
        <v>144</v>
      </c>
      <c r="Y73">
        <v>0.137805387667261</v>
      </c>
      <c r="AK73" s="18" t="s">
        <v>149</v>
      </c>
      <c r="AL73" s="18" t="s">
        <v>113</v>
      </c>
      <c r="AM73" s="18" t="s">
        <v>154</v>
      </c>
      <c r="AN73" s="18" t="s">
        <v>175</v>
      </c>
      <c r="AO73" s="18">
        <v>0.137805387667261</v>
      </c>
      <c r="AS73" s="18" t="s">
        <v>118</v>
      </c>
      <c r="AT73" s="18" t="s">
        <v>142</v>
      </c>
      <c r="AU73" s="18" t="s">
        <v>158</v>
      </c>
      <c r="AV73" s="18">
        <v>2.1897597738232411E-2</v>
      </c>
    </row>
    <row r="74" spans="16:48" hidden="1">
      <c r="P74" t="s">
        <v>114</v>
      </c>
      <c r="Q74" t="s">
        <v>143</v>
      </c>
      <c r="R74" t="s">
        <v>159</v>
      </c>
      <c r="S74">
        <v>0.13289731190384163</v>
      </c>
      <c r="U74" t="s">
        <v>149</v>
      </c>
      <c r="V74" t="s">
        <v>114</v>
      </c>
      <c r="W74" t="s">
        <v>154</v>
      </c>
      <c r="X74" t="s">
        <v>144</v>
      </c>
      <c r="Y74">
        <v>0.137805387667261</v>
      </c>
      <c r="AK74" s="18" t="s">
        <v>149</v>
      </c>
      <c r="AL74" s="18" t="s">
        <v>114</v>
      </c>
      <c r="AM74" s="18" t="s">
        <v>154</v>
      </c>
      <c r="AN74" s="18" t="s">
        <v>175</v>
      </c>
      <c r="AO74" s="18">
        <v>0.137805387667261</v>
      </c>
      <c r="AS74" s="18" t="s">
        <v>118</v>
      </c>
      <c r="AT74" s="18" t="s">
        <v>142</v>
      </c>
      <c r="AU74" s="18" t="s">
        <v>159</v>
      </c>
      <c r="AV74" s="18">
        <v>0.13583840542358677</v>
      </c>
    </row>
    <row r="75" spans="16:48" hidden="1">
      <c r="P75" t="s">
        <v>114</v>
      </c>
      <c r="Q75" t="s">
        <v>143</v>
      </c>
      <c r="R75" t="s">
        <v>160</v>
      </c>
      <c r="S75">
        <v>7.6165737519410998E-2</v>
      </c>
      <c r="U75" t="s">
        <v>149</v>
      </c>
      <c r="V75" t="s">
        <v>115</v>
      </c>
      <c r="W75" t="s">
        <v>154</v>
      </c>
      <c r="X75" t="s">
        <v>144</v>
      </c>
      <c r="Y75">
        <v>0.137805387667261</v>
      </c>
      <c r="AK75" s="18" t="s">
        <v>149</v>
      </c>
      <c r="AL75" s="18" t="s">
        <v>115</v>
      </c>
      <c r="AM75" s="18" t="s">
        <v>154</v>
      </c>
      <c r="AN75" s="18" t="s">
        <v>175</v>
      </c>
      <c r="AO75" s="18">
        <v>0.137805387667261</v>
      </c>
      <c r="AS75" s="18" t="s">
        <v>118</v>
      </c>
      <c r="AT75" s="18" t="s">
        <v>142</v>
      </c>
      <c r="AU75" s="18" t="s">
        <v>160</v>
      </c>
      <c r="AV75" s="18">
        <v>9.2338383497396731E-2</v>
      </c>
    </row>
    <row r="76" spans="16:48" hidden="1">
      <c r="P76" t="s">
        <v>114</v>
      </c>
      <c r="Q76" t="s">
        <v>143</v>
      </c>
      <c r="R76" t="s">
        <v>161</v>
      </c>
      <c r="S76">
        <v>2.2493250971526418E-2</v>
      </c>
      <c r="U76" t="s">
        <v>149</v>
      </c>
      <c r="V76" t="s">
        <v>116</v>
      </c>
      <c r="W76" t="s">
        <v>154</v>
      </c>
      <c r="X76" t="s">
        <v>144</v>
      </c>
      <c r="Y76">
        <v>0.137805387667261</v>
      </c>
      <c r="AK76" s="18" t="s">
        <v>149</v>
      </c>
      <c r="AL76" s="18" t="s">
        <v>116</v>
      </c>
      <c r="AM76" s="18" t="s">
        <v>154</v>
      </c>
      <c r="AN76" s="18" t="s">
        <v>175</v>
      </c>
      <c r="AO76" s="18">
        <v>0.137805387667261</v>
      </c>
      <c r="AS76" s="18" t="s">
        <v>118</v>
      </c>
      <c r="AT76" s="18" t="s">
        <v>142</v>
      </c>
      <c r="AU76" s="18" t="s">
        <v>161</v>
      </c>
      <c r="AV76" s="18">
        <v>2.1347751315469132E-2</v>
      </c>
    </row>
    <row r="77" spans="16:48" hidden="1">
      <c r="P77" t="s">
        <v>115</v>
      </c>
      <c r="Q77" t="s">
        <v>141</v>
      </c>
      <c r="R77" t="s">
        <v>150</v>
      </c>
      <c r="S77">
        <v>0.1375877460581344</v>
      </c>
      <c r="U77" t="s">
        <v>149</v>
      </c>
      <c r="V77" t="s">
        <v>117</v>
      </c>
      <c r="W77" t="s">
        <v>154</v>
      </c>
      <c r="X77" t="s">
        <v>144</v>
      </c>
      <c r="Y77">
        <v>0.137805387667261</v>
      </c>
      <c r="AK77" s="18" t="s">
        <v>149</v>
      </c>
      <c r="AL77" s="18" t="s">
        <v>117</v>
      </c>
      <c r="AM77" s="18" t="s">
        <v>154</v>
      </c>
      <c r="AN77" s="18" t="s">
        <v>175</v>
      </c>
      <c r="AO77" s="18">
        <v>0.137805387667261</v>
      </c>
      <c r="AS77" s="18" t="s">
        <v>119</v>
      </c>
      <c r="AT77" s="18" t="s">
        <v>142</v>
      </c>
      <c r="AU77" s="18" t="s">
        <v>150</v>
      </c>
      <c r="AV77" s="18">
        <v>0.13549426100361933</v>
      </c>
    </row>
    <row r="78" spans="16:48" hidden="1">
      <c r="P78" t="s">
        <v>115</v>
      </c>
      <c r="Q78" t="s">
        <v>141</v>
      </c>
      <c r="R78" t="s">
        <v>151</v>
      </c>
      <c r="S78">
        <v>7.0033595159381581E-2</v>
      </c>
      <c r="U78" t="s">
        <v>149</v>
      </c>
      <c r="V78" t="s">
        <v>118</v>
      </c>
      <c r="W78" t="s">
        <v>154</v>
      </c>
      <c r="X78" t="s">
        <v>144</v>
      </c>
      <c r="Y78">
        <v>0.137805387667261</v>
      </c>
      <c r="AK78" s="18" t="s">
        <v>149</v>
      </c>
      <c r="AL78" s="18" t="s">
        <v>118</v>
      </c>
      <c r="AM78" s="18" t="s">
        <v>154</v>
      </c>
      <c r="AN78" s="18" t="s">
        <v>175</v>
      </c>
      <c r="AO78" s="18">
        <v>0.137805387667261</v>
      </c>
      <c r="AS78" s="18" t="s">
        <v>119</v>
      </c>
      <c r="AT78" s="18" t="s">
        <v>142</v>
      </c>
      <c r="AU78" s="18" t="s">
        <v>151</v>
      </c>
      <c r="AV78" s="18">
        <v>9.097557248418392E-2</v>
      </c>
    </row>
    <row r="79" spans="16:48" hidden="1">
      <c r="P79" t="s">
        <v>115</v>
      </c>
      <c r="Q79" t="s">
        <v>141</v>
      </c>
      <c r="R79" t="s">
        <v>152</v>
      </c>
      <c r="S79">
        <v>2.3022074033862847E-2</v>
      </c>
      <c r="U79" t="s">
        <v>149</v>
      </c>
      <c r="V79" t="s">
        <v>119</v>
      </c>
      <c r="W79" t="s">
        <v>154</v>
      </c>
      <c r="X79" t="s">
        <v>144</v>
      </c>
      <c r="Y79">
        <v>0.137805387667261</v>
      </c>
      <c r="AK79" s="18" t="s">
        <v>149</v>
      </c>
      <c r="AL79" s="18" t="s">
        <v>119</v>
      </c>
      <c r="AM79" s="18" t="s">
        <v>154</v>
      </c>
      <c r="AN79" s="18" t="s">
        <v>175</v>
      </c>
      <c r="AO79" s="18">
        <v>0.137805387667261</v>
      </c>
      <c r="AS79" s="18" t="s">
        <v>119</v>
      </c>
      <c r="AT79" s="18" t="s">
        <v>142</v>
      </c>
      <c r="AU79" s="18" t="s">
        <v>152</v>
      </c>
      <c r="AV79" s="18">
        <v>2.1131892243387799E-2</v>
      </c>
    </row>
    <row r="80" spans="16:48" hidden="1">
      <c r="P80" t="s">
        <v>115</v>
      </c>
      <c r="Q80" t="s">
        <v>141</v>
      </c>
      <c r="R80" t="s">
        <v>153</v>
      </c>
      <c r="S80">
        <v>0.12877882861184312</v>
      </c>
      <c r="U80" t="s">
        <v>149</v>
      </c>
      <c r="V80" t="s">
        <v>120</v>
      </c>
      <c r="W80" t="s">
        <v>154</v>
      </c>
      <c r="X80" t="s">
        <v>144</v>
      </c>
      <c r="Y80">
        <v>0.137805387667261</v>
      </c>
      <c r="AK80" s="18" t="s">
        <v>149</v>
      </c>
      <c r="AL80" s="18" t="s">
        <v>120</v>
      </c>
      <c r="AM80" s="18" t="s">
        <v>154</v>
      </c>
      <c r="AN80" s="18" t="s">
        <v>175</v>
      </c>
      <c r="AO80" s="18">
        <v>0.137805387667261</v>
      </c>
      <c r="AS80" s="18" t="s">
        <v>119</v>
      </c>
      <c r="AT80" s="18" t="s">
        <v>142</v>
      </c>
      <c r="AU80" s="18" t="s">
        <v>153</v>
      </c>
      <c r="AV80" s="18">
        <v>0.13443522978331027</v>
      </c>
    </row>
    <row r="81" spans="16:48" hidden="1">
      <c r="P81" t="s">
        <v>115</v>
      </c>
      <c r="Q81" t="s">
        <v>141</v>
      </c>
      <c r="R81" t="s">
        <v>154</v>
      </c>
      <c r="S81">
        <v>6.6501651901199929E-2</v>
      </c>
      <c r="U81" t="s">
        <v>149</v>
      </c>
      <c r="V81" t="s">
        <v>121</v>
      </c>
      <c r="W81" t="s">
        <v>154</v>
      </c>
      <c r="X81" t="s">
        <v>144</v>
      </c>
      <c r="Y81">
        <v>0.137805387667261</v>
      </c>
      <c r="AK81" s="18" t="s">
        <v>149</v>
      </c>
      <c r="AL81" s="18" t="s">
        <v>121</v>
      </c>
      <c r="AM81" s="18" t="s">
        <v>154</v>
      </c>
      <c r="AN81" s="18" t="s">
        <v>175</v>
      </c>
      <c r="AO81" s="18">
        <v>0.137805387667261</v>
      </c>
      <c r="AS81" s="18" t="s">
        <v>119</v>
      </c>
      <c r="AT81" s="18" t="s">
        <v>142</v>
      </c>
      <c r="AU81" s="18" t="s">
        <v>154</v>
      </c>
      <c r="AV81" s="18">
        <v>9.0520728726258839E-2</v>
      </c>
    </row>
    <row r="82" spans="16:48" hidden="1">
      <c r="P82" t="s">
        <v>115</v>
      </c>
      <c r="Q82" t="s">
        <v>141</v>
      </c>
      <c r="R82" t="s">
        <v>155</v>
      </c>
      <c r="S82">
        <v>2.0559535977748317E-2</v>
      </c>
      <c r="U82" t="s">
        <v>149</v>
      </c>
      <c r="V82" t="s">
        <v>122</v>
      </c>
      <c r="W82" t="s">
        <v>154</v>
      </c>
      <c r="X82" t="s">
        <v>144</v>
      </c>
      <c r="Y82">
        <v>0.137805387667261</v>
      </c>
      <c r="AK82" s="18" t="s">
        <v>149</v>
      </c>
      <c r="AL82" s="18" t="s">
        <v>122</v>
      </c>
      <c r="AM82" s="18" t="s">
        <v>154</v>
      </c>
      <c r="AN82" s="18" t="s">
        <v>175</v>
      </c>
      <c r="AO82" s="18">
        <v>0.137805387667261</v>
      </c>
      <c r="AS82" s="18" t="s">
        <v>119</v>
      </c>
      <c r="AT82" s="18" t="s">
        <v>142</v>
      </c>
      <c r="AU82" s="18" t="s">
        <v>155</v>
      </c>
      <c r="AV82" s="18">
        <v>2.083141724615245E-2</v>
      </c>
    </row>
    <row r="83" spans="16:48" hidden="1">
      <c r="P83" t="s">
        <v>115</v>
      </c>
      <c r="Q83" t="s">
        <v>141</v>
      </c>
      <c r="R83" t="s">
        <v>156</v>
      </c>
      <c r="S83">
        <v>0.18919539422738235</v>
      </c>
      <c r="U83" t="s">
        <v>149</v>
      </c>
      <c r="V83" t="s">
        <v>123</v>
      </c>
      <c r="W83" t="s">
        <v>154</v>
      </c>
      <c r="X83" t="s">
        <v>144</v>
      </c>
      <c r="Y83">
        <v>0.137805387667261</v>
      </c>
      <c r="AK83" s="18" t="s">
        <v>149</v>
      </c>
      <c r="AL83" s="18" t="s">
        <v>123</v>
      </c>
      <c r="AM83" s="18" t="s">
        <v>154</v>
      </c>
      <c r="AN83" s="18" t="s">
        <v>175</v>
      </c>
      <c r="AO83" s="18">
        <v>0.137805387667261</v>
      </c>
      <c r="AS83" s="18" t="s">
        <v>119</v>
      </c>
      <c r="AT83" s="18" t="s">
        <v>142</v>
      </c>
      <c r="AU83" s="18" t="s">
        <v>156</v>
      </c>
      <c r="AV83" s="18">
        <v>0.14138995788001113</v>
      </c>
    </row>
    <row r="84" spans="16:48" hidden="1">
      <c r="P84" t="s">
        <v>115</v>
      </c>
      <c r="Q84" t="s">
        <v>141</v>
      </c>
      <c r="R84" t="s">
        <v>157</v>
      </c>
      <c r="S84">
        <v>9.1736672237964181E-2</v>
      </c>
      <c r="U84" t="s">
        <v>149</v>
      </c>
      <c r="V84" t="s">
        <v>50</v>
      </c>
      <c r="W84" t="s">
        <v>154</v>
      </c>
      <c r="X84" t="s">
        <v>144</v>
      </c>
      <c r="Y84">
        <v>0.137805387667261</v>
      </c>
      <c r="AK84" s="18" t="s">
        <v>149</v>
      </c>
      <c r="AL84" s="18" t="s">
        <v>50</v>
      </c>
      <c r="AM84" s="18" t="s">
        <v>154</v>
      </c>
      <c r="AN84" s="18" t="s">
        <v>175</v>
      </c>
      <c r="AO84" s="18">
        <v>0.137805387667261</v>
      </c>
      <c r="AS84" s="18" t="s">
        <v>119</v>
      </c>
      <c r="AT84" s="18" t="s">
        <v>142</v>
      </c>
      <c r="AU84" s="18" t="s">
        <v>157</v>
      </c>
      <c r="AV84" s="18">
        <v>9.3640554703270998E-2</v>
      </c>
    </row>
    <row r="85" spans="16:48" hidden="1">
      <c r="P85" t="s">
        <v>115</v>
      </c>
      <c r="Q85" t="s">
        <v>141</v>
      </c>
      <c r="R85" t="s">
        <v>158</v>
      </c>
      <c r="S85">
        <v>2.914877399212179E-2</v>
      </c>
      <c r="U85" t="s">
        <v>149</v>
      </c>
      <c r="V85" t="s">
        <v>124</v>
      </c>
      <c r="W85" t="s">
        <v>154</v>
      </c>
      <c r="X85" t="s">
        <v>144</v>
      </c>
      <c r="Y85">
        <v>0.137805387667261</v>
      </c>
      <c r="AK85" s="18" t="s">
        <v>149</v>
      </c>
      <c r="AL85" s="18" t="s">
        <v>124</v>
      </c>
      <c r="AM85" s="18" t="s">
        <v>154</v>
      </c>
      <c r="AN85" s="18" t="s">
        <v>175</v>
      </c>
      <c r="AO85" s="18">
        <v>0.137805387667261</v>
      </c>
      <c r="AS85" s="18" t="s">
        <v>119</v>
      </c>
      <c r="AT85" s="18" t="s">
        <v>142</v>
      </c>
      <c r="AU85" s="18" t="s">
        <v>158</v>
      </c>
      <c r="AV85" s="18">
        <v>2.1874361676557121E-2</v>
      </c>
    </row>
    <row r="86" spans="16:48" hidden="1">
      <c r="P86" t="s">
        <v>115</v>
      </c>
      <c r="Q86" t="s">
        <v>141</v>
      </c>
      <c r="R86" t="s">
        <v>159</v>
      </c>
      <c r="S86">
        <v>0.13757734794893281</v>
      </c>
      <c r="U86" t="s">
        <v>149</v>
      </c>
      <c r="V86" t="s">
        <v>105</v>
      </c>
      <c r="W86" t="s">
        <v>154</v>
      </c>
      <c r="X86" t="s">
        <v>144</v>
      </c>
      <c r="Y86">
        <v>0.137805387667261</v>
      </c>
      <c r="AK86" s="18" t="s">
        <v>149</v>
      </c>
      <c r="AL86" s="18" t="s">
        <v>105</v>
      </c>
      <c r="AM86" s="18" t="s">
        <v>154</v>
      </c>
      <c r="AN86" s="18" t="s">
        <v>175</v>
      </c>
      <c r="AO86" s="18">
        <v>0.137805387667261</v>
      </c>
      <c r="AS86" s="18" t="s">
        <v>119</v>
      </c>
      <c r="AT86" s="18" t="s">
        <v>142</v>
      </c>
      <c r="AU86" s="18" t="s">
        <v>159</v>
      </c>
      <c r="AV86" s="18">
        <v>0.1359320699700968</v>
      </c>
    </row>
    <row r="87" spans="16:48" hidden="1">
      <c r="P87" t="s">
        <v>115</v>
      </c>
      <c r="Q87" t="s">
        <v>141</v>
      </c>
      <c r="R87" t="s">
        <v>160</v>
      </c>
      <c r="S87">
        <v>8.0850238866432333E-2</v>
      </c>
      <c r="U87" t="s">
        <v>149</v>
      </c>
      <c r="V87" t="s">
        <v>51</v>
      </c>
      <c r="W87" t="s">
        <v>154</v>
      </c>
      <c r="X87" t="s">
        <v>144</v>
      </c>
      <c r="Y87">
        <v>0.137805387667261</v>
      </c>
      <c r="AK87" s="18" t="s">
        <v>149</v>
      </c>
      <c r="AL87" s="18" t="s">
        <v>51</v>
      </c>
      <c r="AM87" s="18" t="s">
        <v>154</v>
      </c>
      <c r="AN87" s="18" t="s">
        <v>175</v>
      </c>
      <c r="AO87" s="18">
        <v>0.137805387667261</v>
      </c>
      <c r="AS87" s="18" t="s">
        <v>119</v>
      </c>
      <c r="AT87" s="18" t="s">
        <v>142</v>
      </c>
      <c r="AU87" s="18" t="s">
        <v>160</v>
      </c>
      <c r="AV87" s="18">
        <v>9.2381982072353805E-2</v>
      </c>
    </row>
    <row r="88" spans="16:48" hidden="1">
      <c r="P88" t="s">
        <v>115</v>
      </c>
      <c r="Q88" t="s">
        <v>141</v>
      </c>
      <c r="R88" t="s">
        <v>161</v>
      </c>
      <c r="S88">
        <v>2.5008140984996104E-2</v>
      </c>
      <c r="U88" t="s">
        <v>149</v>
      </c>
      <c r="V88" t="s">
        <v>125</v>
      </c>
      <c r="W88" t="s">
        <v>154</v>
      </c>
      <c r="X88" t="s">
        <v>144</v>
      </c>
      <c r="Y88">
        <v>0.137805387667261</v>
      </c>
      <c r="AK88" s="18" t="s">
        <v>149</v>
      </c>
      <c r="AL88" s="18" t="s">
        <v>125</v>
      </c>
      <c r="AM88" s="18" t="s">
        <v>154</v>
      </c>
      <c r="AN88" s="18" t="s">
        <v>175</v>
      </c>
      <c r="AO88" s="18">
        <v>0.137805387667261</v>
      </c>
      <c r="AS88" s="18" t="s">
        <v>119</v>
      </c>
      <c r="AT88" s="18" t="s">
        <v>142</v>
      </c>
      <c r="AU88" s="18" t="s">
        <v>161</v>
      </c>
      <c r="AV88" s="18">
        <v>2.1391972210794679E-2</v>
      </c>
    </row>
    <row r="89" spans="16:48">
      <c r="P89" t="s">
        <v>115</v>
      </c>
      <c r="Q89" t="s">
        <v>142</v>
      </c>
      <c r="R89" t="s">
        <v>150</v>
      </c>
      <c r="S89">
        <v>0.13546549888699058</v>
      </c>
      <c r="U89" t="s">
        <v>149</v>
      </c>
      <c r="V89" t="s">
        <v>112</v>
      </c>
      <c r="W89" t="s">
        <v>154</v>
      </c>
      <c r="X89" t="s">
        <v>144</v>
      </c>
      <c r="Y89">
        <v>0.137805387667261</v>
      </c>
      <c r="AK89" s="18" t="s">
        <v>149</v>
      </c>
      <c r="AL89" s="18" t="s">
        <v>112</v>
      </c>
      <c r="AM89" s="18" t="s">
        <v>154</v>
      </c>
      <c r="AN89" s="18" t="s">
        <v>175</v>
      </c>
      <c r="AO89" s="18">
        <v>0.137805387667261</v>
      </c>
      <c r="AS89" s="18" t="s">
        <v>120</v>
      </c>
      <c r="AT89" s="18" t="s">
        <v>174</v>
      </c>
      <c r="AU89" s="18" t="s">
        <v>150</v>
      </c>
      <c r="AV89" s="18">
        <v>0.1366466589618032</v>
      </c>
    </row>
    <row r="90" spans="16:48">
      <c r="P90" t="s">
        <v>115</v>
      </c>
      <c r="Q90" t="s">
        <v>142</v>
      </c>
      <c r="R90" t="s">
        <v>151</v>
      </c>
      <c r="S90">
        <v>9.0938966070503155E-2</v>
      </c>
      <c r="U90" t="s">
        <v>149</v>
      </c>
      <c r="V90" t="s">
        <v>113</v>
      </c>
      <c r="W90" t="s">
        <v>155</v>
      </c>
      <c r="X90" t="s">
        <v>144</v>
      </c>
      <c r="Y90">
        <v>5.2605550652358703E-2</v>
      </c>
      <c r="AK90" s="18" t="s">
        <v>149</v>
      </c>
      <c r="AL90" s="18" t="s">
        <v>113</v>
      </c>
      <c r="AM90" s="18" t="s">
        <v>155</v>
      </c>
      <c r="AN90" s="18" t="s">
        <v>175</v>
      </c>
      <c r="AO90" s="18">
        <v>5.2605550652358703E-2</v>
      </c>
      <c r="AS90" s="18" t="s">
        <v>120</v>
      </c>
      <c r="AT90" s="18" t="s">
        <v>174</v>
      </c>
      <c r="AU90" s="18" t="s">
        <v>151</v>
      </c>
      <c r="AV90" s="18">
        <v>9.1644493538178745E-2</v>
      </c>
    </row>
    <row r="91" spans="16:48">
      <c r="P91" t="s">
        <v>115</v>
      </c>
      <c r="Q91" t="s">
        <v>142</v>
      </c>
      <c r="R91" t="s">
        <v>152</v>
      </c>
      <c r="S91">
        <v>2.1103123178774552E-2</v>
      </c>
      <c r="U91" t="s">
        <v>149</v>
      </c>
      <c r="V91" t="s">
        <v>114</v>
      </c>
      <c r="W91" t="s">
        <v>155</v>
      </c>
      <c r="X91" t="s">
        <v>144</v>
      </c>
      <c r="Y91">
        <v>5.2605550652358703E-2</v>
      </c>
      <c r="AK91" s="18" t="s">
        <v>149</v>
      </c>
      <c r="AL91" s="18" t="s">
        <v>114</v>
      </c>
      <c r="AM91" s="18" t="s">
        <v>155</v>
      </c>
      <c r="AN91" s="18" t="s">
        <v>175</v>
      </c>
      <c r="AO91" s="18">
        <v>5.2605550652358703E-2</v>
      </c>
      <c r="AS91" s="18" t="s">
        <v>120</v>
      </c>
      <c r="AT91" s="18" t="s">
        <v>174</v>
      </c>
      <c r="AU91" s="18" t="s">
        <v>152</v>
      </c>
      <c r="AV91" s="18">
        <v>2.133091785312281E-2</v>
      </c>
    </row>
    <row r="92" spans="16:48">
      <c r="P92" t="s">
        <v>115</v>
      </c>
      <c r="Q92" t="s">
        <v>142</v>
      </c>
      <c r="R92" t="s">
        <v>153</v>
      </c>
      <c r="S92">
        <v>0.13439366534147892</v>
      </c>
      <c r="U92" t="s">
        <v>149</v>
      </c>
      <c r="V92" t="s">
        <v>115</v>
      </c>
      <c r="W92" t="s">
        <v>155</v>
      </c>
      <c r="X92" t="s">
        <v>144</v>
      </c>
      <c r="Y92">
        <v>5.2605550652358703E-2</v>
      </c>
      <c r="AK92" s="18" t="s">
        <v>149</v>
      </c>
      <c r="AL92" s="18" t="s">
        <v>115</v>
      </c>
      <c r="AM92" s="18" t="s">
        <v>155</v>
      </c>
      <c r="AN92" s="18" t="s">
        <v>175</v>
      </c>
      <c r="AO92" s="18">
        <v>5.2605550652358703E-2</v>
      </c>
      <c r="AS92" s="18" t="s">
        <v>120</v>
      </c>
      <c r="AT92" s="18" t="s">
        <v>174</v>
      </c>
      <c r="AU92" s="18" t="s">
        <v>153</v>
      </c>
      <c r="AV92" s="18">
        <v>0.13591806562046505</v>
      </c>
    </row>
    <row r="93" spans="16:48">
      <c r="P93" t="s">
        <v>115</v>
      </c>
      <c r="Q93" t="s">
        <v>142</v>
      </c>
      <c r="R93" t="s">
        <v>154</v>
      </c>
      <c r="S93">
        <v>9.0481288212978683E-2</v>
      </c>
      <c r="U93" t="s">
        <v>149</v>
      </c>
      <c r="V93" t="s">
        <v>116</v>
      </c>
      <c r="W93" t="s">
        <v>155</v>
      </c>
      <c r="X93" t="s">
        <v>144</v>
      </c>
      <c r="Y93">
        <v>5.2605550652358703E-2</v>
      </c>
      <c r="AK93" s="18" t="s">
        <v>149</v>
      </c>
      <c r="AL93" s="18" t="s">
        <v>116</v>
      </c>
      <c r="AM93" s="18" t="s">
        <v>155</v>
      </c>
      <c r="AN93" s="18" t="s">
        <v>175</v>
      </c>
      <c r="AO93" s="18">
        <v>5.2605550652358703E-2</v>
      </c>
      <c r="AS93" s="18" t="s">
        <v>120</v>
      </c>
      <c r="AT93" s="18" t="s">
        <v>174</v>
      </c>
      <c r="AU93" s="18" t="s">
        <v>154</v>
      </c>
      <c r="AV93" s="18">
        <v>9.1715927812381012E-2</v>
      </c>
    </row>
    <row r="94" spans="16:48">
      <c r="P94" t="s">
        <v>115</v>
      </c>
      <c r="Q94" t="s">
        <v>142</v>
      </c>
      <c r="R94" t="s">
        <v>155</v>
      </c>
      <c r="S94">
        <v>2.0807325059500399E-2</v>
      </c>
      <c r="U94" t="s">
        <v>149</v>
      </c>
      <c r="V94" t="s">
        <v>117</v>
      </c>
      <c r="W94" t="s">
        <v>155</v>
      </c>
      <c r="X94" t="s">
        <v>144</v>
      </c>
      <c r="Y94">
        <v>5.2605550652358703E-2</v>
      </c>
      <c r="AK94" s="18" t="s">
        <v>149</v>
      </c>
      <c r="AL94" s="18" t="s">
        <v>117</v>
      </c>
      <c r="AM94" s="18" t="s">
        <v>155</v>
      </c>
      <c r="AN94" s="18" t="s">
        <v>175</v>
      </c>
      <c r="AO94" s="18">
        <v>5.2605550652358703E-2</v>
      </c>
      <c r="AS94" s="18" t="s">
        <v>120</v>
      </c>
      <c r="AT94" s="18" t="s">
        <v>174</v>
      </c>
      <c r="AU94" s="18" t="s">
        <v>155</v>
      </c>
      <c r="AV94" s="18">
        <v>2.1048187222761732E-2</v>
      </c>
    </row>
    <row r="95" spans="16:48">
      <c r="P95" t="s">
        <v>115</v>
      </c>
      <c r="Q95" t="s">
        <v>142</v>
      </c>
      <c r="R95" t="s">
        <v>156</v>
      </c>
      <c r="S95">
        <v>0.14163623732843239</v>
      </c>
      <c r="U95" t="s">
        <v>149</v>
      </c>
      <c r="V95" t="s">
        <v>118</v>
      </c>
      <c r="W95" t="s">
        <v>155</v>
      </c>
      <c r="X95" t="s">
        <v>144</v>
      </c>
      <c r="Y95">
        <v>5.2605550652358703E-2</v>
      </c>
      <c r="AK95" s="18" t="s">
        <v>149</v>
      </c>
      <c r="AL95" s="18" t="s">
        <v>118</v>
      </c>
      <c r="AM95" s="18" t="s">
        <v>155</v>
      </c>
      <c r="AN95" s="18" t="s">
        <v>175</v>
      </c>
      <c r="AO95" s="18">
        <v>5.2605550652358703E-2</v>
      </c>
      <c r="AS95" s="18" t="s">
        <v>120</v>
      </c>
      <c r="AT95" s="18" t="s">
        <v>174</v>
      </c>
      <c r="AU95" s="18" t="s">
        <v>156</v>
      </c>
      <c r="AV95" s="18">
        <v>0.13488035491071798</v>
      </c>
    </row>
    <row r="96" spans="16:48">
      <c r="P96" t="s">
        <v>115</v>
      </c>
      <c r="Q96" t="s">
        <v>142</v>
      </c>
      <c r="R96" t="s">
        <v>157</v>
      </c>
      <c r="S96">
        <v>9.3751730911311795E-2</v>
      </c>
      <c r="U96" t="s">
        <v>149</v>
      </c>
      <c r="V96" t="s">
        <v>119</v>
      </c>
      <c r="W96" t="s">
        <v>155</v>
      </c>
      <c r="X96" t="s">
        <v>144</v>
      </c>
      <c r="Y96">
        <v>5.2605550652358703E-2</v>
      </c>
      <c r="AK96" s="18" t="s">
        <v>149</v>
      </c>
      <c r="AL96" s="18" t="s">
        <v>119</v>
      </c>
      <c r="AM96" s="18" t="s">
        <v>155</v>
      </c>
      <c r="AN96" s="18" t="s">
        <v>175</v>
      </c>
      <c r="AO96" s="18">
        <v>5.2605550652358703E-2</v>
      </c>
      <c r="AS96" s="18" t="s">
        <v>120</v>
      </c>
      <c r="AT96" s="18" t="s">
        <v>174</v>
      </c>
      <c r="AU96" s="18" t="s">
        <v>157</v>
      </c>
      <c r="AV96" s="18">
        <v>9.077236235704339E-2</v>
      </c>
    </row>
    <row r="97" spans="16:48">
      <c r="P97" t="s">
        <v>115</v>
      </c>
      <c r="Q97" t="s">
        <v>142</v>
      </c>
      <c r="R97" t="s">
        <v>158</v>
      </c>
      <c r="S97">
        <v>2.1897581557676498E-2</v>
      </c>
      <c r="U97" t="s">
        <v>149</v>
      </c>
      <c r="V97" t="s">
        <v>120</v>
      </c>
      <c r="W97" t="s">
        <v>155</v>
      </c>
      <c r="X97" t="s">
        <v>144</v>
      </c>
      <c r="Y97">
        <v>5.2605550652358703E-2</v>
      </c>
      <c r="AK97" s="18" t="s">
        <v>149</v>
      </c>
      <c r="AL97" s="18" t="s">
        <v>120</v>
      </c>
      <c r="AM97" s="18" t="s">
        <v>155</v>
      </c>
      <c r="AN97" s="18" t="s">
        <v>175</v>
      </c>
      <c r="AO97" s="18">
        <v>5.2605550652358703E-2</v>
      </c>
      <c r="AS97" s="18" t="s">
        <v>120</v>
      </c>
      <c r="AT97" s="18" t="s">
        <v>174</v>
      </c>
      <c r="AU97" s="18" t="s">
        <v>158</v>
      </c>
      <c r="AV97" s="18">
        <v>2.0813771614887889E-2</v>
      </c>
    </row>
    <row r="98" spans="16:48">
      <c r="P98" t="s">
        <v>115</v>
      </c>
      <c r="Q98" t="s">
        <v>142</v>
      </c>
      <c r="R98" t="s">
        <v>159</v>
      </c>
      <c r="S98">
        <v>0.13583838870191081</v>
      </c>
      <c r="U98" t="s">
        <v>149</v>
      </c>
      <c r="V98" t="s">
        <v>121</v>
      </c>
      <c r="W98" t="s">
        <v>155</v>
      </c>
      <c r="X98" t="s">
        <v>144</v>
      </c>
      <c r="Y98">
        <v>5.2605550652358703E-2</v>
      </c>
      <c r="AK98" s="18" t="s">
        <v>149</v>
      </c>
      <c r="AL98" s="18" t="s">
        <v>121</v>
      </c>
      <c r="AM98" s="18" t="s">
        <v>155</v>
      </c>
      <c r="AN98" s="18" t="s">
        <v>175</v>
      </c>
      <c r="AO98" s="18">
        <v>5.2605550652358703E-2</v>
      </c>
      <c r="AS98" s="18" t="s">
        <v>120</v>
      </c>
      <c r="AT98" s="18" t="s">
        <v>174</v>
      </c>
      <c r="AU98" s="18" t="s">
        <v>159</v>
      </c>
      <c r="AV98" s="18">
        <v>0.13957263366851685</v>
      </c>
    </row>
    <row r="99" spans="16:48">
      <c r="P99" t="s">
        <v>115</v>
      </c>
      <c r="Q99" t="s">
        <v>142</v>
      </c>
      <c r="R99" t="s">
        <v>160</v>
      </c>
      <c r="S99">
        <v>9.2338368000886573E-2</v>
      </c>
      <c r="U99" t="s">
        <v>149</v>
      </c>
      <c r="V99" t="s">
        <v>122</v>
      </c>
      <c r="W99" t="s">
        <v>155</v>
      </c>
      <c r="X99" t="s">
        <v>144</v>
      </c>
      <c r="Y99">
        <v>5.2605550652358703E-2</v>
      </c>
      <c r="AK99" s="18" t="s">
        <v>149</v>
      </c>
      <c r="AL99" s="18" t="s">
        <v>122</v>
      </c>
      <c r="AM99" s="18" t="s">
        <v>155</v>
      </c>
      <c r="AN99" s="18" t="s">
        <v>175</v>
      </c>
      <c r="AO99" s="18">
        <v>5.2605550652358703E-2</v>
      </c>
      <c r="AS99" s="18" t="s">
        <v>120</v>
      </c>
      <c r="AT99" s="18" t="s">
        <v>174</v>
      </c>
      <c r="AU99" s="18" t="s">
        <v>160</v>
      </c>
      <c r="AV99" s="18">
        <v>9.375743092289282E-2</v>
      </c>
    </row>
    <row r="100" spans="16:48">
      <c r="P100" t="s">
        <v>115</v>
      </c>
      <c r="Q100" t="s">
        <v>142</v>
      </c>
      <c r="R100" t="s">
        <v>161</v>
      </c>
      <c r="S100">
        <v>2.1347826749556046E-2</v>
      </c>
      <c r="U100" t="s">
        <v>149</v>
      </c>
      <c r="V100" t="s">
        <v>123</v>
      </c>
      <c r="W100" t="s">
        <v>155</v>
      </c>
      <c r="X100" t="s">
        <v>144</v>
      </c>
      <c r="Y100">
        <v>5.2605550652358703E-2</v>
      </c>
      <c r="AK100" s="18" t="s">
        <v>149</v>
      </c>
      <c r="AL100" s="18" t="s">
        <v>123</v>
      </c>
      <c r="AM100" s="18" t="s">
        <v>155</v>
      </c>
      <c r="AN100" s="18" t="s">
        <v>175</v>
      </c>
      <c r="AO100" s="18">
        <v>5.2605550652358703E-2</v>
      </c>
      <c r="AS100" s="18" t="s">
        <v>120</v>
      </c>
      <c r="AT100" s="18" t="s">
        <v>174</v>
      </c>
      <c r="AU100" s="18" t="s">
        <v>161</v>
      </c>
      <c r="AV100" s="18">
        <v>2.1899195517228555E-2</v>
      </c>
    </row>
    <row r="101" spans="16:48" hidden="1">
      <c r="P101" t="s">
        <v>115</v>
      </c>
      <c r="Q101" t="s">
        <v>143</v>
      </c>
      <c r="R101" t="s">
        <v>150</v>
      </c>
      <c r="S101">
        <v>0.13391770638872982</v>
      </c>
      <c r="U101" t="s">
        <v>149</v>
      </c>
      <c r="V101" t="s">
        <v>50</v>
      </c>
      <c r="W101" t="s">
        <v>155</v>
      </c>
      <c r="X101" t="s">
        <v>144</v>
      </c>
      <c r="Y101">
        <v>5.2605550652358703E-2</v>
      </c>
      <c r="AK101" s="18" t="s">
        <v>149</v>
      </c>
      <c r="AL101" s="18" t="s">
        <v>50</v>
      </c>
      <c r="AM101" s="18" t="s">
        <v>155</v>
      </c>
      <c r="AN101" s="18" t="s">
        <v>175</v>
      </c>
      <c r="AO101" s="18">
        <v>5.2605550652358703E-2</v>
      </c>
      <c r="AS101" s="18" t="s">
        <v>121</v>
      </c>
      <c r="AT101" s="18" t="s">
        <v>142</v>
      </c>
      <c r="AU101" s="18" t="s">
        <v>150</v>
      </c>
      <c r="AV101" s="18">
        <v>0.13500313780000206</v>
      </c>
    </row>
    <row r="102" spans="16:48" hidden="1">
      <c r="P102" t="s">
        <v>115</v>
      </c>
      <c r="Q102" t="s">
        <v>143</v>
      </c>
      <c r="R102" t="s">
        <v>151</v>
      </c>
      <c r="S102">
        <v>7.4974207027645456E-2</v>
      </c>
      <c r="U102" t="s">
        <v>149</v>
      </c>
      <c r="V102" t="s">
        <v>124</v>
      </c>
      <c r="W102" t="s">
        <v>155</v>
      </c>
      <c r="X102" t="s">
        <v>144</v>
      </c>
      <c r="Y102">
        <v>5.2605550652358703E-2</v>
      </c>
      <c r="AK102" s="18" t="s">
        <v>149</v>
      </c>
      <c r="AL102" s="18" t="s">
        <v>124</v>
      </c>
      <c r="AM102" s="18" t="s">
        <v>155</v>
      </c>
      <c r="AN102" s="18" t="s">
        <v>175</v>
      </c>
      <c r="AO102" s="18">
        <v>5.2605550652358703E-2</v>
      </c>
      <c r="AS102" s="18" t="s">
        <v>121</v>
      </c>
      <c r="AT102" s="18" t="s">
        <v>142</v>
      </c>
      <c r="AU102" s="18" t="s">
        <v>151</v>
      </c>
      <c r="AV102" s="18">
        <v>9.3582077332195535E-2</v>
      </c>
    </row>
    <row r="103" spans="16:48" hidden="1">
      <c r="P103" t="s">
        <v>115</v>
      </c>
      <c r="Q103" t="s">
        <v>143</v>
      </c>
      <c r="R103" t="s">
        <v>152</v>
      </c>
      <c r="S103">
        <v>2.2726074035625526E-2</v>
      </c>
      <c r="U103" t="s">
        <v>149</v>
      </c>
      <c r="V103" t="s">
        <v>105</v>
      </c>
      <c r="W103" t="s">
        <v>155</v>
      </c>
      <c r="X103" t="s">
        <v>144</v>
      </c>
      <c r="Y103">
        <v>5.2605550652358703E-2</v>
      </c>
      <c r="AK103" s="18" t="s">
        <v>149</v>
      </c>
      <c r="AL103" s="18" t="s">
        <v>105</v>
      </c>
      <c r="AM103" s="18" t="s">
        <v>155</v>
      </c>
      <c r="AN103" s="18" t="s">
        <v>175</v>
      </c>
      <c r="AO103" s="18">
        <v>5.2605550652358703E-2</v>
      </c>
      <c r="AS103" s="18" t="s">
        <v>121</v>
      </c>
      <c r="AT103" s="18" t="s">
        <v>142</v>
      </c>
      <c r="AU103" s="18" t="s">
        <v>152</v>
      </c>
      <c r="AV103" s="18">
        <v>2.1035091063356971E-2</v>
      </c>
    </row>
    <row r="104" spans="16:48" hidden="1">
      <c r="P104" t="s">
        <v>115</v>
      </c>
      <c r="Q104" t="s">
        <v>143</v>
      </c>
      <c r="R104" t="s">
        <v>153</v>
      </c>
      <c r="S104">
        <v>0.12651576893665034</v>
      </c>
      <c r="U104" t="s">
        <v>149</v>
      </c>
      <c r="V104" t="s">
        <v>51</v>
      </c>
      <c r="W104" t="s">
        <v>155</v>
      </c>
      <c r="X104" t="s">
        <v>144</v>
      </c>
      <c r="Y104">
        <v>5.2605550652358703E-2</v>
      </c>
      <c r="AK104" s="18" t="s">
        <v>149</v>
      </c>
      <c r="AL104" s="18" t="s">
        <v>51</v>
      </c>
      <c r="AM104" s="18" t="s">
        <v>155</v>
      </c>
      <c r="AN104" s="18" t="s">
        <v>175</v>
      </c>
      <c r="AO104" s="18">
        <v>5.2605550652358703E-2</v>
      </c>
      <c r="AS104" s="18" t="s">
        <v>121</v>
      </c>
      <c r="AT104" s="18" t="s">
        <v>142</v>
      </c>
      <c r="AU104" s="18" t="s">
        <v>153</v>
      </c>
      <c r="AV104" s="18">
        <v>0.13582106624044402</v>
      </c>
    </row>
    <row r="105" spans="16:48" hidden="1">
      <c r="P105" t="s">
        <v>115</v>
      </c>
      <c r="Q105" t="s">
        <v>143</v>
      </c>
      <c r="R105" t="s">
        <v>154</v>
      </c>
      <c r="S105">
        <v>7.1575411988542711E-2</v>
      </c>
      <c r="U105" t="s">
        <v>149</v>
      </c>
      <c r="V105" t="s">
        <v>125</v>
      </c>
      <c r="W105" t="s">
        <v>155</v>
      </c>
      <c r="X105" t="s">
        <v>144</v>
      </c>
      <c r="Y105">
        <v>5.2605550652358703E-2</v>
      </c>
      <c r="AK105" s="18" t="s">
        <v>149</v>
      </c>
      <c r="AL105" s="18" t="s">
        <v>125</v>
      </c>
      <c r="AM105" s="18" t="s">
        <v>155</v>
      </c>
      <c r="AN105" s="18" t="s">
        <v>175</v>
      </c>
      <c r="AO105" s="18">
        <v>5.2605550652358703E-2</v>
      </c>
      <c r="AS105" s="18" t="s">
        <v>121</v>
      </c>
      <c r="AT105" s="18" t="s">
        <v>142</v>
      </c>
      <c r="AU105" s="18" t="s">
        <v>154</v>
      </c>
      <c r="AV105" s="18">
        <v>9.4089054936362382E-2</v>
      </c>
    </row>
    <row r="106" spans="16:48" hidden="1">
      <c r="P106" t="s">
        <v>115</v>
      </c>
      <c r="Q106" t="s">
        <v>143</v>
      </c>
      <c r="R106" t="s">
        <v>155</v>
      </c>
      <c r="S106">
        <v>2.0716019744982314E-2</v>
      </c>
      <c r="U106" t="s">
        <v>149</v>
      </c>
      <c r="V106" t="s">
        <v>112</v>
      </c>
      <c r="W106" t="s">
        <v>155</v>
      </c>
      <c r="X106" t="s">
        <v>144</v>
      </c>
      <c r="Y106">
        <v>5.2605550652358703E-2</v>
      </c>
      <c r="AK106" s="18" t="s">
        <v>149</v>
      </c>
      <c r="AL106" s="18" t="s">
        <v>112</v>
      </c>
      <c r="AM106" s="18" t="s">
        <v>155</v>
      </c>
      <c r="AN106" s="18" t="s">
        <v>175</v>
      </c>
      <c r="AO106" s="18">
        <v>5.2605550652358703E-2</v>
      </c>
      <c r="AS106" s="18" t="s">
        <v>121</v>
      </c>
      <c r="AT106" s="18" t="s">
        <v>142</v>
      </c>
      <c r="AU106" s="18" t="s">
        <v>155</v>
      </c>
      <c r="AV106" s="18">
        <v>2.0936741894802529E-2</v>
      </c>
    </row>
    <row r="107" spans="16:48" hidden="1">
      <c r="P107" t="s">
        <v>115</v>
      </c>
      <c r="Q107" t="s">
        <v>143</v>
      </c>
      <c r="R107" t="s">
        <v>156</v>
      </c>
      <c r="S107">
        <v>0.17560536045779451</v>
      </c>
      <c r="U107" t="s">
        <v>149</v>
      </c>
      <c r="V107" t="s">
        <v>113</v>
      </c>
      <c r="W107" t="s">
        <v>156</v>
      </c>
      <c r="X107" t="s">
        <v>144</v>
      </c>
      <c r="Y107">
        <v>5.9589061680379897E-2</v>
      </c>
      <c r="AK107" s="18" t="s">
        <v>149</v>
      </c>
      <c r="AL107" s="18" t="s">
        <v>113</v>
      </c>
      <c r="AM107" s="18" t="s">
        <v>156</v>
      </c>
      <c r="AN107" s="18" t="s">
        <v>175</v>
      </c>
      <c r="AO107" s="18">
        <v>5.9589061680379897E-2</v>
      </c>
      <c r="AS107" s="18" t="s">
        <v>121</v>
      </c>
      <c r="AT107" s="18" t="s">
        <v>142</v>
      </c>
      <c r="AU107" s="18" t="s">
        <v>156</v>
      </c>
      <c r="AV107" s="18">
        <v>0.13541761746102821</v>
      </c>
    </row>
    <row r="108" spans="16:48" hidden="1">
      <c r="P108" t="s">
        <v>115</v>
      </c>
      <c r="Q108" t="s">
        <v>143</v>
      </c>
      <c r="R108" t="s">
        <v>157</v>
      </c>
      <c r="S108">
        <v>9.5865620132127322E-2</v>
      </c>
      <c r="U108" t="s">
        <v>149</v>
      </c>
      <c r="V108" t="s">
        <v>114</v>
      </c>
      <c r="W108" t="s">
        <v>156</v>
      </c>
      <c r="X108" t="s">
        <v>144</v>
      </c>
      <c r="Y108">
        <v>5.9589061680379897E-2</v>
      </c>
      <c r="AK108" s="18" t="s">
        <v>149</v>
      </c>
      <c r="AL108" s="18" t="s">
        <v>114</v>
      </c>
      <c r="AM108" s="18" t="s">
        <v>156</v>
      </c>
      <c r="AN108" s="18" t="s">
        <v>175</v>
      </c>
      <c r="AO108" s="18">
        <v>5.9589061680379897E-2</v>
      </c>
      <c r="AS108" s="18" t="s">
        <v>121</v>
      </c>
      <c r="AT108" s="18" t="s">
        <v>142</v>
      </c>
      <c r="AU108" s="18" t="s">
        <v>157</v>
      </c>
      <c r="AV108" s="18">
        <v>9.4010295584761011E-2</v>
      </c>
    </row>
    <row r="109" spans="16:48" hidden="1">
      <c r="P109" t="s">
        <v>115</v>
      </c>
      <c r="Q109" t="s">
        <v>143</v>
      </c>
      <c r="R109" t="s">
        <v>158</v>
      </c>
      <c r="S109">
        <v>2.8630210939379314E-2</v>
      </c>
      <c r="U109" t="s">
        <v>149</v>
      </c>
      <c r="V109" t="s">
        <v>115</v>
      </c>
      <c r="W109" t="s">
        <v>156</v>
      </c>
      <c r="X109" t="s">
        <v>144</v>
      </c>
      <c r="Y109">
        <v>5.9589061680379897E-2</v>
      </c>
      <c r="AK109" s="18" t="s">
        <v>149</v>
      </c>
      <c r="AL109" s="18" t="s">
        <v>115</v>
      </c>
      <c r="AM109" s="18" t="s">
        <v>156</v>
      </c>
      <c r="AN109" s="18" t="s">
        <v>175</v>
      </c>
      <c r="AO109" s="18">
        <v>5.9589061680379897E-2</v>
      </c>
      <c r="AS109" s="18" t="s">
        <v>121</v>
      </c>
      <c r="AT109" s="18" t="s">
        <v>142</v>
      </c>
      <c r="AU109" s="18" t="s">
        <v>158</v>
      </c>
      <c r="AV109" s="18">
        <v>2.0916301899797863E-2</v>
      </c>
    </row>
    <row r="110" spans="16:48" hidden="1">
      <c r="P110" t="s">
        <v>115</v>
      </c>
      <c r="Q110" t="s">
        <v>143</v>
      </c>
      <c r="R110" t="s">
        <v>159</v>
      </c>
      <c r="S110">
        <v>0.13968327888656815</v>
      </c>
      <c r="U110" t="s">
        <v>149</v>
      </c>
      <c r="V110" t="s">
        <v>116</v>
      </c>
      <c r="W110" t="s">
        <v>156</v>
      </c>
      <c r="X110" t="s">
        <v>144</v>
      </c>
      <c r="Y110">
        <v>5.9589061680379897E-2</v>
      </c>
      <c r="AK110" s="18" t="s">
        <v>149</v>
      </c>
      <c r="AL110" s="18" t="s">
        <v>116</v>
      </c>
      <c r="AM110" s="18" t="s">
        <v>156</v>
      </c>
      <c r="AN110" s="18" t="s">
        <v>175</v>
      </c>
      <c r="AO110" s="18">
        <v>5.9589061680379897E-2</v>
      </c>
      <c r="AS110" s="18" t="s">
        <v>121</v>
      </c>
      <c r="AT110" s="18" t="s">
        <v>142</v>
      </c>
      <c r="AU110" s="18" t="s">
        <v>159</v>
      </c>
      <c r="AV110" s="18">
        <v>0.13537550864223843</v>
      </c>
    </row>
    <row r="111" spans="16:48" hidden="1">
      <c r="P111" t="s">
        <v>115</v>
      </c>
      <c r="Q111" t="s">
        <v>143</v>
      </c>
      <c r="R111" t="s">
        <v>160</v>
      </c>
      <c r="S111">
        <v>8.5348389950954756E-2</v>
      </c>
      <c r="U111" t="s">
        <v>149</v>
      </c>
      <c r="V111" t="s">
        <v>117</v>
      </c>
      <c r="W111" t="s">
        <v>156</v>
      </c>
      <c r="X111" t="s">
        <v>144</v>
      </c>
      <c r="Y111">
        <v>5.9589061680379897E-2</v>
      </c>
      <c r="AK111" s="18" t="s">
        <v>149</v>
      </c>
      <c r="AL111" s="18" t="s">
        <v>117</v>
      </c>
      <c r="AM111" s="18" t="s">
        <v>156</v>
      </c>
      <c r="AN111" s="18" t="s">
        <v>175</v>
      </c>
      <c r="AO111" s="18">
        <v>5.9589061680379897E-2</v>
      </c>
      <c r="AS111" s="18" t="s">
        <v>121</v>
      </c>
      <c r="AT111" s="18" t="s">
        <v>142</v>
      </c>
      <c r="AU111" s="18" t="s">
        <v>160</v>
      </c>
      <c r="AV111" s="18">
        <v>9.2764756161790418E-2</v>
      </c>
    </row>
    <row r="112" spans="16:48" hidden="1">
      <c r="P112" t="s">
        <v>115</v>
      </c>
      <c r="Q112" t="s">
        <v>143</v>
      </c>
      <c r="R112" t="s">
        <v>161</v>
      </c>
      <c r="S112">
        <v>2.4441951511000235E-2</v>
      </c>
      <c r="U112" t="s">
        <v>149</v>
      </c>
      <c r="V112" t="s">
        <v>118</v>
      </c>
      <c r="W112" t="s">
        <v>156</v>
      </c>
      <c r="X112" t="s">
        <v>144</v>
      </c>
      <c r="Y112">
        <v>5.9589061680379897E-2</v>
      </c>
      <c r="AK112" s="18" t="s">
        <v>149</v>
      </c>
      <c r="AL112" s="18" t="s">
        <v>118</v>
      </c>
      <c r="AM112" s="18" t="s">
        <v>156</v>
      </c>
      <c r="AN112" s="18" t="s">
        <v>175</v>
      </c>
      <c r="AO112" s="18">
        <v>5.9589061680379897E-2</v>
      </c>
      <c r="AS112" s="18" t="s">
        <v>121</v>
      </c>
      <c r="AT112" s="18" t="s">
        <v>142</v>
      </c>
      <c r="AU112" s="18" t="s">
        <v>161</v>
      </c>
      <c r="AV112" s="18">
        <v>2.1048350983220197E-2</v>
      </c>
    </row>
    <row r="113" spans="16:48" hidden="1">
      <c r="P113" t="s">
        <v>116</v>
      </c>
      <c r="Q113" t="s">
        <v>141</v>
      </c>
      <c r="R113" t="s">
        <v>150</v>
      </c>
      <c r="S113">
        <v>0.13782253528570315</v>
      </c>
      <c r="U113" t="s">
        <v>149</v>
      </c>
      <c r="V113" t="s">
        <v>119</v>
      </c>
      <c r="W113" t="s">
        <v>156</v>
      </c>
      <c r="X113" t="s">
        <v>144</v>
      </c>
      <c r="Y113">
        <v>5.9589061680379897E-2</v>
      </c>
      <c r="AK113" s="18" t="s">
        <v>149</v>
      </c>
      <c r="AL113" s="18" t="s">
        <v>119</v>
      </c>
      <c r="AM113" s="18" t="s">
        <v>156</v>
      </c>
      <c r="AN113" s="18" t="s">
        <v>175</v>
      </c>
      <c r="AO113" s="18">
        <v>5.9589061680379897E-2</v>
      </c>
      <c r="AS113" s="18" t="s">
        <v>122</v>
      </c>
      <c r="AT113" s="18" t="s">
        <v>142</v>
      </c>
      <c r="AU113" s="18" t="s">
        <v>150</v>
      </c>
      <c r="AV113" s="18">
        <v>0.13539044928367475</v>
      </c>
    </row>
    <row r="114" spans="16:48" hidden="1">
      <c r="P114" t="s">
        <v>116</v>
      </c>
      <c r="Q114" t="s">
        <v>141</v>
      </c>
      <c r="R114" t="s">
        <v>151</v>
      </c>
      <c r="S114">
        <v>6.7465558336264719E-2</v>
      </c>
      <c r="U114" t="s">
        <v>149</v>
      </c>
      <c r="V114" t="s">
        <v>120</v>
      </c>
      <c r="W114" t="s">
        <v>156</v>
      </c>
      <c r="X114" t="s">
        <v>144</v>
      </c>
      <c r="Y114">
        <v>5.9589061680379897E-2</v>
      </c>
      <c r="AK114" s="18" t="s">
        <v>149</v>
      </c>
      <c r="AL114" s="18" t="s">
        <v>120</v>
      </c>
      <c r="AM114" s="18" t="s">
        <v>156</v>
      </c>
      <c r="AN114" s="18" t="s">
        <v>175</v>
      </c>
      <c r="AO114" s="18">
        <v>5.9589061680379897E-2</v>
      </c>
      <c r="AS114" s="18" t="s">
        <v>122</v>
      </c>
      <c r="AT114" s="18" t="s">
        <v>142</v>
      </c>
      <c r="AU114" s="18" t="s">
        <v>151</v>
      </c>
      <c r="AV114" s="18">
        <v>9.1212122594995587E-2</v>
      </c>
    </row>
    <row r="115" spans="16:48" hidden="1">
      <c r="P115" t="s">
        <v>116</v>
      </c>
      <c r="Q115" t="s">
        <v>141</v>
      </c>
      <c r="R115" t="s">
        <v>152</v>
      </c>
      <c r="S115">
        <v>2.3259467785501864E-2</v>
      </c>
      <c r="U115" t="s">
        <v>149</v>
      </c>
      <c r="V115" t="s">
        <v>121</v>
      </c>
      <c r="W115" t="s">
        <v>156</v>
      </c>
      <c r="X115" t="s">
        <v>144</v>
      </c>
      <c r="Y115">
        <v>5.9589061680379897E-2</v>
      </c>
      <c r="AK115" s="18" t="s">
        <v>149</v>
      </c>
      <c r="AL115" s="18" t="s">
        <v>121</v>
      </c>
      <c r="AM115" s="18" t="s">
        <v>156</v>
      </c>
      <c r="AN115" s="18" t="s">
        <v>175</v>
      </c>
      <c r="AO115" s="18">
        <v>5.9589061680379897E-2</v>
      </c>
      <c r="AS115" s="18" t="s">
        <v>122</v>
      </c>
      <c r="AT115" s="18" t="s">
        <v>142</v>
      </c>
      <c r="AU115" s="18" t="s">
        <v>152</v>
      </c>
      <c r="AV115" s="18">
        <v>2.1226039745071645E-2</v>
      </c>
    </row>
    <row r="116" spans="16:48" hidden="1">
      <c r="P116" t="s">
        <v>116</v>
      </c>
      <c r="Q116" t="s">
        <v>141</v>
      </c>
      <c r="R116" t="s">
        <v>153</v>
      </c>
      <c r="S116">
        <v>0.12806190901181586</v>
      </c>
      <c r="U116" t="s">
        <v>149</v>
      </c>
      <c r="V116" t="s">
        <v>122</v>
      </c>
      <c r="W116" t="s">
        <v>156</v>
      </c>
      <c r="X116" t="s">
        <v>144</v>
      </c>
      <c r="Y116">
        <v>5.9589061680379897E-2</v>
      </c>
      <c r="AK116" s="18" t="s">
        <v>149</v>
      </c>
      <c r="AL116" s="18" t="s">
        <v>122</v>
      </c>
      <c r="AM116" s="18" t="s">
        <v>156</v>
      </c>
      <c r="AN116" s="18" t="s">
        <v>175</v>
      </c>
      <c r="AO116" s="18">
        <v>5.9589061680379897E-2</v>
      </c>
      <c r="AS116" s="18" t="s">
        <v>122</v>
      </c>
      <c r="AT116" s="18" t="s">
        <v>142</v>
      </c>
      <c r="AU116" s="18" t="s">
        <v>153</v>
      </c>
      <c r="AV116" s="18">
        <v>0.13418075070486174</v>
      </c>
    </row>
    <row r="117" spans="16:48" hidden="1">
      <c r="P117" t="s">
        <v>116</v>
      </c>
      <c r="Q117" t="s">
        <v>141</v>
      </c>
      <c r="R117" t="s">
        <v>154</v>
      </c>
      <c r="S117">
        <v>6.3551950169034047E-2</v>
      </c>
      <c r="U117" t="s">
        <v>149</v>
      </c>
      <c r="V117" t="s">
        <v>123</v>
      </c>
      <c r="W117" t="s">
        <v>156</v>
      </c>
      <c r="X117" t="s">
        <v>144</v>
      </c>
      <c r="Y117">
        <v>5.9589061680379897E-2</v>
      </c>
      <c r="AK117" s="18" t="s">
        <v>149</v>
      </c>
      <c r="AL117" s="18" t="s">
        <v>123</v>
      </c>
      <c r="AM117" s="18" t="s">
        <v>156</v>
      </c>
      <c r="AN117" s="18" t="s">
        <v>175</v>
      </c>
      <c r="AO117" s="18">
        <v>5.9589061680379897E-2</v>
      </c>
      <c r="AS117" s="18" t="s">
        <v>122</v>
      </c>
      <c r="AT117" s="18" t="s">
        <v>142</v>
      </c>
      <c r="AU117" s="18" t="s">
        <v>154</v>
      </c>
      <c r="AV117" s="18">
        <v>9.1506467417170834E-2</v>
      </c>
    </row>
    <row r="118" spans="16:48" hidden="1">
      <c r="P118" t="s">
        <v>116</v>
      </c>
      <c r="Q118" t="s">
        <v>141</v>
      </c>
      <c r="R118" t="s">
        <v>155</v>
      </c>
      <c r="S118">
        <v>2.0530813202238273E-2</v>
      </c>
      <c r="U118" t="s">
        <v>149</v>
      </c>
      <c r="V118" t="s">
        <v>50</v>
      </c>
      <c r="W118" t="s">
        <v>156</v>
      </c>
      <c r="X118" t="s">
        <v>144</v>
      </c>
      <c r="Y118">
        <v>5.9589061680379897E-2</v>
      </c>
      <c r="AK118" s="18" t="s">
        <v>149</v>
      </c>
      <c r="AL118" s="18" t="s">
        <v>50</v>
      </c>
      <c r="AM118" s="18" t="s">
        <v>156</v>
      </c>
      <c r="AN118" s="18" t="s">
        <v>175</v>
      </c>
      <c r="AO118" s="18">
        <v>5.9589061680379897E-2</v>
      </c>
      <c r="AS118" s="18" t="s">
        <v>122</v>
      </c>
      <c r="AT118" s="18" t="s">
        <v>142</v>
      </c>
      <c r="AU118" s="18" t="s">
        <v>155</v>
      </c>
      <c r="AV118" s="18">
        <v>2.099306130805955E-2</v>
      </c>
    </row>
    <row r="119" spans="16:48" hidden="1">
      <c r="P119" t="s">
        <v>116</v>
      </c>
      <c r="Q119" t="s">
        <v>141</v>
      </c>
      <c r="R119" t="s">
        <v>156</v>
      </c>
      <c r="S119">
        <v>0.1950158045841551</v>
      </c>
      <c r="U119" t="s">
        <v>149</v>
      </c>
      <c r="V119" t="s">
        <v>124</v>
      </c>
      <c r="W119" t="s">
        <v>156</v>
      </c>
      <c r="X119" t="s">
        <v>144</v>
      </c>
      <c r="Y119">
        <v>5.9589061680379897E-2</v>
      </c>
      <c r="AK119" s="18" t="s">
        <v>149</v>
      </c>
      <c r="AL119" s="18" t="s">
        <v>124</v>
      </c>
      <c r="AM119" s="18" t="s">
        <v>156</v>
      </c>
      <c r="AN119" s="18" t="s">
        <v>175</v>
      </c>
      <c r="AO119" s="18">
        <v>5.9589061680379897E-2</v>
      </c>
      <c r="AS119" s="18" t="s">
        <v>122</v>
      </c>
      <c r="AT119" s="18" t="s">
        <v>142</v>
      </c>
      <c r="AU119" s="18" t="s">
        <v>156</v>
      </c>
      <c r="AV119" s="18">
        <v>0.13788402390981352</v>
      </c>
    </row>
    <row r="120" spans="16:48" hidden="1">
      <c r="P120" t="s">
        <v>116</v>
      </c>
      <c r="Q120" t="s">
        <v>141</v>
      </c>
      <c r="R120" t="s">
        <v>157</v>
      </c>
      <c r="S120">
        <v>9.1518098122633132E-2</v>
      </c>
      <c r="U120" t="s">
        <v>149</v>
      </c>
      <c r="V120" t="s">
        <v>105</v>
      </c>
      <c r="W120" t="s">
        <v>156</v>
      </c>
      <c r="X120" t="s">
        <v>144</v>
      </c>
      <c r="Y120">
        <v>5.9589061680379897E-2</v>
      </c>
      <c r="AK120" s="18" t="s">
        <v>149</v>
      </c>
      <c r="AL120" s="18" t="s">
        <v>105</v>
      </c>
      <c r="AM120" s="18" t="s">
        <v>156</v>
      </c>
      <c r="AN120" s="18" t="s">
        <v>175</v>
      </c>
      <c r="AO120" s="18">
        <v>5.9589061680379897E-2</v>
      </c>
      <c r="AS120" s="18" t="s">
        <v>122</v>
      </c>
      <c r="AT120" s="18" t="s">
        <v>142</v>
      </c>
      <c r="AU120" s="18" t="s">
        <v>157</v>
      </c>
      <c r="AV120" s="18">
        <v>9.2017105721345513E-2</v>
      </c>
    </row>
    <row r="121" spans="16:48" hidden="1">
      <c r="P121" t="s">
        <v>116</v>
      </c>
      <c r="Q121" t="s">
        <v>141</v>
      </c>
      <c r="R121" t="s">
        <v>158</v>
      </c>
      <c r="S121">
        <v>3.0048993102042315E-2</v>
      </c>
      <c r="U121" t="s">
        <v>149</v>
      </c>
      <c r="V121" t="s">
        <v>51</v>
      </c>
      <c r="W121" t="s">
        <v>156</v>
      </c>
      <c r="X121" t="s">
        <v>144</v>
      </c>
      <c r="Y121">
        <v>5.9589061680379897E-2</v>
      </c>
      <c r="AK121" s="18" t="s">
        <v>149</v>
      </c>
      <c r="AL121" s="18" t="s">
        <v>51</v>
      </c>
      <c r="AM121" s="18" t="s">
        <v>156</v>
      </c>
      <c r="AN121" s="18" t="s">
        <v>175</v>
      </c>
      <c r="AO121" s="18">
        <v>5.9589061680379897E-2</v>
      </c>
      <c r="AS121" s="18" t="s">
        <v>122</v>
      </c>
      <c r="AT121" s="18" t="s">
        <v>142</v>
      </c>
      <c r="AU121" s="18" t="s">
        <v>158</v>
      </c>
      <c r="AV121" s="18">
        <v>2.1504995531070166E-2</v>
      </c>
    </row>
    <row r="122" spans="16:48" hidden="1">
      <c r="P122" t="s">
        <v>116</v>
      </c>
      <c r="Q122" t="s">
        <v>141</v>
      </c>
      <c r="R122" t="s">
        <v>159</v>
      </c>
      <c r="S122">
        <v>0.13781182041050208</v>
      </c>
      <c r="U122" t="s">
        <v>149</v>
      </c>
      <c r="V122" t="s">
        <v>125</v>
      </c>
      <c r="W122" t="s">
        <v>156</v>
      </c>
      <c r="X122" t="s">
        <v>144</v>
      </c>
      <c r="Y122">
        <v>5.9589061680379897E-2</v>
      </c>
      <c r="AK122" s="18" t="s">
        <v>149</v>
      </c>
      <c r="AL122" s="18" t="s">
        <v>125</v>
      </c>
      <c r="AM122" s="18" t="s">
        <v>156</v>
      </c>
      <c r="AN122" s="18" t="s">
        <v>175</v>
      </c>
      <c r="AO122" s="18">
        <v>5.9589061680379897E-2</v>
      </c>
      <c r="AS122" s="18" t="s">
        <v>122</v>
      </c>
      <c r="AT122" s="18" t="s">
        <v>142</v>
      </c>
      <c r="AU122" s="18" t="s">
        <v>159</v>
      </c>
      <c r="AV122" s="18">
        <v>0.13823164025270893</v>
      </c>
    </row>
    <row r="123" spans="16:48" hidden="1">
      <c r="P123" t="s">
        <v>116</v>
      </c>
      <c r="Q123" t="s">
        <v>141</v>
      </c>
      <c r="R123" t="s">
        <v>160</v>
      </c>
      <c r="S123">
        <v>7.9453684389865525E-2</v>
      </c>
      <c r="U123" t="s">
        <v>149</v>
      </c>
      <c r="V123" t="s">
        <v>112</v>
      </c>
      <c r="W123" t="s">
        <v>156</v>
      </c>
      <c r="X123" t="s">
        <v>144</v>
      </c>
      <c r="Y123">
        <v>5.9589061680379897E-2</v>
      </c>
      <c r="AK123" s="18" t="s">
        <v>149</v>
      </c>
      <c r="AL123" s="18" t="s">
        <v>112</v>
      </c>
      <c r="AM123" s="18" t="s">
        <v>156</v>
      </c>
      <c r="AN123" s="18" t="s">
        <v>175</v>
      </c>
      <c r="AO123" s="18">
        <v>5.9589061680379897E-2</v>
      </c>
      <c r="AS123" s="18" t="s">
        <v>122</v>
      </c>
      <c r="AT123" s="18" t="s">
        <v>142</v>
      </c>
      <c r="AU123" s="18" t="s">
        <v>160</v>
      </c>
      <c r="AV123" s="18">
        <v>9.4176610984706033E-2</v>
      </c>
    </row>
    <row r="124" spans="16:48" hidden="1">
      <c r="P124" t="s">
        <v>116</v>
      </c>
      <c r="Q124" t="s">
        <v>141</v>
      </c>
      <c r="R124" t="s">
        <v>161</v>
      </c>
      <c r="S124">
        <v>2.5459365600243943E-2</v>
      </c>
      <c r="U124" t="s">
        <v>149</v>
      </c>
      <c r="V124" t="s">
        <v>113</v>
      </c>
      <c r="W124" t="s">
        <v>157</v>
      </c>
      <c r="X124" t="s">
        <v>144</v>
      </c>
      <c r="Y124">
        <v>0.137805387667261</v>
      </c>
      <c r="AK124" s="18" t="s">
        <v>149</v>
      </c>
      <c r="AL124" s="18" t="s">
        <v>113</v>
      </c>
      <c r="AM124" s="18" t="s">
        <v>157</v>
      </c>
      <c r="AN124" s="18" t="s">
        <v>175</v>
      </c>
      <c r="AO124" s="18">
        <v>0.137805387667261</v>
      </c>
      <c r="AS124" s="18" t="s">
        <v>122</v>
      </c>
      <c r="AT124" s="18" t="s">
        <v>142</v>
      </c>
      <c r="AU124" s="18" t="s">
        <v>161</v>
      </c>
      <c r="AV124" s="18">
        <v>2.1676732546521138E-2</v>
      </c>
    </row>
    <row r="125" spans="16:48">
      <c r="P125" t="s">
        <v>116</v>
      </c>
      <c r="Q125" t="s">
        <v>142</v>
      </c>
      <c r="R125" t="s">
        <v>150</v>
      </c>
      <c r="S125">
        <v>0.13546551895852055</v>
      </c>
      <c r="U125" t="s">
        <v>149</v>
      </c>
      <c r="V125" t="s">
        <v>114</v>
      </c>
      <c r="W125" t="s">
        <v>157</v>
      </c>
      <c r="X125" t="s">
        <v>144</v>
      </c>
      <c r="Y125">
        <v>0.137805387667261</v>
      </c>
      <c r="AK125" s="18" t="s">
        <v>149</v>
      </c>
      <c r="AL125" s="18" t="s">
        <v>114</v>
      </c>
      <c r="AM125" s="18" t="s">
        <v>157</v>
      </c>
      <c r="AN125" s="18" t="s">
        <v>175</v>
      </c>
      <c r="AO125" s="18">
        <v>0.137805387667261</v>
      </c>
      <c r="AS125" s="18" t="s">
        <v>123</v>
      </c>
      <c r="AT125" s="18" t="s">
        <v>174</v>
      </c>
      <c r="AU125" s="18" t="s">
        <v>150</v>
      </c>
      <c r="AV125" s="18">
        <v>0.13677069455151467</v>
      </c>
    </row>
    <row r="126" spans="16:48">
      <c r="P126" t="s">
        <v>116</v>
      </c>
      <c r="Q126" t="s">
        <v>142</v>
      </c>
      <c r="R126" t="s">
        <v>151</v>
      </c>
      <c r="S126">
        <v>9.093893823566962E-2</v>
      </c>
      <c r="U126" t="s">
        <v>149</v>
      </c>
      <c r="V126" t="s">
        <v>115</v>
      </c>
      <c r="W126" t="s">
        <v>157</v>
      </c>
      <c r="X126" t="s">
        <v>144</v>
      </c>
      <c r="Y126">
        <v>0.137805387667261</v>
      </c>
      <c r="AK126" s="18" t="s">
        <v>149</v>
      </c>
      <c r="AL126" s="18" t="s">
        <v>115</v>
      </c>
      <c r="AM126" s="18" t="s">
        <v>157</v>
      </c>
      <c r="AN126" s="18" t="s">
        <v>175</v>
      </c>
      <c r="AO126" s="18">
        <v>0.137805387667261</v>
      </c>
      <c r="AS126" s="18" t="s">
        <v>123</v>
      </c>
      <c r="AT126" s="18" t="s">
        <v>174</v>
      </c>
      <c r="AU126" s="18" t="s">
        <v>151</v>
      </c>
      <c r="AV126" s="18">
        <v>9.4769251665155055E-2</v>
      </c>
    </row>
    <row r="127" spans="16:48">
      <c r="P127" t="s">
        <v>116</v>
      </c>
      <c r="Q127" t="s">
        <v>142</v>
      </c>
      <c r="R127" t="s">
        <v>152</v>
      </c>
      <c r="S127">
        <v>2.1103177647763722E-2</v>
      </c>
      <c r="U127" t="s">
        <v>149</v>
      </c>
      <c r="V127" t="s">
        <v>116</v>
      </c>
      <c r="W127" t="s">
        <v>157</v>
      </c>
      <c r="X127" t="s">
        <v>144</v>
      </c>
      <c r="Y127">
        <v>0.137805387667261</v>
      </c>
      <c r="AK127" s="18" t="s">
        <v>149</v>
      </c>
      <c r="AL127" s="18" t="s">
        <v>116</v>
      </c>
      <c r="AM127" s="18" t="s">
        <v>157</v>
      </c>
      <c r="AN127" s="18" t="s">
        <v>175</v>
      </c>
      <c r="AO127" s="18">
        <v>0.137805387667261</v>
      </c>
      <c r="AS127" s="18" t="s">
        <v>123</v>
      </c>
      <c r="AT127" s="18" t="s">
        <v>174</v>
      </c>
      <c r="AU127" s="18" t="s">
        <v>152</v>
      </c>
      <c r="AV127" s="18">
        <v>2.1370265360957767E-2</v>
      </c>
    </row>
    <row r="128" spans="16:48">
      <c r="P128" t="s">
        <v>116</v>
      </c>
      <c r="Q128" t="s">
        <v>142</v>
      </c>
      <c r="R128" t="s">
        <v>153</v>
      </c>
      <c r="S128">
        <v>0.13439373842864563</v>
      </c>
      <c r="U128" t="s">
        <v>149</v>
      </c>
      <c r="V128" t="s">
        <v>117</v>
      </c>
      <c r="W128" t="s">
        <v>157</v>
      </c>
      <c r="X128" t="s">
        <v>144</v>
      </c>
      <c r="Y128">
        <v>0.137805387667261</v>
      </c>
      <c r="AK128" s="18" t="s">
        <v>149</v>
      </c>
      <c r="AL128" s="18" t="s">
        <v>117</v>
      </c>
      <c r="AM128" s="18" t="s">
        <v>157</v>
      </c>
      <c r="AN128" s="18" t="s">
        <v>175</v>
      </c>
      <c r="AO128" s="18">
        <v>0.137805387667261</v>
      </c>
      <c r="AS128" s="18" t="s">
        <v>123</v>
      </c>
      <c r="AT128" s="18" t="s">
        <v>174</v>
      </c>
      <c r="AU128" s="18" t="s">
        <v>153</v>
      </c>
      <c r="AV128" s="18">
        <v>0.13358511601025033</v>
      </c>
    </row>
    <row r="129" spans="16:48">
      <c r="P129" t="s">
        <v>116</v>
      </c>
      <c r="Q129" t="s">
        <v>142</v>
      </c>
      <c r="R129" t="s">
        <v>154</v>
      </c>
      <c r="S129">
        <v>9.0481360197478294E-2</v>
      </c>
      <c r="U129" t="s">
        <v>149</v>
      </c>
      <c r="V129" t="s">
        <v>118</v>
      </c>
      <c r="W129" t="s">
        <v>157</v>
      </c>
      <c r="X129" t="s">
        <v>144</v>
      </c>
      <c r="Y129">
        <v>0.137805387667261</v>
      </c>
      <c r="AK129" s="18" t="s">
        <v>149</v>
      </c>
      <c r="AL129" s="18" t="s">
        <v>118</v>
      </c>
      <c r="AM129" s="18" t="s">
        <v>157</v>
      </c>
      <c r="AN129" s="18" t="s">
        <v>175</v>
      </c>
      <c r="AO129" s="18">
        <v>0.137805387667261</v>
      </c>
      <c r="AS129" s="18" t="s">
        <v>123</v>
      </c>
      <c r="AT129" s="18" t="s">
        <v>174</v>
      </c>
      <c r="AU129" s="18" t="s">
        <v>154</v>
      </c>
      <c r="AV129" s="18">
        <v>9.2666016911903112E-2</v>
      </c>
    </row>
    <row r="130" spans="16:48">
      <c r="P130" t="s">
        <v>116</v>
      </c>
      <c r="Q130" t="s">
        <v>142</v>
      </c>
      <c r="R130" t="s">
        <v>155</v>
      </c>
      <c r="S130">
        <v>2.0807421915779452E-2</v>
      </c>
      <c r="U130" t="s">
        <v>149</v>
      </c>
      <c r="V130" t="s">
        <v>119</v>
      </c>
      <c r="W130" t="s">
        <v>157</v>
      </c>
      <c r="X130" t="s">
        <v>144</v>
      </c>
      <c r="Y130">
        <v>0.137805387667261</v>
      </c>
      <c r="AK130" s="18" t="s">
        <v>149</v>
      </c>
      <c r="AL130" s="18" t="s">
        <v>119</v>
      </c>
      <c r="AM130" s="18" t="s">
        <v>157</v>
      </c>
      <c r="AN130" s="18" t="s">
        <v>175</v>
      </c>
      <c r="AO130" s="18">
        <v>0.137805387667261</v>
      </c>
      <c r="AS130" s="18" t="s">
        <v>123</v>
      </c>
      <c r="AT130" s="18" t="s">
        <v>174</v>
      </c>
      <c r="AU130" s="18" t="s">
        <v>155</v>
      </c>
      <c r="AV130" s="18">
        <v>2.0853905534050678E-2</v>
      </c>
    </row>
    <row r="131" spans="16:48">
      <c r="P131" t="s">
        <v>116</v>
      </c>
      <c r="Q131" t="s">
        <v>142</v>
      </c>
      <c r="R131" t="s">
        <v>156</v>
      </c>
      <c r="S131">
        <v>0.14163601725328051</v>
      </c>
      <c r="U131" t="s">
        <v>149</v>
      </c>
      <c r="V131" t="s">
        <v>120</v>
      </c>
      <c r="W131" t="s">
        <v>157</v>
      </c>
      <c r="X131" t="s">
        <v>144</v>
      </c>
      <c r="Y131">
        <v>0.137805387667261</v>
      </c>
      <c r="AK131" s="18" t="s">
        <v>149</v>
      </c>
      <c r="AL131" s="18" t="s">
        <v>120</v>
      </c>
      <c r="AM131" s="18" t="s">
        <v>157</v>
      </c>
      <c r="AN131" s="18" t="s">
        <v>175</v>
      </c>
      <c r="AO131" s="18">
        <v>0.137805387667261</v>
      </c>
      <c r="AS131" s="18" t="s">
        <v>123</v>
      </c>
      <c r="AT131" s="18" t="s">
        <v>174</v>
      </c>
      <c r="AU131" s="18" t="s">
        <v>156</v>
      </c>
      <c r="AV131" s="18">
        <v>0.14312050722607386</v>
      </c>
    </row>
    <row r="132" spans="16:48">
      <c r="P132" t="s">
        <v>116</v>
      </c>
      <c r="Q132" t="s">
        <v>142</v>
      </c>
      <c r="R132" t="s">
        <v>157</v>
      </c>
      <c r="S132">
        <v>9.3751686301363907E-2</v>
      </c>
      <c r="U132" t="s">
        <v>149</v>
      </c>
      <c r="V132" t="s">
        <v>121</v>
      </c>
      <c r="W132" t="s">
        <v>157</v>
      </c>
      <c r="X132" t="s">
        <v>144</v>
      </c>
      <c r="Y132">
        <v>0.137805387667261</v>
      </c>
      <c r="AK132" s="18" t="s">
        <v>149</v>
      </c>
      <c r="AL132" s="18" t="s">
        <v>121</v>
      </c>
      <c r="AM132" s="18" t="s">
        <v>157</v>
      </c>
      <c r="AN132" s="18" t="s">
        <v>175</v>
      </c>
      <c r="AO132" s="18">
        <v>0.137805387667261</v>
      </c>
      <c r="AS132" s="18" t="s">
        <v>123</v>
      </c>
      <c r="AT132" s="18" t="s">
        <v>174</v>
      </c>
      <c r="AU132" s="18" t="s">
        <v>157</v>
      </c>
      <c r="AV132" s="18">
        <v>9.8457732790117644E-2</v>
      </c>
    </row>
    <row r="133" spans="16:48">
      <c r="P133" t="s">
        <v>116</v>
      </c>
      <c r="Q133" t="s">
        <v>142</v>
      </c>
      <c r="R133" t="s">
        <v>158</v>
      </c>
      <c r="S133">
        <v>2.1897572366895664E-2</v>
      </c>
      <c r="U133" t="s">
        <v>149</v>
      </c>
      <c r="V133" t="s">
        <v>122</v>
      </c>
      <c r="W133" t="s">
        <v>157</v>
      </c>
      <c r="X133" t="s">
        <v>144</v>
      </c>
      <c r="Y133">
        <v>0.137805387667261</v>
      </c>
      <c r="AK133" s="18" t="s">
        <v>149</v>
      </c>
      <c r="AL133" s="18" t="s">
        <v>122</v>
      </c>
      <c r="AM133" s="18" t="s">
        <v>157</v>
      </c>
      <c r="AN133" s="18" t="s">
        <v>175</v>
      </c>
      <c r="AO133" s="18">
        <v>0.137805387667261</v>
      </c>
      <c r="AS133" s="18" t="s">
        <v>123</v>
      </c>
      <c r="AT133" s="18" t="s">
        <v>174</v>
      </c>
      <c r="AU133" s="18" t="s">
        <v>158</v>
      </c>
      <c r="AV133" s="18">
        <v>2.2141499944679441E-2</v>
      </c>
    </row>
    <row r="134" spans="16:48">
      <c r="P134" t="s">
        <v>116</v>
      </c>
      <c r="Q134" t="s">
        <v>142</v>
      </c>
      <c r="R134" t="s">
        <v>159</v>
      </c>
      <c r="S134">
        <v>0.1358384283597181</v>
      </c>
      <c r="U134" t="s">
        <v>149</v>
      </c>
      <c r="V134" t="s">
        <v>123</v>
      </c>
      <c r="W134" t="s">
        <v>157</v>
      </c>
      <c r="X134" t="s">
        <v>144</v>
      </c>
      <c r="Y134">
        <v>0.137805387667261</v>
      </c>
      <c r="AK134" s="18" t="s">
        <v>149</v>
      </c>
      <c r="AL134" s="18" t="s">
        <v>123</v>
      </c>
      <c r="AM134" s="18" t="s">
        <v>157</v>
      </c>
      <c r="AN134" s="18" t="s">
        <v>175</v>
      </c>
      <c r="AO134" s="18">
        <v>0.137805387667261</v>
      </c>
      <c r="AS134" s="18" t="s">
        <v>123</v>
      </c>
      <c r="AT134" s="18" t="s">
        <v>174</v>
      </c>
      <c r="AU134" s="18" t="s">
        <v>159</v>
      </c>
      <c r="AV134" s="18">
        <v>0.12769868544162821</v>
      </c>
    </row>
    <row r="135" spans="16:48">
      <c r="P135" t="s">
        <v>116</v>
      </c>
      <c r="Q135" t="s">
        <v>142</v>
      </c>
      <c r="R135" t="s">
        <v>160</v>
      </c>
      <c r="S135">
        <v>9.2338392235685574E-2</v>
      </c>
      <c r="U135" t="s">
        <v>149</v>
      </c>
      <c r="V135" t="s">
        <v>50</v>
      </c>
      <c r="W135" t="s">
        <v>157</v>
      </c>
      <c r="X135" t="s">
        <v>144</v>
      </c>
      <c r="Y135">
        <v>0.137805387667261</v>
      </c>
      <c r="AK135" s="18" t="s">
        <v>149</v>
      </c>
      <c r="AL135" s="18" t="s">
        <v>50</v>
      </c>
      <c r="AM135" s="18" t="s">
        <v>157</v>
      </c>
      <c r="AN135" s="18" t="s">
        <v>175</v>
      </c>
      <c r="AO135" s="18">
        <v>0.137805387667261</v>
      </c>
      <c r="AS135" s="18" t="s">
        <v>123</v>
      </c>
      <c r="AT135" s="18" t="s">
        <v>174</v>
      </c>
      <c r="AU135" s="18" t="s">
        <v>160</v>
      </c>
      <c r="AV135" s="18">
        <v>8.852108100105209E-2</v>
      </c>
    </row>
    <row r="136" spans="16:48">
      <c r="P136" t="s">
        <v>116</v>
      </c>
      <c r="Q136" t="s">
        <v>142</v>
      </c>
      <c r="R136" t="s">
        <v>161</v>
      </c>
      <c r="S136">
        <v>2.1347748099198486E-2</v>
      </c>
      <c r="U136" t="s">
        <v>149</v>
      </c>
      <c r="V136" t="s">
        <v>124</v>
      </c>
      <c r="W136" t="s">
        <v>157</v>
      </c>
      <c r="X136" t="s">
        <v>144</v>
      </c>
      <c r="Y136">
        <v>0.137805387667261</v>
      </c>
      <c r="AK136" s="18" t="s">
        <v>149</v>
      </c>
      <c r="AL136" s="18" t="s">
        <v>124</v>
      </c>
      <c r="AM136" s="18" t="s">
        <v>157</v>
      </c>
      <c r="AN136" s="18" t="s">
        <v>175</v>
      </c>
      <c r="AO136" s="18">
        <v>0.137805387667261</v>
      </c>
      <c r="AS136" s="18" t="s">
        <v>123</v>
      </c>
      <c r="AT136" s="18" t="s">
        <v>174</v>
      </c>
      <c r="AU136" s="18" t="s">
        <v>161</v>
      </c>
      <c r="AV136" s="18">
        <v>2.0045243562616714E-2</v>
      </c>
    </row>
    <row r="137" spans="16:48" hidden="1">
      <c r="P137" t="s">
        <v>116</v>
      </c>
      <c r="Q137" t="s">
        <v>143</v>
      </c>
      <c r="R137" t="s">
        <v>150</v>
      </c>
      <c r="S137">
        <v>0.13370782612587784</v>
      </c>
      <c r="U137" t="s">
        <v>149</v>
      </c>
      <c r="V137" t="s">
        <v>105</v>
      </c>
      <c r="W137" t="s">
        <v>157</v>
      </c>
      <c r="X137" t="s">
        <v>144</v>
      </c>
      <c r="Y137">
        <v>0.137805387667261</v>
      </c>
      <c r="AK137" s="18" t="s">
        <v>149</v>
      </c>
      <c r="AL137" s="18" t="s">
        <v>105</v>
      </c>
      <c r="AM137" s="18" t="s">
        <v>157</v>
      </c>
      <c r="AN137" s="18" t="s">
        <v>175</v>
      </c>
      <c r="AO137" s="18">
        <v>0.137805387667261</v>
      </c>
      <c r="AS137" s="18" t="s">
        <v>50</v>
      </c>
      <c r="AT137" s="18" t="s">
        <v>142</v>
      </c>
      <c r="AU137" s="18" t="s">
        <v>150</v>
      </c>
      <c r="AV137" s="18">
        <v>0.13546550425467602</v>
      </c>
    </row>
    <row r="138" spans="16:48" hidden="1">
      <c r="P138" t="s">
        <v>116</v>
      </c>
      <c r="Q138" t="s">
        <v>143</v>
      </c>
      <c r="R138" t="s">
        <v>151</v>
      </c>
      <c r="S138">
        <v>7.3232747768814666E-2</v>
      </c>
      <c r="U138" t="s">
        <v>149</v>
      </c>
      <c r="V138" t="s">
        <v>51</v>
      </c>
      <c r="W138" t="s">
        <v>157</v>
      </c>
      <c r="X138" t="s">
        <v>144</v>
      </c>
      <c r="Y138">
        <v>0.137805387667261</v>
      </c>
      <c r="AK138" s="18" t="s">
        <v>149</v>
      </c>
      <c r="AL138" s="18" t="s">
        <v>51</v>
      </c>
      <c r="AM138" s="18" t="s">
        <v>157</v>
      </c>
      <c r="AN138" s="18" t="s">
        <v>175</v>
      </c>
      <c r="AO138" s="18">
        <v>0.137805387667261</v>
      </c>
      <c r="AS138" s="18" t="s">
        <v>50</v>
      </c>
      <c r="AT138" s="18" t="s">
        <v>142</v>
      </c>
      <c r="AU138" s="18" t="s">
        <v>151</v>
      </c>
      <c r="AV138" s="18">
        <v>9.0938833780397507E-2</v>
      </c>
    </row>
    <row r="139" spans="16:48" hidden="1">
      <c r="P139" t="s">
        <v>116</v>
      </c>
      <c r="Q139" t="s">
        <v>143</v>
      </c>
      <c r="R139" t="s">
        <v>152</v>
      </c>
      <c r="S139">
        <v>2.2905657523725895E-2</v>
      </c>
      <c r="U139" t="s">
        <v>149</v>
      </c>
      <c r="V139" t="s">
        <v>125</v>
      </c>
      <c r="W139" t="s">
        <v>157</v>
      </c>
      <c r="X139" t="s">
        <v>144</v>
      </c>
      <c r="Y139">
        <v>0.137805387667261</v>
      </c>
      <c r="AK139" s="18" t="s">
        <v>149</v>
      </c>
      <c r="AL139" s="18" t="s">
        <v>125</v>
      </c>
      <c r="AM139" s="18" t="s">
        <v>157</v>
      </c>
      <c r="AN139" s="18" t="s">
        <v>175</v>
      </c>
      <c r="AO139" s="18">
        <v>0.137805387667261</v>
      </c>
      <c r="AS139" s="18" t="s">
        <v>50</v>
      </c>
      <c r="AT139" s="18" t="s">
        <v>142</v>
      </c>
      <c r="AU139" s="18" t="s">
        <v>152</v>
      </c>
      <c r="AV139" s="18">
        <v>2.1103200778088898E-2</v>
      </c>
    </row>
    <row r="140" spans="16:48" hidden="1">
      <c r="P140" t="s">
        <v>116</v>
      </c>
      <c r="Q140" t="s">
        <v>143</v>
      </c>
      <c r="R140" t="s">
        <v>153</v>
      </c>
      <c r="S140">
        <v>0.12560868307382067</v>
      </c>
      <c r="U140" t="s">
        <v>149</v>
      </c>
      <c r="V140" t="s">
        <v>112</v>
      </c>
      <c r="W140" t="s">
        <v>157</v>
      </c>
      <c r="X140" t="s">
        <v>144</v>
      </c>
      <c r="Y140">
        <v>0.137805387667261</v>
      </c>
      <c r="AK140" s="18" t="s">
        <v>149</v>
      </c>
      <c r="AL140" s="18" t="s">
        <v>112</v>
      </c>
      <c r="AM140" s="18" t="s">
        <v>157</v>
      </c>
      <c r="AN140" s="18" t="s">
        <v>175</v>
      </c>
      <c r="AO140" s="18">
        <v>0.137805387667261</v>
      </c>
      <c r="AS140" s="18" t="s">
        <v>50</v>
      </c>
      <c r="AT140" s="18" t="s">
        <v>142</v>
      </c>
      <c r="AU140" s="18" t="s">
        <v>153</v>
      </c>
      <c r="AV140" s="18">
        <v>0.13439362744208988</v>
      </c>
    </row>
    <row r="141" spans="16:48" hidden="1">
      <c r="P141" t="s">
        <v>116</v>
      </c>
      <c r="Q141" t="s">
        <v>143</v>
      </c>
      <c r="R141" t="s">
        <v>154</v>
      </c>
      <c r="S141">
        <v>6.9506308434956726E-2</v>
      </c>
      <c r="U141" t="s">
        <v>149</v>
      </c>
      <c r="V141" t="s">
        <v>113</v>
      </c>
      <c r="W141" t="s">
        <v>158</v>
      </c>
      <c r="X141" t="s">
        <v>144</v>
      </c>
      <c r="Y141">
        <v>5.2605550652358703E-2</v>
      </c>
      <c r="AK141" s="18" t="s">
        <v>149</v>
      </c>
      <c r="AL141" s="18" t="s">
        <v>113</v>
      </c>
      <c r="AM141" s="18" t="s">
        <v>158</v>
      </c>
      <c r="AN141" s="18" t="s">
        <v>175</v>
      </c>
      <c r="AO141" s="18">
        <v>5.2605550652358703E-2</v>
      </c>
      <c r="AS141" s="18" t="s">
        <v>50</v>
      </c>
      <c r="AT141" s="18" t="s">
        <v>142</v>
      </c>
      <c r="AU141" s="18" t="s">
        <v>154</v>
      </c>
      <c r="AV141" s="18">
        <v>9.0481456596216717E-2</v>
      </c>
    </row>
    <row r="142" spans="16:48" hidden="1">
      <c r="P142" t="s">
        <v>116</v>
      </c>
      <c r="Q142" t="s">
        <v>143</v>
      </c>
      <c r="R142" t="s">
        <v>155</v>
      </c>
      <c r="S142">
        <v>2.0708046272455021E-2</v>
      </c>
      <c r="U142" t="s">
        <v>149</v>
      </c>
      <c r="V142" t="s">
        <v>114</v>
      </c>
      <c r="W142" t="s">
        <v>158</v>
      </c>
      <c r="X142" t="s">
        <v>144</v>
      </c>
      <c r="Y142">
        <v>5.2605550652358703E-2</v>
      </c>
      <c r="AK142" s="18" t="s">
        <v>149</v>
      </c>
      <c r="AL142" s="18" t="s">
        <v>114</v>
      </c>
      <c r="AM142" s="18" t="s">
        <v>158</v>
      </c>
      <c r="AN142" s="18" t="s">
        <v>175</v>
      </c>
      <c r="AO142" s="18">
        <v>5.2605550652358703E-2</v>
      </c>
      <c r="AS142" s="18" t="s">
        <v>50</v>
      </c>
      <c r="AT142" s="18" t="s">
        <v>142</v>
      </c>
      <c r="AU142" s="18" t="s">
        <v>155</v>
      </c>
      <c r="AV142" s="18">
        <v>2.0807484689552323E-2</v>
      </c>
    </row>
    <row r="143" spans="16:48" hidden="1">
      <c r="P143" t="s">
        <v>116</v>
      </c>
      <c r="Q143" t="s">
        <v>143</v>
      </c>
      <c r="R143" t="s">
        <v>156</v>
      </c>
      <c r="S143">
        <v>0.17927792529738301</v>
      </c>
      <c r="U143" t="s">
        <v>149</v>
      </c>
      <c r="V143" t="s">
        <v>115</v>
      </c>
      <c r="W143" t="s">
        <v>158</v>
      </c>
      <c r="X143" t="s">
        <v>144</v>
      </c>
      <c r="Y143">
        <v>5.2605550652358703E-2</v>
      </c>
      <c r="AK143" s="18" t="s">
        <v>149</v>
      </c>
      <c r="AL143" s="18" t="s">
        <v>115</v>
      </c>
      <c r="AM143" s="18" t="s">
        <v>158</v>
      </c>
      <c r="AN143" s="18" t="s">
        <v>175</v>
      </c>
      <c r="AO143" s="18">
        <v>5.2605550652358703E-2</v>
      </c>
      <c r="AS143" s="18" t="s">
        <v>50</v>
      </c>
      <c r="AT143" s="18" t="s">
        <v>142</v>
      </c>
      <c r="AU143" s="18" t="s">
        <v>156</v>
      </c>
      <c r="AV143" s="18">
        <v>0.14163592316599133</v>
      </c>
    </row>
    <row r="144" spans="16:48" hidden="1">
      <c r="P144" t="s">
        <v>116</v>
      </c>
      <c r="Q144" t="s">
        <v>143</v>
      </c>
      <c r="R144" t="s">
        <v>157</v>
      </c>
      <c r="S144">
        <v>9.6144116123571627E-2</v>
      </c>
      <c r="U144" t="s">
        <v>149</v>
      </c>
      <c r="V144" t="s">
        <v>116</v>
      </c>
      <c r="W144" t="s">
        <v>158</v>
      </c>
      <c r="X144" t="s">
        <v>144</v>
      </c>
      <c r="Y144">
        <v>5.2605550652358703E-2</v>
      </c>
      <c r="AK144" s="18" t="s">
        <v>149</v>
      </c>
      <c r="AL144" s="18" t="s">
        <v>116</v>
      </c>
      <c r="AM144" s="18" t="s">
        <v>158</v>
      </c>
      <c r="AN144" s="18" t="s">
        <v>175</v>
      </c>
      <c r="AO144" s="18">
        <v>5.2605550652358703E-2</v>
      </c>
      <c r="AS144" s="18" t="s">
        <v>50</v>
      </c>
      <c r="AT144" s="18" t="s">
        <v>142</v>
      </c>
      <c r="AU144" s="18" t="s">
        <v>157</v>
      </c>
      <c r="AV144" s="18">
        <v>9.3751775448338209E-2</v>
      </c>
    </row>
    <row r="145" spans="16:48" hidden="1">
      <c r="P145" t="s">
        <v>116</v>
      </c>
      <c r="Q145" t="s">
        <v>143</v>
      </c>
      <c r="R145" t="s">
        <v>158</v>
      </c>
      <c r="S145">
        <v>2.9380198424285284E-2</v>
      </c>
      <c r="U145" t="s">
        <v>149</v>
      </c>
      <c r="V145" t="s">
        <v>117</v>
      </c>
      <c r="W145" t="s">
        <v>158</v>
      </c>
      <c r="X145" t="s">
        <v>144</v>
      </c>
      <c r="Y145">
        <v>5.2605550652358703E-2</v>
      </c>
      <c r="AK145" s="18" t="s">
        <v>149</v>
      </c>
      <c r="AL145" s="18" t="s">
        <v>117</v>
      </c>
      <c r="AM145" s="18" t="s">
        <v>158</v>
      </c>
      <c r="AN145" s="18" t="s">
        <v>175</v>
      </c>
      <c r="AO145" s="18">
        <v>5.2605550652358703E-2</v>
      </c>
      <c r="AS145" s="18" t="s">
        <v>50</v>
      </c>
      <c r="AT145" s="18" t="s">
        <v>142</v>
      </c>
      <c r="AU145" s="18" t="s">
        <v>158</v>
      </c>
      <c r="AV145" s="18">
        <v>2.1897544006561458E-2</v>
      </c>
    </row>
    <row r="146" spans="16:48" hidden="1">
      <c r="P146" t="s">
        <v>116</v>
      </c>
      <c r="Q146" t="s">
        <v>143</v>
      </c>
      <c r="R146" t="s">
        <v>159</v>
      </c>
      <c r="S146">
        <v>0.14013588361323331</v>
      </c>
      <c r="U146" t="s">
        <v>149</v>
      </c>
      <c r="V146" t="s">
        <v>118</v>
      </c>
      <c r="W146" t="s">
        <v>158</v>
      </c>
      <c r="X146" t="s">
        <v>144</v>
      </c>
      <c r="Y146">
        <v>5.2605550652358703E-2</v>
      </c>
      <c r="AK146" s="18" t="s">
        <v>149</v>
      </c>
      <c r="AL146" s="18" t="s">
        <v>118</v>
      </c>
      <c r="AM146" s="18" t="s">
        <v>158</v>
      </c>
      <c r="AN146" s="18" t="s">
        <v>175</v>
      </c>
      <c r="AO146" s="18">
        <v>5.2605550652358703E-2</v>
      </c>
      <c r="AS146" s="18" t="s">
        <v>50</v>
      </c>
      <c r="AT146" s="18" t="s">
        <v>142</v>
      </c>
      <c r="AU146" s="18" t="s">
        <v>159</v>
      </c>
      <c r="AV146" s="18">
        <v>0.13583839155671909</v>
      </c>
    </row>
    <row r="147" spans="16:48" hidden="1">
      <c r="P147" t="s">
        <v>116</v>
      </c>
      <c r="Q147" t="s">
        <v>143</v>
      </c>
      <c r="R147" t="s">
        <v>160</v>
      </c>
      <c r="S147">
        <v>8.4609778221601775E-2</v>
      </c>
      <c r="U147" t="s">
        <v>149</v>
      </c>
      <c r="V147" t="s">
        <v>119</v>
      </c>
      <c r="W147" t="s">
        <v>158</v>
      </c>
      <c r="X147" t="s">
        <v>144</v>
      </c>
      <c r="Y147">
        <v>5.2605550652358703E-2</v>
      </c>
      <c r="AK147" s="18" t="s">
        <v>149</v>
      </c>
      <c r="AL147" s="18" t="s">
        <v>119</v>
      </c>
      <c r="AM147" s="18" t="s">
        <v>158</v>
      </c>
      <c r="AN147" s="18" t="s">
        <v>175</v>
      </c>
      <c r="AO147" s="18">
        <v>5.2605550652358703E-2</v>
      </c>
      <c r="AS147" s="18" t="s">
        <v>50</v>
      </c>
      <c r="AT147" s="18" t="s">
        <v>142</v>
      </c>
      <c r="AU147" s="18" t="s">
        <v>160</v>
      </c>
      <c r="AV147" s="18">
        <v>9.2338500878493962E-2</v>
      </c>
    </row>
    <row r="148" spans="16:48" hidden="1">
      <c r="P148" t="s">
        <v>116</v>
      </c>
      <c r="Q148" t="s">
        <v>143</v>
      </c>
      <c r="R148" t="s">
        <v>161</v>
      </c>
      <c r="S148">
        <v>2.4782829120273808E-2</v>
      </c>
      <c r="U148" t="s">
        <v>149</v>
      </c>
      <c r="V148" t="s">
        <v>120</v>
      </c>
      <c r="W148" t="s">
        <v>158</v>
      </c>
      <c r="X148" t="s">
        <v>144</v>
      </c>
      <c r="Y148">
        <v>5.2605550652358703E-2</v>
      </c>
      <c r="AK148" s="18" t="s">
        <v>149</v>
      </c>
      <c r="AL148" s="18" t="s">
        <v>120</v>
      </c>
      <c r="AM148" s="18" t="s">
        <v>158</v>
      </c>
      <c r="AN148" s="18" t="s">
        <v>175</v>
      </c>
      <c r="AO148" s="18">
        <v>5.2605550652358703E-2</v>
      </c>
      <c r="AS148" s="18" t="s">
        <v>50</v>
      </c>
      <c r="AT148" s="18" t="s">
        <v>142</v>
      </c>
      <c r="AU148" s="18" t="s">
        <v>161</v>
      </c>
      <c r="AV148" s="18">
        <v>2.1347757402875239E-2</v>
      </c>
    </row>
    <row r="149" spans="16:48" hidden="1">
      <c r="P149" t="s">
        <v>117</v>
      </c>
      <c r="Q149" t="s">
        <v>141</v>
      </c>
      <c r="R149" t="s">
        <v>150</v>
      </c>
      <c r="S149">
        <v>0.13765908131433713</v>
      </c>
      <c r="U149" t="s">
        <v>149</v>
      </c>
      <c r="V149" t="s">
        <v>121</v>
      </c>
      <c r="W149" t="s">
        <v>158</v>
      </c>
      <c r="X149" t="s">
        <v>144</v>
      </c>
      <c r="Y149">
        <v>5.2605550652358703E-2</v>
      </c>
      <c r="AK149" s="18" t="s">
        <v>149</v>
      </c>
      <c r="AL149" s="18" t="s">
        <v>121</v>
      </c>
      <c r="AM149" s="18" t="s">
        <v>158</v>
      </c>
      <c r="AN149" s="18" t="s">
        <v>175</v>
      </c>
      <c r="AO149" s="18">
        <v>5.2605550652358703E-2</v>
      </c>
      <c r="AS149" s="18" t="s">
        <v>124</v>
      </c>
      <c r="AT149" s="18" t="s">
        <v>142</v>
      </c>
      <c r="AU149" s="18" t="s">
        <v>150</v>
      </c>
      <c r="AV149" s="18">
        <v>0.13543515238523193</v>
      </c>
    </row>
    <row r="150" spans="16:48" hidden="1">
      <c r="P150" t="s">
        <v>117</v>
      </c>
      <c r="Q150" t="s">
        <v>141</v>
      </c>
      <c r="R150" t="s">
        <v>151</v>
      </c>
      <c r="S150">
        <v>6.9261761764125365E-2</v>
      </c>
      <c r="U150" t="s">
        <v>149</v>
      </c>
      <c r="V150" t="s">
        <v>122</v>
      </c>
      <c r="W150" t="s">
        <v>158</v>
      </c>
      <c r="X150" t="s">
        <v>144</v>
      </c>
      <c r="Y150">
        <v>5.2605550652358703E-2</v>
      </c>
      <c r="AK150" s="18" t="s">
        <v>149</v>
      </c>
      <c r="AL150" s="18" t="s">
        <v>122</v>
      </c>
      <c r="AM150" s="18" t="s">
        <v>158</v>
      </c>
      <c r="AN150" s="18" t="s">
        <v>175</v>
      </c>
      <c r="AO150" s="18">
        <v>5.2605550652358703E-2</v>
      </c>
      <c r="AS150" s="18" t="s">
        <v>124</v>
      </c>
      <c r="AT150" s="18" t="s">
        <v>142</v>
      </c>
      <c r="AU150" s="18" t="s">
        <v>151</v>
      </c>
      <c r="AV150" s="18">
        <v>9.1112362219289242E-2</v>
      </c>
    </row>
    <row r="151" spans="16:48" hidden="1">
      <c r="P151" t="s">
        <v>117</v>
      </c>
      <c r="Q151" t="s">
        <v>141</v>
      </c>
      <c r="R151" t="s">
        <v>152</v>
      </c>
      <c r="S151">
        <v>2.3093641686085773E-2</v>
      </c>
      <c r="U151" t="s">
        <v>149</v>
      </c>
      <c r="V151" t="s">
        <v>123</v>
      </c>
      <c r="W151" t="s">
        <v>158</v>
      </c>
      <c r="X151" t="s">
        <v>144</v>
      </c>
      <c r="Y151">
        <v>5.2605550652358703E-2</v>
      </c>
      <c r="AK151" s="18" t="s">
        <v>149</v>
      </c>
      <c r="AL151" s="18" t="s">
        <v>123</v>
      </c>
      <c r="AM151" s="18" t="s">
        <v>158</v>
      </c>
      <c r="AN151" s="18" t="s">
        <v>175</v>
      </c>
      <c r="AO151" s="18">
        <v>5.2605550652358703E-2</v>
      </c>
      <c r="AS151" s="18" t="s">
        <v>124</v>
      </c>
      <c r="AT151" s="18" t="s">
        <v>142</v>
      </c>
      <c r="AU151" s="18" t="s">
        <v>152</v>
      </c>
      <c r="AV151" s="18">
        <v>2.1098712879090906E-2</v>
      </c>
    </row>
    <row r="152" spans="16:48" hidden="1">
      <c r="P152" t="s">
        <v>117</v>
      </c>
      <c r="Q152" t="s">
        <v>141</v>
      </c>
      <c r="R152" t="s">
        <v>153</v>
      </c>
      <c r="S152">
        <v>0.12856491673603088</v>
      </c>
      <c r="U152" t="s">
        <v>149</v>
      </c>
      <c r="V152" t="s">
        <v>50</v>
      </c>
      <c r="W152" t="s">
        <v>158</v>
      </c>
      <c r="X152" t="s">
        <v>144</v>
      </c>
      <c r="Y152">
        <v>5.2605550652358703E-2</v>
      </c>
      <c r="AK152" s="18" t="s">
        <v>149</v>
      </c>
      <c r="AL152" s="18" t="s">
        <v>50</v>
      </c>
      <c r="AM152" s="18" t="s">
        <v>158</v>
      </c>
      <c r="AN152" s="18" t="s">
        <v>175</v>
      </c>
      <c r="AO152" s="18">
        <v>5.2605550652358703E-2</v>
      </c>
      <c r="AS152" s="18" t="s">
        <v>124</v>
      </c>
      <c r="AT152" s="18" t="s">
        <v>142</v>
      </c>
      <c r="AU152" s="18" t="s">
        <v>153</v>
      </c>
      <c r="AV152" s="18">
        <v>0.13448733984445607</v>
      </c>
    </row>
    <row r="153" spans="16:48" hidden="1">
      <c r="P153" t="s">
        <v>117</v>
      </c>
      <c r="Q153" t="s">
        <v>141</v>
      </c>
      <c r="R153" t="s">
        <v>154</v>
      </c>
      <c r="S153">
        <v>6.5615853395336404E-2</v>
      </c>
      <c r="U153" t="s">
        <v>149</v>
      </c>
      <c r="V153" t="s">
        <v>124</v>
      </c>
      <c r="W153" t="s">
        <v>158</v>
      </c>
      <c r="X153" t="s">
        <v>144</v>
      </c>
      <c r="Y153">
        <v>5.2605550652358703E-2</v>
      </c>
      <c r="AK153" s="18" t="s">
        <v>149</v>
      </c>
      <c r="AL153" s="18" t="s">
        <v>124</v>
      </c>
      <c r="AM153" s="18" t="s">
        <v>158</v>
      </c>
      <c r="AN153" s="18" t="s">
        <v>175</v>
      </c>
      <c r="AO153" s="18">
        <v>5.2605550652358703E-2</v>
      </c>
      <c r="AS153" s="18" t="s">
        <v>124</v>
      </c>
      <c r="AT153" s="18" t="s">
        <v>142</v>
      </c>
      <c r="AU153" s="18" t="s">
        <v>154</v>
      </c>
      <c r="AV153" s="18">
        <v>9.0718051829518823E-2</v>
      </c>
    </row>
    <row r="154" spans="16:48" hidden="1">
      <c r="P154" t="s">
        <v>117</v>
      </c>
      <c r="Q154" t="s">
        <v>141</v>
      </c>
      <c r="R154" t="s">
        <v>155</v>
      </c>
      <c r="S154">
        <v>2.0551470139892999E-2</v>
      </c>
      <c r="U154" t="s">
        <v>149</v>
      </c>
      <c r="V154" t="s">
        <v>105</v>
      </c>
      <c r="W154" t="s">
        <v>158</v>
      </c>
      <c r="X154" t="s">
        <v>144</v>
      </c>
      <c r="Y154">
        <v>5.2605550652358703E-2</v>
      </c>
      <c r="AK154" s="18" t="s">
        <v>149</v>
      </c>
      <c r="AL154" s="18" t="s">
        <v>105</v>
      </c>
      <c r="AM154" s="18" t="s">
        <v>158</v>
      </c>
      <c r="AN154" s="18" t="s">
        <v>175</v>
      </c>
      <c r="AO154" s="18">
        <v>5.2605550652358703E-2</v>
      </c>
      <c r="AS154" s="18" t="s">
        <v>124</v>
      </c>
      <c r="AT154" s="18" t="s">
        <v>142</v>
      </c>
      <c r="AU154" s="18" t="s">
        <v>155</v>
      </c>
      <c r="AV154" s="18">
        <v>2.0815895190184626E-2</v>
      </c>
    </row>
    <row r="155" spans="16:48" hidden="1">
      <c r="P155" t="s">
        <v>117</v>
      </c>
      <c r="Q155" t="s">
        <v>141</v>
      </c>
      <c r="R155" t="s">
        <v>156</v>
      </c>
      <c r="S155">
        <v>0.19094215068869105</v>
      </c>
      <c r="U155" t="s">
        <v>149</v>
      </c>
      <c r="V155" t="s">
        <v>51</v>
      </c>
      <c r="W155" t="s">
        <v>158</v>
      </c>
      <c r="X155" t="s">
        <v>144</v>
      </c>
      <c r="Y155">
        <v>5.2605550652358703E-2</v>
      </c>
      <c r="AK155" s="18" t="s">
        <v>149</v>
      </c>
      <c r="AL155" s="18" t="s">
        <v>51</v>
      </c>
      <c r="AM155" s="18" t="s">
        <v>158</v>
      </c>
      <c r="AN155" s="18" t="s">
        <v>175</v>
      </c>
      <c r="AO155" s="18">
        <v>5.2605550652358703E-2</v>
      </c>
      <c r="AS155" s="18" t="s">
        <v>124</v>
      </c>
      <c r="AT155" s="18" t="s">
        <v>142</v>
      </c>
      <c r="AU155" s="18" t="s">
        <v>156</v>
      </c>
      <c r="AV155" s="18">
        <v>0.14122813164558601</v>
      </c>
    </row>
    <row r="156" spans="16:48" hidden="1">
      <c r="P156" t="s">
        <v>117</v>
      </c>
      <c r="Q156" t="s">
        <v>141</v>
      </c>
      <c r="R156" t="s">
        <v>157</v>
      </c>
      <c r="S156">
        <v>9.1670636438579353E-2</v>
      </c>
      <c r="U156" t="s">
        <v>149</v>
      </c>
      <c r="V156" t="s">
        <v>125</v>
      </c>
      <c r="W156" t="s">
        <v>158</v>
      </c>
      <c r="X156" t="s">
        <v>144</v>
      </c>
      <c r="Y156">
        <v>5.2605550652358703E-2</v>
      </c>
      <c r="AK156" s="18" t="s">
        <v>149</v>
      </c>
      <c r="AL156" s="18" t="s">
        <v>125</v>
      </c>
      <c r="AM156" s="18" t="s">
        <v>158</v>
      </c>
      <c r="AN156" s="18" t="s">
        <v>175</v>
      </c>
      <c r="AO156" s="18">
        <v>5.2605550652358703E-2</v>
      </c>
      <c r="AS156" s="18" t="s">
        <v>124</v>
      </c>
      <c r="AT156" s="18" t="s">
        <v>142</v>
      </c>
      <c r="AU156" s="18" t="s">
        <v>157</v>
      </c>
      <c r="AV156" s="18">
        <v>9.3768683350964332E-2</v>
      </c>
    </row>
    <row r="157" spans="16:48" hidden="1">
      <c r="P157" t="s">
        <v>117</v>
      </c>
      <c r="Q157" t="s">
        <v>141</v>
      </c>
      <c r="R157" t="s">
        <v>158</v>
      </c>
      <c r="S157">
        <v>2.9419270217036088E-2</v>
      </c>
      <c r="U157" t="s">
        <v>149</v>
      </c>
      <c r="V157" t="s">
        <v>112</v>
      </c>
      <c r="W157" t="s">
        <v>158</v>
      </c>
      <c r="X157" t="s">
        <v>144</v>
      </c>
      <c r="Y157">
        <v>5.2605550652358703E-2</v>
      </c>
      <c r="AK157" s="18" t="s">
        <v>149</v>
      </c>
      <c r="AL157" s="18" t="s">
        <v>112</v>
      </c>
      <c r="AM157" s="18" t="s">
        <v>158</v>
      </c>
      <c r="AN157" s="18" t="s">
        <v>175</v>
      </c>
      <c r="AO157" s="18">
        <v>5.2605550652358703E-2</v>
      </c>
      <c r="AS157" s="18" t="s">
        <v>124</v>
      </c>
      <c r="AT157" s="18" t="s">
        <v>142</v>
      </c>
      <c r="AU157" s="18" t="s">
        <v>158</v>
      </c>
      <c r="AV157" s="18">
        <v>2.1833191131877847E-2</v>
      </c>
    </row>
    <row r="158" spans="16:48" hidden="1">
      <c r="P158" t="s">
        <v>117</v>
      </c>
      <c r="Q158" t="s">
        <v>141</v>
      </c>
      <c r="R158" t="s">
        <v>159</v>
      </c>
      <c r="S158">
        <v>0.13764760281771707</v>
      </c>
      <c r="U158" t="s">
        <v>149</v>
      </c>
      <c r="V158" t="s">
        <v>113</v>
      </c>
      <c r="W158" t="s">
        <v>159</v>
      </c>
      <c r="X158" t="s">
        <v>144</v>
      </c>
      <c r="Y158">
        <v>5.9589061680379897E-2</v>
      </c>
      <c r="AK158" s="18" t="s">
        <v>149</v>
      </c>
      <c r="AL158" s="18" t="s">
        <v>113</v>
      </c>
      <c r="AM158" s="18" t="s">
        <v>159</v>
      </c>
      <c r="AN158" s="18" t="s">
        <v>175</v>
      </c>
      <c r="AO158" s="18">
        <v>5.9589061680379897E-2</v>
      </c>
      <c r="AS158" s="18" t="s">
        <v>124</v>
      </c>
      <c r="AT158" s="18" t="s">
        <v>142</v>
      </c>
      <c r="AU158" s="18" t="s">
        <v>159</v>
      </c>
      <c r="AV158" s="18">
        <v>0.13580797453719495</v>
      </c>
    </row>
    <row r="159" spans="16:48" hidden="1">
      <c r="P159" t="s">
        <v>117</v>
      </c>
      <c r="Q159" t="s">
        <v>141</v>
      </c>
      <c r="R159" t="s">
        <v>160</v>
      </c>
      <c r="S159">
        <v>8.0430522142886318E-2</v>
      </c>
      <c r="U159" t="s">
        <v>149</v>
      </c>
      <c r="V159" t="s">
        <v>114</v>
      </c>
      <c r="W159" t="s">
        <v>159</v>
      </c>
      <c r="X159" t="s">
        <v>144</v>
      </c>
      <c r="Y159">
        <v>5.9589061680379897E-2</v>
      </c>
      <c r="AK159" s="18" t="s">
        <v>149</v>
      </c>
      <c r="AL159" s="18" t="s">
        <v>114</v>
      </c>
      <c r="AM159" s="18" t="s">
        <v>159</v>
      </c>
      <c r="AN159" s="18" t="s">
        <v>175</v>
      </c>
      <c r="AO159" s="18">
        <v>5.9589061680379897E-2</v>
      </c>
      <c r="AS159" s="18" t="s">
        <v>124</v>
      </c>
      <c r="AT159" s="18" t="s">
        <v>142</v>
      </c>
      <c r="AU159" s="18" t="s">
        <v>160</v>
      </c>
      <c r="AV159" s="18">
        <v>9.2366401409884252E-2</v>
      </c>
    </row>
    <row r="160" spans="16:48" hidden="1">
      <c r="P160" t="s">
        <v>117</v>
      </c>
      <c r="Q160" t="s">
        <v>141</v>
      </c>
      <c r="R160" t="s">
        <v>161</v>
      </c>
      <c r="S160">
        <v>2.5143092659281666E-2</v>
      </c>
      <c r="U160" t="s">
        <v>149</v>
      </c>
      <c r="V160" t="s">
        <v>115</v>
      </c>
      <c r="W160" t="s">
        <v>159</v>
      </c>
      <c r="X160" t="s">
        <v>144</v>
      </c>
      <c r="Y160">
        <v>5.9589061680379897E-2</v>
      </c>
      <c r="AK160" s="18" t="s">
        <v>149</v>
      </c>
      <c r="AL160" s="18" t="s">
        <v>115</v>
      </c>
      <c r="AM160" s="18" t="s">
        <v>159</v>
      </c>
      <c r="AN160" s="18" t="s">
        <v>175</v>
      </c>
      <c r="AO160" s="18">
        <v>5.9589061680379897E-2</v>
      </c>
      <c r="AS160" s="18" t="s">
        <v>124</v>
      </c>
      <c r="AT160" s="18" t="s">
        <v>142</v>
      </c>
      <c r="AU160" s="18" t="s">
        <v>161</v>
      </c>
      <c r="AV160" s="18">
        <v>2.1328103576722726E-2</v>
      </c>
    </row>
    <row r="161" spans="16:48">
      <c r="P161" t="s">
        <v>117</v>
      </c>
      <c r="Q161" t="s">
        <v>142</v>
      </c>
      <c r="R161" t="s">
        <v>150</v>
      </c>
      <c r="S161">
        <v>0.13546560360396692</v>
      </c>
      <c r="U161" t="s">
        <v>149</v>
      </c>
      <c r="V161" t="s">
        <v>116</v>
      </c>
      <c r="W161" t="s">
        <v>159</v>
      </c>
      <c r="X161" t="s">
        <v>144</v>
      </c>
      <c r="Y161">
        <v>5.9589061680379897E-2</v>
      </c>
      <c r="AK161" s="18" t="s">
        <v>149</v>
      </c>
      <c r="AL161" s="18" t="s">
        <v>116</v>
      </c>
      <c r="AM161" s="18" t="s">
        <v>159</v>
      </c>
      <c r="AN161" s="18" t="s">
        <v>175</v>
      </c>
      <c r="AO161" s="18">
        <v>5.9589061680379897E-2</v>
      </c>
      <c r="AS161" s="18" t="s">
        <v>105</v>
      </c>
      <c r="AT161" s="18" t="s">
        <v>174</v>
      </c>
      <c r="AU161" s="18" t="s">
        <v>150</v>
      </c>
      <c r="AV161" s="18">
        <v>0.13546548151930415</v>
      </c>
    </row>
    <row r="162" spans="16:48">
      <c r="P162" t="s">
        <v>117</v>
      </c>
      <c r="Q162" t="s">
        <v>142</v>
      </c>
      <c r="R162" t="s">
        <v>151</v>
      </c>
      <c r="S162">
        <v>9.0938882985413708E-2</v>
      </c>
      <c r="U162" t="s">
        <v>149</v>
      </c>
      <c r="V162" t="s">
        <v>117</v>
      </c>
      <c r="W162" t="s">
        <v>159</v>
      </c>
      <c r="X162" t="s">
        <v>144</v>
      </c>
      <c r="Y162">
        <v>5.9589061680379897E-2</v>
      </c>
      <c r="AK162" s="18" t="s">
        <v>149</v>
      </c>
      <c r="AL162" s="18" t="s">
        <v>117</v>
      </c>
      <c r="AM162" s="18" t="s">
        <v>159</v>
      </c>
      <c r="AN162" s="18" t="s">
        <v>175</v>
      </c>
      <c r="AO162" s="18">
        <v>5.9589061680379897E-2</v>
      </c>
      <c r="AS162" s="18" t="s">
        <v>105</v>
      </c>
      <c r="AT162" s="18" t="s">
        <v>174</v>
      </c>
      <c r="AU162" s="18" t="s">
        <v>151</v>
      </c>
      <c r="AV162" s="18">
        <v>9.0938921453668775E-2</v>
      </c>
    </row>
    <row r="163" spans="16:48">
      <c r="P163" t="s">
        <v>117</v>
      </c>
      <c r="Q163" t="s">
        <v>142</v>
      </c>
      <c r="R163" t="s">
        <v>152</v>
      </c>
      <c r="S163">
        <v>2.1103178820672169E-2</v>
      </c>
      <c r="U163" t="s">
        <v>149</v>
      </c>
      <c r="V163" t="s">
        <v>118</v>
      </c>
      <c r="W163" t="s">
        <v>159</v>
      </c>
      <c r="X163" t="s">
        <v>144</v>
      </c>
      <c r="Y163">
        <v>5.9589061680379897E-2</v>
      </c>
      <c r="AK163" s="18" t="s">
        <v>149</v>
      </c>
      <c r="AL163" s="18" t="s">
        <v>118</v>
      </c>
      <c r="AM163" s="18" t="s">
        <v>159</v>
      </c>
      <c r="AN163" s="18" t="s">
        <v>175</v>
      </c>
      <c r="AO163" s="18">
        <v>5.9589061680379897E-2</v>
      </c>
      <c r="AS163" s="18" t="s">
        <v>105</v>
      </c>
      <c r="AT163" s="18" t="s">
        <v>174</v>
      </c>
      <c r="AU163" s="18" t="s">
        <v>152</v>
      </c>
      <c r="AV163" s="18">
        <v>2.1103193773602834E-2</v>
      </c>
    </row>
    <row r="164" spans="16:48">
      <c r="P164" t="s">
        <v>117</v>
      </c>
      <c r="Q164" t="s">
        <v>142</v>
      </c>
      <c r="R164" t="s">
        <v>153</v>
      </c>
      <c r="S164">
        <v>0.13439372399473901</v>
      </c>
      <c r="U164" t="s">
        <v>149</v>
      </c>
      <c r="V164" t="s">
        <v>119</v>
      </c>
      <c r="W164" t="s">
        <v>159</v>
      </c>
      <c r="X164" t="s">
        <v>144</v>
      </c>
      <c r="Y164">
        <v>5.9589061680379897E-2</v>
      </c>
      <c r="AK164" s="18" t="s">
        <v>149</v>
      </c>
      <c r="AL164" s="18" t="s">
        <v>119</v>
      </c>
      <c r="AM164" s="18" t="s">
        <v>159</v>
      </c>
      <c r="AN164" s="18" t="s">
        <v>175</v>
      </c>
      <c r="AO164" s="18">
        <v>5.9589061680379897E-2</v>
      </c>
      <c r="AS164" s="18" t="s">
        <v>105</v>
      </c>
      <c r="AT164" s="18" t="s">
        <v>174</v>
      </c>
      <c r="AU164" s="18" t="s">
        <v>153</v>
      </c>
      <c r="AV164" s="18">
        <v>0.13439371275643175</v>
      </c>
    </row>
    <row r="165" spans="16:48">
      <c r="P165" t="s">
        <v>117</v>
      </c>
      <c r="Q165" t="s">
        <v>142</v>
      </c>
      <c r="R165" t="s">
        <v>154</v>
      </c>
      <c r="S165">
        <v>9.0481327058455713E-2</v>
      </c>
      <c r="U165" t="s">
        <v>149</v>
      </c>
      <c r="V165" t="s">
        <v>120</v>
      </c>
      <c r="W165" t="s">
        <v>159</v>
      </c>
      <c r="X165" t="s">
        <v>144</v>
      </c>
      <c r="Y165">
        <v>5.9589061680379897E-2</v>
      </c>
      <c r="AK165" s="18" t="s">
        <v>149</v>
      </c>
      <c r="AL165" s="18" t="s">
        <v>120</v>
      </c>
      <c r="AM165" s="18" t="s">
        <v>159</v>
      </c>
      <c r="AN165" s="18" t="s">
        <v>175</v>
      </c>
      <c r="AO165" s="18">
        <v>5.9589061680379897E-2</v>
      </c>
      <c r="AS165" s="18" t="s">
        <v>105</v>
      </c>
      <c r="AT165" s="18" t="s">
        <v>174</v>
      </c>
      <c r="AU165" s="18" t="s">
        <v>154</v>
      </c>
      <c r="AV165" s="18">
        <v>9.0481316004498408E-2</v>
      </c>
    </row>
    <row r="166" spans="16:48">
      <c r="P166" t="s">
        <v>117</v>
      </c>
      <c r="Q166" t="s">
        <v>142</v>
      </c>
      <c r="R166" t="s">
        <v>155</v>
      </c>
      <c r="S166">
        <v>2.0807416042276875E-2</v>
      </c>
      <c r="U166" t="s">
        <v>149</v>
      </c>
      <c r="V166" t="s">
        <v>121</v>
      </c>
      <c r="W166" t="s">
        <v>159</v>
      </c>
      <c r="X166" t="s">
        <v>144</v>
      </c>
      <c r="Y166">
        <v>5.9589061680379897E-2</v>
      </c>
      <c r="AK166" s="18" t="s">
        <v>149</v>
      </c>
      <c r="AL166" s="18" t="s">
        <v>121</v>
      </c>
      <c r="AM166" s="18" t="s">
        <v>159</v>
      </c>
      <c r="AN166" s="18" t="s">
        <v>175</v>
      </c>
      <c r="AO166" s="18">
        <v>5.9589061680379897E-2</v>
      </c>
      <c r="AS166" s="18" t="s">
        <v>105</v>
      </c>
      <c r="AT166" s="18" t="s">
        <v>174</v>
      </c>
      <c r="AU166" s="18" t="s">
        <v>155</v>
      </c>
      <c r="AV166" s="18">
        <v>2.0807435398355022E-2</v>
      </c>
    </row>
    <row r="167" spans="16:48">
      <c r="P167" t="s">
        <v>117</v>
      </c>
      <c r="Q167" t="s">
        <v>142</v>
      </c>
      <c r="R167" t="s">
        <v>156</v>
      </c>
      <c r="S167">
        <v>0.14163605109256036</v>
      </c>
      <c r="U167" t="s">
        <v>149</v>
      </c>
      <c r="V167" t="s">
        <v>122</v>
      </c>
      <c r="W167" t="s">
        <v>159</v>
      </c>
      <c r="X167" t="s">
        <v>144</v>
      </c>
      <c r="Y167">
        <v>5.9589061680379897E-2</v>
      </c>
      <c r="AK167" s="18" t="s">
        <v>149</v>
      </c>
      <c r="AL167" s="18" t="s">
        <v>122</v>
      </c>
      <c r="AM167" s="18" t="s">
        <v>159</v>
      </c>
      <c r="AN167" s="18" t="s">
        <v>175</v>
      </c>
      <c r="AO167" s="18">
        <v>5.9589061680379897E-2</v>
      </c>
      <c r="AS167" s="18" t="s">
        <v>105</v>
      </c>
      <c r="AT167" s="18" t="s">
        <v>174</v>
      </c>
      <c r="AU167" s="18" t="s">
        <v>156</v>
      </c>
      <c r="AV167" s="18">
        <v>0.14163610280391642</v>
      </c>
    </row>
    <row r="168" spans="16:48">
      <c r="P168" t="s">
        <v>117</v>
      </c>
      <c r="Q168" t="s">
        <v>142</v>
      </c>
      <c r="R168" t="s">
        <v>157</v>
      </c>
      <c r="S168">
        <v>9.3751693644346337E-2</v>
      </c>
      <c r="U168" t="s">
        <v>149</v>
      </c>
      <c r="V168" t="s">
        <v>123</v>
      </c>
      <c r="W168" t="s">
        <v>159</v>
      </c>
      <c r="X168" t="s">
        <v>144</v>
      </c>
      <c r="Y168">
        <v>5.9589061680379897E-2</v>
      </c>
      <c r="AK168" s="18" t="s">
        <v>149</v>
      </c>
      <c r="AL168" s="18" t="s">
        <v>123</v>
      </c>
      <c r="AM168" s="18" t="s">
        <v>159</v>
      </c>
      <c r="AN168" s="18" t="s">
        <v>175</v>
      </c>
      <c r="AO168" s="18">
        <v>5.9589061680379897E-2</v>
      </c>
      <c r="AS168" s="18" t="s">
        <v>105</v>
      </c>
      <c r="AT168" s="18" t="s">
        <v>174</v>
      </c>
      <c r="AU168" s="18" t="s">
        <v>157</v>
      </c>
      <c r="AV168" s="18">
        <v>9.3751714807469688E-2</v>
      </c>
    </row>
    <row r="169" spans="16:48">
      <c r="P169" t="s">
        <v>117</v>
      </c>
      <c r="Q169" t="s">
        <v>142</v>
      </c>
      <c r="R169" t="s">
        <v>158</v>
      </c>
      <c r="S169">
        <v>2.1897599522857296E-2</v>
      </c>
      <c r="U169" t="s">
        <v>149</v>
      </c>
      <c r="V169" t="s">
        <v>50</v>
      </c>
      <c r="W169" t="s">
        <v>159</v>
      </c>
      <c r="X169" t="s">
        <v>144</v>
      </c>
      <c r="Y169">
        <v>5.9589061680379897E-2</v>
      </c>
      <c r="AK169" s="18" t="s">
        <v>149</v>
      </c>
      <c r="AL169" s="18" t="s">
        <v>50</v>
      </c>
      <c r="AM169" s="18" t="s">
        <v>159</v>
      </c>
      <c r="AN169" s="18" t="s">
        <v>175</v>
      </c>
      <c r="AO169" s="18">
        <v>5.9589061680379897E-2</v>
      </c>
      <c r="AS169" s="18" t="s">
        <v>105</v>
      </c>
      <c r="AT169" s="18" t="s">
        <v>174</v>
      </c>
      <c r="AU169" s="18" t="s">
        <v>158</v>
      </c>
      <c r="AV169" s="18">
        <v>2.189758655562242E-2</v>
      </c>
    </row>
    <row r="170" spans="16:48">
      <c r="P170" t="s">
        <v>117</v>
      </c>
      <c r="Q170" t="s">
        <v>142</v>
      </c>
      <c r="R170" t="s">
        <v>159</v>
      </c>
      <c r="S170">
        <v>0.13583842241220795</v>
      </c>
      <c r="U170" t="s">
        <v>149</v>
      </c>
      <c r="V170" t="s">
        <v>124</v>
      </c>
      <c r="W170" t="s">
        <v>159</v>
      </c>
      <c r="X170" t="s">
        <v>144</v>
      </c>
      <c r="Y170">
        <v>5.9589061680379897E-2</v>
      </c>
      <c r="AK170" s="18" t="s">
        <v>149</v>
      </c>
      <c r="AL170" s="18" t="s">
        <v>124</v>
      </c>
      <c r="AM170" s="18" t="s">
        <v>159</v>
      </c>
      <c r="AN170" s="18" t="s">
        <v>175</v>
      </c>
      <c r="AO170" s="18">
        <v>5.9589061680379897E-2</v>
      </c>
      <c r="AS170" s="18" t="s">
        <v>105</v>
      </c>
      <c r="AT170" s="18" t="s">
        <v>174</v>
      </c>
      <c r="AU170" s="18" t="s">
        <v>159</v>
      </c>
      <c r="AV170" s="18">
        <v>0.13583839128218012</v>
      </c>
    </row>
    <row r="171" spans="16:48">
      <c r="P171" t="s">
        <v>117</v>
      </c>
      <c r="Q171" t="s">
        <v>142</v>
      </c>
      <c r="R171" t="s">
        <v>160</v>
      </c>
      <c r="S171">
        <v>9.233835286362535E-2</v>
      </c>
      <c r="U171" t="s">
        <v>149</v>
      </c>
      <c r="V171" t="s">
        <v>105</v>
      </c>
      <c r="W171" t="s">
        <v>159</v>
      </c>
      <c r="X171" t="s">
        <v>144</v>
      </c>
      <c r="Y171">
        <v>5.9589061680379897E-2</v>
      </c>
      <c r="AK171" s="18" t="s">
        <v>149</v>
      </c>
      <c r="AL171" s="18" t="s">
        <v>105</v>
      </c>
      <c r="AM171" s="18" t="s">
        <v>159</v>
      </c>
      <c r="AN171" s="18" t="s">
        <v>175</v>
      </c>
      <c r="AO171" s="18">
        <v>5.9589061680379897E-2</v>
      </c>
      <c r="AS171" s="18" t="s">
        <v>105</v>
      </c>
      <c r="AT171" s="18" t="s">
        <v>174</v>
      </c>
      <c r="AU171" s="18" t="s">
        <v>160</v>
      </c>
      <c r="AV171" s="18">
        <v>9.23383888562508E-2</v>
      </c>
    </row>
    <row r="172" spans="16:48">
      <c r="P172" t="s">
        <v>117</v>
      </c>
      <c r="Q172" t="s">
        <v>142</v>
      </c>
      <c r="R172" t="s">
        <v>161</v>
      </c>
      <c r="S172">
        <v>2.1347747958878307E-2</v>
      </c>
      <c r="U172" t="s">
        <v>149</v>
      </c>
      <c r="V172" t="s">
        <v>51</v>
      </c>
      <c r="W172" t="s">
        <v>159</v>
      </c>
      <c r="X172" t="s">
        <v>144</v>
      </c>
      <c r="Y172">
        <v>5.9589061680379897E-2</v>
      </c>
      <c r="AK172" s="18" t="s">
        <v>149</v>
      </c>
      <c r="AL172" s="18" t="s">
        <v>51</v>
      </c>
      <c r="AM172" s="18" t="s">
        <v>159</v>
      </c>
      <c r="AN172" s="18" t="s">
        <v>175</v>
      </c>
      <c r="AO172" s="18">
        <v>5.9589061680379897E-2</v>
      </c>
      <c r="AS172" s="18" t="s">
        <v>105</v>
      </c>
      <c r="AT172" s="18" t="s">
        <v>174</v>
      </c>
      <c r="AU172" s="18" t="s">
        <v>161</v>
      </c>
      <c r="AV172" s="18">
        <v>2.1347754788699155E-2</v>
      </c>
    </row>
    <row r="173" spans="16:48" hidden="1">
      <c r="P173" t="s">
        <v>117</v>
      </c>
      <c r="Q173" t="s">
        <v>143</v>
      </c>
      <c r="R173" t="s">
        <v>150</v>
      </c>
      <c r="S173">
        <v>0.13457249706822594</v>
      </c>
      <c r="U173" t="s">
        <v>149</v>
      </c>
      <c r="V173" t="s">
        <v>125</v>
      </c>
      <c r="W173" t="s">
        <v>159</v>
      </c>
      <c r="X173" t="s">
        <v>144</v>
      </c>
      <c r="Y173">
        <v>5.9589061680379897E-2</v>
      </c>
      <c r="AK173" s="18" t="s">
        <v>149</v>
      </c>
      <c r="AL173" s="18" t="s">
        <v>125</v>
      </c>
      <c r="AM173" s="18" t="s">
        <v>159</v>
      </c>
      <c r="AN173" s="18" t="s">
        <v>175</v>
      </c>
      <c r="AO173" s="18">
        <v>5.9589061680379897E-2</v>
      </c>
      <c r="AS173" s="18" t="s">
        <v>51</v>
      </c>
      <c r="AT173" s="18" t="s">
        <v>142</v>
      </c>
      <c r="AU173" s="18" t="s">
        <v>150</v>
      </c>
      <c r="AV173" s="18">
        <v>0.135465466135027</v>
      </c>
    </row>
    <row r="174" spans="16:48" hidden="1">
      <c r="P174" t="s">
        <v>117</v>
      </c>
      <c r="Q174" t="s">
        <v>143</v>
      </c>
      <c r="R174" t="s">
        <v>151</v>
      </c>
      <c r="S174">
        <v>7.3472122037916157E-2</v>
      </c>
      <c r="U174" t="s">
        <v>149</v>
      </c>
      <c r="V174" t="s">
        <v>112</v>
      </c>
      <c r="W174" t="s">
        <v>159</v>
      </c>
      <c r="X174" t="s">
        <v>144</v>
      </c>
      <c r="Y174">
        <v>5.9589061680379897E-2</v>
      </c>
      <c r="AK174" s="18" t="s">
        <v>149</v>
      </c>
      <c r="AL174" s="18" t="s">
        <v>112</v>
      </c>
      <c r="AM174" s="18" t="s">
        <v>159</v>
      </c>
      <c r="AN174" s="18" t="s">
        <v>175</v>
      </c>
      <c r="AO174" s="18">
        <v>5.9589061680379897E-2</v>
      </c>
      <c r="AS174" s="18" t="s">
        <v>51</v>
      </c>
      <c r="AT174" s="18" t="s">
        <v>142</v>
      </c>
      <c r="AU174" s="18" t="s">
        <v>151</v>
      </c>
      <c r="AV174" s="18">
        <v>9.0938910539499401E-2</v>
      </c>
    </row>
    <row r="175" spans="16:48" hidden="1">
      <c r="P175" t="s">
        <v>117</v>
      </c>
      <c r="Q175" t="s">
        <v>143</v>
      </c>
      <c r="R175" t="s">
        <v>152</v>
      </c>
      <c r="S175">
        <v>2.2839426265447552E-2</v>
      </c>
      <c r="U175" t="s">
        <v>149</v>
      </c>
      <c r="V175" t="s">
        <v>113</v>
      </c>
      <c r="W175" t="s">
        <v>160</v>
      </c>
      <c r="X175" t="s">
        <v>144</v>
      </c>
      <c r="Y175">
        <v>0.137805387667261</v>
      </c>
      <c r="AK175" s="18" t="s">
        <v>149</v>
      </c>
      <c r="AL175" s="18" t="s">
        <v>113</v>
      </c>
      <c r="AM175" s="18" t="s">
        <v>160</v>
      </c>
      <c r="AN175" s="18" t="s">
        <v>175</v>
      </c>
      <c r="AO175" s="18">
        <v>0.137805387667261</v>
      </c>
      <c r="AS175" s="18" t="s">
        <v>51</v>
      </c>
      <c r="AT175" s="18" t="s">
        <v>142</v>
      </c>
      <c r="AU175" s="18" t="s">
        <v>152</v>
      </c>
      <c r="AV175" s="18">
        <v>2.110318656457422E-2</v>
      </c>
    </row>
    <row r="176" spans="16:48" hidden="1">
      <c r="P176" t="s">
        <v>117</v>
      </c>
      <c r="Q176" t="s">
        <v>143</v>
      </c>
      <c r="R176" t="s">
        <v>153</v>
      </c>
      <c r="S176">
        <v>0.12668021650791952</v>
      </c>
      <c r="U176" t="s">
        <v>149</v>
      </c>
      <c r="V176" t="s">
        <v>114</v>
      </c>
      <c r="W176" t="s">
        <v>160</v>
      </c>
      <c r="X176" t="s">
        <v>144</v>
      </c>
      <c r="Y176">
        <v>0.137805387667261</v>
      </c>
      <c r="AK176" s="18" t="s">
        <v>149</v>
      </c>
      <c r="AL176" s="18" t="s">
        <v>114</v>
      </c>
      <c r="AM176" s="18" t="s">
        <v>160</v>
      </c>
      <c r="AN176" s="18" t="s">
        <v>175</v>
      </c>
      <c r="AO176" s="18">
        <v>0.137805387667261</v>
      </c>
      <c r="AS176" s="18" t="s">
        <v>51</v>
      </c>
      <c r="AT176" s="18" t="s">
        <v>142</v>
      </c>
      <c r="AU176" s="18" t="s">
        <v>153</v>
      </c>
      <c r="AV176" s="18">
        <v>0.1343937358643337</v>
      </c>
    </row>
    <row r="177" spans="16:48" hidden="1">
      <c r="P177" t="s">
        <v>117</v>
      </c>
      <c r="Q177" t="s">
        <v>143</v>
      </c>
      <c r="R177" t="s">
        <v>154</v>
      </c>
      <c r="S177">
        <v>6.9947461881555262E-2</v>
      </c>
      <c r="U177" t="s">
        <v>149</v>
      </c>
      <c r="V177" t="s">
        <v>115</v>
      </c>
      <c r="W177" t="s">
        <v>160</v>
      </c>
      <c r="X177" t="s">
        <v>144</v>
      </c>
      <c r="Y177">
        <v>0.137805387667261</v>
      </c>
      <c r="AK177" s="18" t="s">
        <v>149</v>
      </c>
      <c r="AL177" s="18" t="s">
        <v>115</v>
      </c>
      <c r="AM177" s="18" t="s">
        <v>160</v>
      </c>
      <c r="AN177" s="18" t="s">
        <v>175</v>
      </c>
      <c r="AO177" s="18">
        <v>0.137805387667261</v>
      </c>
      <c r="AS177" s="18" t="s">
        <v>51</v>
      </c>
      <c r="AT177" s="18" t="s">
        <v>142</v>
      </c>
      <c r="AU177" s="18" t="s">
        <v>154</v>
      </c>
      <c r="AV177" s="18">
        <v>9.0481270690974613E-2</v>
      </c>
    </row>
    <row r="178" spans="16:48" hidden="1">
      <c r="P178" t="s">
        <v>117</v>
      </c>
      <c r="Q178" t="s">
        <v>143</v>
      </c>
      <c r="R178" t="s">
        <v>155</v>
      </c>
      <c r="S178">
        <v>2.0683355698487026E-2</v>
      </c>
      <c r="U178" t="s">
        <v>149</v>
      </c>
      <c r="V178" t="s">
        <v>116</v>
      </c>
      <c r="W178" t="s">
        <v>160</v>
      </c>
      <c r="X178" t="s">
        <v>144</v>
      </c>
      <c r="Y178">
        <v>0.137805387667261</v>
      </c>
      <c r="AK178" s="18" t="s">
        <v>149</v>
      </c>
      <c r="AL178" s="18" t="s">
        <v>116</v>
      </c>
      <c r="AM178" s="18" t="s">
        <v>160</v>
      </c>
      <c r="AN178" s="18" t="s">
        <v>175</v>
      </c>
      <c r="AO178" s="18">
        <v>0.137805387667261</v>
      </c>
      <c r="AS178" s="18" t="s">
        <v>51</v>
      </c>
      <c r="AT178" s="18" t="s">
        <v>142</v>
      </c>
      <c r="AU178" s="18" t="s">
        <v>155</v>
      </c>
      <c r="AV178" s="18">
        <v>2.0807446128727224E-2</v>
      </c>
    </row>
    <row r="179" spans="16:48" hidden="1">
      <c r="P179" t="s">
        <v>117</v>
      </c>
      <c r="Q179" t="s">
        <v>143</v>
      </c>
      <c r="R179" t="s">
        <v>156</v>
      </c>
      <c r="S179">
        <v>0.17939193837391226</v>
      </c>
      <c r="U179" t="s">
        <v>149</v>
      </c>
      <c r="V179" t="s">
        <v>117</v>
      </c>
      <c r="W179" t="s">
        <v>160</v>
      </c>
      <c r="X179" t="s">
        <v>144</v>
      </c>
      <c r="Y179">
        <v>0.137805387667261</v>
      </c>
      <c r="AK179" s="18" t="s">
        <v>149</v>
      </c>
      <c r="AL179" s="18" t="s">
        <v>117</v>
      </c>
      <c r="AM179" s="18" t="s">
        <v>160</v>
      </c>
      <c r="AN179" s="18" t="s">
        <v>175</v>
      </c>
      <c r="AO179" s="18">
        <v>0.137805387667261</v>
      </c>
      <c r="AS179" s="18" t="s">
        <v>51</v>
      </c>
      <c r="AT179" s="18" t="s">
        <v>142</v>
      </c>
      <c r="AU179" s="18" t="s">
        <v>156</v>
      </c>
      <c r="AV179" s="18">
        <v>0.14163607801167569</v>
      </c>
    </row>
    <row r="180" spans="16:48" hidden="1">
      <c r="P180" t="s">
        <v>117</v>
      </c>
      <c r="Q180" t="s">
        <v>143</v>
      </c>
      <c r="R180" t="s">
        <v>157</v>
      </c>
      <c r="S180">
        <v>9.5142649295389486E-2</v>
      </c>
      <c r="U180" t="s">
        <v>149</v>
      </c>
      <c r="V180" t="s">
        <v>118</v>
      </c>
      <c r="W180" t="s">
        <v>160</v>
      </c>
      <c r="X180" t="s">
        <v>144</v>
      </c>
      <c r="Y180">
        <v>0.137805387667261</v>
      </c>
      <c r="AK180" s="18" t="s">
        <v>149</v>
      </c>
      <c r="AL180" s="18" t="s">
        <v>118</v>
      </c>
      <c r="AM180" s="18" t="s">
        <v>160</v>
      </c>
      <c r="AN180" s="18" t="s">
        <v>175</v>
      </c>
      <c r="AO180" s="18">
        <v>0.137805387667261</v>
      </c>
      <c r="AS180" s="18" t="s">
        <v>51</v>
      </c>
      <c r="AT180" s="18" t="s">
        <v>142</v>
      </c>
      <c r="AU180" s="18" t="s">
        <v>157</v>
      </c>
      <c r="AV180" s="18">
        <v>9.3751722334177473E-2</v>
      </c>
    </row>
    <row r="181" spans="16:48" hidden="1">
      <c r="P181" t="s">
        <v>117</v>
      </c>
      <c r="Q181" t="s">
        <v>143</v>
      </c>
      <c r="R181" t="s">
        <v>158</v>
      </c>
      <c r="S181">
        <v>2.8961996881416329E-2</v>
      </c>
      <c r="U181" t="s">
        <v>149</v>
      </c>
      <c r="V181" t="s">
        <v>119</v>
      </c>
      <c r="W181" t="s">
        <v>160</v>
      </c>
      <c r="X181" t="s">
        <v>144</v>
      </c>
      <c r="Y181">
        <v>0.137805387667261</v>
      </c>
      <c r="AK181" s="18" t="s">
        <v>149</v>
      </c>
      <c r="AL181" s="18" t="s">
        <v>119</v>
      </c>
      <c r="AM181" s="18" t="s">
        <v>160</v>
      </c>
      <c r="AN181" s="18" t="s">
        <v>175</v>
      </c>
      <c r="AO181" s="18">
        <v>0.137805387667261</v>
      </c>
      <c r="AS181" s="18" t="s">
        <v>51</v>
      </c>
      <c r="AT181" s="18" t="s">
        <v>142</v>
      </c>
      <c r="AU181" s="18" t="s">
        <v>158</v>
      </c>
      <c r="AV181" s="18">
        <v>2.189761059431344E-2</v>
      </c>
    </row>
    <row r="182" spans="16:48" hidden="1">
      <c r="P182" t="s">
        <v>117</v>
      </c>
      <c r="Q182" t="s">
        <v>143</v>
      </c>
      <c r="R182" t="s">
        <v>159</v>
      </c>
      <c r="S182">
        <v>0.13941024809290117</v>
      </c>
      <c r="U182" t="s">
        <v>149</v>
      </c>
      <c r="V182" t="s">
        <v>120</v>
      </c>
      <c r="W182" t="s">
        <v>160</v>
      </c>
      <c r="X182" t="s">
        <v>144</v>
      </c>
      <c r="Y182">
        <v>0.137805387667261</v>
      </c>
      <c r="AK182" s="18" t="s">
        <v>149</v>
      </c>
      <c r="AL182" s="18" t="s">
        <v>120</v>
      </c>
      <c r="AM182" s="18" t="s">
        <v>160</v>
      </c>
      <c r="AN182" s="18" t="s">
        <v>175</v>
      </c>
      <c r="AO182" s="18">
        <v>0.137805387667261</v>
      </c>
      <c r="AS182" s="18" t="s">
        <v>51</v>
      </c>
      <c r="AT182" s="18" t="s">
        <v>142</v>
      </c>
      <c r="AU182" s="18" t="s">
        <v>159</v>
      </c>
      <c r="AV182" s="18">
        <v>0.13583840889557841</v>
      </c>
    </row>
    <row r="183" spans="16:48" hidden="1">
      <c r="P183" t="s">
        <v>117</v>
      </c>
      <c r="Q183" t="s">
        <v>143</v>
      </c>
      <c r="R183" t="s">
        <v>160</v>
      </c>
      <c r="S183">
        <v>8.4241049085894026E-2</v>
      </c>
      <c r="U183" t="s">
        <v>149</v>
      </c>
      <c r="V183" t="s">
        <v>121</v>
      </c>
      <c r="W183" t="s">
        <v>160</v>
      </c>
      <c r="X183" t="s">
        <v>144</v>
      </c>
      <c r="Y183">
        <v>0.137805387667261</v>
      </c>
      <c r="AK183" s="18" t="s">
        <v>149</v>
      </c>
      <c r="AL183" s="18" t="s">
        <v>121</v>
      </c>
      <c r="AM183" s="18" t="s">
        <v>160</v>
      </c>
      <c r="AN183" s="18" t="s">
        <v>175</v>
      </c>
      <c r="AO183" s="18">
        <v>0.137805387667261</v>
      </c>
      <c r="AS183" s="18" t="s">
        <v>51</v>
      </c>
      <c r="AT183" s="18" t="s">
        <v>142</v>
      </c>
      <c r="AU183" s="18" t="s">
        <v>160</v>
      </c>
      <c r="AV183" s="18">
        <v>9.2338406223350836E-2</v>
      </c>
    </row>
    <row r="184" spans="16:48" hidden="1">
      <c r="P184" t="s">
        <v>117</v>
      </c>
      <c r="Q184" t="s">
        <v>143</v>
      </c>
      <c r="R184" t="s">
        <v>161</v>
      </c>
      <c r="S184">
        <v>2.4657038810934659E-2</v>
      </c>
      <c r="U184" t="s">
        <v>149</v>
      </c>
      <c r="V184" t="s">
        <v>122</v>
      </c>
      <c r="W184" t="s">
        <v>160</v>
      </c>
      <c r="X184" t="s">
        <v>144</v>
      </c>
      <c r="Y184">
        <v>0.137805387667261</v>
      </c>
      <c r="AK184" s="18" t="s">
        <v>149</v>
      </c>
      <c r="AL184" s="18" t="s">
        <v>122</v>
      </c>
      <c r="AM184" s="18" t="s">
        <v>160</v>
      </c>
      <c r="AN184" s="18" t="s">
        <v>175</v>
      </c>
      <c r="AO184" s="18">
        <v>0.137805387667261</v>
      </c>
      <c r="AS184" s="18" t="s">
        <v>51</v>
      </c>
      <c r="AT184" s="18" t="s">
        <v>142</v>
      </c>
      <c r="AU184" s="18" t="s">
        <v>161</v>
      </c>
      <c r="AV184" s="18">
        <v>2.1347758017768319E-2</v>
      </c>
    </row>
    <row r="185" spans="16:48" hidden="1">
      <c r="P185" t="s">
        <v>118</v>
      </c>
      <c r="Q185" t="s">
        <v>141</v>
      </c>
      <c r="R185" t="s">
        <v>150</v>
      </c>
      <c r="S185">
        <v>0.14048890151537066</v>
      </c>
      <c r="U185" t="s">
        <v>149</v>
      </c>
      <c r="V185" t="s">
        <v>123</v>
      </c>
      <c r="W185" t="s">
        <v>160</v>
      </c>
      <c r="X185" t="s">
        <v>144</v>
      </c>
      <c r="Y185">
        <v>0.137805387667261</v>
      </c>
      <c r="AK185" s="18" t="s">
        <v>149</v>
      </c>
      <c r="AL185" s="18" t="s">
        <v>123</v>
      </c>
      <c r="AM185" s="18" t="s">
        <v>160</v>
      </c>
      <c r="AN185" s="18" t="s">
        <v>175</v>
      </c>
      <c r="AO185" s="18">
        <v>0.137805387667261</v>
      </c>
      <c r="AS185" s="18" t="s">
        <v>125</v>
      </c>
      <c r="AT185" s="18" t="s">
        <v>142</v>
      </c>
      <c r="AU185" s="18" t="s">
        <v>150</v>
      </c>
      <c r="AV185" s="18">
        <v>0.13576761496208589</v>
      </c>
    </row>
    <row r="186" spans="16:48" hidden="1">
      <c r="P186" t="s">
        <v>118</v>
      </c>
      <c r="Q186" t="s">
        <v>141</v>
      </c>
      <c r="R186" t="s">
        <v>151</v>
      </c>
      <c r="S186">
        <v>3.8326383447900035E-2</v>
      </c>
      <c r="U186" t="s">
        <v>149</v>
      </c>
      <c r="V186" t="s">
        <v>50</v>
      </c>
      <c r="W186" t="s">
        <v>160</v>
      </c>
      <c r="X186" t="s">
        <v>144</v>
      </c>
      <c r="Y186">
        <v>0.137805387667261</v>
      </c>
      <c r="AK186" s="18" t="s">
        <v>149</v>
      </c>
      <c r="AL186" s="18" t="s">
        <v>50</v>
      </c>
      <c r="AM186" s="18" t="s">
        <v>160</v>
      </c>
      <c r="AN186" s="18" t="s">
        <v>175</v>
      </c>
      <c r="AO186" s="18">
        <v>0.137805387667261</v>
      </c>
      <c r="AS186" s="18" t="s">
        <v>125</v>
      </c>
      <c r="AT186" s="18" t="s">
        <v>142</v>
      </c>
      <c r="AU186" s="18" t="s">
        <v>151</v>
      </c>
      <c r="AV186" s="18">
        <v>9.139082327317806E-2</v>
      </c>
    </row>
    <row r="187" spans="16:48" hidden="1">
      <c r="P187" t="s">
        <v>118</v>
      </c>
      <c r="Q187" t="s">
        <v>141</v>
      </c>
      <c r="R187" t="s">
        <v>152</v>
      </c>
      <c r="S187">
        <v>2.5949157521233487E-2</v>
      </c>
      <c r="U187" t="s">
        <v>149</v>
      </c>
      <c r="V187" t="s">
        <v>124</v>
      </c>
      <c r="W187" t="s">
        <v>160</v>
      </c>
      <c r="X187" t="s">
        <v>144</v>
      </c>
      <c r="Y187">
        <v>0.137805387667261</v>
      </c>
      <c r="AK187" s="18" t="s">
        <v>149</v>
      </c>
      <c r="AL187" s="18" t="s">
        <v>124</v>
      </c>
      <c r="AM187" s="18" t="s">
        <v>160</v>
      </c>
      <c r="AN187" s="18" t="s">
        <v>175</v>
      </c>
      <c r="AO187" s="18">
        <v>0.137805387667261</v>
      </c>
      <c r="AS187" s="18" t="s">
        <v>125</v>
      </c>
      <c r="AT187" s="18" t="s">
        <v>142</v>
      </c>
      <c r="AU187" s="18" t="s">
        <v>152</v>
      </c>
      <c r="AV187" s="18">
        <v>2.1264869952270445E-2</v>
      </c>
    </row>
    <row r="188" spans="16:48" hidden="1">
      <c r="P188" t="s">
        <v>118</v>
      </c>
      <c r="Q188" t="s">
        <v>141</v>
      </c>
      <c r="R188" t="s">
        <v>153</v>
      </c>
      <c r="S188">
        <v>0.11990908737351494</v>
      </c>
      <c r="U188" t="s">
        <v>149</v>
      </c>
      <c r="V188" t="s">
        <v>105</v>
      </c>
      <c r="W188" t="s">
        <v>160</v>
      </c>
      <c r="X188" t="s">
        <v>144</v>
      </c>
      <c r="Y188">
        <v>0.137805387667261</v>
      </c>
      <c r="AK188" s="18" t="s">
        <v>149</v>
      </c>
      <c r="AL188" s="18" t="s">
        <v>105</v>
      </c>
      <c r="AM188" s="18" t="s">
        <v>160</v>
      </c>
      <c r="AN188" s="18" t="s">
        <v>175</v>
      </c>
      <c r="AO188" s="18">
        <v>0.137805387667261</v>
      </c>
      <c r="AS188" s="18" t="s">
        <v>125</v>
      </c>
      <c r="AT188" s="18" t="s">
        <v>142</v>
      </c>
      <c r="AU188" s="18" t="s">
        <v>153</v>
      </c>
      <c r="AV188" s="18">
        <v>0.13454610311250587</v>
      </c>
    </row>
    <row r="189" spans="16:48" hidden="1">
      <c r="P189" t="s">
        <v>118</v>
      </c>
      <c r="Q189" t="s">
        <v>141</v>
      </c>
      <c r="R189" t="s">
        <v>154</v>
      </c>
      <c r="S189">
        <v>3.0074086177708174E-2</v>
      </c>
      <c r="U189" t="s">
        <v>149</v>
      </c>
      <c r="V189" t="s">
        <v>51</v>
      </c>
      <c r="W189" t="s">
        <v>160</v>
      </c>
      <c r="X189" t="s">
        <v>144</v>
      </c>
      <c r="Y189">
        <v>0.137805387667261</v>
      </c>
      <c r="AK189" s="18" t="s">
        <v>149</v>
      </c>
      <c r="AL189" s="18" t="s">
        <v>51</v>
      </c>
      <c r="AM189" s="18" t="s">
        <v>160</v>
      </c>
      <c r="AN189" s="18" t="s">
        <v>175</v>
      </c>
      <c r="AO189" s="18">
        <v>0.137805387667261</v>
      </c>
      <c r="AS189" s="18" t="s">
        <v>125</v>
      </c>
      <c r="AT189" s="18" t="s">
        <v>142</v>
      </c>
      <c r="AU189" s="18" t="s">
        <v>154</v>
      </c>
      <c r="AV189" s="18">
        <v>9.0994323600367175E-2</v>
      </c>
    </row>
    <row r="190" spans="16:48" hidden="1">
      <c r="P190" t="s">
        <v>118</v>
      </c>
      <c r="Q190" t="s">
        <v>141</v>
      </c>
      <c r="R190" t="s">
        <v>155</v>
      </c>
      <c r="S190">
        <v>2.0195903021686321E-2</v>
      </c>
      <c r="U190" t="s">
        <v>149</v>
      </c>
      <c r="V190" t="s">
        <v>125</v>
      </c>
      <c r="W190" t="s">
        <v>160</v>
      </c>
      <c r="X190" t="s">
        <v>144</v>
      </c>
      <c r="Y190">
        <v>0.137805387667261</v>
      </c>
      <c r="AK190" s="18" t="s">
        <v>149</v>
      </c>
      <c r="AL190" s="18" t="s">
        <v>125</v>
      </c>
      <c r="AM190" s="18" t="s">
        <v>160</v>
      </c>
      <c r="AN190" s="18" t="s">
        <v>175</v>
      </c>
      <c r="AO190" s="18">
        <v>0.137805387667261</v>
      </c>
      <c r="AS190" s="18" t="s">
        <v>125</v>
      </c>
      <c r="AT190" s="18" t="s">
        <v>142</v>
      </c>
      <c r="AU190" s="18" t="s">
        <v>155</v>
      </c>
      <c r="AV190" s="18">
        <v>2.0926527441002044E-2</v>
      </c>
    </row>
    <row r="191" spans="16:48" hidden="1">
      <c r="P191" t="s">
        <v>118</v>
      </c>
      <c r="Q191" t="s">
        <v>141</v>
      </c>
      <c r="R191" t="s">
        <v>156</v>
      </c>
      <c r="S191">
        <v>0.26108803521453183</v>
      </c>
      <c r="U191" t="s">
        <v>149</v>
      </c>
      <c r="V191" t="s">
        <v>112</v>
      </c>
      <c r="W191" t="s">
        <v>160</v>
      </c>
      <c r="X191" t="s">
        <v>144</v>
      </c>
      <c r="Y191">
        <v>0.137805387667261</v>
      </c>
      <c r="AK191" s="18" t="s">
        <v>149</v>
      </c>
      <c r="AL191" s="18" t="s">
        <v>112</v>
      </c>
      <c r="AM191" s="18" t="s">
        <v>160</v>
      </c>
      <c r="AN191" s="18" t="s">
        <v>175</v>
      </c>
      <c r="AO191" s="18">
        <v>0.137805387667261</v>
      </c>
      <c r="AS191" s="18" t="s">
        <v>125</v>
      </c>
      <c r="AT191" s="18" t="s">
        <v>142</v>
      </c>
      <c r="AU191" s="18" t="s">
        <v>156</v>
      </c>
      <c r="AV191" s="18">
        <v>0.13867239664118217</v>
      </c>
    </row>
    <row r="192" spans="16:48" hidden="1">
      <c r="P192" t="s">
        <v>118</v>
      </c>
      <c r="Q192" t="s">
        <v>141</v>
      </c>
      <c r="R192" t="s">
        <v>157</v>
      </c>
      <c r="S192">
        <v>8.9043970171156728E-2</v>
      </c>
      <c r="U192" t="s">
        <v>149</v>
      </c>
      <c r="V192" t="s">
        <v>113</v>
      </c>
      <c r="W192" t="s">
        <v>161</v>
      </c>
      <c r="X192" t="s">
        <v>144</v>
      </c>
      <c r="Y192">
        <v>5.2605550652358703E-2</v>
      </c>
      <c r="AK192" s="18" t="s">
        <v>149</v>
      </c>
      <c r="AL192" s="18" t="s">
        <v>113</v>
      </c>
      <c r="AM192" s="18" t="s">
        <v>161</v>
      </c>
      <c r="AN192" s="18" t="s">
        <v>175</v>
      </c>
      <c r="AO192" s="18">
        <v>5.2605550652358703E-2</v>
      </c>
      <c r="AS192" s="18" t="s">
        <v>125</v>
      </c>
      <c r="AT192" s="18" t="s">
        <v>142</v>
      </c>
      <c r="AU192" s="18" t="s">
        <v>157</v>
      </c>
      <c r="AV192" s="18">
        <v>9.2651006709661976E-2</v>
      </c>
    </row>
    <row r="193" spans="16:48" hidden="1">
      <c r="P193" t="s">
        <v>118</v>
      </c>
      <c r="Q193" t="s">
        <v>141</v>
      </c>
      <c r="R193" t="s">
        <v>158</v>
      </c>
      <c r="S193">
        <v>4.0265886641931009E-2</v>
      </c>
      <c r="U193" t="s">
        <v>149</v>
      </c>
      <c r="V193" t="s">
        <v>114</v>
      </c>
      <c r="W193" t="s">
        <v>161</v>
      </c>
      <c r="X193" t="s">
        <v>144</v>
      </c>
      <c r="Y193">
        <v>5.2605550652358703E-2</v>
      </c>
      <c r="AK193" s="18" t="s">
        <v>149</v>
      </c>
      <c r="AL193" s="18" t="s">
        <v>114</v>
      </c>
      <c r="AM193" s="18" t="s">
        <v>161</v>
      </c>
      <c r="AN193" s="18" t="s">
        <v>175</v>
      </c>
      <c r="AO193" s="18">
        <v>5.2605550652358703E-2</v>
      </c>
      <c r="AS193" s="18" t="s">
        <v>125</v>
      </c>
      <c r="AT193" s="18" t="s">
        <v>142</v>
      </c>
      <c r="AU193" s="18" t="s">
        <v>158</v>
      </c>
      <c r="AV193" s="18">
        <v>2.1460882377267159E-2</v>
      </c>
    </row>
    <row r="194" spans="16:48" hidden="1">
      <c r="P194" t="s">
        <v>118</v>
      </c>
      <c r="Q194" t="s">
        <v>141</v>
      </c>
      <c r="R194" t="s">
        <v>159</v>
      </c>
      <c r="S194">
        <v>0.14046604810686175</v>
      </c>
      <c r="U194" t="s">
        <v>149</v>
      </c>
      <c r="V194" t="s">
        <v>115</v>
      </c>
      <c r="W194" t="s">
        <v>161</v>
      </c>
      <c r="X194" t="s">
        <v>144</v>
      </c>
      <c r="Y194">
        <v>5.2605550652358703E-2</v>
      </c>
      <c r="AK194" s="18" t="s">
        <v>149</v>
      </c>
      <c r="AL194" s="18" t="s">
        <v>115</v>
      </c>
      <c r="AM194" s="18" t="s">
        <v>161</v>
      </c>
      <c r="AN194" s="18" t="s">
        <v>175</v>
      </c>
      <c r="AO194" s="18">
        <v>5.2605550652358703E-2</v>
      </c>
      <c r="AS194" s="18" t="s">
        <v>125</v>
      </c>
      <c r="AT194" s="18" t="s">
        <v>142</v>
      </c>
      <c r="AU194" s="18" t="s">
        <v>159</v>
      </c>
      <c r="AV194" s="18">
        <v>0.13746671767913562</v>
      </c>
    </row>
    <row r="195" spans="16:48" hidden="1">
      <c r="P195" t="s">
        <v>118</v>
      </c>
      <c r="Q195" t="s">
        <v>141</v>
      </c>
      <c r="R195" t="s">
        <v>160</v>
      </c>
      <c r="S195">
        <v>6.3604796206916794E-2</v>
      </c>
      <c r="U195" t="s">
        <v>149</v>
      </c>
      <c r="V195" t="s">
        <v>116</v>
      </c>
      <c r="W195" t="s">
        <v>161</v>
      </c>
      <c r="X195" t="s">
        <v>144</v>
      </c>
      <c r="Y195">
        <v>5.2605550652358703E-2</v>
      </c>
      <c r="AK195" s="18" t="s">
        <v>149</v>
      </c>
      <c r="AL195" s="18" t="s">
        <v>116</v>
      </c>
      <c r="AM195" s="18" t="s">
        <v>161</v>
      </c>
      <c r="AN195" s="18" t="s">
        <v>175</v>
      </c>
      <c r="AO195" s="18">
        <v>5.2605550652358703E-2</v>
      </c>
      <c r="AS195" s="18" t="s">
        <v>125</v>
      </c>
      <c r="AT195" s="18" t="s">
        <v>142</v>
      </c>
      <c r="AU195" s="18" t="s">
        <v>160</v>
      </c>
      <c r="AV195" s="18">
        <v>9.3202708688367372E-2</v>
      </c>
    </row>
    <row r="196" spans="16:48" hidden="1">
      <c r="P196" t="s">
        <v>118</v>
      </c>
      <c r="Q196" t="s">
        <v>141</v>
      </c>
      <c r="R196" t="s">
        <v>161</v>
      </c>
      <c r="S196">
        <v>3.0587744601188238E-2</v>
      </c>
      <c r="U196" t="s">
        <v>149</v>
      </c>
      <c r="V196" t="s">
        <v>117</v>
      </c>
      <c r="W196" t="s">
        <v>161</v>
      </c>
      <c r="X196" t="s">
        <v>144</v>
      </c>
      <c r="Y196">
        <v>5.2605550652358703E-2</v>
      </c>
      <c r="AK196" s="18" t="s">
        <v>149</v>
      </c>
      <c r="AL196" s="18" t="s">
        <v>117</v>
      </c>
      <c r="AM196" s="18" t="s">
        <v>161</v>
      </c>
      <c r="AN196" s="18" t="s">
        <v>175</v>
      </c>
      <c r="AO196" s="18">
        <v>5.2605550652358703E-2</v>
      </c>
      <c r="AS196" s="18" t="s">
        <v>125</v>
      </c>
      <c r="AT196" s="18" t="s">
        <v>142</v>
      </c>
      <c r="AU196" s="18" t="s">
        <v>161</v>
      </c>
      <c r="AV196" s="18">
        <v>2.165602556297485E-2</v>
      </c>
    </row>
    <row r="197" spans="16:48">
      <c r="P197" t="s">
        <v>118</v>
      </c>
      <c r="Q197" t="s">
        <v>142</v>
      </c>
      <c r="R197" t="s">
        <v>150</v>
      </c>
      <c r="S197">
        <v>0.13546550989739714</v>
      </c>
      <c r="U197" t="s">
        <v>149</v>
      </c>
      <c r="V197" t="s">
        <v>118</v>
      </c>
      <c r="W197" t="s">
        <v>161</v>
      </c>
      <c r="X197" t="s">
        <v>144</v>
      </c>
      <c r="Y197">
        <v>5.2605550652358703E-2</v>
      </c>
      <c r="AK197" s="18" t="s">
        <v>149</v>
      </c>
      <c r="AL197" s="18" t="s">
        <v>118</v>
      </c>
      <c r="AM197" s="18" t="s">
        <v>161</v>
      </c>
      <c r="AN197" s="18" t="s">
        <v>175</v>
      </c>
      <c r="AO197" s="18">
        <v>5.2605550652358703E-2</v>
      </c>
      <c r="AS197" s="18" t="s">
        <v>112</v>
      </c>
      <c r="AT197" s="18" t="s">
        <v>174</v>
      </c>
      <c r="AU197" s="18" t="s">
        <v>150</v>
      </c>
      <c r="AV197" s="18">
        <v>0.13546551252590958</v>
      </c>
    </row>
    <row r="198" spans="16:48">
      <c r="P198" t="s">
        <v>118</v>
      </c>
      <c r="Q198" t="s">
        <v>142</v>
      </c>
      <c r="R198" t="s">
        <v>151</v>
      </c>
      <c r="S198">
        <v>9.0938906533365255E-2</v>
      </c>
      <c r="U198" t="s">
        <v>149</v>
      </c>
      <c r="V198" t="s">
        <v>119</v>
      </c>
      <c r="W198" t="s">
        <v>161</v>
      </c>
      <c r="X198" t="s">
        <v>144</v>
      </c>
      <c r="Y198">
        <v>5.2605550652358703E-2</v>
      </c>
      <c r="AK198" s="18" t="s">
        <v>149</v>
      </c>
      <c r="AL198" s="18" t="s">
        <v>119</v>
      </c>
      <c r="AM198" s="18" t="s">
        <v>161</v>
      </c>
      <c r="AN198" s="18" t="s">
        <v>175</v>
      </c>
      <c r="AO198" s="18">
        <v>5.2605550652358703E-2</v>
      </c>
      <c r="AS198" s="18" t="s">
        <v>112</v>
      </c>
      <c r="AT198" s="18" t="s">
        <v>174</v>
      </c>
      <c r="AU198" s="18" t="s">
        <v>151</v>
      </c>
      <c r="AV198" s="18">
        <v>9.0938901550058585E-2</v>
      </c>
    </row>
    <row r="199" spans="16:48">
      <c r="P199" t="s">
        <v>118</v>
      </c>
      <c r="Q199" t="s">
        <v>142</v>
      </c>
      <c r="R199" t="s">
        <v>152</v>
      </c>
      <c r="S199">
        <v>2.1103185531767491E-2</v>
      </c>
      <c r="U199" t="s">
        <v>149</v>
      </c>
      <c r="V199" t="s">
        <v>120</v>
      </c>
      <c r="W199" t="s">
        <v>161</v>
      </c>
      <c r="X199" t="s">
        <v>144</v>
      </c>
      <c r="Y199">
        <v>5.2605550652358703E-2</v>
      </c>
      <c r="AK199" s="18" t="s">
        <v>149</v>
      </c>
      <c r="AL199" s="18" t="s">
        <v>120</v>
      </c>
      <c r="AM199" s="18" t="s">
        <v>161</v>
      </c>
      <c r="AN199" s="18" t="s">
        <v>175</v>
      </c>
      <c r="AO199" s="18">
        <v>5.2605550652358703E-2</v>
      </c>
      <c r="AS199" s="18" t="s">
        <v>112</v>
      </c>
      <c r="AT199" s="18" t="s">
        <v>174</v>
      </c>
      <c r="AU199" s="18" t="s">
        <v>152</v>
      </c>
      <c r="AV199" s="18">
        <v>2.1103185957188488E-2</v>
      </c>
    </row>
    <row r="200" spans="16:48">
      <c r="P200" t="s">
        <v>118</v>
      </c>
      <c r="Q200" t="s">
        <v>142</v>
      </c>
      <c r="R200" t="s">
        <v>153</v>
      </c>
      <c r="S200">
        <v>0.13439373133040514</v>
      </c>
      <c r="U200" t="s">
        <v>149</v>
      </c>
      <c r="V200" t="s">
        <v>121</v>
      </c>
      <c r="W200" t="s">
        <v>161</v>
      </c>
      <c r="X200" t="s">
        <v>144</v>
      </c>
      <c r="Y200">
        <v>5.2605550652358703E-2</v>
      </c>
      <c r="AK200" s="18" t="s">
        <v>149</v>
      </c>
      <c r="AL200" s="18" t="s">
        <v>121</v>
      </c>
      <c r="AM200" s="18" t="s">
        <v>161</v>
      </c>
      <c r="AN200" s="18" t="s">
        <v>175</v>
      </c>
      <c r="AO200" s="18">
        <v>5.2605550652358703E-2</v>
      </c>
      <c r="AS200" s="18" t="s">
        <v>112</v>
      </c>
      <c r="AT200" s="18" t="s">
        <v>174</v>
      </c>
      <c r="AU200" s="18" t="s">
        <v>153</v>
      </c>
      <c r="AV200" s="18">
        <v>0.13439373036764887</v>
      </c>
    </row>
    <row r="201" spans="16:48">
      <c r="P201" t="s">
        <v>118</v>
      </c>
      <c r="Q201" t="s">
        <v>142</v>
      </c>
      <c r="R201" t="s">
        <v>154</v>
      </c>
      <c r="S201">
        <v>9.0481321197018919E-2</v>
      </c>
      <c r="U201" t="s">
        <v>149</v>
      </c>
      <c r="V201" t="s">
        <v>122</v>
      </c>
      <c r="W201" t="s">
        <v>161</v>
      </c>
      <c r="X201" t="s">
        <v>144</v>
      </c>
      <c r="Y201">
        <v>5.2605550652358703E-2</v>
      </c>
      <c r="AK201" s="18" t="s">
        <v>149</v>
      </c>
      <c r="AL201" s="18" t="s">
        <v>122</v>
      </c>
      <c r="AM201" s="18" t="s">
        <v>161</v>
      </c>
      <c r="AN201" s="18" t="s">
        <v>175</v>
      </c>
      <c r="AO201" s="18">
        <v>5.2605550652358703E-2</v>
      </c>
      <c r="AS201" s="18" t="s">
        <v>112</v>
      </c>
      <c r="AT201" s="18" t="s">
        <v>174</v>
      </c>
      <c r="AU201" s="18" t="s">
        <v>154</v>
      </c>
      <c r="AV201" s="18">
        <v>9.0481325486476569E-2</v>
      </c>
    </row>
    <row r="202" spans="16:48">
      <c r="P202" t="s">
        <v>118</v>
      </c>
      <c r="Q202" t="s">
        <v>142</v>
      </c>
      <c r="R202" t="s">
        <v>155</v>
      </c>
      <c r="S202">
        <v>2.0807440180628859E-2</v>
      </c>
      <c r="U202" t="s">
        <v>149</v>
      </c>
      <c r="V202" t="s">
        <v>123</v>
      </c>
      <c r="W202" t="s">
        <v>161</v>
      </c>
      <c r="X202" t="s">
        <v>144</v>
      </c>
      <c r="Y202">
        <v>5.2605550652358703E-2</v>
      </c>
      <c r="AK202" s="18" t="s">
        <v>149</v>
      </c>
      <c r="AL202" s="18" t="s">
        <v>123</v>
      </c>
      <c r="AM202" s="18" t="s">
        <v>161</v>
      </c>
      <c r="AN202" s="18" t="s">
        <v>175</v>
      </c>
      <c r="AO202" s="18">
        <v>5.2605550652358703E-2</v>
      </c>
      <c r="AS202" s="18" t="s">
        <v>112</v>
      </c>
      <c r="AT202" s="18" t="s">
        <v>174</v>
      </c>
      <c r="AU202" s="18" t="s">
        <v>155</v>
      </c>
      <c r="AV202" s="18">
        <v>2.0807438701822271E-2</v>
      </c>
    </row>
    <row r="203" spans="16:48">
      <c r="P203" t="s">
        <v>118</v>
      </c>
      <c r="Q203" t="s">
        <v>142</v>
      </c>
      <c r="R203" t="s">
        <v>156</v>
      </c>
      <c r="S203">
        <v>0.14163607292853084</v>
      </c>
      <c r="U203" t="s">
        <v>149</v>
      </c>
      <c r="V203" t="s">
        <v>50</v>
      </c>
      <c r="W203" t="s">
        <v>161</v>
      </c>
      <c r="X203" t="s">
        <v>144</v>
      </c>
      <c r="Y203">
        <v>5.2605550652358703E-2</v>
      </c>
      <c r="AK203" s="18" t="s">
        <v>149</v>
      </c>
      <c r="AL203" s="18" t="s">
        <v>50</v>
      </c>
      <c r="AM203" s="18" t="s">
        <v>161</v>
      </c>
      <c r="AN203" s="18" t="s">
        <v>175</v>
      </c>
      <c r="AO203" s="18">
        <v>5.2605550652358703E-2</v>
      </c>
      <c r="AS203" s="18" t="s">
        <v>112</v>
      </c>
      <c r="AT203" s="18" t="s">
        <v>174</v>
      </c>
      <c r="AU203" s="18" t="s">
        <v>156</v>
      </c>
      <c r="AV203" s="18">
        <v>0.14163606957344729</v>
      </c>
    </row>
    <row r="204" spans="16:48">
      <c r="P204" t="s">
        <v>118</v>
      </c>
      <c r="Q204" t="s">
        <v>142</v>
      </c>
      <c r="R204" t="s">
        <v>157</v>
      </c>
      <c r="S204">
        <v>9.3751694426201099E-2</v>
      </c>
      <c r="U204" t="s">
        <v>149</v>
      </c>
      <c r="V204" t="s">
        <v>124</v>
      </c>
      <c r="W204" t="s">
        <v>161</v>
      </c>
      <c r="X204" t="s">
        <v>144</v>
      </c>
      <c r="Y204">
        <v>5.2605550652358703E-2</v>
      </c>
      <c r="AK204" s="18" t="s">
        <v>149</v>
      </c>
      <c r="AL204" s="18" t="s">
        <v>124</v>
      </c>
      <c r="AM204" s="18" t="s">
        <v>161</v>
      </c>
      <c r="AN204" s="18" t="s">
        <v>175</v>
      </c>
      <c r="AO204" s="18">
        <v>5.2605550652358703E-2</v>
      </c>
      <c r="AS204" s="18" t="s">
        <v>112</v>
      </c>
      <c r="AT204" s="18" t="s">
        <v>174</v>
      </c>
      <c r="AU204" s="18" t="s">
        <v>157</v>
      </c>
      <c r="AV204" s="18">
        <v>9.375169370206668E-2</v>
      </c>
    </row>
    <row r="205" spans="16:48">
      <c r="P205" t="s">
        <v>118</v>
      </c>
      <c r="Q205" t="s">
        <v>142</v>
      </c>
      <c r="R205" t="s">
        <v>158</v>
      </c>
      <c r="S205">
        <v>2.1897597738232411E-2</v>
      </c>
      <c r="U205" t="s">
        <v>149</v>
      </c>
      <c r="V205" t="s">
        <v>105</v>
      </c>
      <c r="W205" t="s">
        <v>161</v>
      </c>
      <c r="X205" t="s">
        <v>144</v>
      </c>
      <c r="Y205">
        <v>5.2605550652358703E-2</v>
      </c>
      <c r="AK205" s="18" t="s">
        <v>149</v>
      </c>
      <c r="AL205" s="18" t="s">
        <v>105</v>
      </c>
      <c r="AM205" s="18" t="s">
        <v>161</v>
      </c>
      <c r="AN205" s="18" t="s">
        <v>175</v>
      </c>
      <c r="AO205" s="18">
        <v>5.2605550652358703E-2</v>
      </c>
      <c r="AS205" s="18" t="s">
        <v>112</v>
      </c>
      <c r="AT205" s="18" t="s">
        <v>174</v>
      </c>
      <c r="AU205" s="18" t="s">
        <v>158</v>
      </c>
      <c r="AV205" s="18">
        <v>2.1897594731240751E-2</v>
      </c>
    </row>
    <row r="206" spans="16:48">
      <c r="P206" t="s">
        <v>118</v>
      </c>
      <c r="Q206" t="s">
        <v>142</v>
      </c>
      <c r="R206" t="s">
        <v>159</v>
      </c>
      <c r="S206">
        <v>0.13583840542358677</v>
      </c>
      <c r="U206" t="s">
        <v>149</v>
      </c>
      <c r="V206" t="s">
        <v>51</v>
      </c>
      <c r="W206" t="s">
        <v>161</v>
      </c>
      <c r="X206" t="s">
        <v>144</v>
      </c>
      <c r="Y206">
        <v>5.2605550652358703E-2</v>
      </c>
      <c r="AK206" s="18" t="s">
        <v>149</v>
      </c>
      <c r="AL206" s="18" t="s">
        <v>51</v>
      </c>
      <c r="AM206" s="18" t="s">
        <v>161</v>
      </c>
      <c r="AN206" s="18" t="s">
        <v>175</v>
      </c>
      <c r="AO206" s="18">
        <v>5.2605550652358703E-2</v>
      </c>
      <c r="AS206" s="18" t="s">
        <v>112</v>
      </c>
      <c r="AT206" s="18" t="s">
        <v>174</v>
      </c>
      <c r="AU206" s="18" t="s">
        <v>159</v>
      </c>
      <c r="AV206" s="18">
        <v>0.13583841006560557</v>
      </c>
    </row>
    <row r="207" spans="16:48">
      <c r="P207" t="s">
        <v>118</v>
      </c>
      <c r="Q207" t="s">
        <v>142</v>
      </c>
      <c r="R207" t="s">
        <v>160</v>
      </c>
      <c r="S207">
        <v>9.2338383497396731E-2</v>
      </c>
      <c r="U207" t="s">
        <v>149</v>
      </c>
      <c r="V207" t="s">
        <v>125</v>
      </c>
      <c r="W207" t="s">
        <v>161</v>
      </c>
      <c r="X207" t="s">
        <v>144</v>
      </c>
      <c r="Y207">
        <v>5.2605550652358703E-2</v>
      </c>
      <c r="AK207" s="18" t="s">
        <v>149</v>
      </c>
      <c r="AL207" s="18" t="s">
        <v>125</v>
      </c>
      <c r="AM207" s="18" t="s">
        <v>161</v>
      </c>
      <c r="AN207" s="18" t="s">
        <v>175</v>
      </c>
      <c r="AO207" s="18">
        <v>5.2605550652358703E-2</v>
      </c>
      <c r="AS207" s="18" t="s">
        <v>112</v>
      </c>
      <c r="AT207" s="18" t="s">
        <v>174</v>
      </c>
      <c r="AU207" s="18" t="s">
        <v>160</v>
      </c>
      <c r="AV207" s="18">
        <v>9.2338387517326925E-2</v>
      </c>
    </row>
    <row r="208" spans="16:48">
      <c r="P208" t="s">
        <v>118</v>
      </c>
      <c r="Q208" t="s">
        <v>142</v>
      </c>
      <c r="R208" t="s">
        <v>161</v>
      </c>
      <c r="S208">
        <v>2.1347751315469132E-2</v>
      </c>
      <c r="U208" t="s">
        <v>149</v>
      </c>
      <c r="V208" t="s">
        <v>112</v>
      </c>
      <c r="W208" t="s">
        <v>161</v>
      </c>
      <c r="X208" t="s">
        <v>144</v>
      </c>
      <c r="Y208">
        <v>5.2605550652358703E-2</v>
      </c>
      <c r="AK208" s="18" t="s">
        <v>149</v>
      </c>
      <c r="AL208" s="18" t="s">
        <v>112</v>
      </c>
      <c r="AM208" s="18" t="s">
        <v>161</v>
      </c>
      <c r="AN208" s="18" t="s">
        <v>175</v>
      </c>
      <c r="AO208" s="18">
        <v>5.2605550652358703E-2</v>
      </c>
      <c r="AS208" s="18" t="s">
        <v>112</v>
      </c>
      <c r="AT208" s="18" t="s">
        <v>174</v>
      </c>
      <c r="AU208" s="18" t="s">
        <v>161</v>
      </c>
      <c r="AV208" s="18">
        <v>2.1347749821208357E-2</v>
      </c>
    </row>
    <row r="209" spans="16:19" hidden="1">
      <c r="P209" t="s">
        <v>118</v>
      </c>
      <c r="Q209" t="s">
        <v>143</v>
      </c>
      <c r="R209" t="s">
        <v>150</v>
      </c>
      <c r="S209">
        <v>0.13452415757472905</v>
      </c>
    </row>
    <row r="210" spans="16:19" hidden="1">
      <c r="P210" t="s">
        <v>118</v>
      </c>
      <c r="Q210" t="s">
        <v>143</v>
      </c>
      <c r="R210" t="s">
        <v>151</v>
      </c>
      <c r="S210">
        <v>4.721582983292421E-2</v>
      </c>
    </row>
    <row r="211" spans="16:19" hidden="1">
      <c r="P211" t="s">
        <v>118</v>
      </c>
      <c r="Q211" t="s">
        <v>143</v>
      </c>
      <c r="R211" t="s">
        <v>152</v>
      </c>
      <c r="S211">
        <v>2.538509412105636E-2</v>
      </c>
    </row>
    <row r="212" spans="16:19" hidden="1">
      <c r="P212" t="s">
        <v>118</v>
      </c>
      <c r="Q212" t="s">
        <v>143</v>
      </c>
      <c r="R212" t="s">
        <v>153</v>
      </c>
      <c r="S212">
        <v>0.11655393132645263</v>
      </c>
    </row>
    <row r="213" spans="16:19" hidden="1">
      <c r="P213" t="s">
        <v>118</v>
      </c>
      <c r="Q213" t="s">
        <v>143</v>
      </c>
      <c r="R213" t="s">
        <v>154</v>
      </c>
      <c r="S213">
        <v>3.9322543523572055E-2</v>
      </c>
    </row>
    <row r="214" spans="16:19" hidden="1">
      <c r="P214" t="s">
        <v>118</v>
      </c>
      <c r="Q214" t="s">
        <v>143</v>
      </c>
      <c r="R214" t="s">
        <v>155</v>
      </c>
      <c r="S214">
        <v>2.0457243680206905E-2</v>
      </c>
    </row>
    <row r="215" spans="16:19" hidden="1">
      <c r="P215" t="s">
        <v>118</v>
      </c>
      <c r="Q215" t="s">
        <v>143</v>
      </c>
      <c r="R215" t="s">
        <v>156</v>
      </c>
      <c r="S215">
        <v>0.23710893851547157</v>
      </c>
    </row>
    <row r="216" spans="16:19" hidden="1">
      <c r="P216" t="s">
        <v>118</v>
      </c>
      <c r="Q216" t="s">
        <v>143</v>
      </c>
      <c r="R216" t="s">
        <v>157</v>
      </c>
      <c r="S216">
        <v>9.5739971874410204E-2</v>
      </c>
    </row>
    <row r="217" spans="16:19" hidden="1">
      <c r="P217" t="s">
        <v>118</v>
      </c>
      <c r="Q217" t="s">
        <v>143</v>
      </c>
      <c r="R217" t="s">
        <v>158</v>
      </c>
      <c r="S217">
        <v>3.9092760978158538E-2</v>
      </c>
    </row>
    <row r="218" spans="16:19" hidden="1">
      <c r="P218" t="s">
        <v>118</v>
      </c>
      <c r="Q218" t="s">
        <v>143</v>
      </c>
      <c r="R218" t="s">
        <v>159</v>
      </c>
      <c r="S218">
        <v>0.14374986134016368</v>
      </c>
    </row>
    <row r="219" spans="16:19" hidden="1">
      <c r="P219" t="s">
        <v>118</v>
      </c>
      <c r="Q219" t="s">
        <v>143</v>
      </c>
      <c r="R219" t="s">
        <v>160</v>
      </c>
      <c r="S219">
        <v>7.1340219318511158E-2</v>
      </c>
    </row>
    <row r="220" spans="16:19" hidden="1">
      <c r="P220" t="s">
        <v>118</v>
      </c>
      <c r="Q220" t="s">
        <v>143</v>
      </c>
      <c r="R220" t="s">
        <v>161</v>
      </c>
      <c r="S220">
        <v>2.9509447914344233E-2</v>
      </c>
    </row>
    <row r="221" spans="16:19" hidden="1">
      <c r="P221" t="s">
        <v>119</v>
      </c>
      <c r="Q221" t="s">
        <v>141</v>
      </c>
      <c r="R221" t="s">
        <v>150</v>
      </c>
      <c r="S221">
        <v>0.13805251839576821</v>
      </c>
    </row>
    <row r="222" spans="16:19" hidden="1">
      <c r="P222" t="s">
        <v>119</v>
      </c>
      <c r="Q222" t="s">
        <v>141</v>
      </c>
      <c r="R222" t="s">
        <v>151</v>
      </c>
      <c r="S222">
        <v>6.9009036376626753E-2</v>
      </c>
    </row>
    <row r="223" spans="16:19" hidden="1">
      <c r="P223" t="s">
        <v>119</v>
      </c>
      <c r="Q223" t="s">
        <v>141</v>
      </c>
      <c r="R223" t="s">
        <v>152</v>
      </c>
      <c r="S223">
        <v>2.3511165920278153E-2</v>
      </c>
    </row>
    <row r="224" spans="16:19" hidden="1">
      <c r="P224" t="s">
        <v>119</v>
      </c>
      <c r="Q224" t="s">
        <v>141</v>
      </c>
      <c r="R224" t="s">
        <v>153</v>
      </c>
      <c r="S224">
        <v>0.12890968529509247</v>
      </c>
    </row>
    <row r="225" spans="16:19" hidden="1">
      <c r="P225" t="s">
        <v>119</v>
      </c>
      <c r="Q225" t="s">
        <v>141</v>
      </c>
      <c r="R225" t="s">
        <v>154</v>
      </c>
      <c r="S225">
        <v>6.5295476490483215E-2</v>
      </c>
    </row>
    <row r="226" spans="16:19" hidden="1">
      <c r="P226" t="s">
        <v>119</v>
      </c>
      <c r="Q226" t="s">
        <v>141</v>
      </c>
      <c r="R226" t="s">
        <v>155</v>
      </c>
      <c r="S226">
        <v>2.0837926519651256E-2</v>
      </c>
    </row>
    <row r="227" spans="16:19" hidden="1">
      <c r="P227" t="s">
        <v>119</v>
      </c>
      <c r="Q227" t="s">
        <v>141</v>
      </c>
      <c r="R227" t="s">
        <v>156</v>
      </c>
      <c r="S227">
        <v>0.18941391783081826</v>
      </c>
    </row>
    <row r="228" spans="16:19" hidden="1">
      <c r="P228" t="s">
        <v>119</v>
      </c>
      <c r="Q228" t="s">
        <v>141</v>
      </c>
      <c r="R228" t="s">
        <v>157</v>
      </c>
      <c r="S228">
        <v>9.0293645526189723E-2</v>
      </c>
    </row>
    <row r="229" spans="16:19" hidden="1">
      <c r="P229" t="s">
        <v>119</v>
      </c>
      <c r="Q229" t="s">
        <v>141</v>
      </c>
      <c r="R229" t="s">
        <v>158</v>
      </c>
      <c r="S229">
        <v>2.9381368319666094E-2</v>
      </c>
    </row>
    <row r="230" spans="16:19" hidden="1">
      <c r="P230" t="s">
        <v>119</v>
      </c>
      <c r="Q230" t="s">
        <v>141</v>
      </c>
      <c r="R230" t="s">
        <v>159</v>
      </c>
      <c r="S230">
        <v>0.13893962063849161</v>
      </c>
    </row>
    <row r="231" spans="16:19" hidden="1">
      <c r="P231" t="s">
        <v>119</v>
      </c>
      <c r="Q231" t="s">
        <v>141</v>
      </c>
      <c r="R231" t="s">
        <v>160</v>
      </c>
      <c r="S231">
        <v>8.0548572845223487E-2</v>
      </c>
    </row>
    <row r="232" spans="16:19" hidden="1">
      <c r="P232" t="s">
        <v>119</v>
      </c>
      <c r="Q232" t="s">
        <v>141</v>
      </c>
      <c r="R232" t="s">
        <v>161</v>
      </c>
      <c r="S232">
        <v>2.5807065841709519E-2</v>
      </c>
    </row>
    <row r="233" spans="16:19">
      <c r="P233" t="s">
        <v>119</v>
      </c>
      <c r="Q233" t="s">
        <v>142</v>
      </c>
      <c r="R233" t="s">
        <v>150</v>
      </c>
      <c r="S233">
        <v>0.13549426100361933</v>
      </c>
    </row>
    <row r="234" spans="16:19">
      <c r="P234" t="s">
        <v>119</v>
      </c>
      <c r="Q234" t="s">
        <v>142</v>
      </c>
      <c r="R234" t="s">
        <v>151</v>
      </c>
      <c r="S234">
        <v>9.097557248418392E-2</v>
      </c>
    </row>
    <row r="235" spans="16:19">
      <c r="P235" t="s">
        <v>119</v>
      </c>
      <c r="Q235" t="s">
        <v>142</v>
      </c>
      <c r="R235" t="s">
        <v>152</v>
      </c>
      <c r="S235">
        <v>2.1131892243387799E-2</v>
      </c>
    </row>
    <row r="236" spans="16:19">
      <c r="P236" t="s">
        <v>119</v>
      </c>
      <c r="Q236" t="s">
        <v>142</v>
      </c>
      <c r="R236" t="s">
        <v>153</v>
      </c>
      <c r="S236">
        <v>0.13443522978331027</v>
      </c>
    </row>
    <row r="237" spans="16:19">
      <c r="P237" t="s">
        <v>119</v>
      </c>
      <c r="Q237" t="s">
        <v>142</v>
      </c>
      <c r="R237" t="s">
        <v>154</v>
      </c>
      <c r="S237">
        <v>9.0520728726258839E-2</v>
      </c>
    </row>
    <row r="238" spans="16:19">
      <c r="P238" t="s">
        <v>119</v>
      </c>
      <c r="Q238" t="s">
        <v>142</v>
      </c>
      <c r="R238" t="s">
        <v>155</v>
      </c>
      <c r="S238">
        <v>2.083141724615245E-2</v>
      </c>
    </row>
    <row r="239" spans="16:19">
      <c r="P239" t="s">
        <v>119</v>
      </c>
      <c r="Q239" t="s">
        <v>142</v>
      </c>
      <c r="R239" t="s">
        <v>156</v>
      </c>
      <c r="S239">
        <v>0.14138995788001113</v>
      </c>
    </row>
    <row r="240" spans="16:19">
      <c r="P240" t="s">
        <v>119</v>
      </c>
      <c r="Q240" t="s">
        <v>142</v>
      </c>
      <c r="R240" t="s">
        <v>157</v>
      </c>
      <c r="S240">
        <v>9.3640554703270998E-2</v>
      </c>
    </row>
    <row r="241" spans="16:19">
      <c r="P241" t="s">
        <v>119</v>
      </c>
      <c r="Q241" t="s">
        <v>142</v>
      </c>
      <c r="R241" t="s">
        <v>158</v>
      </c>
      <c r="S241">
        <v>2.1874361676557121E-2</v>
      </c>
    </row>
    <row r="242" spans="16:19">
      <c r="P242" t="s">
        <v>119</v>
      </c>
      <c r="Q242" t="s">
        <v>142</v>
      </c>
      <c r="R242" t="s">
        <v>159</v>
      </c>
      <c r="S242">
        <v>0.1359320699700968</v>
      </c>
    </row>
    <row r="243" spans="16:19">
      <c r="P243" t="s">
        <v>119</v>
      </c>
      <c r="Q243" t="s">
        <v>142</v>
      </c>
      <c r="R243" t="s">
        <v>160</v>
      </c>
      <c r="S243">
        <v>9.2381982072353805E-2</v>
      </c>
    </row>
    <row r="244" spans="16:19">
      <c r="P244" t="s">
        <v>119</v>
      </c>
      <c r="Q244" t="s">
        <v>142</v>
      </c>
      <c r="R244" t="s">
        <v>161</v>
      </c>
      <c r="S244">
        <v>2.1391972210794679E-2</v>
      </c>
    </row>
    <row r="245" spans="16:19" hidden="1">
      <c r="P245" t="s">
        <v>119</v>
      </c>
      <c r="Q245" t="s">
        <v>143</v>
      </c>
      <c r="R245" t="s">
        <v>150</v>
      </c>
      <c r="S245">
        <v>0.1344829332287828</v>
      </c>
    </row>
    <row r="246" spans="16:19" hidden="1">
      <c r="P246" t="s">
        <v>119</v>
      </c>
      <c r="Q246" t="s">
        <v>143</v>
      </c>
      <c r="R246" t="s">
        <v>151</v>
      </c>
      <c r="S246">
        <v>7.3795503497830803E-2</v>
      </c>
    </row>
    <row r="247" spans="16:19" hidden="1">
      <c r="P247" t="s">
        <v>119</v>
      </c>
      <c r="Q247" t="s">
        <v>143</v>
      </c>
      <c r="R247" t="s">
        <v>152</v>
      </c>
      <c r="S247">
        <v>2.3099243722321552E-2</v>
      </c>
    </row>
    <row r="248" spans="16:19" hidden="1">
      <c r="P248" t="s">
        <v>119</v>
      </c>
      <c r="Q248" t="s">
        <v>143</v>
      </c>
      <c r="R248" t="s">
        <v>153</v>
      </c>
      <c r="S248">
        <v>0.12661071627314774</v>
      </c>
    </row>
    <row r="249" spans="16:19" hidden="1">
      <c r="P249" t="s">
        <v>119</v>
      </c>
      <c r="Q249" t="s">
        <v>143</v>
      </c>
      <c r="R249" t="s">
        <v>154</v>
      </c>
      <c r="S249">
        <v>7.0225785980635252E-2</v>
      </c>
    </row>
    <row r="250" spans="16:19" hidden="1">
      <c r="P250" t="s">
        <v>119</v>
      </c>
      <c r="Q250" t="s">
        <v>143</v>
      </c>
      <c r="R250" t="s">
        <v>155</v>
      </c>
      <c r="S250">
        <v>2.0897159079038777E-2</v>
      </c>
    </row>
    <row r="251" spans="16:19" hidden="1">
      <c r="P251" t="s">
        <v>119</v>
      </c>
      <c r="Q251" t="s">
        <v>143</v>
      </c>
      <c r="R251" t="s">
        <v>156</v>
      </c>
      <c r="S251">
        <v>0.17710493740669561</v>
      </c>
    </row>
    <row r="252" spans="16:19" hidden="1">
      <c r="P252" t="s">
        <v>119</v>
      </c>
      <c r="Q252" t="s">
        <v>143</v>
      </c>
      <c r="R252" t="s">
        <v>157</v>
      </c>
      <c r="S252">
        <v>9.4566069985750345E-2</v>
      </c>
    </row>
    <row r="253" spans="16:19" hidden="1">
      <c r="P253" t="s">
        <v>119</v>
      </c>
      <c r="Q253" t="s">
        <v>143</v>
      </c>
      <c r="R253" t="s">
        <v>158</v>
      </c>
      <c r="S253">
        <v>2.8892440851530966E-2</v>
      </c>
    </row>
    <row r="254" spans="16:19" hidden="1">
      <c r="P254" t="s">
        <v>119</v>
      </c>
      <c r="Q254" t="s">
        <v>143</v>
      </c>
      <c r="R254" t="s">
        <v>159</v>
      </c>
      <c r="S254">
        <v>0.14041595505781779</v>
      </c>
    </row>
    <row r="255" spans="16:19" hidden="1">
      <c r="P255" t="s">
        <v>119</v>
      </c>
      <c r="Q255" t="s">
        <v>143</v>
      </c>
      <c r="R255" t="s">
        <v>160</v>
      </c>
      <c r="S255">
        <v>8.4843672184182192E-2</v>
      </c>
    </row>
    <row r="256" spans="16:19" hidden="1">
      <c r="P256" t="s">
        <v>119</v>
      </c>
      <c r="Q256" t="s">
        <v>143</v>
      </c>
      <c r="R256" t="s">
        <v>161</v>
      </c>
      <c r="S256">
        <v>2.5065582732266431E-2</v>
      </c>
    </row>
    <row r="257" spans="16:19" hidden="1">
      <c r="P257" t="s">
        <v>120</v>
      </c>
      <c r="Q257" t="s">
        <v>141</v>
      </c>
      <c r="R257" t="s">
        <v>150</v>
      </c>
      <c r="S257">
        <v>0.1463114664099919</v>
      </c>
    </row>
    <row r="258" spans="16:19" hidden="1">
      <c r="P258" t="s">
        <v>120</v>
      </c>
      <c r="Q258" t="s">
        <v>141</v>
      </c>
      <c r="R258" t="s">
        <v>151</v>
      </c>
      <c r="S258">
        <v>7.5571146960112079E-2</v>
      </c>
    </row>
    <row r="259" spans="16:19" hidden="1">
      <c r="P259" t="s">
        <v>120</v>
      </c>
      <c r="Q259" t="s">
        <v>141</v>
      </c>
      <c r="R259" t="s">
        <v>152</v>
      </c>
      <c r="S259">
        <v>2.4878653515525928E-2</v>
      </c>
    </row>
    <row r="260" spans="16:19" hidden="1">
      <c r="P260" t="s">
        <v>120</v>
      </c>
      <c r="Q260" t="s">
        <v>141</v>
      </c>
      <c r="R260" t="s">
        <v>153</v>
      </c>
      <c r="S260">
        <v>0.14013687901461411</v>
      </c>
    </row>
    <row r="261" spans="16:19" hidden="1">
      <c r="P261" t="s">
        <v>120</v>
      </c>
      <c r="Q261" t="s">
        <v>141</v>
      </c>
      <c r="R261" t="s">
        <v>154</v>
      </c>
      <c r="S261">
        <v>7.617280350585412E-2</v>
      </c>
    </row>
    <row r="262" spans="16:19" hidden="1">
      <c r="P262" t="s">
        <v>120</v>
      </c>
      <c r="Q262" t="s">
        <v>141</v>
      </c>
      <c r="R262" t="s">
        <v>155</v>
      </c>
      <c r="S262">
        <v>2.2409282682142071E-2</v>
      </c>
    </row>
    <row r="263" spans="16:19" hidden="1">
      <c r="P263" t="s">
        <v>120</v>
      </c>
      <c r="Q263" t="s">
        <v>141</v>
      </c>
      <c r="R263" t="s">
        <v>156</v>
      </c>
      <c r="S263">
        <v>0.13380111897371597</v>
      </c>
    </row>
    <row r="264" spans="16:19" hidden="1">
      <c r="P264" t="s">
        <v>120</v>
      </c>
      <c r="Q264" t="s">
        <v>141</v>
      </c>
      <c r="R264" t="s">
        <v>157</v>
      </c>
      <c r="S264">
        <v>6.9370561473022729E-2</v>
      </c>
    </row>
    <row r="265" spans="16:19" hidden="1">
      <c r="P265" t="s">
        <v>120</v>
      </c>
      <c r="Q265" t="s">
        <v>141</v>
      </c>
      <c r="R265" t="s">
        <v>158</v>
      </c>
      <c r="S265">
        <v>2.0674545340406827E-2</v>
      </c>
    </row>
    <row r="266" spans="16:19" hidden="1">
      <c r="P266" t="s">
        <v>120</v>
      </c>
      <c r="Q266" t="s">
        <v>141</v>
      </c>
      <c r="R266" t="s">
        <v>159</v>
      </c>
      <c r="S266">
        <v>0.16906811448131992</v>
      </c>
    </row>
    <row r="267" spans="16:19" hidden="1">
      <c r="P267" t="s">
        <v>120</v>
      </c>
      <c r="Q267" t="s">
        <v>141</v>
      </c>
      <c r="R267" t="s">
        <v>160</v>
      </c>
      <c r="S267">
        <v>9.2075990111227995E-2</v>
      </c>
    </row>
    <row r="268" spans="16:19" hidden="1">
      <c r="P268" t="s">
        <v>120</v>
      </c>
      <c r="Q268" t="s">
        <v>141</v>
      </c>
      <c r="R268" t="s">
        <v>161</v>
      </c>
      <c r="S268">
        <v>2.9529437532067646E-2</v>
      </c>
    </row>
    <row r="269" spans="16:19">
      <c r="P269" t="s">
        <v>120</v>
      </c>
      <c r="Q269" t="s">
        <v>142</v>
      </c>
      <c r="R269" t="s">
        <v>150</v>
      </c>
      <c r="S269">
        <v>0.1366466589618032</v>
      </c>
    </row>
    <row r="270" spans="16:19">
      <c r="P270" t="s">
        <v>120</v>
      </c>
      <c r="Q270" t="s">
        <v>142</v>
      </c>
      <c r="R270" t="s">
        <v>151</v>
      </c>
      <c r="S270">
        <v>9.1644493538178745E-2</v>
      </c>
    </row>
    <row r="271" spans="16:19">
      <c r="P271" t="s">
        <v>120</v>
      </c>
      <c r="Q271" t="s">
        <v>142</v>
      </c>
      <c r="R271" t="s">
        <v>152</v>
      </c>
      <c r="S271">
        <v>2.133091785312281E-2</v>
      </c>
    </row>
    <row r="272" spans="16:19">
      <c r="P272" t="s">
        <v>120</v>
      </c>
      <c r="Q272" t="s">
        <v>142</v>
      </c>
      <c r="R272" t="s">
        <v>153</v>
      </c>
      <c r="S272">
        <v>0.13591806562046505</v>
      </c>
    </row>
    <row r="273" spans="16:19">
      <c r="P273" t="s">
        <v>120</v>
      </c>
      <c r="Q273" t="s">
        <v>142</v>
      </c>
      <c r="R273" t="s">
        <v>154</v>
      </c>
      <c r="S273">
        <v>9.1715927812381012E-2</v>
      </c>
    </row>
    <row r="274" spans="16:19">
      <c r="P274" t="s">
        <v>120</v>
      </c>
      <c r="Q274" t="s">
        <v>142</v>
      </c>
      <c r="R274" t="s">
        <v>155</v>
      </c>
      <c r="S274">
        <v>2.1048187222761732E-2</v>
      </c>
    </row>
    <row r="275" spans="16:19">
      <c r="P275" t="s">
        <v>120</v>
      </c>
      <c r="Q275" t="s">
        <v>142</v>
      </c>
      <c r="R275" t="s">
        <v>156</v>
      </c>
      <c r="S275">
        <v>0.13488035491071798</v>
      </c>
    </row>
    <row r="276" spans="16:19">
      <c r="P276" t="s">
        <v>120</v>
      </c>
      <c r="Q276" t="s">
        <v>142</v>
      </c>
      <c r="R276" t="s">
        <v>157</v>
      </c>
      <c r="S276">
        <v>9.077236235704339E-2</v>
      </c>
    </row>
    <row r="277" spans="16:19">
      <c r="P277" t="s">
        <v>120</v>
      </c>
      <c r="Q277" t="s">
        <v>142</v>
      </c>
      <c r="R277" t="s">
        <v>158</v>
      </c>
      <c r="S277">
        <v>2.0813771614887889E-2</v>
      </c>
    </row>
    <row r="278" spans="16:19">
      <c r="P278" t="s">
        <v>120</v>
      </c>
      <c r="Q278" t="s">
        <v>142</v>
      </c>
      <c r="R278" t="s">
        <v>159</v>
      </c>
      <c r="S278">
        <v>0.13957263366851685</v>
      </c>
    </row>
    <row r="279" spans="16:19">
      <c r="P279" t="s">
        <v>120</v>
      </c>
      <c r="Q279" t="s">
        <v>142</v>
      </c>
      <c r="R279" t="s">
        <v>160</v>
      </c>
      <c r="S279">
        <v>9.375743092289282E-2</v>
      </c>
    </row>
    <row r="280" spans="16:19">
      <c r="P280" t="s">
        <v>120</v>
      </c>
      <c r="Q280" t="s">
        <v>142</v>
      </c>
      <c r="R280" t="s">
        <v>161</v>
      </c>
      <c r="S280">
        <v>2.1899195517228555E-2</v>
      </c>
    </row>
    <row r="281" spans="16:19" hidden="1">
      <c r="P281" t="s">
        <v>120</v>
      </c>
      <c r="Q281" t="s">
        <v>143</v>
      </c>
      <c r="R281" t="s">
        <v>150</v>
      </c>
      <c r="S281">
        <v>0.14063977741107672</v>
      </c>
    </row>
    <row r="282" spans="16:19" hidden="1">
      <c r="P282" t="s">
        <v>120</v>
      </c>
      <c r="Q282" t="s">
        <v>143</v>
      </c>
      <c r="R282" t="s">
        <v>151</v>
      </c>
      <c r="S282">
        <v>8.0451766786999432E-2</v>
      </c>
    </row>
    <row r="283" spans="16:19" hidden="1">
      <c r="P283" t="s">
        <v>120</v>
      </c>
      <c r="Q283" t="s">
        <v>143</v>
      </c>
      <c r="R283" t="s">
        <v>152</v>
      </c>
      <c r="S283">
        <v>2.4185541103295127E-2</v>
      </c>
    </row>
    <row r="284" spans="16:19" hidden="1">
      <c r="P284" t="s">
        <v>120</v>
      </c>
      <c r="Q284" t="s">
        <v>143</v>
      </c>
      <c r="R284" t="s">
        <v>153</v>
      </c>
      <c r="S284">
        <v>0.13690440107217391</v>
      </c>
    </row>
    <row r="285" spans="16:19" hidden="1">
      <c r="P285" t="s">
        <v>120</v>
      </c>
      <c r="Q285" t="s">
        <v>143</v>
      </c>
      <c r="R285" t="s">
        <v>154</v>
      </c>
      <c r="S285">
        <v>8.1709664658576056E-2</v>
      </c>
    </row>
    <row r="286" spans="16:19" hidden="1">
      <c r="P286" t="s">
        <v>120</v>
      </c>
      <c r="Q286" t="s">
        <v>143</v>
      </c>
      <c r="R286" t="s">
        <v>155</v>
      </c>
      <c r="S286">
        <v>2.2475379856965915E-2</v>
      </c>
    </row>
    <row r="287" spans="16:19" hidden="1">
      <c r="P287" t="s">
        <v>120</v>
      </c>
      <c r="Q287" t="s">
        <v>143</v>
      </c>
      <c r="R287" t="s">
        <v>156</v>
      </c>
      <c r="S287">
        <v>0.12546380634109847</v>
      </c>
    </row>
    <row r="288" spans="16:19" hidden="1">
      <c r="P288" t="s">
        <v>120</v>
      </c>
      <c r="Q288" t="s">
        <v>143</v>
      </c>
      <c r="R288" t="s">
        <v>157</v>
      </c>
      <c r="S288">
        <v>7.2995154872331949E-2</v>
      </c>
    </row>
    <row r="289" spans="16:19" hidden="1">
      <c r="P289" t="s">
        <v>120</v>
      </c>
      <c r="Q289" t="s">
        <v>143</v>
      </c>
      <c r="R289" t="s">
        <v>158</v>
      </c>
      <c r="S289">
        <v>2.0421588302723701E-2</v>
      </c>
    </row>
    <row r="290" spans="16:19" hidden="1">
      <c r="P290" t="s">
        <v>120</v>
      </c>
      <c r="Q290" t="s">
        <v>143</v>
      </c>
      <c r="R290" t="s">
        <v>159</v>
      </c>
      <c r="S290">
        <v>0.16696051605073167</v>
      </c>
    </row>
    <row r="291" spans="16:19" hidden="1">
      <c r="P291" t="s">
        <v>120</v>
      </c>
      <c r="Q291" t="s">
        <v>143</v>
      </c>
      <c r="R291" t="s">
        <v>160</v>
      </c>
      <c r="S291">
        <v>9.8864372588984589E-2</v>
      </c>
    </row>
    <row r="292" spans="16:19" hidden="1">
      <c r="P292" t="s">
        <v>120</v>
      </c>
      <c r="Q292" t="s">
        <v>143</v>
      </c>
      <c r="R292" t="s">
        <v>161</v>
      </c>
      <c r="S292">
        <v>2.8928030955039971E-2</v>
      </c>
    </row>
    <row r="293" spans="16:19" hidden="1">
      <c r="P293" t="s">
        <v>121</v>
      </c>
      <c r="Q293" t="s">
        <v>141</v>
      </c>
      <c r="R293" t="s">
        <v>150</v>
      </c>
      <c r="S293">
        <v>0.13018809047021521</v>
      </c>
    </row>
    <row r="294" spans="16:19" hidden="1">
      <c r="P294" t="s">
        <v>121</v>
      </c>
      <c r="Q294" t="s">
        <v>141</v>
      </c>
      <c r="R294" t="s">
        <v>151</v>
      </c>
      <c r="S294">
        <v>9.1732140080226079E-2</v>
      </c>
    </row>
    <row r="295" spans="16:19" hidden="1">
      <c r="P295" t="s">
        <v>121</v>
      </c>
      <c r="Q295" t="s">
        <v>141</v>
      </c>
      <c r="R295" t="s">
        <v>152</v>
      </c>
      <c r="S295">
        <v>2.328914597726452E-2</v>
      </c>
    </row>
    <row r="296" spans="16:19" hidden="1">
      <c r="P296" t="s">
        <v>121</v>
      </c>
      <c r="Q296" t="s">
        <v>141</v>
      </c>
      <c r="R296" t="s">
        <v>153</v>
      </c>
      <c r="S296">
        <v>0.13980750284763022</v>
      </c>
    </row>
    <row r="297" spans="16:19" hidden="1">
      <c r="P297" t="s">
        <v>121</v>
      </c>
      <c r="Q297" t="s">
        <v>141</v>
      </c>
      <c r="R297" t="s">
        <v>154</v>
      </c>
      <c r="S297">
        <v>9.719092578741928E-2</v>
      </c>
    </row>
    <row r="298" spans="16:19" hidden="1">
      <c r="P298" t="s">
        <v>121</v>
      </c>
      <c r="Q298" t="s">
        <v>141</v>
      </c>
      <c r="R298" t="s">
        <v>155</v>
      </c>
      <c r="S298">
        <v>2.1884897771590247E-2</v>
      </c>
    </row>
    <row r="299" spans="16:19" hidden="1">
      <c r="P299" t="s">
        <v>121</v>
      </c>
      <c r="Q299" t="s">
        <v>141</v>
      </c>
      <c r="R299" t="s">
        <v>156</v>
      </c>
      <c r="S299">
        <v>0.13505562365577506</v>
      </c>
    </row>
    <row r="300" spans="16:19" hidden="1">
      <c r="P300" t="s">
        <v>121</v>
      </c>
      <c r="Q300" t="s">
        <v>141</v>
      </c>
      <c r="R300" t="s">
        <v>157</v>
      </c>
      <c r="S300">
        <v>9.6346207810091344E-2</v>
      </c>
    </row>
    <row r="301" spans="16:19" hidden="1">
      <c r="P301" t="s">
        <v>121</v>
      </c>
      <c r="Q301" t="s">
        <v>141</v>
      </c>
      <c r="R301" t="s">
        <v>158</v>
      </c>
      <c r="S301">
        <v>2.1716042748233376E-2</v>
      </c>
    </row>
    <row r="302" spans="16:19" hidden="1">
      <c r="P302" t="s">
        <v>121</v>
      </c>
      <c r="Q302" t="s">
        <v>141</v>
      </c>
      <c r="R302" t="s">
        <v>159</v>
      </c>
      <c r="S302">
        <v>0.1363459700551129</v>
      </c>
    </row>
    <row r="303" spans="16:19" hidden="1">
      <c r="P303" t="s">
        <v>121</v>
      </c>
      <c r="Q303" t="s">
        <v>141</v>
      </c>
      <c r="R303" t="s">
        <v>160</v>
      </c>
      <c r="S303">
        <v>8.2919985454591269E-2</v>
      </c>
    </row>
    <row r="304" spans="16:19" hidden="1">
      <c r="P304" t="s">
        <v>121</v>
      </c>
      <c r="Q304" t="s">
        <v>141</v>
      </c>
      <c r="R304" t="s">
        <v>161</v>
      </c>
      <c r="S304">
        <v>2.3523467341851033E-2</v>
      </c>
    </row>
    <row r="305" spans="16:19">
      <c r="P305" t="s">
        <v>121</v>
      </c>
      <c r="Q305" t="s">
        <v>142</v>
      </c>
      <c r="R305" t="s">
        <v>150</v>
      </c>
      <c r="S305">
        <v>0.13500313780000206</v>
      </c>
    </row>
    <row r="306" spans="16:19">
      <c r="P306" t="s">
        <v>121</v>
      </c>
      <c r="Q306" t="s">
        <v>142</v>
      </c>
      <c r="R306" t="s">
        <v>151</v>
      </c>
      <c r="S306">
        <v>9.3582077332195535E-2</v>
      </c>
    </row>
    <row r="307" spans="16:19">
      <c r="P307" t="s">
        <v>121</v>
      </c>
      <c r="Q307" t="s">
        <v>142</v>
      </c>
      <c r="R307" t="s">
        <v>152</v>
      </c>
      <c r="S307">
        <v>2.1035091063356971E-2</v>
      </c>
    </row>
    <row r="308" spans="16:19">
      <c r="P308" t="s">
        <v>121</v>
      </c>
      <c r="Q308" t="s">
        <v>142</v>
      </c>
      <c r="R308" t="s">
        <v>153</v>
      </c>
      <c r="S308">
        <v>0.13582106624044402</v>
      </c>
    </row>
    <row r="309" spans="16:19">
      <c r="P309" t="s">
        <v>121</v>
      </c>
      <c r="Q309" t="s">
        <v>142</v>
      </c>
      <c r="R309" t="s">
        <v>154</v>
      </c>
      <c r="S309">
        <v>9.4089054936362382E-2</v>
      </c>
    </row>
    <row r="310" spans="16:19">
      <c r="P310" t="s">
        <v>121</v>
      </c>
      <c r="Q310" t="s">
        <v>142</v>
      </c>
      <c r="R310" t="s">
        <v>155</v>
      </c>
      <c r="S310">
        <v>2.0936741894802529E-2</v>
      </c>
    </row>
    <row r="311" spans="16:19">
      <c r="P311" t="s">
        <v>121</v>
      </c>
      <c r="Q311" t="s">
        <v>142</v>
      </c>
      <c r="R311" t="s">
        <v>156</v>
      </c>
      <c r="S311">
        <v>0.13541761746102821</v>
      </c>
    </row>
    <row r="312" spans="16:19">
      <c r="P312" t="s">
        <v>121</v>
      </c>
      <c r="Q312" t="s">
        <v>142</v>
      </c>
      <c r="R312" t="s">
        <v>157</v>
      </c>
      <c r="S312">
        <v>9.4010295584761011E-2</v>
      </c>
    </row>
    <row r="313" spans="16:19">
      <c r="P313" t="s">
        <v>121</v>
      </c>
      <c r="Q313" t="s">
        <v>142</v>
      </c>
      <c r="R313" t="s">
        <v>158</v>
      </c>
      <c r="S313">
        <v>2.0916301899797863E-2</v>
      </c>
    </row>
    <row r="314" spans="16:19">
      <c r="P314" t="s">
        <v>121</v>
      </c>
      <c r="Q314" t="s">
        <v>142</v>
      </c>
      <c r="R314" t="s">
        <v>159</v>
      </c>
      <c r="S314">
        <v>0.13537550864223843</v>
      </c>
    </row>
    <row r="315" spans="16:19">
      <c r="P315" t="s">
        <v>121</v>
      </c>
      <c r="Q315" t="s">
        <v>142</v>
      </c>
      <c r="R315" t="s">
        <v>160</v>
      </c>
      <c r="S315">
        <v>9.2764756161790418E-2</v>
      </c>
    </row>
    <row r="316" spans="16:19">
      <c r="P316" t="s">
        <v>121</v>
      </c>
      <c r="Q316" t="s">
        <v>142</v>
      </c>
      <c r="R316" t="s">
        <v>161</v>
      </c>
      <c r="S316">
        <v>2.1048350983220197E-2</v>
      </c>
    </row>
    <row r="317" spans="16:19" hidden="1">
      <c r="P317" t="s">
        <v>121</v>
      </c>
      <c r="Q317" t="s">
        <v>143</v>
      </c>
      <c r="R317" t="s">
        <v>150</v>
      </c>
      <c r="S317">
        <v>0.13162010381688047</v>
      </c>
    </row>
    <row r="318" spans="16:19" hidden="1">
      <c r="P318" t="s">
        <v>121</v>
      </c>
      <c r="Q318" t="s">
        <v>143</v>
      </c>
      <c r="R318" t="s">
        <v>151</v>
      </c>
      <c r="S318">
        <v>9.2166198841389199E-2</v>
      </c>
    </row>
    <row r="319" spans="16:19" hidden="1">
      <c r="P319" t="s">
        <v>121</v>
      </c>
      <c r="Q319" t="s">
        <v>143</v>
      </c>
      <c r="R319" t="s">
        <v>152</v>
      </c>
      <c r="S319">
        <v>2.2723711506028667E-2</v>
      </c>
    </row>
    <row r="320" spans="16:19" hidden="1">
      <c r="P320" t="s">
        <v>121</v>
      </c>
      <c r="Q320" t="s">
        <v>143</v>
      </c>
      <c r="R320" t="s">
        <v>153</v>
      </c>
      <c r="S320">
        <v>0.13941829381414572</v>
      </c>
    </row>
    <row r="321" spans="16:19" hidden="1">
      <c r="P321" t="s">
        <v>121</v>
      </c>
      <c r="Q321" t="s">
        <v>143</v>
      </c>
      <c r="R321" t="s">
        <v>154</v>
      </c>
      <c r="S321">
        <v>9.720117987745687E-2</v>
      </c>
    </row>
    <row r="322" spans="16:19" hidden="1">
      <c r="P322" t="s">
        <v>121</v>
      </c>
      <c r="Q322" t="s">
        <v>143</v>
      </c>
      <c r="R322" t="s">
        <v>155</v>
      </c>
      <c r="S322">
        <v>2.1885065020030826E-2</v>
      </c>
    </row>
    <row r="323" spans="16:19" hidden="1">
      <c r="P323" t="s">
        <v>121</v>
      </c>
      <c r="Q323" t="s">
        <v>143</v>
      </c>
      <c r="R323" t="s">
        <v>156</v>
      </c>
      <c r="S323">
        <v>0.13557459837776611</v>
      </c>
    </row>
    <row r="324" spans="16:19" hidden="1">
      <c r="P324" t="s">
        <v>121</v>
      </c>
      <c r="Q324" t="s">
        <v>143</v>
      </c>
      <c r="R324" t="s">
        <v>157</v>
      </c>
      <c r="S324">
        <v>9.6417668605301834E-2</v>
      </c>
    </row>
    <row r="325" spans="16:19" hidden="1">
      <c r="P325" t="s">
        <v>121</v>
      </c>
      <c r="Q325" t="s">
        <v>143</v>
      </c>
      <c r="R325" t="s">
        <v>158</v>
      </c>
      <c r="S325">
        <v>2.1661579604358647E-2</v>
      </c>
    </row>
    <row r="326" spans="16:19" hidden="1">
      <c r="P326" t="s">
        <v>121</v>
      </c>
      <c r="Q326" t="s">
        <v>143</v>
      </c>
      <c r="R326" t="s">
        <v>159</v>
      </c>
      <c r="S326">
        <v>0.13445901102019081</v>
      </c>
    </row>
    <row r="327" spans="16:19" hidden="1">
      <c r="P327" t="s">
        <v>121</v>
      </c>
      <c r="Q327" t="s">
        <v>143</v>
      </c>
      <c r="R327" t="s">
        <v>160</v>
      </c>
      <c r="S327">
        <v>8.4053802225458676E-2</v>
      </c>
    </row>
    <row r="328" spans="16:19" hidden="1">
      <c r="P328" t="s">
        <v>121</v>
      </c>
      <c r="Q328" t="s">
        <v>143</v>
      </c>
      <c r="R328" t="s">
        <v>161</v>
      </c>
      <c r="S328">
        <v>2.2818787290991818E-2</v>
      </c>
    </row>
    <row r="329" spans="16:19" hidden="1">
      <c r="P329" t="s">
        <v>122</v>
      </c>
      <c r="Q329" t="s">
        <v>141</v>
      </c>
      <c r="R329" t="s">
        <v>150</v>
      </c>
      <c r="S329">
        <v>0.13721414174920352</v>
      </c>
    </row>
    <row r="330" spans="16:19" hidden="1">
      <c r="P330" t="s">
        <v>122</v>
      </c>
      <c r="Q330" t="s">
        <v>141</v>
      </c>
      <c r="R330" t="s">
        <v>151</v>
      </c>
      <c r="S330">
        <v>7.4338172732089439E-2</v>
      </c>
    </row>
    <row r="331" spans="16:19" hidden="1">
      <c r="P331" t="s">
        <v>122</v>
      </c>
      <c r="Q331" t="s">
        <v>141</v>
      </c>
      <c r="R331" t="s">
        <v>152</v>
      </c>
      <c r="S331">
        <v>2.3820391241979776E-2</v>
      </c>
    </row>
    <row r="332" spans="16:19" hidden="1">
      <c r="P332" t="s">
        <v>122</v>
      </c>
      <c r="Q332" t="s">
        <v>141</v>
      </c>
      <c r="R332" t="s">
        <v>153</v>
      </c>
      <c r="S332">
        <v>0.12676411993330031</v>
      </c>
    </row>
    <row r="333" spans="16:19" hidden="1">
      <c r="P333" t="s">
        <v>122</v>
      </c>
      <c r="Q333" t="s">
        <v>141</v>
      </c>
      <c r="R333" t="s">
        <v>154</v>
      </c>
      <c r="S333">
        <v>7.6391651343077599E-2</v>
      </c>
    </row>
    <row r="334" spans="16:19" hidden="1">
      <c r="P334" t="s">
        <v>122</v>
      </c>
      <c r="Q334" t="s">
        <v>141</v>
      </c>
      <c r="R334" t="s">
        <v>155</v>
      </c>
      <c r="S334">
        <v>2.2029746971930476E-2</v>
      </c>
    </row>
    <row r="335" spans="16:19" hidden="1">
      <c r="P335" t="s">
        <v>122</v>
      </c>
      <c r="Q335" t="s">
        <v>141</v>
      </c>
      <c r="R335" t="s">
        <v>156</v>
      </c>
      <c r="S335">
        <v>0.15720757296208121</v>
      </c>
    </row>
    <row r="336" spans="16:19" hidden="1">
      <c r="P336" t="s">
        <v>122</v>
      </c>
      <c r="Q336" t="s">
        <v>141</v>
      </c>
      <c r="R336" t="s">
        <v>157</v>
      </c>
      <c r="S336">
        <v>7.996523490464473E-2</v>
      </c>
    </row>
    <row r="337" spans="16:19" hidden="1">
      <c r="P337" t="s">
        <v>122</v>
      </c>
      <c r="Q337" t="s">
        <v>141</v>
      </c>
      <c r="R337" t="s">
        <v>158</v>
      </c>
      <c r="S337">
        <v>2.5724357779370485E-2</v>
      </c>
    </row>
    <row r="338" spans="16:19" hidden="1">
      <c r="P338" t="s">
        <v>122</v>
      </c>
      <c r="Q338" t="s">
        <v>141</v>
      </c>
      <c r="R338" t="s">
        <v>159</v>
      </c>
      <c r="S338">
        <v>0.15465684596950918</v>
      </c>
    </row>
    <row r="339" spans="16:19" hidden="1">
      <c r="P339" t="s">
        <v>122</v>
      </c>
      <c r="Q339" t="s">
        <v>141</v>
      </c>
      <c r="R339" t="s">
        <v>160</v>
      </c>
      <c r="S339">
        <v>9.5004679493013E-2</v>
      </c>
    </row>
    <row r="340" spans="16:19" hidden="1">
      <c r="P340" t="s">
        <v>122</v>
      </c>
      <c r="Q340" t="s">
        <v>141</v>
      </c>
      <c r="R340" t="s">
        <v>161</v>
      </c>
      <c r="S340">
        <v>2.6883084919799911E-2</v>
      </c>
    </row>
    <row r="341" spans="16:19">
      <c r="P341" t="s">
        <v>122</v>
      </c>
      <c r="Q341" t="s">
        <v>142</v>
      </c>
      <c r="R341" t="s">
        <v>150</v>
      </c>
      <c r="S341">
        <v>0.13539044928367475</v>
      </c>
    </row>
    <row r="342" spans="16:19">
      <c r="P342" t="s">
        <v>122</v>
      </c>
      <c r="Q342" t="s">
        <v>142</v>
      </c>
      <c r="R342" t="s">
        <v>151</v>
      </c>
      <c r="S342">
        <v>9.1212122594995587E-2</v>
      </c>
    </row>
    <row r="343" spans="16:19">
      <c r="P343" t="s">
        <v>122</v>
      </c>
      <c r="Q343" t="s">
        <v>142</v>
      </c>
      <c r="R343" t="s">
        <v>152</v>
      </c>
      <c r="S343">
        <v>2.1226039745071645E-2</v>
      </c>
    </row>
    <row r="344" spans="16:19">
      <c r="P344" t="s">
        <v>122</v>
      </c>
      <c r="Q344" t="s">
        <v>142</v>
      </c>
      <c r="R344" t="s">
        <v>153</v>
      </c>
      <c r="S344">
        <v>0.13418075070486174</v>
      </c>
    </row>
    <row r="345" spans="16:19">
      <c r="P345" t="s">
        <v>122</v>
      </c>
      <c r="Q345" t="s">
        <v>142</v>
      </c>
      <c r="R345" t="s">
        <v>154</v>
      </c>
      <c r="S345">
        <v>9.1506467417170834E-2</v>
      </c>
    </row>
    <row r="346" spans="16:19">
      <c r="P346" t="s">
        <v>122</v>
      </c>
      <c r="Q346" t="s">
        <v>142</v>
      </c>
      <c r="R346" t="s">
        <v>155</v>
      </c>
      <c r="S346">
        <v>2.099306130805955E-2</v>
      </c>
    </row>
    <row r="347" spans="16:19">
      <c r="P347" t="s">
        <v>122</v>
      </c>
      <c r="Q347" t="s">
        <v>142</v>
      </c>
      <c r="R347" t="s">
        <v>156</v>
      </c>
      <c r="S347">
        <v>0.13788402390981352</v>
      </c>
    </row>
    <row r="348" spans="16:19">
      <c r="P348" t="s">
        <v>122</v>
      </c>
      <c r="Q348" t="s">
        <v>142</v>
      </c>
      <c r="R348" t="s">
        <v>157</v>
      </c>
      <c r="S348">
        <v>9.2017105721345513E-2</v>
      </c>
    </row>
    <row r="349" spans="16:19">
      <c r="P349" t="s">
        <v>122</v>
      </c>
      <c r="Q349" t="s">
        <v>142</v>
      </c>
      <c r="R349" t="s">
        <v>158</v>
      </c>
      <c r="S349">
        <v>2.1504995531070166E-2</v>
      </c>
    </row>
    <row r="350" spans="16:19">
      <c r="P350" t="s">
        <v>122</v>
      </c>
      <c r="Q350" t="s">
        <v>142</v>
      </c>
      <c r="R350" t="s">
        <v>159</v>
      </c>
      <c r="S350">
        <v>0.13823164025270893</v>
      </c>
    </row>
    <row r="351" spans="16:19">
      <c r="P351" t="s">
        <v>122</v>
      </c>
      <c r="Q351" t="s">
        <v>142</v>
      </c>
      <c r="R351" t="s">
        <v>160</v>
      </c>
      <c r="S351">
        <v>9.4176610984706033E-2</v>
      </c>
    </row>
    <row r="352" spans="16:19">
      <c r="P352" t="s">
        <v>122</v>
      </c>
      <c r="Q352" t="s">
        <v>142</v>
      </c>
      <c r="R352" t="s">
        <v>161</v>
      </c>
      <c r="S352">
        <v>2.1676732546521138E-2</v>
      </c>
    </row>
    <row r="353" spans="16:19" hidden="1">
      <c r="P353" t="s">
        <v>122</v>
      </c>
      <c r="Q353" t="s">
        <v>143</v>
      </c>
      <c r="R353" t="s">
        <v>150</v>
      </c>
      <c r="S353">
        <v>0.13269340435089355</v>
      </c>
    </row>
    <row r="354" spans="16:19" hidden="1">
      <c r="P354" t="s">
        <v>122</v>
      </c>
      <c r="Q354" t="s">
        <v>143</v>
      </c>
      <c r="R354" t="s">
        <v>151</v>
      </c>
      <c r="S354">
        <v>7.8847659917405402E-2</v>
      </c>
    </row>
    <row r="355" spans="16:19" hidden="1">
      <c r="P355" t="s">
        <v>122</v>
      </c>
      <c r="Q355" t="s">
        <v>143</v>
      </c>
      <c r="R355" t="s">
        <v>152</v>
      </c>
      <c r="S355">
        <v>2.3160758502665194E-2</v>
      </c>
    </row>
    <row r="356" spans="16:19" hidden="1">
      <c r="P356" t="s">
        <v>122</v>
      </c>
      <c r="Q356" t="s">
        <v>143</v>
      </c>
      <c r="R356" t="s">
        <v>153</v>
      </c>
      <c r="S356">
        <v>0.12712965007491078</v>
      </c>
    </row>
    <row r="357" spans="16:19" hidden="1">
      <c r="P357" t="s">
        <v>122</v>
      </c>
      <c r="Q357" t="s">
        <v>143</v>
      </c>
      <c r="R357" t="s">
        <v>154</v>
      </c>
      <c r="S357">
        <v>8.0830555368675699E-2</v>
      </c>
    </row>
    <row r="358" spans="16:19" hidden="1">
      <c r="P358" t="s">
        <v>122</v>
      </c>
      <c r="Q358" t="s">
        <v>143</v>
      </c>
      <c r="R358" t="s">
        <v>155</v>
      </c>
      <c r="S358">
        <v>2.1803812012823935E-2</v>
      </c>
    </row>
    <row r="359" spans="16:19" hidden="1">
      <c r="P359" t="s">
        <v>122</v>
      </c>
      <c r="Q359" t="s">
        <v>143</v>
      </c>
      <c r="R359" t="s">
        <v>156</v>
      </c>
      <c r="S359">
        <v>0.14615193356514175</v>
      </c>
    </row>
    <row r="360" spans="16:19" hidden="1">
      <c r="P360" t="s">
        <v>122</v>
      </c>
      <c r="Q360" t="s">
        <v>143</v>
      </c>
      <c r="R360" t="s">
        <v>157</v>
      </c>
      <c r="S360">
        <v>8.4256208391272444E-2</v>
      </c>
    </row>
    <row r="361" spans="16:19" hidden="1">
      <c r="P361" t="s">
        <v>122</v>
      </c>
      <c r="Q361" t="s">
        <v>143</v>
      </c>
      <c r="R361" t="s">
        <v>158</v>
      </c>
      <c r="S361">
        <v>2.5094187645215853E-2</v>
      </c>
    </row>
    <row r="362" spans="16:19" hidden="1">
      <c r="P362" t="s">
        <v>122</v>
      </c>
      <c r="Q362" t="s">
        <v>143</v>
      </c>
      <c r="R362" t="s">
        <v>159</v>
      </c>
      <c r="S362">
        <v>0.1548923375126644</v>
      </c>
    </row>
    <row r="363" spans="16:19" hidden="1">
      <c r="P363" t="s">
        <v>122</v>
      </c>
      <c r="Q363" t="s">
        <v>143</v>
      </c>
      <c r="R363" t="s">
        <v>160</v>
      </c>
      <c r="S363">
        <v>9.8837726883573729E-2</v>
      </c>
    </row>
    <row r="364" spans="16:19" hidden="1">
      <c r="P364" t="s">
        <v>122</v>
      </c>
      <c r="Q364" t="s">
        <v>143</v>
      </c>
      <c r="R364" t="s">
        <v>161</v>
      </c>
      <c r="S364">
        <v>2.6301765774757253E-2</v>
      </c>
    </row>
    <row r="365" spans="16:19" hidden="1">
      <c r="P365" t="s">
        <v>123</v>
      </c>
      <c r="Q365" t="s">
        <v>141</v>
      </c>
      <c r="R365" t="s">
        <v>150</v>
      </c>
      <c r="S365">
        <v>0.14477768155524592</v>
      </c>
    </row>
    <row r="366" spans="16:19" hidden="1">
      <c r="P366" t="s">
        <v>123</v>
      </c>
      <c r="Q366" t="s">
        <v>141</v>
      </c>
      <c r="R366" t="s">
        <v>151</v>
      </c>
      <c r="S366">
        <v>9.9791058314631489E-2</v>
      </c>
    </row>
    <row r="367" spans="16:19" hidden="1">
      <c r="P367" t="s">
        <v>123</v>
      </c>
      <c r="Q367" t="s">
        <v>141</v>
      </c>
      <c r="R367" t="s">
        <v>152</v>
      </c>
      <c r="S367">
        <v>2.4554896998664047E-2</v>
      </c>
    </row>
    <row r="368" spans="16:19" hidden="1">
      <c r="P368" t="s">
        <v>123</v>
      </c>
      <c r="Q368" t="s">
        <v>141</v>
      </c>
      <c r="R368" t="s">
        <v>153</v>
      </c>
      <c r="S368">
        <v>0.12349277752168694</v>
      </c>
    </row>
    <row r="369" spans="16:19" hidden="1">
      <c r="P369" t="s">
        <v>123</v>
      </c>
      <c r="Q369" t="s">
        <v>141</v>
      </c>
      <c r="R369" t="s">
        <v>154</v>
      </c>
      <c r="S369">
        <v>8.5956364894075418E-2</v>
      </c>
    </row>
    <row r="370" spans="16:19" hidden="1">
      <c r="P370" t="s">
        <v>123</v>
      </c>
      <c r="Q370" t="s">
        <v>141</v>
      </c>
      <c r="R370" t="s">
        <v>155</v>
      </c>
      <c r="S370">
        <v>2.1109148403582165E-2</v>
      </c>
    </row>
    <row r="371" spans="16:19" hidden="1">
      <c r="P371" t="s">
        <v>123</v>
      </c>
      <c r="Q371" t="s">
        <v>141</v>
      </c>
      <c r="R371" t="s">
        <v>156</v>
      </c>
      <c r="S371">
        <v>0.18787639697487946</v>
      </c>
    </row>
    <row r="372" spans="16:19" hidden="1">
      <c r="P372" t="s">
        <v>123</v>
      </c>
      <c r="Q372" t="s">
        <v>141</v>
      </c>
      <c r="R372" t="s">
        <v>157</v>
      </c>
      <c r="S372">
        <v>0.1241512301947497</v>
      </c>
    </row>
    <row r="373" spans="16:19" hidden="1">
      <c r="P373" t="s">
        <v>123</v>
      </c>
      <c r="Q373" t="s">
        <v>141</v>
      </c>
      <c r="R373" t="s">
        <v>158</v>
      </c>
      <c r="S373">
        <v>2.948866161877391E-2</v>
      </c>
    </row>
    <row r="374" spans="16:19" hidden="1">
      <c r="P374" t="s">
        <v>123</v>
      </c>
      <c r="Q374" t="s">
        <v>141</v>
      </c>
      <c r="R374" t="s">
        <v>159</v>
      </c>
      <c r="S374">
        <v>8.4045349828880692E-2</v>
      </c>
    </row>
    <row r="375" spans="16:19" hidden="1">
      <c r="P375" t="s">
        <v>123</v>
      </c>
      <c r="Q375" t="s">
        <v>141</v>
      </c>
      <c r="R375" t="s">
        <v>160</v>
      </c>
      <c r="S375">
        <v>5.8823483729992562E-2</v>
      </c>
    </row>
    <row r="376" spans="16:19" hidden="1">
      <c r="P376" t="s">
        <v>123</v>
      </c>
      <c r="Q376" t="s">
        <v>141</v>
      </c>
      <c r="R376" t="s">
        <v>161</v>
      </c>
      <c r="S376">
        <v>1.5932949964838176E-2</v>
      </c>
    </row>
    <row r="377" spans="16:19">
      <c r="P377" t="s">
        <v>123</v>
      </c>
      <c r="Q377" t="s">
        <v>142</v>
      </c>
      <c r="R377" t="s">
        <v>150</v>
      </c>
      <c r="S377">
        <v>0.13677069455151467</v>
      </c>
    </row>
    <row r="378" spans="16:19">
      <c r="P378" t="s">
        <v>123</v>
      </c>
      <c r="Q378" t="s">
        <v>142</v>
      </c>
      <c r="R378" t="s">
        <v>151</v>
      </c>
      <c r="S378">
        <v>9.4769251665155055E-2</v>
      </c>
    </row>
    <row r="379" spans="16:19">
      <c r="P379" t="s">
        <v>123</v>
      </c>
      <c r="Q379" t="s">
        <v>142</v>
      </c>
      <c r="R379" t="s">
        <v>152</v>
      </c>
      <c r="S379">
        <v>2.1370265360957767E-2</v>
      </c>
    </row>
    <row r="380" spans="16:19">
      <c r="P380" t="s">
        <v>123</v>
      </c>
      <c r="Q380" t="s">
        <v>142</v>
      </c>
      <c r="R380" t="s">
        <v>153</v>
      </c>
      <c r="S380">
        <v>0.13358511601025033</v>
      </c>
    </row>
    <row r="381" spans="16:19">
      <c r="P381" t="s">
        <v>123</v>
      </c>
      <c r="Q381" t="s">
        <v>142</v>
      </c>
      <c r="R381" t="s">
        <v>154</v>
      </c>
      <c r="S381">
        <v>9.2666016911903112E-2</v>
      </c>
    </row>
    <row r="382" spans="16:19">
      <c r="P382" t="s">
        <v>123</v>
      </c>
      <c r="Q382" t="s">
        <v>142</v>
      </c>
      <c r="R382" t="s">
        <v>155</v>
      </c>
      <c r="S382">
        <v>2.0853905534050678E-2</v>
      </c>
    </row>
    <row r="383" spans="16:19">
      <c r="P383" t="s">
        <v>123</v>
      </c>
      <c r="Q383" t="s">
        <v>142</v>
      </c>
      <c r="R383" t="s">
        <v>156</v>
      </c>
      <c r="S383">
        <v>0.14312050722607386</v>
      </c>
    </row>
    <row r="384" spans="16:19">
      <c r="P384" t="s">
        <v>123</v>
      </c>
      <c r="Q384" t="s">
        <v>142</v>
      </c>
      <c r="R384" t="s">
        <v>157</v>
      </c>
      <c r="S384">
        <v>9.8457732790117644E-2</v>
      </c>
    </row>
    <row r="385" spans="16:19">
      <c r="P385" t="s">
        <v>123</v>
      </c>
      <c r="Q385" t="s">
        <v>142</v>
      </c>
      <c r="R385" t="s">
        <v>158</v>
      </c>
      <c r="S385">
        <v>2.2141499944679441E-2</v>
      </c>
    </row>
    <row r="386" spans="16:19">
      <c r="P386" t="s">
        <v>123</v>
      </c>
      <c r="Q386" t="s">
        <v>142</v>
      </c>
      <c r="R386" t="s">
        <v>159</v>
      </c>
      <c r="S386">
        <v>0.12769868544162821</v>
      </c>
    </row>
    <row r="387" spans="16:19">
      <c r="P387" t="s">
        <v>123</v>
      </c>
      <c r="Q387" t="s">
        <v>142</v>
      </c>
      <c r="R387" t="s">
        <v>160</v>
      </c>
      <c r="S387">
        <v>8.852108100105209E-2</v>
      </c>
    </row>
    <row r="388" spans="16:19">
      <c r="P388" t="s">
        <v>123</v>
      </c>
      <c r="Q388" t="s">
        <v>142</v>
      </c>
      <c r="R388" t="s">
        <v>161</v>
      </c>
      <c r="S388">
        <v>2.0045243562616714E-2</v>
      </c>
    </row>
    <row r="389" spans="16:19" hidden="1">
      <c r="P389" t="s">
        <v>123</v>
      </c>
      <c r="Q389" t="s">
        <v>143</v>
      </c>
      <c r="R389" t="s">
        <v>150</v>
      </c>
      <c r="S389">
        <v>0.14400998782330254</v>
      </c>
    </row>
    <row r="390" spans="16:19" hidden="1">
      <c r="P390" t="s">
        <v>123</v>
      </c>
      <c r="Q390" t="s">
        <v>143</v>
      </c>
      <c r="R390" t="s">
        <v>151</v>
      </c>
      <c r="S390">
        <v>0.10072041574882799</v>
      </c>
    </row>
    <row r="391" spans="16:19" hidden="1">
      <c r="P391" t="s">
        <v>123</v>
      </c>
      <c r="Q391" t="s">
        <v>143</v>
      </c>
      <c r="R391" t="s">
        <v>152</v>
      </c>
      <c r="S391">
        <v>2.4253258451503765E-2</v>
      </c>
    </row>
    <row r="392" spans="16:19" hidden="1">
      <c r="P392" t="s">
        <v>123</v>
      </c>
      <c r="Q392" t="s">
        <v>143</v>
      </c>
      <c r="R392" t="s">
        <v>153</v>
      </c>
      <c r="S392">
        <v>0.12328691594123577</v>
      </c>
    </row>
    <row r="393" spans="16:19" hidden="1">
      <c r="P393" t="s">
        <v>123</v>
      </c>
      <c r="Q393" t="s">
        <v>143</v>
      </c>
      <c r="R393" t="s">
        <v>154</v>
      </c>
      <c r="S393">
        <v>8.6945540679900055E-2</v>
      </c>
    </row>
    <row r="394" spans="16:19" hidden="1">
      <c r="P394" t="s">
        <v>123</v>
      </c>
      <c r="Q394" t="s">
        <v>143</v>
      </c>
      <c r="R394" t="s">
        <v>155</v>
      </c>
      <c r="S394">
        <v>2.0890256632203383E-2</v>
      </c>
    </row>
    <row r="395" spans="16:19" hidden="1">
      <c r="P395" t="s">
        <v>123</v>
      </c>
      <c r="Q395" t="s">
        <v>143</v>
      </c>
      <c r="R395" t="s">
        <v>156</v>
      </c>
      <c r="S395">
        <v>0.18495885327300815</v>
      </c>
    </row>
    <row r="396" spans="16:19" hidden="1">
      <c r="P396" t="s">
        <v>123</v>
      </c>
      <c r="Q396" t="s">
        <v>143</v>
      </c>
      <c r="R396" t="s">
        <v>157</v>
      </c>
      <c r="S396">
        <v>0.12491990352794681</v>
      </c>
    </row>
    <row r="397" spans="16:19" hidden="1">
      <c r="P397" t="s">
        <v>123</v>
      </c>
      <c r="Q397" t="s">
        <v>143</v>
      </c>
      <c r="R397" t="s">
        <v>158</v>
      </c>
      <c r="S397">
        <v>2.9391081421796566E-2</v>
      </c>
    </row>
    <row r="398" spans="16:19" hidden="1">
      <c r="P398" t="s">
        <v>123</v>
      </c>
      <c r="Q398" t="s">
        <v>143</v>
      </c>
      <c r="R398" t="s">
        <v>159</v>
      </c>
      <c r="S398">
        <v>8.5267449847798688E-2</v>
      </c>
    </row>
    <row r="399" spans="16:19" hidden="1">
      <c r="P399" t="s">
        <v>123</v>
      </c>
      <c r="Q399" t="s">
        <v>143</v>
      </c>
      <c r="R399" t="s">
        <v>160</v>
      </c>
      <c r="S399">
        <v>5.9812484383394156E-2</v>
      </c>
    </row>
    <row r="400" spans="16:19" hidden="1">
      <c r="P400" t="s">
        <v>123</v>
      </c>
      <c r="Q400" t="s">
        <v>143</v>
      </c>
      <c r="R400" t="s">
        <v>161</v>
      </c>
      <c r="S400">
        <v>1.5543852269082293E-2</v>
      </c>
    </row>
    <row r="401" spans="16:19" hidden="1">
      <c r="P401" t="s">
        <v>50</v>
      </c>
      <c r="Q401" t="s">
        <v>141</v>
      </c>
      <c r="R401" t="s">
        <v>150</v>
      </c>
      <c r="S401">
        <v>0.13863352965398065</v>
      </c>
    </row>
    <row r="402" spans="16:19" hidden="1">
      <c r="P402" t="s">
        <v>50</v>
      </c>
      <c r="Q402" t="s">
        <v>141</v>
      </c>
      <c r="R402" t="s">
        <v>151</v>
      </c>
      <c r="S402">
        <v>5.8587627995654763E-2</v>
      </c>
    </row>
    <row r="403" spans="16:19" hidden="1">
      <c r="P403" t="s">
        <v>50</v>
      </c>
      <c r="Q403" t="s">
        <v>141</v>
      </c>
      <c r="R403" t="s">
        <v>152</v>
      </c>
      <c r="S403">
        <v>2.4078937704741357E-2</v>
      </c>
    </row>
    <row r="404" spans="16:19" hidden="1">
      <c r="P404" t="s">
        <v>50</v>
      </c>
      <c r="Q404" t="s">
        <v>141</v>
      </c>
      <c r="R404" t="s">
        <v>153</v>
      </c>
      <c r="S404">
        <v>0.1255787198203033</v>
      </c>
    </row>
    <row r="405" spans="16:19" hidden="1">
      <c r="P405" t="s">
        <v>50</v>
      </c>
      <c r="Q405" t="s">
        <v>141</v>
      </c>
      <c r="R405" t="s">
        <v>154</v>
      </c>
      <c r="S405">
        <v>5.3355646844126213E-2</v>
      </c>
    </row>
    <row r="406" spans="16:19" hidden="1">
      <c r="P406" t="s">
        <v>50</v>
      </c>
      <c r="Q406" t="s">
        <v>141</v>
      </c>
      <c r="R406" t="s">
        <v>155</v>
      </c>
      <c r="S406">
        <v>2.0429436317746585E-2</v>
      </c>
    </row>
    <row r="407" spans="16:19" hidden="1">
      <c r="P407" t="s">
        <v>50</v>
      </c>
      <c r="Q407" t="s">
        <v>141</v>
      </c>
      <c r="R407" t="s">
        <v>156</v>
      </c>
      <c r="S407">
        <v>0.21513929967397849</v>
      </c>
    </row>
    <row r="408" spans="16:19" hidden="1">
      <c r="P408" t="s">
        <v>50</v>
      </c>
      <c r="Q408" t="s">
        <v>141</v>
      </c>
      <c r="R408" t="s">
        <v>157</v>
      </c>
      <c r="S408">
        <v>9.0765633874884691E-2</v>
      </c>
    </row>
    <row r="409" spans="16:19" hidden="1">
      <c r="P409" t="s">
        <v>50</v>
      </c>
      <c r="Q409" t="s">
        <v>141</v>
      </c>
      <c r="R409" t="s">
        <v>158</v>
      </c>
      <c r="S409">
        <v>3.3160625930974477E-2</v>
      </c>
    </row>
    <row r="410" spans="16:19" hidden="1">
      <c r="P410" t="s">
        <v>50</v>
      </c>
      <c r="Q410" t="s">
        <v>141</v>
      </c>
      <c r="R410" t="s">
        <v>159</v>
      </c>
      <c r="S410">
        <v>0.13862168136205</v>
      </c>
    </row>
    <row r="411" spans="16:19" hidden="1">
      <c r="P411" t="s">
        <v>50</v>
      </c>
      <c r="Q411" t="s">
        <v>141</v>
      </c>
      <c r="R411" t="s">
        <v>160</v>
      </c>
      <c r="S411">
        <v>7.4626910393607263E-2</v>
      </c>
    </row>
    <row r="412" spans="16:19" hidden="1">
      <c r="P412" t="s">
        <v>50</v>
      </c>
      <c r="Q412" t="s">
        <v>141</v>
      </c>
      <c r="R412" t="s">
        <v>161</v>
      </c>
      <c r="S412">
        <v>2.7021950427951868E-2</v>
      </c>
    </row>
    <row r="413" spans="16:19">
      <c r="P413" t="s">
        <v>50</v>
      </c>
      <c r="Q413" t="s">
        <v>142</v>
      </c>
      <c r="R413" t="s">
        <v>150</v>
      </c>
      <c r="S413">
        <v>0.13546550425467602</v>
      </c>
    </row>
    <row r="414" spans="16:19">
      <c r="P414" t="s">
        <v>50</v>
      </c>
      <c r="Q414" t="s">
        <v>142</v>
      </c>
      <c r="R414" t="s">
        <v>151</v>
      </c>
      <c r="S414">
        <v>9.0938833780397507E-2</v>
      </c>
    </row>
    <row r="415" spans="16:19">
      <c r="P415" t="s">
        <v>50</v>
      </c>
      <c r="Q415" t="s">
        <v>142</v>
      </c>
      <c r="R415" t="s">
        <v>152</v>
      </c>
      <c r="S415">
        <v>2.1103200778088898E-2</v>
      </c>
    </row>
    <row r="416" spans="16:19">
      <c r="P416" t="s">
        <v>50</v>
      </c>
      <c r="Q416" t="s">
        <v>142</v>
      </c>
      <c r="R416" t="s">
        <v>153</v>
      </c>
      <c r="S416">
        <v>0.13439362744208988</v>
      </c>
    </row>
    <row r="417" spans="16:19">
      <c r="P417" t="s">
        <v>50</v>
      </c>
      <c r="Q417" t="s">
        <v>142</v>
      </c>
      <c r="R417" t="s">
        <v>154</v>
      </c>
      <c r="S417">
        <v>9.0481456596216717E-2</v>
      </c>
    </row>
    <row r="418" spans="16:19">
      <c r="P418" t="s">
        <v>50</v>
      </c>
      <c r="Q418" t="s">
        <v>142</v>
      </c>
      <c r="R418" t="s">
        <v>155</v>
      </c>
      <c r="S418">
        <v>2.0807484689552323E-2</v>
      </c>
    </row>
    <row r="419" spans="16:19">
      <c r="P419" t="s">
        <v>50</v>
      </c>
      <c r="Q419" t="s">
        <v>142</v>
      </c>
      <c r="R419" t="s">
        <v>156</v>
      </c>
      <c r="S419">
        <v>0.14163592316599133</v>
      </c>
    </row>
    <row r="420" spans="16:19">
      <c r="P420" t="s">
        <v>50</v>
      </c>
      <c r="Q420" t="s">
        <v>142</v>
      </c>
      <c r="R420" t="s">
        <v>157</v>
      </c>
      <c r="S420">
        <v>9.3751775448338209E-2</v>
      </c>
    </row>
    <row r="421" spans="16:19">
      <c r="P421" t="s">
        <v>50</v>
      </c>
      <c r="Q421" t="s">
        <v>142</v>
      </c>
      <c r="R421" t="s">
        <v>158</v>
      </c>
      <c r="S421">
        <v>2.1897544006561458E-2</v>
      </c>
    </row>
    <row r="422" spans="16:19">
      <c r="P422" t="s">
        <v>50</v>
      </c>
      <c r="Q422" t="s">
        <v>142</v>
      </c>
      <c r="R422" t="s">
        <v>159</v>
      </c>
      <c r="S422">
        <v>0.13583839155671909</v>
      </c>
    </row>
    <row r="423" spans="16:19">
      <c r="P423" t="s">
        <v>50</v>
      </c>
      <c r="Q423" t="s">
        <v>142</v>
      </c>
      <c r="R423" t="s">
        <v>160</v>
      </c>
      <c r="S423">
        <v>9.2338500878493962E-2</v>
      </c>
    </row>
    <row r="424" spans="16:19">
      <c r="P424" t="s">
        <v>50</v>
      </c>
      <c r="Q424" t="s">
        <v>142</v>
      </c>
      <c r="R424" t="s">
        <v>161</v>
      </c>
      <c r="S424">
        <v>2.1347757402875239E-2</v>
      </c>
    </row>
    <row r="425" spans="16:19" hidden="1">
      <c r="P425" t="s">
        <v>50</v>
      </c>
      <c r="Q425" t="s">
        <v>143</v>
      </c>
      <c r="R425" t="s">
        <v>150</v>
      </c>
      <c r="S425">
        <v>0.13443757458416272</v>
      </c>
    </row>
    <row r="426" spans="16:19" hidden="1">
      <c r="P426" t="s">
        <v>50</v>
      </c>
      <c r="Q426" t="s">
        <v>143</v>
      </c>
      <c r="R426" t="s">
        <v>151</v>
      </c>
      <c r="S426">
        <v>6.478367649479537E-2</v>
      </c>
    </row>
    <row r="427" spans="16:19" hidden="1">
      <c r="P427" t="s">
        <v>50</v>
      </c>
      <c r="Q427" t="s">
        <v>143</v>
      </c>
      <c r="R427" t="s">
        <v>152</v>
      </c>
      <c r="S427">
        <v>2.3687971548399921E-2</v>
      </c>
    </row>
    <row r="428" spans="16:19" hidden="1">
      <c r="P428" t="s">
        <v>50</v>
      </c>
      <c r="Q428" t="s">
        <v>143</v>
      </c>
      <c r="R428" t="s">
        <v>153</v>
      </c>
      <c r="S428">
        <v>0.12319413538557644</v>
      </c>
    </row>
    <row r="429" spans="16:19" hidden="1">
      <c r="P429" t="s">
        <v>50</v>
      </c>
      <c r="Q429" t="s">
        <v>143</v>
      </c>
      <c r="R429" t="s">
        <v>154</v>
      </c>
      <c r="S429">
        <v>5.9793696025568686E-2</v>
      </c>
    </row>
    <row r="430" spans="16:19" hidden="1">
      <c r="P430" t="s">
        <v>50</v>
      </c>
      <c r="Q430" t="s">
        <v>143</v>
      </c>
      <c r="R430" t="s">
        <v>155</v>
      </c>
      <c r="S430">
        <v>2.0612410468848215E-2</v>
      </c>
    </row>
    <row r="431" spans="16:19" hidden="1">
      <c r="P431" t="s">
        <v>50</v>
      </c>
      <c r="Q431" t="s">
        <v>143</v>
      </c>
      <c r="R431" t="s">
        <v>156</v>
      </c>
      <c r="S431">
        <v>0.1983997156305993</v>
      </c>
    </row>
    <row r="432" spans="16:19" hidden="1">
      <c r="P432" t="s">
        <v>50</v>
      </c>
      <c r="Q432" t="s">
        <v>143</v>
      </c>
      <c r="R432" t="s">
        <v>157</v>
      </c>
      <c r="S432">
        <v>9.5478516279771136E-2</v>
      </c>
    </row>
    <row r="433" spans="16:19" hidden="1">
      <c r="P433" t="s">
        <v>50</v>
      </c>
      <c r="Q433" t="s">
        <v>143</v>
      </c>
      <c r="R433" t="s">
        <v>158</v>
      </c>
      <c r="S433">
        <v>3.235852479265823E-2</v>
      </c>
    </row>
    <row r="434" spans="16:19" hidden="1">
      <c r="P434" t="s">
        <v>50</v>
      </c>
      <c r="Q434" t="s">
        <v>143</v>
      </c>
      <c r="R434" t="s">
        <v>159</v>
      </c>
      <c r="S434">
        <v>0.14093977241491124</v>
      </c>
    </row>
    <row r="435" spans="16:19" hidden="1">
      <c r="P435" t="s">
        <v>50</v>
      </c>
      <c r="Q435" t="s">
        <v>143</v>
      </c>
      <c r="R435" t="s">
        <v>160</v>
      </c>
      <c r="S435">
        <v>8.0040146143633598E-2</v>
      </c>
    </row>
    <row r="436" spans="16:19" hidden="1">
      <c r="P436" t="s">
        <v>50</v>
      </c>
      <c r="Q436" t="s">
        <v>143</v>
      </c>
      <c r="R436" t="s">
        <v>161</v>
      </c>
      <c r="S436">
        <v>2.6273860231075124E-2</v>
      </c>
    </row>
    <row r="437" spans="16:19" hidden="1">
      <c r="P437" t="s">
        <v>124</v>
      </c>
      <c r="Q437" t="s">
        <v>141</v>
      </c>
      <c r="R437" t="s">
        <v>150</v>
      </c>
      <c r="S437">
        <v>0.1371526597735408</v>
      </c>
    </row>
    <row r="438" spans="16:19" hidden="1">
      <c r="P438" t="s">
        <v>124</v>
      </c>
      <c r="Q438" t="s">
        <v>141</v>
      </c>
      <c r="R438" t="s">
        <v>151</v>
      </c>
      <c r="S438">
        <v>7.0622223653841257E-2</v>
      </c>
    </row>
    <row r="439" spans="16:19" hidden="1">
      <c r="P439" t="s">
        <v>124</v>
      </c>
      <c r="Q439" t="s">
        <v>141</v>
      </c>
      <c r="R439" t="s">
        <v>152</v>
      </c>
      <c r="S439">
        <v>2.3127772766269789E-2</v>
      </c>
    </row>
    <row r="440" spans="16:19" hidden="1">
      <c r="P440" t="s">
        <v>124</v>
      </c>
      <c r="Q440" t="s">
        <v>141</v>
      </c>
      <c r="R440" t="s">
        <v>153</v>
      </c>
      <c r="S440">
        <v>0.12929447710418729</v>
      </c>
    </row>
    <row r="441" spans="16:19" hidden="1">
      <c r="P441" t="s">
        <v>124</v>
      </c>
      <c r="Q441" t="s">
        <v>141</v>
      </c>
      <c r="R441" t="s">
        <v>154</v>
      </c>
      <c r="S441">
        <v>6.7584095850516335E-2</v>
      </c>
    </row>
    <row r="442" spans="16:19" hidden="1">
      <c r="P442" t="s">
        <v>124</v>
      </c>
      <c r="Q442" t="s">
        <v>141</v>
      </c>
      <c r="R442" t="s">
        <v>155</v>
      </c>
      <c r="S442">
        <v>2.064283177448813E-2</v>
      </c>
    </row>
    <row r="443" spans="16:19" hidden="1">
      <c r="P443" t="s">
        <v>124</v>
      </c>
      <c r="Q443" t="s">
        <v>141</v>
      </c>
      <c r="R443" t="s">
        <v>156</v>
      </c>
      <c r="S443">
        <v>0.18751217181801003</v>
      </c>
    </row>
    <row r="444" spans="16:19" hidden="1">
      <c r="P444" t="s">
        <v>124</v>
      </c>
      <c r="Q444" t="s">
        <v>141</v>
      </c>
      <c r="R444" t="s">
        <v>157</v>
      </c>
      <c r="S444">
        <v>9.1981144415110586E-2</v>
      </c>
    </row>
    <row r="445" spans="16:19" hidden="1">
      <c r="P445" t="s">
        <v>124</v>
      </c>
      <c r="Q445" t="s">
        <v>141</v>
      </c>
      <c r="R445" t="s">
        <v>158</v>
      </c>
      <c r="S445">
        <v>2.8954806115268846E-2</v>
      </c>
    </row>
    <row r="446" spans="16:19" hidden="1">
      <c r="P446" t="s">
        <v>124</v>
      </c>
      <c r="Q446" t="s">
        <v>141</v>
      </c>
      <c r="R446" t="s">
        <v>159</v>
      </c>
      <c r="S446">
        <v>0.13757464876756345</v>
      </c>
    </row>
    <row r="447" spans="16:19" hidden="1">
      <c r="P447" t="s">
        <v>124</v>
      </c>
      <c r="Q447" t="s">
        <v>141</v>
      </c>
      <c r="R447" t="s">
        <v>160</v>
      </c>
      <c r="S447">
        <v>8.0485140662449953E-2</v>
      </c>
    </row>
    <row r="448" spans="16:19" hidden="1">
      <c r="P448" t="s">
        <v>124</v>
      </c>
      <c r="Q448" t="s">
        <v>141</v>
      </c>
      <c r="R448" t="s">
        <v>161</v>
      </c>
      <c r="S448">
        <v>2.5068027298756252E-2</v>
      </c>
    </row>
    <row r="449" spans="16:19">
      <c r="P449" t="s">
        <v>124</v>
      </c>
      <c r="Q449" t="s">
        <v>142</v>
      </c>
      <c r="R449" t="s">
        <v>150</v>
      </c>
      <c r="S449">
        <v>0.13543515238523193</v>
      </c>
    </row>
    <row r="450" spans="16:19">
      <c r="P450" t="s">
        <v>124</v>
      </c>
      <c r="Q450" t="s">
        <v>142</v>
      </c>
      <c r="R450" t="s">
        <v>151</v>
      </c>
      <c r="S450">
        <v>9.1112362219289242E-2</v>
      </c>
    </row>
    <row r="451" spans="16:19">
      <c r="P451" t="s">
        <v>124</v>
      </c>
      <c r="Q451" t="s">
        <v>142</v>
      </c>
      <c r="R451" t="s">
        <v>152</v>
      </c>
      <c r="S451">
        <v>2.1098712879090906E-2</v>
      </c>
    </row>
    <row r="452" spans="16:19">
      <c r="P452" t="s">
        <v>124</v>
      </c>
      <c r="Q452" t="s">
        <v>142</v>
      </c>
      <c r="R452" t="s">
        <v>153</v>
      </c>
      <c r="S452">
        <v>0.13448733984445607</v>
      </c>
    </row>
    <row r="453" spans="16:19">
      <c r="P453" t="s">
        <v>124</v>
      </c>
      <c r="Q453" t="s">
        <v>142</v>
      </c>
      <c r="R453" t="s">
        <v>154</v>
      </c>
      <c r="S453">
        <v>9.0718051829518823E-2</v>
      </c>
    </row>
    <row r="454" spans="16:19">
      <c r="P454" t="s">
        <v>124</v>
      </c>
      <c r="Q454" t="s">
        <v>142</v>
      </c>
      <c r="R454" t="s">
        <v>155</v>
      </c>
      <c r="S454">
        <v>2.0815895190184626E-2</v>
      </c>
    </row>
    <row r="455" spans="16:19">
      <c r="P455" t="s">
        <v>124</v>
      </c>
      <c r="Q455" t="s">
        <v>142</v>
      </c>
      <c r="R455" t="s">
        <v>156</v>
      </c>
      <c r="S455">
        <v>0.14122813164558601</v>
      </c>
    </row>
    <row r="456" spans="16:19">
      <c r="P456" t="s">
        <v>124</v>
      </c>
      <c r="Q456" t="s">
        <v>142</v>
      </c>
      <c r="R456" t="s">
        <v>157</v>
      </c>
      <c r="S456">
        <v>9.3768683350964332E-2</v>
      </c>
    </row>
    <row r="457" spans="16:19">
      <c r="P457" t="s">
        <v>124</v>
      </c>
      <c r="Q457" t="s">
        <v>142</v>
      </c>
      <c r="R457" t="s">
        <v>158</v>
      </c>
      <c r="S457">
        <v>2.1833191131877847E-2</v>
      </c>
    </row>
    <row r="458" spans="16:19">
      <c r="P458" t="s">
        <v>124</v>
      </c>
      <c r="Q458" t="s">
        <v>142</v>
      </c>
      <c r="R458" t="s">
        <v>159</v>
      </c>
      <c r="S458">
        <v>0.13580797453719495</v>
      </c>
    </row>
    <row r="459" spans="16:19">
      <c r="P459" t="s">
        <v>124</v>
      </c>
      <c r="Q459" t="s">
        <v>142</v>
      </c>
      <c r="R459" t="s">
        <v>160</v>
      </c>
      <c r="S459">
        <v>9.2366401409884252E-2</v>
      </c>
    </row>
    <row r="460" spans="16:19">
      <c r="P460" t="s">
        <v>124</v>
      </c>
      <c r="Q460" t="s">
        <v>142</v>
      </c>
      <c r="R460" t="s">
        <v>161</v>
      </c>
      <c r="S460">
        <v>2.1328103576722726E-2</v>
      </c>
    </row>
    <row r="461" spans="16:19" hidden="1">
      <c r="P461" t="s">
        <v>124</v>
      </c>
      <c r="Q461" t="s">
        <v>143</v>
      </c>
      <c r="R461" t="s">
        <v>150</v>
      </c>
      <c r="S461">
        <v>0.13408832726650732</v>
      </c>
    </row>
    <row r="462" spans="16:19" hidden="1">
      <c r="P462" t="s">
        <v>124</v>
      </c>
      <c r="Q462" t="s">
        <v>143</v>
      </c>
      <c r="R462" t="s">
        <v>151</v>
      </c>
      <c r="S462">
        <v>7.404532230353103E-2</v>
      </c>
    </row>
    <row r="463" spans="16:19" hidden="1">
      <c r="P463" t="s">
        <v>124</v>
      </c>
      <c r="Q463" t="s">
        <v>143</v>
      </c>
      <c r="R463" t="s">
        <v>152</v>
      </c>
      <c r="S463">
        <v>2.2905716898412309E-2</v>
      </c>
    </row>
    <row r="464" spans="16:19" hidden="1">
      <c r="P464" t="s">
        <v>124</v>
      </c>
      <c r="Q464" t="s">
        <v>143</v>
      </c>
      <c r="R464" t="s">
        <v>153</v>
      </c>
      <c r="S464">
        <v>0.1269227198108912</v>
      </c>
    </row>
    <row r="465" spans="16:19" hidden="1">
      <c r="P465" t="s">
        <v>124</v>
      </c>
      <c r="Q465" t="s">
        <v>143</v>
      </c>
      <c r="R465" t="s">
        <v>154</v>
      </c>
      <c r="S465">
        <v>7.0925812167082311E-2</v>
      </c>
    </row>
    <row r="466" spans="16:19" hidden="1">
      <c r="P466" t="s">
        <v>124</v>
      </c>
      <c r="Q466" t="s">
        <v>143</v>
      </c>
      <c r="R466" t="s">
        <v>155</v>
      </c>
      <c r="S466">
        <v>2.0770127385073778E-2</v>
      </c>
    </row>
    <row r="467" spans="16:19" hidden="1">
      <c r="P467" t="s">
        <v>124</v>
      </c>
      <c r="Q467" t="s">
        <v>143</v>
      </c>
      <c r="R467" t="s">
        <v>156</v>
      </c>
      <c r="S467">
        <v>0.17774781529649572</v>
      </c>
    </row>
    <row r="468" spans="16:19" hidden="1">
      <c r="P468" t="s">
        <v>124</v>
      </c>
      <c r="Q468" t="s">
        <v>143</v>
      </c>
      <c r="R468" t="s">
        <v>157</v>
      </c>
      <c r="S468">
        <v>9.5606004952311127E-2</v>
      </c>
    </row>
    <row r="469" spans="16:19" hidden="1">
      <c r="P469" t="s">
        <v>124</v>
      </c>
      <c r="Q469" t="s">
        <v>143</v>
      </c>
      <c r="R469" t="s">
        <v>158</v>
      </c>
      <c r="S469">
        <v>2.8853672632410541E-2</v>
      </c>
    </row>
    <row r="470" spans="16:19" hidden="1">
      <c r="P470" t="s">
        <v>124</v>
      </c>
      <c r="Q470" t="s">
        <v>143</v>
      </c>
      <c r="R470" t="s">
        <v>159</v>
      </c>
      <c r="S470">
        <v>0.13939037860866629</v>
      </c>
    </row>
    <row r="471" spans="16:19" hidden="1">
      <c r="P471" t="s">
        <v>124</v>
      </c>
      <c r="Q471" t="s">
        <v>143</v>
      </c>
      <c r="R471" t="s">
        <v>160</v>
      </c>
      <c r="S471">
        <v>8.4065275399012984E-2</v>
      </c>
    </row>
    <row r="472" spans="16:19" hidden="1">
      <c r="P472" t="s">
        <v>124</v>
      </c>
      <c r="Q472" t="s">
        <v>143</v>
      </c>
      <c r="R472" t="s">
        <v>161</v>
      </c>
      <c r="S472">
        <v>2.4678827279606446E-2</v>
      </c>
    </row>
    <row r="473" spans="16:19" hidden="1">
      <c r="P473" t="s">
        <v>105</v>
      </c>
      <c r="Q473" t="s">
        <v>141</v>
      </c>
      <c r="R473" t="s">
        <v>150</v>
      </c>
      <c r="S473">
        <v>0.13815526140290191</v>
      </c>
    </row>
    <row r="474" spans="16:19" hidden="1">
      <c r="P474" t="s">
        <v>105</v>
      </c>
      <c r="Q474" t="s">
        <v>141</v>
      </c>
      <c r="R474" t="s">
        <v>151</v>
      </c>
      <c r="S474">
        <v>6.3819870550378063E-2</v>
      </c>
    </row>
    <row r="475" spans="16:19" hidden="1">
      <c r="P475" t="s">
        <v>105</v>
      </c>
      <c r="Q475" t="s">
        <v>141</v>
      </c>
      <c r="R475" t="s">
        <v>152</v>
      </c>
      <c r="S475">
        <v>2.3596106394926881E-2</v>
      </c>
    </row>
    <row r="476" spans="16:19" hidden="1">
      <c r="P476" t="s">
        <v>105</v>
      </c>
      <c r="Q476" t="s">
        <v>141</v>
      </c>
      <c r="R476" t="s">
        <v>153</v>
      </c>
      <c r="S476">
        <v>0.12704221398010832</v>
      </c>
    </row>
    <row r="477" spans="16:19" hidden="1">
      <c r="P477" t="s">
        <v>105</v>
      </c>
      <c r="Q477" t="s">
        <v>141</v>
      </c>
      <c r="R477" t="s">
        <v>154</v>
      </c>
      <c r="S477">
        <v>5.9363208453865841E-2</v>
      </c>
    </row>
    <row r="478" spans="16:19" hidden="1">
      <c r="P478" t="s">
        <v>105</v>
      </c>
      <c r="Q478" t="s">
        <v>141</v>
      </c>
      <c r="R478" t="s">
        <v>155</v>
      </c>
      <c r="S478">
        <v>2.0489079295359699E-2</v>
      </c>
    </row>
    <row r="479" spans="16:19" hidden="1">
      <c r="P479" t="s">
        <v>105</v>
      </c>
      <c r="Q479" t="s">
        <v>141</v>
      </c>
      <c r="R479" t="s">
        <v>156</v>
      </c>
      <c r="S479">
        <v>0.20328299884924297</v>
      </c>
    </row>
    <row r="480" spans="16:19" hidden="1">
      <c r="P480" t="s">
        <v>105</v>
      </c>
      <c r="Q480" t="s">
        <v>141</v>
      </c>
      <c r="R480" t="s">
        <v>157</v>
      </c>
      <c r="S480">
        <v>9.120885284751748E-2</v>
      </c>
    </row>
    <row r="481" spans="16:19" hidden="1">
      <c r="P481" t="s">
        <v>105</v>
      </c>
      <c r="Q481" t="s">
        <v>141</v>
      </c>
      <c r="R481" t="s">
        <v>158</v>
      </c>
      <c r="S481">
        <v>3.1327323575182711E-2</v>
      </c>
    </row>
    <row r="482" spans="16:19" hidden="1">
      <c r="P482" t="s">
        <v>105</v>
      </c>
      <c r="Q482" t="s">
        <v>141</v>
      </c>
      <c r="R482" t="s">
        <v>159</v>
      </c>
      <c r="S482">
        <v>0.13814322914416652</v>
      </c>
    </row>
    <row r="483" spans="16:19" hidden="1">
      <c r="P483" t="s">
        <v>105</v>
      </c>
      <c r="Q483" t="s">
        <v>141</v>
      </c>
      <c r="R483" t="s">
        <v>160</v>
      </c>
      <c r="S483">
        <v>7.7470834212471473E-2</v>
      </c>
    </row>
    <row r="484" spans="16:19" hidden="1">
      <c r="P484" t="s">
        <v>105</v>
      </c>
      <c r="Q484" t="s">
        <v>141</v>
      </c>
      <c r="R484" t="s">
        <v>161</v>
      </c>
      <c r="S484">
        <v>2.6101021293877872E-2</v>
      </c>
    </row>
    <row r="485" spans="16:19">
      <c r="P485" t="s">
        <v>105</v>
      </c>
      <c r="Q485" t="s">
        <v>142</v>
      </c>
      <c r="R485" t="s">
        <v>150</v>
      </c>
      <c r="S485">
        <v>0.13546548151930415</v>
      </c>
    </row>
    <row r="486" spans="16:19">
      <c r="P486" t="s">
        <v>105</v>
      </c>
      <c r="Q486" t="s">
        <v>142</v>
      </c>
      <c r="R486" t="s">
        <v>151</v>
      </c>
      <c r="S486">
        <v>9.0938921453668775E-2</v>
      </c>
    </row>
    <row r="487" spans="16:19">
      <c r="P487" t="s">
        <v>105</v>
      </c>
      <c r="Q487" t="s">
        <v>142</v>
      </c>
      <c r="R487" t="s">
        <v>152</v>
      </c>
      <c r="S487">
        <v>2.1103193773602834E-2</v>
      </c>
    </row>
    <row r="488" spans="16:19">
      <c r="P488" t="s">
        <v>105</v>
      </c>
      <c r="Q488" t="s">
        <v>142</v>
      </c>
      <c r="R488" t="s">
        <v>153</v>
      </c>
      <c r="S488">
        <v>0.13439371275643175</v>
      </c>
    </row>
    <row r="489" spans="16:19">
      <c r="P489" t="s">
        <v>105</v>
      </c>
      <c r="Q489" t="s">
        <v>142</v>
      </c>
      <c r="R489" t="s">
        <v>154</v>
      </c>
      <c r="S489">
        <v>9.0481316004498408E-2</v>
      </c>
    </row>
    <row r="490" spans="16:19">
      <c r="P490" t="s">
        <v>105</v>
      </c>
      <c r="Q490" t="s">
        <v>142</v>
      </c>
      <c r="R490" t="s">
        <v>155</v>
      </c>
      <c r="S490">
        <v>2.0807435398355022E-2</v>
      </c>
    </row>
    <row r="491" spans="16:19">
      <c r="P491" t="s">
        <v>105</v>
      </c>
      <c r="Q491" t="s">
        <v>142</v>
      </c>
      <c r="R491" t="s">
        <v>156</v>
      </c>
      <c r="S491">
        <v>0.14163610280391642</v>
      </c>
    </row>
    <row r="492" spans="16:19">
      <c r="P492" t="s">
        <v>105</v>
      </c>
      <c r="Q492" t="s">
        <v>142</v>
      </c>
      <c r="R492" t="s">
        <v>157</v>
      </c>
      <c r="S492">
        <v>9.3751714807469688E-2</v>
      </c>
    </row>
    <row r="493" spans="16:19">
      <c r="P493" t="s">
        <v>105</v>
      </c>
      <c r="Q493" t="s">
        <v>142</v>
      </c>
      <c r="R493" t="s">
        <v>158</v>
      </c>
      <c r="S493">
        <v>2.189758655562242E-2</v>
      </c>
    </row>
    <row r="494" spans="16:19">
      <c r="P494" t="s">
        <v>105</v>
      </c>
      <c r="Q494" t="s">
        <v>142</v>
      </c>
      <c r="R494" t="s">
        <v>159</v>
      </c>
      <c r="S494">
        <v>0.13583839128218012</v>
      </c>
    </row>
    <row r="495" spans="16:19">
      <c r="P495" t="s">
        <v>105</v>
      </c>
      <c r="Q495" t="s">
        <v>142</v>
      </c>
      <c r="R495" t="s">
        <v>160</v>
      </c>
      <c r="S495">
        <v>9.23383888562508E-2</v>
      </c>
    </row>
    <row r="496" spans="16:19">
      <c r="P496" t="s">
        <v>105</v>
      </c>
      <c r="Q496" t="s">
        <v>142</v>
      </c>
      <c r="R496" t="s">
        <v>161</v>
      </c>
      <c r="S496">
        <v>2.1347754788699155E-2</v>
      </c>
    </row>
    <row r="497" spans="16:19" hidden="1">
      <c r="P497" t="s">
        <v>105</v>
      </c>
      <c r="Q497" t="s">
        <v>143</v>
      </c>
      <c r="R497" t="s">
        <v>150</v>
      </c>
      <c r="S497">
        <v>0.13307095111950293</v>
      </c>
    </row>
    <row r="498" spans="16:19" hidden="1">
      <c r="P498" t="s">
        <v>105</v>
      </c>
      <c r="Q498" t="s">
        <v>143</v>
      </c>
      <c r="R498" t="s">
        <v>151</v>
      </c>
      <c r="S498">
        <v>7.1226323028438648E-2</v>
      </c>
    </row>
    <row r="499" spans="16:19" hidden="1">
      <c r="P499" t="s">
        <v>105</v>
      </c>
      <c r="Q499" t="s">
        <v>143</v>
      </c>
      <c r="R499" t="s">
        <v>152</v>
      </c>
      <c r="S499">
        <v>2.3131860818558198E-2</v>
      </c>
    </row>
    <row r="500" spans="16:19" hidden="1">
      <c r="P500" t="s">
        <v>105</v>
      </c>
      <c r="Q500" t="s">
        <v>143</v>
      </c>
      <c r="R500" t="s">
        <v>153</v>
      </c>
      <c r="S500">
        <v>0.12411550727606092</v>
      </c>
    </row>
    <row r="501" spans="16:19" hidden="1">
      <c r="P501" t="s">
        <v>105</v>
      </c>
      <c r="Q501" t="s">
        <v>143</v>
      </c>
      <c r="R501" t="s">
        <v>154</v>
      </c>
      <c r="S501">
        <v>6.7047205555097661E-2</v>
      </c>
    </row>
    <row r="502" spans="16:19" hidden="1">
      <c r="P502" t="s">
        <v>105</v>
      </c>
      <c r="Q502" t="s">
        <v>143</v>
      </c>
      <c r="R502" t="s">
        <v>155</v>
      </c>
      <c r="S502">
        <v>2.0710334792429359E-2</v>
      </c>
    </row>
    <row r="503" spans="16:19" hidden="1">
      <c r="P503" t="s">
        <v>105</v>
      </c>
      <c r="Q503" t="s">
        <v>143</v>
      </c>
      <c r="R503" t="s">
        <v>156</v>
      </c>
      <c r="S503">
        <v>0.18321855290875111</v>
      </c>
    </row>
    <row r="504" spans="16:19" hidden="1">
      <c r="P504" t="s">
        <v>105</v>
      </c>
      <c r="Q504" t="s">
        <v>143</v>
      </c>
      <c r="R504" t="s">
        <v>157</v>
      </c>
      <c r="S504">
        <v>9.6920636587307554E-2</v>
      </c>
    </row>
    <row r="505" spans="16:19" hidden="1">
      <c r="P505" t="s">
        <v>105</v>
      </c>
      <c r="Q505" t="s">
        <v>143</v>
      </c>
      <c r="R505" t="s">
        <v>158</v>
      </c>
      <c r="S505">
        <v>3.0393434874817358E-2</v>
      </c>
    </row>
    <row r="506" spans="16:19" hidden="1">
      <c r="P506" t="s">
        <v>105</v>
      </c>
      <c r="Q506" t="s">
        <v>143</v>
      </c>
      <c r="R506" t="s">
        <v>159</v>
      </c>
      <c r="S506">
        <v>0.1409710651017593</v>
      </c>
    </row>
    <row r="507" spans="16:19" hidden="1">
      <c r="P507" t="s">
        <v>105</v>
      </c>
      <c r="Q507" t="s">
        <v>143</v>
      </c>
      <c r="R507" t="s">
        <v>160</v>
      </c>
      <c r="S507">
        <v>8.3980647475107237E-2</v>
      </c>
    </row>
    <row r="508" spans="16:19" hidden="1">
      <c r="P508" t="s">
        <v>105</v>
      </c>
      <c r="Q508" t="s">
        <v>143</v>
      </c>
      <c r="R508" t="s">
        <v>161</v>
      </c>
      <c r="S508">
        <v>2.5213480462169074E-2</v>
      </c>
    </row>
    <row r="509" spans="16:19" hidden="1">
      <c r="P509" t="s">
        <v>51</v>
      </c>
      <c r="Q509" t="s">
        <v>141</v>
      </c>
      <c r="R509" t="s">
        <v>150</v>
      </c>
      <c r="S509">
        <v>0.13823389731667604</v>
      </c>
    </row>
    <row r="510" spans="16:19" hidden="1">
      <c r="P510" t="s">
        <v>51</v>
      </c>
      <c r="Q510" t="s">
        <v>141</v>
      </c>
      <c r="R510" t="s">
        <v>151</v>
      </c>
      <c r="S510">
        <v>6.2961258134149836E-2</v>
      </c>
    </row>
    <row r="511" spans="16:19" hidden="1">
      <c r="P511" t="s">
        <v>51</v>
      </c>
      <c r="Q511" t="s">
        <v>141</v>
      </c>
      <c r="R511" t="s">
        <v>152</v>
      </c>
      <c r="S511">
        <v>2.3675311183571884E-2</v>
      </c>
    </row>
    <row r="512" spans="16:19" hidden="1">
      <c r="P512" t="s">
        <v>51</v>
      </c>
      <c r="Q512" t="s">
        <v>141</v>
      </c>
      <c r="R512" t="s">
        <v>153</v>
      </c>
      <c r="S512">
        <v>0.12680171638840401</v>
      </c>
    </row>
    <row r="513" spans="16:19" hidden="1">
      <c r="P513" t="s">
        <v>51</v>
      </c>
      <c r="Q513" t="s">
        <v>141</v>
      </c>
      <c r="R513" t="s">
        <v>154</v>
      </c>
      <c r="S513">
        <v>5.8376398518088332E-2</v>
      </c>
    </row>
    <row r="514" spans="16:19" hidden="1">
      <c r="P514" t="s">
        <v>51</v>
      </c>
      <c r="Q514" t="s">
        <v>141</v>
      </c>
      <c r="R514" t="s">
        <v>155</v>
      </c>
      <c r="S514">
        <v>2.047928788691759E-2</v>
      </c>
    </row>
    <row r="515" spans="16:19" hidden="1">
      <c r="P515" t="s">
        <v>51</v>
      </c>
      <c r="Q515" t="s">
        <v>141</v>
      </c>
      <c r="R515" t="s">
        <v>156</v>
      </c>
      <c r="S515">
        <v>0.20522882741196391</v>
      </c>
    </row>
    <row r="516" spans="16:19" hidden="1">
      <c r="P516" t="s">
        <v>51</v>
      </c>
      <c r="Q516" t="s">
        <v>141</v>
      </c>
      <c r="R516" t="s">
        <v>157</v>
      </c>
      <c r="S516">
        <v>9.1136055711753122E-2</v>
      </c>
    </row>
    <row r="517" spans="16:19" hidden="1">
      <c r="P517" t="s">
        <v>51</v>
      </c>
      <c r="Q517" t="s">
        <v>141</v>
      </c>
      <c r="R517" t="s">
        <v>158</v>
      </c>
      <c r="S517">
        <v>3.162857611507007E-2</v>
      </c>
    </row>
    <row r="518" spans="16:19" hidden="1">
      <c r="P518" t="s">
        <v>51</v>
      </c>
      <c r="Q518" t="s">
        <v>141</v>
      </c>
      <c r="R518" t="s">
        <v>159</v>
      </c>
      <c r="S518">
        <v>0.13822236508514041</v>
      </c>
    </row>
    <row r="519" spans="16:19" hidden="1">
      <c r="P519" t="s">
        <v>51</v>
      </c>
      <c r="Q519" t="s">
        <v>141</v>
      </c>
      <c r="R519" t="s">
        <v>160</v>
      </c>
      <c r="S519">
        <v>7.7004077395263493E-2</v>
      </c>
    </row>
    <row r="520" spans="16:19" hidden="1">
      <c r="P520" t="s">
        <v>51</v>
      </c>
      <c r="Q520" t="s">
        <v>141</v>
      </c>
      <c r="R520" t="s">
        <v>161</v>
      </c>
      <c r="S520">
        <v>2.6252228853000329E-2</v>
      </c>
    </row>
    <row r="521" spans="16:19">
      <c r="P521" t="s">
        <v>51</v>
      </c>
      <c r="Q521" t="s">
        <v>142</v>
      </c>
      <c r="R521" t="s">
        <v>150</v>
      </c>
      <c r="S521">
        <v>0.135465466135027</v>
      </c>
    </row>
    <row r="522" spans="16:19">
      <c r="P522" t="s">
        <v>51</v>
      </c>
      <c r="Q522" t="s">
        <v>142</v>
      </c>
      <c r="R522" t="s">
        <v>151</v>
      </c>
      <c r="S522">
        <v>9.0938910539499401E-2</v>
      </c>
    </row>
    <row r="523" spans="16:19">
      <c r="P523" t="s">
        <v>51</v>
      </c>
      <c r="Q523" t="s">
        <v>142</v>
      </c>
      <c r="R523" t="s">
        <v>152</v>
      </c>
      <c r="S523">
        <v>2.110318656457422E-2</v>
      </c>
    </row>
    <row r="524" spans="16:19">
      <c r="P524" t="s">
        <v>51</v>
      </c>
      <c r="Q524" t="s">
        <v>142</v>
      </c>
      <c r="R524" t="s">
        <v>153</v>
      </c>
      <c r="S524">
        <v>0.1343937358643337</v>
      </c>
    </row>
    <row r="525" spans="16:19">
      <c r="P525" t="s">
        <v>51</v>
      </c>
      <c r="Q525" t="s">
        <v>142</v>
      </c>
      <c r="R525" t="s">
        <v>154</v>
      </c>
      <c r="S525">
        <v>9.0481270690974613E-2</v>
      </c>
    </row>
    <row r="526" spans="16:19">
      <c r="P526" t="s">
        <v>51</v>
      </c>
      <c r="Q526" t="s">
        <v>142</v>
      </c>
      <c r="R526" t="s">
        <v>155</v>
      </c>
      <c r="S526">
        <v>2.0807446128727224E-2</v>
      </c>
    </row>
    <row r="527" spans="16:19">
      <c r="P527" t="s">
        <v>51</v>
      </c>
      <c r="Q527" t="s">
        <v>142</v>
      </c>
      <c r="R527" t="s">
        <v>156</v>
      </c>
      <c r="S527">
        <v>0.14163607801167569</v>
      </c>
    </row>
    <row r="528" spans="16:19">
      <c r="P528" t="s">
        <v>51</v>
      </c>
      <c r="Q528" t="s">
        <v>142</v>
      </c>
      <c r="R528" t="s">
        <v>157</v>
      </c>
      <c r="S528">
        <v>9.3751722334177473E-2</v>
      </c>
    </row>
    <row r="529" spans="16:19">
      <c r="P529" t="s">
        <v>51</v>
      </c>
      <c r="Q529" t="s">
        <v>142</v>
      </c>
      <c r="R529" t="s">
        <v>158</v>
      </c>
      <c r="S529">
        <v>2.189761059431344E-2</v>
      </c>
    </row>
    <row r="530" spans="16:19">
      <c r="P530" t="s">
        <v>51</v>
      </c>
      <c r="Q530" t="s">
        <v>142</v>
      </c>
      <c r="R530" t="s">
        <v>159</v>
      </c>
      <c r="S530">
        <v>0.13583840889557841</v>
      </c>
    </row>
    <row r="531" spans="16:19">
      <c r="P531" t="s">
        <v>51</v>
      </c>
      <c r="Q531" t="s">
        <v>142</v>
      </c>
      <c r="R531" t="s">
        <v>160</v>
      </c>
      <c r="S531">
        <v>9.2338406223350836E-2</v>
      </c>
    </row>
    <row r="532" spans="16:19">
      <c r="P532" t="s">
        <v>51</v>
      </c>
      <c r="Q532" t="s">
        <v>142</v>
      </c>
      <c r="R532" t="s">
        <v>161</v>
      </c>
      <c r="S532">
        <v>2.1347758017768319E-2</v>
      </c>
    </row>
    <row r="533" spans="16:19" hidden="1">
      <c r="P533" t="s">
        <v>51</v>
      </c>
      <c r="Q533" t="s">
        <v>143</v>
      </c>
      <c r="R533" t="s">
        <v>150</v>
      </c>
      <c r="S533">
        <v>0.12971058205406447</v>
      </c>
    </row>
    <row r="534" spans="16:19" hidden="1">
      <c r="P534" t="s">
        <v>51</v>
      </c>
      <c r="Q534" t="s">
        <v>143</v>
      </c>
      <c r="R534" t="s">
        <v>151</v>
      </c>
      <c r="S534">
        <v>7.545833336849829E-2</v>
      </c>
    </row>
    <row r="535" spans="16:19" hidden="1">
      <c r="P535" t="s">
        <v>51</v>
      </c>
      <c r="Q535" t="s">
        <v>143</v>
      </c>
      <c r="R535" t="s">
        <v>152</v>
      </c>
      <c r="S535">
        <v>2.2889067025224346E-2</v>
      </c>
    </row>
    <row r="536" spans="16:19" hidden="1">
      <c r="P536" t="s">
        <v>51</v>
      </c>
      <c r="Q536" t="s">
        <v>143</v>
      </c>
      <c r="R536" t="s">
        <v>153</v>
      </c>
      <c r="S536">
        <v>0.12192926805553861</v>
      </c>
    </row>
    <row r="537" spans="16:19" hidden="1">
      <c r="P537" t="s">
        <v>51</v>
      </c>
      <c r="Q537" t="s">
        <v>143</v>
      </c>
      <c r="R537" t="s">
        <v>154</v>
      </c>
      <c r="S537">
        <v>7.1352451254418914E-2</v>
      </c>
    </row>
    <row r="538" spans="16:19" hidden="1">
      <c r="P538" t="s">
        <v>51</v>
      </c>
      <c r="Q538" t="s">
        <v>143</v>
      </c>
      <c r="R538" t="s">
        <v>155</v>
      </c>
      <c r="S538">
        <v>2.0850953386103498E-2</v>
      </c>
    </row>
    <row r="539" spans="16:19" hidden="1">
      <c r="P539" t="s">
        <v>51</v>
      </c>
      <c r="Q539" t="s">
        <v>143</v>
      </c>
      <c r="R539" t="s">
        <v>156</v>
      </c>
      <c r="S539">
        <v>0.1714176256454128</v>
      </c>
    </row>
    <row r="540" spans="16:19" hidden="1">
      <c r="P540" t="s">
        <v>51</v>
      </c>
      <c r="Q540" t="s">
        <v>143</v>
      </c>
      <c r="R540" t="s">
        <v>157</v>
      </c>
      <c r="S540">
        <v>0.10070854838916811</v>
      </c>
    </row>
    <row r="541" spans="16:19" hidden="1">
      <c r="P541" t="s">
        <v>51</v>
      </c>
      <c r="Q541" t="s">
        <v>143</v>
      </c>
      <c r="R541" t="s">
        <v>158</v>
      </c>
      <c r="S541">
        <v>3.0031474475737716E-2</v>
      </c>
    </row>
    <row r="542" spans="16:19" hidden="1">
      <c r="P542" t="s">
        <v>51</v>
      </c>
      <c r="Q542" t="s">
        <v>143</v>
      </c>
      <c r="R542" t="s">
        <v>159</v>
      </c>
      <c r="S542">
        <v>0.14294625192499461</v>
      </c>
    </row>
    <row r="543" spans="16:19" hidden="1">
      <c r="P543" t="s">
        <v>51</v>
      </c>
      <c r="Q543" t="s">
        <v>143</v>
      </c>
      <c r="R543" t="s">
        <v>160</v>
      </c>
      <c r="S543">
        <v>8.795639706066305E-2</v>
      </c>
    </row>
    <row r="544" spans="16:19" hidden="1">
      <c r="P544" t="s">
        <v>51</v>
      </c>
      <c r="Q544" t="s">
        <v>143</v>
      </c>
      <c r="R544" t="s">
        <v>161</v>
      </c>
      <c r="S544">
        <v>2.4749047360175913E-2</v>
      </c>
    </row>
    <row r="545" spans="16:19" hidden="1">
      <c r="P545" t="s">
        <v>125</v>
      </c>
      <c r="Q545" t="s">
        <v>141</v>
      </c>
      <c r="R545" t="s">
        <v>150</v>
      </c>
      <c r="S545">
        <v>0.14098170745962096</v>
      </c>
    </row>
    <row r="546" spans="16:19" hidden="1">
      <c r="P546" t="s">
        <v>125</v>
      </c>
      <c r="Q546" t="s">
        <v>141</v>
      </c>
      <c r="R546" t="s">
        <v>151</v>
      </c>
      <c r="S546">
        <v>7.2737332407250693E-2</v>
      </c>
    </row>
    <row r="547" spans="16:19" hidden="1">
      <c r="P547" t="s">
        <v>125</v>
      </c>
      <c r="Q547" t="s">
        <v>141</v>
      </c>
      <c r="R547" t="s">
        <v>152</v>
      </c>
      <c r="S547">
        <v>2.4957439809399542E-2</v>
      </c>
    </row>
    <row r="548" spans="16:19" hidden="1">
      <c r="P548" t="s">
        <v>125</v>
      </c>
      <c r="Q548" t="s">
        <v>141</v>
      </c>
      <c r="R548" t="s">
        <v>153</v>
      </c>
      <c r="S548">
        <v>0.1299481124481256</v>
      </c>
    </row>
    <row r="549" spans="16:19" hidden="1">
      <c r="P549" t="s">
        <v>125</v>
      </c>
      <c r="Q549" t="s">
        <v>141</v>
      </c>
      <c r="R549" t="s">
        <v>154</v>
      </c>
      <c r="S549">
        <v>6.9730790664818174E-2</v>
      </c>
    </row>
    <row r="550" spans="16:19" hidden="1">
      <c r="P550" t="s">
        <v>125</v>
      </c>
      <c r="Q550" t="s">
        <v>141</v>
      </c>
      <c r="R550" t="s">
        <v>155</v>
      </c>
      <c r="S550">
        <v>2.1826870617958544E-2</v>
      </c>
    </row>
    <row r="551" spans="16:19" hidden="1">
      <c r="P551" t="s">
        <v>125</v>
      </c>
      <c r="Q551" t="s">
        <v>141</v>
      </c>
      <c r="R551" t="s">
        <v>156</v>
      </c>
      <c r="S551">
        <v>0.16089888506772393</v>
      </c>
    </row>
    <row r="552" spans="16:19" hidden="1">
      <c r="P552" t="s">
        <v>125</v>
      </c>
      <c r="Q552" t="s">
        <v>141</v>
      </c>
      <c r="R552" t="s">
        <v>157</v>
      </c>
      <c r="S552">
        <v>8.0297885803844782E-2</v>
      </c>
    </row>
    <row r="553" spans="16:19" hidden="1">
      <c r="P553" t="s">
        <v>125</v>
      </c>
      <c r="Q553" t="s">
        <v>141</v>
      </c>
      <c r="R553" t="s">
        <v>158</v>
      </c>
      <c r="S553">
        <v>2.5150416231140085E-2</v>
      </c>
    </row>
    <row r="554" spans="16:19" hidden="1">
      <c r="P554" t="s">
        <v>125</v>
      </c>
      <c r="Q554" t="s">
        <v>141</v>
      </c>
      <c r="R554" t="s">
        <v>159</v>
      </c>
      <c r="S554">
        <v>0.15632483794352908</v>
      </c>
    </row>
    <row r="555" spans="16:19" hidden="1">
      <c r="P555" t="s">
        <v>125</v>
      </c>
      <c r="Q555" t="s">
        <v>141</v>
      </c>
      <c r="R555" t="s">
        <v>160</v>
      </c>
      <c r="S555">
        <v>8.8513669009355408E-2</v>
      </c>
    </row>
    <row r="556" spans="16:19" hidden="1">
      <c r="P556" t="s">
        <v>125</v>
      </c>
      <c r="Q556" t="s">
        <v>141</v>
      </c>
      <c r="R556" t="s">
        <v>161</v>
      </c>
      <c r="S556">
        <v>2.8632052537231743E-2</v>
      </c>
    </row>
    <row r="557" spans="16:19">
      <c r="P557" t="s">
        <v>125</v>
      </c>
      <c r="Q557" t="s">
        <v>142</v>
      </c>
      <c r="R557" t="s">
        <v>150</v>
      </c>
      <c r="S557">
        <v>0.13576761496208589</v>
      </c>
    </row>
    <row r="558" spans="16:19">
      <c r="P558" t="s">
        <v>125</v>
      </c>
      <c r="Q558" t="s">
        <v>142</v>
      </c>
      <c r="R558" t="s">
        <v>151</v>
      </c>
      <c r="S558">
        <v>9.139082327317806E-2</v>
      </c>
    </row>
    <row r="559" spans="16:19">
      <c r="P559" t="s">
        <v>125</v>
      </c>
      <c r="Q559" t="s">
        <v>142</v>
      </c>
      <c r="R559" t="s">
        <v>152</v>
      </c>
      <c r="S559">
        <v>2.1264869952270445E-2</v>
      </c>
    </row>
    <row r="560" spans="16:19">
      <c r="P560" t="s">
        <v>125</v>
      </c>
      <c r="Q560" t="s">
        <v>142</v>
      </c>
      <c r="R560" t="s">
        <v>153</v>
      </c>
      <c r="S560">
        <v>0.13454610311250587</v>
      </c>
    </row>
    <row r="561" spans="16:19">
      <c r="P561" t="s">
        <v>125</v>
      </c>
      <c r="Q561" t="s">
        <v>142</v>
      </c>
      <c r="R561" t="s">
        <v>154</v>
      </c>
      <c r="S561">
        <v>9.0994323600367175E-2</v>
      </c>
    </row>
    <row r="562" spans="16:19">
      <c r="P562" t="s">
        <v>125</v>
      </c>
      <c r="Q562" t="s">
        <v>142</v>
      </c>
      <c r="R562" t="s">
        <v>155</v>
      </c>
      <c r="S562">
        <v>2.0926527441002044E-2</v>
      </c>
    </row>
    <row r="563" spans="16:19">
      <c r="P563" t="s">
        <v>125</v>
      </c>
      <c r="Q563" t="s">
        <v>142</v>
      </c>
      <c r="R563" t="s">
        <v>156</v>
      </c>
      <c r="S563">
        <v>0.13867239664118217</v>
      </c>
    </row>
    <row r="564" spans="16:19">
      <c r="P564" t="s">
        <v>125</v>
      </c>
      <c r="Q564" t="s">
        <v>142</v>
      </c>
      <c r="R564" t="s">
        <v>157</v>
      </c>
      <c r="S564">
        <v>9.2651006709661976E-2</v>
      </c>
    </row>
    <row r="565" spans="16:19">
      <c r="P565" t="s">
        <v>125</v>
      </c>
      <c r="Q565" t="s">
        <v>142</v>
      </c>
      <c r="R565" t="s">
        <v>158</v>
      </c>
      <c r="S565">
        <v>2.1460882377267159E-2</v>
      </c>
    </row>
    <row r="566" spans="16:19">
      <c r="P566" t="s">
        <v>125</v>
      </c>
      <c r="Q566" t="s">
        <v>142</v>
      </c>
      <c r="R566" t="s">
        <v>159</v>
      </c>
      <c r="S566">
        <v>0.13746671767913562</v>
      </c>
    </row>
    <row r="567" spans="16:19">
      <c r="P567" t="s">
        <v>125</v>
      </c>
      <c r="Q567" t="s">
        <v>142</v>
      </c>
      <c r="R567" t="s">
        <v>160</v>
      </c>
      <c r="S567">
        <v>9.3202708688367372E-2</v>
      </c>
    </row>
    <row r="568" spans="16:19">
      <c r="P568" t="s">
        <v>125</v>
      </c>
      <c r="Q568" t="s">
        <v>142</v>
      </c>
      <c r="R568" t="s">
        <v>161</v>
      </c>
      <c r="S568">
        <v>2.165602556297485E-2</v>
      </c>
    </row>
    <row r="569" spans="16:19" hidden="1">
      <c r="P569" t="s">
        <v>125</v>
      </c>
      <c r="Q569" t="s">
        <v>143</v>
      </c>
      <c r="R569" t="s">
        <v>150</v>
      </c>
      <c r="S569">
        <v>0.13668953385953311</v>
      </c>
    </row>
    <row r="570" spans="16:19" hidden="1">
      <c r="P570" t="s">
        <v>125</v>
      </c>
      <c r="Q570" t="s">
        <v>143</v>
      </c>
      <c r="R570" t="s">
        <v>151</v>
      </c>
      <c r="S570">
        <v>7.7118695895060776E-2</v>
      </c>
    </row>
    <row r="571" spans="16:19" hidden="1">
      <c r="P571" t="s">
        <v>125</v>
      </c>
      <c r="Q571" t="s">
        <v>143</v>
      </c>
      <c r="R571" t="s">
        <v>152</v>
      </c>
      <c r="S571">
        <v>2.4336336663129003E-2</v>
      </c>
    </row>
    <row r="572" spans="16:19" hidden="1">
      <c r="P572" t="s">
        <v>125</v>
      </c>
      <c r="Q572" t="s">
        <v>143</v>
      </c>
      <c r="R572" t="s">
        <v>153</v>
      </c>
      <c r="S572">
        <v>0.12807494437051278</v>
      </c>
    </row>
    <row r="573" spans="16:19" hidden="1">
      <c r="P573" t="s">
        <v>125</v>
      </c>
      <c r="Q573" t="s">
        <v>143</v>
      </c>
      <c r="R573" t="s">
        <v>154</v>
      </c>
      <c r="S573">
        <v>7.4727009186797672E-2</v>
      </c>
    </row>
    <row r="574" spans="16:19" hidden="1">
      <c r="P574" t="s">
        <v>125</v>
      </c>
      <c r="Q574" t="s">
        <v>143</v>
      </c>
      <c r="R574" t="s">
        <v>155</v>
      </c>
      <c r="S574">
        <v>2.182655151980974E-2</v>
      </c>
    </row>
    <row r="575" spans="16:19" hidden="1">
      <c r="P575" t="s">
        <v>125</v>
      </c>
      <c r="Q575" t="s">
        <v>143</v>
      </c>
      <c r="R575" t="s">
        <v>156</v>
      </c>
      <c r="S575">
        <v>0.15159114415555461</v>
      </c>
    </row>
    <row r="576" spans="16:19" hidden="1">
      <c r="P576" t="s">
        <v>125</v>
      </c>
      <c r="Q576" t="s">
        <v>143</v>
      </c>
      <c r="R576" t="s">
        <v>157</v>
      </c>
      <c r="S576">
        <v>8.393459081079338E-2</v>
      </c>
    </row>
    <row r="577" spans="16:19" hidden="1">
      <c r="P577" t="s">
        <v>125</v>
      </c>
      <c r="Q577" t="s">
        <v>143</v>
      </c>
      <c r="R577" t="s">
        <v>158</v>
      </c>
      <c r="S577">
        <v>2.4815941649558998E-2</v>
      </c>
    </row>
    <row r="578" spans="16:19" hidden="1">
      <c r="P578" t="s">
        <v>125</v>
      </c>
      <c r="Q578" t="s">
        <v>143</v>
      </c>
      <c r="R578" t="s">
        <v>159</v>
      </c>
      <c r="S578">
        <v>0.15517782155340934</v>
      </c>
    </row>
    <row r="579" spans="16:19" hidden="1">
      <c r="P579" t="s">
        <v>125</v>
      </c>
      <c r="Q579" t="s">
        <v>143</v>
      </c>
      <c r="R579" t="s">
        <v>160</v>
      </c>
      <c r="S579">
        <v>9.3771125732485194E-2</v>
      </c>
    </row>
    <row r="580" spans="16:19" hidden="1">
      <c r="P580" t="s">
        <v>125</v>
      </c>
      <c r="Q580" t="s">
        <v>143</v>
      </c>
      <c r="R580" t="s">
        <v>161</v>
      </c>
      <c r="S580">
        <v>2.7936304603353605E-2</v>
      </c>
    </row>
    <row r="581" spans="16:19" hidden="1">
      <c r="P581" t="s">
        <v>112</v>
      </c>
      <c r="Q581" t="s">
        <v>141</v>
      </c>
      <c r="R581" t="s">
        <v>150</v>
      </c>
      <c r="S581">
        <v>0.13718215694555971</v>
      </c>
    </row>
    <row r="582" spans="16:19" hidden="1">
      <c r="P582" t="s">
        <v>112</v>
      </c>
      <c r="Q582" t="s">
        <v>141</v>
      </c>
      <c r="R582" t="s">
        <v>151</v>
      </c>
      <c r="S582">
        <v>7.4459052454048977E-2</v>
      </c>
    </row>
    <row r="583" spans="16:19" hidden="1">
      <c r="P583" t="s">
        <v>112</v>
      </c>
      <c r="Q583" t="s">
        <v>141</v>
      </c>
      <c r="R583" t="s">
        <v>152</v>
      </c>
      <c r="S583">
        <v>2.2613964481465246E-2</v>
      </c>
    </row>
    <row r="584" spans="16:19" hidden="1">
      <c r="P584" t="s">
        <v>112</v>
      </c>
      <c r="Q584" t="s">
        <v>141</v>
      </c>
      <c r="R584" t="s">
        <v>153</v>
      </c>
      <c r="S584">
        <v>0.1300190802830988</v>
      </c>
    </row>
    <row r="585" spans="16:19" hidden="1">
      <c r="P585" t="s">
        <v>112</v>
      </c>
      <c r="Q585" t="s">
        <v>141</v>
      </c>
      <c r="R585" t="s">
        <v>154</v>
      </c>
      <c r="S585">
        <v>7.1586793454454969E-2</v>
      </c>
    </row>
    <row r="586" spans="16:19" hidden="1">
      <c r="P586" t="s">
        <v>112</v>
      </c>
      <c r="Q586" t="s">
        <v>141</v>
      </c>
      <c r="R586" t="s">
        <v>155</v>
      </c>
      <c r="S586">
        <v>2.0611458976963634E-2</v>
      </c>
    </row>
    <row r="587" spans="16:19" hidden="1">
      <c r="P587" t="s">
        <v>112</v>
      </c>
      <c r="Q587" t="s">
        <v>141</v>
      </c>
      <c r="R587" t="s">
        <v>156</v>
      </c>
      <c r="S587">
        <v>0.17915817413673737</v>
      </c>
    </row>
    <row r="588" spans="16:19" hidden="1">
      <c r="P588" t="s">
        <v>112</v>
      </c>
      <c r="Q588" t="s">
        <v>141</v>
      </c>
      <c r="R588" t="s">
        <v>157</v>
      </c>
      <c r="S588">
        <v>9.2111990018592022E-2</v>
      </c>
    </row>
    <row r="589" spans="16:19" hidden="1">
      <c r="P589" t="s">
        <v>112</v>
      </c>
      <c r="Q589" t="s">
        <v>141</v>
      </c>
      <c r="R589" t="s">
        <v>158</v>
      </c>
      <c r="S589">
        <v>2.75970604986874E-2</v>
      </c>
    </row>
    <row r="590" spans="16:19" hidden="1">
      <c r="P590" t="s">
        <v>112</v>
      </c>
      <c r="Q590" t="s">
        <v>141</v>
      </c>
      <c r="R590" t="s">
        <v>159</v>
      </c>
      <c r="S590">
        <v>0.13717421175191546</v>
      </c>
    </row>
    <row r="591" spans="16:19" hidden="1">
      <c r="P591" t="s">
        <v>112</v>
      </c>
      <c r="Q591" t="s">
        <v>141</v>
      </c>
      <c r="R591" t="s">
        <v>160</v>
      </c>
      <c r="S591">
        <v>8.3257587011632828E-2</v>
      </c>
    </row>
    <row r="592" spans="16:19" hidden="1">
      <c r="P592" t="s">
        <v>112</v>
      </c>
      <c r="Q592" t="s">
        <v>141</v>
      </c>
      <c r="R592" t="s">
        <v>161</v>
      </c>
      <c r="S592">
        <v>2.4228469986843335E-2</v>
      </c>
    </row>
    <row r="593" spans="16:19">
      <c r="P593" t="s">
        <v>112</v>
      </c>
      <c r="Q593" t="s">
        <v>142</v>
      </c>
      <c r="R593" t="s">
        <v>150</v>
      </c>
      <c r="S593">
        <v>0.13546551252590958</v>
      </c>
    </row>
    <row r="594" spans="16:19">
      <c r="P594" t="s">
        <v>112</v>
      </c>
      <c r="Q594" t="s">
        <v>142</v>
      </c>
      <c r="R594" t="s">
        <v>151</v>
      </c>
      <c r="S594">
        <v>9.0938901550058585E-2</v>
      </c>
    </row>
    <row r="595" spans="16:19">
      <c r="P595" t="s">
        <v>112</v>
      </c>
      <c r="Q595" t="s">
        <v>142</v>
      </c>
      <c r="R595" t="s">
        <v>152</v>
      </c>
      <c r="S595">
        <v>2.1103185957188488E-2</v>
      </c>
    </row>
    <row r="596" spans="16:19">
      <c r="P596" t="s">
        <v>112</v>
      </c>
      <c r="Q596" t="s">
        <v>142</v>
      </c>
      <c r="R596" t="s">
        <v>153</v>
      </c>
      <c r="S596">
        <v>0.13439373036764887</v>
      </c>
    </row>
    <row r="597" spans="16:19">
      <c r="P597" t="s">
        <v>112</v>
      </c>
      <c r="Q597" t="s">
        <v>142</v>
      </c>
      <c r="R597" t="s">
        <v>154</v>
      </c>
      <c r="S597">
        <v>9.0481325486476569E-2</v>
      </c>
    </row>
    <row r="598" spans="16:19">
      <c r="P598" t="s">
        <v>112</v>
      </c>
      <c r="Q598" t="s">
        <v>142</v>
      </c>
      <c r="R598" t="s">
        <v>155</v>
      </c>
      <c r="S598">
        <v>2.0807438701822271E-2</v>
      </c>
    </row>
    <row r="599" spans="16:19">
      <c r="P599" t="s">
        <v>112</v>
      </c>
      <c r="Q599" t="s">
        <v>142</v>
      </c>
      <c r="R599" t="s">
        <v>156</v>
      </c>
      <c r="S599">
        <v>0.14163606957344729</v>
      </c>
    </row>
    <row r="600" spans="16:19">
      <c r="P600" t="s">
        <v>112</v>
      </c>
      <c r="Q600" t="s">
        <v>142</v>
      </c>
      <c r="R600" t="s">
        <v>157</v>
      </c>
      <c r="S600">
        <v>9.375169370206668E-2</v>
      </c>
    </row>
    <row r="601" spans="16:19">
      <c r="P601" t="s">
        <v>112</v>
      </c>
      <c r="Q601" t="s">
        <v>142</v>
      </c>
      <c r="R601" t="s">
        <v>158</v>
      </c>
      <c r="S601">
        <v>2.1897594731240751E-2</v>
      </c>
    </row>
    <row r="602" spans="16:19">
      <c r="P602" t="s">
        <v>112</v>
      </c>
      <c r="Q602" t="s">
        <v>142</v>
      </c>
      <c r="R602" t="s">
        <v>159</v>
      </c>
      <c r="S602">
        <v>0.13583841006560557</v>
      </c>
    </row>
    <row r="603" spans="16:19">
      <c r="P603" t="s">
        <v>112</v>
      </c>
      <c r="Q603" t="s">
        <v>142</v>
      </c>
      <c r="R603" t="s">
        <v>160</v>
      </c>
      <c r="S603">
        <v>9.2338387517326925E-2</v>
      </c>
    </row>
    <row r="604" spans="16:19">
      <c r="P604" t="s">
        <v>112</v>
      </c>
      <c r="Q604" t="s">
        <v>142</v>
      </c>
      <c r="R604" t="s">
        <v>161</v>
      </c>
      <c r="S604">
        <v>2.1347749821208357E-2</v>
      </c>
    </row>
    <row r="605" spans="16:19" hidden="1">
      <c r="P605" t="s">
        <v>112</v>
      </c>
      <c r="Q605" t="s">
        <v>143</v>
      </c>
      <c r="R605" t="s">
        <v>150</v>
      </c>
      <c r="S605">
        <v>0.13426376113761299</v>
      </c>
    </row>
    <row r="606" spans="16:19" hidden="1">
      <c r="P606" t="s">
        <v>112</v>
      </c>
      <c r="Q606" t="s">
        <v>143</v>
      </c>
      <c r="R606" t="s">
        <v>151</v>
      </c>
      <c r="S606">
        <v>7.7951974142339078E-2</v>
      </c>
    </row>
    <row r="607" spans="16:19" hidden="1">
      <c r="P607" t="s">
        <v>112</v>
      </c>
      <c r="Q607" t="s">
        <v>143</v>
      </c>
      <c r="R607" t="s">
        <v>152</v>
      </c>
      <c r="S607">
        <v>2.2420940321164502E-2</v>
      </c>
    </row>
    <row r="608" spans="16:19" hidden="1">
      <c r="P608" t="s">
        <v>112</v>
      </c>
      <c r="Q608" t="s">
        <v>143</v>
      </c>
      <c r="R608" t="s">
        <v>153</v>
      </c>
      <c r="S608">
        <v>0.12804891763734716</v>
      </c>
    </row>
    <row r="609" spans="16:19" hidden="1">
      <c r="P609" t="s">
        <v>112</v>
      </c>
      <c r="Q609" t="s">
        <v>143</v>
      </c>
      <c r="R609" t="s">
        <v>154</v>
      </c>
      <c r="S609">
        <v>7.51131701187851E-2</v>
      </c>
    </row>
    <row r="610" spans="16:19" hidden="1">
      <c r="P610" t="s">
        <v>112</v>
      </c>
      <c r="Q610" t="s">
        <v>143</v>
      </c>
      <c r="R610" t="s">
        <v>155</v>
      </c>
      <c r="S610">
        <v>2.0731894309885264E-2</v>
      </c>
    </row>
    <row r="611" spans="16:19" hidden="1">
      <c r="P611" t="s">
        <v>112</v>
      </c>
      <c r="Q611" t="s">
        <v>143</v>
      </c>
      <c r="R611" t="s">
        <v>156</v>
      </c>
      <c r="S611">
        <v>0.16930974455574158</v>
      </c>
    </row>
    <row r="612" spans="16:19" hidden="1">
      <c r="P612" t="s">
        <v>112</v>
      </c>
      <c r="Q612" t="s">
        <v>143</v>
      </c>
      <c r="R612" t="s">
        <v>157</v>
      </c>
      <c r="S612">
        <v>9.5405834117123681E-2</v>
      </c>
    </row>
    <row r="613" spans="16:19" hidden="1">
      <c r="P613" t="s">
        <v>112</v>
      </c>
      <c r="Q613" t="s">
        <v>143</v>
      </c>
      <c r="R613" t="s">
        <v>158</v>
      </c>
      <c r="S613">
        <v>2.7352950695817824E-2</v>
      </c>
    </row>
    <row r="614" spans="16:19" hidden="1">
      <c r="P614" t="s">
        <v>112</v>
      </c>
      <c r="Q614" t="s">
        <v>143</v>
      </c>
      <c r="R614" t="s">
        <v>159</v>
      </c>
      <c r="S614">
        <v>0.13892116348962777</v>
      </c>
    </row>
    <row r="615" spans="16:19" hidden="1">
      <c r="P615" t="s">
        <v>112</v>
      </c>
      <c r="Q615" t="s">
        <v>143</v>
      </c>
      <c r="R615" t="s">
        <v>160</v>
      </c>
      <c r="S615">
        <v>8.6620623489177456E-2</v>
      </c>
    </row>
    <row r="616" spans="16:19" hidden="1">
      <c r="P616" t="s">
        <v>112</v>
      </c>
      <c r="Q616" t="s">
        <v>143</v>
      </c>
      <c r="R616" t="s">
        <v>161</v>
      </c>
      <c r="S616">
        <v>2.3859025985377126E-2</v>
      </c>
    </row>
  </sheetData>
  <autoFilter ref="P4:S616" xr:uid="{4347E755-08E5-474E-B047-9148991CC12E}">
    <filterColumn colId="1">
      <filters>
        <filter val="DEMelin"/>
      </filters>
    </filterColumn>
  </autoFilter>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H124"/>
  <sheetViews>
    <sheetView workbookViewId="0"/>
  </sheetViews>
  <sheetFormatPr defaultColWidth="8.88671875" defaultRowHeight="14.4"/>
  <cols>
    <col min="1" max="3" width="8.88671875" customWidth="1"/>
    <col min="4" max="4" width="7.109375" bestFit="1" customWidth="1"/>
    <col min="5" max="5" width="8.88671875" customWidth="1"/>
    <col min="6" max="6" width="7.88671875" bestFit="1" customWidth="1"/>
    <col min="7" max="7" width="9" bestFit="1" customWidth="1"/>
  </cols>
  <sheetData>
    <row r="1" spans="3:8">
      <c r="C1" t="s">
        <v>31</v>
      </c>
    </row>
    <row r="3" spans="3:8">
      <c r="C3" t="s">
        <v>34</v>
      </c>
    </row>
    <row r="4" spans="3:8">
      <c r="C4" t="s">
        <v>3</v>
      </c>
      <c r="D4" t="s">
        <v>131</v>
      </c>
      <c r="E4" t="s">
        <v>1</v>
      </c>
      <c r="F4" t="s">
        <v>2</v>
      </c>
      <c r="G4">
        <v>2016</v>
      </c>
      <c r="H4" t="s">
        <v>6</v>
      </c>
    </row>
    <row r="5" spans="3:8">
      <c r="C5" t="s">
        <v>132</v>
      </c>
      <c r="D5" t="s">
        <v>113</v>
      </c>
      <c r="E5" t="s">
        <v>133</v>
      </c>
      <c r="F5" t="s">
        <v>40</v>
      </c>
      <c r="G5">
        <v>0.39995999999999998</v>
      </c>
      <c r="H5" t="s">
        <v>134</v>
      </c>
    </row>
    <row r="6" spans="3:8">
      <c r="C6" t="s">
        <v>132</v>
      </c>
      <c r="D6" t="s">
        <v>114</v>
      </c>
      <c r="E6" t="s">
        <v>133</v>
      </c>
      <c r="F6" t="s">
        <v>40</v>
      </c>
      <c r="G6">
        <v>0.51600000000000001</v>
      </c>
      <c r="H6" t="s">
        <v>134</v>
      </c>
    </row>
    <row r="7" spans="3:8">
      <c r="C7" t="s">
        <v>132</v>
      </c>
      <c r="D7" t="s">
        <v>114</v>
      </c>
      <c r="E7" t="s">
        <v>133</v>
      </c>
      <c r="F7" t="s">
        <v>40</v>
      </c>
      <c r="G7">
        <v>0.51600000000000001</v>
      </c>
      <c r="H7" t="s">
        <v>135</v>
      </c>
    </row>
    <row r="8" spans="3:8">
      <c r="C8" t="s">
        <v>132</v>
      </c>
      <c r="D8" t="s">
        <v>115</v>
      </c>
      <c r="E8" t="s">
        <v>133</v>
      </c>
      <c r="F8" t="s">
        <v>40</v>
      </c>
      <c r="G8">
        <v>0.44688</v>
      </c>
      <c r="H8" t="s">
        <v>134</v>
      </c>
    </row>
    <row r="9" spans="3:8">
      <c r="C9" t="s">
        <v>132</v>
      </c>
      <c r="D9" t="s">
        <v>115</v>
      </c>
      <c r="E9" t="s">
        <v>133</v>
      </c>
      <c r="F9" t="s">
        <v>40</v>
      </c>
      <c r="G9">
        <v>0.44688</v>
      </c>
      <c r="H9" t="s">
        <v>135</v>
      </c>
    </row>
    <row r="10" spans="3:8">
      <c r="C10" t="s">
        <v>132</v>
      </c>
      <c r="D10" t="s">
        <v>116</v>
      </c>
      <c r="E10" t="s">
        <v>133</v>
      </c>
      <c r="F10" t="s">
        <v>40</v>
      </c>
      <c r="G10">
        <v>0.61931999999999998</v>
      </c>
      <c r="H10" t="s">
        <v>134</v>
      </c>
    </row>
    <row r="11" spans="3:8">
      <c r="C11" t="s">
        <v>132</v>
      </c>
      <c r="D11" t="s">
        <v>117</v>
      </c>
      <c r="E11" t="s">
        <v>133</v>
      </c>
      <c r="F11" t="s">
        <v>40</v>
      </c>
      <c r="G11">
        <v>0.60971999999999993</v>
      </c>
      <c r="H11" t="s">
        <v>134</v>
      </c>
    </row>
    <row r="12" spans="3:8">
      <c r="C12" t="s">
        <v>132</v>
      </c>
      <c r="D12" t="s">
        <v>117</v>
      </c>
      <c r="E12" t="s">
        <v>133</v>
      </c>
      <c r="F12" t="s">
        <v>40</v>
      </c>
      <c r="G12">
        <v>0.60971999999999993</v>
      </c>
      <c r="H12" t="s">
        <v>135</v>
      </c>
    </row>
    <row r="13" spans="3:8">
      <c r="C13" t="s">
        <v>132</v>
      </c>
      <c r="D13" t="s">
        <v>118</v>
      </c>
      <c r="E13" t="s">
        <v>133</v>
      </c>
      <c r="F13" t="s">
        <v>40</v>
      </c>
      <c r="G13">
        <v>0.52883999999999998</v>
      </c>
      <c r="H13" t="s">
        <v>134</v>
      </c>
    </row>
    <row r="14" spans="3:8">
      <c r="C14" t="s">
        <v>132</v>
      </c>
      <c r="D14" t="s">
        <v>118</v>
      </c>
      <c r="E14" t="s">
        <v>133</v>
      </c>
      <c r="F14" t="s">
        <v>40</v>
      </c>
      <c r="G14">
        <v>0.52883999999999998</v>
      </c>
      <c r="H14" t="s">
        <v>135</v>
      </c>
    </row>
    <row r="15" spans="3:8">
      <c r="C15" t="s">
        <v>132</v>
      </c>
      <c r="D15" t="s">
        <v>119</v>
      </c>
      <c r="E15" t="s">
        <v>133</v>
      </c>
      <c r="F15" t="s">
        <v>40</v>
      </c>
      <c r="G15">
        <v>0.78035999999999994</v>
      </c>
      <c r="H15" t="s">
        <v>134</v>
      </c>
    </row>
    <row r="16" spans="3:8">
      <c r="C16" t="s">
        <v>132</v>
      </c>
      <c r="D16" t="s">
        <v>120</v>
      </c>
      <c r="E16" t="s">
        <v>133</v>
      </c>
      <c r="F16" t="s">
        <v>40</v>
      </c>
      <c r="G16">
        <v>0.42768</v>
      </c>
      <c r="H16" t="s">
        <v>134</v>
      </c>
    </row>
    <row r="17" spans="3:8">
      <c r="C17" t="s">
        <v>132</v>
      </c>
      <c r="D17" t="s">
        <v>120</v>
      </c>
      <c r="E17" t="s">
        <v>133</v>
      </c>
      <c r="F17" t="s">
        <v>40</v>
      </c>
      <c r="G17">
        <v>0.42768</v>
      </c>
      <c r="H17" t="s">
        <v>135</v>
      </c>
    </row>
    <row r="18" spans="3:8">
      <c r="C18" t="s">
        <v>132</v>
      </c>
      <c r="D18" t="s">
        <v>121</v>
      </c>
      <c r="E18" t="s">
        <v>133</v>
      </c>
      <c r="F18" t="s">
        <v>40</v>
      </c>
      <c r="G18">
        <v>0.44639999999999996</v>
      </c>
      <c r="H18" t="s">
        <v>134</v>
      </c>
    </row>
    <row r="19" spans="3:8">
      <c r="C19" t="s">
        <v>132</v>
      </c>
      <c r="D19" t="s">
        <v>122</v>
      </c>
      <c r="E19" t="s">
        <v>133</v>
      </c>
      <c r="F19" t="s">
        <v>40</v>
      </c>
      <c r="G19">
        <v>0.45179999999999998</v>
      </c>
      <c r="H19" t="s">
        <v>134</v>
      </c>
    </row>
    <row r="20" spans="3:8">
      <c r="C20" t="s">
        <v>132</v>
      </c>
      <c r="D20" t="s">
        <v>123</v>
      </c>
      <c r="E20" t="s">
        <v>133</v>
      </c>
      <c r="F20" t="s">
        <v>40</v>
      </c>
      <c r="G20">
        <v>0.19211999999999999</v>
      </c>
      <c r="H20" t="s">
        <v>134</v>
      </c>
    </row>
    <row r="21" spans="3:8">
      <c r="C21" t="s">
        <v>132</v>
      </c>
      <c r="D21" t="s">
        <v>50</v>
      </c>
      <c r="E21" t="s">
        <v>133</v>
      </c>
      <c r="F21" t="s">
        <v>40</v>
      </c>
      <c r="G21">
        <v>0.51683999999999997</v>
      </c>
      <c r="H21" t="s">
        <v>134</v>
      </c>
    </row>
    <row r="22" spans="3:8">
      <c r="C22" t="s">
        <v>132</v>
      </c>
      <c r="D22" t="s">
        <v>124</v>
      </c>
      <c r="E22" t="s">
        <v>133</v>
      </c>
      <c r="F22" t="s">
        <v>40</v>
      </c>
      <c r="G22">
        <v>0.40451999999999999</v>
      </c>
      <c r="H22" t="s">
        <v>134</v>
      </c>
    </row>
    <row r="23" spans="3:8">
      <c r="C23" t="s">
        <v>132</v>
      </c>
      <c r="D23" t="s">
        <v>105</v>
      </c>
      <c r="E23" t="s">
        <v>133</v>
      </c>
      <c r="F23" t="s">
        <v>40</v>
      </c>
      <c r="G23">
        <v>0.53903999999999996</v>
      </c>
      <c r="H23" t="s">
        <v>134</v>
      </c>
    </row>
    <row r="24" spans="3:8">
      <c r="C24" t="s">
        <v>132</v>
      </c>
      <c r="D24" t="s">
        <v>105</v>
      </c>
      <c r="E24" t="s">
        <v>133</v>
      </c>
      <c r="F24" t="s">
        <v>40</v>
      </c>
      <c r="G24">
        <v>0.53903999999999996</v>
      </c>
      <c r="H24" t="s">
        <v>135</v>
      </c>
    </row>
    <row r="25" spans="3:8">
      <c r="C25" t="s">
        <v>132</v>
      </c>
      <c r="D25" t="s">
        <v>51</v>
      </c>
      <c r="E25" t="s">
        <v>133</v>
      </c>
      <c r="F25" t="s">
        <v>40</v>
      </c>
      <c r="G25">
        <v>0.29543999999999998</v>
      </c>
      <c r="H25" t="s">
        <v>134</v>
      </c>
    </row>
    <row r="26" spans="3:8">
      <c r="C26" t="s">
        <v>132</v>
      </c>
      <c r="D26" t="s">
        <v>51</v>
      </c>
      <c r="E26" t="s">
        <v>133</v>
      </c>
      <c r="F26" t="s">
        <v>40</v>
      </c>
      <c r="G26">
        <v>0.29543999999999998</v>
      </c>
      <c r="H26" t="s">
        <v>135</v>
      </c>
    </row>
    <row r="27" spans="3:8">
      <c r="C27" t="s">
        <v>132</v>
      </c>
      <c r="D27" t="s">
        <v>125</v>
      </c>
      <c r="E27" t="s">
        <v>133</v>
      </c>
      <c r="F27" t="s">
        <v>40</v>
      </c>
      <c r="G27">
        <v>0.36863999999999997</v>
      </c>
      <c r="H27" t="s">
        <v>134</v>
      </c>
    </row>
    <row r="28" spans="3:8">
      <c r="C28" t="s">
        <v>132</v>
      </c>
      <c r="D28" t="s">
        <v>112</v>
      </c>
      <c r="E28" t="s">
        <v>133</v>
      </c>
      <c r="F28" t="s">
        <v>40</v>
      </c>
      <c r="G28">
        <v>0.39923999999999998</v>
      </c>
      <c r="H28" t="s">
        <v>134</v>
      </c>
    </row>
    <row r="29" spans="3:8">
      <c r="C29" t="s">
        <v>136</v>
      </c>
      <c r="D29" t="s">
        <v>113</v>
      </c>
      <c r="E29" t="s">
        <v>133</v>
      </c>
      <c r="F29" t="s">
        <v>40</v>
      </c>
      <c r="G29">
        <v>0.28727999999999998</v>
      </c>
      <c r="H29" t="s">
        <v>134</v>
      </c>
    </row>
    <row r="30" spans="3:8">
      <c r="C30" t="s">
        <v>136</v>
      </c>
      <c r="D30" t="s">
        <v>114</v>
      </c>
      <c r="E30" t="s">
        <v>133</v>
      </c>
      <c r="F30" t="s">
        <v>40</v>
      </c>
      <c r="G30">
        <v>0.63936000000000004</v>
      </c>
      <c r="H30" t="s">
        <v>134</v>
      </c>
    </row>
    <row r="31" spans="3:8">
      <c r="C31" t="s">
        <v>136</v>
      </c>
      <c r="D31" t="s">
        <v>114</v>
      </c>
      <c r="E31" t="s">
        <v>133</v>
      </c>
      <c r="F31" t="s">
        <v>40</v>
      </c>
      <c r="G31">
        <v>0.63936000000000004</v>
      </c>
      <c r="H31" t="s">
        <v>135</v>
      </c>
    </row>
    <row r="32" spans="3:8">
      <c r="C32" t="s">
        <v>136</v>
      </c>
      <c r="D32" t="s">
        <v>115</v>
      </c>
      <c r="E32" t="s">
        <v>133</v>
      </c>
      <c r="F32" t="s">
        <v>40</v>
      </c>
      <c r="G32">
        <v>0.39204</v>
      </c>
      <c r="H32" t="s">
        <v>134</v>
      </c>
    </row>
    <row r="33" spans="3:8">
      <c r="C33" t="s">
        <v>136</v>
      </c>
      <c r="D33" t="s">
        <v>115</v>
      </c>
      <c r="E33" t="s">
        <v>133</v>
      </c>
      <c r="F33" t="s">
        <v>40</v>
      </c>
      <c r="G33">
        <v>0.39204</v>
      </c>
      <c r="H33" t="s">
        <v>135</v>
      </c>
    </row>
    <row r="34" spans="3:8">
      <c r="C34" t="s">
        <v>136</v>
      </c>
      <c r="D34" t="s">
        <v>116</v>
      </c>
      <c r="E34" t="s">
        <v>133</v>
      </c>
      <c r="F34" t="s">
        <v>40</v>
      </c>
      <c r="G34">
        <v>0.64319999999999999</v>
      </c>
      <c r="H34" t="s">
        <v>134</v>
      </c>
    </row>
    <row r="35" spans="3:8">
      <c r="C35" t="s">
        <v>136</v>
      </c>
      <c r="D35" t="s">
        <v>117</v>
      </c>
      <c r="E35" t="s">
        <v>133</v>
      </c>
      <c r="F35" t="s">
        <v>40</v>
      </c>
      <c r="G35">
        <v>0.65088000000000001</v>
      </c>
      <c r="H35" t="s">
        <v>134</v>
      </c>
    </row>
    <row r="36" spans="3:8">
      <c r="C36" t="s">
        <v>136</v>
      </c>
      <c r="D36" t="s">
        <v>117</v>
      </c>
      <c r="E36" t="s">
        <v>133</v>
      </c>
      <c r="F36" t="s">
        <v>40</v>
      </c>
      <c r="G36">
        <v>0.65088000000000001</v>
      </c>
      <c r="H36" t="s">
        <v>135</v>
      </c>
    </row>
    <row r="37" spans="3:8">
      <c r="C37" t="s">
        <v>136</v>
      </c>
      <c r="D37" t="s">
        <v>118</v>
      </c>
      <c r="E37" t="s">
        <v>133</v>
      </c>
      <c r="F37" t="s">
        <v>40</v>
      </c>
      <c r="G37">
        <v>0.41004000000000002</v>
      </c>
      <c r="H37" t="s">
        <v>134</v>
      </c>
    </row>
    <row r="38" spans="3:8">
      <c r="C38" t="s">
        <v>136</v>
      </c>
      <c r="D38" t="s">
        <v>118</v>
      </c>
      <c r="E38" t="s">
        <v>133</v>
      </c>
      <c r="F38" t="s">
        <v>40</v>
      </c>
      <c r="G38">
        <v>0.41004000000000002</v>
      </c>
      <c r="H38" t="s">
        <v>135</v>
      </c>
    </row>
    <row r="39" spans="3:8">
      <c r="C39" t="s">
        <v>136</v>
      </c>
      <c r="D39" t="s">
        <v>119</v>
      </c>
      <c r="E39" t="s">
        <v>133</v>
      </c>
      <c r="F39" t="s">
        <v>40</v>
      </c>
      <c r="G39">
        <v>0.66335999999999995</v>
      </c>
      <c r="H39" t="s">
        <v>134</v>
      </c>
    </row>
    <row r="40" spans="3:8">
      <c r="C40" t="s">
        <v>136</v>
      </c>
      <c r="D40" t="s">
        <v>120</v>
      </c>
      <c r="E40" t="s">
        <v>133</v>
      </c>
      <c r="F40" t="s">
        <v>40</v>
      </c>
      <c r="G40">
        <v>0.52632000000000001</v>
      </c>
      <c r="H40" t="s">
        <v>134</v>
      </c>
    </row>
    <row r="41" spans="3:8">
      <c r="C41" t="s">
        <v>136</v>
      </c>
      <c r="D41" t="s">
        <v>120</v>
      </c>
      <c r="E41" t="s">
        <v>133</v>
      </c>
      <c r="F41" t="s">
        <v>40</v>
      </c>
      <c r="G41">
        <v>0.52632000000000001</v>
      </c>
      <c r="H41" t="s">
        <v>135</v>
      </c>
    </row>
    <row r="42" spans="3:8">
      <c r="C42" t="s">
        <v>136</v>
      </c>
      <c r="D42" t="s">
        <v>121</v>
      </c>
      <c r="E42" t="s">
        <v>133</v>
      </c>
      <c r="F42" t="s">
        <v>40</v>
      </c>
      <c r="G42">
        <v>0.36983999999999995</v>
      </c>
      <c r="H42" t="s">
        <v>134</v>
      </c>
    </row>
    <row r="43" spans="3:8">
      <c r="C43" t="s">
        <v>136</v>
      </c>
      <c r="D43" t="s">
        <v>122</v>
      </c>
      <c r="E43" t="s">
        <v>133</v>
      </c>
      <c r="F43" t="s">
        <v>40</v>
      </c>
      <c r="G43">
        <v>0.61007999999999996</v>
      </c>
      <c r="H43" t="s">
        <v>134</v>
      </c>
    </row>
    <row r="44" spans="3:8">
      <c r="C44" t="s">
        <v>136</v>
      </c>
      <c r="D44" t="s">
        <v>123</v>
      </c>
      <c r="E44" t="s">
        <v>133</v>
      </c>
      <c r="F44" t="s">
        <v>40</v>
      </c>
      <c r="G44">
        <v>0.29364000000000001</v>
      </c>
      <c r="H44" t="s">
        <v>134</v>
      </c>
    </row>
    <row r="45" spans="3:8">
      <c r="C45" t="s">
        <v>136</v>
      </c>
      <c r="D45" t="s">
        <v>50</v>
      </c>
      <c r="E45" t="s">
        <v>133</v>
      </c>
      <c r="F45" t="s">
        <v>40</v>
      </c>
      <c r="G45">
        <v>0.48515999999999998</v>
      </c>
      <c r="H45" t="s">
        <v>134</v>
      </c>
    </row>
    <row r="46" spans="3:8">
      <c r="C46" t="s">
        <v>136</v>
      </c>
      <c r="D46" t="s">
        <v>124</v>
      </c>
      <c r="E46" t="s">
        <v>133</v>
      </c>
      <c r="F46" t="s">
        <v>40</v>
      </c>
      <c r="G46">
        <v>0.45335999999999999</v>
      </c>
      <c r="H46" t="s">
        <v>134</v>
      </c>
    </row>
    <row r="47" spans="3:8">
      <c r="C47" t="s">
        <v>136</v>
      </c>
      <c r="D47" t="s">
        <v>105</v>
      </c>
      <c r="E47" t="s">
        <v>133</v>
      </c>
      <c r="F47" t="s">
        <v>40</v>
      </c>
      <c r="G47">
        <v>0.52079999999999993</v>
      </c>
      <c r="H47" t="s">
        <v>134</v>
      </c>
    </row>
    <row r="48" spans="3:8">
      <c r="C48" t="s">
        <v>136</v>
      </c>
      <c r="D48" t="s">
        <v>105</v>
      </c>
      <c r="E48" t="s">
        <v>133</v>
      </c>
      <c r="F48" t="s">
        <v>40</v>
      </c>
      <c r="G48">
        <v>0.52079999999999993</v>
      </c>
      <c r="H48" t="s">
        <v>135</v>
      </c>
    </row>
    <row r="49" spans="3:8">
      <c r="C49" t="s">
        <v>136</v>
      </c>
      <c r="D49" t="s">
        <v>51</v>
      </c>
      <c r="E49" t="s">
        <v>133</v>
      </c>
      <c r="F49" t="s">
        <v>40</v>
      </c>
      <c r="G49">
        <v>0.28403999999999996</v>
      </c>
      <c r="H49" t="s">
        <v>134</v>
      </c>
    </row>
    <row r="50" spans="3:8">
      <c r="C50" t="s">
        <v>136</v>
      </c>
      <c r="D50" t="s">
        <v>51</v>
      </c>
      <c r="E50" t="s">
        <v>133</v>
      </c>
      <c r="F50" t="s">
        <v>40</v>
      </c>
      <c r="G50">
        <v>0.28403999999999996</v>
      </c>
      <c r="H50" t="s">
        <v>135</v>
      </c>
    </row>
    <row r="51" spans="3:8">
      <c r="C51" t="s">
        <v>136</v>
      </c>
      <c r="D51" t="s">
        <v>125</v>
      </c>
      <c r="E51" t="s">
        <v>133</v>
      </c>
      <c r="F51" t="s">
        <v>40</v>
      </c>
      <c r="G51">
        <v>0.49475999999999998</v>
      </c>
      <c r="H51" t="s">
        <v>134</v>
      </c>
    </row>
    <row r="52" spans="3:8">
      <c r="C52" t="s">
        <v>136</v>
      </c>
      <c r="D52" t="s">
        <v>112</v>
      </c>
      <c r="E52" t="s">
        <v>133</v>
      </c>
      <c r="F52" t="s">
        <v>40</v>
      </c>
      <c r="G52">
        <v>0.54635999999999996</v>
      </c>
      <c r="H52" t="s">
        <v>134</v>
      </c>
    </row>
    <row r="53" spans="3:8">
      <c r="C53" t="s">
        <v>137</v>
      </c>
      <c r="D53" t="s">
        <v>113</v>
      </c>
      <c r="E53" t="s">
        <v>133</v>
      </c>
      <c r="F53" t="s">
        <v>40</v>
      </c>
      <c r="G53">
        <v>0.47795999999999994</v>
      </c>
      <c r="H53" t="s">
        <v>134</v>
      </c>
    </row>
    <row r="54" spans="3:8">
      <c r="C54" t="s">
        <v>137</v>
      </c>
      <c r="D54" t="s">
        <v>114</v>
      </c>
      <c r="E54" t="s">
        <v>133</v>
      </c>
      <c r="F54" t="s">
        <v>40</v>
      </c>
      <c r="G54">
        <v>0.50231999999999999</v>
      </c>
      <c r="H54" t="s">
        <v>134</v>
      </c>
    </row>
    <row r="55" spans="3:8">
      <c r="C55" t="s">
        <v>137</v>
      </c>
      <c r="D55" t="s">
        <v>114</v>
      </c>
      <c r="E55" t="s">
        <v>133</v>
      </c>
      <c r="F55" t="s">
        <v>40</v>
      </c>
      <c r="G55">
        <v>0.50231999999999999</v>
      </c>
      <c r="H55" t="s">
        <v>135</v>
      </c>
    </row>
    <row r="56" spans="3:8">
      <c r="C56" t="s">
        <v>137</v>
      </c>
      <c r="D56" t="s">
        <v>115</v>
      </c>
      <c r="E56" t="s">
        <v>133</v>
      </c>
      <c r="F56" t="s">
        <v>40</v>
      </c>
      <c r="G56">
        <v>0.49067999999999995</v>
      </c>
      <c r="H56" t="s">
        <v>134</v>
      </c>
    </row>
    <row r="57" spans="3:8">
      <c r="C57" t="s">
        <v>137</v>
      </c>
      <c r="D57" t="s">
        <v>115</v>
      </c>
      <c r="E57" t="s">
        <v>133</v>
      </c>
      <c r="F57" t="s">
        <v>40</v>
      </c>
      <c r="G57">
        <v>0.49067999999999995</v>
      </c>
      <c r="H57" t="s">
        <v>135</v>
      </c>
    </row>
    <row r="58" spans="3:8">
      <c r="C58" t="s">
        <v>137</v>
      </c>
      <c r="D58" t="s">
        <v>116</v>
      </c>
      <c r="E58" t="s">
        <v>133</v>
      </c>
      <c r="F58" t="s">
        <v>40</v>
      </c>
      <c r="G58">
        <v>0.59111999999999998</v>
      </c>
      <c r="H58" t="s">
        <v>134</v>
      </c>
    </row>
    <row r="59" spans="3:8">
      <c r="C59" t="s">
        <v>137</v>
      </c>
      <c r="D59" t="s">
        <v>117</v>
      </c>
      <c r="E59" t="s">
        <v>133</v>
      </c>
      <c r="F59" t="s">
        <v>40</v>
      </c>
      <c r="G59">
        <v>0.59471999999999992</v>
      </c>
      <c r="H59" t="s">
        <v>134</v>
      </c>
    </row>
    <row r="60" spans="3:8">
      <c r="C60" t="s">
        <v>137</v>
      </c>
      <c r="D60" t="s">
        <v>117</v>
      </c>
      <c r="E60" t="s">
        <v>133</v>
      </c>
      <c r="F60" t="s">
        <v>40</v>
      </c>
      <c r="G60">
        <v>0.59471999999999992</v>
      </c>
      <c r="H60" t="s">
        <v>135</v>
      </c>
    </row>
    <row r="61" spans="3:8">
      <c r="C61" t="s">
        <v>137</v>
      </c>
      <c r="D61" t="s">
        <v>118</v>
      </c>
      <c r="E61" t="s">
        <v>133</v>
      </c>
      <c r="F61" t="s">
        <v>40</v>
      </c>
      <c r="G61">
        <v>0.63600000000000001</v>
      </c>
      <c r="H61" t="s">
        <v>134</v>
      </c>
    </row>
    <row r="62" spans="3:8">
      <c r="C62" t="s">
        <v>137</v>
      </c>
      <c r="D62" t="s">
        <v>118</v>
      </c>
      <c r="E62" t="s">
        <v>133</v>
      </c>
      <c r="F62" t="s">
        <v>40</v>
      </c>
      <c r="G62">
        <v>0.63600000000000001</v>
      </c>
      <c r="H62" t="s">
        <v>135</v>
      </c>
    </row>
    <row r="63" spans="3:8">
      <c r="C63" t="s">
        <v>137</v>
      </c>
      <c r="D63" t="s">
        <v>119</v>
      </c>
      <c r="E63" t="s">
        <v>133</v>
      </c>
      <c r="F63" t="s">
        <v>40</v>
      </c>
      <c r="G63">
        <v>0.74159999999999993</v>
      </c>
      <c r="H63" t="s">
        <v>134</v>
      </c>
    </row>
    <row r="64" spans="3:8">
      <c r="C64" t="s">
        <v>137</v>
      </c>
      <c r="D64" t="s">
        <v>120</v>
      </c>
      <c r="E64" t="s">
        <v>133</v>
      </c>
      <c r="F64" t="s">
        <v>40</v>
      </c>
      <c r="G64">
        <v>0.47724</v>
      </c>
      <c r="H64" t="s">
        <v>134</v>
      </c>
    </row>
    <row r="65" spans="3:8">
      <c r="C65" t="s">
        <v>137</v>
      </c>
      <c r="D65" t="s">
        <v>120</v>
      </c>
      <c r="E65" t="s">
        <v>133</v>
      </c>
      <c r="F65" t="s">
        <v>40</v>
      </c>
      <c r="G65">
        <v>0.47724</v>
      </c>
      <c r="H65" t="s">
        <v>135</v>
      </c>
    </row>
    <row r="66" spans="3:8">
      <c r="C66" t="s">
        <v>137</v>
      </c>
      <c r="D66" t="s">
        <v>121</v>
      </c>
      <c r="E66" t="s">
        <v>133</v>
      </c>
      <c r="F66" t="s">
        <v>40</v>
      </c>
      <c r="G66">
        <v>0.56015999999999999</v>
      </c>
      <c r="H66" t="s">
        <v>134</v>
      </c>
    </row>
    <row r="67" spans="3:8">
      <c r="C67" t="s">
        <v>137</v>
      </c>
      <c r="D67" t="s">
        <v>122</v>
      </c>
      <c r="E67" t="s">
        <v>133</v>
      </c>
      <c r="F67" t="s">
        <v>40</v>
      </c>
      <c r="G67">
        <v>0.62579999999999991</v>
      </c>
      <c r="H67" t="s">
        <v>134</v>
      </c>
    </row>
    <row r="68" spans="3:8">
      <c r="C68" t="s">
        <v>137</v>
      </c>
      <c r="D68" t="s">
        <v>123</v>
      </c>
      <c r="E68" t="s">
        <v>133</v>
      </c>
      <c r="F68" t="s">
        <v>40</v>
      </c>
      <c r="G68">
        <v>4.1759999999999999E-2</v>
      </c>
      <c r="H68" t="s">
        <v>134</v>
      </c>
    </row>
    <row r="69" spans="3:8">
      <c r="C69" t="s">
        <v>137</v>
      </c>
      <c r="D69" t="s">
        <v>50</v>
      </c>
      <c r="E69" t="s">
        <v>133</v>
      </c>
      <c r="F69" t="s">
        <v>40</v>
      </c>
      <c r="G69">
        <v>0.52788000000000002</v>
      </c>
      <c r="H69" t="s">
        <v>134</v>
      </c>
    </row>
    <row r="70" spans="3:8">
      <c r="C70" t="s">
        <v>137</v>
      </c>
      <c r="D70" t="s">
        <v>124</v>
      </c>
      <c r="E70" t="s">
        <v>133</v>
      </c>
      <c r="F70" t="s">
        <v>40</v>
      </c>
      <c r="G70">
        <v>0.58331999999999995</v>
      </c>
      <c r="H70" t="s">
        <v>134</v>
      </c>
    </row>
    <row r="71" spans="3:8">
      <c r="C71" t="s">
        <v>137</v>
      </c>
      <c r="D71" t="s">
        <v>105</v>
      </c>
      <c r="E71" t="s">
        <v>133</v>
      </c>
      <c r="F71" t="s">
        <v>40</v>
      </c>
      <c r="G71">
        <v>0.46283999999999997</v>
      </c>
      <c r="H71" t="s">
        <v>134</v>
      </c>
    </row>
    <row r="72" spans="3:8">
      <c r="C72" t="s">
        <v>137</v>
      </c>
      <c r="D72" t="s">
        <v>105</v>
      </c>
      <c r="E72" t="s">
        <v>133</v>
      </c>
      <c r="F72" t="s">
        <v>40</v>
      </c>
      <c r="G72">
        <v>0.46283999999999997</v>
      </c>
      <c r="H72" t="s">
        <v>135</v>
      </c>
    </row>
    <row r="73" spans="3:8">
      <c r="C73" t="s">
        <v>137</v>
      </c>
      <c r="D73" t="s">
        <v>51</v>
      </c>
      <c r="E73" t="s">
        <v>133</v>
      </c>
      <c r="F73" t="s">
        <v>40</v>
      </c>
      <c r="G73">
        <v>0.35279999999999995</v>
      </c>
      <c r="H73" t="s">
        <v>134</v>
      </c>
    </row>
    <row r="74" spans="3:8">
      <c r="C74" t="s">
        <v>137</v>
      </c>
      <c r="D74" t="s">
        <v>51</v>
      </c>
      <c r="E74" t="s">
        <v>133</v>
      </c>
      <c r="F74" t="s">
        <v>40</v>
      </c>
      <c r="G74">
        <v>0.35279999999999995</v>
      </c>
      <c r="H74" t="s">
        <v>135</v>
      </c>
    </row>
    <row r="75" spans="3:8">
      <c r="C75" t="s">
        <v>137</v>
      </c>
      <c r="D75" t="s">
        <v>125</v>
      </c>
      <c r="E75" t="s">
        <v>133</v>
      </c>
      <c r="F75" t="s">
        <v>40</v>
      </c>
      <c r="G75">
        <v>0.35232000000000002</v>
      </c>
      <c r="H75" t="s">
        <v>134</v>
      </c>
    </row>
    <row r="76" spans="3:8">
      <c r="C76" t="s">
        <v>137</v>
      </c>
      <c r="D76" t="s">
        <v>112</v>
      </c>
      <c r="E76" t="s">
        <v>133</v>
      </c>
      <c r="F76" t="s">
        <v>40</v>
      </c>
      <c r="G76">
        <v>0.52488000000000001</v>
      </c>
      <c r="H76" t="s">
        <v>134</v>
      </c>
    </row>
    <row r="77" spans="3:8">
      <c r="C77" t="s">
        <v>138</v>
      </c>
      <c r="D77" t="s">
        <v>113</v>
      </c>
      <c r="E77" t="s">
        <v>133</v>
      </c>
      <c r="F77" t="s">
        <v>40</v>
      </c>
      <c r="G77">
        <v>0.70967999999999998</v>
      </c>
      <c r="H77" t="s">
        <v>134</v>
      </c>
    </row>
    <row r="78" spans="3:8">
      <c r="C78" t="s">
        <v>138</v>
      </c>
      <c r="D78" t="s">
        <v>114</v>
      </c>
      <c r="E78" t="s">
        <v>133</v>
      </c>
      <c r="F78" t="s">
        <v>40</v>
      </c>
      <c r="G78">
        <v>0.79715999999999998</v>
      </c>
      <c r="H78" t="s">
        <v>134</v>
      </c>
    </row>
    <row r="79" spans="3:8">
      <c r="C79" t="s">
        <v>138</v>
      </c>
      <c r="D79" t="s">
        <v>114</v>
      </c>
      <c r="E79" t="s">
        <v>133</v>
      </c>
      <c r="F79" t="s">
        <v>40</v>
      </c>
      <c r="G79">
        <v>0.79715999999999998</v>
      </c>
      <c r="H79" t="s">
        <v>135</v>
      </c>
    </row>
    <row r="80" spans="3:8">
      <c r="C80" t="s">
        <v>138</v>
      </c>
      <c r="D80" t="s">
        <v>115</v>
      </c>
      <c r="E80" t="s">
        <v>133</v>
      </c>
      <c r="F80" t="s">
        <v>40</v>
      </c>
      <c r="G80">
        <v>0.40583999999999998</v>
      </c>
      <c r="H80" t="s">
        <v>134</v>
      </c>
    </row>
    <row r="81" spans="3:8">
      <c r="C81" t="s">
        <v>138</v>
      </c>
      <c r="D81" t="s">
        <v>115</v>
      </c>
      <c r="E81" t="s">
        <v>133</v>
      </c>
      <c r="F81" t="s">
        <v>40</v>
      </c>
      <c r="G81">
        <v>0.40583999999999998</v>
      </c>
      <c r="H81" t="s">
        <v>135</v>
      </c>
    </row>
    <row r="82" spans="3:8">
      <c r="C82" t="s">
        <v>138</v>
      </c>
      <c r="D82" t="s">
        <v>116</v>
      </c>
      <c r="E82" t="s">
        <v>133</v>
      </c>
      <c r="F82" t="s">
        <v>40</v>
      </c>
      <c r="G82">
        <v>0.67427999999999988</v>
      </c>
      <c r="H82" t="s">
        <v>134</v>
      </c>
    </row>
    <row r="83" spans="3:8">
      <c r="C83" t="s">
        <v>138</v>
      </c>
      <c r="D83" t="s">
        <v>117</v>
      </c>
      <c r="E83" t="s">
        <v>133</v>
      </c>
      <c r="F83" t="s">
        <v>40</v>
      </c>
      <c r="G83">
        <v>0.78395999999999999</v>
      </c>
      <c r="H83" t="s">
        <v>134</v>
      </c>
    </row>
    <row r="84" spans="3:8">
      <c r="C84" t="s">
        <v>138</v>
      </c>
      <c r="D84" t="s">
        <v>117</v>
      </c>
      <c r="E84" t="s">
        <v>133</v>
      </c>
      <c r="F84" t="s">
        <v>40</v>
      </c>
      <c r="G84">
        <v>0.78395999999999999</v>
      </c>
      <c r="H84" t="s">
        <v>135</v>
      </c>
    </row>
    <row r="85" spans="3:8">
      <c r="C85" t="s">
        <v>138</v>
      </c>
      <c r="D85" t="s">
        <v>118</v>
      </c>
      <c r="E85" t="s">
        <v>133</v>
      </c>
      <c r="F85" t="s">
        <v>40</v>
      </c>
      <c r="G85">
        <v>0.32519999999999999</v>
      </c>
      <c r="H85" t="s">
        <v>134</v>
      </c>
    </row>
    <row r="86" spans="3:8">
      <c r="C86" t="s">
        <v>138</v>
      </c>
      <c r="D86" t="s">
        <v>118</v>
      </c>
      <c r="E86" t="s">
        <v>133</v>
      </c>
      <c r="F86" t="s">
        <v>40</v>
      </c>
      <c r="G86">
        <v>0.32519999999999999</v>
      </c>
      <c r="H86" t="s">
        <v>135</v>
      </c>
    </row>
    <row r="87" spans="3:8">
      <c r="C87" t="s">
        <v>138</v>
      </c>
      <c r="D87" t="s">
        <v>119</v>
      </c>
      <c r="E87" t="s">
        <v>133</v>
      </c>
      <c r="F87" t="s">
        <v>40</v>
      </c>
      <c r="G87">
        <v>0.62292000000000003</v>
      </c>
      <c r="H87" t="s">
        <v>134</v>
      </c>
    </row>
    <row r="88" spans="3:8">
      <c r="C88" t="s">
        <v>138</v>
      </c>
      <c r="D88" t="s">
        <v>120</v>
      </c>
      <c r="E88" t="s">
        <v>133</v>
      </c>
      <c r="F88" t="s">
        <v>40</v>
      </c>
      <c r="G88">
        <v>0.51300000000000001</v>
      </c>
      <c r="H88" t="s">
        <v>134</v>
      </c>
    </row>
    <row r="89" spans="3:8">
      <c r="C89" t="s">
        <v>138</v>
      </c>
      <c r="D89" t="s">
        <v>120</v>
      </c>
      <c r="E89" t="s">
        <v>133</v>
      </c>
      <c r="F89" t="s">
        <v>40</v>
      </c>
      <c r="G89">
        <v>0.51300000000000001</v>
      </c>
      <c r="H89" t="s">
        <v>135</v>
      </c>
    </row>
    <row r="90" spans="3:8">
      <c r="C90" t="s">
        <v>138</v>
      </c>
      <c r="D90" t="s">
        <v>121</v>
      </c>
      <c r="E90" t="s">
        <v>133</v>
      </c>
      <c r="F90" t="s">
        <v>40</v>
      </c>
      <c r="G90">
        <v>0.30612</v>
      </c>
      <c r="H90" t="s">
        <v>134</v>
      </c>
    </row>
    <row r="91" spans="3:8">
      <c r="C91" t="s">
        <v>138</v>
      </c>
      <c r="D91" t="s">
        <v>122</v>
      </c>
      <c r="E91" t="s">
        <v>133</v>
      </c>
      <c r="F91" t="s">
        <v>40</v>
      </c>
      <c r="G91">
        <v>0.42851999999999996</v>
      </c>
      <c r="H91" t="s">
        <v>134</v>
      </c>
    </row>
    <row r="92" spans="3:8">
      <c r="C92" t="s">
        <v>138</v>
      </c>
      <c r="D92" t="s">
        <v>123</v>
      </c>
      <c r="E92" t="s">
        <v>133</v>
      </c>
      <c r="F92" t="s">
        <v>40</v>
      </c>
      <c r="G92">
        <v>0.37823999999999997</v>
      </c>
      <c r="H92" t="s">
        <v>134</v>
      </c>
    </row>
    <row r="93" spans="3:8">
      <c r="C93" t="s">
        <v>138</v>
      </c>
      <c r="D93" t="s">
        <v>50</v>
      </c>
      <c r="E93" t="s">
        <v>133</v>
      </c>
      <c r="F93" t="s">
        <v>40</v>
      </c>
      <c r="G93">
        <v>0.46343999999999996</v>
      </c>
      <c r="H93" t="s">
        <v>134</v>
      </c>
    </row>
    <row r="94" spans="3:8">
      <c r="C94" t="s">
        <v>138</v>
      </c>
      <c r="D94" t="s">
        <v>124</v>
      </c>
      <c r="E94" t="s">
        <v>133</v>
      </c>
      <c r="F94" t="s">
        <v>40</v>
      </c>
      <c r="G94">
        <v>0.36179999999999995</v>
      </c>
      <c r="H94" t="s">
        <v>134</v>
      </c>
    </row>
    <row r="95" spans="3:8">
      <c r="C95" t="s">
        <v>138</v>
      </c>
      <c r="D95" t="s">
        <v>105</v>
      </c>
      <c r="E95" t="s">
        <v>133</v>
      </c>
      <c r="F95" t="s">
        <v>40</v>
      </c>
      <c r="G95">
        <v>0.60924</v>
      </c>
      <c r="H95" t="s">
        <v>134</v>
      </c>
    </row>
    <row r="96" spans="3:8">
      <c r="C96" t="s">
        <v>138</v>
      </c>
      <c r="D96" t="s">
        <v>105</v>
      </c>
      <c r="E96" t="s">
        <v>133</v>
      </c>
      <c r="F96" t="s">
        <v>40</v>
      </c>
      <c r="G96">
        <v>0.60924</v>
      </c>
      <c r="H96" t="s">
        <v>135</v>
      </c>
    </row>
    <row r="97" spans="3:8">
      <c r="C97" t="s">
        <v>138</v>
      </c>
      <c r="D97" t="s">
        <v>51</v>
      </c>
      <c r="E97" t="s">
        <v>133</v>
      </c>
      <c r="F97" t="s">
        <v>40</v>
      </c>
      <c r="G97">
        <v>0.27827999999999997</v>
      </c>
      <c r="H97" t="s">
        <v>134</v>
      </c>
    </row>
    <row r="98" spans="3:8">
      <c r="C98" t="s">
        <v>138</v>
      </c>
      <c r="D98" t="s">
        <v>51</v>
      </c>
      <c r="E98" t="s">
        <v>133</v>
      </c>
      <c r="F98" t="s">
        <v>40</v>
      </c>
      <c r="G98">
        <v>0.27827999999999997</v>
      </c>
      <c r="H98" t="s">
        <v>135</v>
      </c>
    </row>
    <row r="99" spans="3:8">
      <c r="C99" t="s">
        <v>138</v>
      </c>
      <c r="D99" t="s">
        <v>125</v>
      </c>
      <c r="E99" t="s">
        <v>133</v>
      </c>
      <c r="F99" t="s">
        <v>40</v>
      </c>
      <c r="G99">
        <v>0.40883999999999998</v>
      </c>
      <c r="H99" t="s">
        <v>134</v>
      </c>
    </row>
    <row r="100" spans="3:8">
      <c r="C100" t="s">
        <v>138</v>
      </c>
      <c r="D100" t="s">
        <v>112</v>
      </c>
      <c r="E100" t="s">
        <v>133</v>
      </c>
      <c r="F100" t="s">
        <v>40</v>
      </c>
      <c r="G100">
        <v>0.50268000000000002</v>
      </c>
      <c r="H100" t="s">
        <v>134</v>
      </c>
    </row>
    <row r="101" spans="3:8">
      <c r="C101" t="s">
        <v>139</v>
      </c>
      <c r="D101" t="s">
        <v>113</v>
      </c>
      <c r="E101" t="s">
        <v>71</v>
      </c>
      <c r="F101" t="s">
        <v>40</v>
      </c>
      <c r="G101">
        <v>0.3906</v>
      </c>
      <c r="H101" t="s">
        <v>134</v>
      </c>
    </row>
    <row r="102" spans="3:8">
      <c r="C102" t="s">
        <v>139</v>
      </c>
      <c r="D102" t="s">
        <v>114</v>
      </c>
      <c r="E102" t="s">
        <v>71</v>
      </c>
      <c r="F102" t="s">
        <v>40</v>
      </c>
      <c r="G102">
        <v>0.51142500000000002</v>
      </c>
      <c r="H102" t="s">
        <v>134</v>
      </c>
    </row>
    <row r="103" spans="3:8">
      <c r="C103" t="s">
        <v>139</v>
      </c>
      <c r="D103" t="s">
        <v>114</v>
      </c>
      <c r="E103" t="s">
        <v>71</v>
      </c>
      <c r="F103" t="s">
        <v>40</v>
      </c>
      <c r="G103">
        <v>0.51142500000000002</v>
      </c>
      <c r="H103" t="s">
        <v>135</v>
      </c>
    </row>
    <row r="104" spans="3:8">
      <c r="C104" t="s">
        <v>139</v>
      </c>
      <c r="D104" t="s">
        <v>115</v>
      </c>
      <c r="E104" t="s">
        <v>71</v>
      </c>
      <c r="F104" t="s">
        <v>40</v>
      </c>
      <c r="G104">
        <v>0.36155000000000004</v>
      </c>
      <c r="H104" t="s">
        <v>134</v>
      </c>
    </row>
    <row r="105" spans="3:8">
      <c r="C105" t="s">
        <v>139</v>
      </c>
      <c r="D105" t="s">
        <v>115</v>
      </c>
      <c r="E105" t="s">
        <v>71</v>
      </c>
      <c r="F105" t="s">
        <v>40</v>
      </c>
      <c r="G105">
        <v>0.36155000000000004</v>
      </c>
      <c r="H105" t="s">
        <v>135</v>
      </c>
    </row>
    <row r="106" spans="3:8">
      <c r="C106" t="s">
        <v>139</v>
      </c>
      <c r="D106" t="s">
        <v>116</v>
      </c>
      <c r="E106" t="s">
        <v>71</v>
      </c>
      <c r="F106" t="s">
        <v>40</v>
      </c>
      <c r="G106">
        <v>0.52664999999999995</v>
      </c>
      <c r="H106" t="s">
        <v>134</v>
      </c>
    </row>
    <row r="107" spans="3:8">
      <c r="C107" t="s">
        <v>139</v>
      </c>
      <c r="D107" t="s">
        <v>117</v>
      </c>
      <c r="E107" t="s">
        <v>71</v>
      </c>
      <c r="F107" t="s">
        <v>40</v>
      </c>
      <c r="G107">
        <v>0.54984999999999995</v>
      </c>
      <c r="H107" t="s">
        <v>134</v>
      </c>
    </row>
    <row r="108" spans="3:8">
      <c r="C108" t="s">
        <v>139</v>
      </c>
      <c r="D108" t="s">
        <v>117</v>
      </c>
      <c r="E108" t="s">
        <v>71</v>
      </c>
      <c r="F108" t="s">
        <v>40</v>
      </c>
      <c r="G108">
        <v>0.54984999999999995</v>
      </c>
      <c r="H108" t="s">
        <v>135</v>
      </c>
    </row>
    <row r="109" spans="3:8">
      <c r="C109" t="s">
        <v>139</v>
      </c>
      <c r="D109" t="s">
        <v>118</v>
      </c>
      <c r="E109" t="s">
        <v>71</v>
      </c>
      <c r="F109" t="s">
        <v>40</v>
      </c>
      <c r="G109">
        <v>0.39585000000000004</v>
      </c>
      <c r="H109" t="s">
        <v>134</v>
      </c>
    </row>
    <row r="110" spans="3:8">
      <c r="C110" t="s">
        <v>139</v>
      </c>
      <c r="D110" t="s">
        <v>118</v>
      </c>
      <c r="E110" t="s">
        <v>71</v>
      </c>
      <c r="F110" t="s">
        <v>40</v>
      </c>
      <c r="G110">
        <v>0.39585000000000004</v>
      </c>
      <c r="H110" t="s">
        <v>135</v>
      </c>
    </row>
    <row r="111" spans="3:8">
      <c r="C111" t="s">
        <v>139</v>
      </c>
      <c r="D111" t="s">
        <v>119</v>
      </c>
      <c r="E111" t="s">
        <v>71</v>
      </c>
      <c r="F111" t="s">
        <v>40</v>
      </c>
      <c r="G111">
        <v>0.58504999999999996</v>
      </c>
      <c r="H111" t="s">
        <v>134</v>
      </c>
    </row>
    <row r="112" spans="3:8">
      <c r="C112" t="s">
        <v>139</v>
      </c>
      <c r="D112" t="s">
        <v>120</v>
      </c>
      <c r="E112" t="s">
        <v>71</v>
      </c>
      <c r="F112" t="s">
        <v>40</v>
      </c>
      <c r="G112">
        <v>0.40505000000000002</v>
      </c>
      <c r="H112" t="s">
        <v>134</v>
      </c>
    </row>
    <row r="113" spans="3:8">
      <c r="C113" t="s">
        <v>139</v>
      </c>
      <c r="D113" t="s">
        <v>120</v>
      </c>
      <c r="E113" t="s">
        <v>71</v>
      </c>
      <c r="F113" t="s">
        <v>40</v>
      </c>
      <c r="G113">
        <v>0.40505000000000002</v>
      </c>
      <c r="H113" t="s">
        <v>135</v>
      </c>
    </row>
    <row r="114" spans="3:8">
      <c r="C114" t="s">
        <v>139</v>
      </c>
      <c r="D114" t="s">
        <v>121</v>
      </c>
      <c r="E114" t="s">
        <v>71</v>
      </c>
      <c r="F114" t="s">
        <v>40</v>
      </c>
      <c r="G114">
        <v>0.35052499999999998</v>
      </c>
      <c r="H114" t="s">
        <v>134</v>
      </c>
    </row>
    <row r="115" spans="3:8">
      <c r="C115" t="s">
        <v>139</v>
      </c>
      <c r="D115" t="s">
        <v>122</v>
      </c>
      <c r="E115" t="s">
        <v>71</v>
      </c>
      <c r="F115" t="s">
        <v>40</v>
      </c>
      <c r="G115">
        <v>0.44087500000000002</v>
      </c>
      <c r="H115" t="s">
        <v>134</v>
      </c>
    </row>
    <row r="116" spans="3:8">
      <c r="C116" t="s">
        <v>139</v>
      </c>
      <c r="D116" t="s">
        <v>123</v>
      </c>
      <c r="E116" t="s">
        <v>71</v>
      </c>
      <c r="F116" t="s">
        <v>40</v>
      </c>
      <c r="G116">
        <v>0.18870000000000001</v>
      </c>
      <c r="H116" t="s">
        <v>134</v>
      </c>
    </row>
    <row r="117" spans="3:8">
      <c r="C117" t="s">
        <v>139</v>
      </c>
      <c r="D117" t="s">
        <v>50</v>
      </c>
      <c r="E117" t="s">
        <v>71</v>
      </c>
      <c r="F117" t="s">
        <v>40</v>
      </c>
      <c r="G117">
        <v>0.41527499999999995</v>
      </c>
      <c r="H117" t="s">
        <v>134</v>
      </c>
    </row>
    <row r="118" spans="3:8">
      <c r="C118" t="s">
        <v>139</v>
      </c>
      <c r="D118" t="s">
        <v>124</v>
      </c>
      <c r="E118" t="s">
        <v>71</v>
      </c>
      <c r="F118" t="s">
        <v>40</v>
      </c>
      <c r="G118">
        <v>0.37562499999999999</v>
      </c>
      <c r="H118" t="s">
        <v>134</v>
      </c>
    </row>
    <row r="119" spans="3:8">
      <c r="C119" t="s">
        <v>139</v>
      </c>
      <c r="D119" t="s">
        <v>105</v>
      </c>
      <c r="E119" t="s">
        <v>71</v>
      </c>
      <c r="F119" t="s">
        <v>40</v>
      </c>
      <c r="G119">
        <v>0.44414999999999999</v>
      </c>
      <c r="H119" t="s">
        <v>134</v>
      </c>
    </row>
    <row r="120" spans="3:8">
      <c r="C120" t="s">
        <v>139</v>
      </c>
      <c r="D120" t="s">
        <v>105</v>
      </c>
      <c r="E120" t="s">
        <v>71</v>
      </c>
      <c r="F120" t="s">
        <v>40</v>
      </c>
      <c r="G120">
        <v>0.44414999999999999</v>
      </c>
      <c r="H120" t="s">
        <v>135</v>
      </c>
    </row>
    <row r="121" spans="3:8">
      <c r="C121" t="s">
        <v>139</v>
      </c>
      <c r="D121" t="s">
        <v>51</v>
      </c>
      <c r="E121" t="s">
        <v>71</v>
      </c>
      <c r="F121" t="s">
        <v>40</v>
      </c>
      <c r="G121">
        <v>0.25219999999999998</v>
      </c>
      <c r="H121" t="s">
        <v>134</v>
      </c>
    </row>
    <row r="122" spans="3:8">
      <c r="C122" t="s">
        <v>139</v>
      </c>
      <c r="D122" t="s">
        <v>51</v>
      </c>
      <c r="E122" t="s">
        <v>71</v>
      </c>
      <c r="F122" t="s">
        <v>40</v>
      </c>
      <c r="G122">
        <v>0.25219999999999998</v>
      </c>
      <c r="H122" t="s">
        <v>135</v>
      </c>
    </row>
    <row r="123" spans="3:8">
      <c r="C123" t="s">
        <v>139</v>
      </c>
      <c r="D123" t="s">
        <v>125</v>
      </c>
      <c r="E123" t="s">
        <v>71</v>
      </c>
      <c r="F123" t="s">
        <v>40</v>
      </c>
      <c r="G123">
        <v>0.33845000000000003</v>
      </c>
      <c r="H123" t="s">
        <v>134</v>
      </c>
    </row>
    <row r="124" spans="3:8">
      <c r="C124" t="s">
        <v>139</v>
      </c>
      <c r="D124" t="s">
        <v>112</v>
      </c>
      <c r="E124" t="s">
        <v>71</v>
      </c>
      <c r="F124" t="s">
        <v>40</v>
      </c>
      <c r="G124">
        <v>0.41107500000000002</v>
      </c>
      <c r="H124" t="s">
        <v>134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3622"/>
  <sheetViews>
    <sheetView zoomScale="55" zoomScaleNormal="55" workbookViewId="0">
      <selection activeCell="AJ54" sqref="AJ54"/>
    </sheetView>
  </sheetViews>
  <sheetFormatPr defaultColWidth="8.88671875" defaultRowHeight="14.4"/>
  <cols>
    <col min="1" max="1" width="18" bestFit="1" customWidth="1"/>
    <col min="2" max="4" width="8.88671875" customWidth="1"/>
    <col min="5" max="5" width="10.44140625" bestFit="1" customWidth="1"/>
    <col min="6" max="6" width="10.6640625" bestFit="1" customWidth="1"/>
    <col min="13" max="13" width="16.109375" customWidth="1"/>
    <col min="19" max="19" width="17.44140625" customWidth="1"/>
    <col min="27" max="27" width="10" bestFit="1" customWidth="1"/>
    <col min="29" max="29" width="10.5546875" bestFit="1" customWidth="1"/>
  </cols>
  <sheetData>
    <row r="1" spans="1:63" s="18" customFormat="1">
      <c r="A1" s="18" t="s">
        <v>186</v>
      </c>
      <c r="B1" s="18">
        <v>2</v>
      </c>
    </row>
    <row r="2" spans="1:63" s="18" customFormat="1"/>
    <row r="3" spans="1:63">
      <c r="C3" t="s">
        <v>33</v>
      </c>
      <c r="I3" s="18"/>
      <c r="J3" s="18" t="s">
        <v>172</v>
      </c>
      <c r="K3" s="18"/>
      <c r="L3" s="18"/>
      <c r="M3" s="18"/>
      <c r="P3" t="s">
        <v>173</v>
      </c>
    </row>
    <row r="4" spans="1:63">
      <c r="J4" s="18"/>
      <c r="K4" s="18"/>
      <c r="L4" s="18"/>
      <c r="M4" s="18"/>
    </row>
    <row r="5" spans="1:63">
      <c r="C5" t="str">
        <f>IF(B1=1, "~TFM_DINS-AT","Deactivated")</f>
        <v>Deactivated</v>
      </c>
      <c r="J5" s="19" t="str">
        <f>IF(B1=1, "~TFM_DINS-AT","Deactivated")</f>
        <v>Deactivated</v>
      </c>
      <c r="K5" s="18"/>
      <c r="L5" s="18"/>
      <c r="M5" s="18"/>
      <c r="P5" s="19" t="str">
        <f>IF(B1=1, "~TFM_DINS-AT","Deactivated")</f>
        <v>Deactivated</v>
      </c>
      <c r="Q5" s="18"/>
      <c r="R5" s="18"/>
      <c r="S5" s="18"/>
      <c r="Z5" s="19" t="str">
        <f>IF(B1=2, "~TFM_DINS-TS","Deactivated")</f>
        <v>~TFM_DINS-TS</v>
      </c>
      <c r="AA5" s="36"/>
      <c r="AB5" s="36"/>
      <c r="AC5" s="36"/>
    </row>
    <row r="6" spans="1:63">
      <c r="C6" s="20" t="s">
        <v>131</v>
      </c>
      <c r="D6" s="20" t="s">
        <v>0</v>
      </c>
      <c r="E6" s="20" t="s">
        <v>55</v>
      </c>
      <c r="F6" s="20" t="s">
        <v>140</v>
      </c>
      <c r="J6" s="20" t="s">
        <v>131</v>
      </c>
      <c r="K6" s="20" t="s">
        <v>0</v>
      </c>
      <c r="L6" s="20" t="s">
        <v>55</v>
      </c>
      <c r="M6" s="20" t="s">
        <v>140</v>
      </c>
      <c r="P6" s="20" t="s">
        <v>131</v>
      </c>
      <c r="Q6" s="20" t="s">
        <v>0</v>
      </c>
      <c r="R6" s="20" t="s">
        <v>55</v>
      </c>
      <c r="S6" s="20" t="s">
        <v>140</v>
      </c>
      <c r="Z6" s="20" t="s">
        <v>131</v>
      </c>
      <c r="AA6" s="20" t="s">
        <v>1</v>
      </c>
      <c r="AB6" s="20" t="s">
        <v>55</v>
      </c>
      <c r="AC6" s="20">
        <v>2010</v>
      </c>
      <c r="AD6" s="20">
        <v>2011</v>
      </c>
      <c r="AE6" s="20">
        <v>2012</v>
      </c>
      <c r="AF6" s="20">
        <v>2013</v>
      </c>
      <c r="AG6" s="20">
        <v>2014</v>
      </c>
      <c r="AH6" s="20">
        <v>2015</v>
      </c>
      <c r="AI6" s="20">
        <v>2016</v>
      </c>
      <c r="AJ6" s="20">
        <v>2017</v>
      </c>
      <c r="AK6" s="20">
        <v>2018</v>
      </c>
      <c r="AL6" s="20">
        <v>2019</v>
      </c>
      <c r="AM6" s="20">
        <v>2020</v>
      </c>
      <c r="AN6" s="20">
        <v>2025</v>
      </c>
      <c r="AO6" s="20">
        <v>2030</v>
      </c>
      <c r="AP6" s="20">
        <v>2035</v>
      </c>
      <c r="AQ6" s="20">
        <v>2040</v>
      </c>
      <c r="AR6" s="20">
        <v>2045</v>
      </c>
      <c r="AS6" s="20">
        <v>2050</v>
      </c>
      <c r="AT6" s="20">
        <v>2060</v>
      </c>
      <c r="AU6" s="20">
        <v>2070</v>
      </c>
      <c r="AV6" s="20">
        <v>2080</v>
      </c>
      <c r="AW6" s="39">
        <v>0</v>
      </c>
    </row>
    <row r="7" spans="1:63" ht="29.4" thickBot="1">
      <c r="C7" s="22" t="s">
        <v>166</v>
      </c>
      <c r="D7" s="21" t="s">
        <v>0</v>
      </c>
      <c r="E7" s="22" t="s">
        <v>167</v>
      </c>
      <c r="F7" s="22" t="s">
        <v>168</v>
      </c>
      <c r="J7" s="22" t="s">
        <v>166</v>
      </c>
      <c r="K7" s="21" t="s">
        <v>0</v>
      </c>
      <c r="L7" s="22" t="s">
        <v>167</v>
      </c>
      <c r="M7" s="22" t="s">
        <v>168</v>
      </c>
      <c r="P7" s="22" t="s">
        <v>166</v>
      </c>
      <c r="Q7" s="21" t="s">
        <v>0</v>
      </c>
      <c r="R7" s="22" t="s">
        <v>167</v>
      </c>
      <c r="S7" s="22" t="s">
        <v>168</v>
      </c>
      <c r="Z7" s="22" t="s">
        <v>166</v>
      </c>
      <c r="AA7" s="22" t="s">
        <v>140</v>
      </c>
      <c r="AB7" s="22" t="s">
        <v>167</v>
      </c>
      <c r="AC7" s="22" t="s">
        <v>189</v>
      </c>
      <c r="AD7" s="22" t="s">
        <v>189</v>
      </c>
      <c r="AE7" s="22" t="s">
        <v>189</v>
      </c>
      <c r="AF7" s="22" t="s">
        <v>189</v>
      </c>
      <c r="AG7" s="22" t="s">
        <v>189</v>
      </c>
      <c r="AH7" s="22" t="s">
        <v>189</v>
      </c>
      <c r="AI7" s="22" t="s">
        <v>189</v>
      </c>
      <c r="AJ7" s="22" t="s">
        <v>189</v>
      </c>
      <c r="AK7" s="22" t="s">
        <v>189</v>
      </c>
      <c r="AL7" s="22" t="s">
        <v>189</v>
      </c>
      <c r="AM7" s="22" t="s">
        <v>189</v>
      </c>
      <c r="AN7" s="22" t="s">
        <v>190</v>
      </c>
      <c r="AO7" s="22" t="s">
        <v>190</v>
      </c>
      <c r="AP7" s="22" t="s">
        <v>190</v>
      </c>
      <c r="AQ7" s="22" t="s">
        <v>190</v>
      </c>
      <c r="AR7" s="22" t="s">
        <v>190</v>
      </c>
      <c r="AS7" s="22" t="s">
        <v>190</v>
      </c>
      <c r="AT7" s="22" t="s">
        <v>190</v>
      </c>
      <c r="AU7" s="22" t="s">
        <v>190</v>
      </c>
      <c r="AV7" s="22" t="s">
        <v>190</v>
      </c>
    </row>
    <row r="8" spans="1:63" ht="15" thickTop="1">
      <c r="C8" s="23" t="s">
        <v>169</v>
      </c>
      <c r="D8" s="23"/>
      <c r="E8" s="24"/>
      <c r="F8" s="24" t="s">
        <v>170</v>
      </c>
      <c r="J8" s="23" t="s">
        <v>169</v>
      </c>
      <c r="K8" s="23"/>
      <c r="L8" s="24"/>
      <c r="M8" s="24" t="s">
        <v>170</v>
      </c>
      <c r="P8" s="23" t="s">
        <v>169</v>
      </c>
      <c r="Q8" s="23"/>
      <c r="R8" s="24"/>
      <c r="S8" s="24" t="s">
        <v>170</v>
      </c>
      <c r="Z8" s="23" t="s">
        <v>169</v>
      </c>
      <c r="AA8" s="24" t="s">
        <v>170</v>
      </c>
      <c r="AB8" s="24"/>
      <c r="AC8" s="24"/>
      <c r="AD8" s="24"/>
      <c r="AE8" s="24"/>
      <c r="AF8" s="24"/>
      <c r="AG8" s="24"/>
      <c r="AH8" s="24"/>
      <c r="AI8" s="24"/>
      <c r="AJ8" s="24"/>
      <c r="AK8" s="24"/>
      <c r="AL8" s="24"/>
      <c r="AM8" s="24"/>
      <c r="AN8" s="24"/>
      <c r="AO8" s="24"/>
      <c r="AP8" s="24"/>
      <c r="AQ8" s="24"/>
      <c r="AR8" s="24"/>
      <c r="AS8" s="24"/>
      <c r="AT8" s="24"/>
      <c r="AU8" s="24"/>
      <c r="AV8" s="24"/>
      <c r="AZ8" s="36" t="s">
        <v>187</v>
      </c>
      <c r="BA8" s="36" t="s">
        <v>131</v>
      </c>
      <c r="BB8" s="37">
        <v>2020</v>
      </c>
      <c r="BC8" s="37">
        <v>2025</v>
      </c>
      <c r="BD8" s="37">
        <v>2030</v>
      </c>
      <c r="BE8" s="37">
        <v>2035</v>
      </c>
      <c r="BF8" s="37">
        <v>2040</v>
      </c>
      <c r="BG8" s="37">
        <v>2045</v>
      </c>
      <c r="BH8" s="37">
        <v>2050</v>
      </c>
      <c r="BI8" s="37">
        <v>2060</v>
      </c>
      <c r="BJ8" s="37">
        <v>2070</v>
      </c>
      <c r="BK8" s="37">
        <v>2080</v>
      </c>
    </row>
    <row r="9" spans="1:63" s="36" customFormat="1">
      <c r="C9" s="36" t="s">
        <v>113</v>
      </c>
      <c r="D9" s="36">
        <v>2010</v>
      </c>
      <c r="E9" s="36" t="s">
        <v>141</v>
      </c>
      <c r="F9" s="36">
        <v>174.6</v>
      </c>
      <c r="J9" s="36" t="s">
        <v>171</v>
      </c>
      <c r="K9" s="36">
        <v>2010</v>
      </c>
      <c r="L9" s="36" t="s">
        <v>174</v>
      </c>
      <c r="M9" s="36">
        <v>326.54000000000002</v>
      </c>
      <c r="P9" s="36" t="s">
        <v>171</v>
      </c>
      <c r="Q9" s="36">
        <v>2010</v>
      </c>
      <c r="R9" s="36" t="s">
        <v>175</v>
      </c>
      <c r="S9" s="36">
        <f>IF(Q9&lt;2040, 0,U9)</f>
        <v>0</v>
      </c>
      <c r="U9" s="36">
        <v>16.327000000000002</v>
      </c>
      <c r="Z9" s="36" t="str">
        <f t="shared" ref="Z9:Z40" si="0">BA9</f>
        <v>AFR_N</v>
      </c>
      <c r="AA9" s="36" t="s">
        <v>188</v>
      </c>
      <c r="AB9" s="36" t="str">
        <f t="shared" ref="AB9:AB40" si="1">AZ9</f>
        <v>DEMelin</v>
      </c>
      <c r="AC9" s="36" cm="1">
        <f t="array" ref="AC9">INDEX($F$9:$F$3622,MATCH(1, (AC$6=$D$9:$D$3622) * ($AB9=$E$9:$E$3622) * ($Z9=$C$9:$C$3622),0))</f>
        <v>299.66000000000003</v>
      </c>
      <c r="AD9" s="36" cm="1">
        <f t="array" ref="AD9">INDEX($F$9:$F$3622,MATCH(1, (AD$6=$D$9:$D$3622) * ($AB9=$E$9:$E$3622) * ($Z9=$C$9:$C$3622),0))</f>
        <v>297.99</v>
      </c>
      <c r="AE9" s="36" cm="1">
        <f t="array" ref="AE9">INDEX($F$9:$F$3622,MATCH(1, (AE$6=$D$9:$D$3622) * ($AB9=$E$9:$E$3622) * ($Z9=$C$9:$C$3622),0))</f>
        <v>307.39</v>
      </c>
      <c r="AF9" s="36" cm="1">
        <f t="array" ref="AF9">INDEX($F$9:$F$3622,MATCH(1, (AF$6=$D$9:$D$3622) * ($AB9=$E$9:$E$3622) * ($Z9=$C$9:$C$3622),0))</f>
        <v>305.42</v>
      </c>
      <c r="AG9" s="36" cm="1">
        <f t="array" ref="AG9">INDEX($F$9:$F$3622,MATCH(1, (AG$6=$D$9:$D$3622) * ($AB9=$E$9:$E$3622) * ($Z9=$C$9:$C$3622),0))</f>
        <v>320.08999999999997</v>
      </c>
      <c r="AH9" s="36" cm="1">
        <f t="array" ref="AH9">INDEX($F$9:$F$3622,MATCH(1, (AH$6=$D$9:$D$3622) * ($AB9=$E$9:$E$3622) * ($Z9=$C$9:$C$3622),0))</f>
        <v>313.7</v>
      </c>
      <c r="AI9" s="36" cm="1">
        <f t="array" ref="AI9">INDEX($F$9:$F$3622,MATCH(1, (AI$6=$D$9:$D$3622) * ($AB9=$E$9:$E$3622) * ($Z9=$C$9:$C$3622),0))</f>
        <v>298.73</v>
      </c>
      <c r="AJ9" s="36" cm="1">
        <f t="array" ref="AJ9">INDEX($F$9:$F$3622,MATCH(1, (AJ$6=$D$9:$D$3622) * ($AB9=$E$9:$E$3622) * ($Z9=$C$9:$C$3622),0))</f>
        <v>313.85000000000002</v>
      </c>
      <c r="AK9" s="36" cm="1">
        <f t="array" ref="AK9">INDEX($F$9:$F$3622,MATCH(1, (AK$6=$D$9:$D$3622) * ($AB9=$E$9:$E$3622) * ($Z9=$C$9:$C$3622),0))</f>
        <v>316.51</v>
      </c>
      <c r="AL9" s="36" cm="1">
        <f t="array" ref="AL9">INDEX($F$9:$F$3622,MATCH(1, (AL$6=$D$9:$D$3622) * ($AB9=$E$9:$E$3622) * ($Z9=$C$9:$C$3622),0))</f>
        <v>314.05</v>
      </c>
      <c r="AM9" s="36" cm="1">
        <f t="array" ref="AM9">INDEX($F$9:$F$3622,MATCH(1, (AM$6=$D$9:$D$3622) * ($AB9=$E$9:$E$3622) * ($Z9=$C$9:$C$3622),0))</f>
        <v>296.69</v>
      </c>
      <c r="AN9" s="36">
        <f>$AM9*BC9</f>
        <v>305.33606409519268</v>
      </c>
      <c r="AO9" s="36">
        <f t="shared" ref="AO9:AV9" si="2">$AM9*BD9</f>
        <v>290.02852025024663</v>
      </c>
      <c r="AP9" s="36">
        <f t="shared" si="2"/>
        <v>301.85967223657929</v>
      </c>
      <c r="AQ9" s="36">
        <f t="shared" si="2"/>
        <v>328.09811235048915</v>
      </c>
      <c r="AR9" s="36">
        <f t="shared" si="2"/>
        <v>356.92834305204462</v>
      </c>
      <c r="AS9" s="36">
        <f t="shared" si="2"/>
        <v>384.8436780629267</v>
      </c>
      <c r="AT9" s="36">
        <f t="shared" si="2"/>
        <v>461.78659591868512</v>
      </c>
      <c r="AU9" s="36">
        <f t="shared" si="2"/>
        <v>561.22603833890878</v>
      </c>
      <c r="AV9" s="36">
        <f t="shared" si="2"/>
        <v>694.41026760582997</v>
      </c>
      <c r="AW9" s="36">
        <v>5</v>
      </c>
      <c r="AZ9" s="37" t="s">
        <v>142</v>
      </c>
      <c r="BA9" s="37" t="s">
        <v>113</v>
      </c>
      <c r="BB9" s="38">
        <v>1</v>
      </c>
      <c r="BC9" s="38">
        <v>1.0291417442286315</v>
      </c>
      <c r="BD9" s="38">
        <v>0.97754733981680075</v>
      </c>
      <c r="BE9" s="38">
        <v>1.0174244910060308</v>
      </c>
      <c r="BF9" s="38">
        <v>1.1058617154285253</v>
      </c>
      <c r="BG9" s="38">
        <v>1.2030346255419617</v>
      </c>
      <c r="BH9" s="38">
        <v>1.2971238601332256</v>
      </c>
      <c r="BI9" s="38">
        <v>1.556461612857478</v>
      </c>
      <c r="BJ9" s="38">
        <v>1.8916243834942492</v>
      </c>
      <c r="BK9" s="38">
        <v>2.3405246809997977</v>
      </c>
    </row>
    <row r="10" spans="1:63">
      <c r="C10" t="s">
        <v>113</v>
      </c>
      <c r="D10">
        <v>2010</v>
      </c>
      <c r="E10" t="s">
        <v>142</v>
      </c>
      <c r="F10">
        <v>299.66000000000003</v>
      </c>
      <c r="J10" s="18" t="s">
        <v>171</v>
      </c>
      <c r="K10" s="18">
        <v>2011</v>
      </c>
      <c r="L10" s="18" t="s">
        <v>174</v>
      </c>
      <c r="M10" s="18">
        <v>333.39</v>
      </c>
      <c r="P10" s="18" t="s">
        <v>171</v>
      </c>
      <c r="Q10" s="18">
        <v>2011</v>
      </c>
      <c r="R10" s="18" t="s">
        <v>175</v>
      </c>
      <c r="S10" s="18">
        <f t="shared" ref="S10:S73" si="3">IF(Q10&lt;2040, 0,U10)</f>
        <v>0</v>
      </c>
      <c r="U10">
        <v>16.669499999999999</v>
      </c>
      <c r="Z10" s="36" t="str">
        <f t="shared" si="0"/>
        <v>AFR_S</v>
      </c>
      <c r="AA10" s="36" t="s">
        <v>188</v>
      </c>
      <c r="AB10" s="36" t="str">
        <f t="shared" si="1"/>
        <v>DEMelin</v>
      </c>
      <c r="AC10" s="36" cm="1">
        <f t="array" ref="AC10">INDEX($F$9:$F$3622,MATCH(1, (AC$6=$D$9:$D$3622) * ($AB10=$E$9:$E$3622) * ($Z10=$C$9:$C$3622),0))</f>
        <v>661.68</v>
      </c>
      <c r="AD10" s="36" cm="1">
        <f t="array" ref="AD10">INDEX($F$9:$F$3622,MATCH(1, (AD$6=$D$9:$D$3622) * ($AB10=$E$9:$E$3622) * ($Z10=$C$9:$C$3622),0))</f>
        <v>658.02</v>
      </c>
      <c r="AE10" s="36" cm="1">
        <f t="array" ref="AE10">INDEX($F$9:$F$3622,MATCH(1, (AE$6=$D$9:$D$3622) * ($AB10=$E$9:$E$3622) * ($Z10=$C$9:$C$3622),0))</f>
        <v>678.76</v>
      </c>
      <c r="AF10" s="36" cm="1">
        <f t="array" ref="AF10">INDEX($F$9:$F$3622,MATCH(1, (AF$6=$D$9:$D$3622) * ($AB10=$E$9:$E$3622) * ($Z10=$C$9:$C$3622),0))</f>
        <v>674.42</v>
      </c>
      <c r="AG10" s="36" cm="1">
        <f t="array" ref="AG10">INDEX($F$9:$F$3622,MATCH(1, (AG$6=$D$9:$D$3622) * ($AB10=$E$9:$E$3622) * ($Z10=$C$9:$C$3622),0))</f>
        <v>706.8</v>
      </c>
      <c r="AH10" s="36" cm="1">
        <f t="array" ref="AH10">INDEX($F$9:$F$3622,MATCH(1, (AH$6=$D$9:$D$3622) * ($AB10=$E$9:$E$3622) * ($Z10=$C$9:$C$3622),0))</f>
        <v>692.7</v>
      </c>
      <c r="AI10" s="36" cm="1">
        <f t="array" ref="AI10">INDEX($F$9:$F$3622,MATCH(1, (AI$6=$D$9:$D$3622) * ($AB10=$E$9:$E$3622) * ($Z10=$C$9:$C$3622),0))</f>
        <v>659.63</v>
      </c>
      <c r="AJ10" s="36" cm="1">
        <f t="array" ref="AJ10">INDEX($F$9:$F$3622,MATCH(1, (AJ$6=$D$9:$D$3622) * ($AB10=$E$9:$E$3622) * ($Z10=$C$9:$C$3622),0))</f>
        <v>693.03</v>
      </c>
      <c r="AK10" s="36" cm="1">
        <f t="array" ref="AK10">INDEX($F$9:$F$3622,MATCH(1, (AK$6=$D$9:$D$3622) * ($AB10=$E$9:$E$3622) * ($Z10=$C$9:$C$3622),0))</f>
        <v>698.9</v>
      </c>
      <c r="AL10" s="36" cm="1">
        <f t="array" ref="AL10">INDEX($F$9:$F$3622,MATCH(1, (AL$6=$D$9:$D$3622) * ($AB10=$E$9:$E$3622) * ($Z10=$C$9:$C$3622),0))</f>
        <v>693.47</v>
      </c>
      <c r="AM10" s="36" cm="1">
        <f t="array" ref="AM10">INDEX($F$9:$F$3622,MATCH(1, (AM$6=$D$9:$D$3622) * ($AB10=$E$9:$E$3622) * ($Z10=$C$9:$C$3622),0))</f>
        <v>655.14</v>
      </c>
      <c r="AN10" s="36">
        <f t="shared" ref="AN10:AN73" si="4">$AM10*BC10</f>
        <v>674.23192231394557</v>
      </c>
      <c r="AO10" s="36">
        <f t="shared" ref="AO10:AO73" si="5">$AM10*BD10</f>
        <v>640.4303642075788</v>
      </c>
      <c r="AP10" s="36">
        <f t="shared" ref="AP10:AP73" si="6">$AM10*BE10</f>
        <v>666.55548103769104</v>
      </c>
      <c r="AQ10" s="36">
        <f t="shared" ref="AQ10:AQ73" si="7">$AM10*BF10</f>
        <v>724.49424424584402</v>
      </c>
      <c r="AR10" s="36">
        <f t="shared" ref="AR10:AR73" si="8">$AM10*BG10</f>
        <v>788.15610457756077</v>
      </c>
      <c r="AS10" s="36">
        <f t="shared" ref="AS10:AS73" si="9">$AM10*BH10</f>
        <v>849.79772572768138</v>
      </c>
      <c r="AT10" s="36">
        <f t="shared" ref="AT10:AT73" si="10">$AM10*BI10</f>
        <v>1019.7002610474481</v>
      </c>
      <c r="AU10" s="36">
        <f t="shared" ref="AU10:AU73" si="11">$AM10*BJ10</f>
        <v>1239.2787986024225</v>
      </c>
      <c r="AV10" s="36">
        <f t="shared" ref="AV10:AV73" si="12">$AM10*BK10</f>
        <v>1533.3713395102075</v>
      </c>
      <c r="AW10" s="36">
        <v>5</v>
      </c>
      <c r="AZ10" s="37" t="s">
        <v>142</v>
      </c>
      <c r="BA10" s="37" t="s">
        <v>114</v>
      </c>
      <c r="BB10" s="38">
        <v>1</v>
      </c>
      <c r="BC10" s="38">
        <v>1.0291417442286315</v>
      </c>
      <c r="BD10" s="38">
        <v>0.97754733981680075</v>
      </c>
      <c r="BE10" s="38">
        <v>1.0174244910060308</v>
      </c>
      <c r="BF10" s="38">
        <v>1.1058617154285253</v>
      </c>
      <c r="BG10" s="38">
        <v>1.2030346255419617</v>
      </c>
      <c r="BH10" s="38">
        <v>1.2971238601332256</v>
      </c>
      <c r="BI10" s="38">
        <v>1.556461612857478</v>
      </c>
      <c r="BJ10" s="38">
        <v>1.8916243834942492</v>
      </c>
      <c r="BK10" s="38">
        <v>2.3405246809997977</v>
      </c>
    </row>
    <row r="11" spans="1:63">
      <c r="C11" t="s">
        <v>113</v>
      </c>
      <c r="D11">
        <v>2010</v>
      </c>
      <c r="E11" t="s">
        <v>143</v>
      </c>
      <c r="F11">
        <v>321.24</v>
      </c>
      <c r="J11" s="18" t="s">
        <v>171</v>
      </c>
      <c r="K11" s="18">
        <v>2012</v>
      </c>
      <c r="L11" s="18" t="s">
        <v>174</v>
      </c>
      <c r="M11" s="18">
        <v>361.58</v>
      </c>
      <c r="P11" s="18" t="s">
        <v>171</v>
      </c>
      <c r="Q11" s="18">
        <v>2012</v>
      </c>
      <c r="R11" s="18" t="s">
        <v>175</v>
      </c>
      <c r="S11" s="18">
        <f t="shared" si="3"/>
        <v>0</v>
      </c>
      <c r="U11">
        <v>18.079000000000001</v>
      </c>
      <c r="Z11" s="36" t="str">
        <f t="shared" si="0"/>
        <v>ANZ</v>
      </c>
      <c r="AA11" s="36" t="s">
        <v>188</v>
      </c>
      <c r="AB11" s="36" t="str">
        <f t="shared" si="1"/>
        <v>DEMelin</v>
      </c>
      <c r="AC11" s="36" cm="1">
        <f t="array" ref="AC11">INDEX($F$9:$F$3622,MATCH(1, (AC$6=$D$9:$D$3622) * ($AB11=$E$9:$E$3622) * ($Z11=$C$9:$C$3622),0))</f>
        <v>383.27</v>
      </c>
      <c r="AD11" s="36" cm="1">
        <f t="array" ref="AD11">INDEX($F$9:$F$3622,MATCH(1, (AD$6=$D$9:$D$3622) * ($AB11=$E$9:$E$3622) * ($Z11=$C$9:$C$3622),0))</f>
        <v>374.78</v>
      </c>
      <c r="AE11" s="36" cm="1">
        <f t="array" ref="AE11">INDEX($F$9:$F$3622,MATCH(1, (AE$6=$D$9:$D$3622) * ($AB11=$E$9:$E$3622) * ($Z11=$C$9:$C$3622),0))</f>
        <v>374.11</v>
      </c>
      <c r="AF11" s="36" cm="1">
        <f t="array" ref="AF11">INDEX($F$9:$F$3622,MATCH(1, (AF$6=$D$9:$D$3622) * ($AB11=$E$9:$E$3622) * ($Z11=$C$9:$C$3622),0))</f>
        <v>360.83</v>
      </c>
      <c r="AG11" s="36" cm="1">
        <f t="array" ref="AG11">INDEX($F$9:$F$3622,MATCH(1, (AG$6=$D$9:$D$3622) * ($AB11=$E$9:$E$3622) * ($Z11=$C$9:$C$3622),0))</f>
        <v>370.48</v>
      </c>
      <c r="AH11" s="36" cm="1">
        <f t="array" ref="AH11">INDEX($F$9:$F$3622,MATCH(1, (AH$6=$D$9:$D$3622) * ($AB11=$E$9:$E$3622) * ($Z11=$C$9:$C$3622),0))</f>
        <v>353.47</v>
      </c>
      <c r="AI11" s="36" cm="1">
        <f t="array" ref="AI11">INDEX($F$9:$F$3622,MATCH(1, (AI$6=$D$9:$D$3622) * ($AB11=$E$9:$E$3622) * ($Z11=$C$9:$C$3622),0))</f>
        <v>356.98</v>
      </c>
      <c r="AJ11" s="36" cm="1">
        <f t="array" ref="AJ11">INDEX($F$9:$F$3622,MATCH(1, (AJ$6=$D$9:$D$3622) * ($AB11=$E$9:$E$3622) * ($Z11=$C$9:$C$3622),0))</f>
        <v>357.9</v>
      </c>
      <c r="AK11" s="36" cm="1">
        <f t="array" ref="AK11">INDEX($F$9:$F$3622,MATCH(1, (AK$6=$D$9:$D$3622) * ($AB11=$E$9:$E$3622) * ($Z11=$C$9:$C$3622),0))</f>
        <v>356.99</v>
      </c>
      <c r="AL11" s="36" cm="1">
        <f t="array" ref="AL11">INDEX($F$9:$F$3622,MATCH(1, (AL$6=$D$9:$D$3622) * ($AB11=$E$9:$E$3622) * ($Z11=$C$9:$C$3622),0))</f>
        <v>370.02</v>
      </c>
      <c r="AM11" s="36" cm="1">
        <f t="array" ref="AM11">INDEX($F$9:$F$3622,MATCH(1, (AM$6=$D$9:$D$3622) * ($AB11=$E$9:$E$3622) * ($Z11=$C$9:$C$3622),0))</f>
        <v>366.72</v>
      </c>
      <c r="AN11" s="36">
        <f t="shared" si="4"/>
        <v>378.32043155440527</v>
      </c>
      <c r="AO11" s="36">
        <f t="shared" si="5"/>
        <v>372.23560361500455</v>
      </c>
      <c r="AP11" s="36">
        <f t="shared" si="6"/>
        <v>403.39093348946909</v>
      </c>
      <c r="AQ11" s="36">
        <f t="shared" si="7"/>
        <v>438.67361889468441</v>
      </c>
      <c r="AR11" s="36">
        <f t="shared" si="8"/>
        <v>485.81595899875543</v>
      </c>
      <c r="AS11" s="36">
        <f t="shared" si="9"/>
        <v>523.0078977346235</v>
      </c>
      <c r="AT11" s="36">
        <f t="shared" si="10"/>
        <v>556.03494793600498</v>
      </c>
      <c r="AU11" s="36">
        <f t="shared" si="11"/>
        <v>604.19526831653684</v>
      </c>
      <c r="AV11" s="36">
        <f t="shared" si="12"/>
        <v>675.05549396579784</v>
      </c>
      <c r="AW11" s="36">
        <v>5</v>
      </c>
      <c r="AZ11" s="37" t="s">
        <v>142</v>
      </c>
      <c r="BA11" s="37" t="s">
        <v>115</v>
      </c>
      <c r="BB11" s="38">
        <v>1</v>
      </c>
      <c r="BC11" s="38">
        <v>1.0316329394480945</v>
      </c>
      <c r="BD11" s="38">
        <v>1.0150403676238124</v>
      </c>
      <c r="BE11" s="38">
        <v>1.0999970917579327</v>
      </c>
      <c r="BF11" s="38">
        <v>1.1962086030068837</v>
      </c>
      <c r="BG11" s="38">
        <v>1.3247599230987004</v>
      </c>
      <c r="BH11" s="38">
        <v>1.4261777316061939</v>
      </c>
      <c r="BI11" s="38">
        <v>1.5162384051483555</v>
      </c>
      <c r="BJ11" s="38">
        <v>1.6475656313169089</v>
      </c>
      <c r="BK11" s="38">
        <v>1.8407926864250594</v>
      </c>
    </row>
    <row r="12" spans="1:63">
      <c r="C12" t="s">
        <v>113</v>
      </c>
      <c r="D12">
        <v>2010</v>
      </c>
      <c r="E12" t="s">
        <v>144</v>
      </c>
      <c r="F12">
        <v>4.96</v>
      </c>
      <c r="J12" s="18" t="s">
        <v>171</v>
      </c>
      <c r="K12" s="18">
        <v>2013</v>
      </c>
      <c r="L12" s="18" t="s">
        <v>174</v>
      </c>
      <c r="M12" s="18">
        <v>374.62</v>
      </c>
      <c r="P12" s="18" t="s">
        <v>171</v>
      </c>
      <c r="Q12" s="18">
        <v>2013</v>
      </c>
      <c r="R12" s="18" t="s">
        <v>175</v>
      </c>
      <c r="S12" s="18">
        <f t="shared" si="3"/>
        <v>0</v>
      </c>
      <c r="U12">
        <v>18.731000000000002</v>
      </c>
      <c r="Z12" s="36" t="str">
        <f t="shared" si="0"/>
        <v>BRZ</v>
      </c>
      <c r="AA12" s="36" t="s">
        <v>188</v>
      </c>
      <c r="AB12" s="36" t="str">
        <f t="shared" si="1"/>
        <v>DEMelin</v>
      </c>
      <c r="AC12" s="36" cm="1">
        <f t="array" ref="AC12">INDEX($F$9:$F$3622,MATCH(1, (AC$6=$D$9:$D$3622) * ($AB12=$E$9:$E$3622) * ($Z12=$C$9:$C$3622),0))</f>
        <v>694.26</v>
      </c>
      <c r="AD12" s="36" cm="1">
        <f t="array" ref="AD12">INDEX($F$9:$F$3622,MATCH(1, (AD$6=$D$9:$D$3622) * ($AB12=$E$9:$E$3622) * ($Z12=$C$9:$C$3622),0))</f>
        <v>705.65</v>
      </c>
      <c r="AE12" s="36" cm="1">
        <f t="array" ref="AE12">INDEX($F$9:$F$3622,MATCH(1, (AE$6=$D$9:$D$3622) * ($AB12=$E$9:$E$3622) * ($Z12=$C$9:$C$3622),0))</f>
        <v>714.95</v>
      </c>
      <c r="AF12" s="36" cm="1">
        <f t="array" ref="AF12">INDEX($F$9:$F$3622,MATCH(1, (AF$6=$D$9:$D$3622) * ($AB12=$E$9:$E$3622) * ($Z12=$C$9:$C$3622),0))</f>
        <v>707.41</v>
      </c>
      <c r="AG12" s="36" cm="1">
        <f t="array" ref="AG12">INDEX($F$9:$F$3622,MATCH(1, (AG$6=$D$9:$D$3622) * ($AB12=$E$9:$E$3622) * ($Z12=$C$9:$C$3622),0))</f>
        <v>683.38</v>
      </c>
      <c r="AH12" s="36" cm="1">
        <f t="array" ref="AH12">INDEX($F$9:$F$3622,MATCH(1, (AH$6=$D$9:$D$3622) * ($AB12=$E$9:$E$3622) * ($Z12=$C$9:$C$3622),0))</f>
        <v>644.94000000000005</v>
      </c>
      <c r="AI12" s="36" cm="1">
        <f t="array" ref="AI12">INDEX($F$9:$F$3622,MATCH(1, (AI$6=$D$9:$D$3622) * ($AB12=$E$9:$E$3622) * ($Z12=$C$9:$C$3622),0))</f>
        <v>639.11</v>
      </c>
      <c r="AJ12" s="36" cm="1">
        <f t="array" ref="AJ12">INDEX($F$9:$F$3622,MATCH(1, (AJ$6=$D$9:$D$3622) * ($AB12=$E$9:$E$3622) * ($Z12=$C$9:$C$3622),0))</f>
        <v>653.21</v>
      </c>
      <c r="AK12" s="36" cm="1">
        <f t="array" ref="AK12">INDEX($F$9:$F$3622,MATCH(1, (AK$6=$D$9:$D$3622) * ($AB12=$E$9:$E$3622) * ($Z12=$C$9:$C$3622),0))</f>
        <v>662.51</v>
      </c>
      <c r="AL12" s="36" cm="1">
        <f t="array" ref="AL12">INDEX($F$9:$F$3622,MATCH(1, (AL$6=$D$9:$D$3622) * ($AB12=$E$9:$E$3622) * ($Z12=$C$9:$C$3622),0))</f>
        <v>671.69</v>
      </c>
      <c r="AM12" s="36" cm="1">
        <f t="array" ref="AM12">INDEX($F$9:$F$3622,MATCH(1, (AM$6=$D$9:$D$3622) * ($AB12=$E$9:$E$3622) * ($Z12=$C$9:$C$3622),0))</f>
        <v>672.86</v>
      </c>
      <c r="AN12" s="36">
        <f t="shared" si="4"/>
        <v>698.57607376775036</v>
      </c>
      <c r="AO12" s="36">
        <f t="shared" si="5"/>
        <v>683.57782274700867</v>
      </c>
      <c r="AP12" s="36">
        <f t="shared" si="6"/>
        <v>738.45194551934435</v>
      </c>
      <c r="AQ12" s="36">
        <f t="shared" si="7"/>
        <v>798.56309952253355</v>
      </c>
      <c r="AR12" s="36">
        <f t="shared" si="8"/>
        <v>878.59691208345578</v>
      </c>
      <c r="AS12" s="36">
        <f t="shared" si="9"/>
        <v>940.51460762085867</v>
      </c>
      <c r="AT12" s="36">
        <f t="shared" si="10"/>
        <v>999.90648926465462</v>
      </c>
      <c r="AU12" s="36">
        <f t="shared" si="11"/>
        <v>1086.5122270016689</v>
      </c>
      <c r="AV12" s="36">
        <f t="shared" si="12"/>
        <v>1213.9387488785098</v>
      </c>
      <c r="AW12" s="36">
        <v>5</v>
      </c>
      <c r="AZ12" s="37" t="s">
        <v>142</v>
      </c>
      <c r="BA12" s="37" t="s">
        <v>116</v>
      </c>
      <c r="BB12" s="38">
        <v>1</v>
      </c>
      <c r="BC12" s="38">
        <v>1.0382190556248705</v>
      </c>
      <c r="BD12" s="38">
        <v>1.0159287559774821</v>
      </c>
      <c r="BE12" s="38">
        <v>1.0974823076410314</v>
      </c>
      <c r="BF12" s="38">
        <v>1.1868190998462289</v>
      </c>
      <c r="BG12" s="38">
        <v>1.3057648130122994</v>
      </c>
      <c r="BH12" s="38">
        <v>1.3977864750778151</v>
      </c>
      <c r="BI12" s="38">
        <v>1.4860542895470894</v>
      </c>
      <c r="BJ12" s="38">
        <v>1.6147671536451398</v>
      </c>
      <c r="BK12" s="38">
        <v>1.8041475921863535</v>
      </c>
    </row>
    <row r="13" spans="1:63">
      <c r="C13" t="s">
        <v>113</v>
      </c>
      <c r="D13">
        <v>2011</v>
      </c>
      <c r="E13" t="s">
        <v>141</v>
      </c>
      <c r="F13">
        <v>177.42</v>
      </c>
      <c r="J13" s="18" t="s">
        <v>171</v>
      </c>
      <c r="K13" s="18">
        <v>2014</v>
      </c>
      <c r="L13" s="18" t="s">
        <v>174</v>
      </c>
      <c r="M13" s="18">
        <v>378.22</v>
      </c>
      <c r="P13" s="18" t="s">
        <v>171</v>
      </c>
      <c r="Q13" s="18">
        <v>2014</v>
      </c>
      <c r="R13" s="18" t="s">
        <v>175</v>
      </c>
      <c r="S13" s="18">
        <f t="shared" si="3"/>
        <v>0</v>
      </c>
      <c r="U13">
        <v>18.911000000000001</v>
      </c>
      <c r="Z13" s="36" t="str">
        <f t="shared" si="0"/>
        <v>CAN</v>
      </c>
      <c r="AA13" s="36" t="s">
        <v>188</v>
      </c>
      <c r="AB13" s="36" t="str">
        <f t="shared" si="1"/>
        <v>DEMelin</v>
      </c>
      <c r="AC13" s="36" cm="1">
        <f t="array" ref="AC13">INDEX($F$9:$F$3622,MATCH(1, (AC$6=$D$9:$D$3622) * ($AB13=$E$9:$E$3622) * ($Z13=$C$9:$C$3622),0))</f>
        <v>716.29</v>
      </c>
      <c r="AD13" s="36" cm="1">
        <f t="array" ref="AD13">INDEX($F$9:$F$3622,MATCH(1, (AD$6=$D$9:$D$3622) * ($AB13=$E$9:$E$3622) * ($Z13=$C$9:$C$3622),0))</f>
        <v>722.14</v>
      </c>
      <c r="AE13" s="36" cm="1">
        <f t="array" ref="AE13">INDEX($F$9:$F$3622,MATCH(1, (AE$6=$D$9:$D$3622) * ($AB13=$E$9:$E$3622) * ($Z13=$C$9:$C$3622),0))</f>
        <v>702.75</v>
      </c>
      <c r="AF13" s="36" cm="1">
        <f t="array" ref="AF13">INDEX($F$9:$F$3622,MATCH(1, (AF$6=$D$9:$D$3622) * ($AB13=$E$9:$E$3622) * ($Z13=$C$9:$C$3622),0))</f>
        <v>715.07</v>
      </c>
      <c r="AG13" s="36" cm="1">
        <f t="array" ref="AG13">INDEX($F$9:$F$3622,MATCH(1, (AG$6=$D$9:$D$3622) * ($AB13=$E$9:$E$3622) * ($Z13=$C$9:$C$3622),0))</f>
        <v>701.83</v>
      </c>
      <c r="AH13" s="36" cm="1">
        <f t="array" ref="AH13">INDEX($F$9:$F$3622,MATCH(1, (AH$6=$D$9:$D$3622) * ($AB13=$E$9:$E$3622) * ($Z13=$C$9:$C$3622),0))</f>
        <v>667.77</v>
      </c>
      <c r="AI13" s="36" cm="1">
        <f t="array" ref="AI13">INDEX($F$9:$F$3622,MATCH(1, (AI$6=$D$9:$D$3622) * ($AB13=$E$9:$E$3622) * ($Z13=$C$9:$C$3622),0))</f>
        <v>689.71</v>
      </c>
      <c r="AJ13" s="36" cm="1">
        <f t="array" ref="AJ13">INDEX($F$9:$F$3622,MATCH(1, (AJ$6=$D$9:$D$3622) * ($AB13=$E$9:$E$3622) * ($Z13=$C$9:$C$3622),0))</f>
        <v>690.75</v>
      </c>
      <c r="AK13" s="36" cm="1">
        <f t="array" ref="AK13">INDEX($F$9:$F$3622,MATCH(1, (AK$6=$D$9:$D$3622) * ($AB13=$E$9:$E$3622) * ($Z13=$C$9:$C$3622),0))</f>
        <v>701.23</v>
      </c>
      <c r="AL13" s="36" cm="1">
        <f t="array" ref="AL13">INDEX($F$9:$F$3622,MATCH(1, (AL$6=$D$9:$D$3622) * ($AB13=$E$9:$E$3622) * ($Z13=$C$9:$C$3622),0))</f>
        <v>671.64</v>
      </c>
      <c r="AM13" s="36" cm="1">
        <f t="array" ref="AM13">INDEX($F$9:$F$3622,MATCH(1, (AM$6=$D$9:$D$3622) * ($AB13=$E$9:$E$3622) * ($Z13=$C$9:$C$3622),0))</f>
        <v>623.02</v>
      </c>
      <c r="AN13" s="36">
        <f t="shared" si="4"/>
        <v>641.60392965358471</v>
      </c>
      <c r="AO13" s="36">
        <f t="shared" si="5"/>
        <v>611.12658417685134</v>
      </c>
      <c r="AP13" s="36">
        <f t="shared" si="6"/>
        <v>628.14261092950755</v>
      </c>
      <c r="AQ13" s="36">
        <f t="shared" si="7"/>
        <v>666.92225013889652</v>
      </c>
      <c r="AR13" s="36">
        <f t="shared" si="8"/>
        <v>709.58910278121618</v>
      </c>
      <c r="AS13" s="36">
        <f t="shared" si="9"/>
        <v>749.6551022854743</v>
      </c>
      <c r="AT13" s="36">
        <f t="shared" si="10"/>
        <v>899.53583111966304</v>
      </c>
      <c r="AU13" s="36">
        <f t="shared" si="11"/>
        <v>1093.238598315839</v>
      </c>
      <c r="AV13" s="36">
        <f t="shared" si="12"/>
        <v>1352.6744230549969</v>
      </c>
      <c r="AW13" s="36">
        <v>5</v>
      </c>
      <c r="AZ13" s="37" t="s">
        <v>142</v>
      </c>
      <c r="BA13" s="37" t="s">
        <v>117</v>
      </c>
      <c r="BB13" s="38">
        <v>1</v>
      </c>
      <c r="BC13" s="38">
        <v>1.029828785036732</v>
      </c>
      <c r="BD13" s="38">
        <v>0.98091005774590123</v>
      </c>
      <c r="BE13" s="38">
        <v>1.0082222254975886</v>
      </c>
      <c r="BF13" s="38">
        <v>1.0704668391687209</v>
      </c>
      <c r="BG13" s="38">
        <v>1.1389507604590803</v>
      </c>
      <c r="BH13" s="38">
        <v>1.2032600916270333</v>
      </c>
      <c r="BI13" s="38">
        <v>1.4438313876274647</v>
      </c>
      <c r="BJ13" s="38">
        <v>1.7547407760839764</v>
      </c>
      <c r="BK13" s="38">
        <v>2.1711573032246108</v>
      </c>
    </row>
    <row r="14" spans="1:63">
      <c r="C14" t="s">
        <v>113</v>
      </c>
      <c r="D14">
        <v>2011</v>
      </c>
      <c r="E14" t="s">
        <v>142</v>
      </c>
      <c r="F14">
        <v>297.99</v>
      </c>
      <c r="J14" s="18" t="s">
        <v>171</v>
      </c>
      <c r="K14" s="18">
        <v>2015</v>
      </c>
      <c r="L14" s="18" t="s">
        <v>174</v>
      </c>
      <c r="M14" s="18">
        <v>383.07</v>
      </c>
      <c r="P14" s="18" t="s">
        <v>171</v>
      </c>
      <c r="Q14" s="18">
        <v>2015</v>
      </c>
      <c r="R14" s="18" t="s">
        <v>175</v>
      </c>
      <c r="S14" s="18">
        <f t="shared" si="3"/>
        <v>0</v>
      </c>
      <c r="U14">
        <v>19.153500000000001</v>
      </c>
      <c r="Z14" s="36" t="str">
        <f t="shared" si="0"/>
        <v>CHI</v>
      </c>
      <c r="AA14" s="36" t="s">
        <v>188</v>
      </c>
      <c r="AB14" s="36" t="str">
        <f t="shared" si="1"/>
        <v>DEMelin</v>
      </c>
      <c r="AC14" s="36" cm="1">
        <f t="array" ref="AC14">INDEX($F$9:$F$3622,MATCH(1, (AC$6=$D$9:$D$3622) * ($AB14=$E$9:$E$3622) * ($Z14=$C$9:$C$3622),0))</f>
        <v>9978.76</v>
      </c>
      <c r="AD14" s="36" cm="1">
        <f t="array" ref="AD14">INDEX($F$9:$F$3622,MATCH(1, (AD$6=$D$9:$D$3622) * ($AB14=$E$9:$E$3622) * ($Z14=$C$9:$C$3622),0))</f>
        <v>11262.81</v>
      </c>
      <c r="AE14" s="36" cm="1">
        <f t="array" ref="AE14">INDEX($F$9:$F$3622,MATCH(1, (AE$6=$D$9:$D$3622) * ($AB14=$E$9:$E$3622) * ($Z14=$C$9:$C$3622),0))</f>
        <v>11795.89</v>
      </c>
      <c r="AF14" s="36" cm="1">
        <f t="array" ref="AF14">INDEX($F$9:$F$3622,MATCH(1, (AF$6=$D$9:$D$3622) * ($AB14=$E$9:$E$3622) * ($Z14=$C$9:$C$3622),0))</f>
        <v>12786.7</v>
      </c>
      <c r="AG14" s="36" cm="1">
        <f t="array" ref="AG14">INDEX($F$9:$F$3622,MATCH(1, (AG$6=$D$9:$D$3622) * ($AB14=$E$9:$E$3622) * ($Z14=$C$9:$C$3622),0))</f>
        <v>13360.95</v>
      </c>
      <c r="AH14" s="36" cm="1">
        <f t="array" ref="AH14">INDEX($F$9:$F$3622,MATCH(1, (AH$6=$D$9:$D$3622) * ($AB14=$E$9:$E$3622) * ($Z14=$C$9:$C$3622),0))</f>
        <v>13708.25</v>
      </c>
      <c r="AI14" s="36" cm="1">
        <f t="array" ref="AI14">INDEX($F$9:$F$3622,MATCH(1, (AI$6=$D$9:$D$3622) * ($AB14=$E$9:$E$3622) * ($Z14=$C$9:$C$3622),0))</f>
        <v>14235.39</v>
      </c>
      <c r="AJ14" s="36" cm="1">
        <f t="array" ref="AJ14">INDEX($F$9:$F$3622,MATCH(1, (AJ$6=$D$9:$D$3622) * ($AB14=$E$9:$E$3622) * ($Z14=$C$9:$C$3622),0))</f>
        <v>14999.49</v>
      </c>
      <c r="AK14" s="36" cm="1">
        <f t="array" ref="AK14">INDEX($F$9:$F$3622,MATCH(1, (AK$6=$D$9:$D$3622) * ($AB14=$E$9:$E$3622) * ($Z14=$C$9:$C$3622),0))</f>
        <v>16130.92</v>
      </c>
      <c r="AL14" s="36" cm="1">
        <f t="array" ref="AL14">INDEX($F$9:$F$3622,MATCH(1, (AL$6=$D$9:$D$3622) * ($AB14=$E$9:$E$3622) * ($Z14=$C$9:$C$3622),0))</f>
        <v>16487.41</v>
      </c>
      <c r="AM14" s="36" cm="1">
        <f t="array" ref="AM14">INDEX($F$9:$F$3622,MATCH(1, (AM$6=$D$9:$D$3622) * ($AB14=$E$9:$E$3622) * ($Z14=$C$9:$C$3622),0))</f>
        <v>15948.32</v>
      </c>
      <c r="AN14" s="36">
        <f t="shared" si="4"/>
        <v>17398.337778069232</v>
      </c>
      <c r="AO14" s="36">
        <f t="shared" si="5"/>
        <v>17495.512602424758</v>
      </c>
      <c r="AP14" s="36">
        <f t="shared" si="6"/>
        <v>19368.366670957235</v>
      </c>
      <c r="AQ14" s="36">
        <f t="shared" si="7"/>
        <v>21443.278165892138</v>
      </c>
      <c r="AR14" s="36">
        <f t="shared" si="8"/>
        <v>24160.125704003789</v>
      </c>
      <c r="AS14" s="36">
        <f t="shared" si="9"/>
        <v>26461.720416733508</v>
      </c>
      <c r="AT14" s="36">
        <f t="shared" si="10"/>
        <v>28132.73259915716</v>
      </c>
      <c r="AU14" s="36">
        <f t="shared" si="11"/>
        <v>30569.416516570229</v>
      </c>
      <c r="AV14" s="36">
        <f t="shared" si="12"/>
        <v>34154.60803646742</v>
      </c>
      <c r="AW14" s="36">
        <v>5</v>
      </c>
      <c r="AZ14" s="37" t="s">
        <v>142</v>
      </c>
      <c r="BA14" s="37" t="s">
        <v>118</v>
      </c>
      <c r="BB14" s="38">
        <v>1</v>
      </c>
      <c r="BC14" s="38">
        <v>1.0909197820252685</v>
      </c>
      <c r="BD14" s="38">
        <v>1.0970128892839346</v>
      </c>
      <c r="BE14" s="38">
        <v>1.2144455761457782</v>
      </c>
      <c r="BF14" s="38">
        <v>1.3445477746804766</v>
      </c>
      <c r="BG14" s="38">
        <v>1.5149009866872367</v>
      </c>
      <c r="BH14" s="38">
        <v>1.6592167962978863</v>
      </c>
      <c r="BI14" s="38">
        <v>1.7639934864084217</v>
      </c>
      <c r="BJ14" s="38">
        <v>1.9167797308161756</v>
      </c>
      <c r="BK14" s="38">
        <v>2.141580306669757</v>
      </c>
    </row>
    <row r="15" spans="1:63">
      <c r="C15" t="s">
        <v>113</v>
      </c>
      <c r="D15">
        <v>2011</v>
      </c>
      <c r="E15" t="s">
        <v>143</v>
      </c>
      <c r="F15">
        <v>341.3</v>
      </c>
      <c r="J15" s="18" t="s">
        <v>171</v>
      </c>
      <c r="K15" s="18">
        <v>2016</v>
      </c>
      <c r="L15" s="18" t="s">
        <v>174</v>
      </c>
      <c r="M15" s="18">
        <v>389.13</v>
      </c>
      <c r="P15" s="18" t="s">
        <v>171</v>
      </c>
      <c r="Q15" s="18">
        <v>2016</v>
      </c>
      <c r="R15" s="18" t="s">
        <v>175</v>
      </c>
      <c r="S15" s="18">
        <f t="shared" si="3"/>
        <v>0</v>
      </c>
      <c r="U15">
        <v>19.456499999999998</v>
      </c>
      <c r="Z15" s="36" t="str">
        <f t="shared" si="0"/>
        <v>CSA</v>
      </c>
      <c r="AA15" s="36" t="s">
        <v>188</v>
      </c>
      <c r="AB15" s="36" t="str">
        <f t="shared" si="1"/>
        <v>DEMelin</v>
      </c>
      <c r="AC15" s="36" cm="1">
        <f t="array" ref="AC15">INDEX($F$9:$F$3622,MATCH(1, (AC$6=$D$9:$D$3622) * ($AB15=$E$9:$E$3622) * ($Z15=$C$9:$C$3622),0))</f>
        <v>478.27</v>
      </c>
      <c r="AD15" s="36" cm="1">
        <f t="array" ref="AD15">INDEX($F$9:$F$3622,MATCH(1, (AD$6=$D$9:$D$3622) * ($AB15=$E$9:$E$3622) * ($Z15=$C$9:$C$3622),0))</f>
        <v>497.99</v>
      </c>
      <c r="AE15" s="36" cm="1">
        <f t="array" ref="AE15">INDEX($F$9:$F$3622,MATCH(1, (AE$6=$D$9:$D$3622) * ($AB15=$E$9:$E$3622) * ($Z15=$C$9:$C$3622),0))</f>
        <v>511.15</v>
      </c>
      <c r="AF15" s="36" cm="1">
        <f t="array" ref="AF15">INDEX($F$9:$F$3622,MATCH(1, (AF$6=$D$9:$D$3622) * ($AB15=$E$9:$E$3622) * ($Z15=$C$9:$C$3622),0))</f>
        <v>542.91999999999996</v>
      </c>
      <c r="AG15" s="36" cm="1">
        <f t="array" ref="AG15">INDEX($F$9:$F$3622,MATCH(1, (AG$6=$D$9:$D$3622) * ($AB15=$E$9:$E$3622) * ($Z15=$C$9:$C$3622),0))</f>
        <v>464.92</v>
      </c>
      <c r="AH15" s="36" cm="1">
        <f t="array" ref="AH15">INDEX($F$9:$F$3622,MATCH(1, (AH$6=$D$9:$D$3622) * ($AB15=$E$9:$E$3622) * ($Z15=$C$9:$C$3622),0))</f>
        <v>499.2</v>
      </c>
      <c r="AI15" s="36" cm="1">
        <f t="array" ref="AI15">INDEX($F$9:$F$3622,MATCH(1, (AI$6=$D$9:$D$3622) * ($AB15=$E$9:$E$3622) * ($Z15=$C$9:$C$3622),0))</f>
        <v>490.98</v>
      </c>
      <c r="AJ15" s="36" cm="1">
        <f t="array" ref="AJ15">INDEX($F$9:$F$3622,MATCH(1, (AJ$6=$D$9:$D$3622) * ($AB15=$E$9:$E$3622) * ($Z15=$C$9:$C$3622),0))</f>
        <v>472.66</v>
      </c>
      <c r="AK15" s="36" cm="1">
        <f t="array" ref="AK15">INDEX($F$9:$F$3622,MATCH(1, (AK$6=$D$9:$D$3622) * ($AB15=$E$9:$E$3622) * ($Z15=$C$9:$C$3622),0))</f>
        <v>476.03</v>
      </c>
      <c r="AL15" s="36" cm="1">
        <f t="array" ref="AL15">INDEX($F$9:$F$3622,MATCH(1, (AL$6=$D$9:$D$3622) * ($AB15=$E$9:$E$3622) * ($Z15=$C$9:$C$3622),0))</f>
        <v>467.2</v>
      </c>
      <c r="AM15" s="36" cm="1">
        <f t="array" ref="AM15">INDEX($F$9:$F$3622,MATCH(1, (AM$6=$D$9:$D$3622) * ($AB15=$E$9:$E$3622) * ($Z15=$C$9:$C$3622),0))</f>
        <v>437.95</v>
      </c>
      <c r="AN15" s="36">
        <f t="shared" si="4"/>
        <v>460.74293184438631</v>
      </c>
      <c r="AO15" s="36">
        <f t="shared" si="5"/>
        <v>438.82731473662813</v>
      </c>
      <c r="AP15" s="36">
        <f t="shared" si="6"/>
        <v>456.60837272087247</v>
      </c>
      <c r="AQ15" s="36">
        <f t="shared" si="7"/>
        <v>493.43982629173303</v>
      </c>
      <c r="AR15" s="36">
        <f t="shared" si="8"/>
        <v>534.6547428667235</v>
      </c>
      <c r="AS15" s="36">
        <f t="shared" si="9"/>
        <v>575.04628865524364</v>
      </c>
      <c r="AT15" s="36">
        <f t="shared" si="10"/>
        <v>690.01696863098346</v>
      </c>
      <c r="AU15" s="36">
        <f t="shared" si="11"/>
        <v>838.60270764459528</v>
      </c>
      <c r="AV15" s="36">
        <f t="shared" si="12"/>
        <v>1037.611035215014</v>
      </c>
      <c r="AW15" s="36">
        <v>5</v>
      </c>
      <c r="AZ15" s="37" t="s">
        <v>142</v>
      </c>
      <c r="BA15" s="37" t="s">
        <v>119</v>
      </c>
      <c r="BB15" s="38">
        <v>1</v>
      </c>
      <c r="BC15" s="38">
        <v>1.0520445983431586</v>
      </c>
      <c r="BD15" s="38">
        <v>1.0020032303610644</v>
      </c>
      <c r="BE15" s="38">
        <v>1.0426038879344046</v>
      </c>
      <c r="BF15" s="38">
        <v>1.1267035649999613</v>
      </c>
      <c r="BG15" s="38">
        <v>1.220812291053142</v>
      </c>
      <c r="BH15" s="38">
        <v>1.3130409605097468</v>
      </c>
      <c r="BI15" s="38">
        <v>1.5755610654891734</v>
      </c>
      <c r="BJ15" s="38">
        <v>1.91483664264093</v>
      </c>
      <c r="BK15" s="38">
        <v>2.3692454280511797</v>
      </c>
    </row>
    <row r="16" spans="1:63">
      <c r="C16" t="s">
        <v>113</v>
      </c>
      <c r="D16">
        <v>2011</v>
      </c>
      <c r="E16" t="s">
        <v>144</v>
      </c>
      <c r="F16">
        <v>5.29</v>
      </c>
      <c r="J16" s="18" t="s">
        <v>171</v>
      </c>
      <c r="K16" s="18">
        <v>2017</v>
      </c>
      <c r="L16" s="18" t="s">
        <v>174</v>
      </c>
      <c r="M16" s="18">
        <v>394.87</v>
      </c>
      <c r="P16" s="18" t="s">
        <v>171</v>
      </c>
      <c r="Q16" s="18">
        <v>2017</v>
      </c>
      <c r="R16" s="18" t="s">
        <v>175</v>
      </c>
      <c r="S16" s="18">
        <f t="shared" si="3"/>
        <v>0</v>
      </c>
      <c r="U16">
        <v>19.743500000000001</v>
      </c>
      <c r="Z16" s="36" t="str">
        <f t="shared" si="0"/>
        <v>EUR</v>
      </c>
      <c r="AA16" s="36" t="s">
        <v>188</v>
      </c>
      <c r="AB16" s="36" t="str">
        <f t="shared" si="1"/>
        <v>DEMelin</v>
      </c>
      <c r="AC16" s="36" cm="1">
        <f t="array" ref="AC16">INDEX($F$9:$F$3622,MATCH(1, (AC$6=$D$9:$D$3622) * ($AB16=$E$9:$E$3622) * ($Z16=$C$9:$C$3622),0))</f>
        <v>4388.3999999999996</v>
      </c>
      <c r="AD16" s="36" cm="1">
        <f t="array" ref="AD16">INDEX($F$9:$F$3622,MATCH(1, (AD$6=$D$9:$D$3622) * ($AB16=$E$9:$E$3622) * ($Z16=$C$9:$C$3622),0))</f>
        <v>4438.97</v>
      </c>
      <c r="AE16" s="36" cm="1">
        <f t="array" ref="AE16">INDEX($F$9:$F$3622,MATCH(1, (AE$6=$D$9:$D$3622) * ($AB16=$E$9:$E$3622) * ($Z16=$C$9:$C$3622),0))</f>
        <v>4393.6400000000003</v>
      </c>
      <c r="AF16" s="36" cm="1">
        <f t="array" ref="AF16">INDEX($F$9:$F$3622,MATCH(1, (AF$6=$D$9:$D$3622) * ($AB16=$E$9:$E$3622) * ($Z16=$C$9:$C$3622),0))</f>
        <v>4332.88</v>
      </c>
      <c r="AG16" s="36" cm="1">
        <f t="array" ref="AG16">INDEX($F$9:$F$3622,MATCH(1, (AG$6=$D$9:$D$3622) * ($AB16=$E$9:$E$3622) * ($Z16=$C$9:$C$3622),0))</f>
        <v>4353.2299999999996</v>
      </c>
      <c r="AH16" s="36" cm="1">
        <f t="array" ref="AH16">INDEX($F$9:$F$3622,MATCH(1, (AH$6=$D$9:$D$3622) * ($AB16=$E$9:$E$3622) * ($Z16=$C$9:$C$3622),0))</f>
        <v>4328.4399999999996</v>
      </c>
      <c r="AI16" s="36" cm="1">
        <f t="array" ref="AI16">INDEX($F$9:$F$3622,MATCH(1, (AI$6=$D$9:$D$3622) * ($AB16=$E$9:$E$3622) * ($Z16=$C$9:$C$3622),0))</f>
        <v>4376.22</v>
      </c>
      <c r="AJ16" s="36" cm="1">
        <f t="array" ref="AJ16">INDEX($F$9:$F$3622,MATCH(1, (AJ$6=$D$9:$D$3622) * ($AB16=$E$9:$E$3622) * ($Z16=$C$9:$C$3622),0))</f>
        <v>4431.09</v>
      </c>
      <c r="AK16" s="36" cm="1">
        <f t="array" ref="AK16">INDEX($F$9:$F$3622,MATCH(1, (AK$6=$D$9:$D$3622) * ($AB16=$E$9:$E$3622) * ($Z16=$C$9:$C$3622),0))</f>
        <v>4415.28</v>
      </c>
      <c r="AL16" s="36" cm="1">
        <f t="array" ref="AL16">INDEX($F$9:$F$3622,MATCH(1, (AL$6=$D$9:$D$3622) * ($AB16=$E$9:$E$3622) * ($Z16=$C$9:$C$3622),0))</f>
        <v>4305.43</v>
      </c>
      <c r="AM16" s="36" cm="1">
        <f t="array" ref="AM16">INDEX($F$9:$F$3622,MATCH(1, (AM$6=$D$9:$D$3622) * ($AB16=$E$9:$E$3622) * ($Z16=$C$9:$C$3622),0))</f>
        <v>4006.6</v>
      </c>
      <c r="AN16" s="36">
        <f t="shared" si="4"/>
        <v>4110.9680046590802</v>
      </c>
      <c r="AO16" s="36">
        <f t="shared" si="5"/>
        <v>3933.5843925640074</v>
      </c>
      <c r="AP16" s="36">
        <f t="shared" si="6"/>
        <v>4026.3626378736535</v>
      </c>
      <c r="AQ16" s="36">
        <f t="shared" si="7"/>
        <v>4275.4708028128052</v>
      </c>
      <c r="AR16" s="36">
        <f t="shared" si="8"/>
        <v>4539.4598992378396</v>
      </c>
      <c r="AS16" s="36">
        <f t="shared" si="9"/>
        <v>4778.9698351738925</v>
      </c>
      <c r="AT16" s="36">
        <f t="shared" si="10"/>
        <v>5734.4431985762822</v>
      </c>
      <c r="AU16" s="36">
        <f t="shared" si="11"/>
        <v>6969.2772957471852</v>
      </c>
      <c r="AV16" s="36">
        <f t="shared" si="12"/>
        <v>8623.1524935708312</v>
      </c>
      <c r="AW16" s="36">
        <v>5</v>
      </c>
      <c r="AZ16" s="37" t="s">
        <v>142</v>
      </c>
      <c r="BA16" s="37" t="s">
        <v>120</v>
      </c>
      <c r="BB16" s="38">
        <v>1</v>
      </c>
      <c r="BC16" s="38">
        <v>1.026049020281306</v>
      </c>
      <c r="BD16" s="38">
        <v>0.9817761674646851</v>
      </c>
      <c r="BE16" s="38">
        <v>1.0049325208090785</v>
      </c>
      <c r="BF16" s="38">
        <v>1.0671069741957784</v>
      </c>
      <c r="BG16" s="38">
        <v>1.1329955321813607</v>
      </c>
      <c r="BH16" s="38">
        <v>1.1927743810647164</v>
      </c>
      <c r="BI16" s="38">
        <v>1.4312492384007094</v>
      </c>
      <c r="BJ16" s="38">
        <v>1.7394492327028366</v>
      </c>
      <c r="BK16" s="38">
        <v>2.1522369324541586</v>
      </c>
    </row>
    <row r="17" spans="3:63">
      <c r="C17" t="s">
        <v>113</v>
      </c>
      <c r="D17">
        <v>2012</v>
      </c>
      <c r="E17" t="s">
        <v>141</v>
      </c>
      <c r="F17">
        <v>188.39</v>
      </c>
      <c r="J17" s="18" t="s">
        <v>171</v>
      </c>
      <c r="K17" s="18">
        <v>2018</v>
      </c>
      <c r="L17" s="18" t="s">
        <v>174</v>
      </c>
      <c r="M17" s="18">
        <v>403.66</v>
      </c>
      <c r="P17" s="18" t="s">
        <v>171</v>
      </c>
      <c r="Q17" s="18">
        <v>2018</v>
      </c>
      <c r="R17" s="18" t="s">
        <v>175</v>
      </c>
      <c r="S17" s="18">
        <f t="shared" si="3"/>
        <v>0</v>
      </c>
      <c r="U17">
        <v>20.183</v>
      </c>
      <c r="Z17" s="36" t="str">
        <f t="shared" si="0"/>
        <v>IND</v>
      </c>
      <c r="AA17" s="36" t="s">
        <v>188</v>
      </c>
      <c r="AB17" s="36" t="str">
        <f t="shared" si="1"/>
        <v>DEMelin</v>
      </c>
      <c r="AC17" s="36" cm="1">
        <f t="array" ref="AC17">INDEX($F$9:$F$3622,MATCH(1, (AC$6=$D$9:$D$3622) * ($AB17=$E$9:$E$3622) * ($Z17=$C$9:$C$3622),0))</f>
        <v>1512.51</v>
      </c>
      <c r="AD17" s="36" cm="1">
        <f t="array" ref="AD17">INDEX($F$9:$F$3622,MATCH(1, (AD$6=$D$9:$D$3622) * ($AB17=$E$9:$E$3622) * ($Z17=$C$9:$C$3622),0))</f>
        <v>1697.21</v>
      </c>
      <c r="AE17" s="36" cm="1">
        <f t="array" ref="AE17">INDEX($F$9:$F$3622,MATCH(1, (AE$6=$D$9:$D$3622) * ($AB17=$E$9:$E$3622) * ($Z17=$C$9:$C$3622),0))</f>
        <v>1756.29</v>
      </c>
      <c r="AF17" s="36" cm="1">
        <f t="array" ref="AF17">INDEX($F$9:$F$3622,MATCH(1, (AF$6=$D$9:$D$3622) * ($AB17=$E$9:$E$3622) * ($Z17=$C$9:$C$3622),0))</f>
        <v>1923.02</v>
      </c>
      <c r="AG17" s="36" cm="1">
        <f t="array" ref="AG17">INDEX($F$9:$F$3622,MATCH(1, (AG$6=$D$9:$D$3622) * ($AB17=$E$9:$E$3622) * ($Z17=$C$9:$C$3622),0))</f>
        <v>2109.37</v>
      </c>
      <c r="AH17" s="36" cm="1">
        <f t="array" ref="AH17">INDEX($F$9:$F$3622,MATCH(1, (AH$6=$D$9:$D$3622) * ($AB17=$E$9:$E$3622) * ($Z17=$C$9:$C$3622),0))</f>
        <v>2152.75</v>
      </c>
      <c r="AI17" s="36" cm="1">
        <f t="array" ref="AI17">INDEX($F$9:$F$3622,MATCH(1, (AI$6=$D$9:$D$3622) * ($AB17=$E$9:$E$3622) * ($Z17=$C$9:$C$3622),0))</f>
        <v>2266.5700000000002</v>
      </c>
      <c r="AJ17" s="36" cm="1">
        <f t="array" ref="AJ17">INDEX($F$9:$F$3622,MATCH(1, (AJ$6=$D$9:$D$3622) * ($AB17=$E$9:$E$3622) * ($Z17=$C$9:$C$3622),0))</f>
        <v>2388.83</v>
      </c>
      <c r="AK17" s="36" cm="1">
        <f t="array" ref="AK17">INDEX($F$9:$F$3622,MATCH(1, (AK$6=$D$9:$D$3622) * ($AB17=$E$9:$E$3622) * ($Z17=$C$9:$C$3622),0))</f>
        <v>2498.2399999999998</v>
      </c>
      <c r="AL17" s="36" cm="1">
        <f t="array" ref="AL17">INDEX($F$9:$F$3622,MATCH(1, (AL$6=$D$9:$D$3622) * ($AB17=$E$9:$E$3622) * ($Z17=$C$9:$C$3622),0))</f>
        <v>2543.1999999999998</v>
      </c>
      <c r="AM17" s="36" cm="1">
        <f t="array" ref="AM17">INDEX($F$9:$F$3622,MATCH(1, (AM$6=$D$9:$D$3622) * ($AB17=$E$9:$E$3622) * ($Z17=$C$9:$C$3622),0))</f>
        <v>2335.58</v>
      </c>
      <c r="AN17" s="36">
        <f t="shared" si="4"/>
        <v>2537.8487805031123</v>
      </c>
      <c r="AO17" s="36">
        <f t="shared" si="5"/>
        <v>2459.4207677840232</v>
      </c>
      <c r="AP17" s="36">
        <f t="shared" si="6"/>
        <v>2630.174704022626</v>
      </c>
      <c r="AQ17" s="36">
        <f t="shared" si="7"/>
        <v>2955.2192764631595</v>
      </c>
      <c r="AR17" s="36">
        <f t="shared" si="8"/>
        <v>3320.5004753547769</v>
      </c>
      <c r="AS17" s="36">
        <f t="shared" si="9"/>
        <v>3699.0775998452905</v>
      </c>
      <c r="AT17" s="36">
        <f t="shared" si="10"/>
        <v>4438.6449622080208</v>
      </c>
      <c r="AU17" s="36">
        <f t="shared" si="11"/>
        <v>5394.4465901552767</v>
      </c>
      <c r="AV17" s="36">
        <f t="shared" si="12"/>
        <v>6674.5996164792896</v>
      </c>
      <c r="AW17" s="36">
        <v>5</v>
      </c>
      <c r="AZ17" s="37" t="s">
        <v>142</v>
      </c>
      <c r="BA17" s="37" t="s">
        <v>121</v>
      </c>
      <c r="BB17" s="38">
        <v>1</v>
      </c>
      <c r="BC17" s="38">
        <v>1.0866032336734825</v>
      </c>
      <c r="BD17" s="38">
        <v>1.0530235606504694</v>
      </c>
      <c r="BE17" s="38">
        <v>1.1261334246836443</v>
      </c>
      <c r="BF17" s="38">
        <v>1.2653042398304317</v>
      </c>
      <c r="BG17" s="38">
        <v>1.4217027356608538</v>
      </c>
      <c r="BH17" s="38">
        <v>1.5837940039927088</v>
      </c>
      <c r="BI17" s="38">
        <v>1.900446553835887</v>
      </c>
      <c r="BJ17" s="38">
        <v>2.3096817878879237</v>
      </c>
      <c r="BK17" s="38">
        <v>2.8577910482532345</v>
      </c>
    </row>
    <row r="18" spans="3:63">
      <c r="C18" t="s">
        <v>113</v>
      </c>
      <c r="D18">
        <v>2012</v>
      </c>
      <c r="E18" t="s">
        <v>142</v>
      </c>
      <c r="F18">
        <v>307.39</v>
      </c>
      <c r="J18" s="18" t="s">
        <v>171</v>
      </c>
      <c r="K18" s="18">
        <v>2019</v>
      </c>
      <c r="L18" s="18" t="s">
        <v>174</v>
      </c>
      <c r="M18" s="18">
        <v>413.02</v>
      </c>
      <c r="P18" s="18" t="s">
        <v>171</v>
      </c>
      <c r="Q18" s="18">
        <v>2019</v>
      </c>
      <c r="R18" s="18" t="s">
        <v>175</v>
      </c>
      <c r="S18" s="18">
        <f t="shared" si="3"/>
        <v>0</v>
      </c>
      <c r="U18">
        <v>20.651</v>
      </c>
      <c r="Z18" s="36" t="str">
        <f t="shared" si="0"/>
        <v>JPN</v>
      </c>
      <c r="AA18" s="36" t="s">
        <v>188</v>
      </c>
      <c r="AB18" s="36" t="str">
        <f t="shared" si="1"/>
        <v>DEMelin</v>
      </c>
      <c r="AC18" s="36" cm="1">
        <f t="array" ref="AC18">INDEX($F$9:$F$3622,MATCH(1, (AC$6=$D$9:$D$3622) * ($AB18=$E$9:$E$3622) * ($Z18=$C$9:$C$3622),0))</f>
        <v>993.15</v>
      </c>
      <c r="AD18" s="36" cm="1">
        <f t="array" ref="AD18">INDEX($F$9:$F$3622,MATCH(1, (AD$6=$D$9:$D$3622) * ($AB18=$E$9:$E$3622) * ($Z18=$C$9:$C$3622),0))</f>
        <v>922.83</v>
      </c>
      <c r="AE18" s="36" cm="1">
        <f t="array" ref="AE18">INDEX($F$9:$F$3622,MATCH(1, (AE$6=$D$9:$D$3622) * ($AB18=$E$9:$E$3622) * ($Z18=$C$9:$C$3622),0))</f>
        <v>858.21</v>
      </c>
      <c r="AF18" s="36" cm="1">
        <f t="array" ref="AF18">INDEX($F$9:$F$3622,MATCH(1, (AF$6=$D$9:$D$3622) * ($AB18=$E$9:$E$3622) * ($Z18=$C$9:$C$3622),0))</f>
        <v>837.17</v>
      </c>
      <c r="AG18" s="36" cm="1">
        <f t="array" ref="AG18">INDEX($F$9:$F$3622,MATCH(1, (AG$6=$D$9:$D$3622) * ($AB18=$E$9:$E$3622) * ($Z18=$C$9:$C$3622),0))</f>
        <v>775.26</v>
      </c>
      <c r="AH18" s="36" cm="1">
        <f t="array" ref="AH18">INDEX($F$9:$F$3622,MATCH(1, (AH$6=$D$9:$D$3622) * ($AB18=$E$9:$E$3622) * ($Z18=$C$9:$C$3622),0))</f>
        <v>689.59</v>
      </c>
      <c r="AI18" s="36" cm="1">
        <f t="array" ref="AI18">INDEX($F$9:$F$3622,MATCH(1, (AI$6=$D$9:$D$3622) * ($AB18=$E$9:$E$3622) * ($Z18=$C$9:$C$3622),0))</f>
        <v>936.63</v>
      </c>
      <c r="AJ18" s="36" cm="1">
        <f t="array" ref="AJ18">INDEX($F$9:$F$3622,MATCH(1, (AJ$6=$D$9:$D$3622) * ($AB18=$E$9:$E$3622) * ($Z18=$C$9:$C$3622),0))</f>
        <v>929.78</v>
      </c>
      <c r="AK18" s="36" cm="1">
        <f t="array" ref="AK18">INDEX($F$9:$F$3622,MATCH(1, (AK$6=$D$9:$D$3622) * ($AB18=$E$9:$E$3622) * ($Z18=$C$9:$C$3622),0))</f>
        <v>905.5</v>
      </c>
      <c r="AL18" s="36" cm="1">
        <f t="array" ref="AL18">INDEX($F$9:$F$3622,MATCH(1, (AL$6=$D$9:$D$3622) * ($AB18=$E$9:$E$3622) * ($Z18=$C$9:$C$3622),0))</f>
        <v>889.67</v>
      </c>
      <c r="AM18" s="36" cm="1">
        <f t="array" ref="AM18">INDEX($F$9:$F$3622,MATCH(1, (AM$6=$D$9:$D$3622) * ($AB18=$E$9:$E$3622) * ($Z18=$C$9:$C$3622),0))</f>
        <v>803.78</v>
      </c>
      <c r="AN18" s="36">
        <f t="shared" si="4"/>
        <v>812.78844466755822</v>
      </c>
      <c r="AO18" s="36">
        <f t="shared" si="5"/>
        <v>760.2951489685571</v>
      </c>
      <c r="AP18" s="36">
        <f t="shared" si="6"/>
        <v>770.65524634368057</v>
      </c>
      <c r="AQ18" s="36">
        <f t="shared" si="7"/>
        <v>813.47153270949252</v>
      </c>
      <c r="AR18" s="36">
        <f t="shared" si="8"/>
        <v>859.15082718348174</v>
      </c>
      <c r="AS18" s="36">
        <f t="shared" si="9"/>
        <v>899.0951317929804</v>
      </c>
      <c r="AT18" s="36">
        <f t="shared" si="10"/>
        <v>1078.853841142879</v>
      </c>
      <c r="AU18" s="36">
        <f t="shared" si="11"/>
        <v>1311.1702950294098</v>
      </c>
      <c r="AV18" s="36">
        <f t="shared" si="12"/>
        <v>1622.3233657209123</v>
      </c>
      <c r="AW18" s="36">
        <v>5</v>
      </c>
      <c r="AZ18" s="37" t="s">
        <v>142</v>
      </c>
      <c r="BA18" s="37" t="s">
        <v>122</v>
      </c>
      <c r="BB18" s="38">
        <v>1</v>
      </c>
      <c r="BC18" s="38">
        <v>1.0112075999248031</v>
      </c>
      <c r="BD18" s="38">
        <v>0.9458995607859827</v>
      </c>
      <c r="BE18" s="38">
        <v>0.95878878093966091</v>
      </c>
      <c r="BF18" s="38">
        <v>1.0120574444617838</v>
      </c>
      <c r="BG18" s="38">
        <v>1.0688880379998031</v>
      </c>
      <c r="BH18" s="38">
        <v>1.1185836071972186</v>
      </c>
      <c r="BI18" s="38">
        <v>1.3422252869477707</v>
      </c>
      <c r="BJ18" s="38">
        <v>1.6312551880233519</v>
      </c>
      <c r="BK18" s="38">
        <v>2.0183674210865066</v>
      </c>
    </row>
    <row r="19" spans="3:63">
      <c r="C19" t="s">
        <v>113</v>
      </c>
      <c r="D19">
        <v>2012</v>
      </c>
      <c r="E19" t="s">
        <v>143</v>
      </c>
      <c r="F19">
        <v>357.22</v>
      </c>
      <c r="J19" s="18" t="s">
        <v>171</v>
      </c>
      <c r="K19" s="18">
        <v>2020</v>
      </c>
      <c r="L19" s="18" t="s">
        <v>174</v>
      </c>
      <c r="M19" s="18">
        <v>423.52</v>
      </c>
      <c r="P19" s="18" t="s">
        <v>171</v>
      </c>
      <c r="Q19" s="18">
        <v>2020</v>
      </c>
      <c r="R19" s="18" t="s">
        <v>175</v>
      </c>
      <c r="S19" s="18">
        <f t="shared" si="3"/>
        <v>0</v>
      </c>
      <c r="U19">
        <v>21.175999999999998</v>
      </c>
      <c r="Z19" s="36" t="str">
        <f t="shared" si="0"/>
        <v>MID</v>
      </c>
      <c r="AA19" s="36" t="s">
        <v>188</v>
      </c>
      <c r="AB19" s="36" t="str">
        <f t="shared" si="1"/>
        <v>DEMelin</v>
      </c>
      <c r="AC19" s="36" cm="1">
        <f t="array" ref="AC19">INDEX($F$9:$F$3622,MATCH(1, (AC$6=$D$9:$D$3622) * ($AB19=$E$9:$E$3622) * ($Z19=$C$9:$C$3622),0))</f>
        <v>520.48</v>
      </c>
      <c r="AD19" s="36" cm="1">
        <f t="array" ref="AD19">INDEX($F$9:$F$3622,MATCH(1, (AD$6=$D$9:$D$3622) * ($AB19=$E$9:$E$3622) * ($Z19=$C$9:$C$3622),0))</f>
        <v>581.76</v>
      </c>
      <c r="AE19" s="36" cm="1">
        <f t="array" ref="AE19">INDEX($F$9:$F$3622,MATCH(1, (AE$6=$D$9:$D$3622) * ($AB19=$E$9:$E$3622) * ($Z19=$C$9:$C$3622),0))</f>
        <v>546.54999999999995</v>
      </c>
      <c r="AF19" s="36" cm="1">
        <f t="array" ref="AF19">INDEX($F$9:$F$3622,MATCH(1, (AF$6=$D$9:$D$3622) * ($AB19=$E$9:$E$3622) * ($Z19=$C$9:$C$3622),0))</f>
        <v>588.08000000000004</v>
      </c>
      <c r="AG19" s="36" cm="1">
        <f t="array" ref="AG19">INDEX($F$9:$F$3622,MATCH(1, (AG$6=$D$9:$D$3622) * ($AB19=$E$9:$E$3622) * ($Z19=$C$9:$C$3622),0))</f>
        <v>630.87</v>
      </c>
      <c r="AH19" s="36" cm="1">
        <f t="array" ref="AH19">INDEX($F$9:$F$3622,MATCH(1, (AH$6=$D$9:$D$3622) * ($AB19=$E$9:$E$3622) * ($Z19=$C$9:$C$3622),0))</f>
        <v>436.42</v>
      </c>
      <c r="AI19" s="36" cm="1">
        <f t="array" ref="AI19">INDEX($F$9:$F$3622,MATCH(1, (AI$6=$D$9:$D$3622) * ($AB19=$E$9:$E$3622) * ($Z19=$C$9:$C$3622),0))</f>
        <v>500.4</v>
      </c>
      <c r="AJ19" s="36" cm="1">
        <f t="array" ref="AJ19">INDEX($F$9:$F$3622,MATCH(1, (AJ$6=$D$9:$D$3622) * ($AB19=$E$9:$E$3622) * ($Z19=$C$9:$C$3622),0))</f>
        <v>516.17999999999995</v>
      </c>
      <c r="AK19" s="36" cm="1">
        <f t="array" ref="AK19">INDEX($F$9:$F$3622,MATCH(1, (AK$6=$D$9:$D$3622) * ($AB19=$E$9:$E$3622) * ($Z19=$C$9:$C$3622),0))</f>
        <v>494.33</v>
      </c>
      <c r="AL19" s="36" cm="1">
        <f t="array" ref="AL19">INDEX($F$9:$F$3622,MATCH(1, (AL$6=$D$9:$D$3622) * ($AB19=$E$9:$E$3622) * ($Z19=$C$9:$C$3622),0))</f>
        <v>506.06</v>
      </c>
      <c r="AM19" s="36" cm="1">
        <f t="array" ref="AM19">INDEX($F$9:$F$3622,MATCH(1, (AM$6=$D$9:$D$3622) * ($AB19=$E$9:$E$3622) * ($Z19=$C$9:$C$3622),0))</f>
        <v>493.57</v>
      </c>
      <c r="AN19" s="36">
        <f t="shared" si="4"/>
        <v>505.52270679887198</v>
      </c>
      <c r="AO19" s="36">
        <f t="shared" si="5"/>
        <v>504.63343596430053</v>
      </c>
      <c r="AP19" s="36">
        <f t="shared" si="6"/>
        <v>556.38084077710164</v>
      </c>
      <c r="AQ19" s="36">
        <f t="shared" si="7"/>
        <v>610.28200908975089</v>
      </c>
      <c r="AR19" s="36">
        <f t="shared" si="8"/>
        <v>678.41832021856078</v>
      </c>
      <c r="AS19" s="36">
        <f t="shared" si="9"/>
        <v>733.11900689606898</v>
      </c>
      <c r="AT19" s="36">
        <f t="shared" si="10"/>
        <v>779.41421266488874</v>
      </c>
      <c r="AU19" s="36">
        <f t="shared" si="11"/>
        <v>846.92226828336607</v>
      </c>
      <c r="AV19" s="36">
        <f t="shared" si="12"/>
        <v>946.24959867633493</v>
      </c>
      <c r="AW19" s="36">
        <v>5</v>
      </c>
      <c r="AZ19" s="37" t="s">
        <v>142</v>
      </c>
      <c r="BA19" s="37" t="s">
        <v>123</v>
      </c>
      <c r="BB19" s="38">
        <v>1</v>
      </c>
      <c r="BC19" s="38">
        <v>1.0242168421882853</v>
      </c>
      <c r="BD19" s="38">
        <v>1.02241513050692</v>
      </c>
      <c r="BE19" s="38">
        <v>1.1272582222928897</v>
      </c>
      <c r="BF19" s="38">
        <v>1.236464957533381</v>
      </c>
      <c r="BG19" s="38">
        <v>1.3745128760227745</v>
      </c>
      <c r="BH19" s="38">
        <v>1.4853394794984884</v>
      </c>
      <c r="BI19" s="38">
        <v>1.5791361157786914</v>
      </c>
      <c r="BJ19" s="38">
        <v>1.7159111540072656</v>
      </c>
      <c r="BK19" s="38">
        <v>1.917153795158407</v>
      </c>
    </row>
    <row r="20" spans="3:63">
      <c r="C20" t="s">
        <v>113</v>
      </c>
      <c r="D20">
        <v>2012</v>
      </c>
      <c r="E20" t="s">
        <v>144</v>
      </c>
      <c r="F20">
        <v>6.06</v>
      </c>
      <c r="J20" s="18" t="s">
        <v>171</v>
      </c>
      <c r="K20" s="18">
        <v>2021</v>
      </c>
      <c r="L20" s="18" t="s">
        <v>174</v>
      </c>
      <c r="M20" s="18">
        <v>435.6</v>
      </c>
      <c r="P20" s="18" t="s">
        <v>171</v>
      </c>
      <c r="Q20" s="18">
        <v>2021</v>
      </c>
      <c r="R20" s="18" t="s">
        <v>175</v>
      </c>
      <c r="S20" s="18">
        <f t="shared" si="3"/>
        <v>0</v>
      </c>
      <c r="U20">
        <v>21.78</v>
      </c>
      <c r="Z20" s="36" t="str">
        <f t="shared" si="0"/>
        <v>MXC</v>
      </c>
      <c r="AA20" s="36" t="s">
        <v>188</v>
      </c>
      <c r="AB20" s="36" t="str">
        <f t="shared" si="1"/>
        <v>DEMelin</v>
      </c>
      <c r="AC20" s="36" cm="1">
        <f t="array" ref="AC20">INDEX($F$9:$F$3622,MATCH(1, (AC$6=$D$9:$D$3622) * ($AB20=$E$9:$E$3622) * ($Z20=$C$9:$C$3622),0))</f>
        <v>719.17</v>
      </c>
      <c r="AD20" s="36" cm="1">
        <f t="array" ref="AD20">INDEX($F$9:$F$3622,MATCH(1, (AD$6=$D$9:$D$3622) * ($AB20=$E$9:$E$3622) * ($Z20=$C$9:$C$3622),0))</f>
        <v>813.86</v>
      </c>
      <c r="AE20" s="36" cm="1">
        <f t="array" ref="AE20">INDEX($F$9:$F$3622,MATCH(1, (AE$6=$D$9:$D$3622) * ($AB20=$E$9:$E$3622) * ($Z20=$C$9:$C$3622),0))</f>
        <v>851.93</v>
      </c>
      <c r="AF20" s="36" cm="1">
        <f t="array" ref="AF20">INDEX($F$9:$F$3622,MATCH(1, (AF$6=$D$9:$D$3622) * ($AB20=$E$9:$E$3622) * ($Z20=$C$9:$C$3622),0))</f>
        <v>815.08</v>
      </c>
      <c r="AG20" s="36" cm="1">
        <f t="array" ref="AG20">INDEX($F$9:$F$3622,MATCH(1, (AG$6=$D$9:$D$3622) * ($AB20=$E$9:$E$3622) * ($Z20=$C$9:$C$3622),0))</f>
        <v>805.24</v>
      </c>
      <c r="AH20" s="36" cm="1">
        <f t="array" ref="AH20">INDEX($F$9:$F$3622,MATCH(1, (AH$6=$D$9:$D$3622) * ($AB20=$E$9:$E$3622) * ($Z20=$C$9:$C$3622),0))</f>
        <v>825.83</v>
      </c>
      <c r="AI20" s="36" cm="1">
        <f t="array" ref="AI20">INDEX($F$9:$F$3622,MATCH(1, (AI$6=$D$9:$D$3622) * ($AB20=$E$9:$E$3622) * ($Z20=$C$9:$C$3622),0))</f>
        <v>854.68</v>
      </c>
      <c r="AJ20" s="36" cm="1">
        <f t="array" ref="AJ20">INDEX($F$9:$F$3622,MATCH(1, (AJ$6=$D$9:$D$3622) * ($AB20=$E$9:$E$3622) * ($Z20=$C$9:$C$3622),0))</f>
        <v>831.28</v>
      </c>
      <c r="AK20" s="36" cm="1">
        <f t="array" ref="AK20">INDEX($F$9:$F$3622,MATCH(1, (AK$6=$D$9:$D$3622) * ($AB20=$E$9:$E$3622) * ($Z20=$C$9:$C$3622),0))</f>
        <v>843.35</v>
      </c>
      <c r="AL20" s="36" cm="1">
        <f t="array" ref="AL20">INDEX($F$9:$F$3622,MATCH(1, (AL$6=$D$9:$D$3622) * ($AB20=$E$9:$E$3622) * ($Z20=$C$9:$C$3622),0))</f>
        <v>821.23</v>
      </c>
      <c r="AM20" s="36" cm="1">
        <f t="array" ref="AM20">INDEX($F$9:$F$3622,MATCH(1, (AM$6=$D$9:$D$3622) * ($AB20=$E$9:$E$3622) * ($Z20=$C$9:$C$3622),0))</f>
        <v>707</v>
      </c>
      <c r="AN20" s="36">
        <f t="shared" si="4"/>
        <v>748.52129372598995</v>
      </c>
      <c r="AO20" s="36">
        <f t="shared" si="5"/>
        <v>744.29544906660681</v>
      </c>
      <c r="AP20" s="36">
        <f t="shared" si="6"/>
        <v>809.59119437412846</v>
      </c>
      <c r="AQ20" s="36">
        <f t="shared" si="7"/>
        <v>877.14052850596215</v>
      </c>
      <c r="AR20" s="36">
        <f t="shared" si="8"/>
        <v>967.59328792328324</v>
      </c>
      <c r="AS20" s="36">
        <f t="shared" si="9"/>
        <v>1038.9413856328104</v>
      </c>
      <c r="AT20" s="36">
        <f t="shared" si="10"/>
        <v>1104.5487492084089</v>
      </c>
      <c r="AU20" s="36">
        <f t="shared" si="11"/>
        <v>1200.2179545978458</v>
      </c>
      <c r="AV20" s="36">
        <f t="shared" si="12"/>
        <v>1340.9799227080368</v>
      </c>
      <c r="AW20" s="36">
        <v>5</v>
      </c>
      <c r="AZ20" s="37" t="s">
        <v>142</v>
      </c>
      <c r="BA20" s="37" t="s">
        <v>50</v>
      </c>
      <c r="BB20" s="38">
        <v>1</v>
      </c>
      <c r="BC20" s="38">
        <v>1.0587288454398727</v>
      </c>
      <c r="BD20" s="38">
        <v>1.0527516959923717</v>
      </c>
      <c r="BE20" s="38">
        <v>1.1451077713919779</v>
      </c>
      <c r="BF20" s="38">
        <v>1.2406513840254061</v>
      </c>
      <c r="BG20" s="38">
        <v>1.3685902233709806</v>
      </c>
      <c r="BH20" s="38">
        <v>1.4695069103717262</v>
      </c>
      <c r="BI20" s="38">
        <v>1.5623037471123182</v>
      </c>
      <c r="BJ20" s="38">
        <v>1.6976208693038837</v>
      </c>
      <c r="BK20" s="38">
        <v>1.8967184196719049</v>
      </c>
    </row>
    <row r="21" spans="3:63">
      <c r="C21" t="s">
        <v>113</v>
      </c>
      <c r="D21">
        <v>2013</v>
      </c>
      <c r="E21" t="s">
        <v>141</v>
      </c>
      <c r="F21">
        <v>195.61</v>
      </c>
      <c r="J21" s="18" t="s">
        <v>171</v>
      </c>
      <c r="K21" s="18">
        <v>2022</v>
      </c>
      <c r="L21" s="18" t="s">
        <v>174</v>
      </c>
      <c r="M21" s="18">
        <v>448.83</v>
      </c>
      <c r="P21" s="18" t="s">
        <v>171</v>
      </c>
      <c r="Q21" s="18">
        <v>2022</v>
      </c>
      <c r="R21" s="18" t="s">
        <v>175</v>
      </c>
      <c r="S21" s="18">
        <f t="shared" si="3"/>
        <v>0</v>
      </c>
      <c r="U21">
        <v>22.441499999999998</v>
      </c>
      <c r="Z21" s="36" t="str">
        <f t="shared" si="0"/>
        <v>OAS</v>
      </c>
      <c r="AA21" s="36" t="s">
        <v>188</v>
      </c>
      <c r="AB21" s="36" t="str">
        <f t="shared" si="1"/>
        <v>DEMelin</v>
      </c>
      <c r="AC21" s="36" cm="1">
        <f t="array" ref="AC21">INDEX($F$9:$F$3622,MATCH(1, (AC$6=$D$9:$D$3622) * ($AB21=$E$9:$E$3622) * ($Z21=$C$9:$C$3622),0))</f>
        <v>1483.59</v>
      </c>
      <c r="AD21" s="36" cm="1">
        <f t="array" ref="AD21">INDEX($F$9:$F$3622,MATCH(1, (AD$6=$D$9:$D$3622) * ($AB21=$E$9:$E$3622) * ($Z21=$C$9:$C$3622),0))</f>
        <v>1529.05</v>
      </c>
      <c r="AE21" s="36" cm="1">
        <f t="array" ref="AE21">INDEX($F$9:$F$3622,MATCH(1, (AE$6=$D$9:$D$3622) * ($AB21=$E$9:$E$3622) * ($Z21=$C$9:$C$3622),0))</f>
        <v>1588.34</v>
      </c>
      <c r="AF21" s="36" cm="1">
        <f t="array" ref="AF21">INDEX($F$9:$F$3622,MATCH(1, (AF$6=$D$9:$D$3622) * ($AB21=$E$9:$E$3622) * ($Z21=$C$9:$C$3622),0))</f>
        <v>1635.07</v>
      </c>
      <c r="AG21" s="36" cm="1">
        <f t="array" ref="AG21">INDEX($F$9:$F$3622,MATCH(1, (AG$6=$D$9:$D$3622) * ($AB21=$E$9:$E$3622) * ($Z21=$C$9:$C$3622),0))</f>
        <v>1753.09</v>
      </c>
      <c r="AH21" s="36" cm="1">
        <f t="array" ref="AH21">INDEX($F$9:$F$3622,MATCH(1, (AH$6=$D$9:$D$3622) * ($AB21=$E$9:$E$3622) * ($Z21=$C$9:$C$3622),0))</f>
        <v>1802.9</v>
      </c>
      <c r="AI21" s="36" cm="1">
        <f t="array" ref="AI21">INDEX($F$9:$F$3622,MATCH(1, (AI$6=$D$9:$D$3622) * ($AB21=$E$9:$E$3622) * ($Z21=$C$9:$C$3622),0))</f>
        <v>1887.94</v>
      </c>
      <c r="AJ21" s="36" cm="1">
        <f t="array" ref="AJ21">INDEX($F$9:$F$3622,MATCH(1, (AJ$6=$D$9:$D$3622) * ($AB21=$E$9:$E$3622) * ($Z21=$C$9:$C$3622),0))</f>
        <v>1984.66</v>
      </c>
      <c r="AK21" s="36" cm="1">
        <f t="array" ref="AK21">INDEX($F$9:$F$3622,MATCH(1, (AK$6=$D$9:$D$3622) * ($AB21=$E$9:$E$3622) * ($Z21=$C$9:$C$3622),0))</f>
        <v>2061.0300000000002</v>
      </c>
      <c r="AL21" s="36" cm="1">
        <f t="array" ref="AL21">INDEX($F$9:$F$3622,MATCH(1, (AL$6=$D$9:$D$3622) * ($AB21=$E$9:$E$3622) * ($Z21=$C$9:$C$3622),0))</f>
        <v>2097.84</v>
      </c>
      <c r="AM21" s="36" cm="1">
        <f t="array" ref="AM21">INDEX($F$9:$F$3622,MATCH(1, (AM$6=$D$9:$D$3622) * ($AB21=$E$9:$E$3622) * ($Z21=$C$9:$C$3622),0))</f>
        <v>2040.93</v>
      </c>
      <c r="AN21" s="36">
        <f t="shared" si="4"/>
        <v>2116.9188382920229</v>
      </c>
      <c r="AO21" s="36">
        <f t="shared" si="5"/>
        <v>2051.3735779380213</v>
      </c>
      <c r="AP21" s="36">
        <f t="shared" si="6"/>
        <v>2153.5603327441245</v>
      </c>
      <c r="AQ21" s="36">
        <f t="shared" si="7"/>
        <v>2353.0635217999484</v>
      </c>
      <c r="AR21" s="36">
        <f t="shared" si="8"/>
        <v>2571.7077250811408</v>
      </c>
      <c r="AS21" s="36">
        <f t="shared" si="9"/>
        <v>2788.1390078686018</v>
      </c>
      <c r="AT21" s="36">
        <f t="shared" si="10"/>
        <v>3345.5797633791854</v>
      </c>
      <c r="AU21" s="36">
        <f t="shared" si="11"/>
        <v>4066.0047154741223</v>
      </c>
      <c r="AV21" s="36">
        <f t="shared" si="12"/>
        <v>5030.9059624456286</v>
      </c>
      <c r="AW21" s="36">
        <v>5</v>
      </c>
      <c r="AZ21" s="37" t="s">
        <v>142</v>
      </c>
      <c r="BA21" s="37" t="s">
        <v>124</v>
      </c>
      <c r="BB21" s="38">
        <v>1</v>
      </c>
      <c r="BC21" s="38">
        <v>1.0372324569152409</v>
      </c>
      <c r="BD21" s="38">
        <v>1.0051170681689334</v>
      </c>
      <c r="BE21" s="38">
        <v>1.0551857891961627</v>
      </c>
      <c r="BF21" s="38">
        <v>1.1529369070962494</v>
      </c>
      <c r="BG21" s="38">
        <v>1.2600665995801623</v>
      </c>
      <c r="BH21" s="38">
        <v>1.3661120214160221</v>
      </c>
      <c r="BI21" s="38">
        <v>1.6392427782330532</v>
      </c>
      <c r="BJ21" s="38">
        <v>1.9922313432964982</v>
      </c>
      <c r="BK21" s="38">
        <v>2.4650066207295831</v>
      </c>
    </row>
    <row r="22" spans="3:63">
      <c r="C22" t="s">
        <v>113</v>
      </c>
      <c r="D22">
        <v>2013</v>
      </c>
      <c r="E22" t="s">
        <v>142</v>
      </c>
      <c r="F22">
        <v>305.42</v>
      </c>
      <c r="J22" s="18" t="s">
        <v>171</v>
      </c>
      <c r="K22" s="18">
        <v>2023</v>
      </c>
      <c r="L22" s="18" t="s">
        <v>174</v>
      </c>
      <c r="M22" s="18">
        <v>462.55</v>
      </c>
      <c r="P22" s="18" t="s">
        <v>171</v>
      </c>
      <c r="Q22" s="18">
        <v>2023</v>
      </c>
      <c r="R22" s="18" t="s">
        <v>175</v>
      </c>
      <c r="S22" s="18">
        <f t="shared" si="3"/>
        <v>0</v>
      </c>
      <c r="U22">
        <v>23.127500000000001</v>
      </c>
      <c r="Z22" s="36" t="str">
        <f t="shared" si="0"/>
        <v>RUS</v>
      </c>
      <c r="AA22" s="36" t="s">
        <v>188</v>
      </c>
      <c r="AB22" s="36" t="str">
        <f t="shared" si="1"/>
        <v>DEMelin</v>
      </c>
      <c r="AC22" s="36" cm="1">
        <f t="array" ref="AC22">INDEX($F$9:$F$3622,MATCH(1, (AC$6=$D$9:$D$3622) * ($AB22=$E$9:$E$3622) * ($Z22=$C$9:$C$3622),0))</f>
        <v>1618.81</v>
      </c>
      <c r="AD22" s="36" cm="1">
        <f t="array" ref="AD22">INDEX($F$9:$F$3622,MATCH(1, (AD$6=$D$9:$D$3622) * ($AB22=$E$9:$E$3622) * ($Z22=$C$9:$C$3622),0))</f>
        <v>1665.04</v>
      </c>
      <c r="AE22" s="36" cm="1">
        <f t="array" ref="AE22">INDEX($F$9:$F$3622,MATCH(1, (AE$6=$D$9:$D$3622) * ($AB22=$E$9:$E$3622) * ($Z22=$C$9:$C$3622),0))</f>
        <v>1698.96</v>
      </c>
      <c r="AF22" s="36" cm="1">
        <f t="array" ref="AF22">INDEX($F$9:$F$3622,MATCH(1, (AF$6=$D$9:$D$3622) * ($AB22=$E$9:$E$3622) * ($Z22=$C$9:$C$3622),0))</f>
        <v>1655.44</v>
      </c>
      <c r="AG22" s="36" cm="1">
        <f t="array" ref="AG22">INDEX($F$9:$F$3622,MATCH(1, (AG$6=$D$9:$D$3622) * ($AB22=$E$9:$E$3622) * ($Z22=$C$9:$C$3622),0))</f>
        <v>1701.56</v>
      </c>
      <c r="AH22" s="36" cm="1">
        <f t="array" ref="AH22">INDEX($F$9:$F$3622,MATCH(1, (AH$6=$D$9:$D$3622) * ($AB22=$E$9:$E$3622) * ($Z22=$C$9:$C$3622),0))</f>
        <v>1695.06</v>
      </c>
      <c r="AI22" s="36" cm="1">
        <f t="array" ref="AI22">INDEX($F$9:$F$3622,MATCH(1, (AI$6=$D$9:$D$3622) * ($AB22=$E$9:$E$3622) * ($Z22=$C$9:$C$3622),0))</f>
        <v>1711.51</v>
      </c>
      <c r="AJ22" s="36" cm="1">
        <f t="array" ref="AJ22">INDEX($F$9:$F$3622,MATCH(1, (AJ$6=$D$9:$D$3622) * ($AB22=$E$9:$E$3622) * ($Z22=$C$9:$C$3622),0))</f>
        <v>1733.69</v>
      </c>
      <c r="AK22" s="36" cm="1">
        <f t="array" ref="AK22">INDEX($F$9:$F$3622,MATCH(1, (AK$6=$D$9:$D$3622) * ($AB22=$E$9:$E$3622) * ($Z22=$C$9:$C$3622),0))</f>
        <v>1793.44</v>
      </c>
      <c r="AL22" s="36" cm="1">
        <f t="array" ref="AL22">INDEX($F$9:$F$3622,MATCH(1, (AL$6=$D$9:$D$3622) * ($AB22=$E$9:$E$3622) * ($Z22=$C$9:$C$3622),0))</f>
        <v>1824.41</v>
      </c>
      <c r="AM22" s="36" cm="1">
        <f t="array" ref="AM22">INDEX($F$9:$F$3622,MATCH(1, (AM$6=$D$9:$D$3622) * ($AB22=$E$9:$E$3622) * ($Z22=$C$9:$C$3622),0))</f>
        <v>1765.04</v>
      </c>
      <c r="AN22" s="36">
        <f t="shared" si="4"/>
        <v>1801.3600635268431</v>
      </c>
      <c r="AO22" s="36">
        <f t="shared" si="5"/>
        <v>1758.9185505055364</v>
      </c>
      <c r="AP22" s="36">
        <f t="shared" si="6"/>
        <v>1900.3415247708749</v>
      </c>
      <c r="AQ22" s="36">
        <f t="shared" si="7"/>
        <v>2059.0850016580475</v>
      </c>
      <c r="AR22" s="36">
        <f t="shared" si="8"/>
        <v>2260.7144785003352</v>
      </c>
      <c r="AS22" s="36">
        <f t="shared" si="9"/>
        <v>2403.0475212073129</v>
      </c>
      <c r="AT22" s="36">
        <f t="shared" si="10"/>
        <v>2554.795843676216</v>
      </c>
      <c r="AU22" s="36">
        <f t="shared" si="11"/>
        <v>2776.0765146035092</v>
      </c>
      <c r="AV22" s="36">
        <f t="shared" si="12"/>
        <v>3101.6557082183872</v>
      </c>
      <c r="AW22" s="36">
        <v>5</v>
      </c>
      <c r="AZ22" s="37" t="s">
        <v>142</v>
      </c>
      <c r="BA22" s="37" t="s">
        <v>105</v>
      </c>
      <c r="BB22" s="38">
        <v>1</v>
      </c>
      <c r="BC22" s="38">
        <v>1.0205774733302606</v>
      </c>
      <c r="BD22" s="38">
        <v>0.99653183525899491</v>
      </c>
      <c r="BE22" s="38">
        <v>1.0766563504344802</v>
      </c>
      <c r="BF22" s="38">
        <v>1.1665939591499612</v>
      </c>
      <c r="BG22" s="38">
        <v>1.2808290341863839</v>
      </c>
      <c r="BH22" s="38">
        <v>1.3614691571903825</v>
      </c>
      <c r="BI22" s="38">
        <v>1.4474435954291212</v>
      </c>
      <c r="BJ22" s="38">
        <v>1.5728122391580412</v>
      </c>
      <c r="BK22" s="38">
        <v>1.7572721911222335</v>
      </c>
    </row>
    <row r="23" spans="3:63">
      <c r="C23" t="s">
        <v>113</v>
      </c>
      <c r="D23">
        <v>2013</v>
      </c>
      <c r="E23" t="s">
        <v>143</v>
      </c>
      <c r="F23">
        <v>370.6</v>
      </c>
      <c r="J23" s="18" t="s">
        <v>171</v>
      </c>
      <c r="K23" s="18">
        <v>2024</v>
      </c>
      <c r="L23" s="18" t="s">
        <v>174</v>
      </c>
      <c r="M23" s="18">
        <v>476.85</v>
      </c>
      <c r="P23" s="18" t="s">
        <v>171</v>
      </c>
      <c r="Q23" s="18">
        <v>2024</v>
      </c>
      <c r="R23" s="18" t="s">
        <v>175</v>
      </c>
      <c r="S23" s="18">
        <f t="shared" si="3"/>
        <v>0</v>
      </c>
      <c r="U23">
        <v>23.842500000000001</v>
      </c>
      <c r="Z23" s="36" t="str">
        <f t="shared" si="0"/>
        <v>SKO</v>
      </c>
      <c r="AA23" s="36" t="s">
        <v>188</v>
      </c>
      <c r="AB23" s="36" t="str">
        <f t="shared" si="1"/>
        <v>DEMelin</v>
      </c>
      <c r="AC23" s="36" cm="1">
        <f t="array" ref="AC23">INDEX($F$9:$F$3622,MATCH(1, (AC$6=$D$9:$D$3622) * ($AB23=$E$9:$E$3622) * ($Z23=$C$9:$C$3622),0))</f>
        <v>818.81</v>
      </c>
      <c r="AD23" s="36" cm="1">
        <f t="array" ref="AD23">INDEX($F$9:$F$3622,MATCH(1, (AD$6=$D$9:$D$3622) * ($AB23=$E$9:$E$3622) * ($Z23=$C$9:$C$3622),0))</f>
        <v>886.12</v>
      </c>
      <c r="AE23" s="36" cm="1">
        <f t="array" ref="AE23">INDEX($F$9:$F$3622,MATCH(1, (AE$6=$D$9:$D$3622) * ($AB23=$E$9:$E$3622) * ($Z23=$C$9:$C$3622),0))</f>
        <v>905.24</v>
      </c>
      <c r="AF23" s="36" cm="1">
        <f t="array" ref="AF23">INDEX($F$9:$F$3622,MATCH(1, (AF$6=$D$9:$D$3622) * ($AB23=$E$9:$E$3622) * ($Z23=$C$9:$C$3622),0))</f>
        <v>929.85</v>
      </c>
      <c r="AG23" s="36" cm="1">
        <f t="array" ref="AG23">INDEX($F$9:$F$3622,MATCH(1, (AG$6=$D$9:$D$3622) * ($AB23=$E$9:$E$3622) * ($Z23=$C$9:$C$3622),0))</f>
        <v>955.38</v>
      </c>
      <c r="AH23" s="36" cm="1">
        <f t="array" ref="AH23">INDEX($F$9:$F$3622,MATCH(1, (AH$6=$D$9:$D$3622) * ($AB23=$E$9:$E$3622) * ($Z23=$C$9:$C$3622),0))</f>
        <v>966.56</v>
      </c>
      <c r="AI23" s="36" cm="1">
        <f t="array" ref="AI23">INDEX($F$9:$F$3622,MATCH(1, (AI$6=$D$9:$D$3622) * ($AB23=$E$9:$E$3622) * ($Z23=$C$9:$C$3622),0))</f>
        <v>949.51</v>
      </c>
      <c r="AJ23" s="36" cm="1">
        <f t="array" ref="AJ23">INDEX($F$9:$F$3622,MATCH(1, (AJ$6=$D$9:$D$3622) * ($AB23=$E$9:$E$3622) * ($Z23=$C$9:$C$3622),0))</f>
        <v>978.31</v>
      </c>
      <c r="AK23" s="36" cm="1">
        <f t="array" ref="AK23">INDEX($F$9:$F$3622,MATCH(1, (AK$6=$D$9:$D$3622) * ($AB23=$E$9:$E$3622) * ($Z23=$C$9:$C$3622),0))</f>
        <v>1022.51</v>
      </c>
      <c r="AL23" s="36" cm="1">
        <f t="array" ref="AL23">INDEX($F$9:$F$3622,MATCH(1, (AL$6=$D$9:$D$3622) * ($AB23=$E$9:$E$3622) * ($Z23=$C$9:$C$3622),0))</f>
        <v>1024.5</v>
      </c>
      <c r="AM23" s="36" cm="1">
        <f t="array" ref="AM23">INDEX($F$9:$F$3622,MATCH(1, (AM$6=$D$9:$D$3622) * ($AB23=$E$9:$E$3622) * ($Z23=$C$9:$C$3622),0))</f>
        <v>995.77</v>
      </c>
      <c r="AN23" s="36">
        <f t="shared" si="4"/>
        <v>1012.0614838116836</v>
      </c>
      <c r="AO23" s="36">
        <f t="shared" si="5"/>
        <v>954.55995193649596</v>
      </c>
      <c r="AP23" s="36">
        <f t="shared" si="6"/>
        <v>982.4054879014833</v>
      </c>
      <c r="AQ23" s="36">
        <f t="shared" si="7"/>
        <v>1048.6193289693665</v>
      </c>
      <c r="AR23" s="36">
        <f t="shared" si="8"/>
        <v>1118.9320232584416</v>
      </c>
      <c r="AS23" s="36">
        <f t="shared" si="9"/>
        <v>1183.2554234704639</v>
      </c>
      <c r="AT23" s="36">
        <f t="shared" si="10"/>
        <v>1419.8271278797067</v>
      </c>
      <c r="AU23" s="36">
        <f t="shared" si="11"/>
        <v>1725.5675265341699</v>
      </c>
      <c r="AV23" s="36">
        <f t="shared" si="12"/>
        <v>2135.0609665564593</v>
      </c>
      <c r="AW23" s="36">
        <v>5</v>
      </c>
      <c r="AZ23" s="37" t="s">
        <v>142</v>
      </c>
      <c r="BA23" s="37" t="s">
        <v>51</v>
      </c>
      <c r="BB23" s="38">
        <v>1</v>
      </c>
      <c r="BC23" s="38">
        <v>1.0163606895283888</v>
      </c>
      <c r="BD23" s="38">
        <v>0.95861489293360513</v>
      </c>
      <c r="BE23" s="38">
        <v>0.98657871586961177</v>
      </c>
      <c r="BF23" s="38">
        <v>1.0530738312756627</v>
      </c>
      <c r="BG23" s="38">
        <v>1.1236852117039493</v>
      </c>
      <c r="BH23" s="38">
        <v>1.1882818557201602</v>
      </c>
      <c r="BI23" s="38">
        <v>1.4258585093743603</v>
      </c>
      <c r="BJ23" s="38">
        <v>1.7328976837363748</v>
      </c>
      <c r="BK23" s="38">
        <v>2.1441306391601067</v>
      </c>
    </row>
    <row r="24" spans="3:63">
      <c r="C24" t="s">
        <v>113</v>
      </c>
      <c r="D24">
        <v>2013</v>
      </c>
      <c r="E24" t="s">
        <v>144</v>
      </c>
      <c r="F24">
        <v>5.87</v>
      </c>
      <c r="J24" s="18" t="s">
        <v>171</v>
      </c>
      <c r="K24" s="18">
        <v>2025</v>
      </c>
      <c r="L24" s="18" t="s">
        <v>174</v>
      </c>
      <c r="M24" s="18">
        <v>491.34</v>
      </c>
      <c r="P24" s="18" t="s">
        <v>171</v>
      </c>
      <c r="Q24" s="18">
        <v>2025</v>
      </c>
      <c r="R24" s="18" t="s">
        <v>175</v>
      </c>
      <c r="S24" s="18">
        <f t="shared" si="3"/>
        <v>0</v>
      </c>
      <c r="U24">
        <v>24.567</v>
      </c>
      <c r="Z24" s="36" t="str">
        <f t="shared" si="0"/>
        <v>URA</v>
      </c>
      <c r="AA24" s="36" t="s">
        <v>188</v>
      </c>
      <c r="AB24" s="36" t="str">
        <f t="shared" si="1"/>
        <v>DEMelin</v>
      </c>
      <c r="AC24" s="36" cm="1">
        <f t="array" ref="AC24">INDEX($F$9:$F$3622,MATCH(1, (AC$6=$D$9:$D$3622) * ($AB24=$E$9:$E$3622) * ($Z24=$C$9:$C$3622),0))</f>
        <v>989.98</v>
      </c>
      <c r="AD24" s="36" cm="1">
        <f t="array" ref="AD24">INDEX($F$9:$F$3622,MATCH(1, (AD$6=$D$9:$D$3622) * ($AB24=$E$9:$E$3622) * ($Z24=$C$9:$C$3622),0))</f>
        <v>996.52</v>
      </c>
      <c r="AE24" s="36" cm="1">
        <f t="array" ref="AE24">INDEX($F$9:$F$3622,MATCH(1, (AE$6=$D$9:$D$3622) * ($AB24=$E$9:$E$3622) * ($Z24=$C$9:$C$3622),0))</f>
        <v>1014.8</v>
      </c>
      <c r="AF24" s="36" cm="1">
        <f t="array" ref="AF24">INDEX($F$9:$F$3622,MATCH(1, (AF$6=$D$9:$D$3622) * ($AB24=$E$9:$E$3622) * ($Z24=$C$9:$C$3622),0))</f>
        <v>982.08</v>
      </c>
      <c r="AG24" s="36" cm="1">
        <f t="array" ref="AG24">INDEX($F$9:$F$3622,MATCH(1, (AG$6=$D$9:$D$3622) * ($AB24=$E$9:$E$3622) * ($Z24=$C$9:$C$3622),0))</f>
        <v>933.27</v>
      </c>
      <c r="AH24" s="36" cm="1">
        <f t="array" ref="AH24">INDEX($F$9:$F$3622,MATCH(1, (AH$6=$D$9:$D$3622) * ($AB24=$E$9:$E$3622) * ($Z24=$C$9:$C$3622),0))</f>
        <v>928.01</v>
      </c>
      <c r="AI24" s="36" cm="1">
        <f t="array" ref="AI24">INDEX($F$9:$F$3622,MATCH(1, (AI$6=$D$9:$D$3622) * ($AB24=$E$9:$E$3622) * ($Z24=$C$9:$C$3622),0))</f>
        <v>935.88</v>
      </c>
      <c r="AJ24" s="36" cm="1">
        <f t="array" ref="AJ24">INDEX($F$9:$F$3622,MATCH(1, (AJ$6=$D$9:$D$3622) * ($AB24=$E$9:$E$3622) * ($Z24=$C$9:$C$3622),0))</f>
        <v>929.99</v>
      </c>
      <c r="AK24" s="36" cm="1">
        <f t="array" ref="AK24">INDEX($F$9:$F$3622,MATCH(1, (AK$6=$D$9:$D$3622) * ($AB24=$E$9:$E$3622) * ($Z24=$C$9:$C$3622),0))</f>
        <v>968.75</v>
      </c>
      <c r="AL24" s="36" cm="1">
        <f t="array" ref="AL24">INDEX($F$9:$F$3622,MATCH(1, (AL$6=$D$9:$D$3622) * ($AB24=$E$9:$E$3622) * ($Z24=$C$9:$C$3622),0))</f>
        <v>877.12</v>
      </c>
      <c r="AM24" s="36" cm="1">
        <f t="array" ref="AM24">INDEX($F$9:$F$3622,MATCH(1, (AM$6=$D$9:$D$3622) * ($AB24=$E$9:$E$3622) * ($Z24=$C$9:$C$3622),0))</f>
        <v>822.47</v>
      </c>
      <c r="AN24" s="36">
        <f t="shared" si="4"/>
        <v>848.09281949939248</v>
      </c>
      <c r="AO24" s="36">
        <f t="shared" si="5"/>
        <v>822.77094178165942</v>
      </c>
      <c r="AP24" s="36">
        <f t="shared" si="6"/>
        <v>860.97816478330196</v>
      </c>
      <c r="AQ24" s="36">
        <f t="shared" si="7"/>
        <v>934.48754967799687</v>
      </c>
      <c r="AR24" s="36">
        <f t="shared" si="8"/>
        <v>1011.68861601222</v>
      </c>
      <c r="AS24" s="36">
        <f t="shared" si="9"/>
        <v>1085.2902877334618</v>
      </c>
      <c r="AT24" s="36">
        <f t="shared" si="10"/>
        <v>1302.2755371184705</v>
      </c>
      <c r="AU24" s="36">
        <f t="shared" si="11"/>
        <v>1582.7028046768412</v>
      </c>
      <c r="AV24" s="36">
        <f t="shared" si="12"/>
        <v>1958.2930994952567</v>
      </c>
      <c r="AW24" s="36">
        <v>5</v>
      </c>
      <c r="AZ24" s="37" t="s">
        <v>142</v>
      </c>
      <c r="BA24" s="37" t="s">
        <v>125</v>
      </c>
      <c r="BB24" s="38">
        <v>1</v>
      </c>
      <c r="BC24" s="38">
        <v>1.031153500430888</v>
      </c>
      <c r="BD24" s="38">
        <v>1.0003659000105285</v>
      </c>
      <c r="BE24" s="38">
        <v>1.0468201451521659</v>
      </c>
      <c r="BF24" s="38">
        <v>1.1361965174146131</v>
      </c>
      <c r="BG24" s="38">
        <v>1.2300614198842754</v>
      </c>
      <c r="BH24" s="38">
        <v>1.3195499990680046</v>
      </c>
      <c r="BI24" s="38">
        <v>1.5833714750914567</v>
      </c>
      <c r="BJ24" s="38">
        <v>1.9243289173791642</v>
      </c>
      <c r="BK24" s="38">
        <v>2.3809903090632565</v>
      </c>
    </row>
    <row r="25" spans="3:63">
      <c r="C25" t="s">
        <v>113</v>
      </c>
      <c r="D25">
        <v>2014</v>
      </c>
      <c r="E25" t="s">
        <v>141</v>
      </c>
      <c r="F25">
        <v>195.96</v>
      </c>
      <c r="J25" s="18" t="s">
        <v>171</v>
      </c>
      <c r="K25" s="18">
        <v>2026</v>
      </c>
      <c r="L25" s="18" t="s">
        <v>174</v>
      </c>
      <c r="M25" s="18">
        <v>505.92</v>
      </c>
      <c r="P25" s="18" t="s">
        <v>171</v>
      </c>
      <c r="Q25" s="18">
        <v>2026</v>
      </c>
      <c r="R25" s="18" t="s">
        <v>175</v>
      </c>
      <c r="S25" s="18">
        <f t="shared" si="3"/>
        <v>0</v>
      </c>
      <c r="U25">
        <v>25.295999999999999</v>
      </c>
      <c r="Z25" s="36" t="str">
        <f t="shared" si="0"/>
        <v>USA</v>
      </c>
      <c r="AA25" s="36" t="s">
        <v>188</v>
      </c>
      <c r="AB25" s="36" t="str">
        <f t="shared" si="1"/>
        <v>DEMelin</v>
      </c>
      <c r="AC25" s="36" cm="1">
        <f t="array" ref="AC25">INDEX($F$9:$F$3622,MATCH(1, (AC$6=$D$9:$D$3622) * ($AB25=$E$9:$E$3622) * ($Z25=$C$9:$C$3622),0))</f>
        <v>3313.81</v>
      </c>
      <c r="AD25" s="36" cm="1">
        <f t="array" ref="AD25">INDEX($F$9:$F$3622,MATCH(1, (AD$6=$D$9:$D$3622) * ($AB25=$E$9:$E$3622) * ($Z25=$C$9:$C$3622),0))</f>
        <v>3382.37</v>
      </c>
      <c r="AE25" s="36" cm="1">
        <f t="array" ref="AE25">INDEX($F$9:$F$3622,MATCH(1, (AE$6=$D$9:$D$3622) * ($AB25=$E$9:$E$3622) * ($Z25=$C$9:$C$3622),0))</f>
        <v>3363.26</v>
      </c>
      <c r="AF25" s="36" cm="1">
        <f t="array" ref="AF25">INDEX($F$9:$F$3622,MATCH(1, (AF$6=$D$9:$D$3622) * ($AB25=$E$9:$E$3622) * ($Z25=$C$9:$C$3622),0))</f>
        <v>3362.02</v>
      </c>
      <c r="AG25" s="36" cm="1">
        <f t="array" ref="AG25">INDEX($F$9:$F$3622,MATCH(1, (AG$6=$D$9:$D$3622) * ($AB25=$E$9:$E$3622) * ($Z25=$C$9:$C$3622),0))</f>
        <v>3403.73</v>
      </c>
      <c r="AH25" s="36" cm="1">
        <f t="array" ref="AH25">INDEX($F$9:$F$3622,MATCH(1, (AH$6=$D$9:$D$3622) * ($AB25=$E$9:$E$3622) * ($Z25=$C$9:$C$3622),0))</f>
        <v>3365.97</v>
      </c>
      <c r="AI25" s="36" cm="1">
        <f t="array" ref="AI25">INDEX($F$9:$F$3622,MATCH(1, (AI$6=$D$9:$D$3622) * ($AB25=$E$9:$E$3622) * ($Z25=$C$9:$C$3622),0))</f>
        <v>3332.55</v>
      </c>
      <c r="AJ25" s="36" cm="1">
        <f t="array" ref="AJ25">INDEX($F$9:$F$3622,MATCH(1, (AJ$6=$D$9:$D$3622) * ($AB25=$E$9:$E$3622) * ($Z25=$C$9:$C$3622),0))</f>
        <v>3358.42</v>
      </c>
      <c r="AK25" s="36" cm="1">
        <f t="array" ref="AK25">INDEX($F$9:$F$3622,MATCH(1, (AK$6=$D$9:$D$3622) * ($AB25=$E$9:$E$3622) * ($Z25=$C$9:$C$3622),0))</f>
        <v>3417.45</v>
      </c>
      <c r="AL25" s="36" cm="1">
        <f t="array" ref="AL25">INDEX($F$9:$F$3622,MATCH(1, (AL$6=$D$9:$D$3622) * ($AB25=$E$9:$E$3622) * ($Z25=$C$9:$C$3622),0))</f>
        <v>3248.73</v>
      </c>
      <c r="AM25" s="36" cm="1">
        <f t="array" ref="AM25">INDEX($F$9:$F$3622,MATCH(1, (AM$6=$D$9:$D$3622) * ($AB25=$E$9:$E$3622) * ($Z25=$C$9:$C$3622),0))</f>
        <v>3066.93</v>
      </c>
      <c r="AN25" s="36">
        <f t="shared" si="4"/>
        <v>3168.7608096129575</v>
      </c>
      <c r="AO25" s="36">
        <f t="shared" si="5"/>
        <v>3150.0100039569484</v>
      </c>
      <c r="AP25" s="36">
        <f t="shared" si="6"/>
        <v>3434.8253094029469</v>
      </c>
      <c r="AQ25" s="36">
        <f t="shared" si="7"/>
        <v>3728.238624314049</v>
      </c>
      <c r="AR25" s="36">
        <f t="shared" si="8"/>
        <v>4117.9468151972023</v>
      </c>
      <c r="AS25" s="36">
        <f t="shared" si="9"/>
        <v>4417.2779133158656</v>
      </c>
      <c r="AT25" s="36">
        <f t="shared" si="10"/>
        <v>4696.221424548562</v>
      </c>
      <c r="AU25" s="36">
        <f t="shared" si="11"/>
        <v>5102.979181814937</v>
      </c>
      <c r="AV25" s="36">
        <f t="shared" si="12"/>
        <v>5701.4583081318633</v>
      </c>
      <c r="AW25" s="36">
        <v>5</v>
      </c>
      <c r="AZ25" s="37" t="s">
        <v>142</v>
      </c>
      <c r="BA25" s="37" t="s">
        <v>112</v>
      </c>
      <c r="BB25" s="38">
        <v>1</v>
      </c>
      <c r="BC25" s="38">
        <v>1.0332028476727404</v>
      </c>
      <c r="BD25" s="38">
        <v>1.0270889795192419</v>
      </c>
      <c r="BE25" s="38">
        <v>1.1199555612299423</v>
      </c>
      <c r="BF25" s="38">
        <v>1.2156256009475435</v>
      </c>
      <c r="BG25" s="38">
        <v>1.3426934475834802</v>
      </c>
      <c r="BH25" s="38">
        <v>1.4402930335272948</v>
      </c>
      <c r="BI25" s="38">
        <v>1.5312450641353283</v>
      </c>
      <c r="BJ25" s="38">
        <v>1.6638720746202023</v>
      </c>
      <c r="BK25" s="38">
        <v>1.8590115549203483</v>
      </c>
    </row>
    <row r="26" spans="3:63">
      <c r="C26" t="s">
        <v>113</v>
      </c>
      <c r="D26">
        <v>2014</v>
      </c>
      <c r="E26" t="s">
        <v>142</v>
      </c>
      <c r="F26">
        <v>320.08999999999997</v>
      </c>
      <c r="J26" s="18" t="s">
        <v>171</v>
      </c>
      <c r="K26" s="18">
        <v>2027</v>
      </c>
      <c r="L26" s="18" t="s">
        <v>174</v>
      </c>
      <c r="M26" s="18">
        <v>520.92999999999995</v>
      </c>
      <c r="P26" s="18" t="s">
        <v>171</v>
      </c>
      <c r="Q26" s="18">
        <v>2027</v>
      </c>
      <c r="R26" s="18" t="s">
        <v>175</v>
      </c>
      <c r="S26" s="18">
        <f t="shared" si="3"/>
        <v>0</v>
      </c>
      <c r="U26">
        <v>26.046499999999998</v>
      </c>
      <c r="Z26" s="36" t="str">
        <f t="shared" si="0"/>
        <v>AFR_N</v>
      </c>
      <c r="AA26" s="36" t="s">
        <v>188</v>
      </c>
      <c r="AB26" s="36" t="str">
        <f t="shared" si="1"/>
        <v>DEMeltr</v>
      </c>
      <c r="AC26" s="36" cm="1">
        <f t="array" ref="AC26">INDEX($F$9:$F$3622,MATCH(1, (AC$6=$D$9:$D$3622) * ($AB26=$E$9:$E$3622) * ($Z26=$C$9:$C$3622),0))</f>
        <v>4.96</v>
      </c>
      <c r="AD26" s="36" cm="1">
        <f t="array" ref="AD26">INDEX($F$9:$F$3622,MATCH(1, (AD$6=$D$9:$D$3622) * ($AB26=$E$9:$E$3622) * ($Z26=$C$9:$C$3622),0))</f>
        <v>5.29</v>
      </c>
      <c r="AE26" s="36" cm="1">
        <f t="array" ref="AE26">INDEX($F$9:$F$3622,MATCH(1, (AE$6=$D$9:$D$3622) * ($AB26=$E$9:$E$3622) * ($Z26=$C$9:$C$3622),0))</f>
        <v>6.06</v>
      </c>
      <c r="AF26" s="36" cm="1">
        <f t="array" ref="AF26">INDEX($F$9:$F$3622,MATCH(1, (AF$6=$D$9:$D$3622) * ($AB26=$E$9:$E$3622) * ($Z26=$C$9:$C$3622),0))</f>
        <v>5.87</v>
      </c>
      <c r="AG26" s="36" cm="1">
        <f t="array" ref="AG26">INDEX($F$9:$F$3622,MATCH(1, (AG$6=$D$9:$D$3622) * ($AB26=$E$9:$E$3622) * ($Z26=$C$9:$C$3622),0))</f>
        <v>6.07</v>
      </c>
      <c r="AH26" s="36" cm="1">
        <f t="array" ref="AH26">INDEX($F$9:$F$3622,MATCH(1, (AH$6=$D$9:$D$3622) * ($AB26=$E$9:$E$3622) * ($Z26=$C$9:$C$3622),0))</f>
        <v>6.08</v>
      </c>
      <c r="AI26" s="36" cm="1">
        <f t="array" ref="AI26">INDEX($F$9:$F$3622,MATCH(1, (AI$6=$D$9:$D$3622) * ($AB26=$E$9:$E$3622) * ($Z26=$C$9:$C$3622),0))</f>
        <v>6.17</v>
      </c>
      <c r="AJ26" s="36" cm="1">
        <f t="array" ref="AJ26">INDEX($F$9:$F$3622,MATCH(1, (AJ$6=$D$9:$D$3622) * ($AB26=$E$9:$E$3622) * ($Z26=$C$9:$C$3622),0))</f>
        <v>6.05</v>
      </c>
      <c r="AK26" s="36" cm="1">
        <f t="array" ref="AK26">INDEX($F$9:$F$3622,MATCH(1, (AK$6=$D$9:$D$3622) * ($AB26=$E$9:$E$3622) * ($Z26=$C$9:$C$3622),0))</f>
        <v>5.81</v>
      </c>
      <c r="AL26" s="36" cm="1">
        <f t="array" ref="AL26">INDEX($F$9:$F$3622,MATCH(1, (AL$6=$D$9:$D$3622) * ($AB26=$E$9:$E$3622) * ($Z26=$C$9:$C$3622),0))</f>
        <v>10.119999999999999</v>
      </c>
      <c r="AM26" s="36" cm="1">
        <f t="array" ref="AM26">INDEX($F$9:$F$3622,MATCH(1, (AM$6=$D$9:$D$3622) * ($AB26=$E$9:$E$3622) * ($Z26=$C$9:$C$3622),0))</f>
        <v>9.75</v>
      </c>
      <c r="AN26" s="36">
        <f t="shared" si="4"/>
        <v>13.506542773778856</v>
      </c>
      <c r="AO26" s="36">
        <f t="shared" si="5"/>
        <v>23.487935332232098</v>
      </c>
      <c r="AP26" s="36">
        <f t="shared" si="6"/>
        <v>40.518227396051735</v>
      </c>
      <c r="AQ26" s="36">
        <f t="shared" si="7"/>
        <v>62.687655098606008</v>
      </c>
      <c r="AR26" s="36">
        <f t="shared" si="8"/>
        <v>88.423843746174882</v>
      </c>
      <c r="AS26" s="36">
        <f t="shared" si="9"/>
        <v>112.94614803897097</v>
      </c>
      <c r="AT26" s="36">
        <f t="shared" si="10"/>
        <v>135.52780050219783</v>
      </c>
      <c r="AU26" s="36">
        <f t="shared" si="11"/>
        <v>164.71186308324121</v>
      </c>
      <c r="AV26" s="36">
        <f t="shared" si="12"/>
        <v>203.79954084100959</v>
      </c>
      <c r="AW26" s="36">
        <v>5</v>
      </c>
      <c r="AZ26" s="37" t="s">
        <v>144</v>
      </c>
      <c r="BA26" s="37" t="s">
        <v>113</v>
      </c>
      <c r="BB26" s="38">
        <v>1</v>
      </c>
      <c r="BC26" s="38">
        <v>1.3852864383362928</v>
      </c>
      <c r="BD26" s="38">
        <v>2.4090190084340612</v>
      </c>
      <c r="BE26" s="38">
        <v>4.1557156303642806</v>
      </c>
      <c r="BF26" s="38">
        <v>6.4295030870365135</v>
      </c>
      <c r="BG26" s="38">
        <v>9.0691121790948603</v>
      </c>
      <c r="BH26" s="38">
        <v>11.584220311689331</v>
      </c>
      <c r="BI26" s="38">
        <v>13.90028723099465</v>
      </c>
      <c r="BJ26" s="38">
        <v>16.893524418793969</v>
      </c>
      <c r="BK26" s="38">
        <v>20.902517009334318</v>
      </c>
    </row>
    <row r="27" spans="3:63">
      <c r="C27" t="s">
        <v>113</v>
      </c>
      <c r="D27">
        <v>2014</v>
      </c>
      <c r="E27" t="s">
        <v>143</v>
      </c>
      <c r="F27">
        <v>386.96</v>
      </c>
      <c r="J27" s="18" t="s">
        <v>171</v>
      </c>
      <c r="K27" s="18">
        <v>2028</v>
      </c>
      <c r="L27" s="18" t="s">
        <v>174</v>
      </c>
      <c r="M27" s="18">
        <v>536.17999999999995</v>
      </c>
      <c r="P27" s="18" t="s">
        <v>171</v>
      </c>
      <c r="Q27" s="18">
        <v>2028</v>
      </c>
      <c r="R27" s="18" t="s">
        <v>175</v>
      </c>
      <c r="S27" s="18">
        <f t="shared" si="3"/>
        <v>0</v>
      </c>
      <c r="U27">
        <v>26.808999999999997</v>
      </c>
      <c r="Z27" s="36" t="str">
        <f t="shared" si="0"/>
        <v>AFR_S</v>
      </c>
      <c r="AA27" s="36" t="s">
        <v>188</v>
      </c>
      <c r="AB27" s="36" t="str">
        <f t="shared" si="1"/>
        <v>DEMeltr</v>
      </c>
      <c r="AC27" s="36" cm="1">
        <f t="array" ref="AC27">INDEX($F$9:$F$3622,MATCH(1, (AC$6=$D$9:$D$3622) * ($AB27=$E$9:$E$3622) * ($Z27=$C$9:$C$3622),0))</f>
        <v>11</v>
      </c>
      <c r="AD27" s="36" cm="1">
        <f t="array" ref="AD27">INDEX($F$9:$F$3622,MATCH(1, (AD$6=$D$9:$D$3622) * ($AB27=$E$9:$E$3622) * ($Z27=$C$9:$C$3622),0))</f>
        <v>11.73</v>
      </c>
      <c r="AE27" s="36" cm="1">
        <f t="array" ref="AE27">INDEX($F$9:$F$3622,MATCH(1, (AE$6=$D$9:$D$3622) * ($AB27=$E$9:$E$3622) * ($Z27=$C$9:$C$3622),0))</f>
        <v>13.45</v>
      </c>
      <c r="AF27" s="36" cm="1">
        <f t="array" ref="AF27">INDEX($F$9:$F$3622,MATCH(1, (AF$6=$D$9:$D$3622) * ($AB27=$E$9:$E$3622) * ($Z27=$C$9:$C$3622),0))</f>
        <v>13.03</v>
      </c>
      <c r="AG27" s="36" cm="1">
        <f t="array" ref="AG27">INDEX($F$9:$F$3622,MATCH(1, (AG$6=$D$9:$D$3622) * ($AB27=$E$9:$E$3622) * ($Z27=$C$9:$C$3622),0))</f>
        <v>13.45</v>
      </c>
      <c r="AH27" s="36" cm="1">
        <f t="array" ref="AH27">INDEX($F$9:$F$3622,MATCH(1, (AH$6=$D$9:$D$3622) * ($AB27=$E$9:$E$3622) * ($Z27=$C$9:$C$3622),0))</f>
        <v>13.48</v>
      </c>
      <c r="AI27" s="36" cm="1">
        <f t="array" ref="AI27">INDEX($F$9:$F$3622,MATCH(1, (AI$6=$D$9:$D$3622) * ($AB27=$E$9:$E$3622) * ($Z27=$C$9:$C$3622),0))</f>
        <v>13.69</v>
      </c>
      <c r="AJ27" s="36" cm="1">
        <f t="array" ref="AJ27">INDEX($F$9:$F$3622,MATCH(1, (AJ$6=$D$9:$D$3622) * ($AB27=$E$9:$E$3622) * ($Z27=$C$9:$C$3622),0))</f>
        <v>13.41</v>
      </c>
      <c r="AK27" s="36" cm="1">
        <f t="array" ref="AK27">INDEX($F$9:$F$3622,MATCH(1, (AK$6=$D$9:$D$3622) * ($AB27=$E$9:$E$3622) * ($Z27=$C$9:$C$3622),0))</f>
        <v>12.89</v>
      </c>
      <c r="AL27" s="36" cm="1">
        <f t="array" ref="AL27">INDEX($F$9:$F$3622,MATCH(1, (AL$6=$D$9:$D$3622) * ($AB27=$E$9:$E$3622) * ($Z27=$C$9:$C$3622),0))</f>
        <v>22.44</v>
      </c>
      <c r="AM27" s="36" cm="1">
        <f t="array" ref="AM27">INDEX($F$9:$F$3622,MATCH(1, (AM$6=$D$9:$D$3622) * ($AB27=$E$9:$E$3622) * ($Z27=$C$9:$C$3622),0))</f>
        <v>21.62</v>
      </c>
      <c r="AN27" s="36">
        <f t="shared" si="4"/>
        <v>29.949892796830653</v>
      </c>
      <c r="AO27" s="36">
        <f t="shared" si="5"/>
        <v>52.082990962344404</v>
      </c>
      <c r="AP27" s="36">
        <f t="shared" si="6"/>
        <v>89.846571928475754</v>
      </c>
      <c r="AQ27" s="36">
        <f t="shared" si="7"/>
        <v>139.00585674172942</v>
      </c>
      <c r="AR27" s="36">
        <f t="shared" si="8"/>
        <v>196.0742053120309</v>
      </c>
      <c r="AS27" s="36">
        <f t="shared" si="9"/>
        <v>250.45084313872334</v>
      </c>
      <c r="AT27" s="36">
        <f t="shared" si="10"/>
        <v>300.52420993410436</v>
      </c>
      <c r="AU27" s="36">
        <f t="shared" si="11"/>
        <v>365.23799793432562</v>
      </c>
      <c r="AV27" s="36">
        <f t="shared" si="12"/>
        <v>451.91241774180799</v>
      </c>
      <c r="AW27" s="36">
        <v>5</v>
      </c>
      <c r="AZ27" s="37" t="s">
        <v>144</v>
      </c>
      <c r="BA27" s="37" t="s">
        <v>114</v>
      </c>
      <c r="BB27" s="38">
        <v>1</v>
      </c>
      <c r="BC27" s="38">
        <v>1.3852864383362928</v>
      </c>
      <c r="BD27" s="38">
        <v>2.4090190084340612</v>
      </c>
      <c r="BE27" s="38">
        <v>4.1557156303642806</v>
      </c>
      <c r="BF27" s="38">
        <v>6.4295030870365135</v>
      </c>
      <c r="BG27" s="38">
        <v>9.0691121790948603</v>
      </c>
      <c r="BH27" s="38">
        <v>11.584220311689331</v>
      </c>
      <c r="BI27" s="38">
        <v>13.90028723099465</v>
      </c>
      <c r="BJ27" s="38">
        <v>16.893524418793969</v>
      </c>
      <c r="BK27" s="38">
        <v>20.902517009334318</v>
      </c>
    </row>
    <row r="28" spans="3:63">
      <c r="C28" t="s">
        <v>113</v>
      </c>
      <c r="D28">
        <v>2014</v>
      </c>
      <c r="E28" t="s">
        <v>144</v>
      </c>
      <c r="F28">
        <v>6.07</v>
      </c>
      <c r="J28" s="18" t="s">
        <v>171</v>
      </c>
      <c r="K28" s="18">
        <v>2029</v>
      </c>
      <c r="L28" s="18" t="s">
        <v>174</v>
      </c>
      <c r="M28" s="18">
        <v>551.87</v>
      </c>
      <c r="P28" s="18" t="s">
        <v>171</v>
      </c>
      <c r="Q28" s="18">
        <v>2029</v>
      </c>
      <c r="R28" s="18" t="s">
        <v>175</v>
      </c>
      <c r="S28" s="18">
        <f t="shared" si="3"/>
        <v>0</v>
      </c>
      <c r="U28">
        <v>27.593499999999999</v>
      </c>
      <c r="Z28" s="36" t="str">
        <f t="shared" si="0"/>
        <v>ANZ</v>
      </c>
      <c r="AA28" s="36" t="s">
        <v>188</v>
      </c>
      <c r="AB28" s="36" t="str">
        <f t="shared" si="1"/>
        <v>DEMeltr</v>
      </c>
      <c r="AC28" s="36" cm="1">
        <f t="array" ref="AC28">INDEX($F$9:$F$3622,MATCH(1, (AC$6=$D$9:$D$3622) * ($AB28=$E$9:$E$3622) * ($Z28=$C$9:$C$3622),0))</f>
        <v>13.02</v>
      </c>
      <c r="AD28" s="36" cm="1">
        <f t="array" ref="AD28">INDEX($F$9:$F$3622,MATCH(1, (AD$6=$D$9:$D$3622) * ($AB28=$E$9:$E$3622) * ($Z28=$C$9:$C$3622),0))</f>
        <v>13.68</v>
      </c>
      <c r="AE28" s="36" cm="1">
        <f t="array" ref="AE28">INDEX($F$9:$F$3622,MATCH(1, (AE$6=$D$9:$D$3622) * ($AB28=$E$9:$E$3622) * ($Z28=$C$9:$C$3622),0))</f>
        <v>14.52</v>
      </c>
      <c r="AF28" s="36" cm="1">
        <f t="array" ref="AF28">INDEX($F$9:$F$3622,MATCH(1, (AF$6=$D$9:$D$3622) * ($AB28=$E$9:$E$3622) * ($Z28=$C$9:$C$3622),0))</f>
        <v>15.96</v>
      </c>
      <c r="AG28" s="36" cm="1">
        <f t="array" ref="AG28">INDEX($F$9:$F$3622,MATCH(1, (AG$6=$D$9:$D$3622) * ($AB28=$E$9:$E$3622) * ($Z28=$C$9:$C$3622),0))</f>
        <v>16.47</v>
      </c>
      <c r="AH28" s="36" cm="1">
        <f t="array" ref="AH28">INDEX($F$9:$F$3622,MATCH(1, (AH$6=$D$9:$D$3622) * ($AB28=$E$9:$E$3622) * ($Z28=$C$9:$C$3622),0))</f>
        <v>20.74</v>
      </c>
      <c r="AI28" s="36" cm="1">
        <f t="array" ref="AI28">INDEX($F$9:$F$3622,MATCH(1, (AI$6=$D$9:$D$3622) * ($AB28=$E$9:$E$3622) * ($Z28=$C$9:$C$3622),0))</f>
        <v>21.95</v>
      </c>
      <c r="AJ28" s="36" cm="1">
        <f t="array" ref="AJ28">INDEX($F$9:$F$3622,MATCH(1, (AJ$6=$D$9:$D$3622) * ($AB28=$E$9:$E$3622) * ($Z28=$C$9:$C$3622),0))</f>
        <v>21.57</v>
      </c>
      <c r="AK28" s="36" cm="1">
        <f t="array" ref="AK28">INDEX($F$9:$F$3622,MATCH(1, (AK$6=$D$9:$D$3622) * ($AB28=$E$9:$E$3622) * ($Z28=$C$9:$C$3622),0))</f>
        <v>22.15</v>
      </c>
      <c r="AL28" s="36" cm="1">
        <f t="array" ref="AL28">INDEX($F$9:$F$3622,MATCH(1, (AL$6=$D$9:$D$3622) * ($AB28=$E$9:$E$3622) * ($Z28=$C$9:$C$3622),0))</f>
        <v>41.1</v>
      </c>
      <c r="AM28" s="36" cm="1">
        <f t="array" ref="AM28">INDEX($F$9:$F$3622,MATCH(1, (AM$6=$D$9:$D$3622) * ($AB28=$E$9:$E$3622) * ($Z28=$C$9:$C$3622),0))</f>
        <v>37.659999999999997</v>
      </c>
      <c r="AN28" s="36">
        <f t="shared" si="4"/>
        <v>101.47676230971997</v>
      </c>
      <c r="AO28" s="36">
        <f t="shared" si="5"/>
        <v>225.18875935040046</v>
      </c>
      <c r="AP28" s="36">
        <f t="shared" si="6"/>
        <v>418.73955703576439</v>
      </c>
      <c r="AQ28" s="36">
        <f t="shared" si="7"/>
        <v>589.75992490716908</v>
      </c>
      <c r="AR28" s="36">
        <f t="shared" si="8"/>
        <v>707.14590495721734</v>
      </c>
      <c r="AS28" s="36">
        <f t="shared" si="9"/>
        <v>776.22139804395817</v>
      </c>
      <c r="AT28" s="36">
        <f t="shared" si="10"/>
        <v>825.23844576278725</v>
      </c>
      <c r="AU28" s="36">
        <f t="shared" si="11"/>
        <v>896.71551404023251</v>
      </c>
      <c r="AV28" s="36">
        <f t="shared" si="12"/>
        <v>1001.8826131556068</v>
      </c>
      <c r="AW28" s="36">
        <v>5</v>
      </c>
      <c r="AZ28" s="37" t="s">
        <v>144</v>
      </c>
      <c r="BA28" s="37" t="s">
        <v>115</v>
      </c>
      <c r="BB28" s="38">
        <v>1</v>
      </c>
      <c r="BC28" s="38">
        <v>2.6945502472044605</v>
      </c>
      <c r="BD28" s="38">
        <v>5.9795209599150416</v>
      </c>
      <c r="BE28" s="38">
        <v>11.118947345612439</v>
      </c>
      <c r="BF28" s="38">
        <v>15.660114840870131</v>
      </c>
      <c r="BG28" s="38">
        <v>18.777108469389734</v>
      </c>
      <c r="BH28" s="38">
        <v>20.611295752627676</v>
      </c>
      <c r="BI28" s="38">
        <v>21.912863668687926</v>
      </c>
      <c r="BJ28" s="38">
        <v>23.810820872018923</v>
      </c>
      <c r="BK28" s="38">
        <v>26.603362006256159</v>
      </c>
    </row>
    <row r="29" spans="3:63">
      <c r="C29" t="s">
        <v>113</v>
      </c>
      <c r="D29">
        <v>2015</v>
      </c>
      <c r="E29" t="s">
        <v>141</v>
      </c>
      <c r="F29">
        <v>201.01</v>
      </c>
      <c r="J29" s="18" t="s">
        <v>171</v>
      </c>
      <c r="K29" s="18">
        <v>2030</v>
      </c>
      <c r="L29" s="18" t="s">
        <v>174</v>
      </c>
      <c r="M29" s="18">
        <v>568</v>
      </c>
      <c r="P29" s="18" t="s">
        <v>171</v>
      </c>
      <c r="Q29" s="18">
        <v>2030</v>
      </c>
      <c r="R29" s="18" t="s">
        <v>175</v>
      </c>
      <c r="S29" s="18">
        <f t="shared" si="3"/>
        <v>0</v>
      </c>
      <c r="U29">
        <v>28.4</v>
      </c>
      <c r="Z29" s="36" t="str">
        <f t="shared" si="0"/>
        <v>BRZ</v>
      </c>
      <c r="AA29" s="36" t="s">
        <v>188</v>
      </c>
      <c r="AB29" s="36" t="str">
        <f t="shared" si="1"/>
        <v>DEMeltr</v>
      </c>
      <c r="AC29" s="36" cm="1">
        <f t="array" ref="AC29">INDEX($F$9:$F$3622,MATCH(1, (AC$6=$D$9:$D$3622) * ($AB29=$E$9:$E$3622) * ($Z29=$C$9:$C$3622),0))</f>
        <v>6.6</v>
      </c>
      <c r="AD29" s="36" cm="1">
        <f t="array" ref="AD29">INDEX($F$9:$F$3622,MATCH(1, (AD$6=$D$9:$D$3622) * ($AB29=$E$9:$E$3622) * ($Z29=$C$9:$C$3622),0))</f>
        <v>10.14</v>
      </c>
      <c r="AE29" s="36" cm="1">
        <f t="array" ref="AE29">INDEX($F$9:$F$3622,MATCH(1, (AE$6=$D$9:$D$3622) * ($AB29=$E$9:$E$3622) * ($Z29=$C$9:$C$3622),0))</f>
        <v>11.03</v>
      </c>
      <c r="AF29" s="36" cm="1">
        <f t="array" ref="AF29">INDEX($F$9:$F$3622,MATCH(1, (AF$6=$D$9:$D$3622) * ($AB29=$E$9:$E$3622) * ($Z29=$C$9:$C$3622),0))</f>
        <v>10.39</v>
      </c>
      <c r="AG29" s="36" cm="1">
        <f t="array" ref="AG29">INDEX($F$9:$F$3622,MATCH(1, (AG$6=$D$9:$D$3622) * ($AB29=$E$9:$E$3622) * ($Z29=$C$9:$C$3622),0))</f>
        <v>11.3</v>
      </c>
      <c r="AH29" s="36" cm="1">
        <f t="array" ref="AH29">INDEX($F$9:$F$3622,MATCH(1, (AH$6=$D$9:$D$3622) * ($AB29=$E$9:$E$3622) * ($Z29=$C$9:$C$3622),0))</f>
        <v>11.31</v>
      </c>
      <c r="AI29" s="36" cm="1">
        <f t="array" ref="AI29">INDEX($F$9:$F$3622,MATCH(1, (AI$6=$D$9:$D$3622) * ($AB29=$E$9:$E$3622) * ($Z29=$C$9:$C$3622),0))</f>
        <v>10.44</v>
      </c>
      <c r="AJ29" s="36" cm="1">
        <f t="array" ref="AJ29">INDEX($F$9:$F$3622,MATCH(1, (AJ$6=$D$9:$D$3622) * ($AB29=$E$9:$E$3622) * ($Z29=$C$9:$C$3622),0))</f>
        <v>10.73</v>
      </c>
      <c r="AK29" s="36" cm="1">
        <f t="array" ref="AK29">INDEX($F$9:$F$3622,MATCH(1, (AK$6=$D$9:$D$3622) * ($AB29=$E$9:$E$3622) * ($Z29=$C$9:$C$3622),0))</f>
        <v>11.71</v>
      </c>
      <c r="AL29" s="36" cm="1">
        <f t="array" ref="AL29">INDEX($F$9:$F$3622,MATCH(1, (AL$6=$D$9:$D$3622) * ($AB29=$E$9:$E$3622) * ($Z29=$C$9:$C$3622),0))</f>
        <v>27.75</v>
      </c>
      <c r="AM29" s="36" cm="1">
        <f t="array" ref="AM29">INDEX($F$9:$F$3622,MATCH(1, (AM$6=$D$9:$D$3622) * ($AB29=$E$9:$E$3622) * ($Z29=$C$9:$C$3622),0))</f>
        <v>27.55</v>
      </c>
      <c r="AN29" s="36">
        <f t="shared" si="4"/>
        <v>74.708786992598107</v>
      </c>
      <c r="AO29" s="36">
        <f t="shared" si="5"/>
        <v>164.8799832812131</v>
      </c>
      <c r="AP29" s="36">
        <f t="shared" si="6"/>
        <v>305.62668272681685</v>
      </c>
      <c r="AQ29" s="36">
        <f t="shared" si="7"/>
        <v>428.04965484567759</v>
      </c>
      <c r="AR29" s="36">
        <f t="shared" si="8"/>
        <v>509.89188279200971</v>
      </c>
      <c r="AS29" s="36">
        <f t="shared" si="9"/>
        <v>556.53704930686285</v>
      </c>
      <c r="AT29" s="36">
        <f t="shared" si="10"/>
        <v>591.68140782611738</v>
      </c>
      <c r="AU29" s="36">
        <f t="shared" si="11"/>
        <v>642.9292048753606</v>
      </c>
      <c r="AV29" s="36">
        <f t="shared" si="12"/>
        <v>718.33215971958714</v>
      </c>
      <c r="AW29" s="36">
        <v>5</v>
      </c>
      <c r="AZ29" s="37" t="s">
        <v>144</v>
      </c>
      <c r="BA29" s="37" t="s">
        <v>116</v>
      </c>
      <c r="BB29" s="38">
        <v>1</v>
      </c>
      <c r="BC29" s="38">
        <v>2.7117527039055576</v>
      </c>
      <c r="BD29" s="38">
        <v>5.9847543840730708</v>
      </c>
      <c r="BE29" s="38">
        <v>11.093527503695711</v>
      </c>
      <c r="BF29" s="38">
        <v>15.537192553382127</v>
      </c>
      <c r="BG29" s="38">
        <v>18.507872333648265</v>
      </c>
      <c r="BH29" s="38">
        <v>20.200981826020431</v>
      </c>
      <c r="BI29" s="38">
        <v>21.476639122545095</v>
      </c>
      <c r="BJ29" s="38">
        <v>23.336813244114722</v>
      </c>
      <c r="BK29" s="38">
        <v>26.073762603251801</v>
      </c>
    </row>
    <row r="30" spans="3:63">
      <c r="C30" t="s">
        <v>113</v>
      </c>
      <c r="D30">
        <v>2015</v>
      </c>
      <c r="E30" t="s">
        <v>142</v>
      </c>
      <c r="F30">
        <v>313.7</v>
      </c>
      <c r="J30" s="18" t="s">
        <v>171</v>
      </c>
      <c r="K30" s="18">
        <v>2031</v>
      </c>
      <c r="L30" s="18" t="s">
        <v>174</v>
      </c>
      <c r="M30" s="18">
        <v>585.84</v>
      </c>
      <c r="P30" s="18" t="s">
        <v>171</v>
      </c>
      <c r="Q30" s="18">
        <v>2031</v>
      </c>
      <c r="R30" s="18" t="s">
        <v>175</v>
      </c>
      <c r="S30" s="18">
        <f t="shared" si="3"/>
        <v>0</v>
      </c>
      <c r="U30">
        <v>29.292000000000002</v>
      </c>
      <c r="Z30" s="36" t="str">
        <f t="shared" si="0"/>
        <v>CAN</v>
      </c>
      <c r="AA30" s="36" t="s">
        <v>188</v>
      </c>
      <c r="AB30" s="36" t="str">
        <f t="shared" si="1"/>
        <v>DEMeltr</v>
      </c>
      <c r="AC30" s="36" cm="1">
        <f t="array" ref="AC30">INDEX($F$9:$F$3622,MATCH(1, (AC$6=$D$9:$D$3622) * ($AB30=$E$9:$E$3622) * ($Z30=$C$9:$C$3622),0))</f>
        <v>15.5</v>
      </c>
      <c r="AD30" s="36" cm="1">
        <f t="array" ref="AD30">INDEX($F$9:$F$3622,MATCH(1, (AD$6=$D$9:$D$3622) * ($AB30=$E$9:$E$3622) * ($Z30=$C$9:$C$3622),0))</f>
        <v>16.12</v>
      </c>
      <c r="AE30" s="36" cm="1">
        <f t="array" ref="AE30">INDEX($F$9:$F$3622,MATCH(1, (AE$6=$D$9:$D$3622) * ($AB30=$E$9:$E$3622) * ($Z30=$C$9:$C$3622),0))</f>
        <v>16.489999999999998</v>
      </c>
      <c r="AF30" s="36" cm="1">
        <f t="array" ref="AF30">INDEX($F$9:$F$3622,MATCH(1, (AF$6=$D$9:$D$3622) * ($AB30=$E$9:$E$3622) * ($Z30=$C$9:$C$3622),0))</f>
        <v>21.54</v>
      </c>
      <c r="AG30" s="36" cm="1">
        <f t="array" ref="AG30">INDEX($F$9:$F$3622,MATCH(1, (AG$6=$D$9:$D$3622) * ($AB30=$E$9:$E$3622) * ($Z30=$C$9:$C$3622),0))</f>
        <v>23</v>
      </c>
      <c r="AH30" s="36" cm="1">
        <f t="array" ref="AH30">INDEX($F$9:$F$3622,MATCH(1, (AH$6=$D$9:$D$3622) * ($AB30=$E$9:$E$3622) * ($Z30=$C$9:$C$3622),0))</f>
        <v>25.64</v>
      </c>
      <c r="AI30" s="36" cm="1">
        <f t="array" ref="AI30">INDEX($F$9:$F$3622,MATCH(1, (AI$6=$D$9:$D$3622) * ($AB30=$E$9:$E$3622) * ($Z30=$C$9:$C$3622),0))</f>
        <v>28.89</v>
      </c>
      <c r="AJ30" s="36" cm="1">
        <f t="array" ref="AJ30">INDEX($F$9:$F$3622,MATCH(1, (AJ$6=$D$9:$D$3622) * ($AB30=$E$9:$E$3622) * ($Z30=$C$9:$C$3622),0))</f>
        <v>29.23</v>
      </c>
      <c r="AK30" s="36" cm="1">
        <f t="array" ref="AK30">INDEX($F$9:$F$3622,MATCH(1, (AK$6=$D$9:$D$3622) * ($AB30=$E$9:$E$3622) * ($Z30=$C$9:$C$3622),0))</f>
        <v>29.04</v>
      </c>
      <c r="AL30" s="36" cm="1">
        <f t="array" ref="AL30">INDEX($F$9:$F$3622,MATCH(1, (AL$6=$D$9:$D$3622) * ($AB30=$E$9:$E$3622) * ($Z30=$C$9:$C$3622),0))</f>
        <v>2.4900000000000002</v>
      </c>
      <c r="AM30" s="36" cm="1">
        <f t="array" ref="AM30">INDEX($F$9:$F$3622,MATCH(1, (AM$6=$D$9:$D$3622) * ($AB30=$E$9:$E$3622) * ($Z30=$C$9:$C$3622),0))</f>
        <v>2.64</v>
      </c>
      <c r="AN30" s="36">
        <f t="shared" si="4"/>
        <v>3.6595976641516512</v>
      </c>
      <c r="AO30" s="36">
        <f t="shared" si="5"/>
        <v>6.3816876370493976</v>
      </c>
      <c r="AP30" s="36">
        <f t="shared" si="6"/>
        <v>10.871859417408283</v>
      </c>
      <c r="AQ30" s="36">
        <f t="shared" si="7"/>
        <v>16.430611660205212</v>
      </c>
      <c r="AR30" s="36">
        <f t="shared" si="8"/>
        <v>22.667077126077469</v>
      </c>
      <c r="AS30" s="36">
        <f t="shared" si="9"/>
        <v>28.369311762958294</v>
      </c>
      <c r="AT30" s="36">
        <f t="shared" si="10"/>
        <v>34.041270922034919</v>
      </c>
      <c r="AU30" s="36">
        <f t="shared" si="11"/>
        <v>41.371594126909734</v>
      </c>
      <c r="AV30" s="36">
        <f t="shared" si="12"/>
        <v>51.189463400482126</v>
      </c>
      <c r="AW30" s="36">
        <v>5</v>
      </c>
      <c r="AZ30" s="37" t="s">
        <v>144</v>
      </c>
      <c r="BA30" s="37" t="s">
        <v>117</v>
      </c>
      <c r="BB30" s="38">
        <v>1</v>
      </c>
      <c r="BC30" s="38">
        <v>1.3862112364210799</v>
      </c>
      <c r="BD30" s="38">
        <v>2.4173059231247715</v>
      </c>
      <c r="BE30" s="38">
        <v>4.1181285672001069</v>
      </c>
      <c r="BF30" s="38">
        <v>6.2237165379565198</v>
      </c>
      <c r="BG30" s="38">
        <v>8.5860140629081325</v>
      </c>
      <c r="BH30" s="38">
        <v>10.745951425362989</v>
      </c>
      <c r="BI30" s="38">
        <v>12.894420803801106</v>
      </c>
      <c r="BJ30" s="38">
        <v>15.671058381405201</v>
      </c>
      <c r="BK30" s="38">
        <v>19.38994825775838</v>
      </c>
    </row>
    <row r="31" spans="3:63">
      <c r="C31" t="s">
        <v>113</v>
      </c>
      <c r="D31">
        <v>2015</v>
      </c>
      <c r="E31" t="s">
        <v>143</v>
      </c>
      <c r="F31">
        <v>423.68</v>
      </c>
      <c r="J31" s="18" t="s">
        <v>171</v>
      </c>
      <c r="K31" s="18">
        <v>2032</v>
      </c>
      <c r="L31" s="18" t="s">
        <v>174</v>
      </c>
      <c r="M31" s="18">
        <v>604.24</v>
      </c>
      <c r="P31" s="18" t="s">
        <v>171</v>
      </c>
      <c r="Q31" s="18">
        <v>2032</v>
      </c>
      <c r="R31" s="18" t="s">
        <v>175</v>
      </c>
      <c r="S31" s="18">
        <f t="shared" si="3"/>
        <v>0</v>
      </c>
      <c r="U31">
        <v>30.212</v>
      </c>
      <c r="Z31" s="36" t="str">
        <f t="shared" si="0"/>
        <v>CHI</v>
      </c>
      <c r="AA31" s="36" t="s">
        <v>188</v>
      </c>
      <c r="AB31" s="36" t="str">
        <f t="shared" si="1"/>
        <v>DEMeltr</v>
      </c>
      <c r="AC31" s="36" cm="1">
        <f t="array" ref="AC31">INDEX($F$9:$F$3622,MATCH(1, (AC$6=$D$9:$D$3622) * ($AB31=$E$9:$E$3622) * ($Z31=$C$9:$C$3622),0))</f>
        <v>225.35</v>
      </c>
      <c r="AD31" s="36" cm="1">
        <f t="array" ref="AD31">INDEX($F$9:$F$3622,MATCH(1, (AD$6=$D$9:$D$3622) * ($AB31=$E$9:$E$3622) * ($Z31=$C$9:$C$3622),0))</f>
        <v>251.99</v>
      </c>
      <c r="AE31" s="36" cm="1">
        <f t="array" ref="AE31">INDEX($F$9:$F$3622,MATCH(1, (AE$6=$D$9:$D$3622) * ($AB31=$E$9:$E$3622) * ($Z31=$C$9:$C$3622),0))</f>
        <v>276.99</v>
      </c>
      <c r="AF31" s="36" cm="1">
        <f t="array" ref="AF31">INDEX($F$9:$F$3622,MATCH(1, (AF$6=$D$9:$D$3622) * ($AB31=$E$9:$E$3622) * ($Z31=$C$9:$C$3622),0))</f>
        <v>302.3</v>
      </c>
      <c r="AG31" s="36" cm="1">
        <f t="array" ref="AG31">INDEX($F$9:$F$3622,MATCH(1, (AG$6=$D$9:$D$3622) * ($AB31=$E$9:$E$3622) * ($Z31=$C$9:$C$3622),0))</f>
        <v>323.66000000000003</v>
      </c>
      <c r="AH31" s="36" cm="1">
        <f t="array" ref="AH31">INDEX($F$9:$F$3622,MATCH(1, (AH$6=$D$9:$D$3622) * ($AB31=$E$9:$E$3622) * ($Z31=$C$9:$C$3622),0))</f>
        <v>358.32</v>
      </c>
      <c r="AI31" s="36" cm="1">
        <f t="array" ref="AI31">INDEX($F$9:$F$3622,MATCH(1, (AI$6=$D$9:$D$3622) * ($AB31=$E$9:$E$3622) * ($Z31=$C$9:$C$3622),0))</f>
        <v>415.5</v>
      </c>
      <c r="AJ31" s="36" cm="1">
        <f t="array" ref="AJ31">INDEX($F$9:$F$3622,MATCH(1, (AJ$6=$D$9:$D$3622) * ($AB31=$E$9:$E$3622) * ($Z31=$C$9:$C$3622),0))</f>
        <v>484.85</v>
      </c>
      <c r="AK31" s="36" cm="1">
        <f t="array" ref="AK31">INDEX($F$9:$F$3622,MATCH(1, (AK$6=$D$9:$D$3622) * ($AB31=$E$9:$E$3622) * ($Z31=$C$9:$C$3622),0))</f>
        <v>541.13</v>
      </c>
      <c r="AL31" s="36" cm="1">
        <f t="array" ref="AL31">INDEX($F$9:$F$3622,MATCH(1, (AL$6=$D$9:$D$3622) * ($AB31=$E$9:$E$3622) * ($Z31=$C$9:$C$3622),0))</f>
        <v>663.25</v>
      </c>
      <c r="AM31" s="36" cm="1">
        <f t="array" ref="AM31">INDEX($F$9:$F$3622,MATCH(1, (AM$6=$D$9:$D$3622) * ($AB31=$E$9:$E$3622) * ($Z31=$C$9:$C$3622),0))</f>
        <v>689.81</v>
      </c>
      <c r="AN31" s="36">
        <f t="shared" si="4"/>
        <v>1965.5468009628839</v>
      </c>
      <c r="AO31" s="36">
        <f t="shared" si="5"/>
        <v>4457.8381292231788</v>
      </c>
      <c r="AP31" s="36">
        <f t="shared" si="6"/>
        <v>8467.9771961360057</v>
      </c>
      <c r="AQ31" s="36">
        <f t="shared" si="7"/>
        <v>12142.098320870789</v>
      </c>
      <c r="AR31" s="36">
        <f t="shared" si="8"/>
        <v>14811.712312664971</v>
      </c>
      <c r="AS31" s="36">
        <f t="shared" si="9"/>
        <v>16541.09535926185</v>
      </c>
      <c r="AT31" s="36">
        <f t="shared" si="10"/>
        <v>17585.637113186371</v>
      </c>
      <c r="AU31" s="36">
        <f t="shared" si="11"/>
        <v>19108.796620714893</v>
      </c>
      <c r="AV31" s="36">
        <f t="shared" si="12"/>
        <v>21349.882758649335</v>
      </c>
      <c r="AW31" s="36">
        <v>5</v>
      </c>
      <c r="AZ31" s="37" t="s">
        <v>144</v>
      </c>
      <c r="BA31" s="37" t="s">
        <v>118</v>
      </c>
      <c r="BB31" s="38">
        <v>1</v>
      </c>
      <c r="BC31" s="38">
        <v>2.8494031703844307</v>
      </c>
      <c r="BD31" s="38">
        <v>6.4624144753238992</v>
      </c>
      <c r="BE31" s="38">
        <v>12.275811014824381</v>
      </c>
      <c r="BF31" s="38">
        <v>17.602090895856527</v>
      </c>
      <c r="BG31" s="38">
        <v>21.47216235291598</v>
      </c>
      <c r="BH31" s="38">
        <v>23.979204939420786</v>
      </c>
      <c r="BI31" s="38">
        <v>25.493450534475251</v>
      </c>
      <c r="BJ31" s="38">
        <v>27.701536105180981</v>
      </c>
      <c r="BK31" s="38">
        <v>30.950381639363503</v>
      </c>
    </row>
    <row r="32" spans="3:63">
      <c r="C32" t="s">
        <v>113</v>
      </c>
      <c r="D32">
        <v>2015</v>
      </c>
      <c r="E32" t="s">
        <v>144</v>
      </c>
      <c r="F32">
        <v>6.08</v>
      </c>
      <c r="J32" s="18" t="s">
        <v>171</v>
      </c>
      <c r="K32" s="18">
        <v>2033</v>
      </c>
      <c r="L32" s="18" t="s">
        <v>174</v>
      </c>
      <c r="M32" s="18">
        <v>623.54999999999995</v>
      </c>
      <c r="P32" s="18" t="s">
        <v>171</v>
      </c>
      <c r="Q32" s="18">
        <v>2033</v>
      </c>
      <c r="R32" s="18" t="s">
        <v>175</v>
      </c>
      <c r="S32" s="18">
        <f t="shared" si="3"/>
        <v>0</v>
      </c>
      <c r="U32">
        <v>31.177499999999998</v>
      </c>
      <c r="Z32" s="36" t="str">
        <f t="shared" si="0"/>
        <v>CSA</v>
      </c>
      <c r="AA32" s="36" t="s">
        <v>188</v>
      </c>
      <c r="AB32" s="36" t="str">
        <f t="shared" si="1"/>
        <v>DEMeltr</v>
      </c>
      <c r="AC32" s="36" cm="1">
        <f t="array" ref="AC32">INDEX($F$9:$F$3622,MATCH(1, (AC$6=$D$9:$D$3622) * ($AB32=$E$9:$E$3622) * ($Z32=$C$9:$C$3622),0))</f>
        <v>12.39</v>
      </c>
      <c r="AD32" s="36" cm="1">
        <f t="array" ref="AD32">INDEX($F$9:$F$3622,MATCH(1, (AD$6=$D$9:$D$3622) * ($AB32=$E$9:$E$3622) * ($Z32=$C$9:$C$3622),0))</f>
        <v>14.89</v>
      </c>
      <c r="AE32" s="36" cm="1">
        <f t="array" ref="AE32">INDEX($F$9:$F$3622,MATCH(1, (AE$6=$D$9:$D$3622) * ($AB32=$E$9:$E$3622) * ($Z32=$C$9:$C$3622),0))</f>
        <v>4.04</v>
      </c>
      <c r="AF32" s="36" cm="1">
        <f t="array" ref="AF32">INDEX($F$9:$F$3622,MATCH(1, (AF$6=$D$9:$D$3622) * ($AB32=$E$9:$E$3622) * ($Z32=$C$9:$C$3622),0))</f>
        <v>4.0999999999999996</v>
      </c>
      <c r="AG32" s="36" cm="1">
        <f t="array" ref="AG32">INDEX($F$9:$F$3622,MATCH(1, (AG$6=$D$9:$D$3622) * ($AB32=$E$9:$E$3622) * ($Z32=$C$9:$C$3622),0))</f>
        <v>3.11</v>
      </c>
      <c r="AH32" s="36" cm="1">
        <f t="array" ref="AH32">INDEX($F$9:$F$3622,MATCH(1, (AH$6=$D$9:$D$3622) * ($AB32=$E$9:$E$3622) * ($Z32=$C$9:$C$3622),0))</f>
        <v>3.3</v>
      </c>
      <c r="AI32" s="36" cm="1">
        <f t="array" ref="AI32">INDEX($F$9:$F$3622,MATCH(1, (AI$6=$D$9:$D$3622) * ($AB32=$E$9:$E$3622) * ($Z32=$C$9:$C$3622),0))</f>
        <v>3.18</v>
      </c>
      <c r="AJ32" s="36" cm="1">
        <f t="array" ref="AJ32">INDEX($F$9:$F$3622,MATCH(1, (AJ$6=$D$9:$D$3622) * ($AB32=$E$9:$E$3622) * ($Z32=$C$9:$C$3622),0))</f>
        <v>3.64</v>
      </c>
      <c r="AK32" s="36" cm="1">
        <f t="array" ref="AK32">INDEX($F$9:$F$3622,MATCH(1, (AK$6=$D$9:$D$3622) * ($AB32=$E$9:$E$3622) * ($Z32=$C$9:$C$3622),0))</f>
        <v>3.4</v>
      </c>
      <c r="AL32" s="36" cm="1">
        <f t="array" ref="AL32">INDEX($F$9:$F$3622,MATCH(1, (AL$6=$D$9:$D$3622) * ($AB32=$E$9:$E$3622) * ($Z32=$C$9:$C$3622),0))</f>
        <v>1.28</v>
      </c>
      <c r="AM32" s="36" cm="1">
        <f t="array" ref="AM32">INDEX($F$9:$F$3622,MATCH(1, (AM$6=$D$9:$D$3622) * ($AB32=$E$9:$E$3622) * ($Z32=$C$9:$C$3622),0))</f>
        <v>0.76</v>
      </c>
      <c r="AN32" s="36">
        <f t="shared" si="4"/>
        <v>1.0762474394949102</v>
      </c>
      <c r="AO32" s="36">
        <f t="shared" si="5"/>
        <v>1.8766580347581112</v>
      </c>
      <c r="AP32" s="36">
        <f t="shared" si="6"/>
        <v>3.2365071185806822</v>
      </c>
      <c r="AQ32" s="36">
        <f t="shared" si="7"/>
        <v>4.9785153068317518</v>
      </c>
      <c r="AR32" s="36">
        <f t="shared" si="8"/>
        <v>6.9943785244461081</v>
      </c>
      <c r="AS32" s="36">
        <f t="shared" si="9"/>
        <v>8.9120420466813535</v>
      </c>
      <c r="AT32" s="36">
        <f t="shared" si="10"/>
        <v>10.693852579665476</v>
      </c>
      <c r="AU32" s="36">
        <f t="shared" si="11"/>
        <v>12.996627816635034</v>
      </c>
      <c r="AV32" s="36">
        <f t="shared" si="12"/>
        <v>16.080850109582737</v>
      </c>
      <c r="AW32" s="36">
        <v>5</v>
      </c>
      <c r="AZ32" s="37" t="s">
        <v>144</v>
      </c>
      <c r="BA32" s="37" t="s">
        <v>119</v>
      </c>
      <c r="BB32" s="38">
        <v>1</v>
      </c>
      <c r="BC32" s="38">
        <v>1.4161150519669869</v>
      </c>
      <c r="BD32" s="38">
        <v>2.4692868878396199</v>
      </c>
      <c r="BE32" s="38">
        <v>4.2585619981324765</v>
      </c>
      <c r="BF32" s="38">
        <v>6.5506780353049363</v>
      </c>
      <c r="BG32" s="38">
        <v>9.2031296374290896</v>
      </c>
      <c r="BH32" s="38">
        <v>11.726371114054412</v>
      </c>
      <c r="BI32" s="38">
        <v>14.070858657454574</v>
      </c>
      <c r="BJ32" s="38">
        <v>17.10082607451978</v>
      </c>
      <c r="BK32" s="38">
        <v>21.159013302082549</v>
      </c>
    </row>
    <row r="33" spans="3:63">
      <c r="C33" t="s">
        <v>113</v>
      </c>
      <c r="D33">
        <v>2016</v>
      </c>
      <c r="E33" t="s">
        <v>141</v>
      </c>
      <c r="F33">
        <v>215.09</v>
      </c>
      <c r="J33" s="18" t="s">
        <v>171</v>
      </c>
      <c r="K33" s="18">
        <v>2034</v>
      </c>
      <c r="L33" s="18" t="s">
        <v>174</v>
      </c>
      <c r="M33" s="18">
        <v>643.83000000000004</v>
      </c>
      <c r="P33" s="18" t="s">
        <v>171</v>
      </c>
      <c r="Q33" s="18">
        <v>2034</v>
      </c>
      <c r="R33" s="18" t="s">
        <v>175</v>
      </c>
      <c r="S33" s="18">
        <f t="shared" si="3"/>
        <v>0</v>
      </c>
      <c r="U33">
        <v>32.191500000000005</v>
      </c>
      <c r="Z33" s="36" t="str">
        <f t="shared" si="0"/>
        <v>EUR</v>
      </c>
      <c r="AA33" s="36" t="s">
        <v>188</v>
      </c>
      <c r="AB33" s="36" t="str">
        <f t="shared" si="1"/>
        <v>DEMeltr</v>
      </c>
      <c r="AC33" s="36" cm="1">
        <f t="array" ref="AC33">INDEX($F$9:$F$3622,MATCH(1, (AC$6=$D$9:$D$3622) * ($AB33=$E$9:$E$3622) * ($Z33=$C$9:$C$3622),0))</f>
        <v>221.66</v>
      </c>
      <c r="AD33" s="36" cm="1">
        <f t="array" ref="AD33">INDEX($F$9:$F$3622,MATCH(1, (AD$6=$D$9:$D$3622) * ($AB33=$E$9:$E$3622) * ($Z33=$C$9:$C$3622),0))</f>
        <v>228.41</v>
      </c>
      <c r="AE33" s="36" cm="1">
        <f t="array" ref="AE33">INDEX($F$9:$F$3622,MATCH(1, (AE$6=$D$9:$D$3622) * ($AB33=$E$9:$E$3622) * ($Z33=$C$9:$C$3622),0))</f>
        <v>228.52</v>
      </c>
      <c r="AF33" s="36" cm="1">
        <f t="array" ref="AF33">INDEX($F$9:$F$3622,MATCH(1, (AF$6=$D$9:$D$3622) * ($AB33=$E$9:$E$3622) * ($Z33=$C$9:$C$3622),0))</f>
        <v>229.58</v>
      </c>
      <c r="AG33" s="36" cm="1">
        <f t="array" ref="AG33">INDEX($F$9:$F$3622,MATCH(1, (AG$6=$D$9:$D$3622) * ($AB33=$E$9:$E$3622) * ($Z33=$C$9:$C$3622),0))</f>
        <v>226.49</v>
      </c>
      <c r="AH33" s="36" cm="1">
        <f t="array" ref="AH33">INDEX($F$9:$F$3622,MATCH(1, (AH$6=$D$9:$D$3622) * ($AB33=$E$9:$E$3622) * ($Z33=$C$9:$C$3622),0))</f>
        <v>231.54</v>
      </c>
      <c r="AI33" s="36" cm="1">
        <f t="array" ref="AI33">INDEX($F$9:$F$3622,MATCH(1, (AI$6=$D$9:$D$3622) * ($AB33=$E$9:$E$3622) * ($Z33=$C$9:$C$3622),0))</f>
        <v>237.32</v>
      </c>
      <c r="AJ33" s="36" cm="1">
        <f t="array" ref="AJ33">INDEX($F$9:$F$3622,MATCH(1, (AJ$6=$D$9:$D$3622) * ($AB33=$E$9:$E$3622) * ($Z33=$C$9:$C$3622),0))</f>
        <v>242.22</v>
      </c>
      <c r="AK33" s="36" cm="1">
        <f t="array" ref="AK33">INDEX($F$9:$F$3622,MATCH(1, (AK$6=$D$9:$D$3622) * ($AB33=$E$9:$E$3622) * ($Z33=$C$9:$C$3622),0))</f>
        <v>245.29</v>
      </c>
      <c r="AL33" s="36" cm="1">
        <f t="array" ref="AL33">INDEX($F$9:$F$3622,MATCH(1, (AL$6=$D$9:$D$3622) * ($AB33=$E$9:$E$3622) * ($Z33=$C$9:$C$3622),0))</f>
        <v>298.25</v>
      </c>
      <c r="AM33" s="36" cm="1">
        <f t="array" ref="AM33">INDEX($F$9:$F$3622,MATCH(1, (AM$6=$D$9:$D$3622) * ($AB33=$E$9:$E$3622) * ($Z33=$C$9:$C$3622),0))</f>
        <v>261.33</v>
      </c>
      <c r="AN33" s="36">
        <f t="shared" si="4"/>
        <v>360.92899030885206</v>
      </c>
      <c r="AO33" s="36">
        <f t="shared" si="5"/>
        <v>632.27233903638057</v>
      </c>
      <c r="AP33" s="36">
        <f t="shared" si="6"/>
        <v>1072.6790615612299</v>
      </c>
      <c r="AQ33" s="36">
        <f t="shared" si="7"/>
        <v>1621.338937697441</v>
      </c>
      <c r="AR33" s="36">
        <f t="shared" si="8"/>
        <v>2232.0509936200415</v>
      </c>
      <c r="AS33" s="36">
        <f t="shared" si="9"/>
        <v>2783.7673152228385</v>
      </c>
      <c r="AT33" s="36">
        <f t="shared" si="10"/>
        <v>3340.3340254851664</v>
      </c>
      <c r="AU33" s="36">
        <f t="shared" si="11"/>
        <v>4059.6293795019628</v>
      </c>
      <c r="AV33" s="36">
        <f t="shared" si="12"/>
        <v>5023.0176991504886</v>
      </c>
      <c r="AW33" s="36">
        <v>5</v>
      </c>
      <c r="AZ33" s="37" t="s">
        <v>144</v>
      </c>
      <c r="BA33" s="37" t="s">
        <v>120</v>
      </c>
      <c r="BB33" s="38">
        <v>1</v>
      </c>
      <c r="BC33" s="38">
        <v>1.3811234466339575</v>
      </c>
      <c r="BD33" s="38">
        <v>2.4194403208065687</v>
      </c>
      <c r="BE33" s="38">
        <v>4.1046916219386596</v>
      </c>
      <c r="BF33" s="38">
        <v>6.2041822129010873</v>
      </c>
      <c r="BG33" s="38">
        <v>8.5411203980409507</v>
      </c>
      <c r="BH33" s="38">
        <v>10.652306720326173</v>
      </c>
      <c r="BI33" s="38">
        <v>12.782053440038139</v>
      </c>
      <c r="BJ33" s="38">
        <v>15.534494239092194</v>
      </c>
      <c r="BK33" s="38">
        <v>19.220976157159487</v>
      </c>
    </row>
    <row r="34" spans="3:63">
      <c r="C34" t="s">
        <v>113</v>
      </c>
      <c r="D34">
        <v>2016</v>
      </c>
      <c r="E34" t="s">
        <v>142</v>
      </c>
      <c r="F34">
        <v>298.73</v>
      </c>
      <c r="J34" s="18" t="s">
        <v>171</v>
      </c>
      <c r="K34" s="18">
        <v>2035</v>
      </c>
      <c r="L34" s="18" t="s">
        <v>174</v>
      </c>
      <c r="M34" s="18">
        <v>664.68</v>
      </c>
      <c r="P34" s="18" t="s">
        <v>171</v>
      </c>
      <c r="Q34" s="18">
        <v>2035</v>
      </c>
      <c r="R34" s="18" t="s">
        <v>175</v>
      </c>
      <c r="S34" s="18">
        <f t="shared" si="3"/>
        <v>0</v>
      </c>
      <c r="U34">
        <v>33.233999999999995</v>
      </c>
      <c r="Z34" s="36" t="str">
        <f t="shared" si="0"/>
        <v>IND</v>
      </c>
      <c r="AA34" s="36" t="s">
        <v>188</v>
      </c>
      <c r="AB34" s="36" t="str">
        <f t="shared" si="1"/>
        <v>DEMeltr</v>
      </c>
      <c r="AC34" s="36" cm="1">
        <f t="array" ref="AC34">INDEX($F$9:$F$3622,MATCH(1, (AC$6=$D$9:$D$3622) * ($AB34=$E$9:$E$3622) * ($Z34=$C$9:$C$3622),0))</f>
        <v>54.27</v>
      </c>
      <c r="AD34" s="36" cm="1">
        <f t="array" ref="AD34">INDEX($F$9:$F$3622,MATCH(1, (AD$6=$D$9:$D$3622) * ($AB34=$E$9:$E$3622) * ($Z34=$C$9:$C$3622),0))</f>
        <v>58.78</v>
      </c>
      <c r="AE34" s="36" cm="1">
        <f t="array" ref="AE34">INDEX($F$9:$F$3622,MATCH(1, (AE$6=$D$9:$D$3622) * ($AB34=$E$9:$E$3622) * ($Z34=$C$9:$C$3622),0))</f>
        <v>58.12</v>
      </c>
      <c r="AF34" s="36" cm="1">
        <f t="array" ref="AF34">INDEX($F$9:$F$3622,MATCH(1, (AF$6=$D$9:$D$3622) * ($AB34=$E$9:$E$3622) * ($Z34=$C$9:$C$3622),0))</f>
        <v>66.930000000000007</v>
      </c>
      <c r="AG34" s="36" cm="1">
        <f t="array" ref="AG34">INDEX($F$9:$F$3622,MATCH(1, (AG$6=$D$9:$D$3622) * ($AB34=$E$9:$E$3622) * ($Z34=$C$9:$C$3622),0))</f>
        <v>69.81</v>
      </c>
      <c r="AH34" s="36" cm="1">
        <f t="array" ref="AH34">INDEX($F$9:$F$3622,MATCH(1, (AH$6=$D$9:$D$3622) * ($AB34=$E$9:$E$3622) * ($Z34=$C$9:$C$3622),0))</f>
        <v>72.34</v>
      </c>
      <c r="AI34" s="36" cm="1">
        <f t="array" ref="AI34">INDEX($F$9:$F$3622,MATCH(1, (AI$6=$D$9:$D$3622) * ($AB34=$E$9:$E$3622) * ($Z34=$C$9:$C$3622),0))</f>
        <v>69.349999999999994</v>
      </c>
      <c r="AJ34" s="36" cm="1">
        <f t="array" ref="AJ34">INDEX($F$9:$F$3622,MATCH(1, (AJ$6=$D$9:$D$3622) * ($AB34=$E$9:$E$3622) * ($Z34=$C$9:$C$3622),0))</f>
        <v>76.650000000000006</v>
      </c>
      <c r="AK34" s="36" cm="1">
        <f t="array" ref="AK34">INDEX($F$9:$F$3622,MATCH(1, (AK$6=$D$9:$D$3622) * ($AB34=$E$9:$E$3622) * ($Z34=$C$9:$C$3622),0))</f>
        <v>77.459999999999994</v>
      </c>
      <c r="AL34" s="36" cm="1">
        <f t="array" ref="AL34">INDEX($F$9:$F$3622,MATCH(1, (AL$6=$D$9:$D$3622) * ($AB34=$E$9:$E$3622) * ($Z34=$C$9:$C$3622),0))</f>
        <v>104.46</v>
      </c>
      <c r="AM34" s="36" cm="1">
        <f t="array" ref="AM34">INDEX($F$9:$F$3622,MATCH(1, (AM$6=$D$9:$D$3622) * ($AB34=$E$9:$E$3622) * ($Z34=$C$9:$C$3622),0))</f>
        <v>98.81</v>
      </c>
      <c r="AN34" s="36">
        <f t="shared" si="4"/>
        <v>144.52277121125488</v>
      </c>
      <c r="AO34" s="36">
        <f t="shared" si="5"/>
        <v>256.41381260326534</v>
      </c>
      <c r="AP34" s="36">
        <f t="shared" si="6"/>
        <v>454.50051787042537</v>
      </c>
      <c r="AQ34" s="36">
        <f t="shared" si="7"/>
        <v>726.89628381559646</v>
      </c>
      <c r="AR34" s="36">
        <f t="shared" si="8"/>
        <v>1059.0009384238622</v>
      </c>
      <c r="AS34" s="36">
        <f t="shared" si="9"/>
        <v>1397.6066361574901</v>
      </c>
      <c r="AT34" s="36">
        <f t="shared" si="10"/>
        <v>1677.0342030641407</v>
      </c>
      <c r="AU34" s="36">
        <f t="shared" si="11"/>
        <v>2038.1606358064778</v>
      </c>
      <c r="AV34" s="36">
        <f t="shared" si="12"/>
        <v>2521.8353673023526</v>
      </c>
      <c r="AW34" s="36">
        <v>5</v>
      </c>
      <c r="AZ34" s="37" t="s">
        <v>144</v>
      </c>
      <c r="BA34" s="37" t="s">
        <v>121</v>
      </c>
      <c r="BB34" s="38">
        <v>1</v>
      </c>
      <c r="BC34" s="38">
        <v>1.4626330453522403</v>
      </c>
      <c r="BD34" s="38">
        <v>2.5950188503518405</v>
      </c>
      <c r="BE34" s="38">
        <v>4.5997421098110047</v>
      </c>
      <c r="BF34" s="38">
        <v>7.3565052506385635</v>
      </c>
      <c r="BG34" s="38">
        <v>10.717548207912783</v>
      </c>
      <c r="BH34" s="38">
        <v>14.144384537572007</v>
      </c>
      <c r="BI34" s="38">
        <v>16.972312549986242</v>
      </c>
      <c r="BJ34" s="38">
        <v>20.627068472892194</v>
      </c>
      <c r="BK34" s="38">
        <v>25.522066261535802</v>
      </c>
    </row>
    <row r="35" spans="3:63">
      <c r="C35" t="s">
        <v>113</v>
      </c>
      <c r="D35">
        <v>2016</v>
      </c>
      <c r="E35" t="s">
        <v>143</v>
      </c>
      <c r="F35">
        <v>421.09</v>
      </c>
      <c r="J35" s="18" t="s">
        <v>171</v>
      </c>
      <c r="K35" s="18">
        <v>2036</v>
      </c>
      <c r="L35" s="18" t="s">
        <v>174</v>
      </c>
      <c r="M35" s="18">
        <v>684.13</v>
      </c>
      <c r="P35" s="18" t="s">
        <v>171</v>
      </c>
      <c r="Q35" s="18">
        <v>2036</v>
      </c>
      <c r="R35" s="18" t="s">
        <v>175</v>
      </c>
      <c r="S35" s="18">
        <f t="shared" si="3"/>
        <v>0</v>
      </c>
      <c r="U35">
        <v>34.206499999999998</v>
      </c>
      <c r="Z35" s="36" t="str">
        <f t="shared" si="0"/>
        <v>JPN</v>
      </c>
      <c r="AA35" s="36" t="s">
        <v>188</v>
      </c>
      <c r="AB35" s="36" t="str">
        <f t="shared" si="1"/>
        <v>DEMeltr</v>
      </c>
      <c r="AC35" s="36" cm="1">
        <f t="array" ref="AC35">INDEX($F$9:$F$3622,MATCH(1, (AC$6=$D$9:$D$3622) * ($AB35=$E$9:$E$3622) * ($Z35=$C$9:$C$3622),0))</f>
        <v>73.36</v>
      </c>
      <c r="AD35" s="36" cm="1">
        <f t="array" ref="AD35">INDEX($F$9:$F$3622,MATCH(1, (AD$6=$D$9:$D$3622) * ($AB35=$E$9:$E$3622) * ($Z35=$C$9:$C$3622),0))</f>
        <v>75.31</v>
      </c>
      <c r="AE35" s="36" cm="1">
        <f t="array" ref="AE35">INDEX($F$9:$F$3622,MATCH(1, (AE$6=$D$9:$D$3622) * ($AB35=$E$9:$E$3622) * ($Z35=$C$9:$C$3622),0))</f>
        <v>70.819999999999993</v>
      </c>
      <c r="AF35" s="36" cm="1">
        <f t="array" ref="AF35">INDEX($F$9:$F$3622,MATCH(1, (AF$6=$D$9:$D$3622) * ($AB35=$E$9:$E$3622) * ($Z35=$C$9:$C$3622),0))</f>
        <v>72.69</v>
      </c>
      <c r="AG35" s="36" cm="1">
        <f t="array" ref="AG35">INDEX($F$9:$F$3622,MATCH(1, (AG$6=$D$9:$D$3622) * ($AB35=$E$9:$E$3622) * ($Z35=$C$9:$C$3622),0))</f>
        <v>72.83</v>
      </c>
      <c r="AH35" s="36" cm="1">
        <f t="array" ref="AH35">INDEX($F$9:$F$3622,MATCH(1, (AH$6=$D$9:$D$3622) * ($AB35=$E$9:$E$3622) * ($Z35=$C$9:$C$3622),0))</f>
        <v>74.94</v>
      </c>
      <c r="AI35" s="36" cm="1">
        <f t="array" ref="AI35">INDEX($F$9:$F$3622,MATCH(1, (AI$6=$D$9:$D$3622) * ($AB35=$E$9:$E$3622) * ($Z35=$C$9:$C$3622),0))</f>
        <v>66.319999999999993</v>
      </c>
      <c r="AJ35" s="36" cm="1">
        <f t="array" ref="AJ35">INDEX($F$9:$F$3622,MATCH(1, (AJ$6=$D$9:$D$3622) * ($AB35=$E$9:$E$3622) * ($Z35=$C$9:$C$3622),0))</f>
        <v>65.52</v>
      </c>
      <c r="AK35" s="36" cm="1">
        <f t="array" ref="AK35">INDEX($F$9:$F$3622,MATCH(1, (AK$6=$D$9:$D$3622) * ($AB35=$E$9:$E$3622) * ($Z35=$C$9:$C$3622),0))</f>
        <v>67.17</v>
      </c>
      <c r="AL35" s="36" cm="1">
        <f t="array" ref="AL35">INDEX($F$9:$F$3622,MATCH(1, (AL$6=$D$9:$D$3622) * ($AB35=$E$9:$E$3622) * ($Z35=$C$9:$C$3622),0))</f>
        <v>102.1</v>
      </c>
      <c r="AM35" s="36" cm="1">
        <f t="array" ref="AM35">INDEX($F$9:$F$3622,MATCH(1, (AM$6=$D$9:$D$3622) * ($AB35=$E$9:$E$3622) * ($Z35=$C$9:$C$3622),0))</f>
        <v>78.69</v>
      </c>
      <c r="AN35" s="36">
        <f t="shared" si="4"/>
        <v>107.10857919331089</v>
      </c>
      <c r="AO35" s="36">
        <f t="shared" si="5"/>
        <v>183.42857734645241</v>
      </c>
      <c r="AP35" s="36">
        <f t="shared" si="6"/>
        <v>308.16699471046735</v>
      </c>
      <c r="AQ35" s="36">
        <f t="shared" si="7"/>
        <v>463.02164661566167</v>
      </c>
      <c r="AR35" s="36">
        <f t="shared" si="8"/>
        <v>634.07175641480728</v>
      </c>
      <c r="AS35" s="36">
        <f t="shared" si="9"/>
        <v>786.09196311100322</v>
      </c>
      <c r="AT35" s="36">
        <f t="shared" si="10"/>
        <v>943.25761969437997</v>
      </c>
      <c r="AU35" s="36">
        <f t="shared" si="11"/>
        <v>1146.3752774826817</v>
      </c>
      <c r="AV35" s="36">
        <f t="shared" si="12"/>
        <v>1418.4209370783726</v>
      </c>
      <c r="AW35" s="36">
        <v>5</v>
      </c>
      <c r="AZ35" s="37" t="s">
        <v>144</v>
      </c>
      <c r="BA35" s="37" t="s">
        <v>122</v>
      </c>
      <c r="BB35" s="38">
        <v>1</v>
      </c>
      <c r="BC35" s="38">
        <v>1.3611460057607179</v>
      </c>
      <c r="BD35" s="38">
        <v>2.3310277970066391</v>
      </c>
      <c r="BE35" s="38">
        <v>3.9162154620722758</v>
      </c>
      <c r="BF35" s="38">
        <v>5.8841230984326049</v>
      </c>
      <c r="BG35" s="38">
        <v>8.0578441531936367</v>
      </c>
      <c r="BH35" s="38">
        <v>9.9897313904054297</v>
      </c>
      <c r="BI35" s="38">
        <v>11.987007493892236</v>
      </c>
      <c r="BJ35" s="38">
        <v>14.568245996729974</v>
      </c>
      <c r="BK35" s="38">
        <v>18.025428098594137</v>
      </c>
    </row>
    <row r="36" spans="3:63">
      <c r="C36" t="s">
        <v>113</v>
      </c>
      <c r="D36">
        <v>2016</v>
      </c>
      <c r="E36" t="s">
        <v>144</v>
      </c>
      <c r="F36">
        <v>6.17</v>
      </c>
      <c r="J36" s="18" t="s">
        <v>171</v>
      </c>
      <c r="K36" s="18">
        <v>2037</v>
      </c>
      <c r="L36" s="18" t="s">
        <v>174</v>
      </c>
      <c r="M36" s="18">
        <v>704.31</v>
      </c>
      <c r="P36" s="18" t="s">
        <v>171</v>
      </c>
      <c r="Q36" s="18">
        <v>2037</v>
      </c>
      <c r="R36" s="18" t="s">
        <v>175</v>
      </c>
      <c r="S36" s="18">
        <f t="shared" si="3"/>
        <v>0</v>
      </c>
      <c r="U36">
        <v>35.215499999999999</v>
      </c>
      <c r="Z36" s="36" t="str">
        <f t="shared" si="0"/>
        <v>MID</v>
      </c>
      <c r="AA36" s="36" t="s">
        <v>188</v>
      </c>
      <c r="AB36" s="36" t="str">
        <f t="shared" si="1"/>
        <v>DEMeltr</v>
      </c>
      <c r="AC36" s="36" cm="1">
        <f t="array" ref="AC36">INDEX($F$9:$F$3622,MATCH(1, (AC$6=$D$9:$D$3622) * ($AB36=$E$9:$E$3622) * ($Z36=$C$9:$C$3622),0))</f>
        <v>1.22</v>
      </c>
      <c r="AD36" s="36" cm="1">
        <f t="array" ref="AD36">INDEX($F$9:$F$3622,MATCH(1, (AD$6=$D$9:$D$3622) * ($AB36=$E$9:$E$3622) * ($Z36=$C$9:$C$3622),0))</f>
        <v>1.45</v>
      </c>
      <c r="AE36" s="36" cm="1">
        <f t="array" ref="AE36">INDEX($F$9:$F$3622,MATCH(1, (AE$6=$D$9:$D$3622) * ($AB36=$E$9:$E$3622) * ($Z36=$C$9:$C$3622),0))</f>
        <v>1.55</v>
      </c>
      <c r="AF36" s="36" cm="1">
        <f t="array" ref="AF36">INDEX($F$9:$F$3622,MATCH(1, (AF$6=$D$9:$D$3622) * ($AB36=$E$9:$E$3622) * ($Z36=$C$9:$C$3622),0))</f>
        <v>1.2</v>
      </c>
      <c r="AG36" s="36" cm="1">
        <f t="array" ref="AG36">INDEX($F$9:$F$3622,MATCH(1, (AG$6=$D$9:$D$3622) * ($AB36=$E$9:$E$3622) * ($Z36=$C$9:$C$3622),0))</f>
        <v>1.48</v>
      </c>
      <c r="AH36" s="36" cm="1">
        <f t="array" ref="AH36">INDEX($F$9:$F$3622,MATCH(1, (AH$6=$D$9:$D$3622) * ($AB36=$E$9:$E$3622) * ($Z36=$C$9:$C$3622),0))</f>
        <v>2.38</v>
      </c>
      <c r="AI36" s="36" cm="1">
        <f t="array" ref="AI36">INDEX($F$9:$F$3622,MATCH(1, (AI$6=$D$9:$D$3622) * ($AB36=$E$9:$E$3622) * ($Z36=$C$9:$C$3622),0))</f>
        <v>1.86</v>
      </c>
      <c r="AJ36" s="36" cm="1">
        <f t="array" ref="AJ36">INDEX($F$9:$F$3622,MATCH(1, (AJ$6=$D$9:$D$3622) * ($AB36=$E$9:$E$3622) * ($Z36=$C$9:$C$3622),0))</f>
        <v>2.0699999999999998</v>
      </c>
      <c r="AK36" s="36" cm="1">
        <f t="array" ref="AK36">INDEX($F$9:$F$3622,MATCH(1, (AK$6=$D$9:$D$3622) * ($AB36=$E$9:$E$3622) * ($Z36=$C$9:$C$3622),0))</f>
        <v>2.09</v>
      </c>
      <c r="AL36" s="36" cm="1">
        <f t="array" ref="AL36">INDEX($F$9:$F$3622,MATCH(1, (AL$6=$D$9:$D$3622) * ($AB36=$E$9:$E$3622) * ($Z36=$C$9:$C$3622),0))</f>
        <v>5.66</v>
      </c>
      <c r="AM36" s="36" cm="1">
        <f t="array" ref="AM36">INDEX($F$9:$F$3622,MATCH(1, (AM$6=$D$9:$D$3622) * ($AB36=$E$9:$E$3622) * ($Z36=$C$9:$C$3622),0))</f>
        <v>4.92</v>
      </c>
      <c r="AN36" s="36">
        <f t="shared" si="4"/>
        <v>13.161885306014421</v>
      </c>
      <c r="AO36" s="36">
        <f t="shared" si="5"/>
        <v>29.632988259577683</v>
      </c>
      <c r="AP36" s="36">
        <f t="shared" si="6"/>
        <v>56.060975587561465</v>
      </c>
      <c r="AQ36" s="36">
        <f t="shared" si="7"/>
        <v>79.640675765428313</v>
      </c>
      <c r="AR36" s="36">
        <f t="shared" si="8"/>
        <v>95.852942427477416</v>
      </c>
      <c r="AS36" s="36">
        <f t="shared" si="9"/>
        <v>105.61423831162352</v>
      </c>
      <c r="AT36" s="36">
        <f t="shared" si="10"/>
        <v>112.28359601311746</v>
      </c>
      <c r="AU36" s="36">
        <f t="shared" si="11"/>
        <v>122.00890910277674</v>
      </c>
      <c r="AV36" s="36">
        <f t="shared" si="12"/>
        <v>136.31815527468365</v>
      </c>
      <c r="AW36" s="36">
        <v>5</v>
      </c>
      <c r="AZ36" s="37" t="s">
        <v>144</v>
      </c>
      <c r="BA36" s="37" t="s">
        <v>123</v>
      </c>
      <c r="BB36" s="38">
        <v>1</v>
      </c>
      <c r="BC36" s="38">
        <v>2.6751799402468337</v>
      </c>
      <c r="BD36" s="38">
        <v>6.0229650934100984</v>
      </c>
      <c r="BE36" s="38">
        <v>11.3945072332442</v>
      </c>
      <c r="BF36" s="38">
        <v>16.18712922061551</v>
      </c>
      <c r="BG36" s="38">
        <v>19.4823053714385</v>
      </c>
      <c r="BH36" s="38">
        <v>21.46630859992348</v>
      </c>
      <c r="BI36" s="38">
        <v>22.821869108357209</v>
      </c>
      <c r="BJ36" s="38">
        <v>24.79855876072698</v>
      </c>
      <c r="BK36" s="38">
        <v>27.70694212900074</v>
      </c>
    </row>
    <row r="37" spans="3:63">
      <c r="C37" t="s">
        <v>113</v>
      </c>
      <c r="D37">
        <v>2017</v>
      </c>
      <c r="E37" t="s">
        <v>141</v>
      </c>
      <c r="F37">
        <v>226.95</v>
      </c>
      <c r="J37" s="18" t="s">
        <v>171</v>
      </c>
      <c r="K37" s="18">
        <v>2038</v>
      </c>
      <c r="L37" s="18" t="s">
        <v>174</v>
      </c>
      <c r="M37" s="18">
        <v>725.09</v>
      </c>
      <c r="P37" s="18" t="s">
        <v>171</v>
      </c>
      <c r="Q37" s="18">
        <v>2038</v>
      </c>
      <c r="R37" s="18" t="s">
        <v>175</v>
      </c>
      <c r="S37" s="18">
        <f t="shared" si="3"/>
        <v>0</v>
      </c>
      <c r="U37">
        <v>36.2545</v>
      </c>
      <c r="Z37" s="36" t="str">
        <f t="shared" si="0"/>
        <v>MXC</v>
      </c>
      <c r="AA37" s="36" t="s">
        <v>188</v>
      </c>
      <c r="AB37" s="36" t="str">
        <f t="shared" si="1"/>
        <v>DEMeltr</v>
      </c>
      <c r="AC37" s="36" cm="1">
        <f t="array" ref="AC37">INDEX($F$9:$F$3622,MATCH(1, (AC$6=$D$9:$D$3622) * ($AB37=$E$9:$E$3622) * ($Z37=$C$9:$C$3622),0))</f>
        <v>7.76</v>
      </c>
      <c r="AD37" s="36" cm="1">
        <f t="array" ref="AD37">INDEX($F$9:$F$3622,MATCH(1, (AD$6=$D$9:$D$3622) * ($AB37=$E$9:$E$3622) * ($Z37=$C$9:$C$3622),0))</f>
        <v>7.49</v>
      </c>
      <c r="AE37" s="36" cm="1">
        <f t="array" ref="AE37">INDEX($F$9:$F$3622,MATCH(1, (AE$6=$D$9:$D$3622) * ($AB37=$E$9:$E$3622) * ($Z37=$C$9:$C$3622),0))</f>
        <v>7.63</v>
      </c>
      <c r="AF37" s="36" cm="1">
        <f t="array" ref="AF37">INDEX($F$9:$F$3622,MATCH(1, (AF$6=$D$9:$D$3622) * ($AB37=$E$9:$E$3622) * ($Z37=$C$9:$C$3622),0))</f>
        <v>8.2200000000000006</v>
      </c>
      <c r="AG37" s="36" cm="1">
        <f t="array" ref="AG37">INDEX($F$9:$F$3622,MATCH(1, (AG$6=$D$9:$D$3622) * ($AB37=$E$9:$E$3622) * ($Z37=$C$9:$C$3622),0))</f>
        <v>10.15</v>
      </c>
      <c r="AH37" s="36" cm="1">
        <f t="array" ref="AH37">INDEX($F$9:$F$3622,MATCH(1, (AH$6=$D$9:$D$3622) * ($AB37=$E$9:$E$3622) * ($Z37=$C$9:$C$3622),0))</f>
        <v>11.5</v>
      </c>
      <c r="AI37" s="36" cm="1">
        <f t="array" ref="AI37">INDEX($F$9:$F$3622,MATCH(1, (AI$6=$D$9:$D$3622) * ($AB37=$E$9:$E$3622) * ($Z37=$C$9:$C$3622),0))</f>
        <v>11.05</v>
      </c>
      <c r="AJ37" s="36" cm="1">
        <f t="array" ref="AJ37">INDEX($F$9:$F$3622,MATCH(1, (AJ$6=$D$9:$D$3622) * ($AB37=$E$9:$E$3622) * ($Z37=$C$9:$C$3622),0))</f>
        <v>11.19</v>
      </c>
      <c r="AK37" s="36" cm="1">
        <f t="array" ref="AK37">INDEX($F$9:$F$3622,MATCH(1, (AK$6=$D$9:$D$3622) * ($AB37=$E$9:$E$3622) * ($Z37=$C$9:$C$3622),0))</f>
        <v>12.11</v>
      </c>
      <c r="AL37" s="36" cm="1">
        <f t="array" ref="AL37">INDEX($F$9:$F$3622,MATCH(1, (AL$6=$D$9:$D$3622) * ($AB37=$E$9:$E$3622) * ($Z37=$C$9:$C$3622),0))</f>
        <v>0.78</v>
      </c>
      <c r="AM37" s="36" cm="1">
        <f t="array" ref="AM37">INDEX($F$9:$F$3622,MATCH(1, (AM$6=$D$9:$D$3622) * ($AB37=$E$9:$E$3622) * ($Z37=$C$9:$C$3622),0))</f>
        <v>0.44</v>
      </c>
      <c r="AN37" s="36">
        <f t="shared" si="4"/>
        <v>1.2167420249693011</v>
      </c>
      <c r="AO37" s="36">
        <f t="shared" si="5"/>
        <v>2.7287371560048328</v>
      </c>
      <c r="AP37" s="36">
        <f t="shared" si="6"/>
        <v>5.092970671146853</v>
      </c>
      <c r="AQ37" s="36">
        <f t="shared" si="7"/>
        <v>7.1464516850099127</v>
      </c>
      <c r="AR37" s="36">
        <f t="shared" si="8"/>
        <v>8.53527746090049</v>
      </c>
      <c r="AS37" s="36">
        <f t="shared" si="9"/>
        <v>9.3444975211326948</v>
      </c>
      <c r="AT37" s="36">
        <f t="shared" si="10"/>
        <v>9.9345864855133623</v>
      </c>
      <c r="AU37" s="36">
        <f t="shared" si="11"/>
        <v>10.79505914063415</v>
      </c>
      <c r="AV37" s="36">
        <f t="shared" si="12"/>
        <v>12.061107331865117</v>
      </c>
      <c r="AW37" s="36">
        <v>5</v>
      </c>
      <c r="AZ37" s="37" t="s">
        <v>144</v>
      </c>
      <c r="BA37" s="37" t="s">
        <v>50</v>
      </c>
      <c r="BB37" s="38">
        <v>1</v>
      </c>
      <c r="BC37" s="38">
        <v>2.765322784021139</v>
      </c>
      <c r="BD37" s="38">
        <v>6.2016753545564383</v>
      </c>
      <c r="BE37" s="38">
        <v>11.574933343515575</v>
      </c>
      <c r="BF37" s="38">
        <v>16.241935647749802</v>
      </c>
      <c r="BG37" s="38">
        <v>19.398357865682932</v>
      </c>
      <c r="BH37" s="38">
        <v>21.237494366210669</v>
      </c>
      <c r="BI37" s="38">
        <v>22.578605648894005</v>
      </c>
      <c r="BJ37" s="38">
        <v>24.534225319623069</v>
      </c>
      <c r="BK37" s="38">
        <v>27.411607572420721</v>
      </c>
    </row>
    <row r="38" spans="3:63">
      <c r="C38" t="s">
        <v>113</v>
      </c>
      <c r="D38">
        <v>2017</v>
      </c>
      <c r="E38" t="s">
        <v>142</v>
      </c>
      <c r="F38">
        <v>313.85000000000002</v>
      </c>
      <c r="J38" s="18" t="s">
        <v>171</v>
      </c>
      <c r="K38" s="18">
        <v>2039</v>
      </c>
      <c r="L38" s="18" t="s">
        <v>174</v>
      </c>
      <c r="M38" s="18">
        <v>746.47</v>
      </c>
      <c r="P38" s="18" t="s">
        <v>171</v>
      </c>
      <c r="Q38" s="18">
        <v>2039</v>
      </c>
      <c r="R38" s="18" t="s">
        <v>175</v>
      </c>
      <c r="S38" s="18">
        <f t="shared" si="3"/>
        <v>0</v>
      </c>
      <c r="U38">
        <v>37.323500000000003</v>
      </c>
      <c r="Z38" s="36" t="str">
        <f t="shared" si="0"/>
        <v>OAS</v>
      </c>
      <c r="AA38" s="36" t="s">
        <v>188</v>
      </c>
      <c r="AB38" s="36" t="str">
        <f t="shared" si="1"/>
        <v>DEMeltr</v>
      </c>
      <c r="AC38" s="36" cm="1">
        <f t="array" ref="AC38">INDEX($F$9:$F$3622,MATCH(1, (AC$6=$D$9:$D$3622) * ($AB38=$E$9:$E$3622) * ($Z38=$C$9:$C$3622),0))</f>
        <v>13.83</v>
      </c>
      <c r="AD38" s="36" cm="1">
        <f t="array" ref="AD38">INDEX($F$9:$F$3622,MATCH(1, (AD$6=$D$9:$D$3622) * ($AB38=$E$9:$E$3622) * ($Z38=$C$9:$C$3622),0))</f>
        <v>14.62</v>
      </c>
      <c r="AE38" s="36" cm="1">
        <f t="array" ref="AE38">INDEX($F$9:$F$3622,MATCH(1, (AE$6=$D$9:$D$3622) * ($AB38=$E$9:$E$3622) * ($Z38=$C$9:$C$3622),0))</f>
        <v>15.31</v>
      </c>
      <c r="AF38" s="36" cm="1">
        <f t="array" ref="AF38">INDEX($F$9:$F$3622,MATCH(1, (AF$6=$D$9:$D$3622) * ($AB38=$E$9:$E$3622) * ($Z38=$C$9:$C$3622),0))</f>
        <v>16</v>
      </c>
      <c r="AG38" s="36" cm="1">
        <f t="array" ref="AG38">INDEX($F$9:$F$3622,MATCH(1, (AG$6=$D$9:$D$3622) * ($AB38=$E$9:$E$3622) * ($Z38=$C$9:$C$3622),0))</f>
        <v>16.260000000000002</v>
      </c>
      <c r="AH38" s="36" cm="1">
        <f t="array" ref="AH38">INDEX($F$9:$F$3622,MATCH(1, (AH$6=$D$9:$D$3622) * ($AB38=$E$9:$E$3622) * ($Z38=$C$9:$C$3622),0))</f>
        <v>16.66</v>
      </c>
      <c r="AI38" s="36" cm="1">
        <f t="array" ref="AI38">INDEX($F$9:$F$3622,MATCH(1, (AI$6=$D$9:$D$3622) * ($AB38=$E$9:$E$3622) * ($Z38=$C$9:$C$3622),0))</f>
        <v>18.010000000000002</v>
      </c>
      <c r="AJ38" s="36" cm="1">
        <f t="array" ref="AJ38">INDEX($F$9:$F$3622,MATCH(1, (AJ$6=$D$9:$D$3622) * ($AB38=$E$9:$E$3622) * ($Z38=$C$9:$C$3622),0))</f>
        <v>19.68</v>
      </c>
      <c r="AK38" s="36" cm="1">
        <f t="array" ref="AK38">INDEX($F$9:$F$3622,MATCH(1, (AK$6=$D$9:$D$3622) * ($AB38=$E$9:$E$3622) * ($Z38=$C$9:$C$3622),0))</f>
        <v>22.02</v>
      </c>
      <c r="AL38" s="36" cm="1">
        <f t="array" ref="AL38">INDEX($F$9:$F$3622,MATCH(1, (AL$6=$D$9:$D$3622) * ($AB38=$E$9:$E$3622) * ($Z38=$C$9:$C$3622),0))</f>
        <v>8.65</v>
      </c>
      <c r="AM38" s="36" cm="1">
        <f t="array" ref="AM38">INDEX($F$9:$F$3622,MATCH(1, (AM$6=$D$9:$D$3622) * ($AB38=$E$9:$E$3622) * ($Z38=$C$9:$C$3622),0))</f>
        <v>6.93</v>
      </c>
      <c r="AN38" s="36">
        <f t="shared" si="4"/>
        <v>9.6755067644390369</v>
      </c>
      <c r="AO38" s="36">
        <f t="shared" si="5"/>
        <v>17.165336089997957</v>
      </c>
      <c r="AP38" s="36">
        <f t="shared" si="6"/>
        <v>29.867976604592997</v>
      </c>
      <c r="AQ38" s="36">
        <f t="shared" si="7"/>
        <v>46.453170688882828</v>
      </c>
      <c r="AR38" s="36">
        <f t="shared" si="8"/>
        <v>65.828412381110198</v>
      </c>
      <c r="AS38" s="36">
        <f t="shared" si="9"/>
        <v>84.548305503062664</v>
      </c>
      <c r="AT38" s="36">
        <f t="shared" si="10"/>
        <v>101.45229456664825</v>
      </c>
      <c r="AU38" s="36">
        <f t="shared" si="11"/>
        <v>123.29866189978785</v>
      </c>
      <c r="AV38" s="36">
        <f t="shared" si="12"/>
        <v>152.5585966372592</v>
      </c>
      <c r="AW38" s="36">
        <v>5</v>
      </c>
      <c r="AZ38" s="37" t="s">
        <v>144</v>
      </c>
      <c r="BA38" s="37" t="s">
        <v>124</v>
      </c>
      <c r="BB38" s="38">
        <v>1</v>
      </c>
      <c r="BC38" s="38">
        <v>1.3961770222855754</v>
      </c>
      <c r="BD38" s="38">
        <v>2.4769604747471803</v>
      </c>
      <c r="BE38" s="38">
        <v>4.3099533339961038</v>
      </c>
      <c r="BF38" s="38">
        <v>6.7031992336050257</v>
      </c>
      <c r="BG38" s="38">
        <v>9.499049405643607</v>
      </c>
      <c r="BH38" s="38">
        <v>12.200332684424627</v>
      </c>
      <c r="BI38" s="38">
        <v>14.639580745548088</v>
      </c>
      <c r="BJ38" s="38">
        <v>17.792014704154091</v>
      </c>
      <c r="BK38" s="38">
        <v>22.01422750898401</v>
      </c>
    </row>
    <row r="39" spans="3:63">
      <c r="C39" t="s">
        <v>113</v>
      </c>
      <c r="D39">
        <v>2017</v>
      </c>
      <c r="E39" t="s">
        <v>143</v>
      </c>
      <c r="F39">
        <v>448.15</v>
      </c>
      <c r="J39" s="18" t="s">
        <v>171</v>
      </c>
      <c r="K39" s="18">
        <v>2040</v>
      </c>
      <c r="L39" s="18" t="s">
        <v>174</v>
      </c>
      <c r="M39" s="18">
        <v>768.24</v>
      </c>
      <c r="P39" s="18" t="s">
        <v>171</v>
      </c>
      <c r="Q39" s="18">
        <v>2040</v>
      </c>
      <c r="R39" s="18" t="s">
        <v>175</v>
      </c>
      <c r="S39" s="18">
        <f t="shared" si="3"/>
        <v>38.411999999999999</v>
      </c>
      <c r="U39">
        <v>38.411999999999999</v>
      </c>
      <c r="Z39" s="36" t="str">
        <f t="shared" si="0"/>
        <v>RUS</v>
      </c>
      <c r="AA39" s="36" t="s">
        <v>188</v>
      </c>
      <c r="AB39" s="36" t="str">
        <f t="shared" si="1"/>
        <v>DEMeltr</v>
      </c>
      <c r="AC39" s="36" cm="1">
        <f t="array" ref="AC39">INDEX($F$9:$F$3622,MATCH(1, (AC$6=$D$9:$D$3622) * ($AB39=$E$9:$E$3622) * ($Z39=$C$9:$C$3622),0))</f>
        <v>291.14</v>
      </c>
      <c r="AD39" s="36" cm="1">
        <f t="array" ref="AD39">INDEX($F$9:$F$3622,MATCH(1, (AD$6=$D$9:$D$3622) * ($AB39=$E$9:$E$3622) * ($Z39=$C$9:$C$3622),0))</f>
        <v>313.11</v>
      </c>
      <c r="AE39" s="36" cm="1">
        <f t="array" ref="AE39">INDEX($F$9:$F$3622,MATCH(1, (AE$6=$D$9:$D$3622) * ($AB39=$E$9:$E$3622) * ($Z39=$C$9:$C$3622),0))</f>
        <v>318.22000000000003</v>
      </c>
      <c r="AF39" s="36" cm="1">
        <f t="array" ref="AF39">INDEX($F$9:$F$3622,MATCH(1, (AF$6=$D$9:$D$3622) * ($AB39=$E$9:$E$3622) * ($Z39=$C$9:$C$3622),0))</f>
        <v>312.07</v>
      </c>
      <c r="AG39" s="36" cm="1">
        <f t="array" ref="AG39">INDEX($F$9:$F$3622,MATCH(1, (AG$6=$D$9:$D$3622) * ($AB39=$E$9:$E$3622) * ($Z39=$C$9:$C$3622),0))</f>
        <v>311.49</v>
      </c>
      <c r="AH39" s="36" cm="1">
        <f t="array" ref="AH39">INDEX($F$9:$F$3622,MATCH(1, (AH$6=$D$9:$D$3622) * ($AB39=$E$9:$E$3622) * ($Z39=$C$9:$C$3622),0))</f>
        <v>284.89999999999998</v>
      </c>
      <c r="AI39" s="36" cm="1">
        <f t="array" ref="AI39">INDEX($F$9:$F$3622,MATCH(1, (AI$6=$D$9:$D$3622) * ($AB39=$E$9:$E$3622) * ($Z39=$C$9:$C$3622),0))</f>
        <v>287.12</v>
      </c>
      <c r="AJ39" s="36" cm="1">
        <f t="array" ref="AJ39">INDEX($F$9:$F$3622,MATCH(1, (AJ$6=$D$9:$D$3622) * ($AB39=$E$9:$E$3622) * ($Z39=$C$9:$C$3622),0))</f>
        <v>269</v>
      </c>
      <c r="AK39" s="36" cm="1">
        <f t="array" ref="AK39">INDEX($F$9:$F$3622,MATCH(1, (AK$6=$D$9:$D$3622) * ($AB39=$E$9:$E$3622) * ($Z39=$C$9:$C$3622),0))</f>
        <v>282.01</v>
      </c>
      <c r="AL39" s="36" cm="1">
        <f t="array" ref="AL39">INDEX($F$9:$F$3622,MATCH(1, (AL$6=$D$9:$D$3622) * ($AB39=$E$9:$E$3622) * ($Z39=$C$9:$C$3622),0))</f>
        <v>259.42</v>
      </c>
      <c r="AM39" s="36" cm="1">
        <f t="array" ref="AM39">INDEX($F$9:$F$3622,MATCH(1, (AM$6=$D$9:$D$3622) * ($AB39=$E$9:$E$3622) * ($Z39=$C$9:$C$3622),0))</f>
        <v>237.47</v>
      </c>
      <c r="AN39" s="36">
        <f t="shared" si="4"/>
        <v>633.01764594299198</v>
      </c>
      <c r="AO39" s="36">
        <f t="shared" si="5"/>
        <v>1394.06494877557</v>
      </c>
      <c r="AP39" s="36">
        <f t="shared" si="6"/>
        <v>2584.3896627729127</v>
      </c>
      <c r="AQ39" s="36">
        <f t="shared" si="7"/>
        <v>3626.7406205825446</v>
      </c>
      <c r="AR39" s="36">
        <f t="shared" si="8"/>
        <v>4311.1332835043495</v>
      </c>
      <c r="AS39" s="36">
        <f t="shared" si="9"/>
        <v>4672.4880946028379</v>
      </c>
      <c r="AT39" s="36">
        <f t="shared" si="10"/>
        <v>4967.5476903263761</v>
      </c>
      <c r="AU39" s="36">
        <f t="shared" si="11"/>
        <v>5397.8060565671112</v>
      </c>
      <c r="AV39" s="36">
        <f t="shared" si="12"/>
        <v>6030.8625785836011</v>
      </c>
      <c r="AW39" s="36">
        <v>5</v>
      </c>
      <c r="AZ39" s="37" t="s">
        <v>144</v>
      </c>
      <c r="BA39" s="37" t="s">
        <v>105</v>
      </c>
      <c r="BB39" s="38">
        <v>1</v>
      </c>
      <c r="BC39" s="38">
        <v>2.6656741733397564</v>
      </c>
      <c r="BD39" s="38">
        <v>5.8704886881524825</v>
      </c>
      <c r="BE39" s="38">
        <v>10.883015382039469</v>
      </c>
      <c r="BF39" s="38">
        <v>15.272415970785971</v>
      </c>
      <c r="BG39" s="38">
        <v>18.154433332649806</v>
      </c>
      <c r="BH39" s="38">
        <v>19.676119487105058</v>
      </c>
      <c r="BI39" s="38">
        <v>20.918632628653626</v>
      </c>
      <c r="BJ39" s="38">
        <v>22.730475666682576</v>
      </c>
      <c r="BK39" s="38">
        <v>25.396313549431934</v>
      </c>
    </row>
    <row r="40" spans="3:63">
      <c r="C40" t="s">
        <v>113</v>
      </c>
      <c r="D40">
        <v>2017</v>
      </c>
      <c r="E40" t="s">
        <v>144</v>
      </c>
      <c r="F40">
        <v>6.05</v>
      </c>
      <c r="J40" s="18" t="s">
        <v>171</v>
      </c>
      <c r="K40" s="18">
        <v>2041</v>
      </c>
      <c r="L40" s="18" t="s">
        <v>174</v>
      </c>
      <c r="M40" s="18">
        <v>788.21</v>
      </c>
      <c r="P40" s="18" t="s">
        <v>171</v>
      </c>
      <c r="Q40" s="18">
        <v>2041</v>
      </c>
      <c r="R40" s="18" t="s">
        <v>175</v>
      </c>
      <c r="S40" s="18">
        <f t="shared" si="3"/>
        <v>39.410499999999999</v>
      </c>
      <c r="U40">
        <v>39.410499999999999</v>
      </c>
      <c r="Z40" s="36" t="str">
        <f t="shared" si="0"/>
        <v>SKO</v>
      </c>
      <c r="AA40" s="36" t="s">
        <v>188</v>
      </c>
      <c r="AB40" s="36" t="str">
        <f t="shared" si="1"/>
        <v>DEMeltr</v>
      </c>
      <c r="AC40" s="36" cm="1">
        <f t="array" ref="AC40">INDEX($F$9:$F$3622,MATCH(1, (AC$6=$D$9:$D$3622) * ($AB40=$E$9:$E$3622) * ($Z40=$C$9:$C$3622),0))</f>
        <v>7.5</v>
      </c>
      <c r="AD40" s="36" cm="1">
        <f t="array" ref="AD40">INDEX($F$9:$F$3622,MATCH(1, (AD$6=$D$9:$D$3622) * ($AB40=$E$9:$E$3622) * ($Z40=$C$9:$C$3622),0))</f>
        <v>7.7</v>
      </c>
      <c r="AE40" s="36" cm="1">
        <f t="array" ref="AE40">INDEX($F$9:$F$3622,MATCH(1, (AE$6=$D$9:$D$3622) * ($AB40=$E$9:$E$3622) * ($Z40=$C$9:$C$3622),0))</f>
        <v>7.69</v>
      </c>
      <c r="AF40" s="36" cm="1">
        <f t="array" ref="AF40">INDEX($F$9:$F$3622,MATCH(1, (AF$6=$D$9:$D$3622) * ($AB40=$E$9:$E$3622) * ($Z40=$C$9:$C$3622),0))</f>
        <v>7.36</v>
      </c>
      <c r="AG40" s="36" cm="1">
        <f t="array" ref="AG40">INDEX($F$9:$F$3622,MATCH(1, (AG$6=$D$9:$D$3622) * ($AB40=$E$9:$E$3622) * ($Z40=$C$9:$C$3622),0))</f>
        <v>6.95</v>
      </c>
      <c r="AH40" s="36" cm="1">
        <f t="array" ref="AH40">INDEX($F$9:$F$3622,MATCH(1, (AH$6=$D$9:$D$3622) * ($AB40=$E$9:$E$3622) * ($Z40=$C$9:$C$3622),0))</f>
        <v>7.58</v>
      </c>
      <c r="AI40" s="36" cm="1">
        <f t="array" ref="AI40">INDEX($F$9:$F$3622,MATCH(1, (AI$6=$D$9:$D$3622) * ($AB40=$E$9:$E$3622) * ($Z40=$C$9:$C$3622),0))</f>
        <v>9.02</v>
      </c>
      <c r="AJ40" s="36" cm="1">
        <f t="array" ref="AJ40">INDEX($F$9:$F$3622,MATCH(1, (AJ$6=$D$9:$D$3622) * ($AB40=$E$9:$E$3622) * ($Z40=$C$9:$C$3622),0))</f>
        <v>9.51</v>
      </c>
      <c r="AK40" s="36" cm="1">
        <f t="array" ref="AK40">INDEX($F$9:$F$3622,MATCH(1, (AK$6=$D$9:$D$3622) * ($AB40=$E$9:$E$3622) * ($Z40=$C$9:$C$3622),0))</f>
        <v>10.16</v>
      </c>
      <c r="AL40" s="36" cm="1">
        <f t="array" ref="AL40">INDEX($F$9:$F$3622,MATCH(1, (AL$6=$D$9:$D$3622) * ($AB40=$E$9:$E$3622) * ($Z40=$C$9:$C$3622),0))</f>
        <v>40.130000000000003</v>
      </c>
      <c r="AM40" s="36" cm="1">
        <f t="array" ref="AM40">INDEX($F$9:$F$3622,MATCH(1, (AM$6=$D$9:$D$3622) * ($AB40=$E$9:$E$3622) * ($Z40=$C$9:$C$3622),0))</f>
        <v>39.04</v>
      </c>
      <c r="AN40" s="36">
        <f t="shared" si="4"/>
        <v>53.409935844353129</v>
      </c>
      <c r="AO40" s="36">
        <f t="shared" si="5"/>
        <v>92.226644831140774</v>
      </c>
      <c r="AP40" s="36">
        <f t="shared" si="6"/>
        <v>157.32045184028797</v>
      </c>
      <c r="AQ40" s="36">
        <f t="shared" si="7"/>
        <v>239.02603958853916</v>
      </c>
      <c r="AR40" s="36">
        <f t="shared" si="8"/>
        <v>330.70527394730317</v>
      </c>
      <c r="AS40" s="36">
        <f t="shared" si="9"/>
        <v>414.29971556451051</v>
      </c>
      <c r="AT40" s="36">
        <f t="shared" si="10"/>
        <v>497.13186482260727</v>
      </c>
      <c r="AU40" s="36">
        <f t="shared" si="11"/>
        <v>604.18242862024488</v>
      </c>
      <c r="AV40" s="36">
        <f t="shared" si="12"/>
        <v>747.5606142271846</v>
      </c>
      <c r="AW40" s="36">
        <v>5</v>
      </c>
      <c r="AZ40" s="37" t="s">
        <v>144</v>
      </c>
      <c r="BA40" s="37" t="s">
        <v>51</v>
      </c>
      <c r="BB40" s="38">
        <v>1</v>
      </c>
      <c r="BC40" s="38">
        <v>1.3680823730623239</v>
      </c>
      <c r="BD40" s="38">
        <v>2.3623628286665159</v>
      </c>
      <c r="BE40" s="38">
        <v>4.0297246885319664</v>
      </c>
      <c r="BF40" s="38">
        <v>6.1225932271654502</v>
      </c>
      <c r="BG40" s="38">
        <v>8.470934271191167</v>
      </c>
      <c r="BH40" s="38">
        <v>10.6121853372057</v>
      </c>
      <c r="BI40" s="38">
        <v>12.733910471890555</v>
      </c>
      <c r="BJ40" s="38">
        <v>15.475984339657913</v>
      </c>
      <c r="BK40" s="38">
        <v>19.148581307048786</v>
      </c>
    </row>
    <row r="41" spans="3:63">
      <c r="C41" t="s">
        <v>113</v>
      </c>
      <c r="D41">
        <v>2018</v>
      </c>
      <c r="E41" t="s">
        <v>141</v>
      </c>
      <c r="F41">
        <v>226.55</v>
      </c>
      <c r="J41" s="18" t="s">
        <v>171</v>
      </c>
      <c r="K41" s="18">
        <v>2042</v>
      </c>
      <c r="L41" s="18" t="s">
        <v>174</v>
      </c>
      <c r="M41" s="18">
        <v>808.41</v>
      </c>
      <c r="P41" s="18" t="s">
        <v>171</v>
      </c>
      <c r="Q41" s="18">
        <v>2042</v>
      </c>
      <c r="R41" s="18" t="s">
        <v>175</v>
      </c>
      <c r="S41" s="18">
        <f t="shared" si="3"/>
        <v>40.420499999999997</v>
      </c>
      <c r="U41">
        <v>40.420499999999997</v>
      </c>
      <c r="Z41" s="36" t="str">
        <f t="shared" ref="Z41:Z59" si="13">BA41</f>
        <v>URA</v>
      </c>
      <c r="AA41" s="36" t="s">
        <v>188</v>
      </c>
      <c r="AB41" s="36" t="str">
        <f t="shared" ref="AB41:AB59" si="14">AZ41</f>
        <v>DEMeltr</v>
      </c>
      <c r="AC41" s="36" cm="1">
        <f t="array" ref="AC41">INDEX($F$9:$F$3622,MATCH(1, (AC$6=$D$9:$D$3622) * ($AB41=$E$9:$E$3622) * ($Z41=$C$9:$C$3622),0))</f>
        <v>62.49</v>
      </c>
      <c r="AD41" s="36" cm="1">
        <f t="array" ref="AD41">INDEX($F$9:$F$3622,MATCH(1, (AD$6=$D$9:$D$3622) * ($AB41=$E$9:$E$3622) * ($Z41=$C$9:$C$3622),0))</f>
        <v>68.59</v>
      </c>
      <c r="AE41" s="36" cm="1">
        <f t="array" ref="AE41">INDEX($F$9:$F$3622,MATCH(1, (AE$6=$D$9:$D$3622) * ($AB41=$E$9:$E$3622) * ($Z41=$C$9:$C$3622),0))</f>
        <v>62.87</v>
      </c>
      <c r="AF41" s="36" cm="1">
        <f t="array" ref="AF41">INDEX($F$9:$F$3622,MATCH(1, (AF$6=$D$9:$D$3622) * ($AB41=$E$9:$E$3622) * ($Z41=$C$9:$C$3622),0))</f>
        <v>59.06</v>
      </c>
      <c r="AG41" s="36" cm="1">
        <f t="array" ref="AG41">INDEX($F$9:$F$3622,MATCH(1, (AG$6=$D$9:$D$3622) * ($AB41=$E$9:$E$3622) * ($Z41=$C$9:$C$3622),0))</f>
        <v>56.65</v>
      </c>
      <c r="AH41" s="36" cm="1">
        <f t="array" ref="AH41">INDEX($F$9:$F$3622,MATCH(1, (AH$6=$D$9:$D$3622) * ($AB41=$E$9:$E$3622) * ($Z41=$C$9:$C$3622),0))</f>
        <v>52.43</v>
      </c>
      <c r="AI41" s="36" cm="1">
        <f t="array" ref="AI41">INDEX($F$9:$F$3622,MATCH(1, (AI$6=$D$9:$D$3622) * ($AB41=$E$9:$E$3622) * ($Z41=$C$9:$C$3622),0))</f>
        <v>51.26</v>
      </c>
      <c r="AJ41" s="36" cm="1">
        <f t="array" ref="AJ41">INDEX($F$9:$F$3622,MATCH(1, (AJ$6=$D$9:$D$3622) * ($AB41=$E$9:$E$3622) * ($Z41=$C$9:$C$3622),0))</f>
        <v>54.27</v>
      </c>
      <c r="AK41" s="36" cm="1">
        <f t="array" ref="AK41">INDEX($F$9:$F$3622,MATCH(1, (AK$6=$D$9:$D$3622) * ($AB41=$E$9:$E$3622) * ($Z41=$C$9:$C$3622),0))</f>
        <v>54.65</v>
      </c>
      <c r="AL41" s="36" cm="1">
        <f t="array" ref="AL41">INDEX($F$9:$F$3622,MATCH(1, (AL$6=$D$9:$D$3622) * ($AB41=$E$9:$E$3622) * ($Z41=$C$9:$C$3622),0))</f>
        <v>60.91</v>
      </c>
      <c r="AM41" s="36" cm="1">
        <f t="array" ref="AM41">INDEX($F$9:$F$3622,MATCH(1, (AM$6=$D$9:$D$3622) * ($AB41=$E$9:$E$3622) * ($Z41=$C$9:$C$3622),0))</f>
        <v>55.2</v>
      </c>
      <c r="AN41" s="36">
        <f t="shared" si="4"/>
        <v>76.617289924958442</v>
      </c>
      <c r="AO41" s="36">
        <f t="shared" si="5"/>
        <v>136.08190666953914</v>
      </c>
      <c r="AP41" s="36">
        <f t="shared" si="6"/>
        <v>236.02324856248345</v>
      </c>
      <c r="AQ41" s="36">
        <f t="shared" si="7"/>
        <v>364.64403828089371</v>
      </c>
      <c r="AR41" s="36">
        <f t="shared" si="8"/>
        <v>511.86156670204326</v>
      </c>
      <c r="AS41" s="36">
        <f t="shared" si="9"/>
        <v>650.50447539818049</v>
      </c>
      <c r="AT41" s="36">
        <f t="shared" si="10"/>
        <v>780.56173050834616</v>
      </c>
      <c r="AU41" s="36">
        <f t="shared" si="11"/>
        <v>948.64504852215362</v>
      </c>
      <c r="AV41" s="36">
        <f t="shared" si="12"/>
        <v>1173.7674608914301</v>
      </c>
      <c r="AW41" s="36">
        <v>5</v>
      </c>
      <c r="AZ41" s="37" t="s">
        <v>144</v>
      </c>
      <c r="BA41" s="37" t="s">
        <v>125</v>
      </c>
      <c r="BB41" s="38">
        <v>1</v>
      </c>
      <c r="BC41" s="38">
        <v>1.3879943826985224</v>
      </c>
      <c r="BD41" s="38">
        <v>2.4652519324191871</v>
      </c>
      <c r="BE41" s="38">
        <v>4.275783488450787</v>
      </c>
      <c r="BF41" s="38">
        <v>6.6058702587118425</v>
      </c>
      <c r="BG41" s="38">
        <v>9.2728544692399133</v>
      </c>
      <c r="BH41" s="38">
        <v>11.784501365909067</v>
      </c>
      <c r="BI41" s="38">
        <v>14.140611059933807</v>
      </c>
      <c r="BJ41" s="38">
        <v>17.185598705111477</v>
      </c>
      <c r="BK41" s="38">
        <v>21.26390327701866</v>
      </c>
    </row>
    <row r="42" spans="3:63">
      <c r="C42" t="s">
        <v>113</v>
      </c>
      <c r="D42">
        <v>2018</v>
      </c>
      <c r="E42" t="s">
        <v>142</v>
      </c>
      <c r="F42">
        <v>316.51</v>
      </c>
      <c r="J42" s="18" t="s">
        <v>171</v>
      </c>
      <c r="K42" s="18">
        <v>2043</v>
      </c>
      <c r="L42" s="18" t="s">
        <v>174</v>
      </c>
      <c r="M42" s="18">
        <v>829.78</v>
      </c>
      <c r="P42" s="18" t="s">
        <v>171</v>
      </c>
      <c r="Q42" s="18">
        <v>2043</v>
      </c>
      <c r="R42" s="18" t="s">
        <v>175</v>
      </c>
      <c r="S42" s="18">
        <f t="shared" si="3"/>
        <v>41.488999999999997</v>
      </c>
      <c r="U42">
        <v>41.488999999999997</v>
      </c>
      <c r="Z42" s="36" t="str">
        <f t="shared" si="13"/>
        <v>USA</v>
      </c>
      <c r="AA42" s="36" t="s">
        <v>188</v>
      </c>
      <c r="AB42" s="36" t="str">
        <f t="shared" si="14"/>
        <v>DEMeltr</v>
      </c>
      <c r="AC42" s="36" cm="1">
        <f t="array" ref="AC42">INDEX($F$9:$F$3622,MATCH(1, (AC$6=$D$9:$D$3622) * ($AB42=$E$9:$E$3622) * ($Z42=$C$9:$C$3622),0))</f>
        <v>23.88</v>
      </c>
      <c r="AD42" s="36" cm="1">
        <f t="array" ref="AD42">INDEX($F$9:$F$3622,MATCH(1, (AD$6=$D$9:$D$3622) * ($AB42=$E$9:$E$3622) * ($Z42=$C$9:$C$3622),0))</f>
        <v>24.47</v>
      </c>
      <c r="AE42" s="36" cm="1">
        <f t="array" ref="AE42">INDEX($F$9:$F$3622,MATCH(1, (AE$6=$D$9:$D$3622) * ($AB42=$E$9:$E$3622) * ($Z42=$C$9:$C$3622),0))</f>
        <v>25.01</v>
      </c>
      <c r="AF42" s="36" cm="1">
        <f t="array" ref="AF42">INDEX($F$9:$F$3622,MATCH(1, (AF$6=$D$9:$D$3622) * ($AB42=$E$9:$E$3622) * ($Z42=$C$9:$C$3622),0))</f>
        <v>26.86</v>
      </c>
      <c r="AG42" s="36" cm="1">
        <f t="array" ref="AG42">INDEX($F$9:$F$3622,MATCH(1, (AG$6=$D$9:$D$3622) * ($AB42=$E$9:$E$3622) * ($Z42=$C$9:$C$3622),0))</f>
        <v>28.3</v>
      </c>
      <c r="AH42" s="36" cm="1">
        <f t="array" ref="AH42">INDEX($F$9:$F$3622,MATCH(1, (AH$6=$D$9:$D$3622) * ($AB42=$E$9:$E$3622) * ($Z42=$C$9:$C$3622),0))</f>
        <v>29.51</v>
      </c>
      <c r="AI42" s="36" cm="1">
        <f t="array" ref="AI42">INDEX($F$9:$F$3622,MATCH(1, (AI$6=$D$9:$D$3622) * ($AB42=$E$9:$E$3622) * ($Z42=$C$9:$C$3622),0))</f>
        <v>30.76</v>
      </c>
      <c r="AJ42" s="36" cm="1">
        <f t="array" ref="AJ42">INDEX($F$9:$F$3622,MATCH(1, (AJ$6=$D$9:$D$3622) * ($AB42=$E$9:$E$3622) * ($Z42=$C$9:$C$3622),0))</f>
        <v>32.880000000000003</v>
      </c>
      <c r="AK42" s="36" cm="1">
        <f t="array" ref="AK42">INDEX($F$9:$F$3622,MATCH(1, (AK$6=$D$9:$D$3622) * ($AB42=$E$9:$E$3622) * ($Z42=$C$9:$C$3622),0))</f>
        <v>36.729999999999997</v>
      </c>
      <c r="AL42" s="36" cm="1">
        <f t="array" ref="AL42">INDEX($F$9:$F$3622,MATCH(1, (AL$6=$D$9:$D$3622) * ($AB42=$E$9:$E$3622) * ($Z42=$C$9:$C$3622),0))</f>
        <v>42.49</v>
      </c>
      <c r="AM42" s="36" cm="1">
        <f t="array" ref="AM42">INDEX($F$9:$F$3622,MATCH(1, (AM$6=$D$9:$D$3622) * ($AB42=$E$9:$E$3622) * ($Z42=$C$9:$C$3622),0))</f>
        <v>35.47</v>
      </c>
      <c r="AN42" s="36">
        <f t="shared" si="4"/>
        <v>95.721141512589227</v>
      </c>
      <c r="AO42" s="36">
        <f t="shared" si="5"/>
        <v>214.61117686733598</v>
      </c>
      <c r="AP42" s="36">
        <f t="shared" si="6"/>
        <v>401.54490132332558</v>
      </c>
      <c r="AQ42" s="36">
        <f t="shared" si="7"/>
        <v>564.48063445316052</v>
      </c>
      <c r="AR42" s="36">
        <f t="shared" si="8"/>
        <v>675.04013019260833</v>
      </c>
      <c r="AS42" s="36">
        <f t="shared" si="9"/>
        <v>738.31840120139293</v>
      </c>
      <c r="AT42" s="36">
        <f t="shared" si="10"/>
        <v>784.94193978790634</v>
      </c>
      <c r="AU42" s="36">
        <f t="shared" si="11"/>
        <v>852.92877306273522</v>
      </c>
      <c r="AV42" s="36">
        <f t="shared" si="12"/>
        <v>952.96054837003157</v>
      </c>
      <c r="AW42" s="36">
        <v>5</v>
      </c>
      <c r="AZ42" s="37" t="s">
        <v>144</v>
      </c>
      <c r="BA42" s="37" t="s">
        <v>112</v>
      </c>
      <c r="BB42" s="38">
        <v>1</v>
      </c>
      <c r="BC42" s="38">
        <v>2.6986507333687406</v>
      </c>
      <c r="BD42" s="38">
        <v>6.0504983610751619</v>
      </c>
      <c r="BE42" s="38">
        <v>11.320690761864268</v>
      </c>
      <c r="BF42" s="38">
        <v>15.914311656418397</v>
      </c>
      <c r="BG42" s="38">
        <v>19.031297721810216</v>
      </c>
      <c r="BH42" s="38">
        <v>20.815291829754525</v>
      </c>
      <c r="BI42" s="38">
        <v>22.129741747615064</v>
      </c>
      <c r="BJ42" s="38">
        <v>24.046483593536376</v>
      </c>
      <c r="BK42" s="38">
        <v>26.866663331548679</v>
      </c>
    </row>
    <row r="43" spans="3:63">
      <c r="C43" t="s">
        <v>113</v>
      </c>
      <c r="D43">
        <v>2018</v>
      </c>
      <c r="E43" t="s">
        <v>143</v>
      </c>
      <c r="F43">
        <v>468.25</v>
      </c>
      <c r="J43" s="18" t="s">
        <v>171</v>
      </c>
      <c r="K43" s="18">
        <v>2044</v>
      </c>
      <c r="L43" s="18" t="s">
        <v>174</v>
      </c>
      <c r="M43" s="18">
        <v>850.84</v>
      </c>
      <c r="P43" s="18" t="s">
        <v>171</v>
      </c>
      <c r="Q43" s="18">
        <v>2044</v>
      </c>
      <c r="R43" s="18" t="s">
        <v>175</v>
      </c>
      <c r="S43" s="18">
        <f t="shared" si="3"/>
        <v>42.542000000000002</v>
      </c>
      <c r="U43">
        <v>42.542000000000002</v>
      </c>
      <c r="Z43" s="36" t="str">
        <f t="shared" si="13"/>
        <v>AFR_N</v>
      </c>
      <c r="AA43" s="36" t="s">
        <v>188</v>
      </c>
      <c r="AB43" s="36" t="str">
        <f t="shared" si="14"/>
        <v>DEMelrs</v>
      </c>
      <c r="AC43" s="36" cm="1">
        <f t="array" ref="AC43">INDEX($F$9:$F$3622,MATCH(1, (AC$6=$D$9:$D$3622) * ($AB43=$E$9:$E$3622) * ($Z43=$C$9:$C$3622),0))</f>
        <v>321.24</v>
      </c>
      <c r="AD43" s="36" cm="1">
        <f t="array" ref="AD43">INDEX($F$9:$F$3622,MATCH(1, (AD$6=$D$9:$D$3622) * ($AB43=$E$9:$E$3622) * ($Z43=$C$9:$C$3622),0))</f>
        <v>341.3</v>
      </c>
      <c r="AE43" s="36" cm="1">
        <f t="array" ref="AE43">INDEX($F$9:$F$3622,MATCH(1, (AE$6=$D$9:$D$3622) * ($AB43=$E$9:$E$3622) * ($Z43=$C$9:$C$3622),0))</f>
        <v>357.22</v>
      </c>
      <c r="AF43" s="36" cm="1">
        <f t="array" ref="AF43">INDEX($F$9:$F$3622,MATCH(1, (AF$6=$D$9:$D$3622) * ($AB43=$E$9:$E$3622) * ($Z43=$C$9:$C$3622),0))</f>
        <v>370.6</v>
      </c>
      <c r="AG43" s="36" cm="1">
        <f t="array" ref="AG43">INDEX($F$9:$F$3622,MATCH(1, (AG$6=$D$9:$D$3622) * ($AB43=$E$9:$E$3622) * ($Z43=$C$9:$C$3622),0))</f>
        <v>386.96</v>
      </c>
      <c r="AH43" s="36" cm="1">
        <f t="array" ref="AH43">INDEX($F$9:$F$3622,MATCH(1, (AH$6=$D$9:$D$3622) * ($AB43=$E$9:$E$3622) * ($Z43=$C$9:$C$3622),0))</f>
        <v>423.68</v>
      </c>
      <c r="AI43" s="36" cm="1">
        <f t="array" ref="AI43">INDEX($F$9:$F$3622,MATCH(1, (AI$6=$D$9:$D$3622) * ($AB43=$E$9:$E$3622) * ($Z43=$C$9:$C$3622),0))</f>
        <v>421.09</v>
      </c>
      <c r="AJ43" s="36" cm="1">
        <f t="array" ref="AJ43">INDEX($F$9:$F$3622,MATCH(1, (AJ$6=$D$9:$D$3622) * ($AB43=$E$9:$E$3622) * ($Z43=$C$9:$C$3622),0))</f>
        <v>448.15</v>
      </c>
      <c r="AK43" s="36" cm="1">
        <f t="array" ref="AK43">INDEX($F$9:$F$3622,MATCH(1, (AK$6=$D$9:$D$3622) * ($AB43=$E$9:$E$3622) * ($Z43=$C$9:$C$3622),0))</f>
        <v>468.25</v>
      </c>
      <c r="AL43" s="36" cm="1">
        <f t="array" ref="AL43">INDEX($F$9:$F$3622,MATCH(1, (AL$6=$D$9:$D$3622) * ($AB43=$E$9:$E$3622) * ($Z43=$C$9:$C$3622),0))</f>
        <v>525.41</v>
      </c>
      <c r="AM43" s="36" cm="1">
        <f t="array" ref="AM43">INDEX($F$9:$F$3622,MATCH(1, (AM$6=$D$9:$D$3622) * ($AB43=$E$9:$E$3622) * ($Z43=$C$9:$C$3622),0))</f>
        <v>471.46</v>
      </c>
      <c r="AN43" s="36">
        <f t="shared" si="4"/>
        <v>440.33980521663028</v>
      </c>
      <c r="AO43" s="36">
        <f t="shared" si="5"/>
        <v>400.89451216123251</v>
      </c>
      <c r="AP43" s="36">
        <f t="shared" si="6"/>
        <v>397.52306435770873</v>
      </c>
      <c r="AQ43" s="36">
        <f t="shared" si="7"/>
        <v>424.02175484108909</v>
      </c>
      <c r="AR43" s="36">
        <f t="shared" si="8"/>
        <v>464.75023571795418</v>
      </c>
      <c r="AS43" s="36">
        <f t="shared" si="9"/>
        <v>506.36270708605377</v>
      </c>
      <c r="AT43" s="36">
        <f t="shared" si="10"/>
        <v>607.60127847859496</v>
      </c>
      <c r="AU43" s="36">
        <f t="shared" si="11"/>
        <v>738.43992316798335</v>
      </c>
      <c r="AV43" s="36">
        <f t="shared" si="12"/>
        <v>913.67867780264044</v>
      </c>
      <c r="AW43" s="36">
        <v>5</v>
      </c>
      <c r="AZ43" s="37" t="s">
        <v>143</v>
      </c>
      <c r="BA43" s="37" t="s">
        <v>113</v>
      </c>
      <c r="BB43" s="38">
        <v>1</v>
      </c>
      <c r="BC43" s="38">
        <v>0.93399186615329044</v>
      </c>
      <c r="BD43" s="38">
        <v>0.85032561014981656</v>
      </c>
      <c r="BE43" s="38">
        <v>0.84317453094156181</v>
      </c>
      <c r="BF43" s="38">
        <v>0.89938012735139594</v>
      </c>
      <c r="BG43" s="38">
        <v>0.98576811546675058</v>
      </c>
      <c r="BH43" s="38">
        <v>1.074031109926725</v>
      </c>
      <c r="BI43" s="38">
        <v>1.2887652790875048</v>
      </c>
      <c r="BJ43" s="38">
        <v>1.5662832969244123</v>
      </c>
      <c r="BK43" s="38">
        <v>1.9379770877755069</v>
      </c>
    </row>
    <row r="44" spans="3:63">
      <c r="C44" t="s">
        <v>113</v>
      </c>
      <c r="D44">
        <v>2018</v>
      </c>
      <c r="E44" t="s">
        <v>144</v>
      </c>
      <c r="F44">
        <v>5.81</v>
      </c>
      <c r="J44" s="18" t="s">
        <v>171</v>
      </c>
      <c r="K44" s="18">
        <v>2045</v>
      </c>
      <c r="L44" s="18" t="s">
        <v>174</v>
      </c>
      <c r="M44" s="18">
        <v>872.83</v>
      </c>
      <c r="P44" s="18" t="s">
        <v>171</v>
      </c>
      <c r="Q44" s="18">
        <v>2045</v>
      </c>
      <c r="R44" s="18" t="s">
        <v>175</v>
      </c>
      <c r="S44" s="18">
        <f t="shared" si="3"/>
        <v>43.641500000000001</v>
      </c>
      <c r="U44">
        <v>43.641500000000001</v>
      </c>
      <c r="Z44" s="36" t="str">
        <f t="shared" si="13"/>
        <v>AFR_S</v>
      </c>
      <c r="AA44" s="36" t="s">
        <v>188</v>
      </c>
      <c r="AB44" s="36" t="str">
        <f t="shared" si="14"/>
        <v>DEMelrs</v>
      </c>
      <c r="AC44" s="36" cm="1">
        <f t="array" ref="AC44">INDEX($F$9:$F$3622,MATCH(1, (AC$6=$D$9:$D$3622) * ($AB44=$E$9:$E$3622) * ($Z44=$C$9:$C$3622),0))</f>
        <v>256.83999999999997</v>
      </c>
      <c r="AD44" s="36" cm="1">
        <f t="array" ref="AD44">INDEX($F$9:$F$3622,MATCH(1, (AD$6=$D$9:$D$3622) * ($AB44=$E$9:$E$3622) * ($Z44=$C$9:$C$3622),0))</f>
        <v>272.87</v>
      </c>
      <c r="AE44" s="36" cm="1">
        <f t="array" ref="AE44">INDEX($F$9:$F$3622,MATCH(1, (AE$6=$D$9:$D$3622) * ($AB44=$E$9:$E$3622) * ($Z44=$C$9:$C$3622),0))</f>
        <v>285.60000000000002</v>
      </c>
      <c r="AF44" s="36" cm="1">
        <f t="array" ref="AF44">INDEX($F$9:$F$3622,MATCH(1, (AF$6=$D$9:$D$3622) * ($AB44=$E$9:$E$3622) * ($Z44=$C$9:$C$3622),0))</f>
        <v>296.3</v>
      </c>
      <c r="AG44" s="36" cm="1">
        <f t="array" ref="AG44">INDEX($F$9:$F$3622,MATCH(1, (AG$6=$D$9:$D$3622) * ($AB44=$E$9:$E$3622) * ($Z44=$C$9:$C$3622),0))</f>
        <v>309.38</v>
      </c>
      <c r="AH44" s="36" cm="1">
        <f t="array" ref="AH44">INDEX($F$9:$F$3622,MATCH(1, (AH$6=$D$9:$D$3622) * ($AB44=$E$9:$E$3622) * ($Z44=$C$9:$C$3622),0))</f>
        <v>338.73</v>
      </c>
      <c r="AI44" s="36" cm="1">
        <f t="array" ref="AI44">INDEX($F$9:$F$3622,MATCH(1, (AI$6=$D$9:$D$3622) * ($AB44=$E$9:$E$3622) * ($Z44=$C$9:$C$3622),0))</f>
        <v>336.67</v>
      </c>
      <c r="AJ44" s="36" cm="1">
        <f t="array" ref="AJ44">INDEX($F$9:$F$3622,MATCH(1, (AJ$6=$D$9:$D$3622) * ($AB44=$E$9:$E$3622) * ($Z44=$C$9:$C$3622),0))</f>
        <v>358.31</v>
      </c>
      <c r="AK44" s="36" cm="1">
        <f t="array" ref="AK44">INDEX($F$9:$F$3622,MATCH(1, (AK$6=$D$9:$D$3622) * ($AB44=$E$9:$E$3622) * ($Z44=$C$9:$C$3622),0))</f>
        <v>374.37</v>
      </c>
      <c r="AL44" s="36" cm="1">
        <f t="array" ref="AL44">INDEX($F$9:$F$3622,MATCH(1, (AL$6=$D$9:$D$3622) * ($AB44=$E$9:$E$3622) * ($Z44=$C$9:$C$3622),0))</f>
        <v>420.08</v>
      </c>
      <c r="AM44" s="36" cm="1">
        <f t="array" ref="AM44">INDEX($F$9:$F$3622,MATCH(1, (AM$6=$D$9:$D$3622) * ($AB44=$E$9:$E$3622) * ($Z44=$C$9:$C$3622),0))</f>
        <v>376.94</v>
      </c>
      <c r="AN44" s="36">
        <f t="shared" si="4"/>
        <v>352.05889402782128</v>
      </c>
      <c r="AO44" s="36">
        <f t="shared" si="5"/>
        <v>320.52173548987184</v>
      </c>
      <c r="AP44" s="36">
        <f t="shared" si="6"/>
        <v>317.82620769311228</v>
      </c>
      <c r="AQ44" s="36">
        <f t="shared" si="7"/>
        <v>339.0123452038352</v>
      </c>
      <c r="AR44" s="36">
        <f t="shared" si="8"/>
        <v>371.57543344403695</v>
      </c>
      <c r="AS44" s="36">
        <f t="shared" si="9"/>
        <v>404.84528657577971</v>
      </c>
      <c r="AT44" s="36">
        <f t="shared" si="10"/>
        <v>485.78718429924407</v>
      </c>
      <c r="AU44" s="36">
        <f t="shared" si="11"/>
        <v>590.39482594268793</v>
      </c>
      <c r="AV44" s="36">
        <f t="shared" si="12"/>
        <v>730.50108346609954</v>
      </c>
      <c r="AW44" s="36">
        <v>5</v>
      </c>
      <c r="AZ44" s="37" t="s">
        <v>143</v>
      </c>
      <c r="BA44" s="37" t="s">
        <v>114</v>
      </c>
      <c r="BB44" s="38">
        <v>1</v>
      </c>
      <c r="BC44" s="38">
        <v>0.93399186615329044</v>
      </c>
      <c r="BD44" s="38">
        <v>0.85032561014981656</v>
      </c>
      <c r="BE44" s="38">
        <v>0.84317453094156181</v>
      </c>
      <c r="BF44" s="38">
        <v>0.89938012735139594</v>
      </c>
      <c r="BG44" s="38">
        <v>0.98576811546675058</v>
      </c>
      <c r="BH44" s="38">
        <v>1.074031109926725</v>
      </c>
      <c r="BI44" s="38">
        <v>1.2887652790875048</v>
      </c>
      <c r="BJ44" s="38">
        <v>1.5662832969244123</v>
      </c>
      <c r="BK44" s="38">
        <v>1.9379770877755069</v>
      </c>
    </row>
    <row r="45" spans="3:63">
      <c r="C45" t="s">
        <v>113</v>
      </c>
      <c r="D45">
        <v>2019</v>
      </c>
      <c r="E45" t="s">
        <v>141</v>
      </c>
      <c r="F45">
        <v>232.33</v>
      </c>
      <c r="J45" s="18" t="s">
        <v>171</v>
      </c>
      <c r="K45" s="18">
        <v>2046</v>
      </c>
      <c r="L45" s="18" t="s">
        <v>174</v>
      </c>
      <c r="M45" s="18">
        <v>900.35</v>
      </c>
      <c r="P45" s="18" t="s">
        <v>171</v>
      </c>
      <c r="Q45" s="18">
        <v>2046</v>
      </c>
      <c r="R45" s="18" t="s">
        <v>175</v>
      </c>
      <c r="S45" s="18">
        <f t="shared" si="3"/>
        <v>45.017499999999998</v>
      </c>
      <c r="U45">
        <v>45.017499999999998</v>
      </c>
      <c r="Z45" s="36" t="str">
        <f t="shared" si="13"/>
        <v>ANZ</v>
      </c>
      <c r="AA45" s="36" t="s">
        <v>188</v>
      </c>
      <c r="AB45" s="36" t="str">
        <f t="shared" si="14"/>
        <v>DEMelrs</v>
      </c>
      <c r="AC45" s="36" cm="1">
        <f t="array" ref="AC45">INDEX($F$9:$F$3622,MATCH(1, (AC$6=$D$9:$D$3622) * ($AB45=$E$9:$E$3622) * ($Z45=$C$9:$C$3622),0))</f>
        <v>255.78</v>
      </c>
      <c r="AD45" s="36" cm="1">
        <f t="array" ref="AD45">INDEX($F$9:$F$3622,MATCH(1, (AD$6=$D$9:$D$3622) * ($AB45=$E$9:$E$3622) * ($Z45=$C$9:$C$3622),0))</f>
        <v>263.77</v>
      </c>
      <c r="AE45" s="36" cm="1">
        <f t="array" ref="AE45">INDEX($F$9:$F$3622,MATCH(1, (AE$6=$D$9:$D$3622) * ($AB45=$E$9:$E$3622) * ($Z45=$C$9:$C$3622),0))</f>
        <v>260.19</v>
      </c>
      <c r="AF45" s="36" cm="1">
        <f t="array" ref="AF45">INDEX($F$9:$F$3622,MATCH(1, (AF$6=$D$9:$D$3622) * ($AB45=$E$9:$E$3622) * ($Z45=$C$9:$C$3622),0))</f>
        <v>259.13</v>
      </c>
      <c r="AG45" s="36" cm="1">
        <f t="array" ref="AG45">INDEX($F$9:$F$3622,MATCH(1, (AG$6=$D$9:$D$3622) * ($AB45=$E$9:$E$3622) * ($Z45=$C$9:$C$3622),0))</f>
        <v>251.11</v>
      </c>
      <c r="AH45" s="36" cm="1">
        <f t="array" ref="AH45">INDEX($F$9:$F$3622,MATCH(1, (AH$6=$D$9:$D$3622) * ($AB45=$E$9:$E$3622) * ($Z45=$C$9:$C$3622),0))</f>
        <v>256.8</v>
      </c>
      <c r="AI45" s="36" cm="1">
        <f t="array" ref="AI45">INDEX($F$9:$F$3622,MATCH(1, (AI$6=$D$9:$D$3622) * ($AB45=$E$9:$E$3622) * ($Z45=$C$9:$C$3622),0))</f>
        <v>255.18</v>
      </c>
      <c r="AJ45" s="36" cm="1">
        <f t="array" ref="AJ45">INDEX($F$9:$F$3622,MATCH(1, (AJ$6=$D$9:$D$3622) * ($AB45=$E$9:$E$3622) * ($Z45=$C$9:$C$3622),0))</f>
        <v>260.69</v>
      </c>
      <c r="AK45" s="36" cm="1">
        <f t="array" ref="AK45">INDEX($F$9:$F$3622,MATCH(1, (AK$6=$D$9:$D$3622) * ($AB45=$E$9:$E$3622) * ($Z45=$C$9:$C$3622),0))</f>
        <v>264.5</v>
      </c>
      <c r="AL45" s="36" cm="1">
        <f t="array" ref="AL45">INDEX($F$9:$F$3622,MATCH(1, (AL$6=$D$9:$D$3622) * ($AB45=$E$9:$E$3622) * ($Z45=$C$9:$C$3622),0))</f>
        <v>265.10000000000002</v>
      </c>
      <c r="AM45" s="36" cm="1">
        <f t="array" ref="AM45">INDEX($F$9:$F$3622,MATCH(1, (AM$6=$D$9:$D$3622) * ($AB45=$E$9:$E$3622) * ($Z45=$C$9:$C$3622),0))</f>
        <v>269.43</v>
      </c>
      <c r="AN45" s="36">
        <f t="shared" si="4"/>
        <v>236.33871479636392</v>
      </c>
      <c r="AO45" s="36">
        <f t="shared" si="5"/>
        <v>191.61747166275046</v>
      </c>
      <c r="AP45" s="36">
        <f t="shared" si="6"/>
        <v>177.72951264580979</v>
      </c>
      <c r="AQ45" s="36">
        <f t="shared" si="7"/>
        <v>170.09827027886172</v>
      </c>
      <c r="AR45" s="36">
        <f t="shared" si="8"/>
        <v>167.65871842425145</v>
      </c>
      <c r="AS45" s="36">
        <f t="shared" si="9"/>
        <v>166.54218310026511</v>
      </c>
      <c r="AT45" s="36">
        <f t="shared" si="10"/>
        <v>177.0590358394378</v>
      </c>
      <c r="AU45" s="36">
        <f t="shared" si="11"/>
        <v>192.39479831974435</v>
      </c>
      <c r="AV45" s="36">
        <f t="shared" si="12"/>
        <v>214.9589254117468</v>
      </c>
      <c r="AW45" s="36">
        <v>5</v>
      </c>
      <c r="AZ45" s="37" t="s">
        <v>143</v>
      </c>
      <c r="BA45" s="37" t="s">
        <v>115</v>
      </c>
      <c r="BB45" s="38">
        <v>1</v>
      </c>
      <c r="BC45" s="38">
        <v>0.87718039860581198</v>
      </c>
      <c r="BD45" s="38">
        <v>0.7111957527474686</v>
      </c>
      <c r="BE45" s="38">
        <v>0.65965004879118805</v>
      </c>
      <c r="BF45" s="38">
        <v>0.63132639379008171</v>
      </c>
      <c r="BG45" s="38">
        <v>0.62227190151152967</v>
      </c>
      <c r="BH45" s="38">
        <v>0.61812783691595252</v>
      </c>
      <c r="BI45" s="38">
        <v>0.65716154785821101</v>
      </c>
      <c r="BJ45" s="38">
        <v>0.71408083108690323</v>
      </c>
      <c r="BK45" s="38">
        <v>0.79782847274522806</v>
      </c>
    </row>
    <row r="46" spans="3:63">
      <c r="C46" t="s">
        <v>113</v>
      </c>
      <c r="D46">
        <v>2019</v>
      </c>
      <c r="E46" t="s">
        <v>142</v>
      </c>
      <c r="F46">
        <v>314.05</v>
      </c>
      <c r="J46" s="18" t="s">
        <v>171</v>
      </c>
      <c r="K46" s="18">
        <v>2047</v>
      </c>
      <c r="L46" s="18" t="s">
        <v>174</v>
      </c>
      <c r="M46" s="18">
        <v>929.26</v>
      </c>
      <c r="P46" s="18" t="s">
        <v>171</v>
      </c>
      <c r="Q46" s="18">
        <v>2047</v>
      </c>
      <c r="R46" s="18" t="s">
        <v>175</v>
      </c>
      <c r="S46" s="18">
        <f t="shared" si="3"/>
        <v>46.463000000000001</v>
      </c>
      <c r="U46">
        <v>46.463000000000001</v>
      </c>
      <c r="Z46" s="36" t="str">
        <f t="shared" si="13"/>
        <v>BRZ</v>
      </c>
      <c r="AA46" s="36" t="s">
        <v>188</v>
      </c>
      <c r="AB46" s="36" t="str">
        <f t="shared" si="14"/>
        <v>DEMelrs</v>
      </c>
      <c r="AC46" s="36" cm="1">
        <f t="array" ref="AC46">INDEX($F$9:$F$3622,MATCH(1, (AC$6=$D$9:$D$3622) * ($AB46=$E$9:$E$3622) * ($Z46=$C$9:$C$3622),0))</f>
        <v>430.41</v>
      </c>
      <c r="AD46" s="36" cm="1">
        <f t="array" ref="AD46">INDEX($F$9:$F$3622,MATCH(1, (AD$6=$D$9:$D$3622) * ($AB46=$E$9:$E$3622) * ($Z46=$C$9:$C$3622),0))</f>
        <v>445.94</v>
      </c>
      <c r="AE46" s="36" cm="1">
        <f t="array" ref="AE46">INDEX($F$9:$F$3622,MATCH(1, (AE$6=$D$9:$D$3622) * ($AB46=$E$9:$E$3622) * ($Z46=$C$9:$C$3622),0))</f>
        <v>466.97</v>
      </c>
      <c r="AF46" s="36" cm="1">
        <f t="array" ref="AF46">INDEX($F$9:$F$3622,MATCH(1, (AF$6=$D$9:$D$3622) * ($AB46=$E$9:$E$3622) * ($Z46=$C$9:$C$3622),0))</f>
        <v>500.46</v>
      </c>
      <c r="AG46" s="36" cm="1">
        <f t="array" ref="AG46">INDEX($F$9:$F$3622,MATCH(1, (AG$6=$D$9:$D$3622) * ($AB46=$E$9:$E$3622) * ($Z46=$C$9:$C$3622),0))</f>
        <v>534.48</v>
      </c>
      <c r="AH46" s="36" cm="1">
        <f t="array" ref="AH46">INDEX($F$9:$F$3622,MATCH(1, (AH$6=$D$9:$D$3622) * ($AB46=$E$9:$E$3622) * ($Z46=$C$9:$C$3622),0))</f>
        <v>536.35</v>
      </c>
      <c r="AI46" s="36" cm="1">
        <f t="array" ref="AI46">INDEX($F$9:$F$3622,MATCH(1, (AI$6=$D$9:$D$3622) * ($AB46=$E$9:$E$3622) * ($Z46=$C$9:$C$3622),0))</f>
        <v>547.38</v>
      </c>
      <c r="AJ46" s="36" cm="1">
        <f t="array" ref="AJ46">INDEX($F$9:$F$3622,MATCH(1, (AJ$6=$D$9:$D$3622) * ($AB46=$E$9:$E$3622) * ($Z46=$C$9:$C$3622),0))</f>
        <v>551.41999999999996</v>
      </c>
      <c r="AK46" s="36" cm="1">
        <f t="array" ref="AK46">INDEX($F$9:$F$3622,MATCH(1, (AK$6=$D$9:$D$3622) * ($AB46=$E$9:$E$3622) * ($Z46=$C$9:$C$3622),0))</f>
        <v>568.48</v>
      </c>
      <c r="AL46" s="36" cm="1">
        <f t="array" ref="AL46">INDEX($F$9:$F$3622,MATCH(1, (AL$6=$D$9:$D$3622) * ($AB46=$E$9:$E$3622) * ($Z46=$C$9:$C$3622),0))</f>
        <v>575.80999999999995</v>
      </c>
      <c r="AM46" s="36" cm="1">
        <f t="array" ref="AM46">INDEX($F$9:$F$3622,MATCH(1, (AM$6=$D$9:$D$3622) * ($AB46=$E$9:$E$3622) * ($Z46=$C$9:$C$3622),0))</f>
        <v>562.9</v>
      </c>
      <c r="AN46" s="36">
        <f t="shared" si="4"/>
        <v>496.91712323443727</v>
      </c>
      <c r="AO46" s="36">
        <f t="shared" si="5"/>
        <v>400.68246973547821</v>
      </c>
      <c r="AP46" s="36">
        <f t="shared" si="6"/>
        <v>370.46811737903897</v>
      </c>
      <c r="AQ46" s="36">
        <f t="shared" si="7"/>
        <v>352.58416226193867</v>
      </c>
      <c r="AR46" s="36">
        <f t="shared" si="8"/>
        <v>345.25439814137405</v>
      </c>
      <c r="AS46" s="36">
        <f t="shared" si="9"/>
        <v>341.0175529412341</v>
      </c>
      <c r="AT46" s="36">
        <f t="shared" si="10"/>
        <v>362.55222553284676</v>
      </c>
      <c r="AU46" s="36">
        <f t="shared" si="11"/>
        <v>393.9542649211096</v>
      </c>
      <c r="AV46" s="36">
        <f t="shared" si="12"/>
        <v>440.15735450434971</v>
      </c>
      <c r="AW46" s="36">
        <v>5</v>
      </c>
      <c r="AZ46" s="37" t="s">
        <v>143</v>
      </c>
      <c r="BA46" s="37" t="s">
        <v>116</v>
      </c>
      <c r="BB46" s="38">
        <v>1</v>
      </c>
      <c r="BC46" s="38">
        <v>0.88278046408676014</v>
      </c>
      <c r="BD46" s="38">
        <v>0.71181820880347879</v>
      </c>
      <c r="BE46" s="38">
        <v>0.65814197438095401</v>
      </c>
      <c r="BF46" s="38">
        <v>0.62637086918091789</v>
      </c>
      <c r="BG46" s="38">
        <v>0.61334943709606338</v>
      </c>
      <c r="BH46" s="38">
        <v>0.60582262025445743</v>
      </c>
      <c r="BI46" s="38">
        <v>0.64407927790521724</v>
      </c>
      <c r="BJ46" s="38">
        <v>0.69986545553581381</v>
      </c>
      <c r="BK46" s="38">
        <v>0.78194591313616935</v>
      </c>
    </row>
    <row r="47" spans="3:63">
      <c r="C47" t="s">
        <v>113</v>
      </c>
      <c r="D47">
        <v>2019</v>
      </c>
      <c r="E47" t="s">
        <v>143</v>
      </c>
      <c r="F47">
        <v>525.41</v>
      </c>
      <c r="J47" s="18" t="s">
        <v>171</v>
      </c>
      <c r="K47" s="18">
        <v>2048</v>
      </c>
      <c r="L47" s="18" t="s">
        <v>174</v>
      </c>
      <c r="M47" s="18">
        <v>958.83</v>
      </c>
      <c r="P47" s="18" t="s">
        <v>171</v>
      </c>
      <c r="Q47" s="18">
        <v>2048</v>
      </c>
      <c r="R47" s="18" t="s">
        <v>175</v>
      </c>
      <c r="S47" s="18">
        <f t="shared" si="3"/>
        <v>47.941500000000005</v>
      </c>
      <c r="U47">
        <v>47.941500000000005</v>
      </c>
      <c r="Z47" s="36" t="str">
        <f t="shared" si="13"/>
        <v>CAN</v>
      </c>
      <c r="AA47" s="36" t="s">
        <v>188</v>
      </c>
      <c r="AB47" s="36" t="str">
        <f t="shared" si="14"/>
        <v>DEMelrs</v>
      </c>
      <c r="AC47" s="36" cm="1">
        <f t="array" ref="AC47">INDEX($F$9:$F$3622,MATCH(1, (AC$6=$D$9:$D$3622) * ($AB47=$E$9:$E$3622) * ($Z47=$C$9:$C$3622),0))</f>
        <v>609.96</v>
      </c>
      <c r="AD47" s="36" cm="1">
        <f t="array" ref="AD47">INDEX($F$9:$F$3622,MATCH(1, (AD$6=$D$9:$D$3622) * ($AB47=$E$9:$E$3622) * ($Z47=$C$9:$C$3622),0))</f>
        <v>642.20000000000005</v>
      </c>
      <c r="AE47" s="36" cm="1">
        <f t="array" ref="AE47">INDEX($F$9:$F$3622,MATCH(1, (AE$6=$D$9:$D$3622) * ($AB47=$E$9:$E$3622) * ($Z47=$C$9:$C$3622),0))</f>
        <v>637.37</v>
      </c>
      <c r="AF47" s="36" cm="1">
        <f t="array" ref="AF47">INDEX($F$9:$F$3622,MATCH(1, (AF$6=$D$9:$D$3622) * ($AB47=$E$9:$E$3622) * ($Z47=$C$9:$C$3622),0))</f>
        <v>668.26</v>
      </c>
      <c r="AG47" s="36" cm="1">
        <f t="array" ref="AG47">INDEX($F$9:$F$3622,MATCH(1, (AG$6=$D$9:$D$3622) * ($AB47=$E$9:$E$3622) * ($Z47=$C$9:$C$3622),0))</f>
        <v>662.94</v>
      </c>
      <c r="AH47" s="36" cm="1">
        <f t="array" ref="AH47">INDEX($F$9:$F$3622,MATCH(1, (AH$6=$D$9:$D$3622) * ($AB47=$E$9:$E$3622) * ($Z47=$C$9:$C$3622),0))</f>
        <v>649.80999999999995</v>
      </c>
      <c r="AI47" s="36" cm="1">
        <f t="array" ref="AI47">INDEX($F$9:$F$3622,MATCH(1, (AI$6=$D$9:$D$3622) * ($AB47=$E$9:$E$3622) * ($Z47=$C$9:$C$3622),0))</f>
        <v>636.97</v>
      </c>
      <c r="AJ47" s="36" cm="1">
        <f t="array" ref="AJ47">INDEX($F$9:$F$3622,MATCH(1, (AJ$6=$D$9:$D$3622) * ($AB47=$E$9:$E$3622) * ($Z47=$C$9:$C$3622),0))</f>
        <v>624.15</v>
      </c>
      <c r="AK47" s="36" cm="1">
        <f t="array" ref="AK47">INDEX($F$9:$F$3622,MATCH(1, (AK$6=$D$9:$D$3622) * ($AB47=$E$9:$E$3622) * ($Z47=$C$9:$C$3622),0))</f>
        <v>630.04</v>
      </c>
      <c r="AL47" s="36" cm="1">
        <f t="array" ref="AL47">INDEX($F$9:$F$3622,MATCH(1, (AL$6=$D$9:$D$3622) * ($AB47=$E$9:$E$3622) * ($Z47=$C$9:$C$3622),0))</f>
        <v>631.77</v>
      </c>
      <c r="AM47" s="36" cm="1">
        <f t="array" ref="AM47">INDEX($F$9:$F$3622,MATCH(1, (AM$6=$D$9:$D$3622) * ($AB47=$E$9:$E$3622) * ($Z47=$C$9:$C$3622),0))</f>
        <v>662.64</v>
      </c>
      <c r="AN47" s="36">
        <f t="shared" si="4"/>
        <v>619.31353952319046</v>
      </c>
      <c r="AO47" s="36">
        <f t="shared" si="5"/>
        <v>565.39803800013851</v>
      </c>
      <c r="AP47" s="36">
        <f t="shared" si="6"/>
        <v>553.66772435943096</v>
      </c>
      <c r="AQ47" s="36">
        <f t="shared" si="7"/>
        <v>576.8904248510446</v>
      </c>
      <c r="AR47" s="36">
        <f t="shared" si="8"/>
        <v>618.41389174323024</v>
      </c>
      <c r="AS47" s="36">
        <f t="shared" si="9"/>
        <v>660.19552182033817</v>
      </c>
      <c r="AT47" s="36">
        <f t="shared" si="10"/>
        <v>792.19033607802839</v>
      </c>
      <c r="AU47" s="36">
        <f t="shared" si="11"/>
        <v>962.77771563063834</v>
      </c>
      <c r="AV47" s="36">
        <f t="shared" si="12"/>
        <v>1191.2539431256293</v>
      </c>
      <c r="AW47" s="36">
        <v>5</v>
      </c>
      <c r="AZ47" s="37" t="s">
        <v>143</v>
      </c>
      <c r="BA47" s="37" t="s">
        <v>117</v>
      </c>
      <c r="BB47" s="38">
        <v>1</v>
      </c>
      <c r="BC47" s="38">
        <v>0.9346153862175397</v>
      </c>
      <c r="BD47" s="38">
        <v>0.85325069117490426</v>
      </c>
      <c r="BE47" s="38">
        <v>0.83554829826064081</v>
      </c>
      <c r="BF47" s="38">
        <v>0.87059402518870677</v>
      </c>
      <c r="BG47" s="38">
        <v>0.93325771420866566</v>
      </c>
      <c r="BH47" s="38">
        <v>0.99631100117762006</v>
      </c>
      <c r="BI47" s="38">
        <v>1.1955063625468254</v>
      </c>
      <c r="BJ47" s="38">
        <v>1.4529423452110322</v>
      </c>
      <c r="BK47" s="38">
        <v>1.7977392598177433</v>
      </c>
    </row>
    <row r="48" spans="3:63">
      <c r="C48" t="s">
        <v>113</v>
      </c>
      <c r="D48">
        <v>2019</v>
      </c>
      <c r="E48" t="s">
        <v>144</v>
      </c>
      <c r="F48">
        <v>10.119999999999999</v>
      </c>
      <c r="J48" s="18" t="s">
        <v>171</v>
      </c>
      <c r="K48" s="18">
        <v>2049</v>
      </c>
      <c r="L48" s="18" t="s">
        <v>174</v>
      </c>
      <c r="M48" s="18">
        <v>989.28</v>
      </c>
      <c r="P48" s="18" t="s">
        <v>171</v>
      </c>
      <c r="Q48" s="18">
        <v>2049</v>
      </c>
      <c r="R48" s="18" t="s">
        <v>175</v>
      </c>
      <c r="S48" s="18">
        <f t="shared" si="3"/>
        <v>49.463999999999999</v>
      </c>
      <c r="U48">
        <v>49.463999999999999</v>
      </c>
      <c r="Z48" s="36" t="str">
        <f t="shared" si="13"/>
        <v>CHI</v>
      </c>
      <c r="AA48" s="36" t="s">
        <v>188</v>
      </c>
      <c r="AB48" s="36" t="str">
        <f t="shared" si="14"/>
        <v>DEMelrs</v>
      </c>
      <c r="AC48" s="36" cm="1">
        <f t="array" ref="AC48">INDEX($F$9:$F$3622,MATCH(1, (AC$6=$D$9:$D$3622) * ($AB48=$E$9:$E$3622) * ($Z48=$C$9:$C$3622),0))</f>
        <v>1794.69</v>
      </c>
      <c r="AD48" s="36" cm="1">
        <f t="array" ref="AD48">INDEX($F$9:$F$3622,MATCH(1, (AD$6=$D$9:$D$3622) * ($AB48=$E$9:$E$3622) * ($Z48=$C$9:$C$3622),0))</f>
        <v>1970.41</v>
      </c>
      <c r="AE48" s="36" cm="1">
        <f t="array" ref="AE48">INDEX($F$9:$F$3622,MATCH(1, (AE$6=$D$9:$D$3622) * ($AB48=$E$9:$E$3622) * ($Z48=$C$9:$C$3622),0))</f>
        <v>2196.9299999999998</v>
      </c>
      <c r="AF48" s="36" cm="1">
        <f t="array" ref="AF48">INDEX($F$9:$F$3622,MATCH(1, (AF$6=$D$9:$D$3622) * ($AB48=$E$9:$E$3622) * ($Z48=$C$9:$C$3622),0))</f>
        <v>2488.2800000000002</v>
      </c>
      <c r="AG48" s="36" cm="1">
        <f t="array" ref="AG48">INDEX($F$9:$F$3622,MATCH(1, (AG$6=$D$9:$D$3622) * ($AB48=$E$9:$E$3622) * ($Z48=$C$9:$C$3622),0))</f>
        <v>2576.84</v>
      </c>
      <c r="AH48" s="36" cm="1">
        <f t="array" ref="AH48">INDEX($F$9:$F$3622,MATCH(1, (AH$6=$D$9:$D$3622) * ($AB48=$E$9:$E$3622) * ($Z48=$C$9:$C$3622),0))</f>
        <v>2745.08</v>
      </c>
      <c r="AI48" s="36" cm="1">
        <f t="array" ref="AI48">INDEX($F$9:$F$3622,MATCH(1, (AI$6=$D$9:$D$3622) * ($AB48=$E$9:$E$3622) * ($Z48=$C$9:$C$3622),0))</f>
        <v>3107.53</v>
      </c>
      <c r="AJ48" s="36" cm="1">
        <f t="array" ref="AJ48">INDEX($F$9:$F$3622,MATCH(1, (AJ$6=$D$9:$D$3622) * ($AB48=$E$9:$E$3622) * ($Z48=$C$9:$C$3622),0))</f>
        <v>3435.27</v>
      </c>
      <c r="AK48" s="36" cm="1">
        <f t="array" ref="AK48">INDEX($F$9:$F$3622,MATCH(1, (AK$6=$D$9:$D$3622) * ($AB48=$E$9:$E$3622) * ($Z48=$C$9:$C$3622),0))</f>
        <v>3748.63</v>
      </c>
      <c r="AL48" s="36" cm="1">
        <f t="array" ref="AL48">INDEX($F$9:$F$3622,MATCH(1, (AL$6=$D$9:$D$3622) * ($AB48=$E$9:$E$3622) * ($Z48=$C$9:$C$3622),0))</f>
        <v>3940.78</v>
      </c>
      <c r="AM48" s="36" cm="1">
        <f t="array" ref="AM48">INDEX($F$9:$F$3622,MATCH(1, (AM$6=$D$9:$D$3622) * ($AB48=$E$9:$E$3622) * ($Z48=$C$9:$C$3622),0))</f>
        <v>4021.24</v>
      </c>
      <c r="AN48" s="36">
        <f t="shared" si="4"/>
        <v>3730.0661081024832</v>
      </c>
      <c r="AO48" s="36">
        <f t="shared" si="5"/>
        <v>3090.8474039244666</v>
      </c>
      <c r="AP48" s="36">
        <f t="shared" si="6"/>
        <v>2928.6003711352614</v>
      </c>
      <c r="AQ48" s="36">
        <f t="shared" si="7"/>
        <v>2853.5353490891771</v>
      </c>
      <c r="AR48" s="36">
        <f t="shared" si="8"/>
        <v>2861.4571849584536</v>
      </c>
      <c r="AS48" s="36">
        <f t="shared" si="9"/>
        <v>2891.7968507699479</v>
      </c>
      <c r="AT48" s="36">
        <f t="shared" si="10"/>
        <v>3074.4088537172256</v>
      </c>
      <c r="AU48" s="36">
        <f t="shared" si="11"/>
        <v>3340.695201230787</v>
      </c>
      <c r="AV48" s="36">
        <f t="shared" si="12"/>
        <v>3732.493065593746</v>
      </c>
      <c r="AW48" s="36">
        <v>5</v>
      </c>
      <c r="AZ48" s="37" t="s">
        <v>143</v>
      </c>
      <c r="BA48" s="37" t="s">
        <v>118</v>
      </c>
      <c r="BB48" s="38">
        <v>1</v>
      </c>
      <c r="BC48" s="38">
        <v>0.92759101871623761</v>
      </c>
      <c r="BD48" s="38">
        <v>0.76863042343268906</v>
      </c>
      <c r="BE48" s="38">
        <v>0.72828291052890692</v>
      </c>
      <c r="BF48" s="38">
        <v>0.70961577749380222</v>
      </c>
      <c r="BG48" s="38">
        <v>0.71158577577027327</v>
      </c>
      <c r="BH48" s="38">
        <v>0.71913062905221969</v>
      </c>
      <c r="BI48" s="38">
        <v>0.76454249279257791</v>
      </c>
      <c r="BJ48" s="38">
        <v>0.83076245168922702</v>
      </c>
      <c r="BK48" s="38">
        <v>0.92819455332030576</v>
      </c>
    </row>
    <row r="49" spans="3:63">
      <c r="C49" t="s">
        <v>113</v>
      </c>
      <c r="D49">
        <v>2020</v>
      </c>
      <c r="E49" t="s">
        <v>145</v>
      </c>
      <c r="F49">
        <v>0.01</v>
      </c>
      <c r="J49" s="18" t="s">
        <v>171</v>
      </c>
      <c r="K49" s="18">
        <v>2050</v>
      </c>
      <c r="L49" s="18" t="s">
        <v>174</v>
      </c>
      <c r="M49" s="18">
        <v>1021.11</v>
      </c>
      <c r="P49" s="18" t="s">
        <v>171</v>
      </c>
      <c r="Q49" s="18">
        <v>2050</v>
      </c>
      <c r="R49" s="18" t="s">
        <v>175</v>
      </c>
      <c r="S49" s="18">
        <f t="shared" si="3"/>
        <v>51.055500000000002</v>
      </c>
      <c r="U49">
        <v>51.055500000000002</v>
      </c>
      <c r="Z49" s="36" t="str">
        <f t="shared" si="13"/>
        <v>CSA</v>
      </c>
      <c r="AA49" s="36" t="s">
        <v>188</v>
      </c>
      <c r="AB49" s="36" t="str">
        <f t="shared" si="14"/>
        <v>DEMelrs</v>
      </c>
      <c r="AC49" s="36" cm="1">
        <f t="array" ref="AC49">INDEX($F$9:$F$3622,MATCH(1, (AC$6=$D$9:$D$3622) * ($AB49=$E$9:$E$3622) * ($Z49=$C$9:$C$3622),0))</f>
        <v>425.01</v>
      </c>
      <c r="AD49" s="36" cm="1">
        <f t="array" ref="AD49">INDEX($F$9:$F$3622,MATCH(1, (AD$6=$D$9:$D$3622) * ($AB49=$E$9:$E$3622) * ($Z49=$C$9:$C$3622),0))</f>
        <v>438.37</v>
      </c>
      <c r="AE49" s="36" cm="1">
        <f t="array" ref="AE49">INDEX($F$9:$F$3622,MATCH(1, (AE$6=$D$9:$D$3622) * ($AB49=$E$9:$E$3622) * ($Z49=$C$9:$C$3622),0))</f>
        <v>461.24</v>
      </c>
      <c r="AF49" s="36" cm="1">
        <f t="array" ref="AF49">INDEX($F$9:$F$3622,MATCH(1, (AF$6=$D$9:$D$3622) * ($AB49=$E$9:$E$3622) * ($Z49=$C$9:$C$3622),0))</f>
        <v>457.31</v>
      </c>
      <c r="AG49" s="36" cm="1">
        <f t="array" ref="AG49">INDEX($F$9:$F$3622,MATCH(1, (AG$6=$D$9:$D$3622) * ($AB49=$E$9:$E$3622) * ($Z49=$C$9:$C$3622),0))</f>
        <v>457.74</v>
      </c>
      <c r="AH49" s="36" cm="1">
        <f t="array" ref="AH49">INDEX($F$9:$F$3622,MATCH(1, (AH$6=$D$9:$D$3622) * ($AB49=$E$9:$E$3622) * ($Z49=$C$9:$C$3622),0))</f>
        <v>497.9</v>
      </c>
      <c r="AI49" s="36" cm="1">
        <f t="array" ref="AI49">INDEX($F$9:$F$3622,MATCH(1, (AI$6=$D$9:$D$3622) * ($AB49=$E$9:$E$3622) * ($Z49=$C$9:$C$3622),0))</f>
        <v>502.69</v>
      </c>
      <c r="AJ49" s="36" cm="1">
        <f t="array" ref="AJ49">INDEX($F$9:$F$3622,MATCH(1, (AJ$6=$D$9:$D$3622) * ($AB49=$E$9:$E$3622) * ($Z49=$C$9:$C$3622),0))</f>
        <v>496.89</v>
      </c>
      <c r="AK49" s="36" cm="1">
        <f t="array" ref="AK49">INDEX($F$9:$F$3622,MATCH(1, (AK$6=$D$9:$D$3622) * ($AB49=$E$9:$E$3622) * ($Z49=$C$9:$C$3622),0))</f>
        <v>508.63</v>
      </c>
      <c r="AL49" s="36" cm="1">
        <f t="array" ref="AL49">INDEX($F$9:$F$3622,MATCH(1, (AL$6=$D$9:$D$3622) * ($AB49=$E$9:$E$3622) * ($Z49=$C$9:$C$3622),0))</f>
        <v>485.87</v>
      </c>
      <c r="AM49" s="36" cm="1">
        <f t="array" ref="AM49">INDEX($F$9:$F$3622,MATCH(1, (AM$6=$D$9:$D$3622) * ($AB49=$E$9:$E$3622) * ($Z49=$C$9:$C$3622),0))</f>
        <v>448.79</v>
      </c>
      <c r="AN49" s="36">
        <f t="shared" si="4"/>
        <v>428.49447037024919</v>
      </c>
      <c r="AO49" s="36">
        <f t="shared" si="5"/>
        <v>391.16478867886985</v>
      </c>
      <c r="AP49" s="36">
        <f t="shared" si="6"/>
        <v>387.77321161354166</v>
      </c>
      <c r="AQ49" s="36">
        <f t="shared" si="7"/>
        <v>411.23995582079198</v>
      </c>
      <c r="AR49" s="36">
        <f t="shared" si="8"/>
        <v>448.94041528616299</v>
      </c>
      <c r="AS49" s="36">
        <f t="shared" si="9"/>
        <v>487.92925553489664</v>
      </c>
      <c r="AT49" s="36">
        <f t="shared" si="10"/>
        <v>585.48237325014691</v>
      </c>
      <c r="AU49" s="36">
        <f t="shared" si="11"/>
        <v>711.55801350783133</v>
      </c>
      <c r="AV49" s="36">
        <f t="shared" si="12"/>
        <v>880.41743757916004</v>
      </c>
      <c r="AW49" s="36">
        <v>5</v>
      </c>
      <c r="AZ49" s="37" t="s">
        <v>143</v>
      </c>
      <c r="BA49" s="37" t="s">
        <v>119</v>
      </c>
      <c r="BB49" s="38">
        <v>1</v>
      </c>
      <c r="BC49" s="38">
        <v>0.95477722402515464</v>
      </c>
      <c r="BD49" s="38">
        <v>0.87159871806160971</v>
      </c>
      <c r="BE49" s="38">
        <v>0.86404155977972252</v>
      </c>
      <c r="BF49" s="38">
        <v>0.91633047933508316</v>
      </c>
      <c r="BG49" s="38">
        <v>1.0003351573924619</v>
      </c>
      <c r="BH49" s="38">
        <v>1.0872106230862912</v>
      </c>
      <c r="BI49" s="38">
        <v>1.3045798107135784</v>
      </c>
      <c r="BJ49" s="38">
        <v>1.5855032721491817</v>
      </c>
      <c r="BK49" s="38">
        <v>1.9617581442972436</v>
      </c>
    </row>
    <row r="50" spans="3:63">
      <c r="C50" t="s">
        <v>113</v>
      </c>
      <c r="D50">
        <v>2020</v>
      </c>
      <c r="E50" t="s">
        <v>141</v>
      </c>
      <c r="F50">
        <v>227.12</v>
      </c>
      <c r="J50" s="18" t="s">
        <v>115</v>
      </c>
      <c r="K50" s="18">
        <v>2010</v>
      </c>
      <c r="L50" s="18" t="s">
        <v>174</v>
      </c>
      <c r="M50" s="18">
        <v>244.77</v>
      </c>
      <c r="P50" s="18" t="s">
        <v>115</v>
      </c>
      <c r="Q50" s="18">
        <v>2010</v>
      </c>
      <c r="R50" s="18" t="s">
        <v>175</v>
      </c>
      <c r="S50" s="18">
        <f t="shared" si="3"/>
        <v>0</v>
      </c>
      <c r="U50">
        <v>12.2385</v>
      </c>
      <c r="Z50" s="36" t="str">
        <f t="shared" si="13"/>
        <v>EUR</v>
      </c>
      <c r="AA50" s="36" t="s">
        <v>188</v>
      </c>
      <c r="AB50" s="36" t="str">
        <f t="shared" si="14"/>
        <v>DEMelrs</v>
      </c>
      <c r="AC50" s="36" cm="1">
        <f t="array" ref="AC50">INDEX($F$9:$F$3622,MATCH(1, (AC$6=$D$9:$D$3622) * ($AB50=$E$9:$E$3622) * ($Z50=$C$9:$C$3622),0))</f>
        <v>3312.45</v>
      </c>
      <c r="AD50" s="36" cm="1">
        <f t="array" ref="AD50">INDEX($F$9:$F$3622,MATCH(1, (AD$6=$D$9:$D$3622) * ($AB50=$E$9:$E$3622) * ($Z50=$C$9:$C$3622),0))</f>
        <v>3191.33</v>
      </c>
      <c r="AE50" s="36" cm="1">
        <f t="array" ref="AE50">INDEX($F$9:$F$3622,MATCH(1, (AE$6=$D$9:$D$3622) * ($AB50=$E$9:$E$3622) * ($Z50=$C$9:$C$3622),0))</f>
        <v>3265.46</v>
      </c>
      <c r="AF50" s="36" cm="1">
        <f t="array" ref="AF50">INDEX($F$9:$F$3622,MATCH(1, (AF$6=$D$9:$D$3622) * ($AB50=$E$9:$E$3622) * ($Z50=$C$9:$C$3622),0))</f>
        <v>3250.23</v>
      </c>
      <c r="AG50" s="36" cm="1">
        <f t="array" ref="AG50">INDEX($F$9:$F$3622,MATCH(1, (AG$6=$D$9:$D$3622) * ($AB50=$E$9:$E$3622) * ($Z50=$C$9:$C$3622),0))</f>
        <v>3126.13</v>
      </c>
      <c r="AH50" s="36" cm="1">
        <f t="array" ref="AH50">INDEX($F$9:$F$3622,MATCH(1, (AH$6=$D$9:$D$3622) * ($AB50=$E$9:$E$3622) * ($Z50=$C$9:$C$3622),0))</f>
        <v>3201.31</v>
      </c>
      <c r="AI50" s="36" cm="1">
        <f t="array" ref="AI50">INDEX($F$9:$F$3622,MATCH(1, (AI$6=$D$9:$D$3622) * ($AB50=$E$9:$E$3622) * ($Z50=$C$9:$C$3622),0))</f>
        <v>3260.24</v>
      </c>
      <c r="AJ50" s="36" cm="1">
        <f t="array" ref="AJ50">INDEX($F$9:$F$3622,MATCH(1, (AJ$6=$D$9:$D$3622) * ($AB50=$E$9:$E$3622) * ($Z50=$C$9:$C$3622),0))</f>
        <v>3284.95</v>
      </c>
      <c r="AK50" s="36" cm="1">
        <f t="array" ref="AK50">INDEX($F$9:$F$3622,MATCH(1, (AK$6=$D$9:$D$3622) * ($AB50=$E$9:$E$3622) * ($Z50=$C$9:$C$3622),0))</f>
        <v>3299.57</v>
      </c>
      <c r="AL50" s="36" cm="1">
        <f t="array" ref="AL50">INDEX($F$9:$F$3622,MATCH(1, (AL$6=$D$9:$D$3622) * ($AB50=$E$9:$E$3622) * ($Z50=$C$9:$C$3622),0))</f>
        <v>3314.06</v>
      </c>
      <c r="AM50" s="36" cm="1">
        <f t="array" ref="AM50">INDEX($F$9:$F$3622,MATCH(1, (AM$6=$D$9:$D$3622) * ($AB50=$E$9:$E$3622) * ($Z50=$C$9:$C$3622),0))</f>
        <v>3251.51</v>
      </c>
      <c r="AN50" s="36">
        <f t="shared" si="4"/>
        <v>3027.7576051148626</v>
      </c>
      <c r="AO50" s="36">
        <f t="shared" si="5"/>
        <v>2776.8028129238228</v>
      </c>
      <c r="AP50" s="36">
        <f t="shared" si="6"/>
        <v>2707.9290849090212</v>
      </c>
      <c r="AQ50" s="36">
        <f t="shared" si="7"/>
        <v>2821.8603435286432</v>
      </c>
      <c r="AR50" s="36">
        <f t="shared" si="8"/>
        <v>3018.6303264532266</v>
      </c>
      <c r="AS50" s="36">
        <f t="shared" si="9"/>
        <v>3211.2846962716135</v>
      </c>
      <c r="AT50" s="36">
        <f t="shared" si="10"/>
        <v>3853.3262021639848</v>
      </c>
      <c r="AU50" s="36">
        <f t="shared" si="11"/>
        <v>4683.0874217250148</v>
      </c>
      <c r="AV50" s="36">
        <f t="shared" si="12"/>
        <v>5794.4282117890261</v>
      </c>
      <c r="AW50" s="36">
        <v>5</v>
      </c>
      <c r="AZ50" s="37" t="s">
        <v>143</v>
      </c>
      <c r="BA50" s="37" t="s">
        <v>120</v>
      </c>
      <c r="BB50" s="38">
        <v>1</v>
      </c>
      <c r="BC50" s="38">
        <v>0.93118508173582815</v>
      </c>
      <c r="BD50" s="38">
        <v>0.8540040820799637</v>
      </c>
      <c r="BE50" s="38">
        <v>0.83282200728554456</v>
      </c>
      <c r="BF50" s="38">
        <v>0.86786149928145473</v>
      </c>
      <c r="BG50" s="38">
        <v>0.92837799251831499</v>
      </c>
      <c r="BH50" s="38">
        <v>0.98762873134993068</v>
      </c>
      <c r="BI50" s="38">
        <v>1.1850882212153691</v>
      </c>
      <c r="BJ50" s="38">
        <v>1.4402807992978692</v>
      </c>
      <c r="BK50" s="38">
        <v>1.7820730097059598</v>
      </c>
    </row>
    <row r="51" spans="3:63">
      <c r="C51" t="s">
        <v>113</v>
      </c>
      <c r="D51">
        <v>2020</v>
      </c>
      <c r="E51" t="s">
        <v>142</v>
      </c>
      <c r="F51">
        <v>296.69</v>
      </c>
      <c r="J51" s="18" t="s">
        <v>115</v>
      </c>
      <c r="K51" s="18">
        <v>2011</v>
      </c>
      <c r="L51" s="18" t="s">
        <v>174</v>
      </c>
      <c r="M51" s="18">
        <v>247.23</v>
      </c>
      <c r="P51" s="18" t="s">
        <v>115</v>
      </c>
      <c r="Q51" s="18">
        <v>2011</v>
      </c>
      <c r="R51" s="18" t="s">
        <v>175</v>
      </c>
      <c r="S51" s="18">
        <f t="shared" si="3"/>
        <v>0</v>
      </c>
      <c r="U51">
        <v>12.361499999999999</v>
      </c>
      <c r="Z51" s="36" t="str">
        <f t="shared" si="13"/>
        <v>IND</v>
      </c>
      <c r="AA51" s="36" t="s">
        <v>188</v>
      </c>
      <c r="AB51" s="36" t="str">
        <f t="shared" si="14"/>
        <v>DEMelrs</v>
      </c>
      <c r="AC51" s="36" cm="1">
        <f t="array" ref="AC51">INDEX($F$9:$F$3622,MATCH(1, (AC$6=$D$9:$D$3622) * ($AB51=$E$9:$E$3622) * ($Z51=$C$9:$C$3622),0))</f>
        <v>643.80999999999995</v>
      </c>
      <c r="AD51" s="36" cm="1">
        <f t="array" ref="AD51">INDEX($F$9:$F$3622,MATCH(1, (AD$6=$D$9:$D$3622) * ($AB51=$E$9:$E$3622) * ($Z51=$C$9:$C$3622),0))</f>
        <v>711.15</v>
      </c>
      <c r="AE51" s="36" cm="1">
        <f t="array" ref="AE51">INDEX($F$9:$F$3622,MATCH(1, (AE$6=$D$9:$D$3622) * ($AB51=$E$9:$E$3622) * ($Z51=$C$9:$C$3622),0))</f>
        <v>764.91</v>
      </c>
      <c r="AF51" s="36" cm="1">
        <f t="array" ref="AF51">INDEX($F$9:$F$3622,MATCH(1, (AF$6=$D$9:$D$3622) * ($AB51=$E$9:$E$3622) * ($Z51=$C$9:$C$3622),0))</f>
        <v>871.64</v>
      </c>
      <c r="AG51" s="36" cm="1">
        <f t="array" ref="AG51">INDEX($F$9:$F$3622,MATCH(1, (AG$6=$D$9:$D$3622) * ($AB51=$E$9:$E$3622) * ($Z51=$C$9:$C$3622),0))</f>
        <v>965.15</v>
      </c>
      <c r="AH51" s="36" cm="1">
        <f t="array" ref="AH51">INDEX($F$9:$F$3622,MATCH(1, (AH$6=$D$9:$D$3622) * ($AB51=$E$9:$E$3622) * ($Z51=$C$9:$C$3622),0))</f>
        <v>1071.3599999999999</v>
      </c>
      <c r="AI51" s="36" cm="1">
        <f t="array" ref="AI51">INDEX($F$9:$F$3622,MATCH(1, (AI$6=$D$9:$D$3622) * ($AB51=$E$9:$E$3622) * ($Z51=$C$9:$C$3622),0))</f>
        <v>1192.04</v>
      </c>
      <c r="AJ51" s="36" cm="1">
        <f t="array" ref="AJ51">INDEX($F$9:$F$3622,MATCH(1, (AJ$6=$D$9:$D$3622) * ($AB51=$E$9:$E$3622) * ($Z51=$C$9:$C$3622),0))</f>
        <v>1253.8599999999999</v>
      </c>
      <c r="AK51" s="36" cm="1">
        <f t="array" ref="AK51">INDEX($F$9:$F$3622,MATCH(1, (AK$6=$D$9:$D$3622) * ($AB51=$E$9:$E$3622) * ($Z51=$C$9:$C$3622),0))</f>
        <v>1311.75</v>
      </c>
      <c r="AL51" s="36" cm="1">
        <f t="array" ref="AL51">INDEX($F$9:$F$3622,MATCH(1, (AL$6=$D$9:$D$3622) * ($AB51=$E$9:$E$3622) * ($Z51=$C$9:$C$3622),0))</f>
        <v>1359.4</v>
      </c>
      <c r="AM51" s="36" cm="1">
        <f t="array" ref="AM51">INDEX($F$9:$F$3622,MATCH(1, (AM$6=$D$9:$D$3622) * ($AB51=$E$9:$E$3622) * ($Z51=$C$9:$C$3622),0))</f>
        <v>1277.06</v>
      </c>
      <c r="AN51" s="36">
        <f t="shared" si="4"/>
        <v>1259.360869559923</v>
      </c>
      <c r="AO51" s="36">
        <f t="shared" si="5"/>
        <v>1169.7602291822852</v>
      </c>
      <c r="AP51" s="36">
        <f t="shared" si="6"/>
        <v>1191.8358459103083</v>
      </c>
      <c r="AQ51" s="36">
        <f t="shared" si="7"/>
        <v>1314.1614685864954</v>
      </c>
      <c r="AR51" s="36">
        <f t="shared" si="8"/>
        <v>1487.704719696113</v>
      </c>
      <c r="AS51" s="36">
        <f t="shared" si="9"/>
        <v>1674.7323507620729</v>
      </c>
      <c r="AT51" s="36">
        <f t="shared" si="10"/>
        <v>2009.5664692375685</v>
      </c>
      <c r="AU51" s="36">
        <f t="shared" si="11"/>
        <v>2442.299188145998</v>
      </c>
      <c r="AV51" s="36">
        <f t="shared" si="12"/>
        <v>3021.8798077038318</v>
      </c>
      <c r="AW51" s="36">
        <v>5</v>
      </c>
      <c r="AZ51" s="37" t="s">
        <v>143</v>
      </c>
      <c r="BA51" s="37" t="s">
        <v>121</v>
      </c>
      <c r="BB51" s="38">
        <v>1</v>
      </c>
      <c r="BC51" s="38">
        <v>0.9861407213129556</v>
      </c>
      <c r="BD51" s="38">
        <v>0.91597906847155597</v>
      </c>
      <c r="BE51" s="38">
        <v>0.93326534846468323</v>
      </c>
      <c r="BF51" s="38">
        <v>1.0290522517238778</v>
      </c>
      <c r="BG51" s="38">
        <v>1.1649450454137731</v>
      </c>
      <c r="BH51" s="38">
        <v>1.3113967634739738</v>
      </c>
      <c r="BI51" s="38">
        <v>1.5735881393494187</v>
      </c>
      <c r="BJ51" s="38">
        <v>1.9124388737772682</v>
      </c>
      <c r="BK51" s="38">
        <v>2.3662786460337273</v>
      </c>
    </row>
    <row r="52" spans="3:63">
      <c r="C52" t="s">
        <v>113</v>
      </c>
      <c r="D52">
        <v>2020</v>
      </c>
      <c r="E52" t="s">
        <v>143</v>
      </c>
      <c r="F52">
        <v>471.46</v>
      </c>
      <c r="J52" s="18" t="s">
        <v>115</v>
      </c>
      <c r="K52" s="18">
        <v>2012</v>
      </c>
      <c r="L52" s="18" t="s">
        <v>174</v>
      </c>
      <c r="M52" s="18">
        <v>247.19</v>
      </c>
      <c r="P52" s="18" t="s">
        <v>115</v>
      </c>
      <c r="Q52" s="18">
        <v>2012</v>
      </c>
      <c r="R52" s="18" t="s">
        <v>175</v>
      </c>
      <c r="S52" s="18">
        <f t="shared" si="3"/>
        <v>0</v>
      </c>
      <c r="U52">
        <v>12.359500000000001</v>
      </c>
      <c r="Z52" s="36" t="str">
        <f t="shared" si="13"/>
        <v>JPN</v>
      </c>
      <c r="AA52" s="36" t="s">
        <v>188</v>
      </c>
      <c r="AB52" s="36" t="str">
        <f t="shared" si="14"/>
        <v>DEMelrs</v>
      </c>
      <c r="AC52" s="36" cm="1">
        <f t="array" ref="AC52">INDEX($F$9:$F$3622,MATCH(1, (AC$6=$D$9:$D$3622) * ($AB52=$E$9:$E$3622) * ($Z52=$C$9:$C$3622),0))</f>
        <v>1203.4000000000001</v>
      </c>
      <c r="AD52" s="36" cm="1">
        <f t="array" ref="AD52">INDEX($F$9:$F$3622,MATCH(1, (AD$6=$D$9:$D$3622) * ($AB52=$E$9:$E$3622) * ($Z52=$C$9:$C$3622),0))</f>
        <v>1205.47</v>
      </c>
      <c r="AE52" s="36" cm="1">
        <f t="array" ref="AE52">INDEX($F$9:$F$3622,MATCH(1, (AE$6=$D$9:$D$3622) * ($AB52=$E$9:$E$3622) * ($Z52=$C$9:$C$3622),0))</f>
        <v>1159.8599999999999</v>
      </c>
      <c r="AF52" s="36" cm="1">
        <f t="array" ref="AF52">INDEX($F$9:$F$3622,MATCH(1, (AF$6=$D$9:$D$3622) * ($AB52=$E$9:$E$3622) * ($Z52=$C$9:$C$3622),0))</f>
        <v>1163.69</v>
      </c>
      <c r="AG52" s="36" cm="1">
        <f t="array" ref="AG52">INDEX($F$9:$F$3622,MATCH(1, (AG$6=$D$9:$D$3622) * ($AB52=$E$9:$E$3622) * ($Z52=$C$9:$C$3622),0))</f>
        <v>1120.4000000000001</v>
      </c>
      <c r="AH52" s="36" cm="1">
        <f t="array" ref="AH52">INDEX($F$9:$F$3622,MATCH(1, (AH$6=$D$9:$D$3622) * ($AB52=$E$9:$E$3622) * ($Z52=$C$9:$C$3622),0))</f>
        <v>1143.19</v>
      </c>
      <c r="AI52" s="36" cm="1">
        <f t="array" ref="AI52">INDEX($F$9:$F$3622,MATCH(1, (AI$6=$D$9:$D$3622) * ($AB52=$E$9:$E$3622) * ($Z52=$C$9:$C$3622),0))</f>
        <v>1015.14</v>
      </c>
      <c r="AJ52" s="36" cm="1">
        <f t="array" ref="AJ52">INDEX($F$9:$F$3622,MATCH(1, (AJ$6=$D$9:$D$3622) * ($AB52=$E$9:$E$3622) * ($Z52=$C$9:$C$3622),0))</f>
        <v>1025.73</v>
      </c>
      <c r="AK52" s="36" cm="1">
        <f t="array" ref="AK52">INDEX($F$9:$F$3622,MATCH(1, (AK$6=$D$9:$D$3622) * ($AB52=$E$9:$E$3622) * ($Z52=$C$9:$C$3622),0))</f>
        <v>1003.24</v>
      </c>
      <c r="AL52" s="36" cm="1">
        <f t="array" ref="AL52">INDEX($F$9:$F$3622,MATCH(1, (AL$6=$D$9:$D$3622) * ($AB52=$E$9:$E$3622) * ($Z52=$C$9:$C$3622),0))</f>
        <v>1008.01</v>
      </c>
      <c r="AM52" s="36" cm="1">
        <f t="array" ref="AM52">INDEX($F$9:$F$3622,MATCH(1, (AM$6=$D$9:$D$3622) * ($AB52=$E$9:$E$3622) * ($Z52=$C$9:$C$3622),0))</f>
        <v>1017.28</v>
      </c>
      <c r="AN52" s="36">
        <f t="shared" si="4"/>
        <v>933.57396283375112</v>
      </c>
      <c r="AO52" s="36">
        <f t="shared" si="5"/>
        <v>837.01451861438079</v>
      </c>
      <c r="AP52" s="36">
        <f t="shared" si="6"/>
        <v>808.31147081698202</v>
      </c>
      <c r="AQ52" s="36">
        <f t="shared" si="7"/>
        <v>837.31357835545873</v>
      </c>
      <c r="AR52" s="36">
        <f t="shared" si="8"/>
        <v>890.98288695302369</v>
      </c>
      <c r="AS52" s="36">
        <f t="shared" si="9"/>
        <v>942.20275490773724</v>
      </c>
      <c r="AT52" s="36">
        <f t="shared" si="10"/>
        <v>1130.5800969475918</v>
      </c>
      <c r="AU52" s="36">
        <f t="shared" si="11"/>
        <v>1374.0350942244452</v>
      </c>
      <c r="AV52" s="36">
        <f t="shared" si="12"/>
        <v>1700.1065743567945</v>
      </c>
      <c r="AW52" s="36">
        <v>5</v>
      </c>
      <c r="AZ52" s="37" t="s">
        <v>143</v>
      </c>
      <c r="BA52" s="37" t="s">
        <v>122</v>
      </c>
      <c r="BB52" s="38">
        <v>1</v>
      </c>
      <c r="BC52" s="38">
        <v>0.9177158332354427</v>
      </c>
      <c r="BD52" s="38">
        <v>0.82279659347906264</v>
      </c>
      <c r="BE52" s="38">
        <v>0.79458110924915659</v>
      </c>
      <c r="BF52" s="38">
        <v>0.82309057324970392</v>
      </c>
      <c r="BG52" s="38">
        <v>0.87584822954646091</v>
      </c>
      <c r="BH52" s="38">
        <v>0.92619805255950893</v>
      </c>
      <c r="BI52" s="38">
        <v>1.1113755278267456</v>
      </c>
      <c r="BJ52" s="38">
        <v>1.3506950831869744</v>
      </c>
      <c r="BK52" s="38">
        <v>1.6712277586866886</v>
      </c>
    </row>
    <row r="53" spans="3:63">
      <c r="C53" t="s">
        <v>113</v>
      </c>
      <c r="D53">
        <v>2020</v>
      </c>
      <c r="E53" t="s">
        <v>144</v>
      </c>
      <c r="F53">
        <v>9.75</v>
      </c>
      <c r="J53" s="18" t="s">
        <v>115</v>
      </c>
      <c r="K53" s="18">
        <v>2013</v>
      </c>
      <c r="L53" s="18" t="s">
        <v>174</v>
      </c>
      <c r="M53" s="18">
        <v>257.23</v>
      </c>
      <c r="P53" s="18" t="s">
        <v>115</v>
      </c>
      <c r="Q53" s="18">
        <v>2013</v>
      </c>
      <c r="R53" s="18" t="s">
        <v>175</v>
      </c>
      <c r="S53" s="18">
        <f t="shared" si="3"/>
        <v>0</v>
      </c>
      <c r="U53">
        <v>12.861500000000001</v>
      </c>
      <c r="Z53" s="36" t="str">
        <f t="shared" si="13"/>
        <v>MID</v>
      </c>
      <c r="AA53" s="36" t="s">
        <v>188</v>
      </c>
      <c r="AB53" s="36" t="str">
        <f t="shared" si="14"/>
        <v>DEMelrs</v>
      </c>
      <c r="AC53" s="36" cm="1">
        <f t="array" ref="AC53">INDEX($F$9:$F$3622,MATCH(1, (AC$6=$D$9:$D$3622) * ($AB53=$E$9:$E$3622) * ($Z53=$C$9:$C$3622),0))</f>
        <v>1192.1500000000001</v>
      </c>
      <c r="AD53" s="36" cm="1">
        <f t="array" ref="AD53">INDEX($F$9:$F$3622,MATCH(1, (AD$6=$D$9:$D$3622) * ($AB53=$E$9:$E$3622) * ($Z53=$C$9:$C$3622),0))</f>
        <v>1189.17</v>
      </c>
      <c r="AE53" s="36" cm="1">
        <f t="array" ref="AE53">INDEX($F$9:$F$3622,MATCH(1, (AE$6=$D$9:$D$3622) * ($AB53=$E$9:$E$3622) * ($Z53=$C$9:$C$3622),0))</f>
        <v>1273.48</v>
      </c>
      <c r="AF53" s="36" cm="1">
        <f t="array" ref="AF53">INDEX($F$9:$F$3622,MATCH(1, (AF$6=$D$9:$D$3622) * ($AB53=$E$9:$E$3622) * ($Z53=$C$9:$C$3622),0))</f>
        <v>1327.19</v>
      </c>
      <c r="AG53" s="36" cm="1">
        <f t="array" ref="AG53">INDEX($F$9:$F$3622,MATCH(1, (AG$6=$D$9:$D$3622) * ($AB53=$E$9:$E$3622) * ($Z53=$C$9:$C$3622),0))</f>
        <v>1392.19</v>
      </c>
      <c r="AH53" s="36" cm="1">
        <f t="array" ref="AH53">INDEX($F$9:$F$3622,MATCH(1, (AH$6=$D$9:$D$3622) * ($AB53=$E$9:$E$3622) * ($Z53=$C$9:$C$3622),0))</f>
        <v>1565.87</v>
      </c>
      <c r="AI53" s="36" cm="1">
        <f t="array" ref="AI53">INDEX($F$9:$F$3622,MATCH(1, (AI$6=$D$9:$D$3622) * ($AB53=$E$9:$E$3622) * ($Z53=$C$9:$C$3622),0))</f>
        <v>1579.35</v>
      </c>
      <c r="AJ53" s="36" cm="1">
        <f t="array" ref="AJ53">INDEX($F$9:$F$3622,MATCH(1, (AJ$6=$D$9:$D$3622) * ($AB53=$E$9:$E$3622) * ($Z53=$C$9:$C$3622),0))</f>
        <v>1644.84</v>
      </c>
      <c r="AK53" s="36" cm="1">
        <f t="array" ref="AK53">INDEX($F$9:$F$3622,MATCH(1, (AK$6=$D$9:$D$3622) * ($AB53=$E$9:$E$3622) * ($Z53=$C$9:$C$3622),0))</f>
        <v>1655.39</v>
      </c>
      <c r="AL53" s="36" cm="1">
        <f t="array" ref="AL53">INDEX($F$9:$F$3622,MATCH(1, (AL$6=$D$9:$D$3622) * ($AB53=$E$9:$E$3622) * ($Z53=$C$9:$C$3622),0))</f>
        <v>1715.28</v>
      </c>
      <c r="AM53" s="36" cm="1">
        <f t="array" ref="AM53">INDEX($F$9:$F$3622,MATCH(1, (AM$6=$D$9:$D$3622) * ($AB53=$E$9:$E$3622) * ($Z53=$C$9:$C$3622),0))</f>
        <v>1668.71</v>
      </c>
      <c r="AN53" s="36">
        <f t="shared" si="4"/>
        <v>1453.2371770599293</v>
      </c>
      <c r="AO53" s="36">
        <f t="shared" si="5"/>
        <v>1195.4019956752359</v>
      </c>
      <c r="AP53" s="36">
        <f t="shared" si="6"/>
        <v>1128.0447853579244</v>
      </c>
      <c r="AQ53" s="36">
        <f t="shared" si="7"/>
        <v>1088.9544295966889</v>
      </c>
      <c r="AR53" s="36">
        <f t="shared" si="8"/>
        <v>1077.3893811644343</v>
      </c>
      <c r="AS53" s="36">
        <f t="shared" si="9"/>
        <v>1074.2645489447575</v>
      </c>
      <c r="AT53" s="36">
        <f t="shared" si="10"/>
        <v>1142.1025095974358</v>
      </c>
      <c r="AU53" s="36">
        <f t="shared" si="11"/>
        <v>1241.0243902702182</v>
      </c>
      <c r="AV53" s="36">
        <f t="shared" si="12"/>
        <v>1386.5721509731598</v>
      </c>
      <c r="AW53" s="36">
        <v>5</v>
      </c>
      <c r="AZ53" s="37" t="s">
        <v>143</v>
      </c>
      <c r="BA53" s="37" t="s">
        <v>123</v>
      </c>
      <c r="BB53" s="38">
        <v>1</v>
      </c>
      <c r="BC53" s="38">
        <v>0.87087461395924359</v>
      </c>
      <c r="BD53" s="38">
        <v>0.71636293644505988</v>
      </c>
      <c r="BE53" s="38">
        <v>0.67599809754716178</v>
      </c>
      <c r="BF53" s="38">
        <v>0.65257260374582093</v>
      </c>
      <c r="BG53" s="38">
        <v>0.64564207151897834</v>
      </c>
      <c r="BH53" s="38">
        <v>0.64376946799908763</v>
      </c>
      <c r="BI53" s="38">
        <v>0.68442240389129072</v>
      </c>
      <c r="BJ53" s="38">
        <v>0.74370285446255979</v>
      </c>
      <c r="BK53" s="38">
        <v>0.83092457705242961</v>
      </c>
    </row>
    <row r="54" spans="3:63">
      <c r="C54" t="s">
        <v>113</v>
      </c>
      <c r="D54">
        <v>2021</v>
      </c>
      <c r="E54" t="s">
        <v>145</v>
      </c>
      <c r="F54">
        <v>0.03</v>
      </c>
      <c r="J54" s="18" t="s">
        <v>115</v>
      </c>
      <c r="K54" s="18">
        <v>2014</v>
      </c>
      <c r="L54" s="18" t="s">
        <v>174</v>
      </c>
      <c r="M54" s="18">
        <v>258.82</v>
      </c>
      <c r="P54" s="18" t="s">
        <v>115</v>
      </c>
      <c r="Q54" s="18">
        <v>2014</v>
      </c>
      <c r="R54" s="18" t="s">
        <v>175</v>
      </c>
      <c r="S54" s="18">
        <f t="shared" si="3"/>
        <v>0</v>
      </c>
      <c r="U54">
        <v>12.940999999999999</v>
      </c>
      <c r="Z54" s="36" t="str">
        <f t="shared" si="13"/>
        <v>MXC</v>
      </c>
      <c r="AA54" s="36" t="s">
        <v>188</v>
      </c>
      <c r="AB54" s="36" t="str">
        <f t="shared" si="14"/>
        <v>DEMelrs</v>
      </c>
      <c r="AC54" s="36" cm="1">
        <f t="array" ref="AC54">INDEX($F$9:$F$3622,MATCH(1, (AC$6=$D$9:$D$3622) * ($AB54=$E$9:$E$3622) * ($Z54=$C$9:$C$3622),0))</f>
        <v>278.64999999999998</v>
      </c>
      <c r="AD54" s="36" cm="1">
        <f t="array" ref="AD54">INDEX($F$9:$F$3622,MATCH(1, (AD$6=$D$9:$D$3622) * ($AB54=$E$9:$E$3622) * ($Z54=$C$9:$C$3622),0))</f>
        <v>288.27</v>
      </c>
      <c r="AE54" s="36" cm="1">
        <f t="array" ref="AE54">INDEX($F$9:$F$3622,MATCH(1, (AE$6=$D$9:$D$3622) * ($AB54=$E$9:$E$3622) * ($Z54=$C$9:$C$3622),0))</f>
        <v>291.29000000000002</v>
      </c>
      <c r="AF54" s="36" cm="1">
        <f t="array" ref="AF54">INDEX($F$9:$F$3622,MATCH(1, (AF$6=$D$9:$D$3622) * ($AB54=$E$9:$E$3622) * ($Z54=$C$9:$C$3622),0))</f>
        <v>312.48</v>
      </c>
      <c r="AG54" s="36" cm="1">
        <f t="array" ref="AG54">INDEX($F$9:$F$3622,MATCH(1, (AG$6=$D$9:$D$3622) * ($AB54=$E$9:$E$3622) * ($Z54=$C$9:$C$3622),0))</f>
        <v>319.97000000000003</v>
      </c>
      <c r="AH54" s="36" cm="1">
        <f t="array" ref="AH54">INDEX($F$9:$F$3622,MATCH(1, (AH$6=$D$9:$D$3622) * ($AB54=$E$9:$E$3622) * ($Z54=$C$9:$C$3622),0))</f>
        <v>350.67</v>
      </c>
      <c r="AI54" s="36" cm="1">
        <f t="array" ref="AI54">INDEX($F$9:$F$3622,MATCH(1, (AI$6=$D$9:$D$3622) * ($AB54=$E$9:$E$3622) * ($Z54=$C$9:$C$3622),0))</f>
        <v>376.63</v>
      </c>
      <c r="AJ54" s="36" cm="1">
        <f t="array" ref="AJ54">INDEX($F$9:$F$3622,MATCH(1, (AJ$6=$D$9:$D$3622) * ($AB54=$E$9:$E$3622) * ($Z54=$C$9:$C$3622),0))</f>
        <v>392</v>
      </c>
      <c r="AK54" s="36" cm="1">
        <f t="array" ref="AK54">INDEX($F$9:$F$3622,MATCH(1, (AK$6=$D$9:$D$3622) * ($AB54=$E$9:$E$3622) * ($Z54=$C$9:$C$3622),0))</f>
        <v>418</v>
      </c>
      <c r="AL54" s="36" cm="1">
        <f t="array" ref="AL54">INDEX($F$9:$F$3622,MATCH(1, (AL$6=$D$9:$D$3622) * ($AB54=$E$9:$E$3622) * ($Z54=$C$9:$C$3622),0))</f>
        <v>431.35</v>
      </c>
      <c r="AM54" s="36" cm="1">
        <f t="array" ref="AM54">INDEX($F$9:$F$3622,MATCH(1, (AM$6=$D$9:$D$3622) * ($AB54=$E$9:$E$3622) * ($Z54=$C$9:$C$3622),0))</f>
        <v>426.17</v>
      </c>
      <c r="AN54" s="36">
        <f t="shared" si="4"/>
        <v>383.64658633780562</v>
      </c>
      <c r="AO54" s="36">
        <f t="shared" si="5"/>
        <v>314.35086836984669</v>
      </c>
      <c r="AP54" s="36">
        <f t="shared" si="6"/>
        <v>292.65186664270811</v>
      </c>
      <c r="AQ54" s="36">
        <f t="shared" si="7"/>
        <v>279.04848154054378</v>
      </c>
      <c r="AR54" s="36">
        <f t="shared" si="8"/>
        <v>273.96767081743911</v>
      </c>
      <c r="AS54" s="36">
        <f t="shared" si="9"/>
        <v>271.43081974508164</v>
      </c>
      <c r="AT54" s="36">
        <f t="shared" si="10"/>
        <v>288.57120968709182</v>
      </c>
      <c r="AU54" s="36">
        <f t="shared" si="11"/>
        <v>313.56546942331141</v>
      </c>
      <c r="AV54" s="36">
        <f t="shared" si="12"/>
        <v>350.34053385084678</v>
      </c>
      <c r="AW54" s="36">
        <v>5</v>
      </c>
      <c r="AZ54" s="37" t="s">
        <v>143</v>
      </c>
      <c r="BA54" s="37" t="s">
        <v>50</v>
      </c>
      <c r="BB54" s="38">
        <v>1</v>
      </c>
      <c r="BC54" s="38">
        <v>0.90021959860573386</v>
      </c>
      <c r="BD54" s="38">
        <v>0.73761848175574696</v>
      </c>
      <c r="BE54" s="38">
        <v>0.68670217669640776</v>
      </c>
      <c r="BF54" s="38">
        <v>0.65478208588249709</v>
      </c>
      <c r="BG54" s="38">
        <v>0.64286005776436417</v>
      </c>
      <c r="BH54" s="38">
        <v>0.63690738377896527</v>
      </c>
      <c r="BI54" s="38">
        <v>0.67712699084189831</v>
      </c>
      <c r="BJ54" s="38">
        <v>0.73577555769601666</v>
      </c>
      <c r="BK54" s="38">
        <v>0.82206756423691663</v>
      </c>
    </row>
    <row r="55" spans="3:63">
      <c r="C55" t="s">
        <v>113</v>
      </c>
      <c r="D55">
        <v>2021</v>
      </c>
      <c r="E55" t="s">
        <v>141</v>
      </c>
      <c r="F55">
        <v>232.63</v>
      </c>
      <c r="J55" s="18" t="s">
        <v>115</v>
      </c>
      <c r="K55" s="18">
        <v>2015</v>
      </c>
      <c r="L55" s="18" t="s">
        <v>174</v>
      </c>
      <c r="M55" s="18">
        <v>274.06</v>
      </c>
      <c r="P55" s="18" t="s">
        <v>115</v>
      </c>
      <c r="Q55" s="18">
        <v>2015</v>
      </c>
      <c r="R55" s="18" t="s">
        <v>175</v>
      </c>
      <c r="S55" s="18">
        <f t="shared" si="3"/>
        <v>0</v>
      </c>
      <c r="U55">
        <v>13.702999999999999</v>
      </c>
      <c r="Z55" s="36" t="str">
        <f t="shared" si="13"/>
        <v>OAS</v>
      </c>
      <c r="AA55" s="36" t="s">
        <v>188</v>
      </c>
      <c r="AB55" s="36" t="str">
        <f t="shared" si="14"/>
        <v>DEMelrs</v>
      </c>
      <c r="AC55" s="36" cm="1">
        <f t="array" ref="AC55">INDEX($F$9:$F$3622,MATCH(1, (AC$6=$D$9:$D$3622) * ($AB55=$E$9:$E$3622) * ($Z55=$C$9:$C$3622),0))</f>
        <v>1070.52</v>
      </c>
      <c r="AD55" s="36" cm="1">
        <f t="array" ref="AD55">INDEX($F$9:$F$3622,MATCH(1, (AD$6=$D$9:$D$3622) * ($AB55=$E$9:$E$3622) * ($Z55=$C$9:$C$3622),0))</f>
        <v>1112.69</v>
      </c>
      <c r="AE55" s="36" cm="1">
        <f t="array" ref="AE55">INDEX($F$9:$F$3622,MATCH(1, (AE$6=$D$9:$D$3622) * ($AB55=$E$9:$E$3622) * ($Z55=$C$9:$C$3622),0))</f>
        <v>1192.25</v>
      </c>
      <c r="AF55" s="36" cm="1">
        <f t="array" ref="AF55">INDEX($F$9:$F$3622,MATCH(1, (AF$6=$D$9:$D$3622) * ($AB55=$E$9:$E$3622) * ($Z55=$C$9:$C$3622),0))</f>
        <v>1272.49</v>
      </c>
      <c r="AG55" s="36" cm="1">
        <f t="array" ref="AG55">INDEX($F$9:$F$3622,MATCH(1, (AG$6=$D$9:$D$3622) * ($AB55=$E$9:$E$3622) * ($Z55=$C$9:$C$3622),0))</f>
        <v>1353.28</v>
      </c>
      <c r="AH55" s="36" cm="1">
        <f t="array" ref="AH55">INDEX($F$9:$F$3622,MATCH(1, (AH$6=$D$9:$D$3622) * ($AB55=$E$9:$E$3622) * ($Z55=$C$9:$C$3622),0))</f>
        <v>1447.03</v>
      </c>
      <c r="AI55" s="36" cm="1">
        <f t="array" ref="AI55">INDEX($F$9:$F$3622,MATCH(1, (AI$6=$D$9:$D$3622) * ($AB55=$E$9:$E$3622) * ($Z55=$C$9:$C$3622),0))</f>
        <v>1580.09</v>
      </c>
      <c r="AJ55" s="36" cm="1">
        <f t="array" ref="AJ55">INDEX($F$9:$F$3622,MATCH(1, (AJ$6=$D$9:$D$3622) * ($AB55=$E$9:$E$3622) * ($Z55=$C$9:$C$3622),0))</f>
        <v>1654.16</v>
      </c>
      <c r="AK55" s="36" cm="1">
        <f t="array" ref="AK55">INDEX($F$9:$F$3622,MATCH(1, (AK$6=$D$9:$D$3622) * ($AB55=$E$9:$E$3622) * ($Z55=$C$9:$C$3622),0))</f>
        <v>1793.75</v>
      </c>
      <c r="AL55" s="36" cm="1">
        <f t="array" ref="AL55">INDEX($F$9:$F$3622,MATCH(1, (AL$6=$D$9:$D$3622) * ($AB55=$E$9:$E$3622) * ($Z55=$C$9:$C$3622),0))</f>
        <v>1824.13</v>
      </c>
      <c r="AM55" s="36" cm="1">
        <f t="array" ref="AM55">INDEX($F$9:$F$3622,MATCH(1, (AM$6=$D$9:$D$3622) * ($AB55=$E$9:$E$3622) * ($Z55=$C$9:$C$3622),0))</f>
        <v>1783.41</v>
      </c>
      <c r="AN55" s="36">
        <f t="shared" si="4"/>
        <v>1678.7854452741599</v>
      </c>
      <c r="AO55" s="36">
        <f t="shared" si="5"/>
        <v>1559.2483982491042</v>
      </c>
      <c r="AP55" s="36">
        <f t="shared" si="6"/>
        <v>1559.5360680225047</v>
      </c>
      <c r="AQ55" s="36">
        <f t="shared" si="7"/>
        <v>1672.2422938426218</v>
      </c>
      <c r="AR55" s="36">
        <f t="shared" si="8"/>
        <v>1841.3711605599958</v>
      </c>
      <c r="AS55" s="36">
        <f t="shared" si="9"/>
        <v>2017.3113108141274</v>
      </c>
      <c r="AT55" s="36">
        <f t="shared" si="10"/>
        <v>2420.6382389287769</v>
      </c>
      <c r="AU55" s="36">
        <f t="shared" si="11"/>
        <v>2941.8896544257473</v>
      </c>
      <c r="AV55" s="36">
        <f t="shared" si="12"/>
        <v>3640.027800996254</v>
      </c>
      <c r="AW55" s="36">
        <v>5</v>
      </c>
      <c r="AZ55" s="37" t="s">
        <v>143</v>
      </c>
      <c r="BA55" s="37" t="s">
        <v>124</v>
      </c>
      <c r="BB55" s="38">
        <v>1</v>
      </c>
      <c r="BC55" s="38">
        <v>0.9413345474535636</v>
      </c>
      <c r="BD55" s="38">
        <v>0.87430730917125288</v>
      </c>
      <c r="BE55" s="38">
        <v>0.8744686123900306</v>
      </c>
      <c r="BF55" s="38">
        <v>0.93766564830444021</v>
      </c>
      <c r="BG55" s="38">
        <v>1.0325001881563947</v>
      </c>
      <c r="BH55" s="38">
        <v>1.1311539751454389</v>
      </c>
      <c r="BI55" s="38">
        <v>1.3573088851855584</v>
      </c>
      <c r="BJ55" s="38">
        <v>1.6495868333281449</v>
      </c>
      <c r="BK55" s="38">
        <v>2.0410493386244632</v>
      </c>
    </row>
    <row r="56" spans="3:63">
      <c r="C56" t="s">
        <v>113</v>
      </c>
      <c r="D56">
        <v>2021</v>
      </c>
      <c r="E56" t="s">
        <v>142</v>
      </c>
      <c r="F56">
        <v>311.08</v>
      </c>
      <c r="J56" s="18" t="s">
        <v>115</v>
      </c>
      <c r="K56" s="18">
        <v>2016</v>
      </c>
      <c r="L56" s="18" t="s">
        <v>174</v>
      </c>
      <c r="M56" s="18">
        <v>274.45</v>
      </c>
      <c r="P56" s="18" t="s">
        <v>115</v>
      </c>
      <c r="Q56" s="18">
        <v>2016</v>
      </c>
      <c r="R56" s="18" t="s">
        <v>175</v>
      </c>
      <c r="S56" s="18">
        <f t="shared" si="3"/>
        <v>0</v>
      </c>
      <c r="U56">
        <v>13.7225</v>
      </c>
      <c r="Z56" s="36" t="str">
        <f t="shared" si="13"/>
        <v>RUS</v>
      </c>
      <c r="AA56" s="36" t="s">
        <v>188</v>
      </c>
      <c r="AB56" s="36" t="str">
        <f t="shared" si="14"/>
        <v>DEMelrs</v>
      </c>
      <c r="AC56" s="36" cm="1">
        <f t="array" ref="AC56">INDEX($F$9:$F$3622,MATCH(1, (AC$6=$D$9:$D$3622) * ($AB56=$E$9:$E$3622) * ($Z56=$C$9:$C$3622),0))</f>
        <v>442.76</v>
      </c>
      <c r="AD56" s="36" cm="1">
        <f t="array" ref="AD56">INDEX($F$9:$F$3622,MATCH(1, (AD$6=$D$9:$D$3622) * ($AB56=$E$9:$E$3622) * ($Z56=$C$9:$C$3622),0))</f>
        <v>453.56</v>
      </c>
      <c r="AE56" s="36" cm="1">
        <f t="array" ref="AE56">INDEX($F$9:$F$3622,MATCH(1, (AE$6=$D$9:$D$3622) * ($AB56=$E$9:$E$3622) * ($Z56=$C$9:$C$3622),0))</f>
        <v>457.01</v>
      </c>
      <c r="AF56" s="36" cm="1">
        <f t="array" ref="AF56">INDEX($F$9:$F$3622,MATCH(1, (AF$6=$D$9:$D$3622) * ($AB56=$E$9:$E$3622) * ($Z56=$C$9:$C$3622),0))</f>
        <v>481.4</v>
      </c>
      <c r="AG56" s="36" cm="1">
        <f t="array" ref="AG56">INDEX($F$9:$F$3622,MATCH(1, (AG$6=$D$9:$D$3622) * ($AB56=$E$9:$E$3622) * ($Z56=$C$9:$C$3622),0))</f>
        <v>503.57</v>
      </c>
      <c r="AH56" s="36" cm="1">
        <f t="array" ref="AH56">INDEX($F$9:$F$3622,MATCH(1, (AH$6=$D$9:$D$3622) * ($AB56=$E$9:$E$3622) * ($Z56=$C$9:$C$3622),0))</f>
        <v>518.80999999999995</v>
      </c>
      <c r="AI56" s="36" cm="1">
        <f t="array" ref="AI56">INDEX($F$9:$F$3622,MATCH(1, (AI$6=$D$9:$D$3622) * ($AB56=$E$9:$E$3622) * ($Z56=$C$9:$C$3622),0))</f>
        <v>558.14</v>
      </c>
      <c r="AJ56" s="36" cm="1">
        <f t="array" ref="AJ56">INDEX($F$9:$F$3622,MATCH(1, (AJ$6=$D$9:$D$3622) * ($AB56=$E$9:$E$3622) * ($Z56=$C$9:$C$3622),0))</f>
        <v>577.20000000000005</v>
      </c>
      <c r="AK56" s="36" cm="1">
        <f t="array" ref="AK56">INDEX($F$9:$F$3622,MATCH(1, (AK$6=$D$9:$D$3622) * ($AB56=$E$9:$E$3622) * ($Z56=$C$9:$C$3622),0))</f>
        <v>571.86</v>
      </c>
      <c r="AL56" s="36" cm="1">
        <f t="array" ref="AL56">INDEX($F$9:$F$3622,MATCH(1, (AL$6=$D$9:$D$3622) * ($AB56=$E$9:$E$3622) * ($Z56=$C$9:$C$3622),0))</f>
        <v>577.11</v>
      </c>
      <c r="AM56" s="36" cm="1">
        <f t="array" ref="AM56">INDEX($F$9:$F$3622,MATCH(1, (AM$6=$D$9:$D$3622) * ($AB56=$E$9:$E$3622) * ($Z56=$C$9:$C$3622),0))</f>
        <v>567.96</v>
      </c>
      <c r="AN56" s="36">
        <f t="shared" si="4"/>
        <v>492.86439633513919</v>
      </c>
      <c r="AO56" s="36">
        <f t="shared" si="5"/>
        <v>396.56535268978848</v>
      </c>
      <c r="AP56" s="36">
        <f t="shared" si="6"/>
        <v>366.70507365161052</v>
      </c>
      <c r="AQ56" s="36">
        <f t="shared" si="7"/>
        <v>349.69103499404531</v>
      </c>
      <c r="AR56" s="36">
        <f t="shared" si="8"/>
        <v>341.70546445680287</v>
      </c>
      <c r="AS56" s="36">
        <f t="shared" si="9"/>
        <v>335.14304318455061</v>
      </c>
      <c r="AT56" s="36">
        <f t="shared" si="10"/>
        <v>356.3067505775802</v>
      </c>
      <c r="AU56" s="36">
        <f t="shared" si="11"/>
        <v>387.16784541570166</v>
      </c>
      <c r="AV56" s="36">
        <f t="shared" si="12"/>
        <v>432.57502142146217</v>
      </c>
      <c r="AW56" s="36">
        <v>5</v>
      </c>
      <c r="AZ56" s="37" t="s">
        <v>143</v>
      </c>
      <c r="BA56" s="37" t="s">
        <v>105</v>
      </c>
      <c r="BB56" s="38">
        <v>1</v>
      </c>
      <c r="BC56" s="38">
        <v>0.86778011890826667</v>
      </c>
      <c r="BD56" s="38">
        <v>0.69822760879250023</v>
      </c>
      <c r="BE56" s="38">
        <v>0.64565299255512798</v>
      </c>
      <c r="BF56" s="38">
        <v>0.61569658953807538</v>
      </c>
      <c r="BG56" s="38">
        <v>0.60163649633214111</v>
      </c>
      <c r="BH56" s="38">
        <v>0.59008212406604443</v>
      </c>
      <c r="BI56" s="38">
        <v>0.62734479642506547</v>
      </c>
      <c r="BJ56" s="38">
        <v>0.68168153640344675</v>
      </c>
      <c r="BK56" s="38">
        <v>0.7616293778108707</v>
      </c>
    </row>
    <row r="57" spans="3:63">
      <c r="C57" t="s">
        <v>113</v>
      </c>
      <c r="D57">
        <v>2021</v>
      </c>
      <c r="E57" t="s">
        <v>143</v>
      </c>
      <c r="F57">
        <v>474.26</v>
      </c>
      <c r="J57" s="18" t="s">
        <v>115</v>
      </c>
      <c r="K57" s="18">
        <v>2017</v>
      </c>
      <c r="L57" s="18" t="s">
        <v>174</v>
      </c>
      <c r="M57" s="18">
        <v>285.41000000000003</v>
      </c>
      <c r="P57" s="18" t="s">
        <v>115</v>
      </c>
      <c r="Q57" s="18">
        <v>2017</v>
      </c>
      <c r="R57" s="18" t="s">
        <v>175</v>
      </c>
      <c r="S57" s="18">
        <f t="shared" si="3"/>
        <v>0</v>
      </c>
      <c r="U57">
        <v>14.270500000000002</v>
      </c>
      <c r="Z57" s="36" t="str">
        <f t="shared" si="13"/>
        <v>SKO</v>
      </c>
      <c r="AA57" s="36" t="s">
        <v>188</v>
      </c>
      <c r="AB57" s="36" t="str">
        <f t="shared" si="14"/>
        <v>DEMelrs</v>
      </c>
      <c r="AC57" s="36" cm="1">
        <f t="array" ref="AC57">INDEX($F$9:$F$3622,MATCH(1, (AC$6=$D$9:$D$3622) * ($AB57=$E$9:$E$3622) * ($Z57=$C$9:$C$3622),0))</f>
        <v>210.15</v>
      </c>
      <c r="AD57" s="36" cm="1">
        <f t="array" ref="AD57">INDEX($F$9:$F$3622,MATCH(1, (AD$6=$D$9:$D$3622) * ($AB57=$E$9:$E$3622) * ($Z57=$C$9:$C$3622),0))</f>
        <v>212.12</v>
      </c>
      <c r="AE57" s="36" cm="1">
        <f t="array" ref="AE57">INDEX($F$9:$F$3622,MATCH(1, (AE$6=$D$9:$D$3622) * ($AB57=$E$9:$E$3622) * ($Z57=$C$9:$C$3622),0))</f>
        <v>218.81</v>
      </c>
      <c r="AF57" s="36" cm="1">
        <f t="array" ref="AF57">INDEX($F$9:$F$3622,MATCH(1, (AF$6=$D$9:$D$3622) * ($AB57=$E$9:$E$3622) * ($Z57=$C$9:$C$3622),0))</f>
        <v>217.56</v>
      </c>
      <c r="AG57" s="36" cm="1">
        <f t="array" ref="AG57">INDEX($F$9:$F$3622,MATCH(1, (AG$6=$D$9:$D$3622) * ($AB57=$E$9:$E$3622) * ($Z57=$C$9:$C$3622),0))</f>
        <v>218.7</v>
      </c>
      <c r="AH57" s="36" cm="1">
        <f t="array" ref="AH57">INDEX($F$9:$F$3622,MATCH(1, (AH$6=$D$9:$D$3622) * ($AB57=$E$9:$E$3622) * ($Z57=$C$9:$C$3622),0))</f>
        <v>217.59</v>
      </c>
      <c r="AI57" s="36" cm="1">
        <f t="array" ref="AI57">INDEX($F$9:$F$3622,MATCH(1, (AI$6=$D$9:$D$3622) * ($AB57=$E$9:$E$3622) * ($Z57=$C$9:$C$3622),0))</f>
        <v>231.02</v>
      </c>
      <c r="AJ57" s="36" cm="1">
        <f t="array" ref="AJ57">INDEX($F$9:$F$3622,MATCH(1, (AJ$6=$D$9:$D$3622) * ($AB57=$E$9:$E$3622) * ($Z57=$C$9:$C$3622),0))</f>
        <v>221.23</v>
      </c>
      <c r="AK57" s="36" cm="1">
        <f t="array" ref="AK57">INDEX($F$9:$F$3622,MATCH(1, (AK$6=$D$9:$D$3622) * ($AB57=$E$9:$E$3622) * ($Z57=$C$9:$C$3622),0))</f>
        <v>231.73</v>
      </c>
      <c r="AL57" s="36" cm="1">
        <f t="array" ref="AL57">INDEX($F$9:$F$3622,MATCH(1, (AL$6=$D$9:$D$3622) * ($AB57=$E$9:$E$3622) * ($Z57=$C$9:$C$3622),0))</f>
        <v>233.73</v>
      </c>
      <c r="AM57" s="36" cm="1">
        <f t="array" ref="AM57">INDEX($F$9:$F$3622,MATCH(1, (AM$6=$D$9:$D$3622) * ($AB57=$E$9:$E$3622) * ($Z57=$C$9:$C$3622),0))</f>
        <v>233.56</v>
      </c>
      <c r="AN57" s="36">
        <f t="shared" si="4"/>
        <v>215.43399020847559</v>
      </c>
      <c r="AO57" s="36">
        <f t="shared" si="5"/>
        <v>194.75566519349888</v>
      </c>
      <c r="AP57" s="36">
        <f t="shared" si="6"/>
        <v>190.96136070931277</v>
      </c>
      <c r="AQ57" s="36">
        <f t="shared" si="7"/>
        <v>200.03212625339964</v>
      </c>
      <c r="AR57" s="36">
        <f t="shared" si="8"/>
        <v>215.0501607245175</v>
      </c>
      <c r="AS57" s="36">
        <f t="shared" si="9"/>
        <v>229.80175728534988</v>
      </c>
      <c r="AT57" s="36">
        <f t="shared" si="10"/>
        <v>275.74669218181111</v>
      </c>
      <c r="AU57" s="36">
        <f t="shared" si="11"/>
        <v>335.12497981969835</v>
      </c>
      <c r="AV57" s="36">
        <f t="shared" si="12"/>
        <v>414.65329656972432</v>
      </c>
      <c r="AW57" s="36">
        <v>5</v>
      </c>
      <c r="AZ57" s="37" t="s">
        <v>143</v>
      </c>
      <c r="BA57" s="37" t="s">
        <v>51</v>
      </c>
      <c r="BB57" s="38">
        <v>1</v>
      </c>
      <c r="BC57" s="38">
        <v>0.92239249104502308</v>
      </c>
      <c r="BD57" s="38">
        <v>0.83385710392832202</v>
      </c>
      <c r="BE57" s="38">
        <v>0.81761158036184611</v>
      </c>
      <c r="BF57" s="38">
        <v>0.85644856248244405</v>
      </c>
      <c r="BG57" s="38">
        <v>0.92074910397549881</v>
      </c>
      <c r="BH57" s="38">
        <v>0.9839088768853822</v>
      </c>
      <c r="BI57" s="38">
        <v>1.1806246454093643</v>
      </c>
      <c r="BJ57" s="38">
        <v>1.4348560533468846</v>
      </c>
      <c r="BK57" s="38">
        <v>1.7753609204047109</v>
      </c>
    </row>
    <row r="58" spans="3:63">
      <c r="C58" t="s">
        <v>113</v>
      </c>
      <c r="D58">
        <v>2021</v>
      </c>
      <c r="E58" t="s">
        <v>144</v>
      </c>
      <c r="F58">
        <v>9.7899999999999991</v>
      </c>
      <c r="J58" s="18" t="s">
        <v>115</v>
      </c>
      <c r="K58" s="18">
        <v>2018</v>
      </c>
      <c r="L58" s="18" t="s">
        <v>174</v>
      </c>
      <c r="M58" s="18">
        <v>295.89999999999998</v>
      </c>
      <c r="P58" s="18" t="s">
        <v>115</v>
      </c>
      <c r="Q58" s="18">
        <v>2018</v>
      </c>
      <c r="R58" s="18" t="s">
        <v>175</v>
      </c>
      <c r="S58" s="18">
        <f t="shared" si="3"/>
        <v>0</v>
      </c>
      <c r="U58">
        <v>14.794999999999998</v>
      </c>
      <c r="Z58" s="36" t="str">
        <f t="shared" si="13"/>
        <v>URA</v>
      </c>
      <c r="AA58" s="36" t="s">
        <v>188</v>
      </c>
      <c r="AB58" s="36" t="str">
        <f t="shared" si="14"/>
        <v>DEMelrs</v>
      </c>
      <c r="AC58" s="36" cm="1">
        <f t="array" ref="AC58">INDEX($F$9:$F$3622,MATCH(1, (AC$6=$D$9:$D$3622) * ($AB58=$E$9:$E$3622) * ($Z58=$C$9:$C$3622),0))</f>
        <v>463.86</v>
      </c>
      <c r="AD58" s="36" cm="1">
        <f t="array" ref="AD58">INDEX($F$9:$F$3622,MATCH(1, (AD$6=$D$9:$D$3622) * ($AB58=$E$9:$E$3622) * ($Z58=$C$9:$C$3622),0))</f>
        <v>476.58</v>
      </c>
      <c r="AE58" s="36" cm="1">
        <f t="array" ref="AE58">INDEX($F$9:$F$3622,MATCH(1, (AE$6=$D$9:$D$3622) * ($AB58=$E$9:$E$3622) * ($Z58=$C$9:$C$3622),0))</f>
        <v>486.66</v>
      </c>
      <c r="AF58" s="36" cm="1">
        <f t="array" ref="AF58">INDEX($F$9:$F$3622,MATCH(1, (AF$6=$D$9:$D$3622) * ($AB58=$E$9:$E$3622) * ($Z58=$C$9:$C$3622),0))</f>
        <v>498.84</v>
      </c>
      <c r="AG58" s="36" cm="1">
        <f t="array" ref="AG58">INDEX($F$9:$F$3622,MATCH(1, (AG$6=$D$9:$D$3622) * ($AB58=$E$9:$E$3622) * ($Z58=$C$9:$C$3622),0))</f>
        <v>513.36</v>
      </c>
      <c r="AH58" s="36" cm="1">
        <f t="array" ref="AH58">INDEX($F$9:$F$3622,MATCH(1, (AH$6=$D$9:$D$3622) * ($AB58=$E$9:$E$3622) * ($Z58=$C$9:$C$3622),0))</f>
        <v>519.74</v>
      </c>
      <c r="AI58" s="36" cm="1">
        <f t="array" ref="AI58">INDEX($F$9:$F$3622,MATCH(1, (AI$6=$D$9:$D$3622) * ($AB58=$E$9:$E$3622) * ($Z58=$C$9:$C$3622),0))</f>
        <v>520.63</v>
      </c>
      <c r="AJ58" s="36" cm="1">
        <f t="array" ref="AJ58">INDEX($F$9:$F$3622,MATCH(1, (AJ$6=$D$9:$D$3622) * ($AB58=$E$9:$E$3622) * ($Z58=$C$9:$C$3622),0))</f>
        <v>533.44000000000005</v>
      </c>
      <c r="AK58" s="36" cm="1">
        <f t="array" ref="AK58">INDEX($F$9:$F$3622,MATCH(1, (AK$6=$D$9:$D$3622) * ($AB58=$E$9:$E$3622) * ($Z58=$C$9:$C$3622),0))</f>
        <v>533.09</v>
      </c>
      <c r="AL58" s="36" cm="1">
        <f t="array" ref="AL58">INDEX($F$9:$F$3622,MATCH(1, (AL$6=$D$9:$D$3622) * ($AB58=$E$9:$E$3622) * ($Z58=$C$9:$C$3622),0))</f>
        <v>546.64</v>
      </c>
      <c r="AM58" s="36" cm="1">
        <f t="array" ref="AM58">INDEX($F$9:$F$3622,MATCH(1, (AM$6=$D$9:$D$3622) * ($AB58=$E$9:$E$3622) * ($Z58=$C$9:$C$3622),0))</f>
        <v>552.86</v>
      </c>
      <c r="AN58" s="36">
        <f t="shared" si="4"/>
        <v>517.37613177369167</v>
      </c>
      <c r="AO58" s="36">
        <f t="shared" si="5"/>
        <v>481.08466086314434</v>
      </c>
      <c r="AP58" s="36">
        <f t="shared" si="6"/>
        <v>479.62579626727324</v>
      </c>
      <c r="AQ58" s="36">
        <f t="shared" si="7"/>
        <v>510.87080812611526</v>
      </c>
      <c r="AR58" s="36">
        <f t="shared" si="8"/>
        <v>557.23528175150773</v>
      </c>
      <c r="AS58" s="36">
        <f t="shared" si="9"/>
        <v>604.05492999054832</v>
      </c>
      <c r="AT58" s="36">
        <f t="shared" si="10"/>
        <v>724.82539214954772</v>
      </c>
      <c r="AU58" s="36">
        <f t="shared" si="11"/>
        <v>880.90665021200959</v>
      </c>
      <c r="AV58" s="36">
        <f t="shared" si="12"/>
        <v>1089.9541021296718</v>
      </c>
      <c r="AW58" s="36">
        <v>5</v>
      </c>
      <c r="AZ58" s="37" t="s">
        <v>143</v>
      </c>
      <c r="BA58" s="37" t="s">
        <v>125</v>
      </c>
      <c r="BB58" s="38">
        <v>1</v>
      </c>
      <c r="BC58" s="38">
        <v>0.93581762430577653</v>
      </c>
      <c r="BD58" s="38">
        <v>0.87017447611175402</v>
      </c>
      <c r="BE58" s="38">
        <v>0.86753571657792794</v>
      </c>
      <c r="BF58" s="38">
        <v>0.92405094983560987</v>
      </c>
      <c r="BG58" s="38">
        <v>1.0079139054218205</v>
      </c>
      <c r="BH58" s="38">
        <v>1.0926001700078651</v>
      </c>
      <c r="BI58" s="38">
        <v>1.3110469054544509</v>
      </c>
      <c r="BJ58" s="38">
        <v>1.5933629674999268</v>
      </c>
      <c r="BK58" s="38">
        <v>1.9714830194437503</v>
      </c>
    </row>
    <row r="59" spans="3:63">
      <c r="C59" t="s">
        <v>113</v>
      </c>
      <c r="D59">
        <v>2022</v>
      </c>
      <c r="E59" t="s">
        <v>145</v>
      </c>
      <c r="F59">
        <v>0.04</v>
      </c>
      <c r="J59" s="18" t="s">
        <v>115</v>
      </c>
      <c r="K59" s="18">
        <v>2019</v>
      </c>
      <c r="L59" s="18" t="s">
        <v>174</v>
      </c>
      <c r="M59" s="18">
        <v>305.58</v>
      </c>
      <c r="P59" s="18" t="s">
        <v>115</v>
      </c>
      <c r="Q59" s="18">
        <v>2019</v>
      </c>
      <c r="R59" s="18" t="s">
        <v>175</v>
      </c>
      <c r="S59" s="18">
        <f t="shared" si="3"/>
        <v>0</v>
      </c>
      <c r="U59">
        <v>15.279</v>
      </c>
      <c r="Z59" s="36" t="str">
        <f t="shared" si="13"/>
        <v>USA</v>
      </c>
      <c r="AA59" s="36" t="s">
        <v>188</v>
      </c>
      <c r="AB59" s="36" t="str">
        <f t="shared" si="14"/>
        <v>DEMelrs</v>
      </c>
      <c r="AC59" s="36" cm="1">
        <f t="array" ref="AC59">INDEX($F$9:$F$3622,MATCH(1, (AC$6=$D$9:$D$3622) * ($AB59=$E$9:$E$3622) * ($Z59=$C$9:$C$3622),0))</f>
        <v>4932.76</v>
      </c>
      <c r="AD59" s="36" cm="1">
        <f t="array" ref="AD59">INDEX($F$9:$F$3622,MATCH(1, (AD$6=$D$9:$D$3622) * ($AB59=$E$9:$E$3622) * ($Z59=$C$9:$C$3622),0))</f>
        <v>4854.6000000000004</v>
      </c>
      <c r="AE59" s="36" cm="1">
        <f t="array" ref="AE59">INDEX($F$9:$F$3622,MATCH(1, (AE$6=$D$9:$D$3622) * ($AB59=$E$9:$E$3622) * ($Z59=$C$9:$C$3622),0))</f>
        <v>4689.84</v>
      </c>
      <c r="AF59" s="36" cm="1">
        <f t="array" ref="AF59">INDEX($F$9:$F$3622,MATCH(1, (AF$6=$D$9:$D$3622) * ($AB59=$E$9:$E$3622) * ($Z59=$C$9:$C$3622),0))</f>
        <v>4759.1000000000004</v>
      </c>
      <c r="AG59" s="36" cm="1">
        <f t="array" ref="AG59">INDEX($F$9:$F$3622,MATCH(1, (AG$6=$D$9:$D$3622) * ($AB59=$E$9:$E$3622) * ($Z59=$C$9:$C$3622),0))</f>
        <v>4801.3900000000003</v>
      </c>
      <c r="AH59" s="36" cm="1">
        <f t="array" ref="AH59">INDEX($F$9:$F$3622,MATCH(1, (AH$6=$D$9:$D$3622) * ($AB59=$E$9:$E$3622) * ($Z59=$C$9:$C$3622),0))</f>
        <v>4790.75</v>
      </c>
      <c r="AI59" s="36" cm="1">
        <f t="array" ref="AI59">INDEX($F$9:$F$3622,MATCH(1, (AI$6=$D$9:$D$3622) * ($AB59=$E$9:$E$3622) * ($Z59=$C$9:$C$3622),0))</f>
        <v>4814.5</v>
      </c>
      <c r="AJ59" s="36" cm="1">
        <f t="array" ref="AJ59">INDEX($F$9:$F$3622,MATCH(1, (AJ$6=$D$9:$D$3622) * ($AB59=$E$9:$E$3622) * ($Z59=$C$9:$C$3622),0))</f>
        <v>4703.8999999999996</v>
      </c>
      <c r="AK59" s="36" cm="1">
        <f t="array" ref="AK59">INDEX($F$9:$F$3622,MATCH(1, (AK$6=$D$9:$D$3622) * ($AB59=$E$9:$E$3622) * ($Z59=$C$9:$C$3622),0))</f>
        <v>5012.5</v>
      </c>
      <c r="AL59" s="36" cm="1">
        <f t="array" ref="AL59">INDEX($F$9:$F$3622,MATCH(1, (AL$6=$D$9:$D$3622) * ($AB59=$E$9:$E$3622) * ($Z59=$C$9:$C$3622),0))</f>
        <v>4896.6499999999996</v>
      </c>
      <c r="AM59" s="36" cm="1">
        <f t="array" ref="AM59">INDEX($F$9:$F$3622,MATCH(1, (AM$6=$D$9:$D$3622) * ($AB59=$E$9:$E$3622) * ($Z59=$C$9:$C$3622),0))</f>
        <v>5052.7299999999996</v>
      </c>
      <c r="AN59" s="36">
        <f t="shared" si="4"/>
        <v>4438.9004377654428</v>
      </c>
      <c r="AO59" s="36">
        <f t="shared" si="5"/>
        <v>3636.1350176436854</v>
      </c>
      <c r="AP59" s="36">
        <f t="shared" si="6"/>
        <v>3393.5085228936746</v>
      </c>
      <c r="AQ59" s="36">
        <f t="shared" si="7"/>
        <v>3241.700993571445</v>
      </c>
      <c r="AR59" s="36">
        <f t="shared" si="8"/>
        <v>3186.7351519384965</v>
      </c>
      <c r="AS59" s="36">
        <f t="shared" si="9"/>
        <v>3154.1446248363559</v>
      </c>
      <c r="AT59" s="36">
        <f t="shared" si="10"/>
        <v>3353.3234389959612</v>
      </c>
      <c r="AU59" s="36">
        <f t="shared" si="11"/>
        <v>3643.7676489526607</v>
      </c>
      <c r="AV59" s="36">
        <f t="shared" si="12"/>
        <v>4071.1099526050743</v>
      </c>
      <c r="AW59" s="36">
        <v>5</v>
      </c>
      <c r="AZ59" s="37" t="s">
        <v>143</v>
      </c>
      <c r="BA59" s="37" t="s">
        <v>112</v>
      </c>
      <c r="BB59" s="38">
        <v>1</v>
      </c>
      <c r="BC59" s="38">
        <v>0.87851526556246684</v>
      </c>
      <c r="BD59" s="38">
        <v>0.71963770429919782</v>
      </c>
      <c r="BE59" s="38">
        <v>0.67161881258125311</v>
      </c>
      <c r="BF59" s="38">
        <v>0.64157415764773607</v>
      </c>
      <c r="BG59" s="38">
        <v>0.63069571339424368</v>
      </c>
      <c r="BH59" s="38">
        <v>0.62424563054751714</v>
      </c>
      <c r="BI59" s="38">
        <v>0.66366566964709406</v>
      </c>
      <c r="BJ59" s="38">
        <v>0.72114829982062389</v>
      </c>
      <c r="BK59" s="38">
        <v>0.80572481660509754</v>
      </c>
    </row>
    <row r="60" spans="3:63">
      <c r="C60" t="s">
        <v>113</v>
      </c>
      <c r="D60">
        <v>2022</v>
      </c>
      <c r="E60" t="s">
        <v>141</v>
      </c>
      <c r="F60">
        <v>238.54</v>
      </c>
      <c r="J60" s="18" t="s">
        <v>115</v>
      </c>
      <c r="K60" s="18">
        <v>2020</v>
      </c>
      <c r="L60" s="18" t="s">
        <v>174</v>
      </c>
      <c r="M60" s="18">
        <v>317.58999999999997</v>
      </c>
      <c r="P60" s="18" t="s">
        <v>115</v>
      </c>
      <c r="Q60" s="18">
        <v>2020</v>
      </c>
      <c r="R60" s="18" t="s">
        <v>175</v>
      </c>
      <c r="S60" s="18">
        <f t="shared" si="3"/>
        <v>0</v>
      </c>
      <c r="U60">
        <v>15.879499999999998</v>
      </c>
      <c r="Z60" s="36" t="str">
        <f t="shared" ref="Z60:Z76" si="15">BA60</f>
        <v>AFR_N</v>
      </c>
      <c r="AA60" s="36" t="s">
        <v>188</v>
      </c>
      <c r="AB60" s="36" t="str">
        <f t="shared" ref="AB60:AB76" si="16">AZ60</f>
        <v>DEMelcm</v>
      </c>
      <c r="AC60" s="36" cm="1">
        <f t="array" ref="AC60">INDEX($F$9:$F$3622,MATCH(1, (AC$6=$D$9:$D$3622) * ($AB60=$E$9:$E$3622) * ($Z60=$C$9:$C$3622),0))</f>
        <v>174.6</v>
      </c>
      <c r="AD60" s="36" cm="1">
        <f t="array" ref="AD60">INDEX($F$9:$F$3622,MATCH(1, (AD$6=$D$9:$D$3622) * ($AB60=$E$9:$E$3622) * ($Z60=$C$9:$C$3622),0))</f>
        <v>177.42</v>
      </c>
      <c r="AE60" s="36" cm="1">
        <f t="array" ref="AE60">INDEX($F$9:$F$3622,MATCH(1, (AE$6=$D$9:$D$3622) * ($AB60=$E$9:$E$3622) * ($Z60=$C$9:$C$3622),0))</f>
        <v>188.39</v>
      </c>
      <c r="AF60" s="36" cm="1">
        <f t="array" ref="AF60">INDEX($F$9:$F$3622,MATCH(1, (AF$6=$D$9:$D$3622) * ($AB60=$E$9:$E$3622) * ($Z60=$C$9:$C$3622),0))</f>
        <v>195.61</v>
      </c>
      <c r="AG60" s="36" cm="1">
        <f t="array" ref="AG60">INDEX($F$9:$F$3622,MATCH(1, (AG$6=$D$9:$D$3622) * ($AB60=$E$9:$E$3622) * ($Z60=$C$9:$C$3622),0))</f>
        <v>195.96</v>
      </c>
      <c r="AH60" s="36" cm="1">
        <f t="array" ref="AH60">INDEX($F$9:$F$3622,MATCH(1, (AH$6=$D$9:$D$3622) * ($AB60=$E$9:$E$3622) * ($Z60=$C$9:$C$3622),0))</f>
        <v>201.01</v>
      </c>
      <c r="AI60" s="36" cm="1">
        <f t="array" ref="AI60">INDEX($F$9:$F$3622,MATCH(1, (AI$6=$D$9:$D$3622) * ($AB60=$E$9:$E$3622) * ($Z60=$C$9:$C$3622),0))</f>
        <v>215.09</v>
      </c>
      <c r="AJ60" s="36" cm="1">
        <f t="array" ref="AJ60">INDEX($F$9:$F$3622,MATCH(1, (AJ$6=$D$9:$D$3622) * ($AB60=$E$9:$E$3622) * ($Z60=$C$9:$C$3622),0))</f>
        <v>226.95</v>
      </c>
      <c r="AK60" s="36" cm="1">
        <f t="array" ref="AK60">INDEX($F$9:$F$3622,MATCH(1, (AK$6=$D$9:$D$3622) * ($AB60=$E$9:$E$3622) * ($Z60=$C$9:$C$3622),0))</f>
        <v>226.55</v>
      </c>
      <c r="AL60" s="36" cm="1">
        <f t="array" ref="AL60">INDEX($F$9:$F$3622,MATCH(1, (AL$6=$D$9:$D$3622) * ($AB60=$E$9:$E$3622) * ($Z60=$C$9:$C$3622),0))</f>
        <v>232.33</v>
      </c>
      <c r="AM60" s="36" cm="1">
        <f t="array" ref="AM60">INDEX($F$9:$F$3622,MATCH(1, (AM$6=$D$9:$D$3622) * ($AB60=$E$9:$E$3622) * ($Z60=$C$9:$C$3622),0))</f>
        <v>227.12</v>
      </c>
      <c r="AN60" s="36">
        <f t="shared" si="4"/>
        <v>212.12823264073532</v>
      </c>
      <c r="AO60" s="36">
        <f t="shared" si="5"/>
        <v>193.12595257722634</v>
      </c>
      <c r="AP60" s="36">
        <f t="shared" si="6"/>
        <v>191.50179946744751</v>
      </c>
      <c r="AQ60" s="36">
        <f t="shared" si="7"/>
        <v>204.26721452404905</v>
      </c>
      <c r="AR60" s="36">
        <f t="shared" si="8"/>
        <v>223.8876543848084</v>
      </c>
      <c r="AS60" s="36">
        <f t="shared" si="9"/>
        <v>243.93394568655779</v>
      </c>
      <c r="AT60" s="36">
        <f t="shared" si="10"/>
        <v>292.70437018635408</v>
      </c>
      <c r="AU60" s="36">
        <f t="shared" si="11"/>
        <v>355.73426239747249</v>
      </c>
      <c r="AV60" s="36">
        <f t="shared" si="12"/>
        <v>440.15335617557315</v>
      </c>
      <c r="AW60" s="36">
        <v>5</v>
      </c>
      <c r="AZ60" s="37" t="s">
        <v>141</v>
      </c>
      <c r="BA60" s="37" t="s">
        <v>113</v>
      </c>
      <c r="BB60" s="38">
        <v>1</v>
      </c>
      <c r="BC60" s="38">
        <v>0.93399186615329044</v>
      </c>
      <c r="BD60" s="38">
        <v>0.85032561014981656</v>
      </c>
      <c r="BE60" s="38">
        <v>0.84317453094156181</v>
      </c>
      <c r="BF60" s="38">
        <v>0.89938012735139594</v>
      </c>
      <c r="BG60" s="38">
        <v>0.98576811546675058</v>
      </c>
      <c r="BH60" s="38">
        <v>1.074031109926725</v>
      </c>
      <c r="BI60" s="38">
        <v>1.2887652790875048</v>
      </c>
      <c r="BJ60" s="38">
        <v>1.5662832969244123</v>
      </c>
      <c r="BK60" s="38">
        <v>1.9379770877755069</v>
      </c>
    </row>
    <row r="61" spans="3:63">
      <c r="C61" t="s">
        <v>113</v>
      </c>
      <c r="D61">
        <v>2022</v>
      </c>
      <c r="E61" t="s">
        <v>142</v>
      </c>
      <c r="F61">
        <v>318.33</v>
      </c>
      <c r="J61" s="18" t="s">
        <v>115</v>
      </c>
      <c r="K61" s="18">
        <v>2021</v>
      </c>
      <c r="L61" s="18" t="s">
        <v>174</v>
      </c>
      <c r="M61" s="18">
        <v>332.29</v>
      </c>
      <c r="P61" s="18" t="s">
        <v>115</v>
      </c>
      <c r="Q61" s="18">
        <v>2021</v>
      </c>
      <c r="R61" s="18" t="s">
        <v>175</v>
      </c>
      <c r="S61" s="18">
        <f t="shared" si="3"/>
        <v>0</v>
      </c>
      <c r="U61">
        <v>16.6145</v>
      </c>
      <c r="Z61" s="36" t="str">
        <f t="shared" si="15"/>
        <v>AFR_S</v>
      </c>
      <c r="AA61" s="36" t="s">
        <v>188</v>
      </c>
      <c r="AB61" s="36" t="str">
        <f t="shared" si="16"/>
        <v>DEMelcm</v>
      </c>
      <c r="AC61" s="36" cm="1">
        <f t="array" ref="AC61">INDEX($F$9:$F$3622,MATCH(1, (AC$6=$D$9:$D$3622) * ($AB61=$E$9:$E$3622) * ($Z61=$C$9:$C$3622),0))</f>
        <v>162.4</v>
      </c>
      <c r="AD61" s="36" cm="1">
        <f t="array" ref="AD61">INDEX($F$9:$F$3622,MATCH(1, (AD$6=$D$9:$D$3622) * ($AB61=$E$9:$E$3622) * ($Z61=$C$9:$C$3622),0))</f>
        <v>165.02</v>
      </c>
      <c r="AE61" s="36" cm="1">
        <f t="array" ref="AE61">INDEX($F$9:$F$3622,MATCH(1, (AE$6=$D$9:$D$3622) * ($AB61=$E$9:$E$3622) * ($Z61=$C$9:$C$3622),0))</f>
        <v>175.22</v>
      </c>
      <c r="AF61" s="36" cm="1">
        <f t="array" ref="AF61">INDEX($F$9:$F$3622,MATCH(1, (AF$6=$D$9:$D$3622) * ($AB61=$E$9:$E$3622) * ($Z61=$C$9:$C$3622),0))</f>
        <v>181.94</v>
      </c>
      <c r="AG61" s="36" cm="1">
        <f t="array" ref="AG61">INDEX($F$9:$F$3622,MATCH(1, (AG$6=$D$9:$D$3622) * ($AB61=$E$9:$E$3622) * ($Z61=$C$9:$C$3622),0))</f>
        <v>182.26</v>
      </c>
      <c r="AH61" s="36" cm="1">
        <f t="array" ref="AH61">INDEX($F$9:$F$3622,MATCH(1, (AH$6=$D$9:$D$3622) * ($AB61=$E$9:$E$3622) * ($Z61=$C$9:$C$3622),0))</f>
        <v>186.97</v>
      </c>
      <c r="AI61" s="36" cm="1">
        <f t="array" ref="AI61">INDEX($F$9:$F$3622,MATCH(1, (AI$6=$D$9:$D$3622) * ($AB61=$E$9:$E$3622) * ($Z61=$C$9:$C$3622),0))</f>
        <v>200.06</v>
      </c>
      <c r="AJ61" s="36" cm="1">
        <f t="array" ref="AJ61">INDEX($F$9:$F$3622,MATCH(1, (AJ$6=$D$9:$D$3622) * ($AB61=$E$9:$E$3622) * ($Z61=$C$9:$C$3622),0))</f>
        <v>211.09</v>
      </c>
      <c r="AK61" s="36" cm="1">
        <f t="array" ref="AK61">INDEX($F$9:$F$3622,MATCH(1, (AK$6=$D$9:$D$3622) * ($AB61=$E$9:$E$3622) * ($Z61=$C$9:$C$3622),0))</f>
        <v>210.72</v>
      </c>
      <c r="AL61" s="36" cm="1">
        <f t="array" ref="AL61">INDEX($F$9:$F$3622,MATCH(1, (AL$6=$D$9:$D$3622) * ($AB61=$E$9:$E$3622) * ($Z61=$C$9:$C$3622),0))</f>
        <v>216.1</v>
      </c>
      <c r="AM61" s="36" cm="1">
        <f t="array" ref="AM61">INDEX($F$9:$F$3622,MATCH(1, (AM$6=$D$9:$D$3622) * ($AB61=$E$9:$E$3622) * ($Z61=$C$9:$C$3622),0))</f>
        <v>211.25</v>
      </c>
      <c r="AN61" s="36">
        <f t="shared" si="4"/>
        <v>197.30578172488259</v>
      </c>
      <c r="AO61" s="36">
        <f t="shared" si="5"/>
        <v>179.63128514414873</v>
      </c>
      <c r="AP61" s="36">
        <f t="shared" si="6"/>
        <v>178.12061966140493</v>
      </c>
      <c r="AQ61" s="36">
        <f t="shared" si="7"/>
        <v>189.99405190298239</v>
      </c>
      <c r="AR61" s="36">
        <f t="shared" si="8"/>
        <v>208.24351439235107</v>
      </c>
      <c r="AS61" s="36">
        <f t="shared" si="9"/>
        <v>226.88907197202067</v>
      </c>
      <c r="AT61" s="36">
        <f t="shared" si="10"/>
        <v>272.25166520723542</v>
      </c>
      <c r="AU61" s="36">
        <f t="shared" si="11"/>
        <v>330.87734647528208</v>
      </c>
      <c r="AV61" s="36">
        <f t="shared" si="12"/>
        <v>409.39765979257584</v>
      </c>
      <c r="AW61" s="36">
        <v>5</v>
      </c>
      <c r="AZ61" s="37" t="s">
        <v>141</v>
      </c>
      <c r="BA61" s="37" t="s">
        <v>114</v>
      </c>
      <c r="BB61" s="38">
        <v>1</v>
      </c>
      <c r="BC61" s="38">
        <v>0.93399186615329044</v>
      </c>
      <c r="BD61" s="38">
        <v>0.85032561014981656</v>
      </c>
      <c r="BE61" s="38">
        <v>0.84317453094156181</v>
      </c>
      <c r="BF61" s="38">
        <v>0.89938012735139594</v>
      </c>
      <c r="BG61" s="38">
        <v>0.98576811546675058</v>
      </c>
      <c r="BH61" s="38">
        <v>1.074031109926725</v>
      </c>
      <c r="BI61" s="38">
        <v>1.2887652790875048</v>
      </c>
      <c r="BJ61" s="38">
        <v>1.5662832969244123</v>
      </c>
      <c r="BK61" s="38">
        <v>1.9379770877755069</v>
      </c>
    </row>
    <row r="62" spans="3:63">
      <c r="C62" t="s">
        <v>113</v>
      </c>
      <c r="D62">
        <v>2022</v>
      </c>
      <c r="E62" t="s">
        <v>143</v>
      </c>
      <c r="F62">
        <v>491.21</v>
      </c>
      <c r="J62" s="18" t="s">
        <v>115</v>
      </c>
      <c r="K62" s="18">
        <v>2022</v>
      </c>
      <c r="L62" s="18" t="s">
        <v>174</v>
      </c>
      <c r="M62" s="18">
        <v>346.19</v>
      </c>
      <c r="P62" s="18" t="s">
        <v>115</v>
      </c>
      <c r="Q62" s="18">
        <v>2022</v>
      </c>
      <c r="R62" s="18" t="s">
        <v>175</v>
      </c>
      <c r="S62" s="18">
        <f t="shared" si="3"/>
        <v>0</v>
      </c>
      <c r="U62">
        <v>17.3095</v>
      </c>
      <c r="Z62" s="36" t="str">
        <f t="shared" si="15"/>
        <v>ANZ</v>
      </c>
      <c r="AA62" s="36" t="s">
        <v>188</v>
      </c>
      <c r="AB62" s="36" t="str">
        <f t="shared" si="16"/>
        <v>DEMelcm</v>
      </c>
      <c r="AC62" s="36" cm="1">
        <f t="array" ref="AC62">INDEX($F$9:$F$3622,MATCH(1, (AC$6=$D$9:$D$3622) * ($AB62=$E$9:$E$3622) * ($Z62=$C$9:$C$3622),0))</f>
        <v>244.59</v>
      </c>
      <c r="AD62" s="36" cm="1">
        <f t="array" ref="AD62">INDEX($F$9:$F$3622,MATCH(1, (AD$6=$D$9:$D$3622) * ($AB62=$E$9:$E$3622) * ($Z62=$C$9:$C$3622),0))</f>
        <v>247.18</v>
      </c>
      <c r="AE62" s="36" cm="1">
        <f t="array" ref="AE62">INDEX($F$9:$F$3622,MATCH(1, (AE$6=$D$9:$D$3622) * ($AB62=$E$9:$E$3622) * ($Z62=$C$9:$C$3622),0))</f>
        <v>247.31</v>
      </c>
      <c r="AF62" s="36" cm="1">
        <f t="array" ref="AF62">INDEX($F$9:$F$3622,MATCH(1, (AF$6=$D$9:$D$3622) * ($AB62=$E$9:$E$3622) * ($Z62=$C$9:$C$3622),0))</f>
        <v>257.23</v>
      </c>
      <c r="AG62" s="36" cm="1">
        <f t="array" ref="AG62">INDEX($F$9:$F$3622,MATCH(1, (AG$6=$D$9:$D$3622) * ($AB62=$E$9:$E$3622) * ($Z62=$C$9:$C$3622),0))</f>
        <v>259.16000000000003</v>
      </c>
      <c r="AH62" s="36" cm="1">
        <f t="array" ref="AH62">INDEX($F$9:$F$3622,MATCH(1, (AH$6=$D$9:$D$3622) * ($AB62=$E$9:$E$3622) * ($Z62=$C$9:$C$3622),0))</f>
        <v>273.88</v>
      </c>
      <c r="AI62" s="36" cm="1">
        <f t="array" ref="AI62">INDEX($F$9:$F$3622,MATCH(1, (AI$6=$D$9:$D$3622) * ($AB62=$E$9:$E$3622) * ($Z62=$C$9:$C$3622),0))</f>
        <v>273.97000000000003</v>
      </c>
      <c r="AJ62" s="36" cm="1">
        <f t="array" ref="AJ62">INDEX($F$9:$F$3622,MATCH(1, (AJ$6=$D$9:$D$3622) * ($AB62=$E$9:$E$3622) * ($Z62=$C$9:$C$3622),0))</f>
        <v>285.68</v>
      </c>
      <c r="AK62" s="36" cm="1">
        <f t="array" ref="AK62">INDEX($F$9:$F$3622,MATCH(1, (AK$6=$D$9:$D$3622) * ($AB62=$E$9:$E$3622) * ($Z62=$C$9:$C$3622),0))</f>
        <v>293.02999999999997</v>
      </c>
      <c r="AL62" s="36" cm="1">
        <f t="array" ref="AL62">INDEX($F$9:$F$3622,MATCH(1, (AL$6=$D$9:$D$3622) * ($AB62=$E$9:$E$3622) * ($Z62=$C$9:$C$3622),0))</f>
        <v>298.7</v>
      </c>
      <c r="AM62" s="36" cm="1">
        <f t="array" ref="AM62">INDEX($F$9:$F$3622,MATCH(1, (AM$6=$D$9:$D$3622) * ($AB62=$E$9:$E$3622) * ($Z62=$C$9:$C$3622),0))</f>
        <v>293.75</v>
      </c>
      <c r="AN62" s="36">
        <f t="shared" si="4"/>
        <v>257.67174209045726</v>
      </c>
      <c r="AO62" s="36">
        <f t="shared" si="5"/>
        <v>208.9137523695689</v>
      </c>
      <c r="AP62" s="36">
        <f t="shared" si="6"/>
        <v>193.7722018324115</v>
      </c>
      <c r="AQ62" s="36">
        <f t="shared" si="7"/>
        <v>185.45212817583649</v>
      </c>
      <c r="AR62" s="36">
        <f t="shared" si="8"/>
        <v>182.79237106901184</v>
      </c>
      <c r="AS62" s="36">
        <f t="shared" si="9"/>
        <v>181.57505209406105</v>
      </c>
      <c r="AT62" s="36">
        <f t="shared" si="10"/>
        <v>193.04120468334949</v>
      </c>
      <c r="AU62" s="36">
        <f t="shared" si="11"/>
        <v>209.76124413177783</v>
      </c>
      <c r="AV62" s="36">
        <f t="shared" si="12"/>
        <v>234.36211386891074</v>
      </c>
      <c r="AW62" s="36">
        <v>5</v>
      </c>
      <c r="AZ62" s="37" t="s">
        <v>141</v>
      </c>
      <c r="BA62" s="37" t="s">
        <v>115</v>
      </c>
      <c r="BB62" s="38">
        <v>1</v>
      </c>
      <c r="BC62" s="38">
        <v>0.87718039860581198</v>
      </c>
      <c r="BD62" s="38">
        <v>0.7111957527474686</v>
      </c>
      <c r="BE62" s="38">
        <v>0.65965004879118805</v>
      </c>
      <c r="BF62" s="38">
        <v>0.63132639379008171</v>
      </c>
      <c r="BG62" s="38">
        <v>0.62227190151152967</v>
      </c>
      <c r="BH62" s="38">
        <v>0.61812783691595252</v>
      </c>
      <c r="BI62" s="38">
        <v>0.65716154785821101</v>
      </c>
      <c r="BJ62" s="38">
        <v>0.71408083108690323</v>
      </c>
      <c r="BK62" s="38">
        <v>0.79782847274522806</v>
      </c>
    </row>
    <row r="63" spans="3:63">
      <c r="C63" t="s">
        <v>113</v>
      </c>
      <c r="D63">
        <v>2022</v>
      </c>
      <c r="E63" t="s">
        <v>144</v>
      </c>
      <c r="F63">
        <v>9.93</v>
      </c>
      <c r="J63" s="18" t="s">
        <v>115</v>
      </c>
      <c r="K63" s="18">
        <v>2023</v>
      </c>
      <c r="L63" s="18" t="s">
        <v>174</v>
      </c>
      <c r="M63" s="18">
        <v>360.19</v>
      </c>
      <c r="P63" s="18" t="s">
        <v>115</v>
      </c>
      <c r="Q63" s="18">
        <v>2023</v>
      </c>
      <c r="R63" s="18" t="s">
        <v>175</v>
      </c>
      <c r="S63" s="18">
        <f t="shared" si="3"/>
        <v>0</v>
      </c>
      <c r="U63">
        <v>18.009499999999999</v>
      </c>
      <c r="Z63" s="36" t="str">
        <f t="shared" si="15"/>
        <v>BRZ</v>
      </c>
      <c r="AA63" s="36" t="s">
        <v>188</v>
      </c>
      <c r="AB63" s="36" t="str">
        <f t="shared" si="16"/>
        <v>DEMelcm</v>
      </c>
      <c r="AC63" s="36" cm="1">
        <f t="array" ref="AC63">INDEX($F$9:$F$3622,MATCH(1, (AC$6=$D$9:$D$3622) * ($AB63=$E$9:$E$3622) * ($Z63=$C$9:$C$3622),0))</f>
        <v>423.4</v>
      </c>
      <c r="AD63" s="36" cm="1">
        <f t="array" ref="AD63">INDEX($F$9:$F$3622,MATCH(1, (AD$6=$D$9:$D$3622) * ($AB63=$E$9:$E$3622) * ($Z63=$C$9:$C$3622),0))</f>
        <v>446.96</v>
      </c>
      <c r="AE63" s="36" cm="1">
        <f t="array" ref="AE63">INDEX($F$9:$F$3622,MATCH(1, (AE$6=$D$9:$D$3622) * ($AB63=$E$9:$E$3622) * ($Z63=$C$9:$C$3622),0))</f>
        <v>474.77</v>
      </c>
      <c r="AF63" s="36" cm="1">
        <f t="array" ref="AF63">INDEX($F$9:$F$3622,MATCH(1, (AF$6=$D$9:$D$3622) * ($AB63=$E$9:$E$3622) * ($Z63=$C$9:$C$3622),0))</f>
        <v>503.81</v>
      </c>
      <c r="AG63" s="36" cm="1">
        <f t="array" ref="AG63">INDEX($F$9:$F$3622,MATCH(1, (AG$6=$D$9:$D$3622) * ($AB63=$E$9:$E$3622) * ($Z63=$C$9:$C$3622),0))</f>
        <v>539.41999999999996</v>
      </c>
      <c r="AH63" s="36" cm="1">
        <f t="array" ref="AH63">INDEX($F$9:$F$3622,MATCH(1, (AH$6=$D$9:$D$3622) * ($AB63=$E$9:$E$3622) * ($Z63=$C$9:$C$3622),0))</f>
        <v>547.65</v>
      </c>
      <c r="AI63" s="36" cm="1">
        <f t="array" ref="AI63">INDEX($F$9:$F$3622,MATCH(1, (AI$6=$D$9:$D$3622) * ($AB63=$E$9:$E$3622) * ($Z63=$C$9:$C$3622),0))</f>
        <v>544.70000000000005</v>
      </c>
      <c r="AJ63" s="36" cm="1">
        <f t="array" ref="AJ63">INDEX($F$9:$F$3622,MATCH(1, (AJ$6=$D$9:$D$3622) * ($AB63=$E$9:$E$3622) * ($Z63=$C$9:$C$3622),0))</f>
        <v>547.6</v>
      </c>
      <c r="AK63" s="36" cm="1">
        <f t="array" ref="AK63">INDEX($F$9:$F$3622,MATCH(1, (AK$6=$D$9:$D$3622) * ($AB63=$E$9:$E$3622) * ($Z63=$C$9:$C$3622),0))</f>
        <v>560.95000000000005</v>
      </c>
      <c r="AL63" s="36" cm="1">
        <f t="array" ref="AL63">INDEX($F$9:$F$3622,MATCH(1, (AL$6=$D$9:$D$3622) * ($AB63=$E$9:$E$3622) * ($Z63=$C$9:$C$3622),0))</f>
        <v>568.24</v>
      </c>
      <c r="AM63" s="36" cm="1">
        <f t="array" ref="AM63">INDEX($F$9:$F$3622,MATCH(1, (AM$6=$D$9:$D$3622) * ($AB63=$E$9:$E$3622) * ($Z63=$C$9:$C$3622),0))</f>
        <v>546.51</v>
      </c>
      <c r="AN63" s="36">
        <f t="shared" si="4"/>
        <v>482.44835142805528</v>
      </c>
      <c r="AO63" s="36">
        <f t="shared" si="5"/>
        <v>389.01576929318918</v>
      </c>
      <c r="AP63" s="36">
        <f t="shared" si="6"/>
        <v>359.68117041893515</v>
      </c>
      <c r="AQ63" s="36">
        <f t="shared" si="7"/>
        <v>342.31794371606344</v>
      </c>
      <c r="AR63" s="36">
        <f t="shared" si="8"/>
        <v>335.20160086736956</v>
      </c>
      <c r="AS63" s="36">
        <f t="shared" si="9"/>
        <v>331.08812019526351</v>
      </c>
      <c r="AT63" s="36">
        <f t="shared" si="10"/>
        <v>351.99576616798026</v>
      </c>
      <c r="AU63" s="36">
        <f t="shared" si="11"/>
        <v>382.4834701048776</v>
      </c>
      <c r="AV63" s="36">
        <f t="shared" si="12"/>
        <v>427.34126098804791</v>
      </c>
      <c r="AW63" s="36">
        <v>5</v>
      </c>
      <c r="AZ63" s="37" t="s">
        <v>141</v>
      </c>
      <c r="BA63" s="37" t="s">
        <v>116</v>
      </c>
      <c r="BB63" s="38">
        <v>1</v>
      </c>
      <c r="BC63" s="38">
        <v>0.88278046408676014</v>
      </c>
      <c r="BD63" s="38">
        <v>0.71181820880347879</v>
      </c>
      <c r="BE63" s="38">
        <v>0.65814197438095401</v>
      </c>
      <c r="BF63" s="38">
        <v>0.62637086918091789</v>
      </c>
      <c r="BG63" s="38">
        <v>0.61334943709606338</v>
      </c>
      <c r="BH63" s="38">
        <v>0.60582262025445743</v>
      </c>
      <c r="BI63" s="38">
        <v>0.64407927790521724</v>
      </c>
      <c r="BJ63" s="38">
        <v>0.69986545553581381</v>
      </c>
      <c r="BK63" s="38">
        <v>0.78194591313616935</v>
      </c>
    </row>
    <row r="64" spans="3:63">
      <c r="C64" t="s">
        <v>113</v>
      </c>
      <c r="D64">
        <v>2023</v>
      </c>
      <c r="E64" t="s">
        <v>145</v>
      </c>
      <c r="F64">
        <v>0.04</v>
      </c>
      <c r="J64" s="18" t="s">
        <v>115</v>
      </c>
      <c r="K64" s="18">
        <v>2024</v>
      </c>
      <c r="L64" s="18" t="s">
        <v>174</v>
      </c>
      <c r="M64" s="18">
        <v>374.89</v>
      </c>
      <c r="P64" s="18" t="s">
        <v>115</v>
      </c>
      <c r="Q64" s="18">
        <v>2024</v>
      </c>
      <c r="R64" s="18" t="s">
        <v>175</v>
      </c>
      <c r="S64" s="18">
        <f t="shared" si="3"/>
        <v>0</v>
      </c>
      <c r="U64">
        <v>18.744499999999999</v>
      </c>
      <c r="Z64" s="36" t="str">
        <f t="shared" si="15"/>
        <v>CAN</v>
      </c>
      <c r="AA64" s="36" t="s">
        <v>188</v>
      </c>
      <c r="AB64" s="36" t="str">
        <f t="shared" si="16"/>
        <v>DEMelcm</v>
      </c>
      <c r="AC64" s="36" cm="1">
        <f t="array" ref="AC64">INDEX($F$9:$F$3622,MATCH(1, (AC$6=$D$9:$D$3622) * ($AB64=$E$9:$E$3622) * ($Z64=$C$9:$C$3622),0))</f>
        <v>482.04</v>
      </c>
      <c r="AD64" s="36" cm="1">
        <f t="array" ref="AD64">INDEX($F$9:$F$3622,MATCH(1, (AD$6=$D$9:$D$3622) * ($AB64=$E$9:$E$3622) * ($Z64=$C$9:$C$3622),0))</f>
        <v>502.07</v>
      </c>
      <c r="AE64" s="36" cm="1">
        <f t="array" ref="AE64">INDEX($F$9:$F$3622,MATCH(1, (AE$6=$D$9:$D$3622) * ($AB64=$E$9:$E$3622) * ($Z64=$C$9:$C$3622),0))</f>
        <v>496.51</v>
      </c>
      <c r="AF64" s="36" cm="1">
        <f t="array" ref="AF64">INDEX($F$9:$F$3622,MATCH(1, (AF$6=$D$9:$D$3622) * ($AB64=$E$9:$E$3622) * ($Z64=$C$9:$C$3622),0))</f>
        <v>513.24</v>
      </c>
      <c r="AG64" s="36" cm="1">
        <f t="array" ref="AG64">INDEX($F$9:$F$3622,MATCH(1, (AG$6=$D$9:$D$3622) * ($AB64=$E$9:$E$3622) * ($Z64=$C$9:$C$3622),0))</f>
        <v>524.38</v>
      </c>
      <c r="AH64" s="36" cm="1">
        <f t="array" ref="AH64">INDEX($F$9:$F$3622,MATCH(1, (AH$6=$D$9:$D$3622) * ($AB64=$E$9:$E$3622) * ($Z64=$C$9:$C$3622),0))</f>
        <v>521.04999999999995</v>
      </c>
      <c r="AI64" s="36" cm="1">
        <f t="array" ref="AI64">INDEX($F$9:$F$3622,MATCH(1, (AI$6=$D$9:$D$3622) * ($AB64=$E$9:$E$3622) * ($Z64=$C$9:$C$3622),0))</f>
        <v>523.46</v>
      </c>
      <c r="AJ64" s="36" cm="1">
        <f t="array" ref="AJ64">INDEX($F$9:$F$3622,MATCH(1, (AJ$6=$D$9:$D$3622) * ($AB64=$E$9:$E$3622) * ($Z64=$C$9:$C$3622),0))</f>
        <v>543.12</v>
      </c>
      <c r="AK64" s="36" cm="1">
        <f t="array" ref="AK64">INDEX($F$9:$F$3622,MATCH(1, (AK$6=$D$9:$D$3622) * ($AB64=$E$9:$E$3622) * ($Z64=$C$9:$C$3622),0))</f>
        <v>546.37</v>
      </c>
      <c r="AL64" s="36" cm="1">
        <f t="array" ref="AL64">INDEX($F$9:$F$3622,MATCH(1, (AL$6=$D$9:$D$3622) * ($AB64=$E$9:$E$3622) * ($Z64=$C$9:$C$3622),0))</f>
        <v>555.05999999999995</v>
      </c>
      <c r="AM64" s="36" cm="1">
        <f t="array" ref="AM64">INDEX($F$9:$F$3622,MATCH(1, (AM$6=$D$9:$D$3622) * ($AB64=$E$9:$E$3622) * ($Z64=$C$9:$C$3622),0))</f>
        <v>533.25</v>
      </c>
      <c r="AN64" s="36">
        <f t="shared" si="4"/>
        <v>498.38365470050303</v>
      </c>
      <c r="AO64" s="36">
        <f t="shared" si="5"/>
        <v>454.99593106901767</v>
      </c>
      <c r="AP64" s="36">
        <f t="shared" si="6"/>
        <v>445.5561300474867</v>
      </c>
      <c r="AQ64" s="36">
        <f t="shared" si="7"/>
        <v>464.24426393187787</v>
      </c>
      <c r="AR64" s="36">
        <f t="shared" si="8"/>
        <v>497.65967610177097</v>
      </c>
      <c r="AS64" s="36">
        <f t="shared" si="9"/>
        <v>531.28284137796595</v>
      </c>
      <c r="AT64" s="36">
        <f t="shared" si="10"/>
        <v>637.50376782809462</v>
      </c>
      <c r="AU64" s="36">
        <f t="shared" si="11"/>
        <v>774.78150558378286</v>
      </c>
      <c r="AV64" s="36">
        <f t="shared" si="12"/>
        <v>958.64446029781163</v>
      </c>
      <c r="AW64" s="36">
        <v>5</v>
      </c>
      <c r="AZ64" s="37" t="s">
        <v>141</v>
      </c>
      <c r="BA64" s="37" t="s">
        <v>117</v>
      </c>
      <c r="BB64" s="38">
        <v>1</v>
      </c>
      <c r="BC64" s="38">
        <v>0.9346153862175397</v>
      </c>
      <c r="BD64" s="38">
        <v>0.85325069117490426</v>
      </c>
      <c r="BE64" s="38">
        <v>0.83554829826064081</v>
      </c>
      <c r="BF64" s="38">
        <v>0.87059402518870677</v>
      </c>
      <c r="BG64" s="38">
        <v>0.93325771420866566</v>
      </c>
      <c r="BH64" s="38">
        <v>0.99631100117762006</v>
      </c>
      <c r="BI64" s="38">
        <v>1.1955063625468254</v>
      </c>
      <c r="BJ64" s="38">
        <v>1.4529423452110322</v>
      </c>
      <c r="BK64" s="38">
        <v>1.7977392598177433</v>
      </c>
    </row>
    <row r="65" spans="3:63">
      <c r="C65" t="s">
        <v>113</v>
      </c>
      <c r="D65">
        <v>2023</v>
      </c>
      <c r="E65" t="s">
        <v>141</v>
      </c>
      <c r="F65">
        <v>245.11</v>
      </c>
      <c r="J65" s="18" t="s">
        <v>115</v>
      </c>
      <c r="K65" s="18">
        <v>2025</v>
      </c>
      <c r="L65" s="18" t="s">
        <v>174</v>
      </c>
      <c r="M65" s="18">
        <v>390.55</v>
      </c>
      <c r="P65" s="18" t="s">
        <v>115</v>
      </c>
      <c r="Q65" s="18">
        <v>2025</v>
      </c>
      <c r="R65" s="18" t="s">
        <v>175</v>
      </c>
      <c r="S65" s="18">
        <f t="shared" si="3"/>
        <v>0</v>
      </c>
      <c r="U65">
        <v>19.5275</v>
      </c>
      <c r="Z65" s="36" t="str">
        <f t="shared" si="15"/>
        <v>CHI</v>
      </c>
      <c r="AA65" s="36" t="s">
        <v>188</v>
      </c>
      <c r="AB65" s="36" t="str">
        <f t="shared" si="16"/>
        <v>DEMelcm</v>
      </c>
      <c r="AC65" s="36" cm="1">
        <f t="array" ref="AC65">INDEX($F$9:$F$3622,MATCH(1, (AC$6=$D$9:$D$3622) * ($AB65=$E$9:$E$3622) * ($Z65=$C$9:$C$3622),0))</f>
        <v>672.28</v>
      </c>
      <c r="AD65" s="36" cm="1">
        <f t="array" ref="AD65">INDEX($F$9:$F$3622,MATCH(1, (AD$6=$D$9:$D$3622) * ($AB65=$E$9:$E$3622) * ($Z65=$C$9:$C$3622),0))</f>
        <v>773.17</v>
      </c>
      <c r="AE65" s="36" cm="1">
        <f t="array" ref="AE65">INDEX($F$9:$F$3622,MATCH(1, (AE$6=$D$9:$D$3622) * ($AB65=$E$9:$E$3622) * ($Z65=$C$9:$C$3622),0))</f>
        <v>862.91</v>
      </c>
      <c r="AF65" s="36" cm="1">
        <f t="array" ref="AF65">INDEX($F$9:$F$3622,MATCH(1, (AF$6=$D$9:$D$3622) * ($AB65=$E$9:$E$3622) * ($Z65=$C$9:$C$3622),0))</f>
        <v>955.09</v>
      </c>
      <c r="AG65" s="36" cm="1">
        <f t="array" ref="AG65">INDEX($F$9:$F$3622,MATCH(1, (AG$6=$D$9:$D$3622) * ($AB65=$E$9:$E$3622) * ($Z65=$C$9:$C$3622),0))</f>
        <v>1025.51</v>
      </c>
      <c r="AH65" s="36" cm="1">
        <f t="array" ref="AH65">INDEX($F$9:$F$3622,MATCH(1, (AH$6=$D$9:$D$3622) * ($AB65=$E$9:$E$3622) * ($Z65=$C$9:$C$3622),0))</f>
        <v>1105.5999999999999</v>
      </c>
      <c r="AI65" s="36" cm="1">
        <f t="array" ref="AI65">INDEX($F$9:$F$3622,MATCH(1, (AI$6=$D$9:$D$3622) * ($AB65=$E$9:$E$3622) * ($Z65=$C$9:$C$3622),0))</f>
        <v>1228.69</v>
      </c>
      <c r="AJ65" s="36" cm="1">
        <f t="array" ref="AJ65">INDEX($F$9:$F$3622,MATCH(1, (AJ$6=$D$9:$D$3622) * ($AB65=$E$9:$E$3622) * ($Z65=$C$9:$C$3622),0))</f>
        <v>1384.84</v>
      </c>
      <c r="AK65" s="36" cm="1">
        <f t="array" ref="AK65">INDEX($F$9:$F$3622,MATCH(1, (AK$6=$D$9:$D$3622) * ($AB65=$E$9:$E$3622) * ($Z65=$C$9:$C$3622),0))</f>
        <v>1597.54</v>
      </c>
      <c r="AL65" s="36" cm="1">
        <f t="array" ref="AL65">INDEX($F$9:$F$3622,MATCH(1, (AL$6=$D$9:$D$3622) * ($AB65=$E$9:$E$3622) * ($Z65=$C$9:$C$3622),0))</f>
        <v>1675.85</v>
      </c>
      <c r="AM65" s="36" cm="1">
        <f t="array" ref="AM65">INDEX($F$9:$F$3622,MATCH(1, (AM$6=$D$9:$D$3622) * ($AB65=$E$9:$E$3622) * ($Z65=$C$9:$C$3622),0))</f>
        <v>1717.48</v>
      </c>
      <c r="AN65" s="36">
        <f t="shared" si="4"/>
        <v>1593.1190228247638</v>
      </c>
      <c r="AO65" s="36">
        <f t="shared" si="5"/>
        <v>1320.1073796371747</v>
      </c>
      <c r="AP65" s="36">
        <f t="shared" si="6"/>
        <v>1250.811333175187</v>
      </c>
      <c r="AQ65" s="36">
        <f t="shared" si="7"/>
        <v>1218.7509055300554</v>
      </c>
      <c r="AR65" s="36">
        <f t="shared" si="8"/>
        <v>1222.1343381699289</v>
      </c>
      <c r="AS65" s="36">
        <f t="shared" si="9"/>
        <v>1235.0924727846063</v>
      </c>
      <c r="AT65" s="36">
        <f t="shared" si="10"/>
        <v>1313.0864405213968</v>
      </c>
      <c r="AU65" s="36">
        <f t="shared" si="11"/>
        <v>1426.8178955272138</v>
      </c>
      <c r="AV65" s="36">
        <f t="shared" si="12"/>
        <v>1594.1555814365588</v>
      </c>
      <c r="AW65" s="36">
        <v>5</v>
      </c>
      <c r="AZ65" s="37" t="s">
        <v>141</v>
      </c>
      <c r="BA65" s="37" t="s">
        <v>118</v>
      </c>
      <c r="BB65" s="38">
        <v>1</v>
      </c>
      <c r="BC65" s="38">
        <v>0.92759101871623761</v>
      </c>
      <c r="BD65" s="38">
        <v>0.76863042343268906</v>
      </c>
      <c r="BE65" s="38">
        <v>0.72828291052890692</v>
      </c>
      <c r="BF65" s="38">
        <v>0.70961577749380222</v>
      </c>
      <c r="BG65" s="38">
        <v>0.71158577577027327</v>
      </c>
      <c r="BH65" s="38">
        <v>0.71913062905221969</v>
      </c>
      <c r="BI65" s="38">
        <v>0.76454249279257791</v>
      </c>
      <c r="BJ65" s="38">
        <v>0.83076245168922702</v>
      </c>
      <c r="BK65" s="38">
        <v>0.92819455332030576</v>
      </c>
    </row>
    <row r="66" spans="3:63">
      <c r="C66" t="s">
        <v>113</v>
      </c>
      <c r="D66">
        <v>2023</v>
      </c>
      <c r="E66" t="s">
        <v>142</v>
      </c>
      <c r="F66">
        <v>326.91000000000003</v>
      </c>
      <c r="J66" s="18" t="s">
        <v>115</v>
      </c>
      <c r="K66" s="18">
        <v>2026</v>
      </c>
      <c r="L66" s="18" t="s">
        <v>174</v>
      </c>
      <c r="M66" s="18">
        <v>404.66</v>
      </c>
      <c r="P66" s="18" t="s">
        <v>115</v>
      </c>
      <c r="Q66" s="18">
        <v>2026</v>
      </c>
      <c r="R66" s="18" t="s">
        <v>175</v>
      </c>
      <c r="S66" s="18">
        <f t="shared" si="3"/>
        <v>0</v>
      </c>
      <c r="U66">
        <v>20.233000000000001</v>
      </c>
      <c r="Z66" s="36" t="str">
        <f t="shared" si="15"/>
        <v>CSA</v>
      </c>
      <c r="AA66" s="36" t="s">
        <v>188</v>
      </c>
      <c r="AB66" s="36" t="str">
        <f t="shared" si="16"/>
        <v>DEMelcm</v>
      </c>
      <c r="AC66" s="36" cm="1">
        <f t="array" ref="AC66">INDEX($F$9:$F$3622,MATCH(1, (AC$6=$D$9:$D$3622) * ($AB66=$E$9:$E$3622) * ($Z66=$C$9:$C$3622),0))</f>
        <v>294.77</v>
      </c>
      <c r="AD66" s="36" cm="1">
        <f t="array" ref="AD66">INDEX($F$9:$F$3622,MATCH(1, (AD$6=$D$9:$D$3622) * ($AB66=$E$9:$E$3622) * ($Z66=$C$9:$C$3622),0))</f>
        <v>312.89</v>
      </c>
      <c r="AE66" s="36" cm="1">
        <f t="array" ref="AE66">INDEX($F$9:$F$3622,MATCH(1, (AE$6=$D$9:$D$3622) * ($AB66=$E$9:$E$3622) * ($Z66=$C$9:$C$3622),0))</f>
        <v>328.55</v>
      </c>
      <c r="AF66" s="36" cm="1">
        <f t="array" ref="AF66">INDEX($F$9:$F$3622,MATCH(1, (AF$6=$D$9:$D$3622) * ($AB66=$E$9:$E$3622) * ($Z66=$C$9:$C$3622),0))</f>
        <v>330.8</v>
      </c>
      <c r="AG66" s="36" cm="1">
        <f t="array" ref="AG66">INDEX($F$9:$F$3622,MATCH(1, (AG$6=$D$9:$D$3622) * ($AB66=$E$9:$E$3622) * ($Z66=$C$9:$C$3622),0))</f>
        <v>317.14</v>
      </c>
      <c r="AH66" s="36" cm="1">
        <f t="array" ref="AH66">INDEX($F$9:$F$3622,MATCH(1, (AH$6=$D$9:$D$3622) * ($AB66=$E$9:$E$3622) * ($Z66=$C$9:$C$3622),0))</f>
        <v>362.46</v>
      </c>
      <c r="AI66" s="36" cm="1">
        <f t="array" ref="AI66">INDEX($F$9:$F$3622,MATCH(1, (AI$6=$D$9:$D$3622) * ($AB66=$E$9:$E$3622) * ($Z66=$C$9:$C$3622),0))</f>
        <v>362.79</v>
      </c>
      <c r="AJ66" s="36" cm="1">
        <f t="array" ref="AJ66">INDEX($F$9:$F$3622,MATCH(1, (AJ$6=$D$9:$D$3622) * ($AB66=$E$9:$E$3622) * ($Z66=$C$9:$C$3622),0))</f>
        <v>378.27</v>
      </c>
      <c r="AK66" s="36" cm="1">
        <f t="array" ref="AK66">INDEX($F$9:$F$3622,MATCH(1, (AK$6=$D$9:$D$3622) * ($AB66=$E$9:$E$3622) * ($Z66=$C$9:$C$3622),0))</f>
        <v>376.01</v>
      </c>
      <c r="AL66" s="36" cm="1">
        <f t="array" ref="AL66">INDEX($F$9:$F$3622,MATCH(1, (AL$6=$D$9:$D$3622) * ($AB66=$E$9:$E$3622) * ($Z66=$C$9:$C$3622),0))</f>
        <v>363.23</v>
      </c>
      <c r="AM66" s="36" cm="1">
        <f t="array" ref="AM66">INDEX($F$9:$F$3622,MATCH(1, (AM$6=$D$9:$D$3622) * ($AB66=$E$9:$E$3622) * ($Z66=$C$9:$C$3622),0))</f>
        <v>327.13</v>
      </c>
      <c r="AN66" s="36">
        <f t="shared" si="4"/>
        <v>312.3362732953488</v>
      </c>
      <c r="AO66" s="36">
        <f t="shared" si="5"/>
        <v>285.12608863949436</v>
      </c>
      <c r="AP66" s="36">
        <f t="shared" si="6"/>
        <v>282.65391545074061</v>
      </c>
      <c r="AQ66" s="36">
        <f t="shared" si="7"/>
        <v>299.75918970488573</v>
      </c>
      <c r="AR66" s="36">
        <f t="shared" si="8"/>
        <v>327.23964003779605</v>
      </c>
      <c r="AS66" s="36">
        <f t="shared" si="9"/>
        <v>355.65921113021847</v>
      </c>
      <c r="AT66" s="36">
        <f t="shared" si="10"/>
        <v>426.76719347873291</v>
      </c>
      <c r="AU66" s="36">
        <f t="shared" si="11"/>
        <v>518.66568541816184</v>
      </c>
      <c r="AV66" s="36">
        <f t="shared" si="12"/>
        <v>641.74994174395727</v>
      </c>
      <c r="AW66" s="36">
        <v>5</v>
      </c>
      <c r="AZ66" s="37" t="s">
        <v>141</v>
      </c>
      <c r="BA66" s="37" t="s">
        <v>119</v>
      </c>
      <c r="BB66" s="38">
        <v>1</v>
      </c>
      <c r="BC66" s="38">
        <v>0.95477722402515464</v>
      </c>
      <c r="BD66" s="38">
        <v>0.87159871806160971</v>
      </c>
      <c r="BE66" s="38">
        <v>0.86404155977972252</v>
      </c>
      <c r="BF66" s="38">
        <v>0.91633047933508316</v>
      </c>
      <c r="BG66" s="38">
        <v>1.0003351573924619</v>
      </c>
      <c r="BH66" s="38">
        <v>1.0872106230862912</v>
      </c>
      <c r="BI66" s="38">
        <v>1.3045798107135784</v>
      </c>
      <c r="BJ66" s="38">
        <v>1.5855032721491817</v>
      </c>
      <c r="BK66" s="38">
        <v>1.9617581442972436</v>
      </c>
    </row>
    <row r="67" spans="3:63">
      <c r="C67" t="s">
        <v>113</v>
      </c>
      <c r="D67">
        <v>2023</v>
      </c>
      <c r="E67" t="s">
        <v>143</v>
      </c>
      <c r="F67">
        <v>516.16999999999996</v>
      </c>
      <c r="J67" s="18" t="s">
        <v>115</v>
      </c>
      <c r="K67" s="18">
        <v>2027</v>
      </c>
      <c r="L67" s="18" t="s">
        <v>174</v>
      </c>
      <c r="M67" s="18">
        <v>419.13</v>
      </c>
      <c r="P67" s="18" t="s">
        <v>115</v>
      </c>
      <c r="Q67" s="18">
        <v>2027</v>
      </c>
      <c r="R67" s="18" t="s">
        <v>175</v>
      </c>
      <c r="S67" s="18">
        <f t="shared" si="3"/>
        <v>0</v>
      </c>
      <c r="U67">
        <v>20.956499999999998</v>
      </c>
      <c r="Z67" s="36" t="str">
        <f t="shared" si="15"/>
        <v>EUR</v>
      </c>
      <c r="AA67" s="36" t="s">
        <v>188</v>
      </c>
      <c r="AB67" s="36" t="str">
        <f t="shared" si="16"/>
        <v>DEMelcm</v>
      </c>
      <c r="AC67" s="36" cm="1">
        <f t="array" ref="AC67">INDEX($F$9:$F$3622,MATCH(1, (AC$6=$D$9:$D$3622) * ($AB67=$E$9:$E$3622) * ($Z67=$C$9:$C$3622),0))</f>
        <v>3256.8</v>
      </c>
      <c r="AD67" s="36" cm="1">
        <f t="array" ref="AD67">INDEX($F$9:$F$3622,MATCH(1, (AD$6=$D$9:$D$3622) * ($AB67=$E$9:$E$3622) * ($Z67=$C$9:$C$3622),0))</f>
        <v>3185.89</v>
      </c>
      <c r="AE67" s="36" cm="1">
        <f t="array" ref="AE67">INDEX($F$9:$F$3622,MATCH(1, (AE$6=$D$9:$D$3622) * ($AB67=$E$9:$E$3622) * ($Z67=$C$9:$C$3622),0))</f>
        <v>3229.5</v>
      </c>
      <c r="AF67" s="36" cm="1">
        <f t="array" ref="AF67">INDEX($F$9:$F$3622,MATCH(1, (AF$6=$D$9:$D$3622) * ($AB67=$E$9:$E$3622) * ($Z67=$C$9:$C$3622),0))</f>
        <v>3229.86</v>
      </c>
      <c r="AG67" s="36" cm="1">
        <f t="array" ref="AG67">INDEX($F$9:$F$3622,MATCH(1, (AG$6=$D$9:$D$3622) * ($AB67=$E$9:$E$3622) * ($Z67=$C$9:$C$3622),0))</f>
        <v>3152.15</v>
      </c>
      <c r="AH67" s="36" cm="1">
        <f t="array" ref="AH67">INDEX($F$9:$F$3622,MATCH(1, (AH$6=$D$9:$D$3622) * ($AB67=$E$9:$E$3622) * ($Z67=$C$9:$C$3622),0))</f>
        <v>3284.12</v>
      </c>
      <c r="AI67" s="36" cm="1">
        <f t="array" ref="AI67">INDEX($F$9:$F$3622,MATCH(1, (AI$6=$D$9:$D$3622) * ($AB67=$E$9:$E$3622) * ($Z67=$C$9:$C$3622),0))</f>
        <v>3320.71</v>
      </c>
      <c r="AJ67" s="36" cm="1">
        <f t="array" ref="AJ67">INDEX($F$9:$F$3622,MATCH(1, (AJ$6=$D$9:$D$3622) * ($AB67=$E$9:$E$3622) * ($Z67=$C$9:$C$3622),0))</f>
        <v>3366.13</v>
      </c>
      <c r="AK67" s="36" cm="1">
        <f t="array" ref="AK67">INDEX($F$9:$F$3622,MATCH(1, (AK$6=$D$9:$D$3622) * ($AB67=$E$9:$E$3622) * ($Z67=$C$9:$C$3622),0))</f>
        <v>3392.72</v>
      </c>
      <c r="AL67" s="36" cm="1">
        <f t="array" ref="AL67">INDEX($F$9:$F$3622,MATCH(1, (AL$6=$D$9:$D$3622) * ($AB67=$E$9:$E$3622) * ($Z67=$C$9:$C$3622),0))</f>
        <v>3431.96</v>
      </c>
      <c r="AM67" s="36" cm="1">
        <f t="array" ref="AM67">INDEX($F$9:$F$3622,MATCH(1, (AM$6=$D$9:$D$3622) * ($AB67=$E$9:$E$3622) * ($Z67=$C$9:$C$3622),0))</f>
        <v>3300.85</v>
      </c>
      <c r="AN67" s="36">
        <f t="shared" si="4"/>
        <v>3073.7022770477083</v>
      </c>
      <c r="AO67" s="36">
        <f t="shared" si="5"/>
        <v>2818.9393743336482</v>
      </c>
      <c r="AP67" s="36">
        <f t="shared" si="6"/>
        <v>2749.0205227484898</v>
      </c>
      <c r="AQ67" s="36">
        <f t="shared" si="7"/>
        <v>2864.6806299031896</v>
      </c>
      <c r="AR67" s="36">
        <f t="shared" si="8"/>
        <v>3064.4364966040798</v>
      </c>
      <c r="AS67" s="36">
        <f t="shared" si="9"/>
        <v>3260.0142978764184</v>
      </c>
      <c r="AT67" s="36">
        <f t="shared" si="10"/>
        <v>3911.7984549987509</v>
      </c>
      <c r="AU67" s="36">
        <f t="shared" si="11"/>
        <v>4754.1508763623715</v>
      </c>
      <c r="AV67" s="36">
        <f t="shared" si="12"/>
        <v>5882.3556940879171</v>
      </c>
      <c r="AW67" s="36">
        <v>5</v>
      </c>
      <c r="AZ67" s="37" t="s">
        <v>141</v>
      </c>
      <c r="BA67" s="37" t="s">
        <v>120</v>
      </c>
      <c r="BB67" s="38">
        <v>1</v>
      </c>
      <c r="BC67" s="38">
        <v>0.93118508173582815</v>
      </c>
      <c r="BD67" s="38">
        <v>0.8540040820799637</v>
      </c>
      <c r="BE67" s="38">
        <v>0.83282200728554456</v>
      </c>
      <c r="BF67" s="38">
        <v>0.86786149928145473</v>
      </c>
      <c r="BG67" s="38">
        <v>0.92837799251831499</v>
      </c>
      <c r="BH67" s="38">
        <v>0.98762873134993068</v>
      </c>
      <c r="BI67" s="38">
        <v>1.1850882212153691</v>
      </c>
      <c r="BJ67" s="38">
        <v>1.4402807992978692</v>
      </c>
      <c r="BK67" s="38">
        <v>1.7820730097059598</v>
      </c>
    </row>
    <row r="68" spans="3:63">
      <c r="C68" t="s">
        <v>113</v>
      </c>
      <c r="D68">
        <v>2023</v>
      </c>
      <c r="E68" t="s">
        <v>144</v>
      </c>
      <c r="F68">
        <v>10.11</v>
      </c>
      <c r="J68" s="18" t="s">
        <v>115</v>
      </c>
      <c r="K68" s="18">
        <v>2028</v>
      </c>
      <c r="L68" s="18" t="s">
        <v>174</v>
      </c>
      <c r="M68" s="18">
        <v>435.23</v>
      </c>
      <c r="P68" s="18" t="s">
        <v>115</v>
      </c>
      <c r="Q68" s="18">
        <v>2028</v>
      </c>
      <c r="R68" s="18" t="s">
        <v>175</v>
      </c>
      <c r="S68" s="18">
        <f t="shared" si="3"/>
        <v>0</v>
      </c>
      <c r="U68">
        <v>21.761500000000002</v>
      </c>
      <c r="Z68" s="36" t="str">
        <f t="shared" si="15"/>
        <v>IND</v>
      </c>
      <c r="AA68" s="36" t="s">
        <v>188</v>
      </c>
      <c r="AB68" s="36" t="str">
        <f t="shared" si="16"/>
        <v>DEMelcm</v>
      </c>
      <c r="AC68" s="36" cm="1">
        <f t="array" ref="AC68">INDEX($F$9:$F$3622,MATCH(1, (AC$6=$D$9:$D$3622) * ($AB68=$E$9:$E$3622) * ($Z68=$C$9:$C$3622),0))</f>
        <v>271.68</v>
      </c>
      <c r="AD68" s="36" cm="1">
        <f t="array" ref="AD68">INDEX($F$9:$F$3622,MATCH(1, (AD$6=$D$9:$D$3622) * ($AB68=$E$9:$E$3622) * ($Z68=$C$9:$C$3622),0))</f>
        <v>273.52</v>
      </c>
      <c r="AE68" s="36" cm="1">
        <f t="array" ref="AE68">INDEX($F$9:$F$3622,MATCH(1, (AE$6=$D$9:$D$3622) * ($AB68=$E$9:$E$3622) * ($Z68=$C$9:$C$3622),0))</f>
        <v>307.60000000000002</v>
      </c>
      <c r="AF68" s="36" cm="1">
        <f t="array" ref="AF68">INDEX($F$9:$F$3622,MATCH(1, (AF$6=$D$9:$D$3622) * ($AB68=$E$9:$E$3622) * ($Z68=$C$9:$C$3622),0))</f>
        <v>330.64</v>
      </c>
      <c r="AG68" s="36" cm="1">
        <f t="array" ref="AG68">INDEX($F$9:$F$3622,MATCH(1, (AG$6=$D$9:$D$3622) * ($AB68=$E$9:$E$3622) * ($Z68=$C$9:$C$3622),0))</f>
        <v>365.23</v>
      </c>
      <c r="AH68" s="36" cm="1">
        <f t="array" ref="AH68">INDEX($F$9:$F$3622,MATCH(1, (AH$6=$D$9:$D$3622) * ($AB68=$E$9:$E$3622) * ($Z68=$C$9:$C$3622),0))</f>
        <v>405.14</v>
      </c>
      <c r="AI68" s="36" cm="1">
        <f t="array" ref="AI68">INDEX($F$9:$F$3622,MATCH(1, (AI$6=$D$9:$D$3622) * ($AB68=$E$9:$E$3622) * ($Z68=$C$9:$C$3622),0))</f>
        <v>457.7</v>
      </c>
      <c r="AJ68" s="36" cm="1">
        <f t="array" ref="AJ68">INDEX($F$9:$F$3622,MATCH(1, (AJ$6=$D$9:$D$3622) * ($AB68=$E$9:$E$3622) * ($Z68=$C$9:$C$3622),0))</f>
        <v>463.38</v>
      </c>
      <c r="AK68" s="36" cm="1">
        <f t="array" ref="AK68">INDEX($F$9:$F$3622,MATCH(1, (AK$6=$D$9:$D$3622) * ($AB68=$E$9:$E$3622) * ($Z68=$C$9:$C$3622),0))</f>
        <v>470.24</v>
      </c>
      <c r="AL68" s="36" cm="1">
        <f t="array" ref="AL68">INDEX($F$9:$F$3622,MATCH(1, (AL$6=$D$9:$D$3622) * ($AB68=$E$9:$E$3622) * ($Z68=$C$9:$C$3622),0))</f>
        <v>491.79</v>
      </c>
      <c r="AM68" s="36" cm="1">
        <f t="array" ref="AM68">INDEX($F$9:$F$3622,MATCH(1, (AM$6=$D$9:$D$3622) * ($AB68=$E$9:$E$3622) * ($Z68=$C$9:$C$3622),0))</f>
        <v>463.94</v>
      </c>
      <c r="AN68" s="36">
        <f t="shared" si="4"/>
        <v>457.51012624593261</v>
      </c>
      <c r="AO68" s="36">
        <f t="shared" si="5"/>
        <v>424.95932902669369</v>
      </c>
      <c r="AP68" s="36">
        <f t="shared" si="6"/>
        <v>432.97912576670512</v>
      </c>
      <c r="AQ68" s="36">
        <f t="shared" si="7"/>
        <v>477.41850166477587</v>
      </c>
      <c r="AR68" s="36">
        <f t="shared" si="8"/>
        <v>540.46460436926588</v>
      </c>
      <c r="AS68" s="36">
        <f t="shared" si="9"/>
        <v>608.40941444611542</v>
      </c>
      <c r="AT68" s="36">
        <f t="shared" si="10"/>
        <v>730.05048136976927</v>
      </c>
      <c r="AU68" s="36">
        <f t="shared" si="11"/>
        <v>887.25689110022574</v>
      </c>
      <c r="AV68" s="36">
        <f t="shared" si="12"/>
        <v>1097.8113150408874</v>
      </c>
      <c r="AW68" s="36">
        <v>5</v>
      </c>
      <c r="AZ68" s="37" t="s">
        <v>141</v>
      </c>
      <c r="BA68" s="37" t="s">
        <v>121</v>
      </c>
      <c r="BB68" s="38">
        <v>1</v>
      </c>
      <c r="BC68" s="38">
        <v>0.9861407213129556</v>
      </c>
      <c r="BD68" s="38">
        <v>0.91597906847155597</v>
      </c>
      <c r="BE68" s="38">
        <v>0.93326534846468323</v>
      </c>
      <c r="BF68" s="38">
        <v>1.0290522517238778</v>
      </c>
      <c r="BG68" s="38">
        <v>1.1649450454137731</v>
      </c>
      <c r="BH68" s="38">
        <v>1.3113967634739738</v>
      </c>
      <c r="BI68" s="38">
        <v>1.5735881393494187</v>
      </c>
      <c r="BJ68" s="38">
        <v>1.9124388737772682</v>
      </c>
      <c r="BK68" s="38">
        <v>2.3662786460337273</v>
      </c>
    </row>
    <row r="69" spans="3:63">
      <c r="C69" t="s">
        <v>113</v>
      </c>
      <c r="D69">
        <v>2024</v>
      </c>
      <c r="E69" t="s">
        <v>145</v>
      </c>
      <c r="F69">
        <v>0.05</v>
      </c>
      <c r="J69" s="18" t="s">
        <v>115</v>
      </c>
      <c r="K69" s="18">
        <v>2029</v>
      </c>
      <c r="L69" s="18" t="s">
        <v>174</v>
      </c>
      <c r="M69" s="18">
        <v>452.15</v>
      </c>
      <c r="P69" s="18" t="s">
        <v>115</v>
      </c>
      <c r="Q69" s="18">
        <v>2029</v>
      </c>
      <c r="R69" s="18" t="s">
        <v>175</v>
      </c>
      <c r="S69" s="18">
        <f t="shared" si="3"/>
        <v>0</v>
      </c>
      <c r="U69">
        <v>22.607499999999998</v>
      </c>
      <c r="Z69" s="36" t="str">
        <f t="shared" si="15"/>
        <v>JPN</v>
      </c>
      <c r="AA69" s="36" t="s">
        <v>188</v>
      </c>
      <c r="AB69" s="36" t="str">
        <f t="shared" si="16"/>
        <v>DEMelcm</v>
      </c>
      <c r="AC69" s="36" cm="1">
        <f t="array" ref="AC69">INDEX($F$9:$F$3622,MATCH(1, (AC$6=$D$9:$D$3622) * ($AB69=$E$9:$E$3622) * ($Z69=$C$9:$C$3622),0))</f>
        <v>1351.47</v>
      </c>
      <c r="AD69" s="36" cm="1">
        <f t="array" ref="AD69">INDEX($F$9:$F$3622,MATCH(1, (AD$6=$D$9:$D$3622) * ($AB69=$E$9:$E$3622) * ($Z69=$C$9:$C$3622),0))</f>
        <v>1401.75</v>
      </c>
      <c r="AE69" s="36" cm="1">
        <f t="array" ref="AE69">INDEX($F$9:$F$3622,MATCH(1, (AE$6=$D$9:$D$3622) * ($AB69=$E$9:$E$3622) * ($Z69=$C$9:$C$3622),0))</f>
        <v>1289.3399999999999</v>
      </c>
      <c r="AF69" s="36" cm="1">
        <f t="array" ref="AF69">INDEX($F$9:$F$3622,MATCH(1, (AF$6=$D$9:$D$3622) * ($AB69=$E$9:$E$3622) * ($Z69=$C$9:$C$3622),0))</f>
        <v>1327.23</v>
      </c>
      <c r="AG69" s="36" cm="1">
        <f t="array" ref="AG69">INDEX($F$9:$F$3622,MATCH(1, (AG$6=$D$9:$D$3622) * ($AB69=$E$9:$E$3622) * ($Z69=$C$9:$C$3622),0))</f>
        <v>1351.09</v>
      </c>
      <c r="AH69" s="36" cm="1">
        <f t="array" ref="AH69">INDEX($F$9:$F$3622,MATCH(1, (AH$6=$D$9:$D$3622) * ($AB69=$E$9:$E$3622) * ($Z69=$C$9:$C$3622),0))</f>
        <v>1350.27</v>
      </c>
      <c r="AI69" s="36" cm="1">
        <f t="array" ref="AI69">INDEX($F$9:$F$3622,MATCH(1, (AI$6=$D$9:$D$3622) * ($AB69=$E$9:$E$3622) * ($Z69=$C$9:$C$3622),0))</f>
        <v>1213.47</v>
      </c>
      <c r="AJ69" s="36" cm="1">
        <f t="array" ref="AJ69">INDEX($F$9:$F$3622,MATCH(1, (AJ$6=$D$9:$D$3622) * ($AB69=$E$9:$E$3622) * ($Z69=$C$9:$C$3622),0))</f>
        <v>1216.6600000000001</v>
      </c>
      <c r="AK69" s="36" cm="1">
        <f t="array" ref="AK69">INDEX($F$9:$F$3622,MATCH(1, (AK$6=$D$9:$D$3622) * ($AB69=$E$9:$E$3622) * ($Z69=$C$9:$C$3622),0))</f>
        <v>1230.6600000000001</v>
      </c>
      <c r="AL69" s="36" cm="1">
        <f t="array" ref="AL69">INDEX($F$9:$F$3622,MATCH(1, (AL$6=$D$9:$D$3622) * ($AB69=$E$9:$E$3622) * ($Z69=$C$9:$C$3622),0))</f>
        <v>1228.0899999999999</v>
      </c>
      <c r="AM69" s="36" cm="1">
        <f t="array" ref="AM69">INDEX($F$9:$F$3622,MATCH(1, (AM$6=$D$9:$D$3622) * ($AB69=$E$9:$E$3622) * ($Z69=$C$9:$C$3622),0))</f>
        <v>1208.43</v>
      </c>
      <c r="AN69" s="36">
        <f t="shared" si="4"/>
        <v>1108.995344356706</v>
      </c>
      <c r="AO69" s="36">
        <f t="shared" si="5"/>
        <v>994.29208745790368</v>
      </c>
      <c r="AP69" s="36">
        <f t="shared" si="6"/>
        <v>960.19564984995839</v>
      </c>
      <c r="AQ69" s="36">
        <f t="shared" si="7"/>
        <v>994.6473414321398</v>
      </c>
      <c r="AR69" s="36">
        <f t="shared" si="8"/>
        <v>1058.4012760308299</v>
      </c>
      <c r="AS69" s="36">
        <f t="shared" si="9"/>
        <v>1119.2455126544874</v>
      </c>
      <c r="AT69" s="36">
        <f t="shared" si="10"/>
        <v>1343.0195290916743</v>
      </c>
      <c r="AU69" s="36">
        <f t="shared" si="11"/>
        <v>1632.2204593756355</v>
      </c>
      <c r="AV69" s="36">
        <f t="shared" si="12"/>
        <v>2019.5617604297552</v>
      </c>
      <c r="AW69" s="36">
        <v>5</v>
      </c>
      <c r="AZ69" s="37" t="s">
        <v>141</v>
      </c>
      <c r="BA69" s="37" t="s">
        <v>122</v>
      </c>
      <c r="BB69" s="38">
        <v>1</v>
      </c>
      <c r="BC69" s="38">
        <v>0.9177158332354427</v>
      </c>
      <c r="BD69" s="38">
        <v>0.82279659347906264</v>
      </c>
      <c r="BE69" s="38">
        <v>0.79458110924915659</v>
      </c>
      <c r="BF69" s="38">
        <v>0.82309057324970392</v>
      </c>
      <c r="BG69" s="38">
        <v>0.87584822954646091</v>
      </c>
      <c r="BH69" s="38">
        <v>0.92619805255950893</v>
      </c>
      <c r="BI69" s="38">
        <v>1.1113755278267456</v>
      </c>
      <c r="BJ69" s="38">
        <v>1.3506950831869744</v>
      </c>
      <c r="BK69" s="38">
        <v>1.6712277586866886</v>
      </c>
    </row>
    <row r="70" spans="3:63">
      <c r="C70" t="s">
        <v>113</v>
      </c>
      <c r="D70">
        <v>2024</v>
      </c>
      <c r="E70" t="s">
        <v>141</v>
      </c>
      <c r="F70">
        <v>252.62</v>
      </c>
      <c r="J70" s="18" t="s">
        <v>115</v>
      </c>
      <c r="K70" s="18">
        <v>2030</v>
      </c>
      <c r="L70" s="18" t="s">
        <v>174</v>
      </c>
      <c r="M70" s="18">
        <v>469.08</v>
      </c>
      <c r="P70" s="18" t="s">
        <v>115</v>
      </c>
      <c r="Q70" s="18">
        <v>2030</v>
      </c>
      <c r="R70" s="18" t="s">
        <v>175</v>
      </c>
      <c r="S70" s="18">
        <f t="shared" si="3"/>
        <v>0</v>
      </c>
      <c r="U70">
        <v>23.454000000000001</v>
      </c>
      <c r="Z70" s="36" t="str">
        <f t="shared" si="15"/>
        <v>MID</v>
      </c>
      <c r="AA70" s="36" t="s">
        <v>188</v>
      </c>
      <c r="AB70" s="36" t="str">
        <f t="shared" si="16"/>
        <v>DEMelcm</v>
      </c>
      <c r="AC70" s="36" cm="1">
        <f t="array" ref="AC70">INDEX($F$9:$F$3622,MATCH(1, (AC$6=$D$9:$D$3622) * ($AB70=$E$9:$E$3622) * ($Z70=$C$9:$C$3622),0))</f>
        <v>621.41</v>
      </c>
      <c r="AD70" s="36" cm="1">
        <f t="array" ref="AD70">INDEX($F$9:$F$3622,MATCH(1, (AD$6=$D$9:$D$3622) * ($AB70=$E$9:$E$3622) * ($Z70=$C$9:$C$3622),0))</f>
        <v>630.92999999999995</v>
      </c>
      <c r="AE70" s="36" cm="1">
        <f t="array" ref="AE70">INDEX($F$9:$F$3622,MATCH(1, (AE$6=$D$9:$D$3622) * ($AB70=$E$9:$E$3622) * ($Z70=$C$9:$C$3622),0))</f>
        <v>770.11</v>
      </c>
      <c r="AF70" s="36" cm="1">
        <f t="array" ref="AF70">INDEX($F$9:$F$3622,MATCH(1, (AF$6=$D$9:$D$3622) * ($AB70=$E$9:$E$3622) * ($Z70=$C$9:$C$3622),0))</f>
        <v>787.59</v>
      </c>
      <c r="AG70" s="36" cm="1">
        <f t="array" ref="AG70">INDEX($F$9:$F$3622,MATCH(1, (AG$6=$D$9:$D$3622) * ($AB70=$E$9:$E$3622) * ($Z70=$C$9:$C$3622),0))</f>
        <v>877.21</v>
      </c>
      <c r="AH70" s="36" cm="1">
        <f t="array" ref="AH70">INDEX($F$9:$F$3622,MATCH(1, (AH$6=$D$9:$D$3622) * ($AB70=$E$9:$E$3622) * ($Z70=$C$9:$C$3622),0))</f>
        <v>1021.28</v>
      </c>
      <c r="AI70" s="36" cm="1">
        <f t="array" ref="AI70">INDEX($F$9:$F$3622,MATCH(1, (AI$6=$D$9:$D$3622) * ($AB70=$E$9:$E$3622) * ($Z70=$C$9:$C$3622),0))</f>
        <v>1036.4100000000001</v>
      </c>
      <c r="AJ70" s="36" cm="1">
        <f t="array" ref="AJ70">INDEX($F$9:$F$3622,MATCH(1, (AJ$6=$D$9:$D$3622) * ($AB70=$E$9:$E$3622) * ($Z70=$C$9:$C$3622),0))</f>
        <v>1072.97</v>
      </c>
      <c r="AK70" s="36" cm="1">
        <f t="array" ref="AK70">INDEX($F$9:$F$3622,MATCH(1, (AK$6=$D$9:$D$3622) * ($AB70=$E$9:$E$3622) * ($Z70=$C$9:$C$3622),0))</f>
        <v>1123.3499999999999</v>
      </c>
      <c r="AL70" s="36" cm="1">
        <f t="array" ref="AL70">INDEX($F$9:$F$3622,MATCH(1, (AL$6=$D$9:$D$3622) * ($AB70=$E$9:$E$3622) * ($Z70=$C$9:$C$3622),0))</f>
        <v>1139.27</v>
      </c>
      <c r="AM70" s="36" cm="1">
        <f t="array" ref="AM70">INDEX($F$9:$F$3622,MATCH(1, (AM$6=$D$9:$D$3622) * ($AB70=$E$9:$E$3622) * ($Z70=$C$9:$C$3622),0))</f>
        <v>1096.3499999999999</v>
      </c>
      <c r="AN70" s="36">
        <f t="shared" si="4"/>
        <v>954.78338301421661</v>
      </c>
      <c r="AO70" s="36">
        <f t="shared" si="5"/>
        <v>785.38450537154131</v>
      </c>
      <c r="AP70" s="36">
        <f t="shared" si="6"/>
        <v>741.1305142458308</v>
      </c>
      <c r="AQ70" s="36">
        <f t="shared" si="7"/>
        <v>715.44797411673073</v>
      </c>
      <c r="AR70" s="36">
        <f t="shared" si="8"/>
        <v>707.84968510983185</v>
      </c>
      <c r="AS70" s="36">
        <f t="shared" si="9"/>
        <v>705.79665624079962</v>
      </c>
      <c r="AT70" s="36">
        <f t="shared" si="10"/>
        <v>750.36650250621653</v>
      </c>
      <c r="AU70" s="36">
        <f t="shared" si="11"/>
        <v>815.35862449002741</v>
      </c>
      <c r="AV70" s="36">
        <f t="shared" si="12"/>
        <v>910.9841600514311</v>
      </c>
      <c r="AW70" s="36">
        <v>5</v>
      </c>
      <c r="AZ70" s="37" t="s">
        <v>141</v>
      </c>
      <c r="BA70" s="37" t="s">
        <v>123</v>
      </c>
      <c r="BB70" s="38">
        <v>1</v>
      </c>
      <c r="BC70" s="38">
        <v>0.87087461395924359</v>
      </c>
      <c r="BD70" s="38">
        <v>0.71636293644505988</v>
      </c>
      <c r="BE70" s="38">
        <v>0.67599809754716178</v>
      </c>
      <c r="BF70" s="38">
        <v>0.65257260374582093</v>
      </c>
      <c r="BG70" s="38">
        <v>0.64564207151897834</v>
      </c>
      <c r="BH70" s="38">
        <v>0.64376946799908763</v>
      </c>
      <c r="BI70" s="38">
        <v>0.68442240389129072</v>
      </c>
      <c r="BJ70" s="38">
        <v>0.74370285446255979</v>
      </c>
      <c r="BK70" s="38">
        <v>0.83092457705242961</v>
      </c>
    </row>
    <row r="71" spans="3:63">
      <c r="C71" t="s">
        <v>113</v>
      </c>
      <c r="D71">
        <v>2024</v>
      </c>
      <c r="E71" t="s">
        <v>142</v>
      </c>
      <c r="F71">
        <v>330.72</v>
      </c>
      <c r="J71" s="18" t="s">
        <v>115</v>
      </c>
      <c r="K71" s="18">
        <v>2031</v>
      </c>
      <c r="L71" s="18" t="s">
        <v>174</v>
      </c>
      <c r="M71" s="18">
        <v>485.93</v>
      </c>
      <c r="P71" s="18" t="s">
        <v>115</v>
      </c>
      <c r="Q71" s="18">
        <v>2031</v>
      </c>
      <c r="R71" s="18" t="s">
        <v>175</v>
      </c>
      <c r="S71" s="18">
        <f t="shared" si="3"/>
        <v>0</v>
      </c>
      <c r="U71">
        <v>24.296500000000002</v>
      </c>
      <c r="Z71" s="36" t="str">
        <f t="shared" si="15"/>
        <v>MXC</v>
      </c>
      <c r="AA71" s="36" t="s">
        <v>188</v>
      </c>
      <c r="AB71" s="36" t="str">
        <f t="shared" si="16"/>
        <v>DEMelcm</v>
      </c>
      <c r="AC71" s="36" cm="1">
        <f t="array" ref="AC71">INDEX($F$9:$F$3622,MATCH(1, (AC$6=$D$9:$D$3622) * ($AB71=$E$9:$E$3622) * ($Z71=$C$9:$C$3622),0))</f>
        <v>142.62</v>
      </c>
      <c r="AD71" s="36" cm="1">
        <f t="array" ref="AD71">INDEX($F$9:$F$3622,MATCH(1, (AD$6=$D$9:$D$3622) * ($AB71=$E$9:$E$3622) * ($Z71=$C$9:$C$3622),0))</f>
        <v>145.75</v>
      </c>
      <c r="AE71" s="36" cm="1">
        <f t="array" ref="AE71">INDEX($F$9:$F$3622,MATCH(1, (AE$6=$D$9:$D$3622) * ($AB71=$E$9:$E$3622) * ($Z71=$C$9:$C$3622),0))</f>
        <v>148.02000000000001</v>
      </c>
      <c r="AF71" s="36" cm="1">
        <f t="array" ref="AF71">INDEX($F$9:$F$3622,MATCH(1, (AF$6=$D$9:$D$3622) * ($AB71=$E$9:$E$3622) * ($Z71=$C$9:$C$3622),0))</f>
        <v>167.59</v>
      </c>
      <c r="AG71" s="36" cm="1">
        <f t="array" ref="AG71">INDEX($F$9:$F$3622,MATCH(1, (AG$6=$D$9:$D$3622) * ($AB71=$E$9:$E$3622) * ($Z71=$C$9:$C$3622),0))</f>
        <v>168.31</v>
      </c>
      <c r="AH71" s="36" cm="1">
        <f t="array" ref="AH71">INDEX($F$9:$F$3622,MATCH(1, (AH$6=$D$9:$D$3622) * ($AB71=$E$9:$E$3622) * ($Z71=$C$9:$C$3622),0))</f>
        <v>184.15</v>
      </c>
      <c r="AI71" s="36" cm="1">
        <f t="array" ref="AI71">INDEX($F$9:$F$3622,MATCH(1, (AI$6=$D$9:$D$3622) * ($AB71=$E$9:$E$3622) * ($Z71=$C$9:$C$3622),0))</f>
        <v>186.23</v>
      </c>
      <c r="AJ71" s="36" cm="1">
        <f t="array" ref="AJ71">INDEX($F$9:$F$3622,MATCH(1, (AJ$6=$D$9:$D$3622) * ($AB71=$E$9:$E$3622) * ($Z71=$C$9:$C$3622),0))</f>
        <v>199.46</v>
      </c>
      <c r="AK71" s="36" cm="1">
        <f t="array" ref="AK71">INDEX($F$9:$F$3622,MATCH(1, (AK$6=$D$9:$D$3622) * ($AB71=$E$9:$E$3622) * ($Z71=$C$9:$C$3622),0))</f>
        <v>202.38</v>
      </c>
      <c r="AL71" s="36" cm="1">
        <f t="array" ref="AL71">INDEX($F$9:$F$3622,MATCH(1, (AL$6=$D$9:$D$3622) * ($AB71=$E$9:$E$3622) * ($Z71=$C$9:$C$3622),0))</f>
        <v>206.1</v>
      </c>
      <c r="AM71" s="36" cm="1">
        <f t="array" ref="AM71">INDEX($F$9:$F$3622,MATCH(1, (AM$6=$D$9:$D$3622) * ($AB71=$E$9:$E$3622) * ($Z71=$C$9:$C$3622),0))</f>
        <v>193.39</v>
      </c>
      <c r="AN71" s="36">
        <f t="shared" si="4"/>
        <v>174.09346817436287</v>
      </c>
      <c r="AO71" s="36">
        <f t="shared" si="5"/>
        <v>142.64803818674389</v>
      </c>
      <c r="AP71" s="36">
        <f t="shared" si="6"/>
        <v>132.8013339513183</v>
      </c>
      <c r="AQ71" s="36">
        <f t="shared" si="7"/>
        <v>126.6283075888161</v>
      </c>
      <c r="AR71" s="36">
        <f t="shared" si="8"/>
        <v>124.32270657105038</v>
      </c>
      <c r="AS71" s="36">
        <f t="shared" si="9"/>
        <v>123.17151894901409</v>
      </c>
      <c r="AT71" s="36">
        <f t="shared" si="10"/>
        <v>130.9495887589147</v>
      </c>
      <c r="AU71" s="36">
        <f t="shared" si="11"/>
        <v>142.29163510283266</v>
      </c>
      <c r="AV71" s="36">
        <f t="shared" si="12"/>
        <v>158.97964624777728</v>
      </c>
      <c r="AW71" s="36">
        <v>5</v>
      </c>
      <c r="AZ71" s="37" t="s">
        <v>141</v>
      </c>
      <c r="BA71" s="37" t="s">
        <v>50</v>
      </c>
      <c r="BB71" s="38">
        <v>1</v>
      </c>
      <c r="BC71" s="38">
        <v>0.90021959860573386</v>
      </c>
      <c r="BD71" s="38">
        <v>0.73761848175574696</v>
      </c>
      <c r="BE71" s="38">
        <v>0.68670217669640776</v>
      </c>
      <c r="BF71" s="38">
        <v>0.65478208588249709</v>
      </c>
      <c r="BG71" s="38">
        <v>0.64286005776436417</v>
      </c>
      <c r="BH71" s="38">
        <v>0.63690738377896527</v>
      </c>
      <c r="BI71" s="38">
        <v>0.67712699084189831</v>
      </c>
      <c r="BJ71" s="38">
        <v>0.73577555769601666</v>
      </c>
      <c r="BK71" s="38">
        <v>0.82206756423691663</v>
      </c>
    </row>
    <row r="72" spans="3:63">
      <c r="C72" t="s">
        <v>113</v>
      </c>
      <c r="D72">
        <v>2024</v>
      </c>
      <c r="E72" t="s">
        <v>143</v>
      </c>
      <c r="F72">
        <v>543.5</v>
      </c>
      <c r="J72" s="18" t="s">
        <v>115</v>
      </c>
      <c r="K72" s="18">
        <v>2032</v>
      </c>
      <c r="L72" s="18" t="s">
        <v>174</v>
      </c>
      <c r="M72" s="18">
        <v>503.34</v>
      </c>
      <c r="P72" s="18" t="s">
        <v>115</v>
      </c>
      <c r="Q72" s="18">
        <v>2032</v>
      </c>
      <c r="R72" s="18" t="s">
        <v>175</v>
      </c>
      <c r="S72" s="18">
        <f t="shared" si="3"/>
        <v>0</v>
      </c>
      <c r="U72">
        <v>25.166999999999998</v>
      </c>
      <c r="Z72" s="36" t="str">
        <f t="shared" si="15"/>
        <v>OAS</v>
      </c>
      <c r="AA72" s="36" t="s">
        <v>188</v>
      </c>
      <c r="AB72" s="36" t="str">
        <f t="shared" si="16"/>
        <v>DEMelcm</v>
      </c>
      <c r="AC72" s="36" cm="1">
        <f t="array" ref="AC72">INDEX($F$9:$F$3622,MATCH(1, (AC$6=$D$9:$D$3622) * ($AB72=$E$9:$E$3622) * ($Z72=$C$9:$C$3622),0))</f>
        <v>909.78</v>
      </c>
      <c r="AD72" s="36" cm="1">
        <f t="array" ref="AD72">INDEX($F$9:$F$3622,MATCH(1, (AD$6=$D$9:$D$3622) * ($AB72=$E$9:$E$3622) * ($Z72=$C$9:$C$3622),0))</f>
        <v>930.78</v>
      </c>
      <c r="AE72" s="36" cm="1">
        <f t="array" ref="AE72">INDEX($F$9:$F$3622,MATCH(1, (AE$6=$D$9:$D$3622) * ($AB72=$E$9:$E$3622) * ($Z72=$C$9:$C$3622),0))</f>
        <v>988.42</v>
      </c>
      <c r="AF72" s="36" cm="1">
        <f t="array" ref="AF72">INDEX($F$9:$F$3622,MATCH(1, (AF$6=$D$9:$D$3622) * ($AB72=$E$9:$E$3622) * ($Z72=$C$9:$C$3622),0))</f>
        <v>1032.06</v>
      </c>
      <c r="AG72" s="36" cm="1">
        <f t="array" ref="AG72">INDEX($F$9:$F$3622,MATCH(1, (AG$6=$D$9:$D$3622) * ($AB72=$E$9:$E$3622) * ($Z72=$C$9:$C$3622),0))</f>
        <v>996.94</v>
      </c>
      <c r="AH72" s="36" cm="1">
        <f t="array" ref="AH72">INDEX($F$9:$F$3622,MATCH(1, (AH$6=$D$9:$D$3622) * ($AB72=$E$9:$E$3622) * ($Z72=$C$9:$C$3622),0))</f>
        <v>1037.26</v>
      </c>
      <c r="AI72" s="36" cm="1">
        <f t="array" ref="AI72">INDEX($F$9:$F$3622,MATCH(1, (AI$6=$D$9:$D$3622) * ($AB72=$E$9:$E$3622) * ($Z72=$C$9:$C$3622),0))</f>
        <v>1110.75</v>
      </c>
      <c r="AJ72" s="36" cm="1">
        <f t="array" ref="AJ72">INDEX($F$9:$F$3622,MATCH(1, (AJ$6=$D$9:$D$3622) * ($AB72=$E$9:$E$3622) * ($Z72=$C$9:$C$3622),0))</f>
        <v>1142.27</v>
      </c>
      <c r="AK72" s="36" cm="1">
        <f t="array" ref="AK72">INDEX($F$9:$F$3622,MATCH(1, (AK$6=$D$9:$D$3622) * ($AB72=$E$9:$E$3622) * ($Z72=$C$9:$C$3622),0))</f>
        <v>1287.8499999999999</v>
      </c>
      <c r="AL72" s="36" cm="1">
        <f t="array" ref="AL72">INDEX($F$9:$F$3622,MATCH(1, (AL$6=$D$9:$D$3622) * ($AB72=$E$9:$E$3622) * ($Z72=$C$9:$C$3622),0))</f>
        <v>1328.36</v>
      </c>
      <c r="AM72" s="36" cm="1">
        <f t="array" ref="AM72">INDEX($F$9:$F$3622,MATCH(1, (AM$6=$D$9:$D$3622) * ($AB72=$E$9:$E$3622) * ($Z72=$C$9:$C$3622),0))</f>
        <v>1285.4000000000001</v>
      </c>
      <c r="AN72" s="36">
        <f t="shared" si="4"/>
        <v>1209.9914272968108</v>
      </c>
      <c r="AO72" s="36">
        <f t="shared" si="5"/>
        <v>1123.8346152087286</v>
      </c>
      <c r="AP72" s="36">
        <f t="shared" si="6"/>
        <v>1124.0419543661453</v>
      </c>
      <c r="AQ72" s="36">
        <f t="shared" si="7"/>
        <v>1205.2754243305276</v>
      </c>
      <c r="AR72" s="36">
        <f t="shared" si="8"/>
        <v>1327.1757418562297</v>
      </c>
      <c r="AS72" s="36">
        <f t="shared" si="9"/>
        <v>1453.9853196519473</v>
      </c>
      <c r="AT72" s="36">
        <f t="shared" si="10"/>
        <v>1744.6848410175169</v>
      </c>
      <c r="AU72" s="36">
        <f t="shared" si="11"/>
        <v>2120.3789155599975</v>
      </c>
      <c r="AV72" s="36">
        <f t="shared" si="12"/>
        <v>2623.564819867885</v>
      </c>
      <c r="AW72" s="36">
        <v>5</v>
      </c>
      <c r="AZ72" s="37" t="s">
        <v>141</v>
      </c>
      <c r="BA72" s="37" t="s">
        <v>124</v>
      </c>
      <c r="BB72" s="38">
        <v>1</v>
      </c>
      <c r="BC72" s="38">
        <v>0.9413345474535636</v>
      </c>
      <c r="BD72" s="38">
        <v>0.87430730917125288</v>
      </c>
      <c r="BE72" s="38">
        <v>0.8744686123900306</v>
      </c>
      <c r="BF72" s="38">
        <v>0.93766564830444021</v>
      </c>
      <c r="BG72" s="38">
        <v>1.0325001881563947</v>
      </c>
      <c r="BH72" s="38">
        <v>1.1311539751454389</v>
      </c>
      <c r="BI72" s="38">
        <v>1.3573088851855584</v>
      </c>
      <c r="BJ72" s="38">
        <v>1.6495868333281449</v>
      </c>
      <c r="BK72" s="38">
        <v>2.0410493386244632</v>
      </c>
    </row>
    <row r="73" spans="3:63">
      <c r="C73" t="s">
        <v>113</v>
      </c>
      <c r="D73">
        <v>2024</v>
      </c>
      <c r="E73" t="s">
        <v>144</v>
      </c>
      <c r="F73">
        <v>10.25</v>
      </c>
      <c r="J73" s="18" t="s">
        <v>115</v>
      </c>
      <c r="K73" s="18">
        <v>2033</v>
      </c>
      <c r="L73" s="18" t="s">
        <v>174</v>
      </c>
      <c r="M73" s="18">
        <v>521.9</v>
      </c>
      <c r="P73" s="18" t="s">
        <v>115</v>
      </c>
      <c r="Q73" s="18">
        <v>2033</v>
      </c>
      <c r="R73" s="18" t="s">
        <v>175</v>
      </c>
      <c r="S73" s="18">
        <f t="shared" si="3"/>
        <v>0</v>
      </c>
      <c r="U73">
        <v>26.094999999999999</v>
      </c>
      <c r="Z73" s="36" t="str">
        <f t="shared" si="15"/>
        <v>RUS</v>
      </c>
      <c r="AA73" s="36" t="s">
        <v>188</v>
      </c>
      <c r="AB73" s="36" t="str">
        <f t="shared" si="16"/>
        <v>DEMelcm</v>
      </c>
      <c r="AC73" s="36" cm="1">
        <f t="array" ref="AC73">INDEX($F$9:$F$3622,MATCH(1, (AC$6=$D$9:$D$3622) * ($AB73=$E$9:$E$3622) * ($Z73=$C$9:$C$3622),0))</f>
        <v>576.54999999999995</v>
      </c>
      <c r="AD73" s="36" cm="1">
        <f t="array" ref="AD73">INDEX($F$9:$F$3622,MATCH(1, (AD$6=$D$9:$D$3622) * ($AB73=$E$9:$E$3622) * ($Z73=$C$9:$C$3622),0))</f>
        <v>553.19000000000005</v>
      </c>
      <c r="AE73" s="36" cm="1">
        <f t="array" ref="AE73">INDEX($F$9:$F$3622,MATCH(1, (AE$6=$D$9:$D$3622) * ($AB73=$E$9:$E$3622) * ($Z73=$C$9:$C$3622),0))</f>
        <v>559.58000000000004</v>
      </c>
      <c r="AF73" s="36" cm="1">
        <f t="array" ref="AF73">INDEX($F$9:$F$3622,MATCH(1, (AF$6=$D$9:$D$3622) * ($AB73=$E$9:$E$3622) * ($Z73=$C$9:$C$3622),0))</f>
        <v>557.41999999999996</v>
      </c>
      <c r="AG73" s="36" cm="1">
        <f t="array" ref="AG73">INDEX($F$9:$F$3622,MATCH(1, (AG$6=$D$9:$D$3622) * ($AB73=$E$9:$E$3622) * ($Z73=$C$9:$C$3622),0))</f>
        <v>523.76</v>
      </c>
      <c r="AH73" s="36" cm="1">
        <f t="array" ref="AH73">INDEX($F$9:$F$3622,MATCH(1, (AH$6=$D$9:$D$3622) * ($AB73=$E$9:$E$3622) * ($Z73=$C$9:$C$3622),0))</f>
        <v>538.41999999999996</v>
      </c>
      <c r="AI73" s="36" cm="1">
        <f t="array" ref="AI73">INDEX($F$9:$F$3622,MATCH(1, (AI$6=$D$9:$D$3622) * ($AB73=$E$9:$E$3622) * ($Z73=$C$9:$C$3622),0))</f>
        <v>546.69000000000005</v>
      </c>
      <c r="AJ73" s="36" cm="1">
        <f t="array" ref="AJ73">INDEX($F$9:$F$3622,MATCH(1, (AJ$6=$D$9:$D$3622) * ($AB73=$E$9:$E$3622) * ($Z73=$C$9:$C$3622),0))</f>
        <v>554.29</v>
      </c>
      <c r="AK73" s="36" cm="1">
        <f t="array" ref="AK73">INDEX($F$9:$F$3622,MATCH(1, (AK$6=$D$9:$D$3622) * ($AB73=$E$9:$E$3622) * ($Z73=$C$9:$C$3622),0))</f>
        <v>523.27</v>
      </c>
      <c r="AL73" s="36" cm="1">
        <f t="array" ref="AL73">INDEX($F$9:$F$3622,MATCH(1, (AL$6=$D$9:$D$3622) * ($AB73=$E$9:$E$3622) * ($Z73=$C$9:$C$3622),0))</f>
        <v>529.41</v>
      </c>
      <c r="AM73" s="36" cm="1">
        <f t="array" ref="AM73">INDEX($F$9:$F$3622,MATCH(1, (AM$6=$D$9:$D$3622) * ($AB73=$E$9:$E$3622) * ($Z73=$C$9:$C$3622),0))</f>
        <v>518.07000000000005</v>
      </c>
      <c r="AN73" s="36">
        <f t="shared" si="4"/>
        <v>449.57084620280574</v>
      </c>
      <c r="AO73" s="36">
        <f t="shared" si="5"/>
        <v>361.73077728713065</v>
      </c>
      <c r="AP73" s="36">
        <f t="shared" si="6"/>
        <v>334.49344585303521</v>
      </c>
      <c r="AQ73" s="36">
        <f t="shared" si="7"/>
        <v>318.97393214199076</v>
      </c>
      <c r="AR73" s="36">
        <f t="shared" si="8"/>
        <v>311.68981965479236</v>
      </c>
      <c r="AS73" s="36">
        <f t="shared" si="9"/>
        <v>305.70384601489565</v>
      </c>
      <c r="AT73" s="36">
        <f t="shared" si="10"/>
        <v>325.00851868393369</v>
      </c>
      <c r="AU73" s="36">
        <f t="shared" si="11"/>
        <v>353.1587535645337</v>
      </c>
      <c r="AV73" s="36">
        <f t="shared" si="12"/>
        <v>394.5773317624778</v>
      </c>
      <c r="AW73" s="36">
        <v>5</v>
      </c>
      <c r="AZ73" s="37" t="s">
        <v>141</v>
      </c>
      <c r="BA73" s="37" t="s">
        <v>105</v>
      </c>
      <c r="BB73" s="38">
        <v>1</v>
      </c>
      <c r="BC73" s="38">
        <v>0.86778011890826667</v>
      </c>
      <c r="BD73" s="38">
        <v>0.69822760879250023</v>
      </c>
      <c r="BE73" s="38">
        <v>0.64565299255512798</v>
      </c>
      <c r="BF73" s="38">
        <v>0.61569658953807538</v>
      </c>
      <c r="BG73" s="38">
        <v>0.60163649633214111</v>
      </c>
      <c r="BH73" s="38">
        <v>0.59008212406604443</v>
      </c>
      <c r="BI73" s="38">
        <v>0.62734479642506547</v>
      </c>
      <c r="BJ73" s="38">
        <v>0.68168153640344675</v>
      </c>
      <c r="BK73" s="38">
        <v>0.7616293778108707</v>
      </c>
    </row>
    <row r="74" spans="3:63">
      <c r="C74" t="s">
        <v>113</v>
      </c>
      <c r="D74">
        <v>2025</v>
      </c>
      <c r="E74" t="s">
        <v>145</v>
      </c>
      <c r="F74">
        <v>0.06</v>
      </c>
      <c r="J74" s="18" t="s">
        <v>115</v>
      </c>
      <c r="K74" s="18">
        <v>2034</v>
      </c>
      <c r="L74" s="18" t="s">
        <v>174</v>
      </c>
      <c r="M74" s="18">
        <v>541.32000000000005</v>
      </c>
      <c r="P74" s="18" t="s">
        <v>115</v>
      </c>
      <c r="Q74" s="18">
        <v>2034</v>
      </c>
      <c r="R74" s="18" t="s">
        <v>175</v>
      </c>
      <c r="S74" s="18">
        <f t="shared" ref="S74:S137" si="17">IF(Q74&lt;2040, 0,U74)</f>
        <v>0</v>
      </c>
      <c r="U74">
        <v>27.066000000000003</v>
      </c>
      <c r="Z74" s="36" t="str">
        <f t="shared" si="15"/>
        <v>SKO</v>
      </c>
      <c r="AA74" s="36" t="s">
        <v>188</v>
      </c>
      <c r="AB74" s="36" t="str">
        <f t="shared" si="16"/>
        <v>DEMelcm</v>
      </c>
      <c r="AC74" s="36" cm="1">
        <f t="array" ref="AC74">INDEX($F$9:$F$3622,MATCH(1, (AC$6=$D$9:$D$3622) * ($AB74=$E$9:$E$3622) * ($Z74=$C$9:$C$3622),0))</f>
        <v>506.42</v>
      </c>
      <c r="AD74" s="36" cm="1">
        <f t="array" ref="AD74">INDEX($F$9:$F$3622,MATCH(1, (AD$6=$D$9:$D$3622) * ($AB74=$E$9:$E$3622) * ($Z74=$C$9:$C$3622),0))</f>
        <v>513.97</v>
      </c>
      <c r="AE74" s="36" cm="1">
        <f t="array" ref="AE74">INDEX($F$9:$F$3622,MATCH(1, (AE$6=$D$9:$D$3622) * ($AB74=$E$9:$E$3622) * ($Z74=$C$9:$C$3622),0))</f>
        <v>522.41999999999996</v>
      </c>
      <c r="AF74" s="36" cm="1">
        <f t="array" ref="AF74">INDEX($F$9:$F$3622,MATCH(1, (AF$6=$D$9:$D$3622) * ($AB74=$E$9:$E$3622) * ($Z74=$C$9:$C$3622),0))</f>
        <v>517.5</v>
      </c>
      <c r="AG74" s="36" cm="1">
        <f t="array" ref="AG74">INDEX($F$9:$F$3622,MATCH(1, (AG$6=$D$9:$D$3622) * ($AB74=$E$9:$E$3622) * ($Z74=$C$9:$C$3622),0))</f>
        <v>516.89</v>
      </c>
      <c r="AH74" s="36" cm="1">
        <f t="array" ref="AH74">INDEX($F$9:$F$3622,MATCH(1, (AH$6=$D$9:$D$3622) * ($AB74=$E$9:$E$3622) * ($Z74=$C$9:$C$3622),0))</f>
        <v>519.35</v>
      </c>
      <c r="AI74" s="36" cm="1">
        <f t="array" ref="AI74">INDEX($F$9:$F$3622,MATCH(1, (AI$6=$D$9:$D$3622) * ($AB74=$E$9:$E$3622) * ($Z74=$C$9:$C$3622),0))</f>
        <v>552.27</v>
      </c>
      <c r="AJ74" s="36" cm="1">
        <f t="array" ref="AJ74">INDEX($F$9:$F$3622,MATCH(1, (AJ$6=$D$9:$D$3622) * ($AB74=$E$9:$E$3622) * ($Z74=$C$9:$C$3622),0))</f>
        <v>543.29999999999995</v>
      </c>
      <c r="AK74" s="36" cm="1">
        <f t="array" ref="AK74">INDEX($F$9:$F$3622,MATCH(1, (AK$6=$D$9:$D$3622) * ($AB74=$E$9:$E$3622) * ($Z74=$C$9:$C$3622),0))</f>
        <v>565.82000000000005</v>
      </c>
      <c r="AL74" s="36" cm="1">
        <f t="array" ref="AL74">INDEX($F$9:$F$3622,MATCH(1, (AL$6=$D$9:$D$3622) * ($AB74=$E$9:$E$3622) * ($Z74=$C$9:$C$3622),0))</f>
        <v>575.04999999999995</v>
      </c>
      <c r="AM74" s="36" cm="1">
        <f t="array" ref="AM74">INDEX($F$9:$F$3622,MATCH(1, (AM$6=$D$9:$D$3622) * ($AB74=$E$9:$E$3622) * ($Z74=$C$9:$C$3622),0))</f>
        <v>570.80999999999995</v>
      </c>
      <c r="AN74" s="36">
        <f t="shared" ref="AN74:AN76" si="18">$AM74*BC74</f>
        <v>526.51085781340953</v>
      </c>
      <c r="AO74" s="36">
        <f t="shared" ref="AO74:AO76" si="19">$AM74*BD74</f>
        <v>475.97397349332545</v>
      </c>
      <c r="AP74" s="36">
        <f t="shared" ref="AP74:AP76" si="20">$AM74*BE74</f>
        <v>466.70086618634531</v>
      </c>
      <c r="AQ74" s="36">
        <f t="shared" ref="AQ74:AQ76" si="21">$AM74*BF74</f>
        <v>488.86940395060384</v>
      </c>
      <c r="AR74" s="36">
        <f t="shared" ref="AR74:AR76" si="22">$AM74*BG74</f>
        <v>525.57279604025439</v>
      </c>
      <c r="AS74" s="36">
        <f t="shared" ref="AS74:AS76" si="23">$AM74*BH74</f>
        <v>561.62502601494498</v>
      </c>
      <c r="AT74" s="36">
        <f t="shared" ref="AT74:AT76" si="24">$AM74*BI74</f>
        <v>673.91235384611912</v>
      </c>
      <c r="AU74" s="36">
        <f t="shared" ref="AU74:AU76" si="25">$AM74*BJ74</f>
        <v>819.03018381093511</v>
      </c>
      <c r="AV74" s="36">
        <f t="shared" ref="AV74:AV76" si="26">$AM74*BK74</f>
        <v>1013.393766976213</v>
      </c>
      <c r="AW74" s="36">
        <v>5</v>
      </c>
      <c r="AZ74" s="37" t="s">
        <v>141</v>
      </c>
      <c r="BA74" s="37" t="s">
        <v>51</v>
      </c>
      <c r="BB74" s="38">
        <v>1</v>
      </c>
      <c r="BC74" s="38">
        <v>0.92239249104502308</v>
      </c>
      <c r="BD74" s="38">
        <v>0.83385710392832202</v>
      </c>
      <c r="BE74" s="38">
        <v>0.81761158036184611</v>
      </c>
      <c r="BF74" s="38">
        <v>0.85644856248244405</v>
      </c>
      <c r="BG74" s="38">
        <v>0.92074910397549881</v>
      </c>
      <c r="BH74" s="38">
        <v>0.9839088768853822</v>
      </c>
      <c r="BI74" s="38">
        <v>1.1806246454093643</v>
      </c>
      <c r="BJ74" s="38">
        <v>1.4348560533468846</v>
      </c>
      <c r="BK74" s="38">
        <v>1.7753609204047109</v>
      </c>
    </row>
    <row r="75" spans="3:63">
      <c r="C75" t="s">
        <v>113</v>
      </c>
      <c r="D75">
        <v>2025</v>
      </c>
      <c r="E75" t="s">
        <v>141</v>
      </c>
      <c r="F75">
        <v>260.45</v>
      </c>
      <c r="J75" s="18" t="s">
        <v>115</v>
      </c>
      <c r="K75" s="18">
        <v>2035</v>
      </c>
      <c r="L75" s="18" t="s">
        <v>174</v>
      </c>
      <c r="M75" s="18">
        <v>560.76</v>
      </c>
      <c r="P75" s="18" t="s">
        <v>115</v>
      </c>
      <c r="Q75" s="18">
        <v>2035</v>
      </c>
      <c r="R75" s="18" t="s">
        <v>175</v>
      </c>
      <c r="S75" s="18">
        <f t="shared" si="17"/>
        <v>0</v>
      </c>
      <c r="U75">
        <v>28.038</v>
      </c>
      <c r="Z75" s="36" t="str">
        <f t="shared" si="15"/>
        <v>URA</v>
      </c>
      <c r="AA75" s="36" t="s">
        <v>188</v>
      </c>
      <c r="AB75" s="36" t="str">
        <f t="shared" si="16"/>
        <v>DEMelcm</v>
      </c>
      <c r="AC75" s="36" cm="1">
        <f t="array" ref="AC75">INDEX($F$9:$F$3622,MATCH(1, (AC$6=$D$9:$D$3622) * ($AB75=$E$9:$E$3622) * ($Z75=$C$9:$C$3622),0))</f>
        <v>249.8</v>
      </c>
      <c r="AD75" s="36" cm="1">
        <f t="array" ref="AD75">INDEX($F$9:$F$3622,MATCH(1, (AD$6=$D$9:$D$3622) * ($AB75=$E$9:$E$3622) * ($Z75=$C$9:$C$3622),0))</f>
        <v>283.04000000000002</v>
      </c>
      <c r="AE75" s="36" cm="1">
        <f t="array" ref="AE75">INDEX($F$9:$F$3622,MATCH(1, (AE$6=$D$9:$D$3622) * ($AB75=$E$9:$E$3622) * ($Z75=$C$9:$C$3622),0))</f>
        <v>279.85000000000002</v>
      </c>
      <c r="AF75" s="36" cm="1">
        <f t="array" ref="AF75">INDEX($F$9:$F$3622,MATCH(1, (AF$6=$D$9:$D$3622) * ($AB75=$E$9:$E$3622) * ($Z75=$C$9:$C$3622),0))</f>
        <v>301.06</v>
      </c>
      <c r="AG75" s="36" cm="1">
        <f t="array" ref="AG75">INDEX($F$9:$F$3622,MATCH(1, (AG$6=$D$9:$D$3622) * ($AB75=$E$9:$E$3622) * ($Z75=$C$9:$C$3622),0))</f>
        <v>310.14999999999998</v>
      </c>
      <c r="AH75" s="36" cm="1">
        <f t="array" ref="AH75">INDEX($F$9:$F$3622,MATCH(1, (AH$6=$D$9:$D$3622) * ($AB75=$E$9:$E$3622) * ($Z75=$C$9:$C$3622),0))</f>
        <v>307.08</v>
      </c>
      <c r="AI75" s="36" cm="1">
        <f t="array" ref="AI75">INDEX($F$9:$F$3622,MATCH(1, (AI$6=$D$9:$D$3622) * ($AB75=$E$9:$E$3622) * ($Z75=$C$9:$C$3622),0))</f>
        <v>314.92</v>
      </c>
      <c r="AJ75" s="36" cm="1">
        <f t="array" ref="AJ75">INDEX($F$9:$F$3622,MATCH(1, (AJ$6=$D$9:$D$3622) * ($AB75=$E$9:$E$3622) * ($Z75=$C$9:$C$3622),0))</f>
        <v>315.98</v>
      </c>
      <c r="AK75" s="36" cm="1">
        <f t="array" ref="AK75">INDEX($F$9:$F$3622,MATCH(1, (AK$6=$D$9:$D$3622) * ($AB75=$E$9:$E$3622) * ($Z75=$C$9:$C$3622),0))</f>
        <v>324.63</v>
      </c>
      <c r="AL75" s="36" cm="1">
        <f t="array" ref="AL75">INDEX($F$9:$F$3622,MATCH(1, (AL$6=$D$9:$D$3622) * ($AB75=$E$9:$E$3622) * ($Z75=$C$9:$C$3622),0))</f>
        <v>336.38</v>
      </c>
      <c r="AM75" s="36" cm="1">
        <f t="array" ref="AM75">INDEX($F$9:$F$3622,MATCH(1, (AM$6=$D$9:$D$3622) * ($AB75=$E$9:$E$3622) * ($Z75=$C$9:$C$3622),0))</f>
        <v>333.03</v>
      </c>
      <c r="AN75" s="36">
        <f t="shared" si="18"/>
        <v>311.65534342255273</v>
      </c>
      <c r="AO75" s="36">
        <f t="shared" si="19"/>
        <v>289.79420577949742</v>
      </c>
      <c r="AP75" s="36">
        <f t="shared" si="20"/>
        <v>288.91541969194731</v>
      </c>
      <c r="AQ75" s="36">
        <f t="shared" si="21"/>
        <v>307.73668782375313</v>
      </c>
      <c r="AR75" s="36">
        <f t="shared" si="22"/>
        <v>335.66556792262884</v>
      </c>
      <c r="AS75" s="36">
        <f t="shared" si="23"/>
        <v>363.86863461771929</v>
      </c>
      <c r="AT75" s="36">
        <f t="shared" si="24"/>
        <v>436.61795092349575</v>
      </c>
      <c r="AU75" s="36">
        <f t="shared" si="25"/>
        <v>530.63766906650062</v>
      </c>
      <c r="AV75" s="36">
        <f t="shared" si="26"/>
        <v>656.56298996535213</v>
      </c>
      <c r="AW75" s="36">
        <v>5</v>
      </c>
      <c r="AZ75" s="37" t="s">
        <v>141</v>
      </c>
      <c r="BA75" s="37" t="s">
        <v>125</v>
      </c>
      <c r="BB75" s="38">
        <v>1</v>
      </c>
      <c r="BC75" s="38">
        <v>0.93581762430577653</v>
      </c>
      <c r="BD75" s="38">
        <v>0.87017447611175402</v>
      </c>
      <c r="BE75" s="38">
        <v>0.86753571657792794</v>
      </c>
      <c r="BF75" s="38">
        <v>0.92405094983560987</v>
      </c>
      <c r="BG75" s="38">
        <v>1.0079139054218205</v>
      </c>
      <c r="BH75" s="38">
        <v>1.0926001700078651</v>
      </c>
      <c r="BI75" s="38">
        <v>1.3110469054544509</v>
      </c>
      <c r="BJ75" s="38">
        <v>1.5933629674999268</v>
      </c>
      <c r="BK75" s="38">
        <v>1.9714830194437503</v>
      </c>
    </row>
    <row r="76" spans="3:63">
      <c r="C76" t="s">
        <v>113</v>
      </c>
      <c r="D76">
        <v>2025</v>
      </c>
      <c r="E76" t="s">
        <v>142</v>
      </c>
      <c r="F76">
        <v>341.23</v>
      </c>
      <c r="J76" s="18" t="s">
        <v>115</v>
      </c>
      <c r="K76" s="18">
        <v>2036</v>
      </c>
      <c r="L76" s="18" t="s">
        <v>174</v>
      </c>
      <c r="M76" s="18">
        <v>580.78</v>
      </c>
      <c r="P76" s="18" t="s">
        <v>115</v>
      </c>
      <c r="Q76" s="18">
        <v>2036</v>
      </c>
      <c r="R76" s="18" t="s">
        <v>175</v>
      </c>
      <c r="S76" s="18">
        <f t="shared" si="17"/>
        <v>0</v>
      </c>
      <c r="U76">
        <v>29.038999999999998</v>
      </c>
      <c r="Z76" s="36" t="str">
        <f t="shared" si="15"/>
        <v>USA</v>
      </c>
      <c r="AA76" s="36" t="s">
        <v>188</v>
      </c>
      <c r="AB76" s="36" t="str">
        <f t="shared" si="16"/>
        <v>DEMelcm</v>
      </c>
      <c r="AC76" s="36" cm="1">
        <f t="array" ref="AC76">INDEX($F$9:$F$3622,MATCH(1, (AC$6=$D$9:$D$3622) * ($AB76=$E$9:$E$3622) * ($Z76=$C$9:$C$3622),0))</f>
        <v>4538.6400000000003</v>
      </c>
      <c r="AD76" s="36" cm="1">
        <f t="array" ref="AD76">INDEX($F$9:$F$3622,MATCH(1, (AD$6=$D$9:$D$3622) * ($AB76=$E$9:$E$3622) * ($Z76=$C$9:$C$3622),0))</f>
        <v>4531.33</v>
      </c>
      <c r="AE76" s="36" cm="1">
        <f t="array" ref="AE76">INDEX($F$9:$F$3622,MATCH(1, (AE$6=$D$9:$D$3622) * ($AB76=$E$9:$E$3622) * ($Z76=$C$9:$C$3622),0))</f>
        <v>4528.07</v>
      </c>
      <c r="AF76" s="36" cm="1">
        <f t="array" ref="AF76">INDEX($F$9:$F$3622,MATCH(1, (AF$6=$D$9:$D$3622) * ($AB76=$E$9:$E$3622) * ($Z76=$C$9:$C$3622),0))</f>
        <v>4562.1099999999997</v>
      </c>
      <c r="AG76" s="36" cm="1">
        <f t="array" ref="AG76">INDEX($F$9:$F$3622,MATCH(1, (AG$6=$D$9:$D$3622) * ($AB76=$E$9:$E$3622) * ($Z76=$C$9:$C$3622),0))</f>
        <v>4613.5600000000004</v>
      </c>
      <c r="AH76" s="36" cm="1">
        <f t="array" ref="AH76">INDEX($F$9:$F$3622,MATCH(1, (AH$6=$D$9:$D$3622) * ($AB76=$E$9:$E$3622) * ($Z76=$C$9:$C$3622),0))</f>
        <v>4642.88</v>
      </c>
      <c r="AI76" s="36" cm="1">
        <f t="array" ref="AI76">INDEX($F$9:$F$3622,MATCH(1, (AI$6=$D$9:$D$3622) * ($AB76=$E$9:$E$3622) * ($Z76=$C$9:$C$3622),0))</f>
        <v>4664.8599999999997</v>
      </c>
      <c r="AJ76" s="36" cm="1">
        <f t="array" ref="AJ76">INDEX($F$9:$F$3622,MATCH(1, (AJ$6=$D$9:$D$3622) * ($AB76=$E$9:$E$3622) * ($Z76=$C$9:$C$3622),0))</f>
        <v>4616.05</v>
      </c>
      <c r="AK76" s="36" cm="1">
        <f t="array" ref="AK76">INDEX($F$9:$F$3622,MATCH(1, (AK$6=$D$9:$D$3622) * ($AB76=$E$9:$E$3622) * ($Z76=$C$9:$C$3622),0))</f>
        <v>4714.57</v>
      </c>
      <c r="AL76" s="36" cm="1">
        <f t="array" ref="AL76">INDEX($F$9:$F$3622,MATCH(1, (AL$6=$D$9:$D$3622) * ($AB76=$E$9:$E$3622) * ($Z76=$C$9:$C$3622),0))</f>
        <v>4621.71</v>
      </c>
      <c r="AM76" s="36" cm="1">
        <f t="array" ref="AM76">INDEX($F$9:$F$3622,MATCH(1, (AM$6=$D$9:$D$3622) * ($AB76=$E$9:$E$3622) * ($Z76=$C$9:$C$3622),0))</f>
        <v>4335.43</v>
      </c>
      <c r="AN76" s="36">
        <f t="shared" si="18"/>
        <v>3808.7414377774858</v>
      </c>
      <c r="AO76" s="36">
        <f t="shared" si="19"/>
        <v>3119.9388923498714</v>
      </c>
      <c r="AP76" s="36">
        <f t="shared" si="20"/>
        <v>2911.7563486291424</v>
      </c>
      <c r="AQ76" s="36">
        <f t="shared" si="21"/>
        <v>2781.4998502907247</v>
      </c>
      <c r="AR76" s="36">
        <f t="shared" si="22"/>
        <v>2734.3371167208061</v>
      </c>
      <c r="AS76" s="36">
        <f t="shared" si="23"/>
        <v>2706.3732340446222</v>
      </c>
      <c r="AT76" s="36">
        <f t="shared" si="24"/>
        <v>2877.276054158101</v>
      </c>
      <c r="AU76" s="36">
        <f t="shared" si="25"/>
        <v>3126.4879734913275</v>
      </c>
      <c r="AV76" s="36">
        <f t="shared" si="26"/>
        <v>3493.1635416542381</v>
      </c>
      <c r="AW76" s="36">
        <v>5</v>
      </c>
      <c r="AZ76" s="37" t="s">
        <v>141</v>
      </c>
      <c r="BA76" s="37" t="s">
        <v>112</v>
      </c>
      <c r="BB76" s="38">
        <v>1</v>
      </c>
      <c r="BC76" s="38">
        <v>0.87851526556246684</v>
      </c>
      <c r="BD76" s="38">
        <v>0.71963770429919782</v>
      </c>
      <c r="BE76" s="38">
        <v>0.67161881258125311</v>
      </c>
      <c r="BF76" s="38">
        <v>0.64157415764773607</v>
      </c>
      <c r="BG76" s="38">
        <v>0.63069571339424368</v>
      </c>
      <c r="BH76" s="38">
        <v>0.62424563054751714</v>
      </c>
      <c r="BI76" s="38">
        <v>0.66366566964709406</v>
      </c>
      <c r="BJ76" s="38">
        <v>0.72114829982062389</v>
      </c>
      <c r="BK76" s="38">
        <v>0.80572481660509754</v>
      </c>
    </row>
    <row r="77" spans="3:63">
      <c r="C77" t="s">
        <v>113</v>
      </c>
      <c r="D77">
        <v>2025</v>
      </c>
      <c r="E77" t="s">
        <v>143</v>
      </c>
      <c r="F77">
        <v>569.86</v>
      </c>
      <c r="J77" s="18" t="s">
        <v>115</v>
      </c>
      <c r="K77" s="18">
        <v>2037</v>
      </c>
      <c r="L77" s="18" t="s">
        <v>174</v>
      </c>
      <c r="M77" s="18">
        <v>599.85</v>
      </c>
      <c r="P77" s="18" t="s">
        <v>115</v>
      </c>
      <c r="Q77" s="18">
        <v>2037</v>
      </c>
      <c r="R77" s="18" t="s">
        <v>175</v>
      </c>
      <c r="S77" s="18">
        <f t="shared" si="17"/>
        <v>0</v>
      </c>
      <c r="U77">
        <v>29.9925</v>
      </c>
    </row>
    <row r="78" spans="3:63">
      <c r="C78" t="s">
        <v>113</v>
      </c>
      <c r="D78">
        <v>2025</v>
      </c>
      <c r="E78" t="s">
        <v>144</v>
      </c>
      <c r="F78">
        <v>10.38</v>
      </c>
      <c r="J78" s="18" t="s">
        <v>115</v>
      </c>
      <c r="K78" s="18">
        <v>2038</v>
      </c>
      <c r="L78" s="18" t="s">
        <v>174</v>
      </c>
      <c r="M78" s="18">
        <v>620.82000000000005</v>
      </c>
      <c r="P78" s="18" t="s">
        <v>115</v>
      </c>
      <c r="Q78" s="18">
        <v>2038</v>
      </c>
      <c r="R78" s="18" t="s">
        <v>175</v>
      </c>
      <c r="S78" s="18">
        <f t="shared" si="17"/>
        <v>0</v>
      </c>
      <c r="U78">
        <v>31.041000000000004</v>
      </c>
    </row>
    <row r="79" spans="3:63">
      <c r="C79" t="s">
        <v>113</v>
      </c>
      <c r="D79">
        <v>2026</v>
      </c>
      <c r="E79" t="s">
        <v>145</v>
      </c>
      <c r="F79">
        <v>7.0000000000000007E-2</v>
      </c>
      <c r="J79" s="18" t="s">
        <v>115</v>
      </c>
      <c r="K79" s="18">
        <v>2039</v>
      </c>
      <c r="L79" s="18" t="s">
        <v>174</v>
      </c>
      <c r="M79" s="18">
        <v>644.37</v>
      </c>
      <c r="P79" s="18" t="s">
        <v>115</v>
      </c>
      <c r="Q79" s="18">
        <v>2039</v>
      </c>
      <c r="R79" s="18" t="s">
        <v>175</v>
      </c>
      <c r="S79" s="18">
        <f t="shared" si="17"/>
        <v>0</v>
      </c>
      <c r="U79">
        <v>32.218499999999999</v>
      </c>
    </row>
    <row r="80" spans="3:63">
      <c r="C80" t="s">
        <v>113</v>
      </c>
      <c r="D80">
        <v>2026</v>
      </c>
      <c r="E80" t="s">
        <v>141</v>
      </c>
      <c r="F80">
        <v>267.13</v>
      </c>
      <c r="J80" s="18" t="s">
        <v>115</v>
      </c>
      <c r="K80" s="18">
        <v>2040</v>
      </c>
      <c r="L80" s="18" t="s">
        <v>174</v>
      </c>
      <c r="M80" s="18">
        <v>667.79</v>
      </c>
      <c r="P80" s="18" t="s">
        <v>115</v>
      </c>
      <c r="Q80" s="18">
        <v>2040</v>
      </c>
      <c r="R80" s="18" t="s">
        <v>175</v>
      </c>
      <c r="S80" s="18">
        <f t="shared" si="17"/>
        <v>33.389499999999998</v>
      </c>
      <c r="U80">
        <v>33.389499999999998</v>
      </c>
    </row>
    <row r="81" spans="3:60">
      <c r="C81" t="s">
        <v>113</v>
      </c>
      <c r="D81">
        <v>2026</v>
      </c>
      <c r="E81" t="s">
        <v>142</v>
      </c>
      <c r="F81">
        <v>347.38</v>
      </c>
      <c r="J81" s="18" t="s">
        <v>115</v>
      </c>
      <c r="K81" s="18">
        <v>2041</v>
      </c>
      <c r="L81" s="18" t="s">
        <v>174</v>
      </c>
      <c r="M81" s="18">
        <v>689.01</v>
      </c>
      <c r="P81" s="18" t="s">
        <v>115</v>
      </c>
      <c r="Q81" s="18">
        <v>2041</v>
      </c>
      <c r="R81" s="18" t="s">
        <v>175</v>
      </c>
      <c r="S81" s="18">
        <f t="shared" si="17"/>
        <v>34.450499999999998</v>
      </c>
      <c r="U81">
        <v>34.450499999999998</v>
      </c>
    </row>
    <row r="82" spans="3:60">
      <c r="C82" t="s">
        <v>113</v>
      </c>
      <c r="D82">
        <v>2026</v>
      </c>
      <c r="E82" t="s">
        <v>143</v>
      </c>
      <c r="F82">
        <v>594.67999999999995</v>
      </c>
      <c r="J82" s="18" t="s">
        <v>115</v>
      </c>
      <c r="K82" s="18">
        <v>2042</v>
      </c>
      <c r="L82" s="18" t="s">
        <v>174</v>
      </c>
      <c r="M82" s="18">
        <v>711.91</v>
      </c>
      <c r="P82" s="18" t="s">
        <v>115</v>
      </c>
      <c r="Q82" s="18">
        <v>2042</v>
      </c>
      <c r="R82" s="18" t="s">
        <v>175</v>
      </c>
      <c r="S82" s="18">
        <f t="shared" si="17"/>
        <v>35.595500000000001</v>
      </c>
      <c r="U82">
        <v>35.595500000000001</v>
      </c>
      <c r="Z82" s="19" t="str">
        <f>IF(B1=2, "~TFM_DINS-TS","Deactivated")</f>
        <v>~TFM_DINS-TS</v>
      </c>
      <c r="AA82" s="42"/>
      <c r="AB82" s="42"/>
      <c r="AC82" s="42"/>
      <c r="AD82" s="42"/>
    </row>
    <row r="83" spans="3:60">
      <c r="C83" t="s">
        <v>113</v>
      </c>
      <c r="D83">
        <v>2026</v>
      </c>
      <c r="E83" t="s">
        <v>144</v>
      </c>
      <c r="F83">
        <v>10.53</v>
      </c>
      <c r="J83" s="18" t="s">
        <v>115</v>
      </c>
      <c r="K83" s="18">
        <v>2043</v>
      </c>
      <c r="L83" s="18" t="s">
        <v>174</v>
      </c>
      <c r="M83" s="18">
        <v>735.9</v>
      </c>
      <c r="P83" s="18" t="s">
        <v>115</v>
      </c>
      <c r="Q83" s="18">
        <v>2043</v>
      </c>
      <c r="R83" s="18" t="s">
        <v>175</v>
      </c>
      <c r="S83" s="18">
        <f t="shared" si="17"/>
        <v>36.795000000000002</v>
      </c>
      <c r="U83">
        <v>36.795000000000002</v>
      </c>
      <c r="Z83" s="20" t="s">
        <v>131</v>
      </c>
      <c r="AA83" s="20" t="s">
        <v>1</v>
      </c>
      <c r="AB83" s="20" t="s">
        <v>55</v>
      </c>
      <c r="AC83" s="20">
        <v>2010</v>
      </c>
      <c r="AD83" s="20">
        <v>2020</v>
      </c>
      <c r="AE83" s="20">
        <v>2030</v>
      </c>
      <c r="AF83" s="20">
        <v>2040</v>
      </c>
      <c r="AG83" s="20">
        <v>2050</v>
      </c>
      <c r="AH83" s="20">
        <v>2060</v>
      </c>
      <c r="AI83" s="20">
        <v>2070</v>
      </c>
      <c r="AJ83" s="20">
        <v>2080</v>
      </c>
      <c r="AK83" s="20">
        <v>0</v>
      </c>
      <c r="BA83" s="40"/>
      <c r="BB83" s="40"/>
      <c r="BC83" s="40"/>
      <c r="BD83" s="40"/>
      <c r="BE83" s="40"/>
      <c r="BF83" s="40"/>
      <c r="BG83" s="40"/>
      <c r="BH83" s="40"/>
    </row>
    <row r="84" spans="3:60" ht="29.4" thickBot="1">
      <c r="C84" t="s">
        <v>113</v>
      </c>
      <c r="D84">
        <v>2027</v>
      </c>
      <c r="E84" t="s">
        <v>145</v>
      </c>
      <c r="F84">
        <v>0.08</v>
      </c>
      <c r="J84" s="18" t="s">
        <v>115</v>
      </c>
      <c r="K84" s="18">
        <v>2044</v>
      </c>
      <c r="L84" s="18" t="s">
        <v>174</v>
      </c>
      <c r="M84" s="18">
        <v>760.02</v>
      </c>
      <c r="P84" s="18" t="s">
        <v>115</v>
      </c>
      <c r="Q84" s="18">
        <v>2044</v>
      </c>
      <c r="R84" s="18" t="s">
        <v>175</v>
      </c>
      <c r="S84" s="18">
        <f t="shared" si="17"/>
        <v>38.000999999999998</v>
      </c>
      <c r="U84">
        <v>38.000999999999998</v>
      </c>
      <c r="Z84" s="22" t="s">
        <v>166</v>
      </c>
      <c r="AA84" s="22" t="s">
        <v>140</v>
      </c>
      <c r="AB84" s="22" t="s">
        <v>167</v>
      </c>
      <c r="AC84" s="22" t="s">
        <v>191</v>
      </c>
      <c r="AD84" s="22" t="s">
        <v>189</v>
      </c>
      <c r="AE84" s="22" t="s">
        <v>189</v>
      </c>
      <c r="AF84" s="22"/>
      <c r="AG84" s="22"/>
      <c r="AH84" s="22"/>
      <c r="AI84" s="22"/>
      <c r="AJ84" s="22"/>
      <c r="AK84" s="22"/>
      <c r="BA84" s="40"/>
      <c r="BB84" s="41"/>
      <c r="BC84" s="41"/>
      <c r="BD84" s="41"/>
      <c r="BE84" s="41"/>
      <c r="BF84" s="41"/>
      <c r="BG84" s="41"/>
      <c r="BH84" s="41"/>
    </row>
    <row r="85" spans="3:60" ht="15" thickTop="1">
      <c r="C85" t="s">
        <v>113</v>
      </c>
      <c r="D85">
        <v>2027</v>
      </c>
      <c r="E85" t="s">
        <v>141</v>
      </c>
      <c r="F85">
        <v>273.33</v>
      </c>
      <c r="J85" s="18" t="s">
        <v>115</v>
      </c>
      <c r="K85" s="18">
        <v>2045</v>
      </c>
      <c r="L85" s="18" t="s">
        <v>174</v>
      </c>
      <c r="M85" s="18">
        <v>783.79</v>
      </c>
      <c r="P85" s="18" t="s">
        <v>115</v>
      </c>
      <c r="Q85" s="18">
        <v>2045</v>
      </c>
      <c r="R85" s="18" t="s">
        <v>175</v>
      </c>
      <c r="S85" s="18">
        <f t="shared" si="17"/>
        <v>39.189499999999995</v>
      </c>
      <c r="U85">
        <v>39.189499999999995</v>
      </c>
      <c r="Z85" s="23" t="s">
        <v>169</v>
      </c>
      <c r="AA85" s="24" t="s">
        <v>170</v>
      </c>
      <c r="AB85" s="24"/>
      <c r="AC85" s="24"/>
      <c r="AD85" s="24"/>
      <c r="AE85" s="24"/>
      <c r="AF85" s="24"/>
      <c r="AG85" s="24"/>
      <c r="AH85" s="24"/>
      <c r="AI85" s="24"/>
      <c r="AJ85" s="24"/>
      <c r="AK85" s="24"/>
      <c r="AZ85" s="40"/>
      <c r="BA85" s="40"/>
      <c r="BB85" s="41"/>
      <c r="BC85" s="41"/>
      <c r="BD85" s="41"/>
      <c r="BE85" s="41"/>
      <c r="BF85" s="41"/>
      <c r="BG85" s="41"/>
      <c r="BH85" s="41"/>
    </row>
    <row r="86" spans="3:60">
      <c r="C86" t="s">
        <v>113</v>
      </c>
      <c r="D86">
        <v>2027</v>
      </c>
      <c r="E86" t="s">
        <v>142</v>
      </c>
      <c r="F86">
        <v>355.5</v>
      </c>
      <c r="J86" s="18" t="s">
        <v>115</v>
      </c>
      <c r="K86" s="18">
        <v>2046</v>
      </c>
      <c r="L86" s="18" t="s">
        <v>174</v>
      </c>
      <c r="M86" s="18">
        <v>809.9</v>
      </c>
      <c r="P86" s="18" t="s">
        <v>115</v>
      </c>
      <c r="Q86" s="18">
        <v>2046</v>
      </c>
      <c r="R86" s="18" t="s">
        <v>175</v>
      </c>
      <c r="S86" s="18">
        <f t="shared" si="17"/>
        <v>40.494999999999997</v>
      </c>
      <c r="U86">
        <v>40.494999999999997</v>
      </c>
      <c r="Z86" s="42" t="s">
        <v>115</v>
      </c>
      <c r="AA86" t="s">
        <v>140</v>
      </c>
      <c r="AB86" t="s">
        <v>174</v>
      </c>
      <c r="AC86">
        <f>AD86*0.7</f>
        <v>155.42452275403491</v>
      </c>
      <c r="AD86" s="42">
        <v>222.03503250576418</v>
      </c>
      <c r="AE86" s="42">
        <v>247.18575732336626</v>
      </c>
      <c r="AF86" s="42">
        <v>416.91933700255498</v>
      </c>
      <c r="AG86" s="42">
        <v>578.39724226270835</v>
      </c>
      <c r="AH86" s="42">
        <v>762.04383583710228</v>
      </c>
      <c r="AI86" s="42">
        <v>989.40889262277722</v>
      </c>
      <c r="AJ86" s="42">
        <v>1282.3516442253724</v>
      </c>
      <c r="AK86">
        <v>5</v>
      </c>
      <c r="AZ86" s="40"/>
      <c r="BA86" s="40"/>
      <c r="BB86" s="41"/>
      <c r="BC86" s="41"/>
      <c r="BD86" s="41"/>
      <c r="BE86" s="41"/>
      <c r="BF86" s="41"/>
      <c r="BG86" s="41"/>
      <c r="BH86" s="41"/>
    </row>
    <row r="87" spans="3:60">
      <c r="C87" t="s">
        <v>113</v>
      </c>
      <c r="D87">
        <v>2027</v>
      </c>
      <c r="E87" t="s">
        <v>143</v>
      </c>
      <c r="F87">
        <v>619.79</v>
      </c>
      <c r="J87" s="18" t="s">
        <v>115</v>
      </c>
      <c r="K87" s="18">
        <v>2047</v>
      </c>
      <c r="L87" s="18" t="s">
        <v>174</v>
      </c>
      <c r="M87" s="18">
        <v>838.44</v>
      </c>
      <c r="P87" s="18" t="s">
        <v>115</v>
      </c>
      <c r="Q87" s="18">
        <v>2047</v>
      </c>
      <c r="R87" s="18" t="s">
        <v>175</v>
      </c>
      <c r="S87" s="18">
        <f t="shared" si="17"/>
        <v>41.922000000000004</v>
      </c>
      <c r="U87">
        <v>41.922000000000004</v>
      </c>
      <c r="Z87" s="42" t="s">
        <v>116</v>
      </c>
      <c r="AA87" s="42" t="s">
        <v>140</v>
      </c>
      <c r="AB87" s="42" t="s">
        <v>174</v>
      </c>
      <c r="AC87" s="42">
        <f t="shared" ref="AC87:AC102" si="27">AD87*0.7</f>
        <v>177.37364490043183</v>
      </c>
      <c r="AD87" s="42">
        <v>253.39092128633121</v>
      </c>
      <c r="AE87" s="42">
        <v>266.98767752993149</v>
      </c>
      <c r="AF87" s="42">
        <v>405.98306514236072</v>
      </c>
      <c r="AG87" s="42">
        <v>497.80696062521065</v>
      </c>
      <c r="AH87" s="42">
        <v>655.86537774145131</v>
      </c>
      <c r="AI87" s="42">
        <v>851.55079876468471</v>
      </c>
      <c r="AJ87" s="42">
        <v>1103.6767256484065</v>
      </c>
      <c r="AK87" s="42">
        <v>5</v>
      </c>
      <c r="AZ87" s="40"/>
      <c r="BA87" s="40"/>
      <c r="BB87" s="41"/>
      <c r="BC87" s="41"/>
      <c r="BD87" s="41"/>
      <c r="BE87" s="41"/>
      <c r="BF87" s="41"/>
      <c r="BG87" s="41"/>
      <c r="BH87" s="41"/>
    </row>
    <row r="88" spans="3:60">
      <c r="C88" t="s">
        <v>113</v>
      </c>
      <c r="D88">
        <v>2027</v>
      </c>
      <c r="E88" t="s">
        <v>144</v>
      </c>
      <c r="F88">
        <v>10.7</v>
      </c>
      <c r="J88" s="18" t="s">
        <v>115</v>
      </c>
      <c r="K88" s="18">
        <v>2048</v>
      </c>
      <c r="L88" s="18" t="s">
        <v>174</v>
      </c>
      <c r="M88" s="18">
        <v>865.13</v>
      </c>
      <c r="P88" s="18" t="s">
        <v>115</v>
      </c>
      <c r="Q88" s="18">
        <v>2048</v>
      </c>
      <c r="R88" s="18" t="s">
        <v>175</v>
      </c>
      <c r="S88" s="18">
        <f t="shared" si="17"/>
        <v>43.256500000000003</v>
      </c>
      <c r="U88">
        <v>43.256500000000003</v>
      </c>
      <c r="Z88" s="42" t="s">
        <v>117</v>
      </c>
      <c r="AA88" s="42" t="s">
        <v>140</v>
      </c>
      <c r="AB88" s="42" t="s">
        <v>174</v>
      </c>
      <c r="AC88" s="42">
        <f t="shared" si="27"/>
        <v>163.13462834420616</v>
      </c>
      <c r="AD88" s="42">
        <v>233.04946906315169</v>
      </c>
      <c r="AE88" s="42">
        <v>249.68764123209471</v>
      </c>
      <c r="AF88" s="42">
        <v>404.01637992206093</v>
      </c>
      <c r="AG88" s="42">
        <v>555.59183433281055</v>
      </c>
      <c r="AH88" s="42">
        <v>731.99749524816184</v>
      </c>
      <c r="AI88" s="42">
        <v>950.3978604860049</v>
      </c>
      <c r="AJ88" s="42">
        <v>1231.7902822075846</v>
      </c>
      <c r="AK88" s="42">
        <v>5</v>
      </c>
      <c r="AZ88" s="40"/>
      <c r="BA88" s="40"/>
      <c r="BB88" s="41"/>
      <c r="BC88" s="41"/>
      <c r="BD88" s="41"/>
      <c r="BE88" s="41"/>
      <c r="BF88" s="41"/>
      <c r="BG88" s="41"/>
      <c r="BH88" s="41"/>
    </row>
    <row r="89" spans="3:60">
      <c r="C89" t="s">
        <v>113</v>
      </c>
      <c r="D89">
        <v>2028</v>
      </c>
      <c r="E89" t="s">
        <v>145</v>
      </c>
      <c r="F89">
        <v>0.09</v>
      </c>
      <c r="J89" s="18" t="s">
        <v>115</v>
      </c>
      <c r="K89" s="18">
        <v>2049</v>
      </c>
      <c r="L89" s="18" t="s">
        <v>174</v>
      </c>
      <c r="M89" s="18">
        <v>893.39</v>
      </c>
      <c r="P89" s="18" t="s">
        <v>115</v>
      </c>
      <c r="Q89" s="18">
        <v>2049</v>
      </c>
      <c r="R89" s="18" t="s">
        <v>175</v>
      </c>
      <c r="S89" s="18">
        <f t="shared" si="17"/>
        <v>44.669499999999999</v>
      </c>
      <c r="U89">
        <v>44.669499999999999</v>
      </c>
      <c r="Z89" s="42" t="s">
        <v>118</v>
      </c>
      <c r="AA89" s="42" t="s">
        <v>140</v>
      </c>
      <c r="AB89" s="42" t="s">
        <v>174</v>
      </c>
      <c r="AC89" s="42">
        <f t="shared" si="27"/>
        <v>1479.6334745258757</v>
      </c>
      <c r="AD89" s="42">
        <v>2113.7621064655368</v>
      </c>
      <c r="AE89" s="42">
        <v>2880.3308251080507</v>
      </c>
      <c r="AF89" s="42">
        <v>5260.7028215512792</v>
      </c>
      <c r="AG89" s="42">
        <v>7585.5293380112207</v>
      </c>
      <c r="AH89" s="42">
        <v>9994.0066293874843</v>
      </c>
      <c r="AI89" s="42">
        <v>12975.840190590689</v>
      </c>
      <c r="AJ89" s="42">
        <v>16817.708156534289</v>
      </c>
      <c r="AK89" s="42">
        <v>5</v>
      </c>
      <c r="AZ89" s="40"/>
      <c r="BA89" s="40"/>
      <c r="BB89" s="41"/>
      <c r="BC89" s="41"/>
      <c r="BD89" s="41"/>
      <c r="BE89" s="41"/>
      <c r="BF89" s="41"/>
      <c r="BG89" s="41"/>
      <c r="BH89" s="41"/>
    </row>
    <row r="90" spans="3:60">
      <c r="C90" t="s">
        <v>113</v>
      </c>
      <c r="D90">
        <v>2028</v>
      </c>
      <c r="E90" t="s">
        <v>141</v>
      </c>
      <c r="F90">
        <v>279.32</v>
      </c>
      <c r="J90" s="18" t="s">
        <v>115</v>
      </c>
      <c r="K90" s="18">
        <v>2050</v>
      </c>
      <c r="L90" s="18" t="s">
        <v>174</v>
      </c>
      <c r="M90" s="18">
        <v>927.36</v>
      </c>
      <c r="P90" s="18" t="s">
        <v>115</v>
      </c>
      <c r="Q90" s="18">
        <v>2050</v>
      </c>
      <c r="R90" s="18" t="s">
        <v>175</v>
      </c>
      <c r="S90" s="18">
        <f t="shared" si="17"/>
        <v>46.368000000000002</v>
      </c>
      <c r="U90">
        <v>46.368000000000002</v>
      </c>
      <c r="Z90" s="42" t="s">
        <v>119</v>
      </c>
      <c r="AA90" s="42" t="s">
        <v>140</v>
      </c>
      <c r="AB90" s="42" t="s">
        <v>174</v>
      </c>
      <c r="AC90" s="42">
        <f t="shared" si="27"/>
        <v>157.19417225739735</v>
      </c>
      <c r="AD90" s="42">
        <v>224.56310322485336</v>
      </c>
      <c r="AE90" s="42">
        <v>276.21991501170822</v>
      </c>
      <c r="AF90" s="42">
        <v>487.23167430368909</v>
      </c>
      <c r="AG90" s="42">
        <v>733.3502529331131</v>
      </c>
      <c r="AH90" s="42">
        <v>966.19589258593112</v>
      </c>
      <c r="AI90" s="42">
        <v>1254.4722011824954</v>
      </c>
      <c r="AJ90" s="42">
        <v>1625.8945131946775</v>
      </c>
      <c r="AK90" s="42">
        <v>5</v>
      </c>
      <c r="AZ90" s="40"/>
      <c r="BA90" s="40"/>
      <c r="BB90" s="41"/>
      <c r="BC90" s="41"/>
      <c r="BD90" s="41"/>
      <c r="BE90" s="41"/>
      <c r="BF90" s="41"/>
      <c r="BG90" s="41"/>
      <c r="BH90" s="41"/>
    </row>
    <row r="91" spans="3:60">
      <c r="C91" t="s">
        <v>113</v>
      </c>
      <c r="D91">
        <v>2028</v>
      </c>
      <c r="E91" t="s">
        <v>142</v>
      </c>
      <c r="F91">
        <v>360.79</v>
      </c>
      <c r="J91" s="18" t="s">
        <v>116</v>
      </c>
      <c r="K91" s="18">
        <v>2010</v>
      </c>
      <c r="L91" s="18" t="s">
        <v>174</v>
      </c>
      <c r="M91" s="18">
        <v>423.4</v>
      </c>
      <c r="P91" s="18" t="s">
        <v>116</v>
      </c>
      <c r="Q91" s="18">
        <v>2010</v>
      </c>
      <c r="R91" s="18" t="s">
        <v>175</v>
      </c>
      <c r="S91" s="18">
        <f t="shared" si="17"/>
        <v>0</v>
      </c>
      <c r="U91">
        <v>21.169999999999998</v>
      </c>
      <c r="Z91" s="42" t="s">
        <v>120</v>
      </c>
      <c r="AA91" s="42" t="s">
        <v>140</v>
      </c>
      <c r="AB91" s="42" t="s">
        <v>174</v>
      </c>
      <c r="AC91" s="42">
        <f t="shared" si="27"/>
        <v>1908.3363207768396</v>
      </c>
      <c r="AD91" s="42">
        <v>2726.1947439669138</v>
      </c>
      <c r="AE91" s="42">
        <v>2838.4053159708747</v>
      </c>
      <c r="AF91" s="42">
        <v>4324.0789228357362</v>
      </c>
      <c r="AG91" s="42">
        <v>5671.464850667171</v>
      </c>
      <c r="AH91" s="42">
        <v>7472.2085684749818</v>
      </c>
      <c r="AI91" s="42">
        <v>9701.6329737251926</v>
      </c>
      <c r="AJ91" s="42">
        <v>12574.078410138991</v>
      </c>
      <c r="AK91" s="42">
        <v>5</v>
      </c>
      <c r="AZ91" s="40"/>
      <c r="BA91" s="40"/>
      <c r="BB91" s="41"/>
      <c r="BC91" s="41"/>
      <c r="BD91" s="41"/>
      <c r="BE91" s="41"/>
      <c r="BF91" s="41"/>
      <c r="BG91" s="41"/>
      <c r="BH91" s="41"/>
    </row>
    <row r="92" spans="3:60">
      <c r="C92" t="s">
        <v>113</v>
      </c>
      <c r="D92">
        <v>2028</v>
      </c>
      <c r="E92" t="s">
        <v>143</v>
      </c>
      <c r="F92">
        <v>645.53</v>
      </c>
      <c r="J92" s="18" t="s">
        <v>116</v>
      </c>
      <c r="K92" s="18">
        <v>2011</v>
      </c>
      <c r="L92" s="18" t="s">
        <v>174</v>
      </c>
      <c r="M92" s="18">
        <v>446.79</v>
      </c>
      <c r="P92" s="18" t="s">
        <v>116</v>
      </c>
      <c r="Q92" s="18">
        <v>2011</v>
      </c>
      <c r="R92" s="18" t="s">
        <v>175</v>
      </c>
      <c r="S92" s="18">
        <f t="shared" si="17"/>
        <v>0</v>
      </c>
      <c r="U92">
        <v>22.339500000000001</v>
      </c>
      <c r="Z92" s="42" t="s">
        <v>121</v>
      </c>
      <c r="AA92" s="42" t="s">
        <v>140</v>
      </c>
      <c r="AB92" s="42" t="s">
        <v>174</v>
      </c>
      <c r="AC92" s="42">
        <f t="shared" si="27"/>
        <v>257.30709900125913</v>
      </c>
      <c r="AD92" s="42">
        <v>367.58157000179881</v>
      </c>
      <c r="AE92" s="42">
        <v>630.78334796754166</v>
      </c>
      <c r="AF92" s="42">
        <v>1410.9989625243031</v>
      </c>
      <c r="AG92" s="42">
        <v>2378.6020972853494</v>
      </c>
      <c r="AH92" s="42">
        <v>3133.8307545426028</v>
      </c>
      <c r="AI92" s="42">
        <v>4068.847316523671</v>
      </c>
      <c r="AJ92" s="42">
        <v>5273.5457355904573</v>
      </c>
      <c r="AK92" s="42">
        <v>5</v>
      </c>
      <c r="AZ92" s="40"/>
      <c r="BA92" s="40"/>
      <c r="BB92" s="41"/>
      <c r="BC92" s="41"/>
      <c r="BD92" s="41"/>
      <c r="BE92" s="41"/>
      <c r="BF92" s="41"/>
      <c r="BG92" s="41"/>
      <c r="BH92" s="41"/>
    </row>
    <row r="93" spans="3:60">
      <c r="C93" t="s">
        <v>113</v>
      </c>
      <c r="D93">
        <v>2028</v>
      </c>
      <c r="E93" t="s">
        <v>144</v>
      </c>
      <c r="F93">
        <v>10.84</v>
      </c>
      <c r="J93" s="18" t="s">
        <v>116</v>
      </c>
      <c r="K93" s="18">
        <v>2012</v>
      </c>
      <c r="L93" s="18" t="s">
        <v>174</v>
      </c>
      <c r="M93" s="18">
        <v>474.39</v>
      </c>
      <c r="P93" s="18" t="s">
        <v>116</v>
      </c>
      <c r="Q93" s="18">
        <v>2012</v>
      </c>
      <c r="R93" s="18" t="s">
        <v>175</v>
      </c>
      <c r="S93" s="18">
        <f t="shared" si="17"/>
        <v>0</v>
      </c>
      <c r="U93">
        <v>23.7195</v>
      </c>
      <c r="Z93" s="42" t="s">
        <v>122</v>
      </c>
      <c r="AA93" s="42" t="s">
        <v>140</v>
      </c>
      <c r="AB93" s="42" t="s">
        <v>174</v>
      </c>
      <c r="AC93" s="42">
        <f t="shared" si="27"/>
        <v>445.0664420132033</v>
      </c>
      <c r="AD93" s="42">
        <v>635.80920287600475</v>
      </c>
      <c r="AE93" s="42">
        <v>600.9320076314159</v>
      </c>
      <c r="AF93" s="42">
        <v>822.94435087929548</v>
      </c>
      <c r="AG93" s="42">
        <v>968.45887703739925</v>
      </c>
      <c r="AH93" s="42">
        <v>1275.9537279620513</v>
      </c>
      <c r="AI93" s="42">
        <v>1656.6500582398276</v>
      </c>
      <c r="AJ93" s="42">
        <v>2147.1486075472894</v>
      </c>
      <c r="AK93" s="42">
        <v>5</v>
      </c>
      <c r="AZ93" s="40"/>
      <c r="BA93" s="40"/>
      <c r="BB93" s="41"/>
      <c r="BC93" s="41"/>
      <c r="BD93" s="41"/>
      <c r="BE93" s="41"/>
      <c r="BF93" s="41"/>
      <c r="BG93" s="41"/>
      <c r="BH93" s="41"/>
    </row>
    <row r="94" spans="3:60">
      <c r="C94" t="s">
        <v>113</v>
      </c>
      <c r="D94">
        <v>2029</v>
      </c>
      <c r="E94" t="s">
        <v>145</v>
      </c>
      <c r="F94">
        <v>0.09</v>
      </c>
      <c r="J94" s="18" t="s">
        <v>116</v>
      </c>
      <c r="K94" s="18">
        <v>2013</v>
      </c>
      <c r="L94" s="18" t="s">
        <v>174</v>
      </c>
      <c r="M94" s="18">
        <v>503.44</v>
      </c>
      <c r="P94" s="18" t="s">
        <v>116</v>
      </c>
      <c r="Q94" s="18">
        <v>2013</v>
      </c>
      <c r="R94" s="18" t="s">
        <v>175</v>
      </c>
      <c r="S94" s="18">
        <f t="shared" si="17"/>
        <v>0</v>
      </c>
      <c r="U94">
        <v>25.172000000000001</v>
      </c>
      <c r="Z94" s="42" t="s">
        <v>123</v>
      </c>
      <c r="AA94" s="42" t="s">
        <v>140</v>
      </c>
      <c r="AB94" s="42" t="s">
        <v>174</v>
      </c>
      <c r="AC94" s="42">
        <f t="shared" si="27"/>
        <v>211.81794531405552</v>
      </c>
      <c r="AD94" s="42">
        <v>302.59706473436506</v>
      </c>
      <c r="AE94" s="42">
        <v>349.02722248239087</v>
      </c>
      <c r="AF94" s="42">
        <v>577.44648714246205</v>
      </c>
      <c r="AG94" s="42">
        <v>784.87369867091058</v>
      </c>
      <c r="AH94" s="42">
        <v>1034.0785195361868</v>
      </c>
      <c r="AI94" s="42">
        <v>1342.6084363970988</v>
      </c>
      <c r="AJ94" s="42">
        <v>1740.1259972514633</v>
      </c>
      <c r="AK94" s="42">
        <v>5</v>
      </c>
      <c r="AZ94" s="40"/>
      <c r="BA94" s="40"/>
      <c r="BB94" s="41"/>
      <c r="BC94" s="41"/>
      <c r="BD94" s="41"/>
      <c r="BE94" s="41"/>
      <c r="BF94" s="41"/>
      <c r="BG94" s="41"/>
      <c r="BH94" s="41"/>
    </row>
    <row r="95" spans="3:60">
      <c r="C95" t="s">
        <v>113</v>
      </c>
      <c r="D95">
        <v>2029</v>
      </c>
      <c r="E95" t="s">
        <v>141</v>
      </c>
      <c r="F95">
        <v>285.36</v>
      </c>
      <c r="J95" s="18" t="s">
        <v>116</v>
      </c>
      <c r="K95" s="18">
        <v>2014</v>
      </c>
      <c r="L95" s="18" t="s">
        <v>174</v>
      </c>
      <c r="M95" s="18">
        <v>538.70000000000005</v>
      </c>
      <c r="P95" s="18" t="s">
        <v>116</v>
      </c>
      <c r="Q95" s="18">
        <v>2014</v>
      </c>
      <c r="R95" s="18" t="s">
        <v>175</v>
      </c>
      <c r="S95" s="18">
        <f t="shared" si="17"/>
        <v>0</v>
      </c>
      <c r="U95">
        <v>26.935000000000002</v>
      </c>
      <c r="Z95" s="42" t="s">
        <v>50</v>
      </c>
      <c r="AA95" s="42" t="s">
        <v>140</v>
      </c>
      <c r="AB95" s="42" t="s">
        <v>174</v>
      </c>
      <c r="AC95" s="42">
        <f t="shared" si="27"/>
        <v>181.58556578976172</v>
      </c>
      <c r="AD95" s="42">
        <v>259.40795112823105</v>
      </c>
      <c r="AE95" s="42">
        <v>291.82940859089007</v>
      </c>
      <c r="AF95" s="42">
        <v>484.25872690264094</v>
      </c>
      <c r="AG95" s="42">
        <v>665.8283781749642</v>
      </c>
      <c r="AH95" s="42">
        <v>877.23518412487419</v>
      </c>
      <c r="AI95" s="42">
        <v>1138.9689821994248</v>
      </c>
      <c r="AJ95" s="42">
        <v>1476.1932684609344</v>
      </c>
      <c r="AK95" s="42">
        <v>5</v>
      </c>
      <c r="AZ95" s="40"/>
      <c r="BA95" s="40"/>
      <c r="BB95" s="41"/>
      <c r="BC95" s="41"/>
      <c r="BD95" s="41"/>
      <c r="BE95" s="41"/>
      <c r="BF95" s="41"/>
      <c r="BG95" s="41"/>
      <c r="BH95" s="41"/>
    </row>
    <row r="96" spans="3:60">
      <c r="C96" t="s">
        <v>113</v>
      </c>
      <c r="D96">
        <v>2029</v>
      </c>
      <c r="E96" t="s">
        <v>142</v>
      </c>
      <c r="F96">
        <v>371.43</v>
      </c>
      <c r="J96" s="18" t="s">
        <v>116</v>
      </c>
      <c r="K96" s="18">
        <v>2015</v>
      </c>
      <c r="L96" s="18" t="s">
        <v>174</v>
      </c>
      <c r="M96" s="18">
        <v>547.61</v>
      </c>
      <c r="P96" s="18" t="s">
        <v>116</v>
      </c>
      <c r="Q96" s="18">
        <v>2015</v>
      </c>
      <c r="R96" s="18" t="s">
        <v>175</v>
      </c>
      <c r="S96" s="18">
        <f t="shared" si="17"/>
        <v>0</v>
      </c>
      <c r="U96">
        <v>27.380500000000001</v>
      </c>
      <c r="Z96" s="42" t="s">
        <v>124</v>
      </c>
      <c r="AA96" s="42" t="s">
        <v>140</v>
      </c>
      <c r="AB96" s="42" t="s">
        <v>174</v>
      </c>
      <c r="AC96" s="42">
        <f t="shared" si="27"/>
        <v>473.73647791392438</v>
      </c>
      <c r="AD96" s="42">
        <v>676.766397019892</v>
      </c>
      <c r="AE96" s="42">
        <v>901.84736868865434</v>
      </c>
      <c r="AF96" s="42">
        <v>1726.3866315522673</v>
      </c>
      <c r="AG96" s="42">
        <v>2665.9971506438847</v>
      </c>
      <c r="AH96" s="42">
        <v>3512.476454866453</v>
      </c>
      <c r="AI96" s="42">
        <v>4560.4665717890339</v>
      </c>
      <c r="AJ96" s="42">
        <v>5910.7229077616294</v>
      </c>
      <c r="AK96" s="42">
        <v>5</v>
      </c>
      <c r="AZ96" s="40"/>
      <c r="BA96" s="40"/>
      <c r="BB96" s="41"/>
      <c r="BC96" s="41"/>
      <c r="BD96" s="41"/>
      <c r="BE96" s="41"/>
      <c r="BF96" s="41"/>
      <c r="BG96" s="41"/>
      <c r="BH96" s="41"/>
    </row>
    <row r="97" spans="3:60">
      <c r="C97" t="s">
        <v>113</v>
      </c>
      <c r="D97">
        <v>2029</v>
      </c>
      <c r="E97" t="s">
        <v>143</v>
      </c>
      <c r="F97">
        <v>671.85</v>
      </c>
      <c r="J97" s="18" t="s">
        <v>116</v>
      </c>
      <c r="K97" s="18">
        <v>2016</v>
      </c>
      <c r="L97" s="18" t="s">
        <v>174</v>
      </c>
      <c r="M97" s="18">
        <v>546.03</v>
      </c>
      <c r="P97" s="18" t="s">
        <v>116</v>
      </c>
      <c r="Q97" s="18">
        <v>2016</v>
      </c>
      <c r="R97" s="18" t="s">
        <v>175</v>
      </c>
      <c r="S97" s="18">
        <f t="shared" si="17"/>
        <v>0</v>
      </c>
      <c r="U97">
        <v>27.301499999999997</v>
      </c>
      <c r="Z97" s="42" t="s">
        <v>105</v>
      </c>
      <c r="AA97" s="42" t="s">
        <v>140</v>
      </c>
      <c r="AB97" s="42" t="s">
        <v>174</v>
      </c>
      <c r="AC97" s="42">
        <f t="shared" si="27"/>
        <v>142.15613028261205</v>
      </c>
      <c r="AD97" s="42">
        <v>203.08018611801725</v>
      </c>
      <c r="AE97" s="42">
        <v>205.47924070716249</v>
      </c>
      <c r="AF97" s="42">
        <v>325.26219812323018</v>
      </c>
      <c r="AG97" s="42">
        <v>418.84446906604774</v>
      </c>
      <c r="AH97" s="42">
        <v>551.83154846591538</v>
      </c>
      <c r="AI97" s="42">
        <v>716.47720984739533</v>
      </c>
      <c r="AJ97" s="42">
        <v>928.61074420129341</v>
      </c>
      <c r="AK97" s="42">
        <v>5</v>
      </c>
      <c r="AZ97" s="40"/>
      <c r="BA97" s="40"/>
      <c r="BB97" s="41"/>
      <c r="BC97" s="41"/>
      <c r="BD97" s="41"/>
      <c r="BE97" s="41"/>
      <c r="BF97" s="41"/>
      <c r="BG97" s="41"/>
      <c r="BH97" s="41"/>
    </row>
    <row r="98" spans="3:60">
      <c r="C98" t="s">
        <v>113</v>
      </c>
      <c r="D98">
        <v>2029</v>
      </c>
      <c r="E98" t="s">
        <v>144</v>
      </c>
      <c r="F98">
        <v>11.01</v>
      </c>
      <c r="J98" s="18" t="s">
        <v>116</v>
      </c>
      <c r="K98" s="18">
        <v>2017</v>
      </c>
      <c r="L98" s="18" t="s">
        <v>174</v>
      </c>
      <c r="M98" s="18">
        <v>548.04</v>
      </c>
      <c r="P98" s="18" t="s">
        <v>116</v>
      </c>
      <c r="Q98" s="18">
        <v>2017</v>
      </c>
      <c r="R98" s="18" t="s">
        <v>175</v>
      </c>
      <c r="S98" s="18">
        <f t="shared" si="17"/>
        <v>0</v>
      </c>
      <c r="U98">
        <v>27.401999999999997</v>
      </c>
      <c r="Z98" s="42" t="s">
        <v>51</v>
      </c>
      <c r="AA98" s="42" t="s">
        <v>140</v>
      </c>
      <c r="AB98" s="42" t="s">
        <v>174</v>
      </c>
      <c r="AC98" s="42">
        <f t="shared" si="27"/>
        <v>165.22125588325096</v>
      </c>
      <c r="AD98" s="42">
        <v>236.03036554750139</v>
      </c>
      <c r="AE98" s="42">
        <v>248.14984641824987</v>
      </c>
      <c r="AF98" s="42">
        <v>362.31240287548354</v>
      </c>
      <c r="AG98" s="42">
        <v>445.49020110210978</v>
      </c>
      <c r="AH98" s="42">
        <v>586.93755237771427</v>
      </c>
      <c r="AI98" s="42">
        <v>762.05751746398869</v>
      </c>
      <c r="AJ98" s="42">
        <v>987.68640326626735</v>
      </c>
      <c r="AK98" s="42">
        <v>5</v>
      </c>
      <c r="AZ98" s="40"/>
      <c r="BA98" s="40"/>
      <c r="BB98" s="41"/>
      <c r="BC98" s="41"/>
      <c r="BD98" s="41"/>
      <c r="BE98" s="41"/>
      <c r="BF98" s="41"/>
      <c r="BG98" s="41"/>
      <c r="BH98" s="41"/>
    </row>
    <row r="99" spans="3:60">
      <c r="C99" t="s">
        <v>113</v>
      </c>
      <c r="D99">
        <v>2030</v>
      </c>
      <c r="E99" t="s">
        <v>145</v>
      </c>
      <c r="F99">
        <v>0.1</v>
      </c>
      <c r="J99" s="18" t="s">
        <v>116</v>
      </c>
      <c r="K99" s="18">
        <v>2018</v>
      </c>
      <c r="L99" s="18" t="s">
        <v>174</v>
      </c>
      <c r="M99" s="18">
        <v>554.86</v>
      </c>
      <c r="P99" s="18" t="s">
        <v>116</v>
      </c>
      <c r="Q99" s="18">
        <v>2018</v>
      </c>
      <c r="R99" s="18" t="s">
        <v>175</v>
      </c>
      <c r="S99" s="18">
        <f t="shared" si="17"/>
        <v>0</v>
      </c>
      <c r="U99">
        <v>27.743000000000002</v>
      </c>
      <c r="Z99" s="42" t="s">
        <v>125</v>
      </c>
      <c r="AA99" s="42" t="s">
        <v>140</v>
      </c>
      <c r="AB99" s="42" t="s">
        <v>174</v>
      </c>
      <c r="AC99" s="42">
        <f t="shared" si="27"/>
        <v>111.02607140976035</v>
      </c>
      <c r="AD99" s="42">
        <v>158.6086734425148</v>
      </c>
      <c r="AE99" s="42">
        <v>197.80107954901916</v>
      </c>
      <c r="AF99" s="42">
        <v>371.28672566280807</v>
      </c>
      <c r="AG99" s="42">
        <v>572.99313676247527</v>
      </c>
      <c r="AH99" s="42">
        <v>754.92387574089651</v>
      </c>
      <c r="AI99" s="42">
        <v>980.16460574186976</v>
      </c>
      <c r="AJ99" s="42">
        <v>1270.3703222766701</v>
      </c>
      <c r="AK99" s="42">
        <v>5</v>
      </c>
      <c r="AZ99" s="40"/>
      <c r="BA99" s="40"/>
      <c r="BB99" s="41"/>
      <c r="BC99" s="41"/>
      <c r="BD99" s="41"/>
      <c r="BE99" s="41"/>
      <c r="BF99" s="41"/>
      <c r="BG99" s="41"/>
      <c r="BH99" s="41"/>
    </row>
    <row r="100" spans="3:60">
      <c r="C100" t="s">
        <v>113</v>
      </c>
      <c r="D100">
        <v>2030</v>
      </c>
      <c r="E100" t="s">
        <v>141</v>
      </c>
      <c r="F100">
        <v>291.48</v>
      </c>
      <c r="J100" s="18" t="s">
        <v>116</v>
      </c>
      <c r="K100" s="18">
        <v>2019</v>
      </c>
      <c r="L100" s="18" t="s">
        <v>174</v>
      </c>
      <c r="M100" s="18">
        <v>566.66</v>
      </c>
      <c r="P100" s="18" t="s">
        <v>116</v>
      </c>
      <c r="Q100" s="18">
        <v>2019</v>
      </c>
      <c r="R100" s="18" t="s">
        <v>175</v>
      </c>
      <c r="S100" s="18">
        <f t="shared" si="17"/>
        <v>0</v>
      </c>
      <c r="U100">
        <v>28.332999999999998</v>
      </c>
      <c r="Z100" s="42" t="s">
        <v>112</v>
      </c>
      <c r="AA100" s="42" t="s">
        <v>140</v>
      </c>
      <c r="AB100" s="42" t="s">
        <v>174</v>
      </c>
      <c r="AC100" s="42">
        <f t="shared" si="27"/>
        <v>1939.856302421618</v>
      </c>
      <c r="AD100" s="42">
        <v>2771.2232891737403</v>
      </c>
      <c r="AE100" s="42">
        <v>3028.7570455031296</v>
      </c>
      <c r="AF100" s="42">
        <v>5021.4541352001825</v>
      </c>
      <c r="AG100" s="42">
        <v>7082.0716907390051</v>
      </c>
      <c r="AH100" s="42">
        <v>9330.6964185573561</v>
      </c>
      <c r="AI100" s="42">
        <v>12114.623302139787</v>
      </c>
      <c r="AJ100" s="42">
        <v>15701.503419368326</v>
      </c>
      <c r="AK100" s="42">
        <v>5</v>
      </c>
      <c r="AZ100" s="40"/>
      <c r="BA100" s="40"/>
      <c r="BB100" s="41"/>
      <c r="BC100" s="41"/>
      <c r="BD100" s="41"/>
      <c r="BE100" s="41"/>
      <c r="BF100" s="41"/>
      <c r="BG100" s="41"/>
      <c r="BH100" s="41"/>
    </row>
    <row r="101" spans="3:60">
      <c r="C101" t="s">
        <v>113</v>
      </c>
      <c r="D101">
        <v>2030</v>
      </c>
      <c r="E101" t="s">
        <v>142</v>
      </c>
      <c r="F101">
        <v>378.16</v>
      </c>
      <c r="J101" s="18" t="s">
        <v>116</v>
      </c>
      <c r="K101" s="18">
        <v>2020</v>
      </c>
      <c r="L101" s="18" t="s">
        <v>174</v>
      </c>
      <c r="M101" s="18">
        <v>578.54999999999995</v>
      </c>
      <c r="P101" s="18" t="s">
        <v>116</v>
      </c>
      <c r="Q101" s="18">
        <v>2020</v>
      </c>
      <c r="R101" s="18" t="s">
        <v>175</v>
      </c>
      <c r="S101" s="18">
        <f t="shared" si="17"/>
        <v>0</v>
      </c>
      <c r="U101">
        <v>28.927499999999998</v>
      </c>
      <c r="Z101" s="42" t="s">
        <v>113</v>
      </c>
      <c r="AA101" s="42" t="s">
        <v>140</v>
      </c>
      <c r="AB101" s="42" t="s">
        <v>174</v>
      </c>
      <c r="AC101" s="42">
        <f t="shared" si="27"/>
        <v>48.540590136273686</v>
      </c>
      <c r="AD101" s="42">
        <v>69.3437001946767</v>
      </c>
      <c r="AE101" s="42">
        <v>85.822497822977553</v>
      </c>
      <c r="AF101" s="42">
        <v>159.96828474316942</v>
      </c>
      <c r="AG101" s="42">
        <v>248.29386160365567</v>
      </c>
      <c r="AH101" s="42">
        <v>327.12951045730733</v>
      </c>
      <c r="AI101" s="42">
        <v>424.73258291007761</v>
      </c>
      <c r="AJ101" s="42">
        <v>550.48679076152553</v>
      </c>
      <c r="AK101" s="42">
        <v>5</v>
      </c>
    </row>
    <row r="102" spans="3:60">
      <c r="C102" t="s">
        <v>113</v>
      </c>
      <c r="D102">
        <v>2030</v>
      </c>
      <c r="E102" t="s">
        <v>143</v>
      </c>
      <c r="F102">
        <v>698.49</v>
      </c>
      <c r="J102" s="18" t="s">
        <v>116</v>
      </c>
      <c r="K102" s="18">
        <v>2021</v>
      </c>
      <c r="L102" s="18" t="s">
        <v>174</v>
      </c>
      <c r="M102" s="18">
        <v>590.73</v>
      </c>
      <c r="P102" s="18" t="s">
        <v>116</v>
      </c>
      <c r="Q102" s="18">
        <v>2021</v>
      </c>
      <c r="R102" s="18" t="s">
        <v>175</v>
      </c>
      <c r="S102" s="18">
        <f t="shared" si="17"/>
        <v>0</v>
      </c>
      <c r="U102">
        <v>29.5365</v>
      </c>
      <c r="Z102" s="42" t="s">
        <v>114</v>
      </c>
      <c r="AA102" s="42" t="s">
        <v>140</v>
      </c>
      <c r="AB102" s="42" t="s">
        <v>174</v>
      </c>
      <c r="AC102" s="42">
        <f t="shared" si="27"/>
        <v>194.16236054509474</v>
      </c>
      <c r="AD102" s="42">
        <v>277.3748007787068</v>
      </c>
      <c r="AE102" s="42">
        <v>343.28999129191021</v>
      </c>
      <c r="AF102" s="42">
        <v>639.87313897267768</v>
      </c>
      <c r="AG102" s="42">
        <v>993.17544641462268</v>
      </c>
      <c r="AH102" s="42">
        <v>1308.5180418292293</v>
      </c>
      <c r="AI102" s="42">
        <v>1698.9303316403104</v>
      </c>
      <c r="AJ102" s="42">
        <v>2201.9471630461021</v>
      </c>
      <c r="AK102" s="42">
        <v>5</v>
      </c>
    </row>
    <row r="103" spans="3:60">
      <c r="C103" t="s">
        <v>113</v>
      </c>
      <c r="D103">
        <v>2030</v>
      </c>
      <c r="E103" t="s">
        <v>144</v>
      </c>
      <c r="F103">
        <v>11.17</v>
      </c>
      <c r="J103" s="18" t="s">
        <v>116</v>
      </c>
      <c r="K103" s="18">
        <v>2022</v>
      </c>
      <c r="L103" s="18" t="s">
        <v>174</v>
      </c>
      <c r="M103" s="18">
        <v>602.14</v>
      </c>
      <c r="P103" s="18" t="s">
        <v>116</v>
      </c>
      <c r="Q103" s="18">
        <v>2022</v>
      </c>
      <c r="R103" s="18" t="s">
        <v>175</v>
      </c>
      <c r="S103" s="18">
        <f t="shared" si="17"/>
        <v>0</v>
      </c>
      <c r="U103">
        <v>30.106999999999999</v>
      </c>
    </row>
    <row r="104" spans="3:60">
      <c r="C104" t="s">
        <v>113</v>
      </c>
      <c r="D104">
        <v>2031</v>
      </c>
      <c r="E104" t="s">
        <v>145</v>
      </c>
      <c r="F104">
        <v>0.12</v>
      </c>
      <c r="J104" s="18" t="s">
        <v>116</v>
      </c>
      <c r="K104" s="18">
        <v>2023</v>
      </c>
      <c r="L104" s="18" t="s">
        <v>174</v>
      </c>
      <c r="M104" s="18">
        <v>613.11</v>
      </c>
      <c r="P104" s="18" t="s">
        <v>116</v>
      </c>
      <c r="Q104" s="18">
        <v>2023</v>
      </c>
      <c r="R104" s="18" t="s">
        <v>175</v>
      </c>
      <c r="S104" s="18">
        <f t="shared" si="17"/>
        <v>0</v>
      </c>
      <c r="U104">
        <v>30.6555</v>
      </c>
    </row>
    <row r="105" spans="3:60">
      <c r="C105" t="s">
        <v>113</v>
      </c>
      <c r="D105">
        <v>2031</v>
      </c>
      <c r="E105" t="s">
        <v>141</v>
      </c>
      <c r="F105">
        <v>299.24</v>
      </c>
      <c r="J105" s="18" t="s">
        <v>116</v>
      </c>
      <c r="K105" s="18">
        <v>2024</v>
      </c>
      <c r="L105" s="18" t="s">
        <v>174</v>
      </c>
      <c r="M105" s="18">
        <v>623.27</v>
      </c>
      <c r="P105" s="18" t="s">
        <v>116</v>
      </c>
      <c r="Q105" s="18">
        <v>2024</v>
      </c>
      <c r="R105" s="18" t="s">
        <v>175</v>
      </c>
      <c r="S105" s="18">
        <f t="shared" si="17"/>
        <v>0</v>
      </c>
      <c r="U105">
        <v>31.163499999999999</v>
      </c>
    </row>
    <row r="106" spans="3:60">
      <c r="C106" t="s">
        <v>113</v>
      </c>
      <c r="D106">
        <v>2031</v>
      </c>
      <c r="E106" t="s">
        <v>142</v>
      </c>
      <c r="F106">
        <v>389.08</v>
      </c>
      <c r="J106" s="18" t="s">
        <v>116</v>
      </c>
      <c r="K106" s="18">
        <v>2025</v>
      </c>
      <c r="L106" s="18" t="s">
        <v>174</v>
      </c>
      <c r="M106" s="18">
        <v>632.57000000000005</v>
      </c>
      <c r="P106" s="18" t="s">
        <v>116</v>
      </c>
      <c r="Q106" s="18">
        <v>2025</v>
      </c>
      <c r="R106" s="18" t="s">
        <v>175</v>
      </c>
      <c r="S106" s="18">
        <f t="shared" si="17"/>
        <v>0</v>
      </c>
      <c r="U106">
        <v>31.628500000000003</v>
      </c>
    </row>
    <row r="107" spans="3:60">
      <c r="C107" t="s">
        <v>113</v>
      </c>
      <c r="D107">
        <v>2031</v>
      </c>
      <c r="E107" t="s">
        <v>143</v>
      </c>
      <c r="F107">
        <v>727.76</v>
      </c>
      <c r="J107" s="18" t="s">
        <v>116</v>
      </c>
      <c r="K107" s="18">
        <v>2026</v>
      </c>
      <c r="L107" s="18" t="s">
        <v>174</v>
      </c>
      <c r="M107" s="18">
        <v>643.82000000000005</v>
      </c>
      <c r="P107" s="18" t="s">
        <v>116</v>
      </c>
      <c r="Q107" s="18">
        <v>2026</v>
      </c>
      <c r="R107" s="18" t="s">
        <v>175</v>
      </c>
      <c r="S107" s="18">
        <f t="shared" si="17"/>
        <v>0</v>
      </c>
      <c r="U107">
        <v>32.191000000000003</v>
      </c>
    </row>
    <row r="108" spans="3:60">
      <c r="C108" t="s">
        <v>113</v>
      </c>
      <c r="D108">
        <v>2031</v>
      </c>
      <c r="E108" t="s">
        <v>144</v>
      </c>
      <c r="F108">
        <v>11.36</v>
      </c>
      <c r="J108" s="18" t="s">
        <v>116</v>
      </c>
      <c r="K108" s="18">
        <v>2027</v>
      </c>
      <c r="L108" s="18" t="s">
        <v>174</v>
      </c>
      <c r="M108" s="18">
        <v>655.39</v>
      </c>
      <c r="P108" s="18" t="s">
        <v>116</v>
      </c>
      <c r="Q108" s="18">
        <v>2027</v>
      </c>
      <c r="R108" s="18" t="s">
        <v>175</v>
      </c>
      <c r="S108" s="18">
        <f t="shared" si="17"/>
        <v>0</v>
      </c>
      <c r="U108">
        <v>32.769500000000001</v>
      </c>
    </row>
    <row r="109" spans="3:60">
      <c r="C109" t="s">
        <v>113</v>
      </c>
      <c r="D109">
        <v>2032</v>
      </c>
      <c r="E109" t="s">
        <v>145</v>
      </c>
      <c r="F109">
        <v>0.13</v>
      </c>
      <c r="J109" s="18" t="s">
        <v>116</v>
      </c>
      <c r="K109" s="18">
        <v>2028</v>
      </c>
      <c r="L109" s="18" t="s">
        <v>174</v>
      </c>
      <c r="M109" s="18">
        <v>667.39</v>
      </c>
      <c r="P109" s="18" t="s">
        <v>116</v>
      </c>
      <c r="Q109" s="18">
        <v>2028</v>
      </c>
      <c r="R109" s="18" t="s">
        <v>175</v>
      </c>
      <c r="S109" s="18">
        <f t="shared" si="17"/>
        <v>0</v>
      </c>
      <c r="U109">
        <v>33.369500000000002</v>
      </c>
      <c r="Z109" s="42" t="str">
        <f>IF(B1=2, "~TFM_DINS-AT","Deactivated")</f>
        <v>~TFM_DINS-AT</v>
      </c>
    </row>
    <row r="110" spans="3:60">
      <c r="C110" t="s">
        <v>113</v>
      </c>
      <c r="D110">
        <v>2032</v>
      </c>
      <c r="E110" t="s">
        <v>141</v>
      </c>
      <c r="F110">
        <v>307.07</v>
      </c>
      <c r="J110" s="18" t="s">
        <v>116</v>
      </c>
      <c r="K110" s="18">
        <v>2029</v>
      </c>
      <c r="L110" s="18" t="s">
        <v>174</v>
      </c>
      <c r="M110" s="18">
        <v>679.55</v>
      </c>
      <c r="P110" s="18" t="s">
        <v>116</v>
      </c>
      <c r="Q110" s="18">
        <v>2029</v>
      </c>
      <c r="R110" s="18" t="s">
        <v>175</v>
      </c>
      <c r="S110" s="18">
        <f t="shared" si="17"/>
        <v>0</v>
      </c>
      <c r="U110">
        <v>33.977499999999999</v>
      </c>
      <c r="Z110" s="20" t="s">
        <v>131</v>
      </c>
      <c r="AA110" s="20" t="s">
        <v>0</v>
      </c>
      <c r="AB110" s="20" t="s">
        <v>55</v>
      </c>
      <c r="AC110" s="20" t="s">
        <v>140</v>
      </c>
    </row>
    <row r="111" spans="3:60" ht="29.4" thickBot="1">
      <c r="C111" t="s">
        <v>113</v>
      </c>
      <c r="D111">
        <v>2032</v>
      </c>
      <c r="E111" t="s">
        <v>142</v>
      </c>
      <c r="F111">
        <v>396.64</v>
      </c>
      <c r="J111" s="18" t="s">
        <v>116</v>
      </c>
      <c r="K111" s="18">
        <v>2030</v>
      </c>
      <c r="L111" s="18" t="s">
        <v>174</v>
      </c>
      <c r="M111" s="18">
        <v>691.41</v>
      </c>
      <c r="P111" s="18" t="s">
        <v>116</v>
      </c>
      <c r="Q111" s="18">
        <v>2030</v>
      </c>
      <c r="R111" s="18" t="s">
        <v>175</v>
      </c>
      <c r="S111" s="18">
        <f t="shared" si="17"/>
        <v>0</v>
      </c>
      <c r="U111">
        <v>34.570499999999996</v>
      </c>
      <c r="Z111" s="22" t="s">
        <v>166</v>
      </c>
      <c r="AA111" s="21" t="s">
        <v>0</v>
      </c>
      <c r="AB111" s="22" t="s">
        <v>167</v>
      </c>
      <c r="AC111" s="22" t="s">
        <v>168</v>
      </c>
    </row>
    <row r="112" spans="3:60" ht="15" thickTop="1">
      <c r="C112" t="s">
        <v>113</v>
      </c>
      <c r="D112">
        <v>2032</v>
      </c>
      <c r="E112" t="s">
        <v>143</v>
      </c>
      <c r="F112">
        <v>758.09</v>
      </c>
      <c r="J112" s="18" t="s">
        <v>116</v>
      </c>
      <c r="K112" s="18">
        <v>2031</v>
      </c>
      <c r="L112" s="18" t="s">
        <v>174</v>
      </c>
      <c r="M112" s="18">
        <v>700.64</v>
      </c>
      <c r="P112" s="18" t="s">
        <v>116</v>
      </c>
      <c r="Q112" s="18">
        <v>2031</v>
      </c>
      <c r="R112" s="18" t="s">
        <v>175</v>
      </c>
      <c r="S112" s="18">
        <f t="shared" si="17"/>
        <v>0</v>
      </c>
      <c r="U112">
        <v>35.031999999999996</v>
      </c>
      <c r="Z112" s="43" t="s">
        <v>169</v>
      </c>
      <c r="AA112" s="43"/>
      <c r="AB112" s="44"/>
      <c r="AC112" s="44" t="s">
        <v>170</v>
      </c>
    </row>
    <row r="113" spans="3:29">
      <c r="C113" t="s">
        <v>113</v>
      </c>
      <c r="D113">
        <v>2032</v>
      </c>
      <c r="E113" t="s">
        <v>144</v>
      </c>
      <c r="F113">
        <v>11.53</v>
      </c>
      <c r="J113" s="18" t="s">
        <v>116</v>
      </c>
      <c r="K113" s="18">
        <v>2032</v>
      </c>
      <c r="L113" s="18" t="s">
        <v>174</v>
      </c>
      <c r="M113" s="18">
        <v>709.25</v>
      </c>
      <c r="P113" s="18" t="s">
        <v>116</v>
      </c>
      <c r="Q113" s="18">
        <v>2032</v>
      </c>
      <c r="R113" s="18" t="s">
        <v>175</v>
      </c>
      <c r="S113" s="18">
        <f t="shared" si="17"/>
        <v>0</v>
      </c>
      <c r="U113">
        <v>35.462499999999999</v>
      </c>
      <c r="Z113" s="42" t="s">
        <v>113</v>
      </c>
      <c r="AA113" s="42">
        <v>2020</v>
      </c>
      <c r="AB113" s="42" t="s">
        <v>145</v>
      </c>
      <c r="AC113" s="42">
        <v>0.01</v>
      </c>
    </row>
    <row r="114" spans="3:29">
      <c r="C114" t="s">
        <v>113</v>
      </c>
      <c r="D114">
        <v>2033</v>
      </c>
      <c r="E114" t="s">
        <v>145</v>
      </c>
      <c r="F114">
        <v>0.14000000000000001</v>
      </c>
      <c r="J114" s="18" t="s">
        <v>116</v>
      </c>
      <c r="K114" s="18">
        <v>2033</v>
      </c>
      <c r="L114" s="18" t="s">
        <v>174</v>
      </c>
      <c r="M114" s="18">
        <v>717.47</v>
      </c>
      <c r="P114" s="18" t="s">
        <v>116</v>
      </c>
      <c r="Q114" s="18">
        <v>2033</v>
      </c>
      <c r="R114" s="18" t="s">
        <v>175</v>
      </c>
      <c r="S114" s="18">
        <f t="shared" si="17"/>
        <v>0</v>
      </c>
      <c r="U114">
        <v>35.8735</v>
      </c>
      <c r="Z114" s="42" t="s">
        <v>113</v>
      </c>
      <c r="AA114" s="42">
        <v>2021</v>
      </c>
      <c r="AB114" s="42" t="s">
        <v>145</v>
      </c>
      <c r="AC114" s="42">
        <v>0.03</v>
      </c>
    </row>
    <row r="115" spans="3:29">
      <c r="C115" t="s">
        <v>113</v>
      </c>
      <c r="D115">
        <v>2033</v>
      </c>
      <c r="E115" t="s">
        <v>141</v>
      </c>
      <c r="F115">
        <v>315.08</v>
      </c>
      <c r="J115" s="18" t="s">
        <v>116</v>
      </c>
      <c r="K115" s="18">
        <v>2034</v>
      </c>
      <c r="L115" s="18" t="s">
        <v>174</v>
      </c>
      <c r="M115" s="18">
        <v>725.61</v>
      </c>
      <c r="P115" s="18" t="s">
        <v>116</v>
      </c>
      <c r="Q115" s="18">
        <v>2034</v>
      </c>
      <c r="R115" s="18" t="s">
        <v>175</v>
      </c>
      <c r="S115" s="18">
        <f t="shared" si="17"/>
        <v>0</v>
      </c>
      <c r="U115">
        <v>36.280500000000004</v>
      </c>
      <c r="Z115" s="42" t="s">
        <v>113</v>
      </c>
      <c r="AA115" s="42">
        <v>2022</v>
      </c>
      <c r="AB115" s="42" t="s">
        <v>145</v>
      </c>
      <c r="AC115" s="42">
        <v>0.04</v>
      </c>
    </row>
    <row r="116" spans="3:29">
      <c r="C116" t="s">
        <v>113</v>
      </c>
      <c r="D116">
        <v>2033</v>
      </c>
      <c r="E116" t="s">
        <v>142</v>
      </c>
      <c r="F116">
        <v>407.38</v>
      </c>
      <c r="J116" s="18" t="s">
        <v>116</v>
      </c>
      <c r="K116" s="18">
        <v>2035</v>
      </c>
      <c r="L116" s="18" t="s">
        <v>174</v>
      </c>
      <c r="M116" s="18">
        <v>733.91</v>
      </c>
      <c r="P116" s="18" t="s">
        <v>116</v>
      </c>
      <c r="Q116" s="18">
        <v>2035</v>
      </c>
      <c r="R116" s="18" t="s">
        <v>175</v>
      </c>
      <c r="S116" s="18">
        <f t="shared" si="17"/>
        <v>0</v>
      </c>
      <c r="U116">
        <v>36.695499999999996</v>
      </c>
      <c r="Z116" s="42" t="s">
        <v>113</v>
      </c>
      <c r="AA116" s="42">
        <v>2023</v>
      </c>
      <c r="AB116" s="42" t="s">
        <v>145</v>
      </c>
      <c r="AC116" s="42">
        <v>0.04</v>
      </c>
    </row>
    <row r="117" spans="3:29">
      <c r="C117" t="s">
        <v>113</v>
      </c>
      <c r="D117">
        <v>2033</v>
      </c>
      <c r="E117" t="s">
        <v>143</v>
      </c>
      <c r="F117">
        <v>789.43</v>
      </c>
      <c r="J117" s="18" t="s">
        <v>116</v>
      </c>
      <c r="K117" s="18">
        <v>2036</v>
      </c>
      <c r="L117" s="18" t="s">
        <v>174</v>
      </c>
      <c r="M117" s="18">
        <v>743.52</v>
      </c>
      <c r="P117" s="18" t="s">
        <v>116</v>
      </c>
      <c r="Q117" s="18">
        <v>2036</v>
      </c>
      <c r="R117" s="18" t="s">
        <v>175</v>
      </c>
      <c r="S117" s="18">
        <f t="shared" si="17"/>
        <v>0</v>
      </c>
      <c r="U117">
        <v>37.176000000000002</v>
      </c>
      <c r="Z117" s="42" t="s">
        <v>113</v>
      </c>
      <c r="AA117" s="42">
        <v>2024</v>
      </c>
      <c r="AB117" s="42" t="s">
        <v>145</v>
      </c>
      <c r="AC117" s="42">
        <v>0.05</v>
      </c>
    </row>
    <row r="118" spans="3:29">
      <c r="C118" t="s">
        <v>113</v>
      </c>
      <c r="D118">
        <v>2033</v>
      </c>
      <c r="E118" t="s">
        <v>144</v>
      </c>
      <c r="F118">
        <v>11.75</v>
      </c>
      <c r="J118" s="18" t="s">
        <v>116</v>
      </c>
      <c r="K118" s="18">
        <v>2037</v>
      </c>
      <c r="L118" s="18" t="s">
        <v>174</v>
      </c>
      <c r="M118" s="18">
        <v>753.04</v>
      </c>
      <c r="P118" s="18" t="s">
        <v>116</v>
      </c>
      <c r="Q118" s="18">
        <v>2037</v>
      </c>
      <c r="R118" s="18" t="s">
        <v>175</v>
      </c>
      <c r="S118" s="18">
        <f t="shared" si="17"/>
        <v>0</v>
      </c>
      <c r="U118">
        <v>37.652000000000001</v>
      </c>
      <c r="Z118" s="42" t="s">
        <v>113</v>
      </c>
      <c r="AA118" s="42">
        <v>2025</v>
      </c>
      <c r="AB118" s="42" t="s">
        <v>145</v>
      </c>
      <c r="AC118" s="42">
        <v>0.06</v>
      </c>
    </row>
    <row r="119" spans="3:29">
      <c r="C119" t="s">
        <v>113</v>
      </c>
      <c r="D119">
        <v>2034</v>
      </c>
      <c r="E119" t="s">
        <v>145</v>
      </c>
      <c r="F119">
        <v>0.15</v>
      </c>
      <c r="J119" s="18" t="s">
        <v>116</v>
      </c>
      <c r="K119" s="18">
        <v>2038</v>
      </c>
      <c r="L119" s="18" t="s">
        <v>174</v>
      </c>
      <c r="M119" s="18">
        <v>762.11</v>
      </c>
      <c r="P119" s="18" t="s">
        <v>116</v>
      </c>
      <c r="Q119" s="18">
        <v>2038</v>
      </c>
      <c r="R119" s="18" t="s">
        <v>175</v>
      </c>
      <c r="S119" s="18">
        <f t="shared" si="17"/>
        <v>0</v>
      </c>
      <c r="U119">
        <v>38.105499999999999</v>
      </c>
      <c r="Z119" s="42" t="s">
        <v>113</v>
      </c>
      <c r="AA119" s="42">
        <v>2026</v>
      </c>
      <c r="AB119" s="42" t="s">
        <v>145</v>
      </c>
      <c r="AC119" s="42">
        <v>7.0000000000000007E-2</v>
      </c>
    </row>
    <row r="120" spans="3:29">
      <c r="C120" t="s">
        <v>113</v>
      </c>
      <c r="D120">
        <v>2034</v>
      </c>
      <c r="E120" t="s">
        <v>141</v>
      </c>
      <c r="F120">
        <v>323.32</v>
      </c>
      <c r="J120" s="18" t="s">
        <v>116</v>
      </c>
      <c r="K120" s="18">
        <v>2039</v>
      </c>
      <c r="L120" s="18" t="s">
        <v>174</v>
      </c>
      <c r="M120" s="18">
        <v>770.79</v>
      </c>
      <c r="P120" s="18" t="s">
        <v>116</v>
      </c>
      <c r="Q120" s="18">
        <v>2039</v>
      </c>
      <c r="R120" s="18" t="s">
        <v>175</v>
      </c>
      <c r="S120" s="18">
        <f t="shared" si="17"/>
        <v>0</v>
      </c>
      <c r="U120">
        <v>38.539499999999997</v>
      </c>
      <c r="Z120" s="42" t="s">
        <v>113</v>
      </c>
      <c r="AA120" s="42">
        <v>2027</v>
      </c>
      <c r="AB120" s="42" t="s">
        <v>145</v>
      </c>
      <c r="AC120" s="42">
        <v>0.08</v>
      </c>
    </row>
    <row r="121" spans="3:29">
      <c r="C121" t="s">
        <v>113</v>
      </c>
      <c r="D121">
        <v>2034</v>
      </c>
      <c r="E121" t="s">
        <v>142</v>
      </c>
      <c r="F121">
        <v>412.57</v>
      </c>
      <c r="J121" s="18" t="s">
        <v>116</v>
      </c>
      <c r="K121" s="18">
        <v>2040</v>
      </c>
      <c r="L121" s="18" t="s">
        <v>174</v>
      </c>
      <c r="M121" s="18">
        <v>779.29</v>
      </c>
      <c r="P121" s="18" t="s">
        <v>116</v>
      </c>
      <c r="Q121" s="18">
        <v>2040</v>
      </c>
      <c r="R121" s="18" t="s">
        <v>175</v>
      </c>
      <c r="S121" s="18">
        <f t="shared" si="17"/>
        <v>38.964500000000001</v>
      </c>
      <c r="U121">
        <v>38.964500000000001</v>
      </c>
      <c r="Z121" s="42" t="s">
        <v>113</v>
      </c>
      <c r="AA121" s="42">
        <v>2028</v>
      </c>
      <c r="AB121" s="42" t="s">
        <v>145</v>
      </c>
      <c r="AC121" s="42">
        <v>0.09</v>
      </c>
    </row>
    <row r="122" spans="3:29">
      <c r="C122" t="s">
        <v>113</v>
      </c>
      <c r="D122">
        <v>2034</v>
      </c>
      <c r="E122" t="s">
        <v>143</v>
      </c>
      <c r="F122">
        <v>821.72</v>
      </c>
      <c r="J122" s="18" t="s">
        <v>116</v>
      </c>
      <c r="K122" s="18">
        <v>2041</v>
      </c>
      <c r="L122" s="18" t="s">
        <v>174</v>
      </c>
      <c r="M122" s="18">
        <v>787.57</v>
      </c>
      <c r="P122" s="18" t="s">
        <v>116</v>
      </c>
      <c r="Q122" s="18">
        <v>2041</v>
      </c>
      <c r="R122" s="18" t="s">
        <v>175</v>
      </c>
      <c r="S122" s="18">
        <f t="shared" si="17"/>
        <v>39.378500000000003</v>
      </c>
      <c r="U122">
        <v>39.378500000000003</v>
      </c>
      <c r="Z122" s="42" t="s">
        <v>113</v>
      </c>
      <c r="AA122" s="42">
        <v>2029</v>
      </c>
      <c r="AB122" s="42" t="s">
        <v>145</v>
      </c>
      <c r="AC122" s="42">
        <v>0.09</v>
      </c>
    </row>
    <row r="123" spans="3:29">
      <c r="C123" t="s">
        <v>113</v>
      </c>
      <c r="D123">
        <v>2034</v>
      </c>
      <c r="E123" t="s">
        <v>144</v>
      </c>
      <c r="F123">
        <v>11.95</v>
      </c>
      <c r="J123" s="18" t="s">
        <v>116</v>
      </c>
      <c r="K123" s="18">
        <v>2042</v>
      </c>
      <c r="L123" s="18" t="s">
        <v>174</v>
      </c>
      <c r="M123" s="18">
        <v>796.03</v>
      </c>
      <c r="P123" s="18" t="s">
        <v>116</v>
      </c>
      <c r="Q123" s="18">
        <v>2042</v>
      </c>
      <c r="R123" s="18" t="s">
        <v>175</v>
      </c>
      <c r="S123" s="18">
        <f t="shared" si="17"/>
        <v>39.801499999999997</v>
      </c>
      <c r="U123">
        <v>39.801499999999997</v>
      </c>
      <c r="Z123" s="42" t="s">
        <v>113</v>
      </c>
      <c r="AA123" s="42">
        <v>2030</v>
      </c>
      <c r="AB123" s="42" t="s">
        <v>145</v>
      </c>
      <c r="AC123" s="42">
        <v>0.1</v>
      </c>
    </row>
    <row r="124" spans="3:29">
      <c r="C124" t="s">
        <v>113</v>
      </c>
      <c r="D124">
        <v>2035</v>
      </c>
      <c r="E124" t="s">
        <v>145</v>
      </c>
      <c r="F124">
        <v>0.16</v>
      </c>
      <c r="J124" s="18" t="s">
        <v>116</v>
      </c>
      <c r="K124" s="18">
        <v>2043</v>
      </c>
      <c r="L124" s="18" t="s">
        <v>174</v>
      </c>
      <c r="M124" s="18">
        <v>804.37</v>
      </c>
      <c r="P124" s="18" t="s">
        <v>116</v>
      </c>
      <c r="Q124" s="18">
        <v>2043</v>
      </c>
      <c r="R124" s="18" t="s">
        <v>175</v>
      </c>
      <c r="S124" s="18">
        <f t="shared" si="17"/>
        <v>40.218499999999999</v>
      </c>
      <c r="U124">
        <v>40.218499999999999</v>
      </c>
      <c r="Z124" s="42" t="s">
        <v>113</v>
      </c>
      <c r="AA124" s="42">
        <v>2031</v>
      </c>
      <c r="AB124" s="42" t="s">
        <v>145</v>
      </c>
      <c r="AC124" s="42">
        <v>0.12</v>
      </c>
    </row>
    <row r="125" spans="3:29">
      <c r="C125" t="s">
        <v>113</v>
      </c>
      <c r="D125">
        <v>2035</v>
      </c>
      <c r="E125" t="s">
        <v>141</v>
      </c>
      <c r="F125">
        <v>331.75</v>
      </c>
      <c r="J125" s="18" t="s">
        <v>116</v>
      </c>
      <c r="K125" s="18">
        <v>2044</v>
      </c>
      <c r="L125" s="18" t="s">
        <v>174</v>
      </c>
      <c r="M125" s="18">
        <v>812.33</v>
      </c>
      <c r="P125" s="18" t="s">
        <v>116</v>
      </c>
      <c r="Q125" s="18">
        <v>2044</v>
      </c>
      <c r="R125" s="18" t="s">
        <v>175</v>
      </c>
      <c r="S125" s="18">
        <f t="shared" si="17"/>
        <v>40.616500000000002</v>
      </c>
      <c r="U125">
        <v>40.616500000000002</v>
      </c>
      <c r="Z125" s="42" t="s">
        <v>113</v>
      </c>
      <c r="AA125" s="42">
        <v>2032</v>
      </c>
      <c r="AB125" s="42" t="s">
        <v>145</v>
      </c>
      <c r="AC125" s="42">
        <v>0.13</v>
      </c>
    </row>
    <row r="126" spans="3:29">
      <c r="C126" t="s">
        <v>113</v>
      </c>
      <c r="D126">
        <v>2035</v>
      </c>
      <c r="E126" t="s">
        <v>142</v>
      </c>
      <c r="F126">
        <v>424.58</v>
      </c>
      <c r="J126" s="18" t="s">
        <v>116</v>
      </c>
      <c r="K126" s="18">
        <v>2045</v>
      </c>
      <c r="L126" s="18" t="s">
        <v>174</v>
      </c>
      <c r="M126" s="18">
        <v>820.51</v>
      </c>
      <c r="P126" s="18" t="s">
        <v>116</v>
      </c>
      <c r="Q126" s="18">
        <v>2045</v>
      </c>
      <c r="R126" s="18" t="s">
        <v>175</v>
      </c>
      <c r="S126" s="18">
        <f t="shared" si="17"/>
        <v>41.025500000000001</v>
      </c>
      <c r="U126">
        <v>41.025500000000001</v>
      </c>
      <c r="Z126" s="42" t="s">
        <v>113</v>
      </c>
      <c r="AA126" s="42">
        <v>2033</v>
      </c>
      <c r="AB126" s="42" t="s">
        <v>145</v>
      </c>
      <c r="AC126" s="42">
        <v>0.14000000000000001</v>
      </c>
    </row>
    <row r="127" spans="3:29">
      <c r="C127" t="s">
        <v>113</v>
      </c>
      <c r="D127">
        <v>2035</v>
      </c>
      <c r="E127" t="s">
        <v>143</v>
      </c>
      <c r="F127">
        <v>855.28</v>
      </c>
      <c r="J127" s="18" t="s">
        <v>116</v>
      </c>
      <c r="K127" s="18">
        <v>2046</v>
      </c>
      <c r="L127" s="18" t="s">
        <v>174</v>
      </c>
      <c r="M127" s="18">
        <v>827.97</v>
      </c>
      <c r="P127" s="18" t="s">
        <v>116</v>
      </c>
      <c r="Q127" s="18">
        <v>2046</v>
      </c>
      <c r="R127" s="18" t="s">
        <v>175</v>
      </c>
      <c r="S127" s="18">
        <f t="shared" si="17"/>
        <v>41.398499999999999</v>
      </c>
      <c r="U127">
        <v>41.398499999999999</v>
      </c>
      <c r="Z127" s="42" t="s">
        <v>113</v>
      </c>
      <c r="AA127" s="42">
        <v>2034</v>
      </c>
      <c r="AB127" s="42" t="s">
        <v>145</v>
      </c>
      <c r="AC127" s="42">
        <v>0.15</v>
      </c>
    </row>
    <row r="128" spans="3:29">
      <c r="C128" t="s">
        <v>113</v>
      </c>
      <c r="D128">
        <v>2035</v>
      </c>
      <c r="E128" t="s">
        <v>144</v>
      </c>
      <c r="F128">
        <v>12.19</v>
      </c>
      <c r="J128" s="18" t="s">
        <v>116</v>
      </c>
      <c r="K128" s="18">
        <v>2047</v>
      </c>
      <c r="L128" s="18" t="s">
        <v>174</v>
      </c>
      <c r="M128" s="18">
        <v>834.4</v>
      </c>
      <c r="P128" s="18" t="s">
        <v>116</v>
      </c>
      <c r="Q128" s="18">
        <v>2047</v>
      </c>
      <c r="R128" s="18" t="s">
        <v>175</v>
      </c>
      <c r="S128" s="18">
        <f t="shared" si="17"/>
        <v>41.72</v>
      </c>
      <c r="U128">
        <v>41.72</v>
      </c>
      <c r="Z128" s="42" t="s">
        <v>113</v>
      </c>
      <c r="AA128" s="42">
        <v>2035</v>
      </c>
      <c r="AB128" s="42" t="s">
        <v>145</v>
      </c>
      <c r="AC128" s="42">
        <v>0.16</v>
      </c>
    </row>
    <row r="129" spans="3:29">
      <c r="C129" t="s">
        <v>113</v>
      </c>
      <c r="D129">
        <v>2036</v>
      </c>
      <c r="E129" t="s">
        <v>145</v>
      </c>
      <c r="F129">
        <v>0.17</v>
      </c>
      <c r="J129" s="18" t="s">
        <v>116</v>
      </c>
      <c r="K129" s="18">
        <v>2048</v>
      </c>
      <c r="L129" s="18" t="s">
        <v>174</v>
      </c>
      <c r="M129" s="18">
        <v>840.05</v>
      </c>
      <c r="P129" s="18" t="s">
        <v>116</v>
      </c>
      <c r="Q129" s="18">
        <v>2048</v>
      </c>
      <c r="R129" s="18" t="s">
        <v>175</v>
      </c>
      <c r="S129" s="18">
        <f t="shared" si="17"/>
        <v>42.002499999999998</v>
      </c>
      <c r="U129">
        <v>42.002499999999998</v>
      </c>
      <c r="Z129" s="42" t="s">
        <v>113</v>
      </c>
      <c r="AA129" s="42">
        <v>2036</v>
      </c>
      <c r="AB129" s="42" t="s">
        <v>145</v>
      </c>
      <c r="AC129" s="42">
        <v>0.17</v>
      </c>
    </row>
    <row r="130" spans="3:29">
      <c r="C130" t="s">
        <v>113</v>
      </c>
      <c r="D130">
        <v>2036</v>
      </c>
      <c r="E130" t="s">
        <v>141</v>
      </c>
      <c r="F130">
        <v>338.53</v>
      </c>
      <c r="J130" s="18" t="s">
        <v>116</v>
      </c>
      <c r="K130" s="18">
        <v>2049</v>
      </c>
      <c r="L130" s="18" t="s">
        <v>174</v>
      </c>
      <c r="M130" s="18">
        <v>845.76</v>
      </c>
      <c r="P130" s="18" t="s">
        <v>116</v>
      </c>
      <c r="Q130" s="18">
        <v>2049</v>
      </c>
      <c r="R130" s="18" t="s">
        <v>175</v>
      </c>
      <c r="S130" s="18">
        <f t="shared" si="17"/>
        <v>42.287999999999997</v>
      </c>
      <c r="U130">
        <v>42.287999999999997</v>
      </c>
      <c r="Z130" s="42" t="s">
        <v>113</v>
      </c>
      <c r="AA130" s="42">
        <v>2037</v>
      </c>
      <c r="AB130" s="42" t="s">
        <v>145</v>
      </c>
      <c r="AC130" s="42">
        <v>0.18</v>
      </c>
    </row>
    <row r="131" spans="3:29">
      <c r="C131" t="s">
        <v>113</v>
      </c>
      <c r="D131">
        <v>2036</v>
      </c>
      <c r="E131" t="s">
        <v>142</v>
      </c>
      <c r="F131">
        <v>432.93</v>
      </c>
      <c r="J131" s="18" t="s">
        <v>116</v>
      </c>
      <c r="K131" s="18">
        <v>2050</v>
      </c>
      <c r="L131" s="18" t="s">
        <v>174</v>
      </c>
      <c r="M131" s="18">
        <v>851.96</v>
      </c>
      <c r="P131" s="18" t="s">
        <v>116</v>
      </c>
      <c r="Q131" s="18">
        <v>2050</v>
      </c>
      <c r="R131" s="18" t="s">
        <v>175</v>
      </c>
      <c r="S131" s="18">
        <f t="shared" si="17"/>
        <v>42.597999999999999</v>
      </c>
      <c r="U131">
        <v>42.597999999999999</v>
      </c>
      <c r="Z131" s="42" t="s">
        <v>113</v>
      </c>
      <c r="AA131" s="42">
        <v>2038</v>
      </c>
      <c r="AB131" s="42" t="s">
        <v>145</v>
      </c>
      <c r="AC131" s="42">
        <v>0.2</v>
      </c>
    </row>
    <row r="132" spans="3:29">
      <c r="C132" t="s">
        <v>113</v>
      </c>
      <c r="D132">
        <v>2036</v>
      </c>
      <c r="E132" t="s">
        <v>143</v>
      </c>
      <c r="F132">
        <v>886.07</v>
      </c>
      <c r="J132" s="18" t="s">
        <v>117</v>
      </c>
      <c r="K132" s="18">
        <v>2010</v>
      </c>
      <c r="L132" s="18" t="s">
        <v>174</v>
      </c>
      <c r="M132" s="18">
        <v>418.69</v>
      </c>
      <c r="P132" s="18" t="s">
        <v>117</v>
      </c>
      <c r="Q132" s="18">
        <v>2010</v>
      </c>
      <c r="R132" s="18" t="s">
        <v>175</v>
      </c>
      <c r="S132" s="18">
        <f t="shared" si="17"/>
        <v>0</v>
      </c>
      <c r="U132">
        <v>20.9345</v>
      </c>
      <c r="Z132" s="42" t="s">
        <v>113</v>
      </c>
      <c r="AA132" s="42">
        <v>2039</v>
      </c>
      <c r="AB132" s="42" t="s">
        <v>145</v>
      </c>
      <c r="AC132" s="42">
        <v>0.21</v>
      </c>
    </row>
    <row r="133" spans="3:29">
      <c r="C133" t="s">
        <v>113</v>
      </c>
      <c r="D133">
        <v>2036</v>
      </c>
      <c r="E133" t="s">
        <v>144</v>
      </c>
      <c r="F133">
        <v>12.48</v>
      </c>
      <c r="J133" s="18" t="s">
        <v>117</v>
      </c>
      <c r="K133" s="18">
        <v>2011</v>
      </c>
      <c r="L133" s="18" t="s">
        <v>174</v>
      </c>
      <c r="M133" s="18">
        <v>435.74</v>
      </c>
      <c r="P133" s="18" t="s">
        <v>117</v>
      </c>
      <c r="Q133" s="18">
        <v>2011</v>
      </c>
      <c r="R133" s="18" t="s">
        <v>175</v>
      </c>
      <c r="S133" s="18">
        <f t="shared" si="17"/>
        <v>0</v>
      </c>
      <c r="U133">
        <v>21.786999999999999</v>
      </c>
      <c r="Z133" s="42" t="s">
        <v>113</v>
      </c>
      <c r="AA133" s="42">
        <v>2040</v>
      </c>
      <c r="AB133" s="42" t="s">
        <v>145</v>
      </c>
      <c r="AC133" s="42">
        <v>0.22</v>
      </c>
    </row>
    <row r="134" spans="3:29">
      <c r="C134" t="s">
        <v>113</v>
      </c>
      <c r="D134">
        <v>2037</v>
      </c>
      <c r="E134" t="s">
        <v>145</v>
      </c>
      <c r="F134">
        <v>0.18</v>
      </c>
      <c r="J134" s="18" t="s">
        <v>117</v>
      </c>
      <c r="K134" s="18">
        <v>2012</v>
      </c>
      <c r="L134" s="18" t="s">
        <v>174</v>
      </c>
      <c r="M134" s="18">
        <v>437.59</v>
      </c>
      <c r="P134" s="18" t="s">
        <v>117</v>
      </c>
      <c r="Q134" s="18">
        <v>2012</v>
      </c>
      <c r="R134" s="18" t="s">
        <v>175</v>
      </c>
      <c r="S134" s="18">
        <f t="shared" si="17"/>
        <v>0</v>
      </c>
      <c r="U134">
        <v>21.8795</v>
      </c>
      <c r="Z134" s="42" t="s">
        <v>113</v>
      </c>
      <c r="AA134" s="42">
        <v>2041</v>
      </c>
      <c r="AB134" s="42" t="s">
        <v>145</v>
      </c>
      <c r="AC134" s="42">
        <v>0.23</v>
      </c>
    </row>
    <row r="135" spans="3:29">
      <c r="C135" t="s">
        <v>113</v>
      </c>
      <c r="D135">
        <v>2037</v>
      </c>
      <c r="E135" t="s">
        <v>141</v>
      </c>
      <c r="F135">
        <v>345.34</v>
      </c>
      <c r="J135" s="18" t="s">
        <v>117</v>
      </c>
      <c r="K135" s="18">
        <v>2013</v>
      </c>
      <c r="L135" s="18" t="s">
        <v>174</v>
      </c>
      <c r="M135" s="18">
        <v>439.44</v>
      </c>
      <c r="P135" s="18" t="s">
        <v>117</v>
      </c>
      <c r="Q135" s="18">
        <v>2013</v>
      </c>
      <c r="R135" s="18" t="s">
        <v>175</v>
      </c>
      <c r="S135" s="18">
        <f t="shared" si="17"/>
        <v>0</v>
      </c>
      <c r="U135">
        <v>21.972000000000001</v>
      </c>
      <c r="Z135" s="42" t="s">
        <v>113</v>
      </c>
      <c r="AA135" s="42">
        <v>2042</v>
      </c>
      <c r="AB135" s="42" t="s">
        <v>145</v>
      </c>
      <c r="AC135" s="42">
        <v>0.24</v>
      </c>
    </row>
    <row r="136" spans="3:29">
      <c r="C136" t="s">
        <v>113</v>
      </c>
      <c r="D136">
        <v>2037</v>
      </c>
      <c r="E136" t="s">
        <v>142</v>
      </c>
      <c r="F136">
        <v>445.41</v>
      </c>
      <c r="J136" s="18" t="s">
        <v>117</v>
      </c>
      <c r="K136" s="18">
        <v>2014</v>
      </c>
      <c r="L136" s="18" t="s">
        <v>174</v>
      </c>
      <c r="M136" s="18">
        <v>454.13</v>
      </c>
      <c r="P136" s="18" t="s">
        <v>117</v>
      </c>
      <c r="Q136" s="18">
        <v>2014</v>
      </c>
      <c r="R136" s="18" t="s">
        <v>175</v>
      </c>
      <c r="S136" s="18">
        <f t="shared" si="17"/>
        <v>0</v>
      </c>
      <c r="U136">
        <v>22.706499999999998</v>
      </c>
      <c r="Z136" s="42" t="s">
        <v>113</v>
      </c>
      <c r="AA136" s="42">
        <v>2043</v>
      </c>
      <c r="AB136" s="42" t="s">
        <v>145</v>
      </c>
      <c r="AC136" s="42">
        <v>0.25</v>
      </c>
    </row>
    <row r="137" spans="3:29">
      <c r="C137" t="s">
        <v>113</v>
      </c>
      <c r="D137">
        <v>2037</v>
      </c>
      <c r="E137" t="s">
        <v>143</v>
      </c>
      <c r="F137">
        <v>917.76</v>
      </c>
      <c r="J137" s="18" t="s">
        <v>117</v>
      </c>
      <c r="K137" s="18">
        <v>2015</v>
      </c>
      <c r="L137" s="18" t="s">
        <v>174</v>
      </c>
      <c r="M137" s="18">
        <v>468.81</v>
      </c>
      <c r="P137" s="18" t="s">
        <v>117</v>
      </c>
      <c r="Q137" s="18">
        <v>2015</v>
      </c>
      <c r="R137" s="18" t="s">
        <v>175</v>
      </c>
      <c r="S137" s="18">
        <f t="shared" si="17"/>
        <v>0</v>
      </c>
      <c r="U137">
        <v>23.4405</v>
      </c>
      <c r="Z137" s="42" t="s">
        <v>113</v>
      </c>
      <c r="AA137" s="42">
        <v>2044</v>
      </c>
      <c r="AB137" s="42" t="s">
        <v>145</v>
      </c>
      <c r="AC137" s="42">
        <v>0.26</v>
      </c>
    </row>
    <row r="138" spans="3:29">
      <c r="C138" t="s">
        <v>113</v>
      </c>
      <c r="D138">
        <v>2037</v>
      </c>
      <c r="E138" t="s">
        <v>144</v>
      </c>
      <c r="F138">
        <v>12.79</v>
      </c>
      <c r="J138" s="18" t="s">
        <v>117</v>
      </c>
      <c r="K138" s="18">
        <v>2016</v>
      </c>
      <c r="L138" s="18" t="s">
        <v>174</v>
      </c>
      <c r="M138" s="18">
        <v>459.41</v>
      </c>
      <c r="P138" s="18" t="s">
        <v>117</v>
      </c>
      <c r="Q138" s="18">
        <v>2016</v>
      </c>
      <c r="R138" s="18" t="s">
        <v>175</v>
      </c>
      <c r="S138" s="18">
        <f t="shared" ref="S138:S201" si="28">IF(Q138&lt;2040, 0,U138)</f>
        <v>0</v>
      </c>
      <c r="U138">
        <v>22.970500000000001</v>
      </c>
      <c r="Z138" s="42" t="s">
        <v>113</v>
      </c>
      <c r="AA138" s="42">
        <v>2045</v>
      </c>
      <c r="AB138" s="42" t="s">
        <v>145</v>
      </c>
      <c r="AC138" s="42">
        <v>0.27</v>
      </c>
    </row>
    <row r="139" spans="3:29">
      <c r="C139" t="s">
        <v>113</v>
      </c>
      <c r="D139">
        <v>2038</v>
      </c>
      <c r="E139" t="s">
        <v>145</v>
      </c>
      <c r="F139">
        <v>0.2</v>
      </c>
      <c r="J139" s="18" t="s">
        <v>117</v>
      </c>
      <c r="K139" s="18">
        <v>2017</v>
      </c>
      <c r="L139" s="18" t="s">
        <v>174</v>
      </c>
      <c r="M139" s="18">
        <v>461.1</v>
      </c>
      <c r="P139" s="18" t="s">
        <v>117</v>
      </c>
      <c r="Q139" s="18">
        <v>2017</v>
      </c>
      <c r="R139" s="18" t="s">
        <v>175</v>
      </c>
      <c r="S139" s="18">
        <f t="shared" si="28"/>
        <v>0</v>
      </c>
      <c r="U139">
        <v>23.055</v>
      </c>
      <c r="Z139" s="42" t="s">
        <v>113</v>
      </c>
      <c r="AA139" s="42">
        <v>2046</v>
      </c>
      <c r="AB139" s="42" t="s">
        <v>145</v>
      </c>
      <c r="AC139" s="42">
        <v>0.28000000000000003</v>
      </c>
    </row>
    <row r="140" spans="3:29">
      <c r="C140" t="s">
        <v>113</v>
      </c>
      <c r="D140">
        <v>2038</v>
      </c>
      <c r="E140" t="s">
        <v>141</v>
      </c>
      <c r="F140">
        <v>352.18</v>
      </c>
      <c r="J140" s="18" t="s">
        <v>117</v>
      </c>
      <c r="K140" s="18">
        <v>2018</v>
      </c>
      <c r="L140" s="18" t="s">
        <v>174</v>
      </c>
      <c r="M140" s="18">
        <v>468.22</v>
      </c>
      <c r="P140" s="18" t="s">
        <v>117</v>
      </c>
      <c r="Q140" s="18">
        <v>2018</v>
      </c>
      <c r="R140" s="18" t="s">
        <v>175</v>
      </c>
      <c r="S140" s="18">
        <f t="shared" si="28"/>
        <v>0</v>
      </c>
      <c r="U140">
        <v>23.411000000000001</v>
      </c>
      <c r="Z140" s="42" t="s">
        <v>113</v>
      </c>
      <c r="AA140" s="42">
        <v>2047</v>
      </c>
      <c r="AB140" s="42" t="s">
        <v>145</v>
      </c>
      <c r="AC140" s="42">
        <v>0.28999999999999998</v>
      </c>
    </row>
    <row r="141" spans="3:29">
      <c r="C141" t="s">
        <v>113</v>
      </c>
      <c r="D141">
        <v>2038</v>
      </c>
      <c r="E141" t="s">
        <v>142</v>
      </c>
      <c r="F141">
        <v>456.92</v>
      </c>
      <c r="J141" s="18" t="s">
        <v>117</v>
      </c>
      <c r="K141" s="18">
        <v>2019</v>
      </c>
      <c r="L141" s="18" t="s">
        <v>174</v>
      </c>
      <c r="M141" s="18">
        <v>473.81</v>
      </c>
      <c r="P141" s="18" t="s">
        <v>117</v>
      </c>
      <c r="Q141" s="18">
        <v>2019</v>
      </c>
      <c r="R141" s="18" t="s">
        <v>175</v>
      </c>
      <c r="S141" s="18">
        <f t="shared" si="28"/>
        <v>0</v>
      </c>
      <c r="U141">
        <v>23.6905</v>
      </c>
      <c r="Z141" s="42" t="s">
        <v>113</v>
      </c>
      <c r="AA141" s="42">
        <v>2048</v>
      </c>
      <c r="AB141" s="42" t="s">
        <v>145</v>
      </c>
      <c r="AC141" s="42">
        <v>0.31</v>
      </c>
    </row>
    <row r="142" spans="3:29">
      <c r="C142" t="s">
        <v>113</v>
      </c>
      <c r="D142">
        <v>2038</v>
      </c>
      <c r="E142" t="s">
        <v>143</v>
      </c>
      <c r="F142">
        <v>950.36</v>
      </c>
      <c r="J142" s="18" t="s">
        <v>117</v>
      </c>
      <c r="K142" s="18">
        <v>2020</v>
      </c>
      <c r="L142" s="18" t="s">
        <v>174</v>
      </c>
      <c r="M142" s="18">
        <v>476.98</v>
      </c>
      <c r="P142" s="18" t="s">
        <v>117</v>
      </c>
      <c r="Q142" s="18">
        <v>2020</v>
      </c>
      <c r="R142" s="18" t="s">
        <v>175</v>
      </c>
      <c r="S142" s="18">
        <f t="shared" si="28"/>
        <v>0</v>
      </c>
      <c r="U142">
        <v>23.849</v>
      </c>
      <c r="Z142" s="42" t="s">
        <v>113</v>
      </c>
      <c r="AA142" s="42">
        <v>2049</v>
      </c>
      <c r="AB142" s="42" t="s">
        <v>145</v>
      </c>
      <c r="AC142" s="42">
        <v>0.32</v>
      </c>
    </row>
    <row r="143" spans="3:29">
      <c r="C143" t="s">
        <v>113</v>
      </c>
      <c r="D143">
        <v>2038</v>
      </c>
      <c r="E143" t="s">
        <v>144</v>
      </c>
      <c r="F143">
        <v>13.08</v>
      </c>
      <c r="J143" s="18" t="s">
        <v>117</v>
      </c>
      <c r="K143" s="18">
        <v>2021</v>
      </c>
      <c r="L143" s="18" t="s">
        <v>174</v>
      </c>
      <c r="M143" s="18">
        <v>484.98</v>
      </c>
      <c r="P143" s="18" t="s">
        <v>117</v>
      </c>
      <c r="Q143" s="18">
        <v>2021</v>
      </c>
      <c r="R143" s="18" t="s">
        <v>175</v>
      </c>
      <c r="S143" s="18">
        <f t="shared" si="28"/>
        <v>0</v>
      </c>
      <c r="U143">
        <v>24.249000000000002</v>
      </c>
      <c r="Z143" s="42" t="s">
        <v>113</v>
      </c>
      <c r="AA143" s="42">
        <v>2050</v>
      </c>
      <c r="AB143" s="42" t="s">
        <v>145</v>
      </c>
      <c r="AC143" s="42">
        <v>0.33</v>
      </c>
    </row>
    <row r="144" spans="3:29">
      <c r="C144" t="s">
        <v>113</v>
      </c>
      <c r="D144">
        <v>2039</v>
      </c>
      <c r="E144" t="s">
        <v>145</v>
      </c>
      <c r="F144">
        <v>0.21</v>
      </c>
      <c r="J144" s="18" t="s">
        <v>117</v>
      </c>
      <c r="K144" s="18">
        <v>2022</v>
      </c>
      <c r="L144" s="18" t="s">
        <v>174</v>
      </c>
      <c r="M144" s="18">
        <v>493.39</v>
      </c>
      <c r="P144" s="18" t="s">
        <v>117</v>
      </c>
      <c r="Q144" s="18">
        <v>2022</v>
      </c>
      <c r="R144" s="18" t="s">
        <v>175</v>
      </c>
      <c r="S144" s="18">
        <f t="shared" si="28"/>
        <v>0</v>
      </c>
      <c r="U144">
        <v>24.669499999999999</v>
      </c>
      <c r="Z144" s="42" t="s">
        <v>114</v>
      </c>
      <c r="AA144" s="42">
        <v>2020</v>
      </c>
      <c r="AB144" s="42" t="s">
        <v>145</v>
      </c>
      <c r="AC144" s="42">
        <v>0.04</v>
      </c>
    </row>
    <row r="145" spans="3:29">
      <c r="C145" t="s">
        <v>113</v>
      </c>
      <c r="D145">
        <v>2039</v>
      </c>
      <c r="E145" t="s">
        <v>141</v>
      </c>
      <c r="F145">
        <v>359.09</v>
      </c>
      <c r="J145" s="18" t="s">
        <v>117</v>
      </c>
      <c r="K145" s="18">
        <v>2023</v>
      </c>
      <c r="L145" s="18" t="s">
        <v>174</v>
      </c>
      <c r="M145" s="18">
        <v>500.94</v>
      </c>
      <c r="P145" s="18" t="s">
        <v>117</v>
      </c>
      <c r="Q145" s="18">
        <v>2023</v>
      </c>
      <c r="R145" s="18" t="s">
        <v>175</v>
      </c>
      <c r="S145" s="18">
        <f t="shared" si="28"/>
        <v>0</v>
      </c>
      <c r="U145">
        <v>25.047000000000001</v>
      </c>
      <c r="Z145" s="42" t="s">
        <v>114</v>
      </c>
      <c r="AA145" s="42">
        <v>2021</v>
      </c>
      <c r="AB145" s="42" t="s">
        <v>145</v>
      </c>
      <c r="AC145" s="42">
        <v>0.12</v>
      </c>
    </row>
    <row r="146" spans="3:29">
      <c r="C146" t="s">
        <v>113</v>
      </c>
      <c r="D146">
        <v>2039</v>
      </c>
      <c r="E146" t="s">
        <v>142</v>
      </c>
      <c r="F146">
        <v>467.19</v>
      </c>
      <c r="J146" s="18" t="s">
        <v>117</v>
      </c>
      <c r="K146" s="18">
        <v>2024</v>
      </c>
      <c r="L146" s="18" t="s">
        <v>174</v>
      </c>
      <c r="M146" s="18">
        <v>508.58</v>
      </c>
      <c r="P146" s="18" t="s">
        <v>117</v>
      </c>
      <c r="Q146" s="18">
        <v>2024</v>
      </c>
      <c r="R146" s="18" t="s">
        <v>175</v>
      </c>
      <c r="S146" s="18">
        <f t="shared" si="28"/>
        <v>0</v>
      </c>
      <c r="U146">
        <v>25.428999999999998</v>
      </c>
      <c r="Z146" s="42" t="s">
        <v>114</v>
      </c>
      <c r="AA146" s="42">
        <v>2022</v>
      </c>
      <c r="AB146" s="42" t="s">
        <v>145</v>
      </c>
      <c r="AC146" s="42">
        <v>0.13</v>
      </c>
    </row>
    <row r="147" spans="3:29">
      <c r="C147" t="s">
        <v>113</v>
      </c>
      <c r="D147">
        <v>2039</v>
      </c>
      <c r="E147" t="s">
        <v>143</v>
      </c>
      <c r="F147">
        <v>983.94</v>
      </c>
      <c r="J147" s="18" t="s">
        <v>117</v>
      </c>
      <c r="K147" s="18">
        <v>2025</v>
      </c>
      <c r="L147" s="18" t="s">
        <v>174</v>
      </c>
      <c r="M147" s="18">
        <v>516.36</v>
      </c>
      <c r="P147" s="18" t="s">
        <v>117</v>
      </c>
      <c r="Q147" s="18">
        <v>2025</v>
      </c>
      <c r="R147" s="18" t="s">
        <v>175</v>
      </c>
      <c r="S147" s="18">
        <f t="shared" si="28"/>
        <v>0</v>
      </c>
      <c r="U147">
        <v>25.818000000000001</v>
      </c>
      <c r="Z147" s="42" t="s">
        <v>114</v>
      </c>
      <c r="AA147" s="42">
        <v>2023</v>
      </c>
      <c r="AB147" s="42" t="s">
        <v>145</v>
      </c>
      <c r="AC147" s="42">
        <v>0.16</v>
      </c>
    </row>
    <row r="148" spans="3:29">
      <c r="C148" t="s">
        <v>113</v>
      </c>
      <c r="D148">
        <v>2039</v>
      </c>
      <c r="E148" t="s">
        <v>144</v>
      </c>
      <c r="F148">
        <v>13.43</v>
      </c>
      <c r="J148" s="18" t="s">
        <v>117</v>
      </c>
      <c r="K148" s="18">
        <v>2026</v>
      </c>
      <c r="L148" s="18" t="s">
        <v>174</v>
      </c>
      <c r="M148" s="18">
        <v>516.58000000000004</v>
      </c>
      <c r="P148" s="18" t="s">
        <v>117</v>
      </c>
      <c r="Q148" s="18">
        <v>2026</v>
      </c>
      <c r="R148" s="18" t="s">
        <v>175</v>
      </c>
      <c r="S148" s="18">
        <f t="shared" si="28"/>
        <v>0</v>
      </c>
      <c r="U148">
        <v>25.829000000000001</v>
      </c>
      <c r="Z148" s="42" t="s">
        <v>114</v>
      </c>
      <c r="AA148" s="42">
        <v>2024</v>
      </c>
      <c r="AB148" s="42" t="s">
        <v>145</v>
      </c>
      <c r="AC148" s="42">
        <v>0.18</v>
      </c>
    </row>
    <row r="149" spans="3:29">
      <c r="C149" t="s">
        <v>113</v>
      </c>
      <c r="D149">
        <v>2040</v>
      </c>
      <c r="E149" t="s">
        <v>145</v>
      </c>
      <c r="F149">
        <v>0.22</v>
      </c>
      <c r="J149" s="18" t="s">
        <v>117</v>
      </c>
      <c r="K149" s="18">
        <v>2027</v>
      </c>
      <c r="L149" s="18" t="s">
        <v>174</v>
      </c>
      <c r="M149" s="18">
        <v>517.29</v>
      </c>
      <c r="P149" s="18" t="s">
        <v>117</v>
      </c>
      <c r="Q149" s="18">
        <v>2027</v>
      </c>
      <c r="R149" s="18" t="s">
        <v>175</v>
      </c>
      <c r="S149" s="18">
        <f t="shared" si="28"/>
        <v>0</v>
      </c>
      <c r="U149">
        <v>25.8645</v>
      </c>
      <c r="Z149" s="42" t="s">
        <v>114</v>
      </c>
      <c r="AA149" s="42">
        <v>2025</v>
      </c>
      <c r="AB149" s="42" t="s">
        <v>145</v>
      </c>
      <c r="AC149" s="42">
        <v>0.21</v>
      </c>
    </row>
    <row r="150" spans="3:29">
      <c r="C150" t="s">
        <v>113</v>
      </c>
      <c r="D150">
        <v>2040</v>
      </c>
      <c r="E150" t="s">
        <v>141</v>
      </c>
      <c r="F150">
        <v>366.01</v>
      </c>
      <c r="J150" s="18" t="s">
        <v>117</v>
      </c>
      <c r="K150" s="18">
        <v>2028</v>
      </c>
      <c r="L150" s="18" t="s">
        <v>174</v>
      </c>
      <c r="M150" s="18">
        <v>517.96</v>
      </c>
      <c r="P150" s="18" t="s">
        <v>117</v>
      </c>
      <c r="Q150" s="18">
        <v>2028</v>
      </c>
      <c r="R150" s="18" t="s">
        <v>175</v>
      </c>
      <c r="S150" s="18">
        <f t="shared" si="28"/>
        <v>0</v>
      </c>
      <c r="U150">
        <v>25.898000000000003</v>
      </c>
      <c r="Z150" s="42" t="s">
        <v>114</v>
      </c>
      <c r="AA150" s="42">
        <v>2026</v>
      </c>
      <c r="AB150" s="42" t="s">
        <v>145</v>
      </c>
      <c r="AC150" s="42">
        <v>0.25</v>
      </c>
    </row>
    <row r="151" spans="3:29">
      <c r="C151" t="s">
        <v>113</v>
      </c>
      <c r="D151">
        <v>2040</v>
      </c>
      <c r="E151" t="s">
        <v>142</v>
      </c>
      <c r="F151">
        <v>478.86</v>
      </c>
      <c r="J151" s="18" t="s">
        <v>117</v>
      </c>
      <c r="K151" s="18">
        <v>2029</v>
      </c>
      <c r="L151" s="18" t="s">
        <v>174</v>
      </c>
      <c r="M151" s="18">
        <v>518.63</v>
      </c>
      <c r="P151" s="18" t="s">
        <v>117</v>
      </c>
      <c r="Q151" s="18">
        <v>2029</v>
      </c>
      <c r="R151" s="18" t="s">
        <v>175</v>
      </c>
      <c r="S151" s="18">
        <f t="shared" si="28"/>
        <v>0</v>
      </c>
      <c r="U151">
        <v>25.9315</v>
      </c>
      <c r="Z151" s="42" t="s">
        <v>114</v>
      </c>
      <c r="AA151" s="42">
        <v>2027</v>
      </c>
      <c r="AB151" s="42" t="s">
        <v>145</v>
      </c>
      <c r="AC151" s="42">
        <v>0.28000000000000003</v>
      </c>
    </row>
    <row r="152" spans="3:29">
      <c r="C152" t="s">
        <v>113</v>
      </c>
      <c r="D152">
        <v>2040</v>
      </c>
      <c r="E152" t="s">
        <v>143</v>
      </c>
      <c r="F152">
        <v>1018.24</v>
      </c>
      <c r="J152" s="18" t="s">
        <v>117</v>
      </c>
      <c r="K152" s="18">
        <v>2030</v>
      </c>
      <c r="L152" s="18" t="s">
        <v>174</v>
      </c>
      <c r="M152" s="18">
        <v>519.39</v>
      </c>
      <c r="P152" s="18" t="s">
        <v>117</v>
      </c>
      <c r="Q152" s="18">
        <v>2030</v>
      </c>
      <c r="R152" s="18" t="s">
        <v>175</v>
      </c>
      <c r="S152" s="18">
        <f t="shared" si="28"/>
        <v>0</v>
      </c>
      <c r="U152">
        <v>25.9695</v>
      </c>
      <c r="Z152" s="42" t="s">
        <v>114</v>
      </c>
      <c r="AA152" s="42">
        <v>2028</v>
      </c>
      <c r="AB152" s="42" t="s">
        <v>145</v>
      </c>
      <c r="AC152" s="42">
        <v>0.32</v>
      </c>
    </row>
    <row r="153" spans="3:29">
      <c r="C153" t="s">
        <v>113</v>
      </c>
      <c r="D153">
        <v>2040</v>
      </c>
      <c r="E153" t="s">
        <v>144</v>
      </c>
      <c r="F153">
        <v>13.81</v>
      </c>
      <c r="J153" s="18" t="s">
        <v>117</v>
      </c>
      <c r="K153" s="18">
        <v>2031</v>
      </c>
      <c r="L153" s="18" t="s">
        <v>174</v>
      </c>
      <c r="M153" s="18">
        <v>524.95000000000005</v>
      </c>
      <c r="P153" s="18" t="s">
        <v>117</v>
      </c>
      <c r="Q153" s="18">
        <v>2031</v>
      </c>
      <c r="R153" s="18" t="s">
        <v>175</v>
      </c>
      <c r="S153" s="18">
        <f t="shared" si="28"/>
        <v>0</v>
      </c>
      <c r="U153">
        <v>26.247500000000002</v>
      </c>
      <c r="Z153" s="42" t="s">
        <v>114</v>
      </c>
      <c r="AA153" s="42">
        <v>2029</v>
      </c>
      <c r="AB153" s="42" t="s">
        <v>145</v>
      </c>
      <c r="AC153" s="42">
        <v>0.35</v>
      </c>
    </row>
    <row r="154" spans="3:29">
      <c r="C154" t="s">
        <v>113</v>
      </c>
      <c r="D154">
        <v>2041</v>
      </c>
      <c r="E154" t="s">
        <v>145</v>
      </c>
      <c r="F154">
        <v>0.23</v>
      </c>
      <c r="J154" s="18" t="s">
        <v>117</v>
      </c>
      <c r="K154" s="18">
        <v>2032</v>
      </c>
      <c r="L154" s="18" t="s">
        <v>174</v>
      </c>
      <c r="M154" s="18">
        <v>530.4</v>
      </c>
      <c r="P154" s="18" t="s">
        <v>117</v>
      </c>
      <c r="Q154" s="18">
        <v>2032</v>
      </c>
      <c r="R154" s="18" t="s">
        <v>175</v>
      </c>
      <c r="S154" s="18">
        <f t="shared" si="28"/>
        <v>0</v>
      </c>
      <c r="U154">
        <v>26.52</v>
      </c>
      <c r="Z154" s="42" t="s">
        <v>114</v>
      </c>
      <c r="AA154" s="42">
        <v>2030</v>
      </c>
      <c r="AB154" s="42" t="s">
        <v>145</v>
      </c>
      <c r="AC154" s="42">
        <v>0.39</v>
      </c>
    </row>
    <row r="155" spans="3:29">
      <c r="C155" t="s">
        <v>113</v>
      </c>
      <c r="D155">
        <v>2041</v>
      </c>
      <c r="E155" t="s">
        <v>141</v>
      </c>
      <c r="F155">
        <v>372.58</v>
      </c>
      <c r="J155" s="18" t="s">
        <v>117</v>
      </c>
      <c r="K155" s="18">
        <v>2033</v>
      </c>
      <c r="L155" s="18" t="s">
        <v>174</v>
      </c>
      <c r="M155" s="18">
        <v>535.69000000000005</v>
      </c>
      <c r="P155" s="18" t="s">
        <v>117</v>
      </c>
      <c r="Q155" s="18">
        <v>2033</v>
      </c>
      <c r="R155" s="18" t="s">
        <v>175</v>
      </c>
      <c r="S155" s="18">
        <f t="shared" si="28"/>
        <v>0</v>
      </c>
      <c r="U155">
        <v>26.784500000000001</v>
      </c>
      <c r="Z155" s="42" t="s">
        <v>114</v>
      </c>
      <c r="AA155" s="42">
        <v>2031</v>
      </c>
      <c r="AB155" s="42" t="s">
        <v>145</v>
      </c>
      <c r="AC155" s="42">
        <v>0.43</v>
      </c>
    </row>
    <row r="156" spans="3:29">
      <c r="C156" t="s">
        <v>113</v>
      </c>
      <c r="D156">
        <v>2041</v>
      </c>
      <c r="E156" t="s">
        <v>142</v>
      </c>
      <c r="F156">
        <v>490.65</v>
      </c>
      <c r="J156" s="18" t="s">
        <v>117</v>
      </c>
      <c r="K156" s="18">
        <v>2034</v>
      </c>
      <c r="L156" s="18" t="s">
        <v>174</v>
      </c>
      <c r="M156" s="18">
        <v>541.26</v>
      </c>
      <c r="P156" s="18" t="s">
        <v>117</v>
      </c>
      <c r="Q156" s="18">
        <v>2034</v>
      </c>
      <c r="R156" s="18" t="s">
        <v>175</v>
      </c>
      <c r="S156" s="18">
        <f t="shared" si="28"/>
        <v>0</v>
      </c>
      <c r="U156">
        <v>27.062999999999999</v>
      </c>
      <c r="Z156" s="42" t="s">
        <v>114</v>
      </c>
      <c r="AA156" s="42">
        <v>2032</v>
      </c>
      <c r="AB156" s="42" t="s">
        <v>145</v>
      </c>
      <c r="AC156" s="42">
        <v>0.47</v>
      </c>
    </row>
    <row r="157" spans="3:29">
      <c r="C157" t="s">
        <v>113</v>
      </c>
      <c r="D157">
        <v>2041</v>
      </c>
      <c r="E157" t="s">
        <v>143</v>
      </c>
      <c r="F157">
        <v>1051.96</v>
      </c>
      <c r="J157" s="18" t="s">
        <v>117</v>
      </c>
      <c r="K157" s="18">
        <v>2035</v>
      </c>
      <c r="L157" s="18" t="s">
        <v>174</v>
      </c>
      <c r="M157" s="18">
        <v>546.4</v>
      </c>
      <c r="P157" s="18" t="s">
        <v>117</v>
      </c>
      <c r="Q157" s="18">
        <v>2035</v>
      </c>
      <c r="R157" s="18" t="s">
        <v>175</v>
      </c>
      <c r="S157" s="18">
        <f t="shared" si="28"/>
        <v>0</v>
      </c>
      <c r="U157">
        <v>27.32</v>
      </c>
      <c r="Z157" s="42" t="s">
        <v>114</v>
      </c>
      <c r="AA157" s="42">
        <v>2033</v>
      </c>
      <c r="AB157" s="42" t="s">
        <v>145</v>
      </c>
      <c r="AC157" s="42">
        <v>0.51</v>
      </c>
    </row>
    <row r="158" spans="3:29">
      <c r="C158" t="s">
        <v>113</v>
      </c>
      <c r="D158">
        <v>2041</v>
      </c>
      <c r="E158" t="s">
        <v>144</v>
      </c>
      <c r="F158">
        <v>14.21</v>
      </c>
      <c r="J158" s="18" t="s">
        <v>117</v>
      </c>
      <c r="K158" s="18">
        <v>2036</v>
      </c>
      <c r="L158" s="18" t="s">
        <v>174</v>
      </c>
      <c r="M158" s="18">
        <v>551.79999999999995</v>
      </c>
      <c r="P158" s="18" t="s">
        <v>117</v>
      </c>
      <c r="Q158" s="18">
        <v>2036</v>
      </c>
      <c r="R158" s="18" t="s">
        <v>175</v>
      </c>
      <c r="S158" s="18">
        <f t="shared" si="28"/>
        <v>0</v>
      </c>
      <c r="U158">
        <v>27.589999999999996</v>
      </c>
      <c r="Z158" s="42" t="s">
        <v>114</v>
      </c>
      <c r="AA158" s="42">
        <v>2034</v>
      </c>
      <c r="AB158" s="42" t="s">
        <v>145</v>
      </c>
      <c r="AC158" s="42">
        <v>0.56000000000000005</v>
      </c>
    </row>
    <row r="159" spans="3:29">
      <c r="C159" t="s">
        <v>113</v>
      </c>
      <c r="D159">
        <v>2042</v>
      </c>
      <c r="E159" t="s">
        <v>145</v>
      </c>
      <c r="F159">
        <v>0.24</v>
      </c>
      <c r="J159" s="18" t="s">
        <v>117</v>
      </c>
      <c r="K159" s="18">
        <v>2037</v>
      </c>
      <c r="L159" s="18" t="s">
        <v>174</v>
      </c>
      <c r="M159" s="18">
        <v>557.33000000000004</v>
      </c>
      <c r="P159" s="18" t="s">
        <v>117</v>
      </c>
      <c r="Q159" s="18">
        <v>2037</v>
      </c>
      <c r="R159" s="18" t="s">
        <v>175</v>
      </c>
      <c r="S159" s="18">
        <f t="shared" si="28"/>
        <v>0</v>
      </c>
      <c r="U159">
        <v>27.866500000000002</v>
      </c>
      <c r="Z159" s="42" t="s">
        <v>114</v>
      </c>
      <c r="AA159" s="42">
        <v>2035</v>
      </c>
      <c r="AB159" s="42" t="s">
        <v>145</v>
      </c>
      <c r="AC159" s="42">
        <v>0.6</v>
      </c>
    </row>
    <row r="160" spans="3:29">
      <c r="C160" t="s">
        <v>113</v>
      </c>
      <c r="D160">
        <v>2042</v>
      </c>
      <c r="E160" t="s">
        <v>141</v>
      </c>
      <c r="F160">
        <v>379.13</v>
      </c>
      <c r="J160" s="18" t="s">
        <v>117</v>
      </c>
      <c r="K160" s="18">
        <v>2038</v>
      </c>
      <c r="L160" s="18" t="s">
        <v>174</v>
      </c>
      <c r="M160" s="18">
        <v>562.55999999999995</v>
      </c>
      <c r="P160" s="18" t="s">
        <v>117</v>
      </c>
      <c r="Q160" s="18">
        <v>2038</v>
      </c>
      <c r="R160" s="18" t="s">
        <v>175</v>
      </c>
      <c r="S160" s="18">
        <f t="shared" si="28"/>
        <v>0</v>
      </c>
      <c r="U160">
        <v>28.127999999999997</v>
      </c>
      <c r="Z160" s="42" t="s">
        <v>114</v>
      </c>
      <c r="AA160" s="42">
        <v>2036</v>
      </c>
      <c r="AB160" s="42" t="s">
        <v>145</v>
      </c>
      <c r="AC160" s="42">
        <v>0.64</v>
      </c>
    </row>
    <row r="161" spans="3:29">
      <c r="C161" t="s">
        <v>113</v>
      </c>
      <c r="D161">
        <v>2042</v>
      </c>
      <c r="E161" t="s">
        <v>142</v>
      </c>
      <c r="F161">
        <v>501.49</v>
      </c>
      <c r="J161" s="18" t="s">
        <v>117</v>
      </c>
      <c r="K161" s="18">
        <v>2039</v>
      </c>
      <c r="L161" s="18" t="s">
        <v>174</v>
      </c>
      <c r="M161" s="18">
        <v>567.89</v>
      </c>
      <c r="P161" s="18" t="s">
        <v>117</v>
      </c>
      <c r="Q161" s="18">
        <v>2039</v>
      </c>
      <c r="R161" s="18" t="s">
        <v>175</v>
      </c>
      <c r="S161" s="18">
        <f t="shared" si="28"/>
        <v>0</v>
      </c>
      <c r="U161">
        <v>28.394500000000001</v>
      </c>
      <c r="Z161" s="42" t="s">
        <v>114</v>
      </c>
      <c r="AA161" s="42">
        <v>2037</v>
      </c>
      <c r="AB161" s="42" t="s">
        <v>145</v>
      </c>
      <c r="AC161" s="42">
        <v>0.68</v>
      </c>
    </row>
    <row r="162" spans="3:29">
      <c r="C162" t="s">
        <v>113</v>
      </c>
      <c r="D162">
        <v>2042</v>
      </c>
      <c r="E162" t="s">
        <v>143</v>
      </c>
      <c r="F162">
        <v>1086.3699999999999</v>
      </c>
      <c r="J162" s="18" t="s">
        <v>117</v>
      </c>
      <c r="K162" s="18">
        <v>2040</v>
      </c>
      <c r="L162" s="18" t="s">
        <v>174</v>
      </c>
      <c r="M162" s="18">
        <v>573.34</v>
      </c>
      <c r="P162" s="18" t="s">
        <v>117</v>
      </c>
      <c r="Q162" s="18">
        <v>2040</v>
      </c>
      <c r="R162" s="18" t="s">
        <v>175</v>
      </c>
      <c r="S162" s="18">
        <f t="shared" si="28"/>
        <v>28.667000000000002</v>
      </c>
      <c r="U162">
        <v>28.667000000000002</v>
      </c>
      <c r="Z162" s="42" t="s">
        <v>114</v>
      </c>
      <c r="AA162" s="42">
        <v>2038</v>
      </c>
      <c r="AB162" s="42" t="s">
        <v>145</v>
      </c>
      <c r="AC162" s="42">
        <v>0.73</v>
      </c>
    </row>
    <row r="163" spans="3:29">
      <c r="C163" t="s">
        <v>113</v>
      </c>
      <c r="D163">
        <v>2042</v>
      </c>
      <c r="E163" t="s">
        <v>144</v>
      </c>
      <c r="F163">
        <v>14.62</v>
      </c>
      <c r="J163" s="18" t="s">
        <v>117</v>
      </c>
      <c r="K163" s="18">
        <v>2041</v>
      </c>
      <c r="L163" s="18" t="s">
        <v>174</v>
      </c>
      <c r="M163" s="18">
        <v>580.30999999999995</v>
      </c>
      <c r="P163" s="18" t="s">
        <v>117</v>
      </c>
      <c r="Q163" s="18">
        <v>2041</v>
      </c>
      <c r="R163" s="18" t="s">
        <v>175</v>
      </c>
      <c r="S163" s="18">
        <f t="shared" si="28"/>
        <v>29.015499999999996</v>
      </c>
      <c r="U163">
        <v>29.015499999999996</v>
      </c>
      <c r="Z163" s="42" t="s">
        <v>114</v>
      </c>
      <c r="AA163" s="42">
        <v>2039</v>
      </c>
      <c r="AB163" s="42" t="s">
        <v>145</v>
      </c>
      <c r="AC163" s="42">
        <v>0.77</v>
      </c>
    </row>
    <row r="164" spans="3:29">
      <c r="C164" t="s">
        <v>113</v>
      </c>
      <c r="D164">
        <v>2043</v>
      </c>
      <c r="E164" t="s">
        <v>145</v>
      </c>
      <c r="F164">
        <v>0.25</v>
      </c>
      <c r="J164" s="18" t="s">
        <v>117</v>
      </c>
      <c r="K164" s="18">
        <v>2042</v>
      </c>
      <c r="L164" s="18" t="s">
        <v>174</v>
      </c>
      <c r="M164" s="18">
        <v>587.5</v>
      </c>
      <c r="P164" s="18" t="s">
        <v>117</v>
      </c>
      <c r="Q164" s="18">
        <v>2042</v>
      </c>
      <c r="R164" s="18" t="s">
        <v>175</v>
      </c>
      <c r="S164" s="18">
        <f t="shared" si="28"/>
        <v>29.375</v>
      </c>
      <c r="U164">
        <v>29.375</v>
      </c>
      <c r="Z164" s="42" t="s">
        <v>114</v>
      </c>
      <c r="AA164" s="42">
        <v>2040</v>
      </c>
      <c r="AB164" s="42" t="s">
        <v>145</v>
      </c>
      <c r="AC164" s="42">
        <v>0.81</v>
      </c>
    </row>
    <row r="165" spans="3:29">
      <c r="C165" t="s">
        <v>113</v>
      </c>
      <c r="D165">
        <v>2043</v>
      </c>
      <c r="E165" t="s">
        <v>141</v>
      </c>
      <c r="F165">
        <v>385.68</v>
      </c>
      <c r="J165" s="18" t="s">
        <v>117</v>
      </c>
      <c r="K165" s="18">
        <v>2043</v>
      </c>
      <c r="L165" s="18" t="s">
        <v>174</v>
      </c>
      <c r="M165" s="18">
        <v>594.39</v>
      </c>
      <c r="P165" s="18" t="s">
        <v>117</v>
      </c>
      <c r="Q165" s="18">
        <v>2043</v>
      </c>
      <c r="R165" s="18" t="s">
        <v>175</v>
      </c>
      <c r="S165" s="18">
        <f t="shared" si="28"/>
        <v>29.7195</v>
      </c>
      <c r="U165">
        <v>29.7195</v>
      </c>
      <c r="Z165" s="42" t="s">
        <v>114</v>
      </c>
      <c r="AA165" s="42">
        <v>2041</v>
      </c>
      <c r="AB165" s="42" t="s">
        <v>145</v>
      </c>
      <c r="AC165" s="42">
        <v>0.85</v>
      </c>
    </row>
    <row r="166" spans="3:29">
      <c r="C166" t="s">
        <v>113</v>
      </c>
      <c r="D166">
        <v>2043</v>
      </c>
      <c r="E166" t="s">
        <v>142</v>
      </c>
      <c r="F166">
        <v>513.02</v>
      </c>
      <c r="J166" s="18" t="s">
        <v>117</v>
      </c>
      <c r="K166" s="18">
        <v>2044</v>
      </c>
      <c r="L166" s="18" t="s">
        <v>174</v>
      </c>
      <c r="M166" s="18">
        <v>601.22</v>
      </c>
      <c r="P166" s="18" t="s">
        <v>117</v>
      </c>
      <c r="Q166" s="18">
        <v>2044</v>
      </c>
      <c r="R166" s="18" t="s">
        <v>175</v>
      </c>
      <c r="S166" s="18">
        <f t="shared" si="28"/>
        <v>30.061</v>
      </c>
      <c r="U166">
        <v>30.061</v>
      </c>
      <c r="Z166" s="42" t="s">
        <v>114</v>
      </c>
      <c r="AA166" s="42">
        <v>2042</v>
      </c>
      <c r="AB166" s="42" t="s">
        <v>145</v>
      </c>
      <c r="AC166" s="42">
        <v>0.89</v>
      </c>
    </row>
    <row r="167" spans="3:29">
      <c r="C167" t="s">
        <v>113</v>
      </c>
      <c r="D167">
        <v>2043</v>
      </c>
      <c r="E167" t="s">
        <v>143</v>
      </c>
      <c r="F167">
        <v>1121.17</v>
      </c>
      <c r="J167" s="18" t="s">
        <v>117</v>
      </c>
      <c r="K167" s="18">
        <v>2045</v>
      </c>
      <c r="L167" s="18" t="s">
        <v>174</v>
      </c>
      <c r="M167" s="18">
        <v>608.37</v>
      </c>
      <c r="P167" s="18" t="s">
        <v>117</v>
      </c>
      <c r="Q167" s="18">
        <v>2045</v>
      </c>
      <c r="R167" s="18" t="s">
        <v>175</v>
      </c>
      <c r="S167" s="18">
        <f t="shared" si="28"/>
        <v>30.418500000000002</v>
      </c>
      <c r="U167">
        <v>30.418500000000002</v>
      </c>
      <c r="Z167" s="42" t="s">
        <v>114</v>
      </c>
      <c r="AA167" s="42">
        <v>2043</v>
      </c>
      <c r="AB167" s="42" t="s">
        <v>145</v>
      </c>
      <c r="AC167" s="42">
        <v>0.93</v>
      </c>
    </row>
    <row r="168" spans="3:29">
      <c r="C168" t="s">
        <v>113</v>
      </c>
      <c r="D168">
        <v>2043</v>
      </c>
      <c r="E168" t="s">
        <v>144</v>
      </c>
      <c r="F168">
        <v>15.09</v>
      </c>
      <c r="J168" s="18" t="s">
        <v>117</v>
      </c>
      <c r="K168" s="18">
        <v>2046</v>
      </c>
      <c r="L168" s="18" t="s">
        <v>174</v>
      </c>
      <c r="M168" s="18">
        <v>613</v>
      </c>
      <c r="P168" s="18" t="s">
        <v>117</v>
      </c>
      <c r="Q168" s="18">
        <v>2046</v>
      </c>
      <c r="R168" s="18" t="s">
        <v>175</v>
      </c>
      <c r="S168" s="18">
        <f t="shared" si="28"/>
        <v>30.65</v>
      </c>
      <c r="U168">
        <v>30.65</v>
      </c>
      <c r="Z168" s="42" t="s">
        <v>114</v>
      </c>
      <c r="AA168" s="42">
        <v>2044</v>
      </c>
      <c r="AB168" s="42" t="s">
        <v>145</v>
      </c>
      <c r="AC168" s="42">
        <v>0.97</v>
      </c>
    </row>
    <row r="169" spans="3:29">
      <c r="C169" t="s">
        <v>113</v>
      </c>
      <c r="D169">
        <v>2044</v>
      </c>
      <c r="E169" t="s">
        <v>145</v>
      </c>
      <c r="F169">
        <v>0.26</v>
      </c>
      <c r="J169" s="18" t="s">
        <v>117</v>
      </c>
      <c r="K169" s="18">
        <v>2047</v>
      </c>
      <c r="L169" s="18" t="s">
        <v>174</v>
      </c>
      <c r="M169" s="18">
        <v>617.4</v>
      </c>
      <c r="P169" s="18" t="s">
        <v>117</v>
      </c>
      <c r="Q169" s="18">
        <v>2047</v>
      </c>
      <c r="R169" s="18" t="s">
        <v>175</v>
      </c>
      <c r="S169" s="18">
        <f t="shared" si="28"/>
        <v>30.869999999999997</v>
      </c>
      <c r="U169">
        <v>30.869999999999997</v>
      </c>
      <c r="Z169" s="42" t="s">
        <v>114</v>
      </c>
      <c r="AA169" s="42">
        <v>2045</v>
      </c>
      <c r="AB169" s="42" t="s">
        <v>145</v>
      </c>
      <c r="AC169" s="42">
        <v>1.01</v>
      </c>
    </row>
    <row r="170" spans="3:29">
      <c r="C170" t="s">
        <v>113</v>
      </c>
      <c r="D170">
        <v>2044</v>
      </c>
      <c r="E170" t="s">
        <v>141</v>
      </c>
      <c r="F170">
        <v>392.22</v>
      </c>
      <c r="J170" s="18" t="s">
        <v>117</v>
      </c>
      <c r="K170" s="18">
        <v>2048</v>
      </c>
      <c r="L170" s="18" t="s">
        <v>174</v>
      </c>
      <c r="M170" s="18">
        <v>621.35</v>
      </c>
      <c r="P170" s="18" t="s">
        <v>117</v>
      </c>
      <c r="Q170" s="18">
        <v>2048</v>
      </c>
      <c r="R170" s="18" t="s">
        <v>175</v>
      </c>
      <c r="S170" s="18">
        <f t="shared" si="28"/>
        <v>31.067500000000003</v>
      </c>
      <c r="U170">
        <v>31.067500000000003</v>
      </c>
      <c r="Z170" s="42" t="s">
        <v>114</v>
      </c>
      <c r="AA170" s="42">
        <v>2046</v>
      </c>
      <c r="AB170" s="42" t="s">
        <v>145</v>
      </c>
      <c r="AC170" s="42">
        <v>1.06</v>
      </c>
    </row>
    <row r="171" spans="3:29">
      <c r="C171" t="s">
        <v>113</v>
      </c>
      <c r="D171">
        <v>2044</v>
      </c>
      <c r="E171" t="s">
        <v>142</v>
      </c>
      <c r="F171">
        <v>526.69000000000005</v>
      </c>
      <c r="J171" s="18" t="s">
        <v>117</v>
      </c>
      <c r="K171" s="18">
        <v>2049</v>
      </c>
      <c r="L171" s="18" t="s">
        <v>174</v>
      </c>
      <c r="M171" s="18">
        <v>624.88</v>
      </c>
      <c r="P171" s="18" t="s">
        <v>117</v>
      </c>
      <c r="Q171" s="18">
        <v>2049</v>
      </c>
      <c r="R171" s="18" t="s">
        <v>175</v>
      </c>
      <c r="S171" s="18">
        <f t="shared" si="28"/>
        <v>31.244</v>
      </c>
      <c r="U171">
        <v>31.244</v>
      </c>
      <c r="Z171" s="42" t="s">
        <v>114</v>
      </c>
      <c r="AA171" s="42">
        <v>2047</v>
      </c>
      <c r="AB171" s="42" t="s">
        <v>145</v>
      </c>
      <c r="AC171" s="42">
        <v>1.1000000000000001</v>
      </c>
    </row>
    <row r="172" spans="3:29">
      <c r="C172" t="s">
        <v>113</v>
      </c>
      <c r="D172">
        <v>2044</v>
      </c>
      <c r="E172" t="s">
        <v>143</v>
      </c>
      <c r="F172">
        <v>1156.5</v>
      </c>
      <c r="J172" s="18" t="s">
        <v>117</v>
      </c>
      <c r="K172" s="18">
        <v>2050</v>
      </c>
      <c r="L172" s="18" t="s">
        <v>174</v>
      </c>
      <c r="M172" s="18">
        <v>628.61</v>
      </c>
      <c r="P172" s="18" t="s">
        <v>117</v>
      </c>
      <c r="Q172" s="18">
        <v>2050</v>
      </c>
      <c r="R172" s="18" t="s">
        <v>175</v>
      </c>
      <c r="S172" s="18">
        <f t="shared" si="28"/>
        <v>31.430500000000002</v>
      </c>
      <c r="U172">
        <v>31.430500000000002</v>
      </c>
      <c r="Z172" s="42" t="s">
        <v>114</v>
      </c>
      <c r="AA172" s="42">
        <v>2048</v>
      </c>
      <c r="AB172" s="42" t="s">
        <v>145</v>
      </c>
      <c r="AC172" s="42">
        <v>1.1399999999999999</v>
      </c>
    </row>
    <row r="173" spans="3:29">
      <c r="C173" t="s">
        <v>113</v>
      </c>
      <c r="D173">
        <v>2044</v>
      </c>
      <c r="E173" t="s">
        <v>144</v>
      </c>
      <c r="F173">
        <v>15.58</v>
      </c>
      <c r="J173" s="18" t="s">
        <v>118</v>
      </c>
      <c r="K173" s="18">
        <v>2010</v>
      </c>
      <c r="L173" s="18" t="s">
        <v>174</v>
      </c>
      <c r="M173" s="18">
        <v>673.09</v>
      </c>
      <c r="P173" s="18" t="s">
        <v>118</v>
      </c>
      <c r="Q173" s="18">
        <v>2010</v>
      </c>
      <c r="R173" s="18" t="s">
        <v>175</v>
      </c>
      <c r="S173" s="18">
        <f t="shared" si="28"/>
        <v>0</v>
      </c>
      <c r="U173">
        <v>33.654499999999999</v>
      </c>
      <c r="Z173" s="42" t="s">
        <v>114</v>
      </c>
      <c r="AA173" s="42">
        <v>2049</v>
      </c>
      <c r="AB173" s="42" t="s">
        <v>145</v>
      </c>
      <c r="AC173" s="42">
        <v>1.18</v>
      </c>
    </row>
    <row r="174" spans="3:29">
      <c r="C174" t="s">
        <v>113</v>
      </c>
      <c r="D174">
        <v>2045</v>
      </c>
      <c r="E174" t="s">
        <v>145</v>
      </c>
      <c r="F174">
        <v>0.27</v>
      </c>
      <c r="J174" s="18" t="s">
        <v>118</v>
      </c>
      <c r="K174" s="18">
        <v>2011</v>
      </c>
      <c r="L174" s="18" t="s">
        <v>174</v>
      </c>
      <c r="M174" s="18">
        <v>773.63</v>
      </c>
      <c r="P174" s="18" t="s">
        <v>118</v>
      </c>
      <c r="Q174" s="18">
        <v>2011</v>
      </c>
      <c r="R174" s="18" t="s">
        <v>175</v>
      </c>
      <c r="S174" s="18">
        <f t="shared" si="28"/>
        <v>0</v>
      </c>
      <c r="U174">
        <v>38.6815</v>
      </c>
      <c r="Z174" s="42" t="s">
        <v>114</v>
      </c>
      <c r="AA174" s="42">
        <v>2050</v>
      </c>
      <c r="AB174" s="42" t="s">
        <v>145</v>
      </c>
      <c r="AC174" s="42">
        <v>1.23</v>
      </c>
    </row>
    <row r="175" spans="3:29">
      <c r="C175" t="s">
        <v>113</v>
      </c>
      <c r="D175">
        <v>2045</v>
      </c>
      <c r="E175" t="s">
        <v>141</v>
      </c>
      <c r="F175">
        <v>398.75</v>
      </c>
      <c r="J175" s="18" t="s">
        <v>118</v>
      </c>
      <c r="K175" s="18">
        <v>2012</v>
      </c>
      <c r="L175" s="18" t="s">
        <v>174</v>
      </c>
      <c r="M175" s="18">
        <v>863.07</v>
      </c>
      <c r="P175" s="18" t="s">
        <v>118</v>
      </c>
      <c r="Q175" s="18">
        <v>2012</v>
      </c>
      <c r="R175" s="18" t="s">
        <v>175</v>
      </c>
      <c r="S175" s="18">
        <f t="shared" si="28"/>
        <v>0</v>
      </c>
      <c r="U175">
        <v>43.153500000000001</v>
      </c>
      <c r="Z175" s="42" t="s">
        <v>115</v>
      </c>
      <c r="AA175" s="42">
        <v>2019</v>
      </c>
      <c r="AB175" s="42" t="s">
        <v>145</v>
      </c>
      <c r="AC175" s="42">
        <v>1.24</v>
      </c>
    </row>
    <row r="176" spans="3:29">
      <c r="C176" t="s">
        <v>113</v>
      </c>
      <c r="D176">
        <v>2045</v>
      </c>
      <c r="E176" t="s">
        <v>142</v>
      </c>
      <c r="F176">
        <v>537.79999999999995</v>
      </c>
      <c r="J176" s="18" t="s">
        <v>118</v>
      </c>
      <c r="K176" s="18">
        <v>2013</v>
      </c>
      <c r="L176" s="18" t="s">
        <v>174</v>
      </c>
      <c r="M176" s="18">
        <v>955.11</v>
      </c>
      <c r="P176" s="18" t="s">
        <v>118</v>
      </c>
      <c r="Q176" s="18">
        <v>2013</v>
      </c>
      <c r="R176" s="18" t="s">
        <v>175</v>
      </c>
      <c r="S176" s="18">
        <f t="shared" si="28"/>
        <v>0</v>
      </c>
      <c r="U176">
        <v>47.755499999999998</v>
      </c>
      <c r="Z176" s="42" t="s">
        <v>115</v>
      </c>
      <c r="AA176" s="42">
        <v>2020</v>
      </c>
      <c r="AB176" s="42" t="s">
        <v>145</v>
      </c>
      <c r="AC176" s="42">
        <v>1.1599999999999999</v>
      </c>
    </row>
    <row r="177" spans="3:29">
      <c r="C177" t="s">
        <v>113</v>
      </c>
      <c r="D177">
        <v>2045</v>
      </c>
      <c r="E177" t="s">
        <v>143</v>
      </c>
      <c r="F177">
        <v>1192.6600000000001</v>
      </c>
      <c r="J177" s="18" t="s">
        <v>118</v>
      </c>
      <c r="K177" s="18">
        <v>2014</v>
      </c>
      <c r="L177" s="18" t="s">
        <v>174</v>
      </c>
      <c r="M177" s="18">
        <v>1025.3599999999999</v>
      </c>
      <c r="P177" s="18" t="s">
        <v>118</v>
      </c>
      <c r="Q177" s="18">
        <v>2014</v>
      </c>
      <c r="R177" s="18" t="s">
        <v>175</v>
      </c>
      <c r="S177" s="18">
        <f t="shared" si="28"/>
        <v>0</v>
      </c>
      <c r="U177">
        <v>51.267999999999994</v>
      </c>
      <c r="Z177" s="42" t="s">
        <v>115</v>
      </c>
      <c r="AA177" s="42">
        <v>2021</v>
      </c>
      <c r="AB177" s="42" t="s">
        <v>145</v>
      </c>
      <c r="AC177" s="42">
        <v>1.1599999999999999</v>
      </c>
    </row>
    <row r="178" spans="3:29">
      <c r="C178" t="s">
        <v>113</v>
      </c>
      <c r="D178">
        <v>2045</v>
      </c>
      <c r="E178" t="s">
        <v>144</v>
      </c>
      <c r="F178">
        <v>16.09</v>
      </c>
      <c r="J178" s="18" t="s">
        <v>118</v>
      </c>
      <c r="K178" s="18">
        <v>2015</v>
      </c>
      <c r="L178" s="18" t="s">
        <v>174</v>
      </c>
      <c r="M178" s="18">
        <v>1105.6500000000001</v>
      </c>
      <c r="P178" s="18" t="s">
        <v>118</v>
      </c>
      <c r="Q178" s="18">
        <v>2015</v>
      </c>
      <c r="R178" s="18" t="s">
        <v>175</v>
      </c>
      <c r="S178" s="18">
        <f t="shared" si="28"/>
        <v>0</v>
      </c>
      <c r="U178">
        <v>55.282500000000006</v>
      </c>
      <c r="Z178" s="42" t="s">
        <v>115</v>
      </c>
      <c r="AA178" s="42">
        <v>2022</v>
      </c>
      <c r="AB178" s="42" t="s">
        <v>145</v>
      </c>
      <c r="AC178" s="42">
        <v>1.24</v>
      </c>
    </row>
    <row r="179" spans="3:29">
      <c r="C179" t="s">
        <v>113</v>
      </c>
      <c r="D179">
        <v>2046</v>
      </c>
      <c r="E179" t="s">
        <v>145</v>
      </c>
      <c r="F179">
        <v>0.28000000000000003</v>
      </c>
      <c r="J179" s="18" t="s">
        <v>118</v>
      </c>
      <c r="K179" s="18">
        <v>2016</v>
      </c>
      <c r="L179" s="18" t="s">
        <v>174</v>
      </c>
      <c r="M179" s="18">
        <v>1228.31</v>
      </c>
      <c r="P179" s="18" t="s">
        <v>118</v>
      </c>
      <c r="Q179" s="18">
        <v>2016</v>
      </c>
      <c r="R179" s="18" t="s">
        <v>175</v>
      </c>
      <c r="S179" s="18">
        <f t="shared" si="28"/>
        <v>0</v>
      </c>
      <c r="U179">
        <v>61.415499999999994</v>
      </c>
      <c r="Z179" s="42" t="s">
        <v>115</v>
      </c>
      <c r="AA179" s="42">
        <v>2023</v>
      </c>
      <c r="AB179" s="42" t="s">
        <v>145</v>
      </c>
      <c r="AC179" s="42">
        <v>1.27</v>
      </c>
    </row>
    <row r="180" spans="3:29">
      <c r="C180" t="s">
        <v>113</v>
      </c>
      <c r="D180">
        <v>2046</v>
      </c>
      <c r="E180" t="s">
        <v>141</v>
      </c>
      <c r="F180">
        <v>407.18</v>
      </c>
      <c r="J180" s="18" t="s">
        <v>118</v>
      </c>
      <c r="K180" s="18">
        <v>2017</v>
      </c>
      <c r="L180" s="18" t="s">
        <v>174</v>
      </c>
      <c r="M180" s="18">
        <v>1302.97</v>
      </c>
      <c r="P180" s="18" t="s">
        <v>118</v>
      </c>
      <c r="Q180" s="18">
        <v>2017</v>
      </c>
      <c r="R180" s="18" t="s">
        <v>175</v>
      </c>
      <c r="S180" s="18">
        <f t="shared" si="28"/>
        <v>0</v>
      </c>
      <c r="U180">
        <v>65.148499999999999</v>
      </c>
      <c r="Z180" s="42" t="s">
        <v>115</v>
      </c>
      <c r="AA180" s="42">
        <v>2024</v>
      </c>
      <c r="AB180" s="42" t="s">
        <v>145</v>
      </c>
      <c r="AC180" s="42">
        <v>1.3</v>
      </c>
    </row>
    <row r="181" spans="3:29">
      <c r="C181" t="s">
        <v>113</v>
      </c>
      <c r="D181">
        <v>2046</v>
      </c>
      <c r="E181" t="s">
        <v>142</v>
      </c>
      <c r="F181">
        <v>552.99</v>
      </c>
      <c r="J181" s="18" t="s">
        <v>118</v>
      </c>
      <c r="K181" s="18">
        <v>2018</v>
      </c>
      <c r="L181" s="18" t="s">
        <v>174</v>
      </c>
      <c r="M181" s="18">
        <v>1380.56</v>
      </c>
      <c r="P181" s="18" t="s">
        <v>118</v>
      </c>
      <c r="Q181" s="18">
        <v>2018</v>
      </c>
      <c r="R181" s="18" t="s">
        <v>175</v>
      </c>
      <c r="S181" s="18">
        <f t="shared" si="28"/>
        <v>0</v>
      </c>
      <c r="U181">
        <v>69.027999999999992</v>
      </c>
      <c r="Z181" s="42" t="s">
        <v>115</v>
      </c>
      <c r="AA181" s="42">
        <v>2025</v>
      </c>
      <c r="AB181" s="42" t="s">
        <v>145</v>
      </c>
      <c r="AC181" s="42">
        <v>1.32</v>
      </c>
    </row>
    <row r="182" spans="3:29">
      <c r="C182" t="s">
        <v>113</v>
      </c>
      <c r="D182">
        <v>2046</v>
      </c>
      <c r="E182" t="s">
        <v>143</v>
      </c>
      <c r="F182">
        <v>1232.71</v>
      </c>
      <c r="J182" s="18" t="s">
        <v>118</v>
      </c>
      <c r="K182" s="18">
        <v>2019</v>
      </c>
      <c r="L182" s="18" t="s">
        <v>174</v>
      </c>
      <c r="M182" s="18">
        <v>1445.85</v>
      </c>
      <c r="P182" s="18" t="s">
        <v>118</v>
      </c>
      <c r="Q182" s="18">
        <v>2019</v>
      </c>
      <c r="R182" s="18" t="s">
        <v>175</v>
      </c>
      <c r="S182" s="18">
        <f t="shared" si="28"/>
        <v>0</v>
      </c>
      <c r="U182">
        <v>72.29249999999999</v>
      </c>
      <c r="Z182" s="42" t="s">
        <v>115</v>
      </c>
      <c r="AA182" s="42">
        <v>2026</v>
      </c>
      <c r="AB182" s="42" t="s">
        <v>145</v>
      </c>
      <c r="AC182" s="42">
        <v>1.34</v>
      </c>
    </row>
    <row r="183" spans="3:29">
      <c r="C183" t="s">
        <v>113</v>
      </c>
      <c r="D183">
        <v>2046</v>
      </c>
      <c r="E183" t="s">
        <v>144</v>
      </c>
      <c r="F183">
        <v>16.63</v>
      </c>
      <c r="J183" s="18" t="s">
        <v>118</v>
      </c>
      <c r="K183" s="18">
        <v>2020</v>
      </c>
      <c r="L183" s="18" t="s">
        <v>174</v>
      </c>
      <c r="M183" s="18">
        <v>1523.88</v>
      </c>
      <c r="P183" s="18" t="s">
        <v>118</v>
      </c>
      <c r="Q183" s="18">
        <v>2020</v>
      </c>
      <c r="R183" s="18" t="s">
        <v>175</v>
      </c>
      <c r="S183" s="18">
        <f t="shared" si="28"/>
        <v>0</v>
      </c>
      <c r="U183">
        <v>76.194000000000003</v>
      </c>
      <c r="Z183" s="42" t="s">
        <v>115</v>
      </c>
      <c r="AA183" s="42">
        <v>2027</v>
      </c>
      <c r="AB183" s="42" t="s">
        <v>145</v>
      </c>
      <c r="AC183" s="42">
        <v>1.35</v>
      </c>
    </row>
    <row r="184" spans="3:29">
      <c r="C184" t="s">
        <v>113</v>
      </c>
      <c r="D184">
        <v>2047</v>
      </c>
      <c r="E184" t="s">
        <v>145</v>
      </c>
      <c r="F184">
        <v>0.28999999999999998</v>
      </c>
      <c r="J184" s="18" t="s">
        <v>118</v>
      </c>
      <c r="K184" s="18">
        <v>2021</v>
      </c>
      <c r="L184" s="18" t="s">
        <v>174</v>
      </c>
      <c r="M184" s="18">
        <v>1600.19</v>
      </c>
      <c r="P184" s="18" t="s">
        <v>118</v>
      </c>
      <c r="Q184" s="18">
        <v>2021</v>
      </c>
      <c r="R184" s="18" t="s">
        <v>175</v>
      </c>
      <c r="S184" s="18">
        <f t="shared" si="28"/>
        <v>0</v>
      </c>
      <c r="U184">
        <v>80.009500000000003</v>
      </c>
      <c r="Z184" s="42" t="s">
        <v>115</v>
      </c>
      <c r="AA184" s="42">
        <v>2028</v>
      </c>
      <c r="AB184" s="42" t="s">
        <v>145</v>
      </c>
      <c r="AC184" s="42">
        <v>1.37</v>
      </c>
    </row>
    <row r="185" spans="3:29">
      <c r="C185" t="s">
        <v>113</v>
      </c>
      <c r="D185">
        <v>2047</v>
      </c>
      <c r="E185" t="s">
        <v>141</v>
      </c>
      <c r="F185">
        <v>415.68</v>
      </c>
      <c r="J185" s="18" t="s">
        <v>118</v>
      </c>
      <c r="K185" s="18">
        <v>2022</v>
      </c>
      <c r="L185" s="18" t="s">
        <v>174</v>
      </c>
      <c r="M185" s="18">
        <v>1674.52</v>
      </c>
      <c r="P185" s="18" t="s">
        <v>118</v>
      </c>
      <c r="Q185" s="18">
        <v>2022</v>
      </c>
      <c r="R185" s="18" t="s">
        <v>175</v>
      </c>
      <c r="S185" s="18">
        <f t="shared" si="28"/>
        <v>0</v>
      </c>
      <c r="U185">
        <v>83.725999999999999</v>
      </c>
      <c r="Z185" s="42" t="s">
        <v>115</v>
      </c>
      <c r="AA185" s="42">
        <v>2029</v>
      </c>
      <c r="AB185" s="42" t="s">
        <v>145</v>
      </c>
      <c r="AC185" s="42">
        <v>1.38</v>
      </c>
    </row>
    <row r="186" spans="3:29">
      <c r="C186" t="s">
        <v>113</v>
      </c>
      <c r="D186">
        <v>2047</v>
      </c>
      <c r="E186" t="s">
        <v>142</v>
      </c>
      <c r="F186">
        <v>563.46</v>
      </c>
      <c r="J186" s="18" t="s">
        <v>118</v>
      </c>
      <c r="K186" s="18">
        <v>2023</v>
      </c>
      <c r="L186" s="18" t="s">
        <v>174</v>
      </c>
      <c r="M186" s="18">
        <v>1749.06</v>
      </c>
      <c r="P186" s="18" t="s">
        <v>118</v>
      </c>
      <c r="Q186" s="18">
        <v>2023</v>
      </c>
      <c r="R186" s="18" t="s">
        <v>175</v>
      </c>
      <c r="S186" s="18">
        <f t="shared" si="28"/>
        <v>0</v>
      </c>
      <c r="U186">
        <v>87.453000000000003</v>
      </c>
      <c r="Z186" s="42" t="s">
        <v>115</v>
      </c>
      <c r="AA186" s="42">
        <v>2030</v>
      </c>
      <c r="AB186" s="42" t="s">
        <v>145</v>
      </c>
      <c r="AC186" s="42">
        <v>1.4</v>
      </c>
    </row>
    <row r="187" spans="3:29">
      <c r="C187" t="s">
        <v>113</v>
      </c>
      <c r="D187">
        <v>2047</v>
      </c>
      <c r="E187" t="s">
        <v>143</v>
      </c>
      <c r="F187">
        <v>1274.3499999999999</v>
      </c>
      <c r="J187" s="18" t="s">
        <v>118</v>
      </c>
      <c r="K187" s="18">
        <v>2024</v>
      </c>
      <c r="L187" s="18" t="s">
        <v>174</v>
      </c>
      <c r="M187" s="18">
        <v>1825.01</v>
      </c>
      <c r="P187" s="18" t="s">
        <v>118</v>
      </c>
      <c r="Q187" s="18">
        <v>2024</v>
      </c>
      <c r="R187" s="18" t="s">
        <v>175</v>
      </c>
      <c r="S187" s="18">
        <f t="shared" si="28"/>
        <v>0</v>
      </c>
      <c r="U187">
        <v>91.250500000000002</v>
      </c>
      <c r="Z187" s="42" t="s">
        <v>115</v>
      </c>
      <c r="AA187" s="42">
        <v>2031</v>
      </c>
      <c r="AB187" s="42" t="s">
        <v>145</v>
      </c>
      <c r="AC187" s="42">
        <v>1.41</v>
      </c>
    </row>
    <row r="188" spans="3:29">
      <c r="C188" t="s">
        <v>113</v>
      </c>
      <c r="D188">
        <v>2047</v>
      </c>
      <c r="E188" t="s">
        <v>144</v>
      </c>
      <c r="F188">
        <v>17.190000000000001</v>
      </c>
      <c r="J188" s="18" t="s">
        <v>118</v>
      </c>
      <c r="K188" s="18">
        <v>2025</v>
      </c>
      <c r="L188" s="18" t="s">
        <v>174</v>
      </c>
      <c r="M188" s="18">
        <v>1899.75</v>
      </c>
      <c r="P188" s="18" t="s">
        <v>118</v>
      </c>
      <c r="Q188" s="18">
        <v>2025</v>
      </c>
      <c r="R188" s="18" t="s">
        <v>175</v>
      </c>
      <c r="S188" s="18">
        <f t="shared" si="28"/>
        <v>0</v>
      </c>
      <c r="U188">
        <v>94.987499999999997</v>
      </c>
      <c r="Z188" s="42" t="s">
        <v>115</v>
      </c>
      <c r="AA188" s="42">
        <v>2032</v>
      </c>
      <c r="AB188" s="42" t="s">
        <v>145</v>
      </c>
      <c r="AC188" s="42">
        <v>1.42</v>
      </c>
    </row>
    <row r="189" spans="3:29">
      <c r="C189" t="s">
        <v>113</v>
      </c>
      <c r="D189">
        <v>2048</v>
      </c>
      <c r="E189" t="s">
        <v>145</v>
      </c>
      <c r="F189">
        <v>0.31</v>
      </c>
      <c r="J189" s="18" t="s">
        <v>118</v>
      </c>
      <c r="K189" s="18">
        <v>2026</v>
      </c>
      <c r="L189" s="18" t="s">
        <v>174</v>
      </c>
      <c r="M189" s="18">
        <v>1977.93</v>
      </c>
      <c r="P189" s="18" t="s">
        <v>118</v>
      </c>
      <c r="Q189" s="18">
        <v>2026</v>
      </c>
      <c r="R189" s="18" t="s">
        <v>175</v>
      </c>
      <c r="S189" s="18">
        <f t="shared" si="28"/>
        <v>0</v>
      </c>
      <c r="U189">
        <v>98.896500000000003</v>
      </c>
      <c r="Z189" s="42" t="s">
        <v>115</v>
      </c>
      <c r="AA189" s="42">
        <v>2033</v>
      </c>
      <c r="AB189" s="42" t="s">
        <v>145</v>
      </c>
      <c r="AC189" s="42">
        <v>1.44</v>
      </c>
    </row>
    <row r="190" spans="3:29">
      <c r="C190" t="s">
        <v>113</v>
      </c>
      <c r="D190">
        <v>2048</v>
      </c>
      <c r="E190" t="s">
        <v>141</v>
      </c>
      <c r="F190">
        <v>424.27</v>
      </c>
      <c r="J190" s="18" t="s">
        <v>118</v>
      </c>
      <c r="K190" s="18">
        <v>2027</v>
      </c>
      <c r="L190" s="18" t="s">
        <v>174</v>
      </c>
      <c r="M190" s="18">
        <v>2059.46</v>
      </c>
      <c r="P190" s="18" t="s">
        <v>118</v>
      </c>
      <c r="Q190" s="18">
        <v>2027</v>
      </c>
      <c r="R190" s="18" t="s">
        <v>175</v>
      </c>
      <c r="S190" s="18">
        <f t="shared" si="28"/>
        <v>0</v>
      </c>
      <c r="U190">
        <v>102.973</v>
      </c>
      <c r="Z190" s="42" t="s">
        <v>115</v>
      </c>
      <c r="AA190" s="42">
        <v>2034</v>
      </c>
      <c r="AB190" s="42" t="s">
        <v>145</v>
      </c>
      <c r="AC190" s="42">
        <v>1.45</v>
      </c>
    </row>
    <row r="191" spans="3:29">
      <c r="C191" t="s">
        <v>113</v>
      </c>
      <c r="D191">
        <v>2048</v>
      </c>
      <c r="E191" t="s">
        <v>142</v>
      </c>
      <c r="F191">
        <v>577.20000000000005</v>
      </c>
      <c r="J191" s="18" t="s">
        <v>118</v>
      </c>
      <c r="K191" s="18">
        <v>2028</v>
      </c>
      <c r="L191" s="18" t="s">
        <v>174</v>
      </c>
      <c r="M191" s="18">
        <v>2143.15</v>
      </c>
      <c r="P191" s="18" t="s">
        <v>118</v>
      </c>
      <c r="Q191" s="18">
        <v>2028</v>
      </c>
      <c r="R191" s="18" t="s">
        <v>175</v>
      </c>
      <c r="S191" s="18">
        <f t="shared" si="28"/>
        <v>0</v>
      </c>
      <c r="U191">
        <v>107.1575</v>
      </c>
      <c r="Z191" s="42" t="s">
        <v>115</v>
      </c>
      <c r="AA191" s="42">
        <v>2035</v>
      </c>
      <c r="AB191" s="42" t="s">
        <v>145</v>
      </c>
      <c r="AC191" s="42">
        <v>1.47</v>
      </c>
    </row>
    <row r="192" spans="3:29">
      <c r="C192" t="s">
        <v>113</v>
      </c>
      <c r="D192">
        <v>2048</v>
      </c>
      <c r="E192" t="s">
        <v>143</v>
      </c>
      <c r="F192">
        <v>1317.58</v>
      </c>
      <c r="J192" s="18" t="s">
        <v>118</v>
      </c>
      <c r="K192" s="18">
        <v>2029</v>
      </c>
      <c r="L192" s="18" t="s">
        <v>174</v>
      </c>
      <c r="M192" s="18">
        <v>2228.2199999999998</v>
      </c>
      <c r="P192" s="18" t="s">
        <v>118</v>
      </c>
      <c r="Q192" s="18">
        <v>2029</v>
      </c>
      <c r="R192" s="18" t="s">
        <v>175</v>
      </c>
      <c r="S192" s="18">
        <f t="shared" si="28"/>
        <v>0</v>
      </c>
      <c r="U192">
        <v>111.41099999999999</v>
      </c>
      <c r="Z192" s="42" t="s">
        <v>115</v>
      </c>
      <c r="AA192" s="42">
        <v>2036</v>
      </c>
      <c r="AB192" s="42" t="s">
        <v>145</v>
      </c>
      <c r="AC192" s="42">
        <v>1.48</v>
      </c>
    </row>
    <row r="193" spans="3:29">
      <c r="C193" t="s">
        <v>113</v>
      </c>
      <c r="D193">
        <v>2048</v>
      </c>
      <c r="E193" t="s">
        <v>144</v>
      </c>
      <c r="F193">
        <v>17.77</v>
      </c>
      <c r="J193" s="18" t="s">
        <v>118</v>
      </c>
      <c r="K193" s="18">
        <v>2030</v>
      </c>
      <c r="L193" s="18" t="s">
        <v>174</v>
      </c>
      <c r="M193" s="18">
        <v>2314.8200000000002</v>
      </c>
      <c r="P193" s="18" t="s">
        <v>118</v>
      </c>
      <c r="Q193" s="18">
        <v>2030</v>
      </c>
      <c r="R193" s="18" t="s">
        <v>175</v>
      </c>
      <c r="S193" s="18">
        <f t="shared" si="28"/>
        <v>0</v>
      </c>
      <c r="U193">
        <v>115.74100000000001</v>
      </c>
      <c r="Z193" s="42" t="s">
        <v>115</v>
      </c>
      <c r="AA193" s="42">
        <v>2037</v>
      </c>
      <c r="AB193" s="42" t="s">
        <v>145</v>
      </c>
      <c r="AC193" s="42">
        <v>1.5</v>
      </c>
    </row>
    <row r="194" spans="3:29">
      <c r="C194" t="s">
        <v>113</v>
      </c>
      <c r="D194">
        <v>2049</v>
      </c>
      <c r="E194" t="s">
        <v>145</v>
      </c>
      <c r="F194">
        <v>0.32</v>
      </c>
      <c r="J194" s="18" t="s">
        <v>118</v>
      </c>
      <c r="K194" s="18">
        <v>2031</v>
      </c>
      <c r="L194" s="18" t="s">
        <v>174</v>
      </c>
      <c r="M194" s="18">
        <v>2399.0300000000002</v>
      </c>
      <c r="P194" s="18" t="s">
        <v>118</v>
      </c>
      <c r="Q194" s="18">
        <v>2031</v>
      </c>
      <c r="R194" s="18" t="s">
        <v>175</v>
      </c>
      <c r="S194" s="18">
        <f t="shared" si="28"/>
        <v>0</v>
      </c>
      <c r="U194">
        <v>119.95150000000001</v>
      </c>
      <c r="Z194" s="42" t="s">
        <v>115</v>
      </c>
      <c r="AA194" s="42">
        <v>2038</v>
      </c>
      <c r="AB194" s="42" t="s">
        <v>145</v>
      </c>
      <c r="AC194" s="42">
        <v>1.51</v>
      </c>
    </row>
    <row r="195" spans="3:29">
      <c r="C195" t="s">
        <v>113</v>
      </c>
      <c r="D195">
        <v>2049</v>
      </c>
      <c r="E195" t="s">
        <v>141</v>
      </c>
      <c r="F195">
        <v>433.01</v>
      </c>
      <c r="J195" s="18" t="s">
        <v>118</v>
      </c>
      <c r="K195" s="18">
        <v>2032</v>
      </c>
      <c r="L195" s="18" t="s">
        <v>174</v>
      </c>
      <c r="M195" s="18">
        <v>2483.73</v>
      </c>
      <c r="P195" s="18" t="s">
        <v>118</v>
      </c>
      <c r="Q195" s="18">
        <v>2032</v>
      </c>
      <c r="R195" s="18" t="s">
        <v>175</v>
      </c>
      <c r="S195" s="18">
        <f t="shared" si="28"/>
        <v>0</v>
      </c>
      <c r="U195">
        <v>124.1865</v>
      </c>
      <c r="Z195" s="42" t="s">
        <v>115</v>
      </c>
      <c r="AA195" s="42">
        <v>2039</v>
      </c>
      <c r="AB195" s="42" t="s">
        <v>145</v>
      </c>
      <c r="AC195" s="42">
        <v>1.53</v>
      </c>
    </row>
    <row r="196" spans="3:29">
      <c r="C196" t="s">
        <v>113</v>
      </c>
      <c r="D196">
        <v>2049</v>
      </c>
      <c r="E196" t="s">
        <v>142</v>
      </c>
      <c r="F196">
        <v>589.62</v>
      </c>
      <c r="J196" s="18" t="s">
        <v>118</v>
      </c>
      <c r="K196" s="18">
        <v>2033</v>
      </c>
      <c r="L196" s="18" t="s">
        <v>174</v>
      </c>
      <c r="M196" s="18">
        <v>2569.21</v>
      </c>
      <c r="P196" s="18" t="s">
        <v>118</v>
      </c>
      <c r="Q196" s="18">
        <v>2033</v>
      </c>
      <c r="R196" s="18" t="s">
        <v>175</v>
      </c>
      <c r="S196" s="18">
        <f t="shared" si="28"/>
        <v>0</v>
      </c>
      <c r="U196">
        <v>128.4605</v>
      </c>
      <c r="Z196" s="42" t="s">
        <v>115</v>
      </c>
      <c r="AA196" s="42">
        <v>2040</v>
      </c>
      <c r="AB196" s="42" t="s">
        <v>145</v>
      </c>
      <c r="AC196" s="42">
        <v>1.54</v>
      </c>
    </row>
    <row r="197" spans="3:29">
      <c r="C197" t="s">
        <v>113</v>
      </c>
      <c r="D197">
        <v>2049</v>
      </c>
      <c r="E197" t="s">
        <v>143</v>
      </c>
      <c r="F197">
        <v>1362.09</v>
      </c>
      <c r="J197" s="18" t="s">
        <v>118</v>
      </c>
      <c r="K197" s="18">
        <v>2034</v>
      </c>
      <c r="L197" s="18" t="s">
        <v>174</v>
      </c>
      <c r="M197" s="18">
        <v>2656.21</v>
      </c>
      <c r="P197" s="18" t="s">
        <v>118</v>
      </c>
      <c r="Q197" s="18">
        <v>2034</v>
      </c>
      <c r="R197" s="18" t="s">
        <v>175</v>
      </c>
      <c r="S197" s="18">
        <f t="shared" si="28"/>
        <v>0</v>
      </c>
      <c r="U197">
        <v>132.81049999999999</v>
      </c>
      <c r="Z197" s="42" t="s">
        <v>115</v>
      </c>
      <c r="AA197" s="42">
        <v>2041</v>
      </c>
      <c r="AB197" s="42" t="s">
        <v>145</v>
      </c>
      <c r="AC197" s="42">
        <v>1.55</v>
      </c>
    </row>
    <row r="198" spans="3:29">
      <c r="C198" t="s">
        <v>113</v>
      </c>
      <c r="D198">
        <v>2049</v>
      </c>
      <c r="E198" t="s">
        <v>144</v>
      </c>
      <c r="F198">
        <v>18.52</v>
      </c>
      <c r="J198" s="18" t="s">
        <v>118</v>
      </c>
      <c r="K198" s="18">
        <v>2035</v>
      </c>
      <c r="L198" s="18" t="s">
        <v>174</v>
      </c>
      <c r="M198" s="18">
        <v>2743.4</v>
      </c>
      <c r="P198" s="18" t="s">
        <v>118</v>
      </c>
      <c r="Q198" s="18">
        <v>2035</v>
      </c>
      <c r="R198" s="18" t="s">
        <v>175</v>
      </c>
      <c r="S198" s="18">
        <f t="shared" si="28"/>
        <v>0</v>
      </c>
      <c r="U198">
        <v>137.17000000000002</v>
      </c>
      <c r="Z198" s="42" t="s">
        <v>115</v>
      </c>
      <c r="AA198" s="42">
        <v>2042</v>
      </c>
      <c r="AB198" s="42" t="s">
        <v>145</v>
      </c>
      <c r="AC198" s="42">
        <v>1.57</v>
      </c>
    </row>
    <row r="199" spans="3:29">
      <c r="C199" t="s">
        <v>113</v>
      </c>
      <c r="D199">
        <v>2050</v>
      </c>
      <c r="E199" t="s">
        <v>145</v>
      </c>
      <c r="F199">
        <v>0.33</v>
      </c>
      <c r="J199" s="18" t="s">
        <v>118</v>
      </c>
      <c r="K199" s="18">
        <v>2036</v>
      </c>
      <c r="L199" s="18" t="s">
        <v>174</v>
      </c>
      <c r="M199" s="18">
        <v>2837.08</v>
      </c>
      <c r="P199" s="18" t="s">
        <v>118</v>
      </c>
      <c r="Q199" s="18">
        <v>2036</v>
      </c>
      <c r="R199" s="18" t="s">
        <v>175</v>
      </c>
      <c r="S199" s="18">
        <f t="shared" si="28"/>
        <v>0</v>
      </c>
      <c r="U199">
        <v>141.85399999999998</v>
      </c>
      <c r="Z199" s="42" t="s">
        <v>115</v>
      </c>
      <c r="AA199" s="42">
        <v>2043</v>
      </c>
      <c r="AB199" s="42" t="s">
        <v>145</v>
      </c>
      <c r="AC199" s="42">
        <v>1.58</v>
      </c>
    </row>
    <row r="200" spans="3:29">
      <c r="C200" t="s">
        <v>113</v>
      </c>
      <c r="D200">
        <v>2050</v>
      </c>
      <c r="E200" t="s">
        <v>141</v>
      </c>
      <c r="F200">
        <v>441.91</v>
      </c>
      <c r="J200" s="18" t="s">
        <v>118</v>
      </c>
      <c r="K200" s="18">
        <v>2037</v>
      </c>
      <c r="L200" s="18" t="s">
        <v>174</v>
      </c>
      <c r="M200" s="18">
        <v>2931.37</v>
      </c>
      <c r="P200" s="18" t="s">
        <v>118</v>
      </c>
      <c r="Q200" s="18">
        <v>2037</v>
      </c>
      <c r="R200" s="18" t="s">
        <v>175</v>
      </c>
      <c r="S200" s="18">
        <f t="shared" si="28"/>
        <v>0</v>
      </c>
      <c r="U200">
        <v>146.5685</v>
      </c>
      <c r="Z200" s="42" t="s">
        <v>115</v>
      </c>
      <c r="AA200" s="42">
        <v>2044</v>
      </c>
      <c r="AB200" s="42" t="s">
        <v>145</v>
      </c>
      <c r="AC200" s="42">
        <v>1.59</v>
      </c>
    </row>
    <row r="201" spans="3:29">
      <c r="C201" t="s">
        <v>113</v>
      </c>
      <c r="D201">
        <v>2050</v>
      </c>
      <c r="E201" t="s">
        <v>142</v>
      </c>
      <c r="F201">
        <v>604.85</v>
      </c>
      <c r="J201" s="18" t="s">
        <v>118</v>
      </c>
      <c r="K201" s="18">
        <v>2038</v>
      </c>
      <c r="L201" s="18" t="s">
        <v>174</v>
      </c>
      <c r="M201" s="18">
        <v>3026.67</v>
      </c>
      <c r="P201" s="18" t="s">
        <v>118</v>
      </c>
      <c r="Q201" s="18">
        <v>2038</v>
      </c>
      <c r="R201" s="18" t="s">
        <v>175</v>
      </c>
      <c r="S201" s="18">
        <f t="shared" si="28"/>
        <v>0</v>
      </c>
      <c r="U201">
        <v>151.33350000000002</v>
      </c>
      <c r="Z201" s="42" t="s">
        <v>115</v>
      </c>
      <c r="AA201" s="42">
        <v>2045</v>
      </c>
      <c r="AB201" s="42" t="s">
        <v>145</v>
      </c>
      <c r="AC201" s="42">
        <v>1.61</v>
      </c>
    </row>
    <row r="202" spans="3:29">
      <c r="C202" t="s">
        <v>113</v>
      </c>
      <c r="D202">
        <v>2050</v>
      </c>
      <c r="E202" t="s">
        <v>143</v>
      </c>
      <c r="F202">
        <v>1408.41</v>
      </c>
      <c r="J202" s="18" t="s">
        <v>118</v>
      </c>
      <c r="K202" s="18">
        <v>2039</v>
      </c>
      <c r="L202" s="18" t="s">
        <v>174</v>
      </c>
      <c r="M202" s="18">
        <v>3122.12</v>
      </c>
      <c r="P202" s="18" t="s">
        <v>118</v>
      </c>
      <c r="Q202" s="18">
        <v>2039</v>
      </c>
      <c r="R202" s="18" t="s">
        <v>175</v>
      </c>
      <c r="S202" s="18">
        <f t="shared" ref="S202:S265" si="29">IF(Q202&lt;2040, 0,U202)</f>
        <v>0</v>
      </c>
      <c r="U202">
        <v>156.10599999999999</v>
      </c>
      <c r="Z202" s="42" t="s">
        <v>115</v>
      </c>
      <c r="AA202" s="42">
        <v>2046</v>
      </c>
      <c r="AB202" s="42" t="s">
        <v>145</v>
      </c>
      <c r="AC202" s="42">
        <v>1.62</v>
      </c>
    </row>
    <row r="203" spans="3:29">
      <c r="C203" t="s">
        <v>113</v>
      </c>
      <c r="D203">
        <v>2050</v>
      </c>
      <c r="E203" t="s">
        <v>144</v>
      </c>
      <c r="F203">
        <v>19.47</v>
      </c>
      <c r="J203" s="18" t="s">
        <v>118</v>
      </c>
      <c r="K203" s="18">
        <v>2040</v>
      </c>
      <c r="L203" s="18" t="s">
        <v>174</v>
      </c>
      <c r="M203" s="18">
        <v>3220.6</v>
      </c>
      <c r="P203" s="18" t="s">
        <v>118</v>
      </c>
      <c r="Q203" s="18">
        <v>2040</v>
      </c>
      <c r="R203" s="18" t="s">
        <v>175</v>
      </c>
      <c r="S203" s="18">
        <f t="shared" si="29"/>
        <v>161.03</v>
      </c>
      <c r="U203">
        <v>161.03</v>
      </c>
      <c r="Z203" s="42" t="s">
        <v>115</v>
      </c>
      <c r="AA203" s="42">
        <v>2047</v>
      </c>
      <c r="AB203" s="42" t="s">
        <v>145</v>
      </c>
      <c r="AC203" s="42">
        <v>1.63</v>
      </c>
    </row>
    <row r="204" spans="3:29">
      <c r="C204" t="s">
        <v>114</v>
      </c>
      <c r="D204">
        <v>2010</v>
      </c>
      <c r="E204" t="s">
        <v>141</v>
      </c>
      <c r="F204">
        <v>162.4</v>
      </c>
      <c r="J204" s="18" t="s">
        <v>118</v>
      </c>
      <c r="K204" s="18">
        <v>2041</v>
      </c>
      <c r="L204" s="18" t="s">
        <v>174</v>
      </c>
      <c r="M204" s="18">
        <v>3316.58</v>
      </c>
      <c r="P204" s="18" t="s">
        <v>118</v>
      </c>
      <c r="Q204" s="18">
        <v>2041</v>
      </c>
      <c r="R204" s="18" t="s">
        <v>175</v>
      </c>
      <c r="S204" s="18">
        <f t="shared" si="29"/>
        <v>165.82900000000001</v>
      </c>
      <c r="U204">
        <v>165.82900000000001</v>
      </c>
      <c r="Z204" s="42" t="s">
        <v>115</v>
      </c>
      <c r="AA204" s="42">
        <v>2048</v>
      </c>
      <c r="AB204" s="42" t="s">
        <v>145</v>
      </c>
      <c r="AC204" s="42">
        <v>1.65</v>
      </c>
    </row>
    <row r="205" spans="3:29">
      <c r="C205" t="s">
        <v>114</v>
      </c>
      <c r="D205">
        <v>2010</v>
      </c>
      <c r="E205" t="s">
        <v>142</v>
      </c>
      <c r="F205">
        <v>661.68</v>
      </c>
      <c r="J205" s="18" t="s">
        <v>118</v>
      </c>
      <c r="K205" s="18">
        <v>2042</v>
      </c>
      <c r="L205" s="18" t="s">
        <v>174</v>
      </c>
      <c r="M205" s="18">
        <v>3413.36</v>
      </c>
      <c r="P205" s="18" t="s">
        <v>118</v>
      </c>
      <c r="Q205" s="18">
        <v>2042</v>
      </c>
      <c r="R205" s="18" t="s">
        <v>175</v>
      </c>
      <c r="S205" s="18">
        <f t="shared" si="29"/>
        <v>170.66800000000001</v>
      </c>
      <c r="U205">
        <v>170.66800000000001</v>
      </c>
      <c r="Z205" s="42" t="s">
        <v>115</v>
      </c>
      <c r="AA205" s="42">
        <v>2049</v>
      </c>
      <c r="AB205" s="42" t="s">
        <v>145</v>
      </c>
      <c r="AC205" s="42">
        <v>1.66</v>
      </c>
    </row>
    <row r="206" spans="3:29">
      <c r="C206" t="s">
        <v>114</v>
      </c>
      <c r="D206">
        <v>2010</v>
      </c>
      <c r="E206" t="s">
        <v>143</v>
      </c>
      <c r="F206">
        <v>256.83999999999997</v>
      </c>
      <c r="J206" s="18" t="s">
        <v>118</v>
      </c>
      <c r="K206" s="18">
        <v>2043</v>
      </c>
      <c r="L206" s="18" t="s">
        <v>174</v>
      </c>
      <c r="M206" s="18">
        <v>3513.92</v>
      </c>
      <c r="P206" s="18" t="s">
        <v>118</v>
      </c>
      <c r="Q206" s="18">
        <v>2043</v>
      </c>
      <c r="R206" s="18" t="s">
        <v>175</v>
      </c>
      <c r="S206" s="18">
        <f t="shared" si="29"/>
        <v>175.696</v>
      </c>
      <c r="U206">
        <v>175.696</v>
      </c>
      <c r="Z206" s="42" t="s">
        <v>115</v>
      </c>
      <c r="AA206" s="42">
        <v>2050</v>
      </c>
      <c r="AB206" s="42" t="s">
        <v>145</v>
      </c>
      <c r="AC206" s="42">
        <v>1.67</v>
      </c>
    </row>
    <row r="207" spans="3:29">
      <c r="C207" t="s">
        <v>114</v>
      </c>
      <c r="D207">
        <v>2010</v>
      </c>
      <c r="E207" t="s">
        <v>144</v>
      </c>
      <c r="F207">
        <v>11</v>
      </c>
      <c r="J207" s="18" t="s">
        <v>118</v>
      </c>
      <c r="K207" s="18">
        <v>2044</v>
      </c>
      <c r="L207" s="18" t="s">
        <v>174</v>
      </c>
      <c r="M207" s="18">
        <v>3613.05</v>
      </c>
      <c r="P207" s="18" t="s">
        <v>118</v>
      </c>
      <c r="Q207" s="18">
        <v>2044</v>
      </c>
      <c r="R207" s="18" t="s">
        <v>175</v>
      </c>
      <c r="S207" s="18">
        <f t="shared" si="29"/>
        <v>180.6525</v>
      </c>
      <c r="U207">
        <v>180.6525</v>
      </c>
      <c r="Z207" s="42" t="s">
        <v>116</v>
      </c>
      <c r="AA207" s="42">
        <v>2021</v>
      </c>
      <c r="AB207" s="42" t="s">
        <v>145</v>
      </c>
      <c r="AC207" s="42">
        <v>0.17</v>
      </c>
    </row>
    <row r="208" spans="3:29">
      <c r="C208" t="s">
        <v>114</v>
      </c>
      <c r="D208">
        <v>2011</v>
      </c>
      <c r="E208" t="s">
        <v>141</v>
      </c>
      <c r="F208">
        <v>165.02</v>
      </c>
      <c r="J208" s="18" t="s">
        <v>118</v>
      </c>
      <c r="K208" s="18">
        <v>2045</v>
      </c>
      <c r="L208" s="18" t="s">
        <v>174</v>
      </c>
      <c r="M208" s="18">
        <v>3711.42</v>
      </c>
      <c r="P208" s="18" t="s">
        <v>118</v>
      </c>
      <c r="Q208" s="18">
        <v>2045</v>
      </c>
      <c r="R208" s="18" t="s">
        <v>175</v>
      </c>
      <c r="S208" s="18">
        <f t="shared" si="29"/>
        <v>185.571</v>
      </c>
      <c r="U208">
        <v>185.571</v>
      </c>
      <c r="Z208" s="42" t="s">
        <v>116</v>
      </c>
      <c r="AA208" s="42">
        <v>2022</v>
      </c>
      <c r="AB208" s="42" t="s">
        <v>145</v>
      </c>
      <c r="AC208" s="42">
        <v>0.24</v>
      </c>
    </row>
    <row r="209" spans="3:29">
      <c r="C209" t="s">
        <v>114</v>
      </c>
      <c r="D209">
        <v>2011</v>
      </c>
      <c r="E209" t="s">
        <v>142</v>
      </c>
      <c r="F209">
        <v>658.02</v>
      </c>
      <c r="J209" s="18" t="s">
        <v>118</v>
      </c>
      <c r="K209" s="18">
        <v>2046</v>
      </c>
      <c r="L209" s="18" t="s">
        <v>174</v>
      </c>
      <c r="M209" s="18">
        <v>3787.63</v>
      </c>
      <c r="P209" s="18" t="s">
        <v>118</v>
      </c>
      <c r="Q209" s="18">
        <v>2046</v>
      </c>
      <c r="R209" s="18" t="s">
        <v>175</v>
      </c>
      <c r="S209" s="18">
        <f t="shared" si="29"/>
        <v>189.38150000000002</v>
      </c>
      <c r="U209">
        <v>189.38150000000002</v>
      </c>
      <c r="Z209" s="42" t="s">
        <v>116</v>
      </c>
      <c r="AA209" s="42">
        <v>2023</v>
      </c>
      <c r="AB209" s="42" t="s">
        <v>145</v>
      </c>
      <c r="AC209" s="42">
        <v>0.31</v>
      </c>
    </row>
    <row r="210" spans="3:29">
      <c r="C210" t="s">
        <v>114</v>
      </c>
      <c r="D210">
        <v>2011</v>
      </c>
      <c r="E210" t="s">
        <v>143</v>
      </c>
      <c r="F210">
        <v>272.87</v>
      </c>
      <c r="J210" s="18" t="s">
        <v>118</v>
      </c>
      <c r="K210" s="18">
        <v>2047</v>
      </c>
      <c r="L210" s="18" t="s">
        <v>174</v>
      </c>
      <c r="M210" s="18">
        <v>3863.29</v>
      </c>
      <c r="P210" s="18" t="s">
        <v>118</v>
      </c>
      <c r="Q210" s="18">
        <v>2047</v>
      </c>
      <c r="R210" s="18" t="s">
        <v>175</v>
      </c>
      <c r="S210" s="18">
        <f t="shared" si="29"/>
        <v>193.1645</v>
      </c>
      <c r="U210">
        <v>193.1645</v>
      </c>
      <c r="Z210" s="42" t="s">
        <v>116</v>
      </c>
      <c r="AA210" s="42">
        <v>2024</v>
      </c>
      <c r="AB210" s="42" t="s">
        <v>145</v>
      </c>
      <c r="AC210" s="42">
        <v>0.39</v>
      </c>
    </row>
    <row r="211" spans="3:29">
      <c r="C211" t="s">
        <v>114</v>
      </c>
      <c r="D211">
        <v>2011</v>
      </c>
      <c r="E211" t="s">
        <v>144</v>
      </c>
      <c r="F211">
        <v>11.73</v>
      </c>
      <c r="J211" s="18" t="s">
        <v>118</v>
      </c>
      <c r="K211" s="18">
        <v>2048</v>
      </c>
      <c r="L211" s="18" t="s">
        <v>174</v>
      </c>
      <c r="M211" s="18">
        <v>3934.33</v>
      </c>
      <c r="P211" s="18" t="s">
        <v>118</v>
      </c>
      <c r="Q211" s="18">
        <v>2048</v>
      </c>
      <c r="R211" s="18" t="s">
        <v>175</v>
      </c>
      <c r="S211" s="18">
        <f t="shared" si="29"/>
        <v>196.7165</v>
      </c>
      <c r="U211">
        <v>196.7165</v>
      </c>
      <c r="Z211" s="42" t="s">
        <v>116</v>
      </c>
      <c r="AA211" s="42">
        <v>2025</v>
      </c>
      <c r="AB211" s="42" t="s">
        <v>145</v>
      </c>
      <c r="AC211" s="42">
        <v>0.47</v>
      </c>
    </row>
    <row r="212" spans="3:29">
      <c r="C212" t="s">
        <v>114</v>
      </c>
      <c r="D212">
        <v>2012</v>
      </c>
      <c r="E212" t="s">
        <v>141</v>
      </c>
      <c r="F212">
        <v>175.22</v>
      </c>
      <c r="J212" s="18" t="s">
        <v>118</v>
      </c>
      <c r="K212" s="18">
        <v>2049</v>
      </c>
      <c r="L212" s="18" t="s">
        <v>174</v>
      </c>
      <c r="M212" s="18">
        <v>4002.27</v>
      </c>
      <c r="P212" s="18" t="s">
        <v>118</v>
      </c>
      <c r="Q212" s="18">
        <v>2049</v>
      </c>
      <c r="R212" s="18" t="s">
        <v>175</v>
      </c>
      <c r="S212" s="18">
        <f t="shared" si="29"/>
        <v>200.11349999999999</v>
      </c>
      <c r="U212">
        <v>200.11349999999999</v>
      </c>
      <c r="Z212" s="42" t="s">
        <v>116</v>
      </c>
      <c r="AA212" s="42">
        <v>2026</v>
      </c>
      <c r="AB212" s="42" t="s">
        <v>145</v>
      </c>
      <c r="AC212" s="42">
        <v>0.55000000000000004</v>
      </c>
    </row>
    <row r="213" spans="3:29">
      <c r="C213" t="s">
        <v>114</v>
      </c>
      <c r="D213">
        <v>2012</v>
      </c>
      <c r="E213" t="s">
        <v>142</v>
      </c>
      <c r="F213">
        <v>678.76</v>
      </c>
      <c r="J213" s="18" t="s">
        <v>118</v>
      </c>
      <c r="K213" s="18">
        <v>2050</v>
      </c>
      <c r="L213" s="18" t="s">
        <v>174</v>
      </c>
      <c r="M213" s="18">
        <v>4071.67</v>
      </c>
      <c r="P213" s="18" t="s">
        <v>118</v>
      </c>
      <c r="Q213" s="18">
        <v>2050</v>
      </c>
      <c r="R213" s="18" t="s">
        <v>175</v>
      </c>
      <c r="S213" s="18">
        <f t="shared" si="29"/>
        <v>203.58350000000002</v>
      </c>
      <c r="U213">
        <v>203.58350000000002</v>
      </c>
      <c r="Z213" s="42" t="s">
        <v>116</v>
      </c>
      <c r="AA213" s="42">
        <v>2027</v>
      </c>
      <c r="AB213" s="42" t="s">
        <v>145</v>
      </c>
      <c r="AC213" s="42">
        <v>0.62</v>
      </c>
    </row>
    <row r="214" spans="3:29">
      <c r="C214" t="s">
        <v>114</v>
      </c>
      <c r="D214">
        <v>2012</v>
      </c>
      <c r="E214" t="s">
        <v>143</v>
      </c>
      <c r="F214">
        <v>285.60000000000002</v>
      </c>
      <c r="J214" s="18" t="s">
        <v>119</v>
      </c>
      <c r="K214" s="18">
        <v>2010</v>
      </c>
      <c r="L214" s="18" t="s">
        <v>174</v>
      </c>
      <c r="M214" s="18">
        <v>353.8</v>
      </c>
      <c r="P214" s="18" t="s">
        <v>119</v>
      </c>
      <c r="Q214" s="18">
        <v>2010</v>
      </c>
      <c r="R214" s="18" t="s">
        <v>175</v>
      </c>
      <c r="S214" s="18">
        <f t="shared" si="29"/>
        <v>0</v>
      </c>
      <c r="U214">
        <v>17.690000000000001</v>
      </c>
      <c r="Z214" s="42" t="s">
        <v>116</v>
      </c>
      <c r="AA214" s="42">
        <v>2028</v>
      </c>
      <c r="AB214" s="42" t="s">
        <v>145</v>
      </c>
      <c r="AC214" s="42">
        <v>0.69</v>
      </c>
    </row>
    <row r="215" spans="3:29">
      <c r="C215" t="s">
        <v>114</v>
      </c>
      <c r="D215">
        <v>2012</v>
      </c>
      <c r="E215" t="s">
        <v>144</v>
      </c>
      <c r="F215">
        <v>13.45</v>
      </c>
      <c r="J215" s="18" t="s">
        <v>119</v>
      </c>
      <c r="K215" s="18">
        <v>2011</v>
      </c>
      <c r="L215" s="18" t="s">
        <v>174</v>
      </c>
      <c r="M215" s="18">
        <v>356.58</v>
      </c>
      <c r="P215" s="18" t="s">
        <v>119</v>
      </c>
      <c r="Q215" s="18">
        <v>2011</v>
      </c>
      <c r="R215" s="18" t="s">
        <v>175</v>
      </c>
      <c r="S215" s="18">
        <f t="shared" si="29"/>
        <v>0</v>
      </c>
      <c r="U215">
        <v>17.829000000000001</v>
      </c>
      <c r="Z215" s="42" t="s">
        <v>116</v>
      </c>
      <c r="AA215" s="42">
        <v>2029</v>
      </c>
      <c r="AB215" s="42" t="s">
        <v>145</v>
      </c>
      <c r="AC215" s="42">
        <v>0.74</v>
      </c>
    </row>
    <row r="216" spans="3:29">
      <c r="C216" t="s">
        <v>114</v>
      </c>
      <c r="D216">
        <v>2013</v>
      </c>
      <c r="E216" t="s">
        <v>141</v>
      </c>
      <c r="F216">
        <v>181.94</v>
      </c>
      <c r="J216" s="18" t="s">
        <v>119</v>
      </c>
      <c r="K216" s="18">
        <v>2012</v>
      </c>
      <c r="L216" s="18" t="s">
        <v>174</v>
      </c>
      <c r="M216" s="18">
        <v>376.64</v>
      </c>
      <c r="P216" s="18" t="s">
        <v>119</v>
      </c>
      <c r="Q216" s="18">
        <v>2012</v>
      </c>
      <c r="R216" s="18" t="s">
        <v>175</v>
      </c>
      <c r="S216" s="18">
        <f t="shared" si="29"/>
        <v>0</v>
      </c>
      <c r="U216">
        <v>18.832000000000001</v>
      </c>
      <c r="Z216" s="42" t="s">
        <v>116</v>
      </c>
      <c r="AA216" s="42">
        <v>2030</v>
      </c>
      <c r="AB216" s="42" t="s">
        <v>145</v>
      </c>
      <c r="AC216" s="42">
        <v>0.8</v>
      </c>
    </row>
    <row r="217" spans="3:29">
      <c r="C217" t="s">
        <v>114</v>
      </c>
      <c r="D217">
        <v>2013</v>
      </c>
      <c r="E217" t="s">
        <v>142</v>
      </c>
      <c r="F217">
        <v>674.42</v>
      </c>
      <c r="J217" s="18" t="s">
        <v>119</v>
      </c>
      <c r="K217" s="18">
        <v>2013</v>
      </c>
      <c r="L217" s="18" t="s">
        <v>174</v>
      </c>
      <c r="M217" s="18">
        <v>390.28</v>
      </c>
      <c r="P217" s="18" t="s">
        <v>119</v>
      </c>
      <c r="Q217" s="18">
        <v>2013</v>
      </c>
      <c r="R217" s="18" t="s">
        <v>175</v>
      </c>
      <c r="S217" s="18">
        <f t="shared" si="29"/>
        <v>0</v>
      </c>
      <c r="U217">
        <v>19.513999999999999</v>
      </c>
      <c r="Z217" s="42" t="s">
        <v>116</v>
      </c>
      <c r="AA217" s="42">
        <v>2031</v>
      </c>
      <c r="AB217" s="42" t="s">
        <v>145</v>
      </c>
      <c r="AC217" s="42">
        <v>0.86</v>
      </c>
    </row>
    <row r="218" spans="3:29">
      <c r="C218" t="s">
        <v>114</v>
      </c>
      <c r="D218">
        <v>2013</v>
      </c>
      <c r="E218" t="s">
        <v>143</v>
      </c>
      <c r="F218">
        <v>296.3</v>
      </c>
      <c r="J218" s="18" t="s">
        <v>119</v>
      </c>
      <c r="K218" s="18">
        <v>2014</v>
      </c>
      <c r="L218" s="18" t="s">
        <v>174</v>
      </c>
      <c r="M218" s="18">
        <v>378.34</v>
      </c>
      <c r="P218" s="18" t="s">
        <v>119</v>
      </c>
      <c r="Q218" s="18">
        <v>2014</v>
      </c>
      <c r="R218" s="18" t="s">
        <v>175</v>
      </c>
      <c r="S218" s="18">
        <f t="shared" si="29"/>
        <v>0</v>
      </c>
      <c r="U218">
        <v>18.916999999999998</v>
      </c>
      <c r="Z218" s="42" t="s">
        <v>116</v>
      </c>
      <c r="AA218" s="42">
        <v>2032</v>
      </c>
      <c r="AB218" s="42" t="s">
        <v>145</v>
      </c>
      <c r="AC218" s="42">
        <v>0.92</v>
      </c>
    </row>
    <row r="219" spans="3:29">
      <c r="C219" t="s">
        <v>114</v>
      </c>
      <c r="D219">
        <v>2013</v>
      </c>
      <c r="E219" t="s">
        <v>144</v>
      </c>
      <c r="F219">
        <v>13.03</v>
      </c>
      <c r="J219" s="18" t="s">
        <v>119</v>
      </c>
      <c r="K219" s="18">
        <v>2015</v>
      </c>
      <c r="L219" s="18" t="s">
        <v>174</v>
      </c>
      <c r="M219" s="18">
        <v>416.92</v>
      </c>
      <c r="P219" s="18" t="s">
        <v>119</v>
      </c>
      <c r="Q219" s="18">
        <v>2015</v>
      </c>
      <c r="R219" s="18" t="s">
        <v>175</v>
      </c>
      <c r="S219" s="18">
        <f t="shared" si="29"/>
        <v>0</v>
      </c>
      <c r="U219">
        <v>20.846</v>
      </c>
      <c r="Z219" s="42" t="s">
        <v>116</v>
      </c>
      <c r="AA219" s="42">
        <v>2033</v>
      </c>
      <c r="AB219" s="42" t="s">
        <v>145</v>
      </c>
      <c r="AC219" s="42">
        <v>0.96</v>
      </c>
    </row>
    <row r="220" spans="3:29">
      <c r="C220" t="s">
        <v>114</v>
      </c>
      <c r="D220">
        <v>2014</v>
      </c>
      <c r="E220" t="s">
        <v>141</v>
      </c>
      <c r="F220">
        <v>182.26</v>
      </c>
      <c r="J220" s="18" t="s">
        <v>119</v>
      </c>
      <c r="K220" s="18">
        <v>2016</v>
      </c>
      <c r="L220" s="18" t="s">
        <v>174</v>
      </c>
      <c r="M220" s="18">
        <v>416.46</v>
      </c>
      <c r="P220" s="18" t="s">
        <v>119</v>
      </c>
      <c r="Q220" s="18">
        <v>2016</v>
      </c>
      <c r="R220" s="18" t="s">
        <v>175</v>
      </c>
      <c r="S220" s="18">
        <f t="shared" si="29"/>
        <v>0</v>
      </c>
      <c r="U220">
        <v>20.823</v>
      </c>
      <c r="Z220" s="42" t="s">
        <v>116</v>
      </c>
      <c r="AA220" s="42">
        <v>2034</v>
      </c>
      <c r="AB220" s="42" t="s">
        <v>145</v>
      </c>
      <c r="AC220" s="42">
        <v>1.01</v>
      </c>
    </row>
    <row r="221" spans="3:29">
      <c r="C221" t="s">
        <v>114</v>
      </c>
      <c r="D221">
        <v>2014</v>
      </c>
      <c r="E221" t="s">
        <v>142</v>
      </c>
      <c r="F221">
        <v>706.8</v>
      </c>
      <c r="J221" s="18" t="s">
        <v>119</v>
      </c>
      <c r="K221" s="18">
        <v>2017</v>
      </c>
      <c r="L221" s="18" t="s">
        <v>174</v>
      </c>
      <c r="M221" s="18">
        <v>420.44</v>
      </c>
      <c r="P221" s="18" t="s">
        <v>119</v>
      </c>
      <c r="Q221" s="18">
        <v>2017</v>
      </c>
      <c r="R221" s="18" t="s">
        <v>175</v>
      </c>
      <c r="S221" s="18">
        <f t="shared" si="29"/>
        <v>0</v>
      </c>
      <c r="U221">
        <v>21.021999999999998</v>
      </c>
      <c r="Z221" s="42" t="s">
        <v>116</v>
      </c>
      <c r="AA221" s="42">
        <v>2035</v>
      </c>
      <c r="AB221" s="42" t="s">
        <v>145</v>
      </c>
      <c r="AC221" s="42">
        <v>1.05</v>
      </c>
    </row>
    <row r="222" spans="3:29">
      <c r="C222" t="s">
        <v>114</v>
      </c>
      <c r="D222">
        <v>2014</v>
      </c>
      <c r="E222" t="s">
        <v>143</v>
      </c>
      <c r="F222">
        <v>309.38</v>
      </c>
      <c r="J222" s="18" t="s">
        <v>119</v>
      </c>
      <c r="K222" s="18">
        <v>2018</v>
      </c>
      <c r="L222" s="18" t="s">
        <v>174</v>
      </c>
      <c r="M222" s="18">
        <v>433.74</v>
      </c>
      <c r="P222" s="18" t="s">
        <v>119</v>
      </c>
      <c r="Q222" s="18">
        <v>2018</v>
      </c>
      <c r="R222" s="18" t="s">
        <v>175</v>
      </c>
      <c r="S222" s="18">
        <f t="shared" si="29"/>
        <v>0</v>
      </c>
      <c r="U222">
        <v>21.687000000000001</v>
      </c>
      <c r="Z222" s="42" t="s">
        <v>116</v>
      </c>
      <c r="AA222" s="42">
        <v>2036</v>
      </c>
      <c r="AB222" s="42" t="s">
        <v>145</v>
      </c>
      <c r="AC222" s="42">
        <v>1.08</v>
      </c>
    </row>
    <row r="223" spans="3:29">
      <c r="C223" t="s">
        <v>114</v>
      </c>
      <c r="D223">
        <v>2014</v>
      </c>
      <c r="E223" t="s">
        <v>144</v>
      </c>
      <c r="F223">
        <v>13.45</v>
      </c>
      <c r="J223" s="18" t="s">
        <v>119</v>
      </c>
      <c r="K223" s="18">
        <v>2019</v>
      </c>
      <c r="L223" s="18" t="s">
        <v>174</v>
      </c>
      <c r="M223" s="18">
        <v>403.91</v>
      </c>
      <c r="P223" s="18" t="s">
        <v>119</v>
      </c>
      <c r="Q223" s="18">
        <v>2019</v>
      </c>
      <c r="R223" s="18" t="s">
        <v>175</v>
      </c>
      <c r="S223" s="18">
        <f t="shared" si="29"/>
        <v>0</v>
      </c>
      <c r="U223">
        <v>20.195500000000003</v>
      </c>
      <c r="Z223" s="42" t="s">
        <v>116</v>
      </c>
      <c r="AA223" s="42">
        <v>2037</v>
      </c>
      <c r="AB223" s="42" t="s">
        <v>145</v>
      </c>
      <c r="AC223" s="42">
        <v>1.1000000000000001</v>
      </c>
    </row>
    <row r="224" spans="3:29">
      <c r="C224" t="s">
        <v>114</v>
      </c>
      <c r="D224">
        <v>2015</v>
      </c>
      <c r="E224" t="s">
        <v>141</v>
      </c>
      <c r="F224">
        <v>186.97</v>
      </c>
      <c r="J224" s="18" t="s">
        <v>119</v>
      </c>
      <c r="K224" s="18">
        <v>2020</v>
      </c>
      <c r="L224" s="18" t="s">
        <v>174</v>
      </c>
      <c r="M224" s="18">
        <v>407.88</v>
      </c>
      <c r="P224" s="18" t="s">
        <v>119</v>
      </c>
      <c r="Q224" s="18">
        <v>2020</v>
      </c>
      <c r="R224" s="18" t="s">
        <v>175</v>
      </c>
      <c r="S224" s="18">
        <f t="shared" si="29"/>
        <v>0</v>
      </c>
      <c r="U224">
        <v>20.393999999999998</v>
      </c>
      <c r="Z224" s="42" t="s">
        <v>116</v>
      </c>
      <c r="AA224" s="42">
        <v>2038</v>
      </c>
      <c r="AB224" s="42" t="s">
        <v>145</v>
      </c>
      <c r="AC224" s="42">
        <v>1.1200000000000001</v>
      </c>
    </row>
    <row r="225" spans="3:29">
      <c r="C225" t="s">
        <v>114</v>
      </c>
      <c r="D225">
        <v>2015</v>
      </c>
      <c r="E225" t="s">
        <v>142</v>
      </c>
      <c r="F225">
        <v>692.7</v>
      </c>
      <c r="J225" s="18" t="s">
        <v>119</v>
      </c>
      <c r="K225" s="18">
        <v>2021</v>
      </c>
      <c r="L225" s="18" t="s">
        <v>174</v>
      </c>
      <c r="M225" s="18">
        <v>424.66</v>
      </c>
      <c r="P225" s="18" t="s">
        <v>119</v>
      </c>
      <c r="Q225" s="18">
        <v>2021</v>
      </c>
      <c r="R225" s="18" t="s">
        <v>175</v>
      </c>
      <c r="S225" s="18">
        <f t="shared" si="29"/>
        <v>0</v>
      </c>
      <c r="U225">
        <v>21.233000000000001</v>
      </c>
      <c r="Z225" s="42" t="s">
        <v>116</v>
      </c>
      <c r="AA225" s="42">
        <v>2039</v>
      </c>
      <c r="AB225" s="42" t="s">
        <v>145</v>
      </c>
      <c r="AC225" s="42">
        <v>1.1399999999999999</v>
      </c>
    </row>
    <row r="226" spans="3:29">
      <c r="C226" t="s">
        <v>114</v>
      </c>
      <c r="D226">
        <v>2015</v>
      </c>
      <c r="E226" t="s">
        <v>143</v>
      </c>
      <c r="F226">
        <v>338.73</v>
      </c>
      <c r="J226" s="18" t="s">
        <v>119</v>
      </c>
      <c r="K226" s="18">
        <v>2022</v>
      </c>
      <c r="L226" s="18" t="s">
        <v>174</v>
      </c>
      <c r="M226" s="18">
        <v>441.56</v>
      </c>
      <c r="P226" s="18" t="s">
        <v>119</v>
      </c>
      <c r="Q226" s="18">
        <v>2022</v>
      </c>
      <c r="R226" s="18" t="s">
        <v>175</v>
      </c>
      <c r="S226" s="18">
        <f t="shared" si="29"/>
        <v>0</v>
      </c>
      <c r="U226">
        <v>22.077999999999999</v>
      </c>
      <c r="Z226" s="42" t="s">
        <v>116</v>
      </c>
      <c r="AA226" s="42">
        <v>2040</v>
      </c>
      <c r="AB226" s="42" t="s">
        <v>145</v>
      </c>
      <c r="AC226" s="42">
        <v>1.1499999999999999</v>
      </c>
    </row>
    <row r="227" spans="3:29">
      <c r="C227" t="s">
        <v>114</v>
      </c>
      <c r="D227">
        <v>2015</v>
      </c>
      <c r="E227" t="s">
        <v>144</v>
      </c>
      <c r="F227">
        <v>13.48</v>
      </c>
      <c r="J227" s="18" t="s">
        <v>119</v>
      </c>
      <c r="K227" s="18">
        <v>2023</v>
      </c>
      <c r="L227" s="18" t="s">
        <v>174</v>
      </c>
      <c r="M227" s="18">
        <v>449.08</v>
      </c>
      <c r="P227" s="18" t="s">
        <v>119</v>
      </c>
      <c r="Q227" s="18">
        <v>2023</v>
      </c>
      <c r="R227" s="18" t="s">
        <v>175</v>
      </c>
      <c r="S227" s="18">
        <f t="shared" si="29"/>
        <v>0</v>
      </c>
      <c r="U227">
        <v>22.454000000000001</v>
      </c>
      <c r="Z227" s="42" t="s">
        <v>116</v>
      </c>
      <c r="AA227" s="42">
        <v>2041</v>
      </c>
      <c r="AB227" s="42" t="s">
        <v>145</v>
      </c>
      <c r="AC227" s="42">
        <v>1.1599999999999999</v>
      </c>
    </row>
    <row r="228" spans="3:29">
      <c r="C228" t="s">
        <v>114</v>
      </c>
      <c r="D228">
        <v>2016</v>
      </c>
      <c r="E228" t="s">
        <v>141</v>
      </c>
      <c r="F228">
        <v>200.06</v>
      </c>
      <c r="J228" s="18" t="s">
        <v>119</v>
      </c>
      <c r="K228" s="18">
        <v>2024</v>
      </c>
      <c r="L228" s="18" t="s">
        <v>174</v>
      </c>
      <c r="M228" s="18">
        <v>456.26</v>
      </c>
      <c r="P228" s="18" t="s">
        <v>119</v>
      </c>
      <c r="Q228" s="18">
        <v>2024</v>
      </c>
      <c r="R228" s="18" t="s">
        <v>175</v>
      </c>
      <c r="S228" s="18">
        <f t="shared" si="29"/>
        <v>0</v>
      </c>
      <c r="U228">
        <v>22.812999999999999</v>
      </c>
      <c r="Z228" s="42" t="s">
        <v>116</v>
      </c>
      <c r="AA228" s="42">
        <v>2042</v>
      </c>
      <c r="AB228" s="42" t="s">
        <v>145</v>
      </c>
      <c r="AC228" s="42">
        <v>1.17</v>
      </c>
    </row>
    <row r="229" spans="3:29">
      <c r="C229" t="s">
        <v>114</v>
      </c>
      <c r="D229">
        <v>2016</v>
      </c>
      <c r="E229" t="s">
        <v>142</v>
      </c>
      <c r="F229">
        <v>659.63</v>
      </c>
      <c r="J229" s="18" t="s">
        <v>119</v>
      </c>
      <c r="K229" s="18">
        <v>2025</v>
      </c>
      <c r="L229" s="18" t="s">
        <v>174</v>
      </c>
      <c r="M229" s="18">
        <v>463.26</v>
      </c>
      <c r="P229" s="18" t="s">
        <v>119</v>
      </c>
      <c r="Q229" s="18">
        <v>2025</v>
      </c>
      <c r="R229" s="18" t="s">
        <v>175</v>
      </c>
      <c r="S229" s="18">
        <f t="shared" si="29"/>
        <v>0</v>
      </c>
      <c r="U229">
        <v>23.163</v>
      </c>
      <c r="Z229" s="42" t="s">
        <v>116</v>
      </c>
      <c r="AA229" s="42">
        <v>2043</v>
      </c>
      <c r="AB229" s="42" t="s">
        <v>145</v>
      </c>
      <c r="AC229" s="42">
        <v>1.18</v>
      </c>
    </row>
    <row r="230" spans="3:29">
      <c r="C230" t="s">
        <v>114</v>
      </c>
      <c r="D230">
        <v>2016</v>
      </c>
      <c r="E230" t="s">
        <v>143</v>
      </c>
      <c r="F230">
        <v>336.67</v>
      </c>
      <c r="J230" s="18" t="s">
        <v>119</v>
      </c>
      <c r="K230" s="18">
        <v>2026</v>
      </c>
      <c r="L230" s="18" t="s">
        <v>174</v>
      </c>
      <c r="M230" s="18">
        <v>473.65</v>
      </c>
      <c r="P230" s="18" t="s">
        <v>119</v>
      </c>
      <c r="Q230" s="18">
        <v>2026</v>
      </c>
      <c r="R230" s="18" t="s">
        <v>175</v>
      </c>
      <c r="S230" s="18">
        <f t="shared" si="29"/>
        <v>0</v>
      </c>
      <c r="U230">
        <v>23.682499999999997</v>
      </c>
      <c r="Z230" s="42" t="s">
        <v>116</v>
      </c>
      <c r="AA230" s="42">
        <v>2044</v>
      </c>
      <c r="AB230" s="42" t="s">
        <v>145</v>
      </c>
      <c r="AC230" s="42">
        <v>1.18</v>
      </c>
    </row>
    <row r="231" spans="3:29">
      <c r="C231" t="s">
        <v>114</v>
      </c>
      <c r="D231">
        <v>2016</v>
      </c>
      <c r="E231" t="s">
        <v>144</v>
      </c>
      <c r="F231">
        <v>13.69</v>
      </c>
      <c r="J231" s="18" t="s">
        <v>119</v>
      </c>
      <c r="K231" s="18">
        <v>2027</v>
      </c>
      <c r="L231" s="18" t="s">
        <v>174</v>
      </c>
      <c r="M231" s="18">
        <v>483.91</v>
      </c>
      <c r="P231" s="18" t="s">
        <v>119</v>
      </c>
      <c r="Q231" s="18">
        <v>2027</v>
      </c>
      <c r="R231" s="18" t="s">
        <v>175</v>
      </c>
      <c r="S231" s="18">
        <f t="shared" si="29"/>
        <v>0</v>
      </c>
      <c r="U231">
        <v>24.195500000000003</v>
      </c>
      <c r="Z231" s="42" t="s">
        <v>116</v>
      </c>
      <c r="AA231" s="42">
        <v>2045</v>
      </c>
      <c r="AB231" s="42" t="s">
        <v>145</v>
      </c>
      <c r="AC231" s="42">
        <v>1.19</v>
      </c>
    </row>
    <row r="232" spans="3:29">
      <c r="C232" t="s">
        <v>114</v>
      </c>
      <c r="D232">
        <v>2017</v>
      </c>
      <c r="E232" t="s">
        <v>141</v>
      </c>
      <c r="F232">
        <v>211.09</v>
      </c>
      <c r="J232" s="18" t="s">
        <v>119</v>
      </c>
      <c r="K232" s="18">
        <v>2028</v>
      </c>
      <c r="L232" s="18" t="s">
        <v>174</v>
      </c>
      <c r="M232" s="18">
        <v>494.13</v>
      </c>
      <c r="P232" s="18" t="s">
        <v>119</v>
      </c>
      <c r="Q232" s="18">
        <v>2028</v>
      </c>
      <c r="R232" s="18" t="s">
        <v>175</v>
      </c>
      <c r="S232" s="18">
        <f t="shared" si="29"/>
        <v>0</v>
      </c>
      <c r="U232">
        <v>24.706499999999998</v>
      </c>
      <c r="Z232" s="42" t="s">
        <v>116</v>
      </c>
      <c r="AA232" s="42">
        <v>2046</v>
      </c>
      <c r="AB232" s="42" t="s">
        <v>145</v>
      </c>
      <c r="AC232" s="42">
        <v>1.19</v>
      </c>
    </row>
    <row r="233" spans="3:29">
      <c r="C233" t="s">
        <v>114</v>
      </c>
      <c r="D233">
        <v>2017</v>
      </c>
      <c r="E233" t="s">
        <v>142</v>
      </c>
      <c r="F233">
        <v>693.03</v>
      </c>
      <c r="J233" s="18" t="s">
        <v>119</v>
      </c>
      <c r="K233" s="18">
        <v>2029</v>
      </c>
      <c r="L233" s="18" t="s">
        <v>174</v>
      </c>
      <c r="M233" s="18">
        <v>504.4</v>
      </c>
      <c r="P233" s="18" t="s">
        <v>119</v>
      </c>
      <c r="Q233" s="18">
        <v>2029</v>
      </c>
      <c r="R233" s="18" t="s">
        <v>175</v>
      </c>
      <c r="S233" s="18">
        <f t="shared" si="29"/>
        <v>0</v>
      </c>
      <c r="U233">
        <v>25.22</v>
      </c>
      <c r="Z233" s="42" t="s">
        <v>116</v>
      </c>
      <c r="AA233" s="42">
        <v>2047</v>
      </c>
      <c r="AB233" s="42" t="s">
        <v>145</v>
      </c>
      <c r="AC233" s="42">
        <v>1.19</v>
      </c>
    </row>
    <row r="234" spans="3:29">
      <c r="C234" t="s">
        <v>114</v>
      </c>
      <c r="D234">
        <v>2017</v>
      </c>
      <c r="E234" t="s">
        <v>143</v>
      </c>
      <c r="F234">
        <v>358.31</v>
      </c>
      <c r="J234" s="18" t="s">
        <v>119</v>
      </c>
      <c r="K234" s="18">
        <v>2030</v>
      </c>
      <c r="L234" s="18" t="s">
        <v>174</v>
      </c>
      <c r="M234" s="18">
        <v>514.66</v>
      </c>
      <c r="P234" s="18" t="s">
        <v>119</v>
      </c>
      <c r="Q234" s="18">
        <v>2030</v>
      </c>
      <c r="R234" s="18" t="s">
        <v>175</v>
      </c>
      <c r="S234" s="18">
        <f t="shared" si="29"/>
        <v>0</v>
      </c>
      <c r="U234">
        <v>25.732999999999997</v>
      </c>
      <c r="Z234" s="42" t="s">
        <v>116</v>
      </c>
      <c r="AA234" s="42">
        <v>2048</v>
      </c>
      <c r="AB234" s="42" t="s">
        <v>145</v>
      </c>
      <c r="AC234" s="42">
        <v>1.18</v>
      </c>
    </row>
    <row r="235" spans="3:29">
      <c r="C235" t="s">
        <v>114</v>
      </c>
      <c r="D235">
        <v>2017</v>
      </c>
      <c r="E235" t="s">
        <v>144</v>
      </c>
      <c r="F235">
        <v>13.41</v>
      </c>
      <c r="J235" s="18" t="s">
        <v>119</v>
      </c>
      <c r="K235" s="18">
        <v>2031</v>
      </c>
      <c r="L235" s="18" t="s">
        <v>174</v>
      </c>
      <c r="M235" s="18">
        <v>525.66</v>
      </c>
      <c r="P235" s="18" t="s">
        <v>119</v>
      </c>
      <c r="Q235" s="18">
        <v>2031</v>
      </c>
      <c r="R235" s="18" t="s">
        <v>175</v>
      </c>
      <c r="S235" s="18">
        <f t="shared" si="29"/>
        <v>0</v>
      </c>
      <c r="U235">
        <v>26.282999999999998</v>
      </c>
      <c r="Z235" s="42" t="s">
        <v>116</v>
      </c>
      <c r="AA235" s="42">
        <v>2049</v>
      </c>
      <c r="AB235" s="42" t="s">
        <v>145</v>
      </c>
      <c r="AC235" s="42">
        <v>1.18</v>
      </c>
    </row>
    <row r="236" spans="3:29">
      <c r="C236" t="s">
        <v>114</v>
      </c>
      <c r="D236">
        <v>2018</v>
      </c>
      <c r="E236" t="s">
        <v>141</v>
      </c>
      <c r="F236">
        <v>210.72</v>
      </c>
      <c r="J236" s="18" t="s">
        <v>119</v>
      </c>
      <c r="K236" s="18">
        <v>2032</v>
      </c>
      <c r="L236" s="18" t="s">
        <v>174</v>
      </c>
      <c r="M236" s="18">
        <v>536.84</v>
      </c>
      <c r="P236" s="18" t="s">
        <v>119</v>
      </c>
      <c r="Q236" s="18">
        <v>2032</v>
      </c>
      <c r="R236" s="18" t="s">
        <v>175</v>
      </c>
      <c r="S236" s="18">
        <f t="shared" si="29"/>
        <v>0</v>
      </c>
      <c r="U236">
        <v>26.842000000000002</v>
      </c>
      <c r="Z236" s="42" t="s">
        <v>116</v>
      </c>
      <c r="AA236" s="42">
        <v>2050</v>
      </c>
      <c r="AB236" s="42" t="s">
        <v>145</v>
      </c>
      <c r="AC236" s="42">
        <v>1.18</v>
      </c>
    </row>
    <row r="237" spans="3:29">
      <c r="C237" t="s">
        <v>114</v>
      </c>
      <c r="D237">
        <v>2018</v>
      </c>
      <c r="E237" t="s">
        <v>142</v>
      </c>
      <c r="F237">
        <v>698.9</v>
      </c>
      <c r="J237" s="18" t="s">
        <v>119</v>
      </c>
      <c r="K237" s="18">
        <v>2033</v>
      </c>
      <c r="L237" s="18" t="s">
        <v>174</v>
      </c>
      <c r="M237" s="18">
        <v>548.32000000000005</v>
      </c>
      <c r="P237" s="18" t="s">
        <v>119</v>
      </c>
      <c r="Q237" s="18">
        <v>2033</v>
      </c>
      <c r="R237" s="18" t="s">
        <v>175</v>
      </c>
      <c r="S237" s="18">
        <f t="shared" si="29"/>
        <v>0</v>
      </c>
      <c r="U237">
        <v>27.416000000000004</v>
      </c>
      <c r="Z237" s="42" t="s">
        <v>117</v>
      </c>
      <c r="AA237" s="42">
        <v>2019</v>
      </c>
      <c r="AB237" s="42" t="s">
        <v>146</v>
      </c>
      <c r="AC237" s="42">
        <v>0.69</v>
      </c>
    </row>
    <row r="238" spans="3:29">
      <c r="C238" t="s">
        <v>114</v>
      </c>
      <c r="D238">
        <v>2018</v>
      </c>
      <c r="E238" t="s">
        <v>143</v>
      </c>
      <c r="F238">
        <v>374.37</v>
      </c>
      <c r="J238" s="18" t="s">
        <v>119</v>
      </c>
      <c r="K238" s="18">
        <v>2034</v>
      </c>
      <c r="L238" s="18" t="s">
        <v>174</v>
      </c>
      <c r="M238" s="18">
        <v>560.03</v>
      </c>
      <c r="P238" s="18" t="s">
        <v>119</v>
      </c>
      <c r="Q238" s="18">
        <v>2034</v>
      </c>
      <c r="R238" s="18" t="s">
        <v>175</v>
      </c>
      <c r="S238" s="18">
        <f t="shared" si="29"/>
        <v>0</v>
      </c>
      <c r="U238">
        <v>28.0015</v>
      </c>
      <c r="Z238" s="42" t="s">
        <v>117</v>
      </c>
      <c r="AA238" s="42">
        <v>2019</v>
      </c>
      <c r="AB238" s="42" t="s">
        <v>145</v>
      </c>
      <c r="AC238" s="42">
        <v>13.4</v>
      </c>
    </row>
    <row r="239" spans="3:29">
      <c r="C239" t="s">
        <v>114</v>
      </c>
      <c r="D239">
        <v>2018</v>
      </c>
      <c r="E239" t="s">
        <v>144</v>
      </c>
      <c r="F239">
        <v>12.89</v>
      </c>
      <c r="J239" s="18" t="s">
        <v>119</v>
      </c>
      <c r="K239" s="18">
        <v>2035</v>
      </c>
      <c r="L239" s="18" t="s">
        <v>174</v>
      </c>
      <c r="M239" s="18">
        <v>571.99</v>
      </c>
      <c r="P239" s="18" t="s">
        <v>119</v>
      </c>
      <c r="Q239" s="18">
        <v>2035</v>
      </c>
      <c r="R239" s="18" t="s">
        <v>175</v>
      </c>
      <c r="S239" s="18">
        <f t="shared" si="29"/>
        <v>0</v>
      </c>
      <c r="U239">
        <v>28.599499999999999</v>
      </c>
      <c r="Z239" s="42" t="s">
        <v>117</v>
      </c>
      <c r="AA239" s="42">
        <v>2020</v>
      </c>
      <c r="AB239" s="42" t="s">
        <v>146</v>
      </c>
      <c r="AC239" s="42">
        <v>0.69</v>
      </c>
    </row>
    <row r="240" spans="3:29">
      <c r="C240" t="s">
        <v>114</v>
      </c>
      <c r="D240">
        <v>2019</v>
      </c>
      <c r="E240" t="s">
        <v>141</v>
      </c>
      <c r="F240">
        <v>216.1</v>
      </c>
      <c r="J240" s="18" t="s">
        <v>119</v>
      </c>
      <c r="K240" s="18">
        <v>2036</v>
      </c>
      <c r="L240" s="18" t="s">
        <v>174</v>
      </c>
      <c r="M240" s="18">
        <v>584.46</v>
      </c>
      <c r="P240" s="18" t="s">
        <v>119</v>
      </c>
      <c r="Q240" s="18">
        <v>2036</v>
      </c>
      <c r="R240" s="18" t="s">
        <v>175</v>
      </c>
      <c r="S240" s="18">
        <f t="shared" si="29"/>
        <v>0</v>
      </c>
      <c r="U240">
        <v>29.223000000000003</v>
      </c>
      <c r="Z240" s="42" t="s">
        <v>117</v>
      </c>
      <c r="AA240" s="42">
        <v>2020</v>
      </c>
      <c r="AB240" s="42" t="s">
        <v>145</v>
      </c>
      <c r="AC240" s="42">
        <v>12.39</v>
      </c>
    </row>
    <row r="241" spans="3:29">
      <c r="C241" t="s">
        <v>114</v>
      </c>
      <c r="D241">
        <v>2019</v>
      </c>
      <c r="E241" t="s">
        <v>142</v>
      </c>
      <c r="F241">
        <v>693.47</v>
      </c>
      <c r="J241" s="18" t="s">
        <v>119</v>
      </c>
      <c r="K241" s="18">
        <v>2037</v>
      </c>
      <c r="L241" s="18" t="s">
        <v>174</v>
      </c>
      <c r="M241" s="18">
        <v>597.30999999999995</v>
      </c>
      <c r="P241" s="18" t="s">
        <v>119</v>
      </c>
      <c r="Q241" s="18">
        <v>2037</v>
      </c>
      <c r="R241" s="18" t="s">
        <v>175</v>
      </c>
      <c r="S241" s="18">
        <f t="shared" si="29"/>
        <v>0</v>
      </c>
      <c r="U241">
        <v>29.865499999999997</v>
      </c>
      <c r="Z241" s="42" t="s">
        <v>117</v>
      </c>
      <c r="AA241" s="42">
        <v>2021</v>
      </c>
      <c r="AB241" s="42" t="s">
        <v>146</v>
      </c>
      <c r="AC241" s="42">
        <v>0.72</v>
      </c>
    </row>
    <row r="242" spans="3:29">
      <c r="C242" t="s">
        <v>114</v>
      </c>
      <c r="D242">
        <v>2019</v>
      </c>
      <c r="E242" t="s">
        <v>143</v>
      </c>
      <c r="F242">
        <v>420.08</v>
      </c>
      <c r="J242" s="18" t="s">
        <v>119</v>
      </c>
      <c r="K242" s="18">
        <v>2038</v>
      </c>
      <c r="L242" s="18" t="s">
        <v>174</v>
      </c>
      <c r="M242" s="18">
        <v>610.33000000000004</v>
      </c>
      <c r="P242" s="18" t="s">
        <v>119</v>
      </c>
      <c r="Q242" s="18">
        <v>2038</v>
      </c>
      <c r="R242" s="18" t="s">
        <v>175</v>
      </c>
      <c r="S242" s="18">
        <f t="shared" si="29"/>
        <v>0</v>
      </c>
      <c r="U242">
        <v>30.516500000000001</v>
      </c>
      <c r="Z242" s="42" t="s">
        <v>117</v>
      </c>
      <c r="AA242" s="42">
        <v>2021</v>
      </c>
      <c r="AB242" s="42" t="s">
        <v>145</v>
      </c>
      <c r="AC242" s="42">
        <v>13.41</v>
      </c>
    </row>
    <row r="243" spans="3:29">
      <c r="C243" t="s">
        <v>114</v>
      </c>
      <c r="D243">
        <v>2019</v>
      </c>
      <c r="E243" t="s">
        <v>144</v>
      </c>
      <c r="F243">
        <v>22.44</v>
      </c>
      <c r="J243" s="18" t="s">
        <v>119</v>
      </c>
      <c r="K243" s="18">
        <v>2039</v>
      </c>
      <c r="L243" s="18" t="s">
        <v>174</v>
      </c>
      <c r="M243" s="18">
        <v>623.72</v>
      </c>
      <c r="P243" s="18" t="s">
        <v>119</v>
      </c>
      <c r="Q243" s="18">
        <v>2039</v>
      </c>
      <c r="R243" s="18" t="s">
        <v>175</v>
      </c>
      <c r="S243" s="18">
        <f t="shared" si="29"/>
        <v>0</v>
      </c>
      <c r="U243">
        <v>31.186</v>
      </c>
      <c r="Z243" s="42" t="s">
        <v>117</v>
      </c>
      <c r="AA243" s="42">
        <v>2022</v>
      </c>
      <c r="AB243" s="42" t="s">
        <v>146</v>
      </c>
      <c r="AC243" s="42">
        <v>0.74</v>
      </c>
    </row>
    <row r="244" spans="3:29">
      <c r="C244" t="s">
        <v>114</v>
      </c>
      <c r="D244">
        <v>2020</v>
      </c>
      <c r="E244" t="s">
        <v>145</v>
      </c>
      <c r="F244">
        <v>0.04</v>
      </c>
      <c r="J244" s="18" t="s">
        <v>119</v>
      </c>
      <c r="K244" s="18">
        <v>2040</v>
      </c>
      <c r="L244" s="18" t="s">
        <v>174</v>
      </c>
      <c r="M244" s="18">
        <v>637.46</v>
      </c>
      <c r="P244" s="18" t="s">
        <v>119</v>
      </c>
      <c r="Q244" s="18">
        <v>2040</v>
      </c>
      <c r="R244" s="18" t="s">
        <v>175</v>
      </c>
      <c r="S244" s="18">
        <f t="shared" si="29"/>
        <v>31.873000000000001</v>
      </c>
      <c r="U244">
        <v>31.873000000000001</v>
      </c>
      <c r="Z244" s="42" t="s">
        <v>117</v>
      </c>
      <c r="AA244" s="42">
        <v>2022</v>
      </c>
      <c r="AB244" s="42" t="s">
        <v>145</v>
      </c>
      <c r="AC244" s="42">
        <v>14.41</v>
      </c>
    </row>
    <row r="245" spans="3:29">
      <c r="C245" t="s">
        <v>114</v>
      </c>
      <c r="D245">
        <v>2020</v>
      </c>
      <c r="E245" t="s">
        <v>141</v>
      </c>
      <c r="F245">
        <v>211.25</v>
      </c>
      <c r="J245" s="18" t="s">
        <v>119</v>
      </c>
      <c r="K245" s="18">
        <v>2041</v>
      </c>
      <c r="L245" s="18" t="s">
        <v>174</v>
      </c>
      <c r="M245" s="18">
        <v>649.87</v>
      </c>
      <c r="P245" s="18" t="s">
        <v>119</v>
      </c>
      <c r="Q245" s="18">
        <v>2041</v>
      </c>
      <c r="R245" s="18" t="s">
        <v>175</v>
      </c>
      <c r="S245" s="18">
        <f t="shared" si="29"/>
        <v>32.493499999999997</v>
      </c>
      <c r="U245">
        <v>32.493499999999997</v>
      </c>
      <c r="Z245" s="42" t="s">
        <v>117</v>
      </c>
      <c r="AA245" s="42">
        <v>2023</v>
      </c>
      <c r="AB245" s="42" t="s">
        <v>146</v>
      </c>
      <c r="AC245" s="42">
        <v>0.75</v>
      </c>
    </row>
    <row r="246" spans="3:29">
      <c r="C246" t="s">
        <v>114</v>
      </c>
      <c r="D246">
        <v>2020</v>
      </c>
      <c r="E246" t="s">
        <v>142</v>
      </c>
      <c r="F246">
        <v>655.14</v>
      </c>
      <c r="J246" s="18" t="s">
        <v>119</v>
      </c>
      <c r="K246" s="18">
        <v>2042</v>
      </c>
      <c r="L246" s="18" t="s">
        <v>174</v>
      </c>
      <c r="M246" s="18">
        <v>662.5</v>
      </c>
      <c r="P246" s="18" t="s">
        <v>119</v>
      </c>
      <c r="Q246" s="18">
        <v>2042</v>
      </c>
      <c r="R246" s="18" t="s">
        <v>175</v>
      </c>
      <c r="S246" s="18">
        <f t="shared" si="29"/>
        <v>33.125</v>
      </c>
      <c r="U246">
        <v>33.125</v>
      </c>
      <c r="Z246" s="42" t="s">
        <v>117</v>
      </c>
      <c r="AA246" s="42">
        <v>2023</v>
      </c>
      <c r="AB246" s="42" t="s">
        <v>145</v>
      </c>
      <c r="AC246" s="42">
        <v>14.99</v>
      </c>
    </row>
    <row r="247" spans="3:29">
      <c r="C247" t="s">
        <v>114</v>
      </c>
      <c r="D247">
        <v>2020</v>
      </c>
      <c r="E247" t="s">
        <v>143</v>
      </c>
      <c r="F247">
        <v>376.94</v>
      </c>
      <c r="J247" s="18" t="s">
        <v>119</v>
      </c>
      <c r="K247" s="18">
        <v>2043</v>
      </c>
      <c r="L247" s="18" t="s">
        <v>174</v>
      </c>
      <c r="M247" s="18">
        <v>675.19</v>
      </c>
      <c r="P247" s="18" t="s">
        <v>119</v>
      </c>
      <c r="Q247" s="18">
        <v>2043</v>
      </c>
      <c r="R247" s="18" t="s">
        <v>175</v>
      </c>
      <c r="S247" s="18">
        <f t="shared" si="29"/>
        <v>33.759500000000003</v>
      </c>
      <c r="U247">
        <v>33.759500000000003</v>
      </c>
      <c r="Z247" s="42" t="s">
        <v>117</v>
      </c>
      <c r="AA247" s="42">
        <v>2024</v>
      </c>
      <c r="AB247" s="42" t="s">
        <v>146</v>
      </c>
      <c r="AC247" s="42">
        <v>0.76</v>
      </c>
    </row>
    <row r="248" spans="3:29">
      <c r="C248" t="s">
        <v>114</v>
      </c>
      <c r="D248">
        <v>2020</v>
      </c>
      <c r="E248" t="s">
        <v>144</v>
      </c>
      <c r="F248">
        <v>21.62</v>
      </c>
      <c r="J248" s="18" t="s">
        <v>119</v>
      </c>
      <c r="K248" s="18">
        <v>2044</v>
      </c>
      <c r="L248" s="18" t="s">
        <v>174</v>
      </c>
      <c r="M248" s="18">
        <v>687.95</v>
      </c>
      <c r="P248" s="18" t="s">
        <v>119</v>
      </c>
      <c r="Q248" s="18">
        <v>2044</v>
      </c>
      <c r="R248" s="18" t="s">
        <v>175</v>
      </c>
      <c r="S248" s="18">
        <f t="shared" si="29"/>
        <v>34.397500000000001</v>
      </c>
      <c r="U248">
        <v>34.397500000000001</v>
      </c>
      <c r="Z248" s="42" t="s">
        <v>117</v>
      </c>
      <c r="AA248" s="42">
        <v>2024</v>
      </c>
      <c r="AB248" s="42" t="s">
        <v>145</v>
      </c>
      <c r="AC248" s="42">
        <v>15.26</v>
      </c>
    </row>
    <row r="249" spans="3:29">
      <c r="C249" t="s">
        <v>114</v>
      </c>
      <c r="D249">
        <v>2021</v>
      </c>
      <c r="E249" t="s">
        <v>145</v>
      </c>
      <c r="F249">
        <v>0.12</v>
      </c>
      <c r="J249" s="18" t="s">
        <v>119</v>
      </c>
      <c r="K249" s="18">
        <v>2045</v>
      </c>
      <c r="L249" s="18" t="s">
        <v>174</v>
      </c>
      <c r="M249" s="18">
        <v>701.07</v>
      </c>
      <c r="P249" s="18" t="s">
        <v>119</v>
      </c>
      <c r="Q249" s="18">
        <v>2045</v>
      </c>
      <c r="R249" s="18" t="s">
        <v>175</v>
      </c>
      <c r="S249" s="18">
        <f t="shared" si="29"/>
        <v>35.0535</v>
      </c>
      <c r="U249">
        <v>35.0535</v>
      </c>
      <c r="Z249" s="42" t="s">
        <v>117</v>
      </c>
      <c r="AA249" s="42">
        <v>2025</v>
      </c>
      <c r="AB249" s="42" t="s">
        <v>146</v>
      </c>
      <c r="AC249" s="42">
        <v>0.76</v>
      </c>
    </row>
    <row r="250" spans="3:29">
      <c r="C250" t="s">
        <v>114</v>
      </c>
      <c r="D250">
        <v>2021</v>
      </c>
      <c r="E250" t="s">
        <v>141</v>
      </c>
      <c r="F250">
        <v>216.38</v>
      </c>
      <c r="J250" s="18" t="s">
        <v>119</v>
      </c>
      <c r="K250" s="18">
        <v>2046</v>
      </c>
      <c r="L250" s="18" t="s">
        <v>174</v>
      </c>
      <c r="M250" s="18">
        <v>714.22</v>
      </c>
      <c r="P250" s="18" t="s">
        <v>119</v>
      </c>
      <c r="Q250" s="18">
        <v>2046</v>
      </c>
      <c r="R250" s="18" t="s">
        <v>175</v>
      </c>
      <c r="S250" s="18">
        <f t="shared" si="29"/>
        <v>35.710999999999999</v>
      </c>
      <c r="U250">
        <v>35.710999999999999</v>
      </c>
      <c r="Z250" s="42" t="s">
        <v>117</v>
      </c>
      <c r="AA250" s="42">
        <v>2025</v>
      </c>
      <c r="AB250" s="42" t="s">
        <v>145</v>
      </c>
      <c r="AC250" s="42">
        <v>15.34</v>
      </c>
    </row>
    <row r="251" spans="3:29">
      <c r="C251" t="s">
        <v>114</v>
      </c>
      <c r="D251">
        <v>2021</v>
      </c>
      <c r="E251" t="s">
        <v>142</v>
      </c>
      <c r="F251">
        <v>686.91</v>
      </c>
      <c r="J251" s="18" t="s">
        <v>119</v>
      </c>
      <c r="K251" s="18">
        <v>2047</v>
      </c>
      <c r="L251" s="18" t="s">
        <v>174</v>
      </c>
      <c r="M251" s="18">
        <v>727.41</v>
      </c>
      <c r="P251" s="18" t="s">
        <v>119</v>
      </c>
      <c r="Q251" s="18">
        <v>2047</v>
      </c>
      <c r="R251" s="18" t="s">
        <v>175</v>
      </c>
      <c r="S251" s="18">
        <f t="shared" si="29"/>
        <v>36.3705</v>
      </c>
      <c r="U251">
        <v>36.3705</v>
      </c>
      <c r="Z251" s="42" t="s">
        <v>117</v>
      </c>
      <c r="AA251" s="42">
        <v>2026</v>
      </c>
      <c r="AB251" s="42" t="s">
        <v>146</v>
      </c>
      <c r="AC251" s="42">
        <v>0.76</v>
      </c>
    </row>
    <row r="252" spans="3:29">
      <c r="C252" t="s">
        <v>114</v>
      </c>
      <c r="D252">
        <v>2021</v>
      </c>
      <c r="E252" t="s">
        <v>143</v>
      </c>
      <c r="F252">
        <v>379.18</v>
      </c>
      <c r="J252" s="18" t="s">
        <v>119</v>
      </c>
      <c r="K252" s="18">
        <v>2048</v>
      </c>
      <c r="L252" s="18" t="s">
        <v>174</v>
      </c>
      <c r="M252" s="18">
        <v>740.68</v>
      </c>
      <c r="P252" s="18" t="s">
        <v>119</v>
      </c>
      <c r="Q252" s="18">
        <v>2048</v>
      </c>
      <c r="R252" s="18" t="s">
        <v>175</v>
      </c>
      <c r="S252" s="18">
        <f t="shared" si="29"/>
        <v>37.033999999999999</v>
      </c>
      <c r="U252">
        <v>37.033999999999999</v>
      </c>
      <c r="Z252" s="42" t="s">
        <v>117</v>
      </c>
      <c r="AA252" s="42">
        <v>2026</v>
      </c>
      <c r="AB252" s="42" t="s">
        <v>145</v>
      </c>
      <c r="AC252" s="42">
        <v>15.46</v>
      </c>
    </row>
    <row r="253" spans="3:29">
      <c r="C253" t="s">
        <v>114</v>
      </c>
      <c r="D253">
        <v>2021</v>
      </c>
      <c r="E253" t="s">
        <v>144</v>
      </c>
      <c r="F253">
        <v>21.72</v>
      </c>
      <c r="J253" s="18" t="s">
        <v>119</v>
      </c>
      <c r="K253" s="18">
        <v>2049</v>
      </c>
      <c r="L253" s="18" t="s">
        <v>174</v>
      </c>
      <c r="M253" s="18">
        <v>754.2</v>
      </c>
      <c r="P253" s="18" t="s">
        <v>119</v>
      </c>
      <c r="Q253" s="18">
        <v>2049</v>
      </c>
      <c r="R253" s="18" t="s">
        <v>175</v>
      </c>
      <c r="S253" s="18">
        <f t="shared" si="29"/>
        <v>37.71</v>
      </c>
      <c r="U253">
        <v>37.71</v>
      </c>
      <c r="Z253" s="42" t="s">
        <v>117</v>
      </c>
      <c r="AA253" s="42">
        <v>2027</v>
      </c>
      <c r="AB253" s="42" t="s">
        <v>146</v>
      </c>
      <c r="AC253" s="42">
        <v>0.77</v>
      </c>
    </row>
    <row r="254" spans="3:29">
      <c r="C254" t="s">
        <v>114</v>
      </c>
      <c r="D254">
        <v>2022</v>
      </c>
      <c r="E254" t="s">
        <v>145</v>
      </c>
      <c r="F254">
        <v>0.13</v>
      </c>
      <c r="J254" s="18" t="s">
        <v>119</v>
      </c>
      <c r="K254" s="18">
        <v>2050</v>
      </c>
      <c r="L254" s="18" t="s">
        <v>174</v>
      </c>
      <c r="M254" s="18">
        <v>768.22</v>
      </c>
      <c r="P254" s="18" t="s">
        <v>119</v>
      </c>
      <c r="Q254" s="18">
        <v>2050</v>
      </c>
      <c r="R254" s="18" t="s">
        <v>175</v>
      </c>
      <c r="S254" s="18">
        <f t="shared" si="29"/>
        <v>38.411000000000001</v>
      </c>
      <c r="U254">
        <v>38.411000000000001</v>
      </c>
      <c r="Z254" s="42" t="s">
        <v>117</v>
      </c>
      <c r="AA254" s="42">
        <v>2027</v>
      </c>
      <c r="AB254" s="42" t="s">
        <v>145</v>
      </c>
      <c r="AC254" s="42">
        <v>15.62</v>
      </c>
    </row>
    <row r="255" spans="3:29">
      <c r="C255" t="s">
        <v>114</v>
      </c>
      <c r="D255">
        <v>2022</v>
      </c>
      <c r="E255" t="s">
        <v>141</v>
      </c>
      <c r="F255">
        <v>221.87</v>
      </c>
      <c r="J255" s="18" t="s">
        <v>120</v>
      </c>
      <c r="K255" s="18">
        <v>2010</v>
      </c>
      <c r="L255" s="18" t="s">
        <v>174</v>
      </c>
      <c r="M255" s="18">
        <v>3283.09</v>
      </c>
      <c r="P255" s="18" t="s">
        <v>120</v>
      </c>
      <c r="Q255" s="18">
        <v>2010</v>
      </c>
      <c r="R255" s="18" t="s">
        <v>175</v>
      </c>
      <c r="S255" s="18">
        <f t="shared" si="29"/>
        <v>0</v>
      </c>
      <c r="U255">
        <v>164.15450000000001</v>
      </c>
      <c r="Z255" s="42" t="s">
        <v>117</v>
      </c>
      <c r="AA255" s="42">
        <v>2028</v>
      </c>
      <c r="AB255" s="42" t="s">
        <v>146</v>
      </c>
      <c r="AC255" s="42">
        <v>0.77</v>
      </c>
    </row>
    <row r="256" spans="3:29">
      <c r="C256" t="s">
        <v>114</v>
      </c>
      <c r="D256">
        <v>2022</v>
      </c>
      <c r="E256" t="s">
        <v>142</v>
      </c>
      <c r="F256">
        <v>702.91</v>
      </c>
      <c r="J256" s="18" t="s">
        <v>120</v>
      </c>
      <c r="K256" s="18">
        <v>2011</v>
      </c>
      <c r="L256" s="18" t="s">
        <v>174</v>
      </c>
      <c r="M256" s="18">
        <v>3227.72</v>
      </c>
      <c r="P256" s="18" t="s">
        <v>120</v>
      </c>
      <c r="Q256" s="18">
        <v>2011</v>
      </c>
      <c r="R256" s="18" t="s">
        <v>175</v>
      </c>
      <c r="S256" s="18">
        <f t="shared" si="29"/>
        <v>0</v>
      </c>
      <c r="U256">
        <v>161.386</v>
      </c>
      <c r="Z256" s="42" t="s">
        <v>117</v>
      </c>
      <c r="AA256" s="42">
        <v>2028</v>
      </c>
      <c r="AB256" s="42" t="s">
        <v>145</v>
      </c>
      <c r="AC256" s="42">
        <v>15.81</v>
      </c>
    </row>
    <row r="257" spans="3:29">
      <c r="C257" t="s">
        <v>114</v>
      </c>
      <c r="D257">
        <v>2022</v>
      </c>
      <c r="E257" t="s">
        <v>143</v>
      </c>
      <c r="F257">
        <v>392.73</v>
      </c>
      <c r="J257" s="18" t="s">
        <v>120</v>
      </c>
      <c r="K257" s="18">
        <v>2012</v>
      </c>
      <c r="L257" s="18" t="s">
        <v>174</v>
      </c>
      <c r="M257" s="18">
        <v>3275.6</v>
      </c>
      <c r="P257" s="18" t="s">
        <v>120</v>
      </c>
      <c r="Q257" s="18">
        <v>2012</v>
      </c>
      <c r="R257" s="18" t="s">
        <v>175</v>
      </c>
      <c r="S257" s="18">
        <f t="shared" si="29"/>
        <v>0</v>
      </c>
      <c r="U257">
        <v>163.78</v>
      </c>
      <c r="Z257" s="42" t="s">
        <v>117</v>
      </c>
      <c r="AA257" s="42">
        <v>2029</v>
      </c>
      <c r="AB257" s="42" t="s">
        <v>146</v>
      </c>
      <c r="AC257" s="42">
        <v>0.77</v>
      </c>
    </row>
    <row r="258" spans="3:29">
      <c r="C258" t="s">
        <v>114</v>
      </c>
      <c r="D258">
        <v>2022</v>
      </c>
      <c r="E258" t="s">
        <v>144</v>
      </c>
      <c r="F258">
        <v>22.02</v>
      </c>
      <c r="J258" s="18" t="s">
        <v>120</v>
      </c>
      <c r="K258" s="18">
        <v>2013</v>
      </c>
      <c r="L258" s="18" t="s">
        <v>174</v>
      </c>
      <c r="M258" s="18">
        <v>3268.51</v>
      </c>
      <c r="P258" s="18" t="s">
        <v>120</v>
      </c>
      <c r="Q258" s="18">
        <v>2013</v>
      </c>
      <c r="R258" s="18" t="s">
        <v>175</v>
      </c>
      <c r="S258" s="18">
        <f t="shared" si="29"/>
        <v>0</v>
      </c>
      <c r="U258">
        <v>163.4255</v>
      </c>
      <c r="Z258" s="42" t="s">
        <v>117</v>
      </c>
      <c r="AA258" s="42">
        <v>2029</v>
      </c>
      <c r="AB258" s="42" t="s">
        <v>145</v>
      </c>
      <c r="AC258" s="42">
        <v>16.010000000000002</v>
      </c>
    </row>
    <row r="259" spans="3:29">
      <c r="C259" t="s">
        <v>114</v>
      </c>
      <c r="D259">
        <v>2023</v>
      </c>
      <c r="E259" t="s">
        <v>145</v>
      </c>
      <c r="F259">
        <v>0.16</v>
      </c>
      <c r="J259" s="18" t="s">
        <v>120</v>
      </c>
      <c r="K259" s="18">
        <v>2014</v>
      </c>
      <c r="L259" s="18" t="s">
        <v>174</v>
      </c>
      <c r="M259" s="18">
        <v>3203.43</v>
      </c>
      <c r="P259" s="18" t="s">
        <v>120</v>
      </c>
      <c r="Q259" s="18">
        <v>2014</v>
      </c>
      <c r="R259" s="18" t="s">
        <v>175</v>
      </c>
      <c r="S259" s="18">
        <f t="shared" si="29"/>
        <v>0</v>
      </c>
      <c r="U259">
        <v>160.17149999999998</v>
      </c>
      <c r="Z259" s="42" t="s">
        <v>117</v>
      </c>
      <c r="AA259" s="42">
        <v>2030</v>
      </c>
      <c r="AB259" s="42" t="s">
        <v>146</v>
      </c>
      <c r="AC259" s="42">
        <v>0.78</v>
      </c>
    </row>
    <row r="260" spans="3:29">
      <c r="C260" t="s">
        <v>114</v>
      </c>
      <c r="D260">
        <v>2023</v>
      </c>
      <c r="E260" t="s">
        <v>141</v>
      </c>
      <c r="F260">
        <v>227.98</v>
      </c>
      <c r="J260" s="18" t="s">
        <v>120</v>
      </c>
      <c r="K260" s="18">
        <v>2015</v>
      </c>
      <c r="L260" s="18" t="s">
        <v>174</v>
      </c>
      <c r="M260" s="18">
        <v>3316.8</v>
      </c>
      <c r="P260" s="18" t="s">
        <v>120</v>
      </c>
      <c r="Q260" s="18">
        <v>2015</v>
      </c>
      <c r="R260" s="18" t="s">
        <v>175</v>
      </c>
      <c r="S260" s="18">
        <f t="shared" si="29"/>
        <v>0</v>
      </c>
      <c r="U260">
        <v>165.84</v>
      </c>
      <c r="Z260" s="42" t="s">
        <v>117</v>
      </c>
      <c r="AA260" s="42">
        <v>2030</v>
      </c>
      <c r="AB260" s="42" t="s">
        <v>145</v>
      </c>
      <c r="AC260" s="42">
        <v>16.27</v>
      </c>
    </row>
    <row r="261" spans="3:29">
      <c r="C261" t="s">
        <v>114</v>
      </c>
      <c r="D261">
        <v>2023</v>
      </c>
      <c r="E261" t="s">
        <v>142</v>
      </c>
      <c r="F261">
        <v>721.86</v>
      </c>
      <c r="J261" s="18" t="s">
        <v>120</v>
      </c>
      <c r="K261" s="18">
        <v>2016</v>
      </c>
      <c r="L261" s="18" t="s">
        <v>174</v>
      </c>
      <c r="M261" s="18">
        <v>3374.46</v>
      </c>
      <c r="P261" s="18" t="s">
        <v>120</v>
      </c>
      <c r="Q261" s="18">
        <v>2016</v>
      </c>
      <c r="R261" s="18" t="s">
        <v>175</v>
      </c>
      <c r="S261" s="18">
        <f t="shared" si="29"/>
        <v>0</v>
      </c>
      <c r="U261">
        <v>168.72300000000001</v>
      </c>
      <c r="Z261" s="42" t="s">
        <v>117</v>
      </c>
      <c r="AA261" s="42">
        <v>2031</v>
      </c>
      <c r="AB261" s="42" t="s">
        <v>146</v>
      </c>
      <c r="AC261" s="42">
        <v>0.78</v>
      </c>
    </row>
    <row r="262" spans="3:29">
      <c r="C262" t="s">
        <v>114</v>
      </c>
      <c r="D262">
        <v>2023</v>
      </c>
      <c r="E262" t="s">
        <v>143</v>
      </c>
      <c r="F262">
        <v>412.69</v>
      </c>
      <c r="J262" s="18" t="s">
        <v>120</v>
      </c>
      <c r="K262" s="18">
        <v>2017</v>
      </c>
      <c r="L262" s="18" t="s">
        <v>174</v>
      </c>
      <c r="M262" s="18">
        <v>3508.14</v>
      </c>
      <c r="P262" s="18" t="s">
        <v>120</v>
      </c>
      <c r="Q262" s="18">
        <v>2017</v>
      </c>
      <c r="R262" s="18" t="s">
        <v>175</v>
      </c>
      <c r="S262" s="18">
        <f t="shared" si="29"/>
        <v>0</v>
      </c>
      <c r="U262">
        <v>175.40699999999998</v>
      </c>
      <c r="Z262" s="42" t="s">
        <v>117</v>
      </c>
      <c r="AA262" s="42">
        <v>2031</v>
      </c>
      <c r="AB262" s="42" t="s">
        <v>145</v>
      </c>
      <c r="AC262" s="42">
        <v>16.57</v>
      </c>
    </row>
    <row r="263" spans="3:29">
      <c r="C263" t="s">
        <v>114</v>
      </c>
      <c r="D263">
        <v>2023</v>
      </c>
      <c r="E263" t="s">
        <v>144</v>
      </c>
      <c r="F263">
        <v>22.43</v>
      </c>
      <c r="J263" s="18" t="s">
        <v>120</v>
      </c>
      <c r="K263" s="18">
        <v>2018</v>
      </c>
      <c r="L263" s="18" t="s">
        <v>174</v>
      </c>
      <c r="M263" s="18">
        <v>3615.4</v>
      </c>
      <c r="P263" s="18" t="s">
        <v>120</v>
      </c>
      <c r="Q263" s="18">
        <v>2018</v>
      </c>
      <c r="R263" s="18" t="s">
        <v>175</v>
      </c>
      <c r="S263" s="18">
        <f t="shared" si="29"/>
        <v>0</v>
      </c>
      <c r="U263">
        <v>180.77</v>
      </c>
      <c r="Z263" s="42" t="s">
        <v>117</v>
      </c>
      <c r="AA263" s="42">
        <v>2032</v>
      </c>
      <c r="AB263" s="42" t="s">
        <v>146</v>
      </c>
      <c r="AC263" s="42">
        <v>0.79</v>
      </c>
    </row>
    <row r="264" spans="3:29">
      <c r="C264" t="s">
        <v>114</v>
      </c>
      <c r="D264">
        <v>2024</v>
      </c>
      <c r="E264" t="s">
        <v>145</v>
      </c>
      <c r="F264">
        <v>0.18</v>
      </c>
      <c r="J264" s="18" t="s">
        <v>120</v>
      </c>
      <c r="K264" s="18">
        <v>2019</v>
      </c>
      <c r="L264" s="18" t="s">
        <v>174</v>
      </c>
      <c r="M264" s="18">
        <v>3676.77</v>
      </c>
      <c r="P264" s="18" t="s">
        <v>120</v>
      </c>
      <c r="Q264" s="18">
        <v>2019</v>
      </c>
      <c r="R264" s="18" t="s">
        <v>175</v>
      </c>
      <c r="S264" s="18">
        <f t="shared" si="29"/>
        <v>0</v>
      </c>
      <c r="U264">
        <v>183.83850000000001</v>
      </c>
      <c r="Z264" s="42" t="s">
        <v>117</v>
      </c>
      <c r="AA264" s="42">
        <v>2032</v>
      </c>
      <c r="AB264" s="42" t="s">
        <v>145</v>
      </c>
      <c r="AC264" s="42">
        <v>16.88</v>
      </c>
    </row>
    <row r="265" spans="3:29">
      <c r="C265" t="s">
        <v>114</v>
      </c>
      <c r="D265">
        <v>2024</v>
      </c>
      <c r="E265" t="s">
        <v>141</v>
      </c>
      <c r="F265">
        <v>234.96</v>
      </c>
      <c r="J265" s="18" t="s">
        <v>120</v>
      </c>
      <c r="K265" s="18">
        <v>2020</v>
      </c>
      <c r="L265" s="18" t="s">
        <v>174</v>
      </c>
      <c r="M265" s="18">
        <v>3742.04</v>
      </c>
      <c r="P265" s="18" t="s">
        <v>120</v>
      </c>
      <c r="Q265" s="18">
        <v>2020</v>
      </c>
      <c r="R265" s="18" t="s">
        <v>175</v>
      </c>
      <c r="S265" s="18">
        <f t="shared" si="29"/>
        <v>0</v>
      </c>
      <c r="U265">
        <v>187.102</v>
      </c>
      <c r="Z265" s="42" t="s">
        <v>117</v>
      </c>
      <c r="AA265" s="42">
        <v>2033</v>
      </c>
      <c r="AB265" s="42" t="s">
        <v>146</v>
      </c>
      <c r="AC265" s="42">
        <v>0.8</v>
      </c>
    </row>
    <row r="266" spans="3:29">
      <c r="C266" t="s">
        <v>114</v>
      </c>
      <c r="D266">
        <v>2024</v>
      </c>
      <c r="E266" t="s">
        <v>142</v>
      </c>
      <c r="F266">
        <v>730.29</v>
      </c>
      <c r="J266" s="18" t="s">
        <v>120</v>
      </c>
      <c r="K266" s="18">
        <v>2021</v>
      </c>
      <c r="L266" s="18" t="s">
        <v>174</v>
      </c>
      <c r="M266" s="18">
        <v>3786.87</v>
      </c>
      <c r="P266" s="18" t="s">
        <v>120</v>
      </c>
      <c r="Q266" s="18">
        <v>2021</v>
      </c>
      <c r="R266" s="18" t="s">
        <v>175</v>
      </c>
      <c r="S266" s="18">
        <f t="shared" ref="S266:S329" si="30">IF(Q266&lt;2040, 0,U266)</f>
        <v>0</v>
      </c>
      <c r="U266">
        <v>189.34350000000001</v>
      </c>
      <c r="Z266" s="42" t="s">
        <v>117</v>
      </c>
      <c r="AA266" s="42">
        <v>2033</v>
      </c>
      <c r="AB266" s="42" t="s">
        <v>145</v>
      </c>
      <c r="AC266" s="42">
        <v>17.2</v>
      </c>
    </row>
    <row r="267" spans="3:29">
      <c r="C267" t="s">
        <v>114</v>
      </c>
      <c r="D267">
        <v>2024</v>
      </c>
      <c r="E267" t="s">
        <v>143</v>
      </c>
      <c r="F267">
        <v>434.54</v>
      </c>
      <c r="J267" s="18" t="s">
        <v>120</v>
      </c>
      <c r="K267" s="18">
        <v>2022</v>
      </c>
      <c r="L267" s="18" t="s">
        <v>174</v>
      </c>
      <c r="M267" s="18">
        <v>3827.39</v>
      </c>
      <c r="P267" s="18" t="s">
        <v>120</v>
      </c>
      <c r="Q267" s="18">
        <v>2022</v>
      </c>
      <c r="R267" s="18" t="s">
        <v>175</v>
      </c>
      <c r="S267" s="18">
        <f t="shared" si="30"/>
        <v>0</v>
      </c>
      <c r="U267">
        <v>191.36949999999999</v>
      </c>
      <c r="Z267" s="42" t="s">
        <v>117</v>
      </c>
      <c r="AA267" s="42">
        <v>2034</v>
      </c>
      <c r="AB267" s="42" t="s">
        <v>146</v>
      </c>
      <c r="AC267" s="42">
        <v>0.8</v>
      </c>
    </row>
    <row r="268" spans="3:29">
      <c r="C268" t="s">
        <v>114</v>
      </c>
      <c r="D268">
        <v>2024</v>
      </c>
      <c r="E268" t="s">
        <v>144</v>
      </c>
      <c r="F268">
        <v>22.74</v>
      </c>
      <c r="J268" s="18" t="s">
        <v>120</v>
      </c>
      <c r="K268" s="18">
        <v>2023</v>
      </c>
      <c r="L268" s="18" t="s">
        <v>174</v>
      </c>
      <c r="M268" s="18">
        <v>3860.58</v>
      </c>
      <c r="P268" s="18" t="s">
        <v>120</v>
      </c>
      <c r="Q268" s="18">
        <v>2023</v>
      </c>
      <c r="R268" s="18" t="s">
        <v>175</v>
      </c>
      <c r="S268" s="18">
        <f t="shared" si="30"/>
        <v>0</v>
      </c>
      <c r="U268">
        <v>193.029</v>
      </c>
      <c r="Z268" s="42" t="s">
        <v>117</v>
      </c>
      <c r="AA268" s="42">
        <v>2034</v>
      </c>
      <c r="AB268" s="42" t="s">
        <v>145</v>
      </c>
      <c r="AC268" s="42">
        <v>17.54</v>
      </c>
    </row>
    <row r="269" spans="3:29">
      <c r="C269" t="s">
        <v>114</v>
      </c>
      <c r="D269">
        <v>2025</v>
      </c>
      <c r="E269" t="s">
        <v>145</v>
      </c>
      <c r="F269">
        <v>0.21</v>
      </c>
      <c r="J269" s="18" t="s">
        <v>120</v>
      </c>
      <c r="K269" s="18">
        <v>2024</v>
      </c>
      <c r="L269" s="18" t="s">
        <v>174</v>
      </c>
      <c r="M269" s="18">
        <v>3893</v>
      </c>
      <c r="P269" s="18" t="s">
        <v>120</v>
      </c>
      <c r="Q269" s="18">
        <v>2024</v>
      </c>
      <c r="R269" s="18" t="s">
        <v>175</v>
      </c>
      <c r="S269" s="18">
        <f t="shared" si="30"/>
        <v>0</v>
      </c>
      <c r="U269">
        <v>194.65</v>
      </c>
      <c r="Z269" s="42" t="s">
        <v>117</v>
      </c>
      <c r="AA269" s="42">
        <v>2035</v>
      </c>
      <c r="AB269" s="42" t="s">
        <v>146</v>
      </c>
      <c r="AC269" s="42">
        <v>0.81</v>
      </c>
    </row>
    <row r="270" spans="3:29">
      <c r="C270" t="s">
        <v>114</v>
      </c>
      <c r="D270">
        <v>2025</v>
      </c>
      <c r="E270" t="s">
        <v>141</v>
      </c>
      <c r="F270">
        <v>242.25</v>
      </c>
      <c r="J270" s="18" t="s">
        <v>120</v>
      </c>
      <c r="K270" s="18">
        <v>2025</v>
      </c>
      <c r="L270" s="18" t="s">
        <v>174</v>
      </c>
      <c r="M270" s="18">
        <v>3928.26</v>
      </c>
      <c r="P270" s="18" t="s">
        <v>120</v>
      </c>
      <c r="Q270" s="18">
        <v>2025</v>
      </c>
      <c r="R270" s="18" t="s">
        <v>175</v>
      </c>
      <c r="S270" s="18">
        <f t="shared" si="30"/>
        <v>0</v>
      </c>
      <c r="U270">
        <v>196.41300000000001</v>
      </c>
      <c r="Z270" s="42" t="s">
        <v>117</v>
      </c>
      <c r="AA270" s="42">
        <v>2035</v>
      </c>
      <c r="AB270" s="42" t="s">
        <v>145</v>
      </c>
      <c r="AC270" s="42">
        <v>17.89</v>
      </c>
    </row>
    <row r="271" spans="3:29">
      <c r="C271" t="s">
        <v>114</v>
      </c>
      <c r="D271">
        <v>2025</v>
      </c>
      <c r="E271" t="s">
        <v>142</v>
      </c>
      <c r="F271">
        <v>753.48</v>
      </c>
      <c r="J271" s="18" t="s">
        <v>120</v>
      </c>
      <c r="K271" s="18">
        <v>2026</v>
      </c>
      <c r="L271" s="18" t="s">
        <v>174</v>
      </c>
      <c r="M271" s="18">
        <v>3984.75</v>
      </c>
      <c r="P271" s="18" t="s">
        <v>120</v>
      </c>
      <c r="Q271" s="18">
        <v>2026</v>
      </c>
      <c r="R271" s="18" t="s">
        <v>175</v>
      </c>
      <c r="S271" s="18">
        <f t="shared" si="30"/>
        <v>0</v>
      </c>
      <c r="U271">
        <v>199.23750000000001</v>
      </c>
      <c r="Z271" s="42" t="s">
        <v>117</v>
      </c>
      <c r="AA271" s="42">
        <v>2036</v>
      </c>
      <c r="AB271" s="42" t="s">
        <v>146</v>
      </c>
      <c r="AC271" s="42">
        <v>0.81</v>
      </c>
    </row>
    <row r="272" spans="3:29">
      <c r="C272" t="s">
        <v>114</v>
      </c>
      <c r="D272">
        <v>2025</v>
      </c>
      <c r="E272" t="s">
        <v>143</v>
      </c>
      <c r="F272">
        <v>455.61</v>
      </c>
      <c r="J272" s="18" t="s">
        <v>120</v>
      </c>
      <c r="K272" s="18">
        <v>2027</v>
      </c>
      <c r="L272" s="18" t="s">
        <v>174</v>
      </c>
      <c r="M272" s="18">
        <v>4043.74</v>
      </c>
      <c r="P272" s="18" t="s">
        <v>120</v>
      </c>
      <c r="Q272" s="18">
        <v>2027</v>
      </c>
      <c r="R272" s="18" t="s">
        <v>175</v>
      </c>
      <c r="S272" s="18">
        <f t="shared" si="30"/>
        <v>0</v>
      </c>
      <c r="U272">
        <v>202.18699999999998</v>
      </c>
      <c r="Z272" s="42" t="s">
        <v>117</v>
      </c>
      <c r="AA272" s="42">
        <v>2036</v>
      </c>
      <c r="AB272" s="42" t="s">
        <v>145</v>
      </c>
      <c r="AC272" s="42">
        <v>18.23</v>
      </c>
    </row>
    <row r="273" spans="3:29">
      <c r="C273" t="s">
        <v>114</v>
      </c>
      <c r="D273">
        <v>2025</v>
      </c>
      <c r="E273" t="s">
        <v>144</v>
      </c>
      <c r="F273">
        <v>23.03</v>
      </c>
      <c r="J273" s="18" t="s">
        <v>120</v>
      </c>
      <c r="K273" s="18">
        <v>2028</v>
      </c>
      <c r="L273" s="18" t="s">
        <v>174</v>
      </c>
      <c r="M273" s="18">
        <v>4103.99</v>
      </c>
      <c r="P273" s="18" t="s">
        <v>120</v>
      </c>
      <c r="Q273" s="18">
        <v>2028</v>
      </c>
      <c r="R273" s="18" t="s">
        <v>175</v>
      </c>
      <c r="S273" s="18">
        <f t="shared" si="30"/>
        <v>0</v>
      </c>
      <c r="U273">
        <v>205.1995</v>
      </c>
      <c r="Z273" s="42" t="s">
        <v>117</v>
      </c>
      <c r="AA273" s="42">
        <v>2037</v>
      </c>
      <c r="AB273" s="42" t="s">
        <v>146</v>
      </c>
      <c r="AC273" s="42">
        <v>0.82</v>
      </c>
    </row>
    <row r="274" spans="3:29">
      <c r="C274" t="s">
        <v>114</v>
      </c>
      <c r="D274">
        <v>2026</v>
      </c>
      <c r="E274" t="s">
        <v>145</v>
      </c>
      <c r="F274">
        <v>0.25</v>
      </c>
      <c r="J274" s="18" t="s">
        <v>120</v>
      </c>
      <c r="K274" s="18">
        <v>2029</v>
      </c>
      <c r="L274" s="18" t="s">
        <v>174</v>
      </c>
      <c r="M274" s="18">
        <v>4162.59</v>
      </c>
      <c r="P274" s="18" t="s">
        <v>120</v>
      </c>
      <c r="Q274" s="18">
        <v>2029</v>
      </c>
      <c r="R274" s="18" t="s">
        <v>175</v>
      </c>
      <c r="S274" s="18">
        <f t="shared" si="30"/>
        <v>0</v>
      </c>
      <c r="U274">
        <v>208.12950000000001</v>
      </c>
      <c r="Z274" s="42" t="s">
        <v>117</v>
      </c>
      <c r="AA274" s="42">
        <v>2037</v>
      </c>
      <c r="AB274" s="42" t="s">
        <v>145</v>
      </c>
      <c r="AC274" s="42">
        <v>18.59</v>
      </c>
    </row>
    <row r="275" spans="3:29">
      <c r="C275" t="s">
        <v>114</v>
      </c>
      <c r="D275">
        <v>2026</v>
      </c>
      <c r="E275" t="s">
        <v>141</v>
      </c>
      <c r="F275">
        <v>248.46</v>
      </c>
      <c r="J275" s="18" t="s">
        <v>120</v>
      </c>
      <c r="K275" s="18">
        <v>2030</v>
      </c>
      <c r="L275" s="18" t="s">
        <v>174</v>
      </c>
      <c r="M275" s="18">
        <v>4217.66</v>
      </c>
      <c r="P275" s="18" t="s">
        <v>120</v>
      </c>
      <c r="Q275" s="18">
        <v>2030</v>
      </c>
      <c r="R275" s="18" t="s">
        <v>175</v>
      </c>
      <c r="S275" s="18">
        <f t="shared" si="30"/>
        <v>0</v>
      </c>
      <c r="U275">
        <v>210.88299999999998</v>
      </c>
      <c r="Z275" s="42" t="s">
        <v>117</v>
      </c>
      <c r="AA275" s="42">
        <v>2038</v>
      </c>
      <c r="AB275" s="42" t="s">
        <v>146</v>
      </c>
      <c r="AC275" s="42">
        <v>0.83</v>
      </c>
    </row>
    <row r="276" spans="3:29">
      <c r="C276" t="s">
        <v>114</v>
      </c>
      <c r="D276">
        <v>2026</v>
      </c>
      <c r="E276" t="s">
        <v>142</v>
      </c>
      <c r="F276">
        <v>767.07</v>
      </c>
      <c r="J276" s="18" t="s">
        <v>120</v>
      </c>
      <c r="K276" s="18">
        <v>2031</v>
      </c>
      <c r="L276" s="18" t="s">
        <v>174</v>
      </c>
      <c r="M276" s="18">
        <v>4268.16</v>
      </c>
      <c r="P276" s="18" t="s">
        <v>120</v>
      </c>
      <c r="Q276" s="18">
        <v>2031</v>
      </c>
      <c r="R276" s="18" t="s">
        <v>175</v>
      </c>
      <c r="S276" s="18">
        <f t="shared" si="30"/>
        <v>0</v>
      </c>
      <c r="U276">
        <v>213.40799999999999</v>
      </c>
      <c r="Z276" s="42" t="s">
        <v>117</v>
      </c>
      <c r="AA276" s="42">
        <v>2038</v>
      </c>
      <c r="AB276" s="42" t="s">
        <v>145</v>
      </c>
      <c r="AC276" s="42">
        <v>18.96</v>
      </c>
    </row>
    <row r="277" spans="3:29">
      <c r="C277" t="s">
        <v>114</v>
      </c>
      <c r="D277">
        <v>2026</v>
      </c>
      <c r="E277" t="s">
        <v>143</v>
      </c>
      <c r="F277">
        <v>475.45</v>
      </c>
      <c r="J277" s="18" t="s">
        <v>120</v>
      </c>
      <c r="K277" s="18">
        <v>2032</v>
      </c>
      <c r="L277" s="18" t="s">
        <v>174</v>
      </c>
      <c r="M277" s="18">
        <v>4316.3500000000004</v>
      </c>
      <c r="P277" s="18" t="s">
        <v>120</v>
      </c>
      <c r="Q277" s="18">
        <v>2032</v>
      </c>
      <c r="R277" s="18" t="s">
        <v>175</v>
      </c>
      <c r="S277" s="18">
        <f t="shared" si="30"/>
        <v>0</v>
      </c>
      <c r="U277">
        <v>215.81750000000002</v>
      </c>
      <c r="Z277" s="42" t="s">
        <v>117</v>
      </c>
      <c r="AA277" s="42">
        <v>2039</v>
      </c>
      <c r="AB277" s="42" t="s">
        <v>146</v>
      </c>
      <c r="AC277" s="42">
        <v>0.83</v>
      </c>
    </row>
    <row r="278" spans="3:29">
      <c r="C278" t="s">
        <v>114</v>
      </c>
      <c r="D278">
        <v>2026</v>
      </c>
      <c r="E278" t="s">
        <v>144</v>
      </c>
      <c r="F278">
        <v>23.36</v>
      </c>
      <c r="J278" s="18" t="s">
        <v>120</v>
      </c>
      <c r="K278" s="18">
        <v>2033</v>
      </c>
      <c r="L278" s="18" t="s">
        <v>174</v>
      </c>
      <c r="M278" s="18">
        <v>4366.57</v>
      </c>
      <c r="P278" s="18" t="s">
        <v>120</v>
      </c>
      <c r="Q278" s="18">
        <v>2033</v>
      </c>
      <c r="R278" s="18" t="s">
        <v>175</v>
      </c>
      <c r="S278" s="18">
        <f t="shared" si="30"/>
        <v>0</v>
      </c>
      <c r="U278">
        <v>218.32849999999999</v>
      </c>
      <c r="Z278" s="42" t="s">
        <v>117</v>
      </c>
      <c r="AA278" s="42">
        <v>2039</v>
      </c>
      <c r="AB278" s="42" t="s">
        <v>145</v>
      </c>
      <c r="AC278" s="42">
        <v>19.34</v>
      </c>
    </row>
    <row r="279" spans="3:29">
      <c r="C279" t="s">
        <v>114</v>
      </c>
      <c r="D279">
        <v>2027</v>
      </c>
      <c r="E279" t="s">
        <v>145</v>
      </c>
      <c r="F279">
        <v>0.28000000000000003</v>
      </c>
      <c r="J279" s="18" t="s">
        <v>120</v>
      </c>
      <c r="K279" s="18">
        <v>2034</v>
      </c>
      <c r="L279" s="18" t="s">
        <v>174</v>
      </c>
      <c r="M279" s="18">
        <v>4419.79</v>
      </c>
      <c r="P279" s="18" t="s">
        <v>120</v>
      </c>
      <c r="Q279" s="18">
        <v>2034</v>
      </c>
      <c r="R279" s="18" t="s">
        <v>175</v>
      </c>
      <c r="S279" s="18">
        <f t="shared" si="30"/>
        <v>0</v>
      </c>
      <c r="U279">
        <v>220.98949999999999</v>
      </c>
      <c r="Z279" s="42" t="s">
        <v>117</v>
      </c>
      <c r="AA279" s="42">
        <v>2040</v>
      </c>
      <c r="AB279" s="42" t="s">
        <v>146</v>
      </c>
      <c r="AC279" s="42">
        <v>0.84</v>
      </c>
    </row>
    <row r="280" spans="3:29">
      <c r="C280" t="s">
        <v>114</v>
      </c>
      <c r="D280">
        <v>2027</v>
      </c>
      <c r="E280" t="s">
        <v>141</v>
      </c>
      <c r="F280">
        <v>254.23</v>
      </c>
      <c r="J280" s="18" t="s">
        <v>120</v>
      </c>
      <c r="K280" s="18">
        <v>2035</v>
      </c>
      <c r="L280" s="18" t="s">
        <v>174</v>
      </c>
      <c r="M280" s="18">
        <v>4473.43</v>
      </c>
      <c r="P280" s="18" t="s">
        <v>120</v>
      </c>
      <c r="Q280" s="18">
        <v>2035</v>
      </c>
      <c r="R280" s="18" t="s">
        <v>175</v>
      </c>
      <c r="S280" s="18">
        <f t="shared" si="30"/>
        <v>0</v>
      </c>
      <c r="U280">
        <v>223.67150000000001</v>
      </c>
      <c r="Z280" s="42" t="s">
        <v>117</v>
      </c>
      <c r="AA280" s="42">
        <v>2040</v>
      </c>
      <c r="AB280" s="42" t="s">
        <v>145</v>
      </c>
      <c r="AC280" s="42">
        <v>19.739999999999998</v>
      </c>
    </row>
    <row r="281" spans="3:29">
      <c r="C281" t="s">
        <v>114</v>
      </c>
      <c r="D281">
        <v>2027</v>
      </c>
      <c r="E281" t="s">
        <v>142</v>
      </c>
      <c r="F281">
        <v>785</v>
      </c>
      <c r="J281" s="18" t="s">
        <v>120</v>
      </c>
      <c r="K281" s="18">
        <v>2036</v>
      </c>
      <c r="L281" s="18" t="s">
        <v>174</v>
      </c>
      <c r="M281" s="18">
        <v>4525.28</v>
      </c>
      <c r="P281" s="18" t="s">
        <v>120</v>
      </c>
      <c r="Q281" s="18">
        <v>2036</v>
      </c>
      <c r="R281" s="18" t="s">
        <v>175</v>
      </c>
      <c r="S281" s="18">
        <f t="shared" si="30"/>
        <v>0</v>
      </c>
      <c r="U281">
        <v>226.26399999999998</v>
      </c>
      <c r="Z281" s="42" t="s">
        <v>117</v>
      </c>
      <c r="AA281" s="42">
        <v>2041</v>
      </c>
      <c r="AB281" s="42" t="s">
        <v>146</v>
      </c>
      <c r="AC281" s="42">
        <v>0.84</v>
      </c>
    </row>
    <row r="282" spans="3:29">
      <c r="C282" t="s">
        <v>114</v>
      </c>
      <c r="D282">
        <v>2027</v>
      </c>
      <c r="E282" t="s">
        <v>143</v>
      </c>
      <c r="F282">
        <v>495.53</v>
      </c>
      <c r="J282" s="18" t="s">
        <v>120</v>
      </c>
      <c r="K282" s="18">
        <v>2037</v>
      </c>
      <c r="L282" s="18" t="s">
        <v>174</v>
      </c>
      <c r="M282" s="18">
        <v>4577.3999999999996</v>
      </c>
      <c r="P282" s="18" t="s">
        <v>120</v>
      </c>
      <c r="Q282" s="18">
        <v>2037</v>
      </c>
      <c r="R282" s="18" t="s">
        <v>175</v>
      </c>
      <c r="S282" s="18">
        <f t="shared" si="30"/>
        <v>0</v>
      </c>
      <c r="U282">
        <v>228.86999999999998</v>
      </c>
      <c r="Z282" s="42" t="s">
        <v>117</v>
      </c>
      <c r="AA282" s="42">
        <v>2041</v>
      </c>
      <c r="AB282" s="42" t="s">
        <v>145</v>
      </c>
      <c r="AC282" s="42">
        <v>20.170000000000002</v>
      </c>
    </row>
    <row r="283" spans="3:29">
      <c r="C283" t="s">
        <v>114</v>
      </c>
      <c r="D283">
        <v>2027</v>
      </c>
      <c r="E283" t="s">
        <v>144</v>
      </c>
      <c r="F283">
        <v>23.73</v>
      </c>
      <c r="J283" s="18" t="s">
        <v>120</v>
      </c>
      <c r="K283" s="18">
        <v>2038</v>
      </c>
      <c r="L283" s="18" t="s">
        <v>174</v>
      </c>
      <c r="M283" s="18">
        <v>4629.1400000000003</v>
      </c>
      <c r="P283" s="18" t="s">
        <v>120</v>
      </c>
      <c r="Q283" s="18">
        <v>2038</v>
      </c>
      <c r="R283" s="18" t="s">
        <v>175</v>
      </c>
      <c r="S283" s="18">
        <f t="shared" si="30"/>
        <v>0</v>
      </c>
      <c r="U283">
        <v>231.45700000000002</v>
      </c>
      <c r="Z283" s="42" t="s">
        <v>117</v>
      </c>
      <c r="AA283" s="42">
        <v>2042</v>
      </c>
      <c r="AB283" s="42" t="s">
        <v>146</v>
      </c>
      <c r="AC283" s="42">
        <v>0.85</v>
      </c>
    </row>
    <row r="284" spans="3:29">
      <c r="C284" t="s">
        <v>114</v>
      </c>
      <c r="D284">
        <v>2028</v>
      </c>
      <c r="E284" t="s">
        <v>145</v>
      </c>
      <c r="F284">
        <v>0.32</v>
      </c>
      <c r="J284" s="18" t="s">
        <v>120</v>
      </c>
      <c r="K284" s="18">
        <v>2039</v>
      </c>
      <c r="L284" s="18" t="s">
        <v>174</v>
      </c>
      <c r="M284" s="18">
        <v>4681.47</v>
      </c>
      <c r="P284" s="18" t="s">
        <v>120</v>
      </c>
      <c r="Q284" s="18">
        <v>2039</v>
      </c>
      <c r="R284" s="18" t="s">
        <v>175</v>
      </c>
      <c r="S284" s="18">
        <f t="shared" si="30"/>
        <v>0</v>
      </c>
      <c r="U284">
        <v>234.07350000000002</v>
      </c>
      <c r="Z284" s="42" t="s">
        <v>117</v>
      </c>
      <c r="AA284" s="42">
        <v>2042</v>
      </c>
      <c r="AB284" s="42" t="s">
        <v>145</v>
      </c>
      <c r="AC284" s="42">
        <v>20.59</v>
      </c>
    </row>
    <row r="285" spans="3:29">
      <c r="C285" t="s">
        <v>114</v>
      </c>
      <c r="D285">
        <v>2028</v>
      </c>
      <c r="E285" t="s">
        <v>141</v>
      </c>
      <c r="F285">
        <v>259.8</v>
      </c>
      <c r="J285" s="18" t="s">
        <v>120</v>
      </c>
      <c r="K285" s="18">
        <v>2040</v>
      </c>
      <c r="L285" s="18" t="s">
        <v>174</v>
      </c>
      <c r="M285" s="18">
        <v>4735.25</v>
      </c>
      <c r="P285" s="18" t="s">
        <v>120</v>
      </c>
      <c r="Q285" s="18">
        <v>2040</v>
      </c>
      <c r="R285" s="18" t="s">
        <v>175</v>
      </c>
      <c r="S285" s="18">
        <f t="shared" si="30"/>
        <v>236.76249999999999</v>
      </c>
      <c r="U285">
        <v>236.76249999999999</v>
      </c>
      <c r="Z285" s="42" t="s">
        <v>117</v>
      </c>
      <c r="AA285" s="42">
        <v>2043</v>
      </c>
      <c r="AB285" s="42" t="s">
        <v>146</v>
      </c>
      <c r="AC285" s="42">
        <v>0.86</v>
      </c>
    </row>
    <row r="286" spans="3:29">
      <c r="C286" t="s">
        <v>114</v>
      </c>
      <c r="D286">
        <v>2028</v>
      </c>
      <c r="E286" t="s">
        <v>142</v>
      </c>
      <c r="F286">
        <v>796.69</v>
      </c>
      <c r="J286" s="18" t="s">
        <v>120</v>
      </c>
      <c r="K286" s="18">
        <v>2041</v>
      </c>
      <c r="L286" s="18" t="s">
        <v>174</v>
      </c>
      <c r="M286" s="18">
        <v>4792.1099999999997</v>
      </c>
      <c r="P286" s="18" t="s">
        <v>120</v>
      </c>
      <c r="Q286" s="18">
        <v>2041</v>
      </c>
      <c r="R286" s="18" t="s">
        <v>175</v>
      </c>
      <c r="S286" s="18">
        <f t="shared" si="30"/>
        <v>239.60549999999998</v>
      </c>
      <c r="U286">
        <v>239.60549999999998</v>
      </c>
      <c r="Z286" s="42" t="s">
        <v>117</v>
      </c>
      <c r="AA286" s="42">
        <v>2043</v>
      </c>
      <c r="AB286" s="42" t="s">
        <v>145</v>
      </c>
      <c r="AC286" s="42">
        <v>21.03</v>
      </c>
    </row>
    <row r="287" spans="3:29">
      <c r="C287" t="s">
        <v>114</v>
      </c>
      <c r="D287">
        <v>2028</v>
      </c>
      <c r="E287" t="s">
        <v>143</v>
      </c>
      <c r="F287">
        <v>516.11</v>
      </c>
      <c r="J287" s="18" t="s">
        <v>120</v>
      </c>
      <c r="K287" s="18">
        <v>2042</v>
      </c>
      <c r="L287" s="18" t="s">
        <v>174</v>
      </c>
      <c r="M287" s="18">
        <v>4849.24</v>
      </c>
      <c r="P287" s="18" t="s">
        <v>120</v>
      </c>
      <c r="Q287" s="18">
        <v>2042</v>
      </c>
      <c r="R287" s="18" t="s">
        <v>175</v>
      </c>
      <c r="S287" s="18">
        <f t="shared" si="30"/>
        <v>242.46199999999999</v>
      </c>
      <c r="U287">
        <v>242.46199999999999</v>
      </c>
      <c r="Z287" s="42" t="s">
        <v>117</v>
      </c>
      <c r="AA287" s="42">
        <v>2044</v>
      </c>
      <c r="AB287" s="42" t="s">
        <v>146</v>
      </c>
      <c r="AC287" s="42">
        <v>0.86</v>
      </c>
    </row>
    <row r="288" spans="3:29">
      <c r="C288" t="s">
        <v>114</v>
      </c>
      <c r="D288">
        <v>2028</v>
      </c>
      <c r="E288" t="s">
        <v>144</v>
      </c>
      <c r="F288">
        <v>24.03</v>
      </c>
      <c r="J288" s="18" t="s">
        <v>120</v>
      </c>
      <c r="K288" s="18">
        <v>2043</v>
      </c>
      <c r="L288" s="18" t="s">
        <v>174</v>
      </c>
      <c r="M288" s="18">
        <v>4904.59</v>
      </c>
      <c r="P288" s="18" t="s">
        <v>120</v>
      </c>
      <c r="Q288" s="18">
        <v>2043</v>
      </c>
      <c r="R288" s="18" t="s">
        <v>175</v>
      </c>
      <c r="S288" s="18">
        <f t="shared" si="30"/>
        <v>245.2295</v>
      </c>
      <c r="U288">
        <v>245.2295</v>
      </c>
      <c r="Z288" s="42" t="s">
        <v>117</v>
      </c>
      <c r="AA288" s="42">
        <v>2044</v>
      </c>
      <c r="AB288" s="42" t="s">
        <v>145</v>
      </c>
      <c r="AC288" s="42">
        <v>21.46</v>
      </c>
    </row>
    <row r="289" spans="3:29">
      <c r="C289" t="s">
        <v>114</v>
      </c>
      <c r="D289">
        <v>2029</v>
      </c>
      <c r="E289" t="s">
        <v>145</v>
      </c>
      <c r="F289">
        <v>0.35</v>
      </c>
      <c r="J289" s="18" t="s">
        <v>120</v>
      </c>
      <c r="K289" s="18">
        <v>2044</v>
      </c>
      <c r="L289" s="18" t="s">
        <v>174</v>
      </c>
      <c r="M289" s="18">
        <v>4957.96</v>
      </c>
      <c r="P289" s="18" t="s">
        <v>120</v>
      </c>
      <c r="Q289" s="18">
        <v>2044</v>
      </c>
      <c r="R289" s="18" t="s">
        <v>175</v>
      </c>
      <c r="S289" s="18">
        <f t="shared" si="30"/>
        <v>247.898</v>
      </c>
      <c r="U289">
        <v>247.898</v>
      </c>
      <c r="Z289" s="42" t="s">
        <v>117</v>
      </c>
      <c r="AA289" s="42">
        <v>2045</v>
      </c>
      <c r="AB289" s="42" t="s">
        <v>146</v>
      </c>
      <c r="AC289" s="42">
        <v>0.87</v>
      </c>
    </row>
    <row r="290" spans="3:29">
      <c r="C290" t="s">
        <v>114</v>
      </c>
      <c r="D290">
        <v>2029</v>
      </c>
      <c r="E290" t="s">
        <v>141</v>
      </c>
      <c r="F290">
        <v>265.42</v>
      </c>
      <c r="J290" s="18" t="s">
        <v>120</v>
      </c>
      <c r="K290" s="18">
        <v>2045</v>
      </c>
      <c r="L290" s="18" t="s">
        <v>174</v>
      </c>
      <c r="M290" s="18">
        <v>5012.08</v>
      </c>
      <c r="P290" s="18" t="s">
        <v>120</v>
      </c>
      <c r="Q290" s="18">
        <v>2045</v>
      </c>
      <c r="R290" s="18" t="s">
        <v>175</v>
      </c>
      <c r="S290" s="18">
        <f t="shared" si="30"/>
        <v>250.60399999999998</v>
      </c>
      <c r="U290">
        <v>250.60399999999998</v>
      </c>
      <c r="Z290" s="42" t="s">
        <v>117</v>
      </c>
      <c r="AA290" s="42">
        <v>2045</v>
      </c>
      <c r="AB290" s="42" t="s">
        <v>145</v>
      </c>
      <c r="AC290" s="42">
        <v>21.9</v>
      </c>
    </row>
    <row r="291" spans="3:29">
      <c r="C291" t="s">
        <v>114</v>
      </c>
      <c r="D291">
        <v>2029</v>
      </c>
      <c r="E291" t="s">
        <v>142</v>
      </c>
      <c r="F291">
        <v>820.18</v>
      </c>
      <c r="J291" s="18" t="s">
        <v>120</v>
      </c>
      <c r="K291" s="18">
        <v>2046</v>
      </c>
      <c r="L291" s="18" t="s">
        <v>174</v>
      </c>
      <c r="M291" s="18">
        <v>5079.5</v>
      </c>
      <c r="P291" s="18" t="s">
        <v>120</v>
      </c>
      <c r="Q291" s="18">
        <v>2046</v>
      </c>
      <c r="R291" s="18" t="s">
        <v>175</v>
      </c>
      <c r="S291" s="18">
        <f t="shared" si="30"/>
        <v>253.97499999999999</v>
      </c>
      <c r="U291">
        <v>253.97499999999999</v>
      </c>
      <c r="Z291" s="42" t="s">
        <v>117</v>
      </c>
      <c r="AA291" s="42">
        <v>2046</v>
      </c>
      <c r="AB291" s="42" t="s">
        <v>146</v>
      </c>
      <c r="AC291" s="42">
        <v>0.87</v>
      </c>
    </row>
    <row r="292" spans="3:29">
      <c r="C292" t="s">
        <v>114</v>
      </c>
      <c r="D292">
        <v>2029</v>
      </c>
      <c r="E292" t="s">
        <v>143</v>
      </c>
      <c r="F292">
        <v>537.15</v>
      </c>
      <c r="J292" s="18" t="s">
        <v>120</v>
      </c>
      <c r="K292" s="18">
        <v>2047</v>
      </c>
      <c r="L292" s="18" t="s">
        <v>174</v>
      </c>
      <c r="M292" s="18">
        <v>5149.7</v>
      </c>
      <c r="P292" s="18" t="s">
        <v>120</v>
      </c>
      <c r="Q292" s="18">
        <v>2047</v>
      </c>
      <c r="R292" s="18" t="s">
        <v>175</v>
      </c>
      <c r="S292" s="18">
        <f t="shared" si="30"/>
        <v>257.48500000000001</v>
      </c>
      <c r="U292">
        <v>257.48500000000001</v>
      </c>
      <c r="Z292" s="42" t="s">
        <v>117</v>
      </c>
      <c r="AA292" s="42">
        <v>2046</v>
      </c>
      <c r="AB292" s="42" t="s">
        <v>145</v>
      </c>
      <c r="AC292" s="42">
        <v>22.33</v>
      </c>
    </row>
    <row r="293" spans="3:29">
      <c r="C293" t="s">
        <v>114</v>
      </c>
      <c r="D293">
        <v>2029</v>
      </c>
      <c r="E293" t="s">
        <v>144</v>
      </c>
      <c r="F293">
        <v>24.42</v>
      </c>
      <c r="J293" s="18" t="s">
        <v>120</v>
      </c>
      <c r="K293" s="18">
        <v>2048</v>
      </c>
      <c r="L293" s="18" t="s">
        <v>174</v>
      </c>
      <c r="M293" s="18">
        <v>5215.43</v>
      </c>
      <c r="P293" s="18" t="s">
        <v>120</v>
      </c>
      <c r="Q293" s="18">
        <v>2048</v>
      </c>
      <c r="R293" s="18" t="s">
        <v>175</v>
      </c>
      <c r="S293" s="18">
        <f t="shared" si="30"/>
        <v>260.7715</v>
      </c>
      <c r="U293">
        <v>260.7715</v>
      </c>
      <c r="Z293" s="42" t="s">
        <v>117</v>
      </c>
      <c r="AA293" s="42">
        <v>2047</v>
      </c>
      <c r="AB293" s="42" t="s">
        <v>146</v>
      </c>
      <c r="AC293" s="42">
        <v>0.88</v>
      </c>
    </row>
    <row r="294" spans="3:29">
      <c r="C294" t="s">
        <v>114</v>
      </c>
      <c r="D294">
        <v>2030</v>
      </c>
      <c r="E294" t="s">
        <v>145</v>
      </c>
      <c r="F294">
        <v>0.39</v>
      </c>
      <c r="J294" s="18" t="s">
        <v>120</v>
      </c>
      <c r="K294" s="18">
        <v>2049</v>
      </c>
      <c r="L294" s="18" t="s">
        <v>174</v>
      </c>
      <c r="M294" s="18">
        <v>5278.23</v>
      </c>
      <c r="P294" s="18" t="s">
        <v>120</v>
      </c>
      <c r="Q294" s="18">
        <v>2049</v>
      </c>
      <c r="R294" s="18" t="s">
        <v>175</v>
      </c>
      <c r="S294" s="18">
        <f t="shared" si="30"/>
        <v>263.91149999999999</v>
      </c>
      <c r="U294">
        <v>263.91149999999999</v>
      </c>
      <c r="Z294" s="42" t="s">
        <v>117</v>
      </c>
      <c r="AA294" s="42">
        <v>2047</v>
      </c>
      <c r="AB294" s="42" t="s">
        <v>145</v>
      </c>
      <c r="AC294" s="42">
        <v>22.75</v>
      </c>
    </row>
    <row r="295" spans="3:29">
      <c r="C295" t="s">
        <v>114</v>
      </c>
      <c r="D295">
        <v>2030</v>
      </c>
      <c r="E295" t="s">
        <v>141</v>
      </c>
      <c r="F295">
        <v>271.11</v>
      </c>
      <c r="J295" s="18" t="s">
        <v>120</v>
      </c>
      <c r="K295" s="18">
        <v>2050</v>
      </c>
      <c r="L295" s="18" t="s">
        <v>174</v>
      </c>
      <c r="M295" s="18">
        <v>5344.62</v>
      </c>
      <c r="P295" s="18" t="s">
        <v>120</v>
      </c>
      <c r="Q295" s="18">
        <v>2050</v>
      </c>
      <c r="R295" s="18" t="s">
        <v>175</v>
      </c>
      <c r="S295" s="18">
        <f t="shared" si="30"/>
        <v>267.23099999999999</v>
      </c>
      <c r="U295">
        <v>267.23099999999999</v>
      </c>
      <c r="Z295" s="42" t="s">
        <v>117</v>
      </c>
      <c r="AA295" s="42">
        <v>2048</v>
      </c>
      <c r="AB295" s="42" t="s">
        <v>146</v>
      </c>
      <c r="AC295" s="42">
        <v>0.89</v>
      </c>
    </row>
    <row r="296" spans="3:29">
      <c r="C296" t="s">
        <v>114</v>
      </c>
      <c r="D296">
        <v>2030</v>
      </c>
      <c r="E296" t="s">
        <v>142</v>
      </c>
      <c r="F296">
        <v>835.04</v>
      </c>
      <c r="J296" s="18" t="s">
        <v>121</v>
      </c>
      <c r="K296" s="18">
        <v>2010</v>
      </c>
      <c r="L296" s="18" t="s">
        <v>174</v>
      </c>
      <c r="M296" s="18">
        <v>280.39</v>
      </c>
      <c r="P296" s="18" t="s">
        <v>121</v>
      </c>
      <c r="Q296" s="18">
        <v>2010</v>
      </c>
      <c r="R296" s="18" t="s">
        <v>175</v>
      </c>
      <c r="S296" s="18">
        <f t="shared" si="30"/>
        <v>0</v>
      </c>
      <c r="U296">
        <v>14.019499999999999</v>
      </c>
      <c r="Z296" s="42" t="s">
        <v>117</v>
      </c>
      <c r="AA296" s="42">
        <v>2048</v>
      </c>
      <c r="AB296" s="42" t="s">
        <v>145</v>
      </c>
      <c r="AC296" s="42">
        <v>23.19</v>
      </c>
    </row>
    <row r="297" spans="3:29">
      <c r="C297" t="s">
        <v>114</v>
      </c>
      <c r="D297">
        <v>2030</v>
      </c>
      <c r="E297" t="s">
        <v>143</v>
      </c>
      <c r="F297">
        <v>558.45000000000005</v>
      </c>
      <c r="J297" s="18" t="s">
        <v>121</v>
      </c>
      <c r="K297" s="18">
        <v>2011</v>
      </c>
      <c r="L297" s="18" t="s">
        <v>174</v>
      </c>
      <c r="M297" s="18">
        <v>293.37</v>
      </c>
      <c r="P297" s="18" t="s">
        <v>121</v>
      </c>
      <c r="Q297" s="18">
        <v>2011</v>
      </c>
      <c r="R297" s="18" t="s">
        <v>175</v>
      </c>
      <c r="S297" s="18">
        <f t="shared" si="30"/>
        <v>0</v>
      </c>
      <c r="U297">
        <v>14.6685</v>
      </c>
      <c r="Z297" s="42" t="s">
        <v>117</v>
      </c>
      <c r="AA297" s="42">
        <v>2049</v>
      </c>
      <c r="AB297" s="42" t="s">
        <v>146</v>
      </c>
      <c r="AC297" s="42">
        <v>0.89</v>
      </c>
    </row>
    <row r="298" spans="3:29">
      <c r="C298" t="s">
        <v>114</v>
      </c>
      <c r="D298">
        <v>2030</v>
      </c>
      <c r="E298" t="s">
        <v>144</v>
      </c>
      <c r="F298">
        <v>24.77</v>
      </c>
      <c r="J298" s="18" t="s">
        <v>121</v>
      </c>
      <c r="K298" s="18">
        <v>2012</v>
      </c>
      <c r="L298" s="18" t="s">
        <v>174</v>
      </c>
      <c r="M298" s="18">
        <v>322.62</v>
      </c>
      <c r="P298" s="18" t="s">
        <v>121</v>
      </c>
      <c r="Q298" s="18">
        <v>2012</v>
      </c>
      <c r="R298" s="18" t="s">
        <v>175</v>
      </c>
      <c r="S298" s="18">
        <f t="shared" si="30"/>
        <v>0</v>
      </c>
      <c r="U298">
        <v>16.131</v>
      </c>
      <c r="Z298" s="42" t="s">
        <v>117</v>
      </c>
      <c r="AA298" s="42">
        <v>2049</v>
      </c>
      <c r="AB298" s="42" t="s">
        <v>145</v>
      </c>
      <c r="AC298" s="42">
        <v>23.63</v>
      </c>
    </row>
    <row r="299" spans="3:29">
      <c r="C299" t="s">
        <v>114</v>
      </c>
      <c r="D299">
        <v>2031</v>
      </c>
      <c r="E299" t="s">
        <v>145</v>
      </c>
      <c r="F299">
        <v>0.43</v>
      </c>
      <c r="J299" s="18" t="s">
        <v>121</v>
      </c>
      <c r="K299" s="18">
        <v>2013</v>
      </c>
      <c r="L299" s="18" t="s">
        <v>174</v>
      </c>
      <c r="M299" s="18">
        <v>329.64</v>
      </c>
      <c r="P299" s="18" t="s">
        <v>121</v>
      </c>
      <c r="Q299" s="18">
        <v>2013</v>
      </c>
      <c r="R299" s="18" t="s">
        <v>175</v>
      </c>
      <c r="S299" s="18">
        <f t="shared" si="30"/>
        <v>0</v>
      </c>
      <c r="U299">
        <v>16.481999999999999</v>
      </c>
      <c r="Z299" s="42" t="s">
        <v>117</v>
      </c>
      <c r="AA299" s="42">
        <v>2050</v>
      </c>
      <c r="AB299" s="42" t="s">
        <v>146</v>
      </c>
      <c r="AC299" s="42">
        <v>0.9</v>
      </c>
    </row>
    <row r="300" spans="3:29">
      <c r="C300" t="s">
        <v>114</v>
      </c>
      <c r="D300">
        <v>2031</v>
      </c>
      <c r="E300" t="s">
        <v>141</v>
      </c>
      <c r="F300">
        <v>278.33</v>
      </c>
      <c r="J300" s="18" t="s">
        <v>121</v>
      </c>
      <c r="K300" s="18">
        <v>2014</v>
      </c>
      <c r="L300" s="18" t="s">
        <v>174</v>
      </c>
      <c r="M300" s="18">
        <v>356.56</v>
      </c>
      <c r="P300" s="18" t="s">
        <v>121</v>
      </c>
      <c r="Q300" s="18">
        <v>2014</v>
      </c>
      <c r="R300" s="18" t="s">
        <v>175</v>
      </c>
      <c r="S300" s="18">
        <f t="shared" si="30"/>
        <v>0</v>
      </c>
      <c r="U300">
        <v>17.827999999999999</v>
      </c>
      <c r="Z300" s="42" t="s">
        <v>117</v>
      </c>
      <c r="AA300" s="42">
        <v>2050</v>
      </c>
      <c r="AB300" s="42" t="s">
        <v>145</v>
      </c>
      <c r="AC300" s="42">
        <v>24.06</v>
      </c>
    </row>
    <row r="301" spans="3:29">
      <c r="C301" t="s">
        <v>114</v>
      </c>
      <c r="D301">
        <v>2031</v>
      </c>
      <c r="E301" t="s">
        <v>142</v>
      </c>
      <c r="F301">
        <v>859.14</v>
      </c>
      <c r="J301" s="18" t="s">
        <v>121</v>
      </c>
      <c r="K301" s="18">
        <v>2015</v>
      </c>
      <c r="L301" s="18" t="s">
        <v>174</v>
      </c>
      <c r="M301" s="18">
        <v>411.72</v>
      </c>
      <c r="P301" s="18" t="s">
        <v>121</v>
      </c>
      <c r="Q301" s="18">
        <v>2015</v>
      </c>
      <c r="R301" s="18" t="s">
        <v>175</v>
      </c>
      <c r="S301" s="18">
        <f t="shared" si="30"/>
        <v>0</v>
      </c>
      <c r="U301">
        <v>20.586000000000002</v>
      </c>
      <c r="Z301" s="42" t="s">
        <v>118</v>
      </c>
      <c r="AA301" s="42">
        <v>2019</v>
      </c>
      <c r="AB301" s="42" t="s">
        <v>146</v>
      </c>
      <c r="AC301" s="42">
        <v>56.33</v>
      </c>
    </row>
    <row r="302" spans="3:29">
      <c r="C302" t="s">
        <v>114</v>
      </c>
      <c r="D302">
        <v>2031</v>
      </c>
      <c r="E302" t="s">
        <v>143</v>
      </c>
      <c r="F302">
        <v>581.85</v>
      </c>
      <c r="J302" s="18" t="s">
        <v>121</v>
      </c>
      <c r="K302" s="18">
        <v>2016</v>
      </c>
      <c r="L302" s="18" t="s">
        <v>174</v>
      </c>
      <c r="M302" s="18">
        <v>499</v>
      </c>
      <c r="P302" s="18" t="s">
        <v>121</v>
      </c>
      <c r="Q302" s="18">
        <v>2016</v>
      </c>
      <c r="R302" s="18" t="s">
        <v>175</v>
      </c>
      <c r="S302" s="18">
        <f t="shared" si="30"/>
        <v>0</v>
      </c>
      <c r="U302">
        <v>24.95</v>
      </c>
      <c r="Z302" s="42" t="s">
        <v>118</v>
      </c>
      <c r="AA302" s="42">
        <v>2019</v>
      </c>
      <c r="AB302" s="42" t="s">
        <v>147</v>
      </c>
      <c r="AC302" s="42">
        <v>541.62</v>
      </c>
    </row>
    <row r="303" spans="3:29">
      <c r="C303" t="s">
        <v>114</v>
      </c>
      <c r="D303">
        <v>2031</v>
      </c>
      <c r="E303" t="s">
        <v>144</v>
      </c>
      <c r="F303">
        <v>25.2</v>
      </c>
      <c r="J303" s="18" t="s">
        <v>121</v>
      </c>
      <c r="K303" s="18">
        <v>2017</v>
      </c>
      <c r="L303" s="18" t="s">
        <v>174</v>
      </c>
      <c r="M303" s="18">
        <v>526.78</v>
      </c>
      <c r="P303" s="18" t="s">
        <v>121</v>
      </c>
      <c r="Q303" s="18">
        <v>2017</v>
      </c>
      <c r="R303" s="18" t="s">
        <v>175</v>
      </c>
      <c r="S303" s="18">
        <f t="shared" si="30"/>
        <v>0</v>
      </c>
      <c r="U303">
        <v>26.338999999999999</v>
      </c>
      <c r="Z303" s="42" t="s">
        <v>118</v>
      </c>
      <c r="AA303" s="42">
        <v>2019</v>
      </c>
      <c r="AB303" s="42" t="s">
        <v>145</v>
      </c>
      <c r="AC303" s="42">
        <v>1675.55</v>
      </c>
    </row>
    <row r="304" spans="3:29">
      <c r="C304" t="s">
        <v>114</v>
      </c>
      <c r="D304">
        <v>2032</v>
      </c>
      <c r="E304" t="s">
        <v>145</v>
      </c>
      <c r="F304">
        <v>0.47</v>
      </c>
      <c r="J304" s="18" t="s">
        <v>121</v>
      </c>
      <c r="K304" s="18">
        <v>2018</v>
      </c>
      <c r="L304" s="18" t="s">
        <v>174</v>
      </c>
      <c r="M304" s="18">
        <v>556.44000000000005</v>
      </c>
      <c r="P304" s="18" t="s">
        <v>121</v>
      </c>
      <c r="Q304" s="18">
        <v>2018</v>
      </c>
      <c r="R304" s="18" t="s">
        <v>175</v>
      </c>
      <c r="S304" s="18">
        <f t="shared" si="30"/>
        <v>0</v>
      </c>
      <c r="U304">
        <v>27.822000000000003</v>
      </c>
      <c r="Z304" s="42" t="s">
        <v>118</v>
      </c>
      <c r="AA304" s="42">
        <v>2020</v>
      </c>
      <c r="AB304" s="42" t="s">
        <v>146</v>
      </c>
      <c r="AC304" s="42">
        <v>55.93</v>
      </c>
    </row>
    <row r="305" spans="3:29">
      <c r="C305" t="s">
        <v>114</v>
      </c>
      <c r="D305">
        <v>2032</v>
      </c>
      <c r="E305" t="s">
        <v>141</v>
      </c>
      <c r="F305">
        <v>285.61</v>
      </c>
      <c r="J305" s="18" t="s">
        <v>121</v>
      </c>
      <c r="K305" s="18">
        <v>2019</v>
      </c>
      <c r="L305" s="18" t="s">
        <v>174</v>
      </c>
      <c r="M305" s="18">
        <v>591.21</v>
      </c>
      <c r="P305" s="18" t="s">
        <v>121</v>
      </c>
      <c r="Q305" s="18">
        <v>2019</v>
      </c>
      <c r="R305" s="18" t="s">
        <v>175</v>
      </c>
      <c r="S305" s="18">
        <f t="shared" si="30"/>
        <v>0</v>
      </c>
      <c r="U305">
        <v>29.560500000000001</v>
      </c>
      <c r="Z305" s="42" t="s">
        <v>118</v>
      </c>
      <c r="AA305" s="42">
        <v>2020</v>
      </c>
      <c r="AB305" s="42" t="s">
        <v>147</v>
      </c>
      <c r="AC305" s="42">
        <v>536.92999999999995</v>
      </c>
    </row>
    <row r="306" spans="3:29">
      <c r="C306" t="s">
        <v>114</v>
      </c>
      <c r="D306">
        <v>2032</v>
      </c>
      <c r="E306" t="s">
        <v>142</v>
      </c>
      <c r="F306">
        <v>875.84</v>
      </c>
      <c r="J306" s="18" t="s">
        <v>121</v>
      </c>
      <c r="K306" s="18">
        <v>2020</v>
      </c>
      <c r="L306" s="18" t="s">
        <v>174</v>
      </c>
      <c r="M306" s="18">
        <v>630.02</v>
      </c>
      <c r="P306" s="18" t="s">
        <v>121</v>
      </c>
      <c r="Q306" s="18">
        <v>2020</v>
      </c>
      <c r="R306" s="18" t="s">
        <v>175</v>
      </c>
      <c r="S306" s="18">
        <f t="shared" si="30"/>
        <v>0</v>
      </c>
      <c r="U306">
        <v>31.500999999999998</v>
      </c>
      <c r="Z306" s="42" t="s">
        <v>118</v>
      </c>
      <c r="AA306" s="42">
        <v>2020</v>
      </c>
      <c r="AB306" s="42" t="s">
        <v>145</v>
      </c>
      <c r="AC306" s="42">
        <v>1646.52</v>
      </c>
    </row>
    <row r="307" spans="3:29">
      <c r="C307" t="s">
        <v>114</v>
      </c>
      <c r="D307">
        <v>2032</v>
      </c>
      <c r="E307" t="s">
        <v>143</v>
      </c>
      <c r="F307">
        <v>606.1</v>
      </c>
      <c r="J307" s="18" t="s">
        <v>121</v>
      </c>
      <c r="K307" s="18">
        <v>2021</v>
      </c>
      <c r="L307" s="18" t="s">
        <v>174</v>
      </c>
      <c r="M307" s="18">
        <v>672.05</v>
      </c>
      <c r="P307" s="18" t="s">
        <v>121</v>
      </c>
      <c r="Q307" s="18">
        <v>2021</v>
      </c>
      <c r="R307" s="18" t="s">
        <v>175</v>
      </c>
      <c r="S307" s="18">
        <f t="shared" si="30"/>
        <v>0</v>
      </c>
      <c r="U307">
        <v>33.602499999999999</v>
      </c>
      <c r="Z307" s="42" t="s">
        <v>118</v>
      </c>
      <c r="AA307" s="42">
        <v>2021</v>
      </c>
      <c r="AB307" s="42" t="s">
        <v>146</v>
      </c>
      <c r="AC307" s="42">
        <v>58.22</v>
      </c>
    </row>
    <row r="308" spans="3:29">
      <c r="C308" t="s">
        <v>114</v>
      </c>
      <c r="D308">
        <v>2032</v>
      </c>
      <c r="E308" t="s">
        <v>144</v>
      </c>
      <c r="F308">
        <v>25.58</v>
      </c>
      <c r="J308" s="18" t="s">
        <v>121</v>
      </c>
      <c r="K308" s="18">
        <v>2022</v>
      </c>
      <c r="L308" s="18" t="s">
        <v>174</v>
      </c>
      <c r="M308" s="18">
        <v>713.84</v>
      </c>
      <c r="P308" s="18" t="s">
        <v>121</v>
      </c>
      <c r="Q308" s="18">
        <v>2022</v>
      </c>
      <c r="R308" s="18" t="s">
        <v>175</v>
      </c>
      <c r="S308" s="18">
        <f t="shared" si="30"/>
        <v>0</v>
      </c>
      <c r="U308">
        <v>35.692</v>
      </c>
      <c r="Z308" s="42" t="s">
        <v>118</v>
      </c>
      <c r="AA308" s="42">
        <v>2021</v>
      </c>
      <c r="AB308" s="42" t="s">
        <v>147</v>
      </c>
      <c r="AC308" s="42">
        <v>556.80999999999995</v>
      </c>
    </row>
    <row r="309" spans="3:29">
      <c r="C309" t="s">
        <v>114</v>
      </c>
      <c r="D309">
        <v>2033</v>
      </c>
      <c r="E309" t="s">
        <v>145</v>
      </c>
      <c r="F309">
        <v>0.51</v>
      </c>
      <c r="J309" s="18" t="s">
        <v>121</v>
      </c>
      <c r="K309" s="18">
        <v>2023</v>
      </c>
      <c r="L309" s="18" t="s">
        <v>174</v>
      </c>
      <c r="M309" s="18">
        <v>755.44</v>
      </c>
      <c r="P309" s="18" t="s">
        <v>121</v>
      </c>
      <c r="Q309" s="18">
        <v>2023</v>
      </c>
      <c r="R309" s="18" t="s">
        <v>175</v>
      </c>
      <c r="S309" s="18">
        <f t="shared" si="30"/>
        <v>0</v>
      </c>
      <c r="U309">
        <v>37.772000000000006</v>
      </c>
      <c r="Z309" s="42" t="s">
        <v>118</v>
      </c>
      <c r="AA309" s="42">
        <v>2021</v>
      </c>
      <c r="AB309" s="42" t="s">
        <v>145</v>
      </c>
      <c r="AC309" s="42">
        <v>1790.53</v>
      </c>
    </row>
    <row r="310" spans="3:29">
      <c r="C310" t="s">
        <v>114</v>
      </c>
      <c r="D310">
        <v>2033</v>
      </c>
      <c r="E310" t="s">
        <v>141</v>
      </c>
      <c r="F310">
        <v>293.07</v>
      </c>
      <c r="J310" s="18" t="s">
        <v>121</v>
      </c>
      <c r="K310" s="18">
        <v>2024</v>
      </c>
      <c r="L310" s="18" t="s">
        <v>174</v>
      </c>
      <c r="M310" s="18">
        <v>797.65</v>
      </c>
      <c r="P310" s="18" t="s">
        <v>121</v>
      </c>
      <c r="Q310" s="18">
        <v>2024</v>
      </c>
      <c r="R310" s="18" t="s">
        <v>175</v>
      </c>
      <c r="S310" s="18">
        <f t="shared" si="30"/>
        <v>0</v>
      </c>
      <c r="U310">
        <v>39.8825</v>
      </c>
      <c r="Z310" s="42" t="s">
        <v>118</v>
      </c>
      <c r="AA310" s="42">
        <v>2022</v>
      </c>
      <c r="AB310" s="42" t="s">
        <v>146</v>
      </c>
      <c r="AC310" s="42">
        <v>58.91</v>
      </c>
    </row>
    <row r="311" spans="3:29">
      <c r="C311" t="s">
        <v>114</v>
      </c>
      <c r="D311">
        <v>2033</v>
      </c>
      <c r="E311" t="s">
        <v>142</v>
      </c>
      <c r="F311">
        <v>899.55</v>
      </c>
      <c r="J311" s="18" t="s">
        <v>121</v>
      </c>
      <c r="K311" s="18">
        <v>2025</v>
      </c>
      <c r="L311" s="18" t="s">
        <v>174</v>
      </c>
      <c r="M311" s="18">
        <v>840.89</v>
      </c>
      <c r="P311" s="18" t="s">
        <v>121</v>
      </c>
      <c r="Q311" s="18">
        <v>2025</v>
      </c>
      <c r="R311" s="18" t="s">
        <v>175</v>
      </c>
      <c r="S311" s="18">
        <f t="shared" si="30"/>
        <v>0</v>
      </c>
      <c r="U311">
        <v>42.044499999999999</v>
      </c>
      <c r="Z311" s="42" t="s">
        <v>118</v>
      </c>
      <c r="AA311" s="42">
        <v>2022</v>
      </c>
      <c r="AB311" s="42" t="s">
        <v>147</v>
      </c>
      <c r="AC311" s="42">
        <v>561.73</v>
      </c>
    </row>
    <row r="312" spans="3:29">
      <c r="C312" t="s">
        <v>114</v>
      </c>
      <c r="D312">
        <v>2033</v>
      </c>
      <c r="E312" t="s">
        <v>143</v>
      </c>
      <c r="F312">
        <v>631.16</v>
      </c>
      <c r="J312" s="18" t="s">
        <v>121</v>
      </c>
      <c r="K312" s="18">
        <v>2026</v>
      </c>
      <c r="L312" s="18" t="s">
        <v>174</v>
      </c>
      <c r="M312" s="18">
        <v>887.27</v>
      </c>
      <c r="P312" s="18" t="s">
        <v>121</v>
      </c>
      <c r="Q312" s="18">
        <v>2026</v>
      </c>
      <c r="R312" s="18" t="s">
        <v>175</v>
      </c>
      <c r="S312" s="18">
        <f t="shared" si="30"/>
        <v>0</v>
      </c>
      <c r="U312">
        <v>44.363500000000002</v>
      </c>
      <c r="Z312" s="42" t="s">
        <v>118</v>
      </c>
      <c r="AA312" s="42">
        <v>2022</v>
      </c>
      <c r="AB312" s="42" t="s">
        <v>145</v>
      </c>
      <c r="AC312" s="42">
        <v>1846.61</v>
      </c>
    </row>
    <row r="313" spans="3:29">
      <c r="C313" t="s">
        <v>114</v>
      </c>
      <c r="D313">
        <v>2033</v>
      </c>
      <c r="E313" t="s">
        <v>144</v>
      </c>
      <c r="F313">
        <v>26.05</v>
      </c>
      <c r="J313" s="18" t="s">
        <v>121</v>
      </c>
      <c r="K313" s="18">
        <v>2027</v>
      </c>
      <c r="L313" s="18" t="s">
        <v>174</v>
      </c>
      <c r="M313" s="18">
        <v>936.5</v>
      </c>
      <c r="P313" s="18" t="s">
        <v>121</v>
      </c>
      <c r="Q313" s="18">
        <v>2027</v>
      </c>
      <c r="R313" s="18" t="s">
        <v>175</v>
      </c>
      <c r="S313" s="18">
        <f t="shared" si="30"/>
        <v>0</v>
      </c>
      <c r="U313">
        <v>46.825000000000003</v>
      </c>
      <c r="Z313" s="42" t="s">
        <v>118</v>
      </c>
      <c r="AA313" s="42">
        <v>2023</v>
      </c>
      <c r="AB313" s="42" t="s">
        <v>146</v>
      </c>
      <c r="AC313" s="42">
        <v>59.14</v>
      </c>
    </row>
    <row r="314" spans="3:29">
      <c r="C314" t="s">
        <v>114</v>
      </c>
      <c r="D314">
        <v>2034</v>
      </c>
      <c r="E314" t="s">
        <v>145</v>
      </c>
      <c r="F314">
        <v>0.56000000000000005</v>
      </c>
      <c r="J314" s="18" t="s">
        <v>121</v>
      </c>
      <c r="K314" s="18">
        <v>2028</v>
      </c>
      <c r="L314" s="18" t="s">
        <v>174</v>
      </c>
      <c r="M314" s="18">
        <v>988.18</v>
      </c>
      <c r="P314" s="18" t="s">
        <v>121</v>
      </c>
      <c r="Q314" s="18">
        <v>2028</v>
      </c>
      <c r="R314" s="18" t="s">
        <v>175</v>
      </c>
      <c r="S314" s="18">
        <f t="shared" si="30"/>
        <v>0</v>
      </c>
      <c r="U314">
        <v>49.408999999999999</v>
      </c>
      <c r="Z314" s="42" t="s">
        <v>118</v>
      </c>
      <c r="AA314" s="42">
        <v>2023</v>
      </c>
      <c r="AB314" s="42" t="s">
        <v>147</v>
      </c>
      <c r="AC314" s="42">
        <v>562.28</v>
      </c>
    </row>
    <row r="315" spans="3:29">
      <c r="C315" t="s">
        <v>114</v>
      </c>
      <c r="D315">
        <v>2034</v>
      </c>
      <c r="E315" t="s">
        <v>141</v>
      </c>
      <c r="F315">
        <v>300.73</v>
      </c>
      <c r="J315" s="18" t="s">
        <v>121</v>
      </c>
      <c r="K315" s="18">
        <v>2029</v>
      </c>
      <c r="L315" s="18" t="s">
        <v>174</v>
      </c>
      <c r="M315" s="18">
        <v>1042.01</v>
      </c>
      <c r="P315" s="18" t="s">
        <v>121</v>
      </c>
      <c r="Q315" s="18">
        <v>2029</v>
      </c>
      <c r="R315" s="18" t="s">
        <v>175</v>
      </c>
      <c r="S315" s="18">
        <f t="shared" si="30"/>
        <v>0</v>
      </c>
      <c r="U315">
        <v>52.100499999999997</v>
      </c>
      <c r="Z315" s="42" t="s">
        <v>118</v>
      </c>
      <c r="AA315" s="42">
        <v>2023</v>
      </c>
      <c r="AB315" s="42" t="s">
        <v>145</v>
      </c>
      <c r="AC315" s="42">
        <v>1873.77</v>
      </c>
    </row>
    <row r="316" spans="3:29">
      <c r="C316" t="s">
        <v>114</v>
      </c>
      <c r="D316">
        <v>2034</v>
      </c>
      <c r="E316" t="s">
        <v>142</v>
      </c>
      <c r="F316">
        <v>911.02</v>
      </c>
      <c r="J316" s="18" t="s">
        <v>121</v>
      </c>
      <c r="K316" s="18">
        <v>2030</v>
      </c>
      <c r="L316" s="18" t="s">
        <v>174</v>
      </c>
      <c r="M316" s="18">
        <v>1097.6199999999999</v>
      </c>
      <c r="P316" s="18" t="s">
        <v>121</v>
      </c>
      <c r="Q316" s="18">
        <v>2030</v>
      </c>
      <c r="R316" s="18" t="s">
        <v>175</v>
      </c>
      <c r="S316" s="18">
        <f t="shared" si="30"/>
        <v>0</v>
      </c>
      <c r="U316">
        <v>54.880999999999993</v>
      </c>
      <c r="Z316" s="42" t="s">
        <v>118</v>
      </c>
      <c r="AA316" s="42">
        <v>2024</v>
      </c>
      <c r="AB316" s="42" t="s">
        <v>146</v>
      </c>
      <c r="AC316" s="42">
        <v>59.23</v>
      </c>
    </row>
    <row r="317" spans="3:29">
      <c r="C317" t="s">
        <v>114</v>
      </c>
      <c r="D317">
        <v>2034</v>
      </c>
      <c r="E317" t="s">
        <v>143</v>
      </c>
      <c r="F317">
        <v>656.98</v>
      </c>
      <c r="J317" s="18" t="s">
        <v>121</v>
      </c>
      <c r="K317" s="18">
        <v>2031</v>
      </c>
      <c r="L317" s="18" t="s">
        <v>174</v>
      </c>
      <c r="M317" s="18">
        <v>1148.4000000000001</v>
      </c>
      <c r="P317" s="18" t="s">
        <v>121</v>
      </c>
      <c r="Q317" s="18">
        <v>2031</v>
      </c>
      <c r="R317" s="18" t="s">
        <v>175</v>
      </c>
      <c r="S317" s="18">
        <f t="shared" si="30"/>
        <v>0</v>
      </c>
      <c r="U317">
        <v>57.42</v>
      </c>
      <c r="Z317" s="42" t="s">
        <v>118</v>
      </c>
      <c r="AA317" s="42">
        <v>2024</v>
      </c>
      <c r="AB317" s="42" t="s">
        <v>147</v>
      </c>
      <c r="AC317" s="42">
        <v>561.48</v>
      </c>
    </row>
    <row r="318" spans="3:29">
      <c r="C318" t="s">
        <v>114</v>
      </c>
      <c r="D318">
        <v>2034</v>
      </c>
      <c r="E318" t="s">
        <v>144</v>
      </c>
      <c r="F318">
        <v>26.5</v>
      </c>
      <c r="J318" s="18" t="s">
        <v>121</v>
      </c>
      <c r="K318" s="18">
        <v>2032</v>
      </c>
      <c r="L318" s="18" t="s">
        <v>174</v>
      </c>
      <c r="M318" s="18">
        <v>1199.75</v>
      </c>
      <c r="P318" s="18" t="s">
        <v>121</v>
      </c>
      <c r="Q318" s="18">
        <v>2032</v>
      </c>
      <c r="R318" s="18" t="s">
        <v>175</v>
      </c>
      <c r="S318" s="18">
        <f t="shared" si="30"/>
        <v>0</v>
      </c>
      <c r="U318">
        <v>59.987499999999997</v>
      </c>
      <c r="Z318" s="42" t="s">
        <v>118</v>
      </c>
      <c r="AA318" s="42">
        <v>2024</v>
      </c>
      <c r="AB318" s="42" t="s">
        <v>145</v>
      </c>
      <c r="AC318" s="42">
        <v>1889.74</v>
      </c>
    </row>
    <row r="319" spans="3:29">
      <c r="C319" t="s">
        <v>114</v>
      </c>
      <c r="D319">
        <v>2035</v>
      </c>
      <c r="E319" t="s">
        <v>145</v>
      </c>
      <c r="F319">
        <v>0.6</v>
      </c>
      <c r="J319" s="18" t="s">
        <v>121</v>
      </c>
      <c r="K319" s="18">
        <v>2033</v>
      </c>
      <c r="L319" s="18" t="s">
        <v>174</v>
      </c>
      <c r="M319" s="18">
        <v>1252.3599999999999</v>
      </c>
      <c r="P319" s="18" t="s">
        <v>121</v>
      </c>
      <c r="Q319" s="18">
        <v>2033</v>
      </c>
      <c r="R319" s="18" t="s">
        <v>175</v>
      </c>
      <c r="S319" s="18">
        <f t="shared" si="30"/>
        <v>0</v>
      </c>
      <c r="U319">
        <v>62.617999999999995</v>
      </c>
      <c r="Z319" s="42" t="s">
        <v>118</v>
      </c>
      <c r="AA319" s="42">
        <v>2025</v>
      </c>
      <c r="AB319" s="42" t="s">
        <v>146</v>
      </c>
      <c r="AC319" s="42">
        <v>59.33</v>
      </c>
    </row>
    <row r="320" spans="3:29">
      <c r="C320" t="s">
        <v>114</v>
      </c>
      <c r="D320">
        <v>2035</v>
      </c>
      <c r="E320" t="s">
        <v>141</v>
      </c>
      <c r="F320">
        <v>308.57</v>
      </c>
      <c r="J320" s="18" t="s">
        <v>121</v>
      </c>
      <c r="K320" s="18">
        <v>2034</v>
      </c>
      <c r="L320" s="18" t="s">
        <v>174</v>
      </c>
      <c r="M320" s="18">
        <v>1306.24</v>
      </c>
      <c r="P320" s="18" t="s">
        <v>121</v>
      </c>
      <c r="Q320" s="18">
        <v>2034</v>
      </c>
      <c r="R320" s="18" t="s">
        <v>175</v>
      </c>
      <c r="S320" s="18">
        <f t="shared" si="30"/>
        <v>0</v>
      </c>
      <c r="U320">
        <v>65.311999999999998</v>
      </c>
      <c r="Z320" s="42" t="s">
        <v>118</v>
      </c>
      <c r="AA320" s="42">
        <v>2025</v>
      </c>
      <c r="AB320" s="42" t="s">
        <v>147</v>
      </c>
      <c r="AC320" s="42">
        <v>560.79</v>
      </c>
    </row>
    <row r="321" spans="3:29">
      <c r="C321" t="s">
        <v>114</v>
      </c>
      <c r="D321">
        <v>2035</v>
      </c>
      <c r="E321" t="s">
        <v>142</v>
      </c>
      <c r="F321">
        <v>937.54</v>
      </c>
      <c r="J321" s="18" t="s">
        <v>121</v>
      </c>
      <c r="K321" s="18">
        <v>2035</v>
      </c>
      <c r="L321" s="18" t="s">
        <v>174</v>
      </c>
      <c r="M321" s="18">
        <v>1360.96</v>
      </c>
      <c r="P321" s="18" t="s">
        <v>121</v>
      </c>
      <c r="Q321" s="18">
        <v>2035</v>
      </c>
      <c r="R321" s="18" t="s">
        <v>175</v>
      </c>
      <c r="S321" s="18">
        <f t="shared" si="30"/>
        <v>0</v>
      </c>
      <c r="U321">
        <v>68.048000000000002</v>
      </c>
      <c r="Z321" s="42" t="s">
        <v>118</v>
      </c>
      <c r="AA321" s="42">
        <v>2025</v>
      </c>
      <c r="AB321" s="42" t="s">
        <v>145</v>
      </c>
      <c r="AC321" s="42">
        <v>1904.88</v>
      </c>
    </row>
    <row r="322" spans="3:29">
      <c r="C322" t="s">
        <v>114</v>
      </c>
      <c r="D322">
        <v>2035</v>
      </c>
      <c r="E322" t="s">
        <v>143</v>
      </c>
      <c r="F322">
        <v>683.81</v>
      </c>
      <c r="J322" s="18" t="s">
        <v>121</v>
      </c>
      <c r="K322" s="18">
        <v>2036</v>
      </c>
      <c r="L322" s="18" t="s">
        <v>174</v>
      </c>
      <c r="M322" s="18">
        <v>1420.89</v>
      </c>
      <c r="P322" s="18" t="s">
        <v>121</v>
      </c>
      <c r="Q322" s="18">
        <v>2036</v>
      </c>
      <c r="R322" s="18" t="s">
        <v>175</v>
      </c>
      <c r="S322" s="18">
        <f t="shared" si="30"/>
        <v>0</v>
      </c>
      <c r="U322">
        <v>71.044499999999999</v>
      </c>
      <c r="Z322" s="42" t="s">
        <v>118</v>
      </c>
      <c r="AA322" s="42">
        <v>2026</v>
      </c>
      <c r="AB322" s="42" t="s">
        <v>146</v>
      </c>
      <c r="AC322" s="42">
        <v>59.5</v>
      </c>
    </row>
    <row r="323" spans="3:29">
      <c r="C323" t="s">
        <v>114</v>
      </c>
      <c r="D323">
        <v>2035</v>
      </c>
      <c r="E323" t="s">
        <v>144</v>
      </c>
      <c r="F323">
        <v>27.04</v>
      </c>
      <c r="J323" s="18" t="s">
        <v>121</v>
      </c>
      <c r="K323" s="18">
        <v>2037</v>
      </c>
      <c r="L323" s="18" t="s">
        <v>174</v>
      </c>
      <c r="M323" s="18">
        <v>1482.76</v>
      </c>
      <c r="P323" s="18" t="s">
        <v>121</v>
      </c>
      <c r="Q323" s="18">
        <v>2037</v>
      </c>
      <c r="R323" s="18" t="s">
        <v>175</v>
      </c>
      <c r="S323" s="18">
        <f t="shared" si="30"/>
        <v>0</v>
      </c>
      <c r="U323">
        <v>74.138000000000005</v>
      </c>
      <c r="Z323" s="42" t="s">
        <v>118</v>
      </c>
      <c r="AA323" s="42">
        <v>2026</v>
      </c>
      <c r="AB323" s="42" t="s">
        <v>147</v>
      </c>
      <c r="AC323" s="42">
        <v>560.96</v>
      </c>
    </row>
    <row r="324" spans="3:29">
      <c r="C324" t="s">
        <v>114</v>
      </c>
      <c r="D324">
        <v>2036</v>
      </c>
      <c r="E324" t="s">
        <v>145</v>
      </c>
      <c r="F324">
        <v>0.64</v>
      </c>
      <c r="J324" s="18" t="s">
        <v>121</v>
      </c>
      <c r="K324" s="18">
        <v>2038</v>
      </c>
      <c r="L324" s="18" t="s">
        <v>174</v>
      </c>
      <c r="M324" s="18">
        <v>1546.37</v>
      </c>
      <c r="P324" s="18" t="s">
        <v>121</v>
      </c>
      <c r="Q324" s="18">
        <v>2038</v>
      </c>
      <c r="R324" s="18" t="s">
        <v>175</v>
      </c>
      <c r="S324" s="18">
        <f t="shared" si="30"/>
        <v>0</v>
      </c>
      <c r="U324">
        <v>77.3185</v>
      </c>
      <c r="Z324" s="42" t="s">
        <v>118</v>
      </c>
      <c r="AA324" s="42">
        <v>2026</v>
      </c>
      <c r="AB324" s="42" t="s">
        <v>145</v>
      </c>
      <c r="AC324" s="42">
        <v>1923.81</v>
      </c>
    </row>
    <row r="325" spans="3:29">
      <c r="C325" t="s">
        <v>114</v>
      </c>
      <c r="D325">
        <v>2036</v>
      </c>
      <c r="E325" t="s">
        <v>141</v>
      </c>
      <c r="F325">
        <v>314.87</v>
      </c>
      <c r="J325" s="18" t="s">
        <v>121</v>
      </c>
      <c r="K325" s="18">
        <v>2039</v>
      </c>
      <c r="L325" s="18" t="s">
        <v>174</v>
      </c>
      <c r="M325" s="18">
        <v>1611.55</v>
      </c>
      <c r="P325" s="18" t="s">
        <v>121</v>
      </c>
      <c r="Q325" s="18">
        <v>2039</v>
      </c>
      <c r="R325" s="18" t="s">
        <v>175</v>
      </c>
      <c r="S325" s="18">
        <f t="shared" si="30"/>
        <v>0</v>
      </c>
      <c r="U325">
        <v>80.577500000000001</v>
      </c>
      <c r="Z325" s="42" t="s">
        <v>118</v>
      </c>
      <c r="AA325" s="42">
        <v>2027</v>
      </c>
      <c r="AB325" s="42" t="s">
        <v>146</v>
      </c>
      <c r="AC325" s="42">
        <v>59.69</v>
      </c>
    </row>
    <row r="326" spans="3:29">
      <c r="C326" t="s">
        <v>114</v>
      </c>
      <c r="D326">
        <v>2036</v>
      </c>
      <c r="E326" t="s">
        <v>142</v>
      </c>
      <c r="F326">
        <v>955.98</v>
      </c>
      <c r="J326" s="18" t="s">
        <v>121</v>
      </c>
      <c r="K326" s="18">
        <v>2040</v>
      </c>
      <c r="L326" s="18" t="s">
        <v>174</v>
      </c>
      <c r="M326" s="18">
        <v>1678.48</v>
      </c>
      <c r="P326" s="18" t="s">
        <v>121</v>
      </c>
      <c r="Q326" s="18">
        <v>2040</v>
      </c>
      <c r="R326" s="18" t="s">
        <v>175</v>
      </c>
      <c r="S326" s="18">
        <f t="shared" si="30"/>
        <v>83.924000000000007</v>
      </c>
      <c r="U326">
        <v>83.924000000000007</v>
      </c>
      <c r="Z326" s="42" t="s">
        <v>118</v>
      </c>
      <c r="AA326" s="42">
        <v>2027</v>
      </c>
      <c r="AB326" s="42" t="s">
        <v>147</v>
      </c>
      <c r="AC326" s="42">
        <v>561.35</v>
      </c>
    </row>
    <row r="327" spans="3:29">
      <c r="C327" t="s">
        <v>114</v>
      </c>
      <c r="D327">
        <v>2036</v>
      </c>
      <c r="E327" t="s">
        <v>143</v>
      </c>
      <c r="F327">
        <v>708.43</v>
      </c>
      <c r="J327" s="18" t="s">
        <v>121</v>
      </c>
      <c r="K327" s="18">
        <v>2041</v>
      </c>
      <c r="L327" s="18" t="s">
        <v>174</v>
      </c>
      <c r="M327" s="18">
        <v>1745.03</v>
      </c>
      <c r="P327" s="18" t="s">
        <v>121</v>
      </c>
      <c r="Q327" s="18">
        <v>2041</v>
      </c>
      <c r="R327" s="18" t="s">
        <v>175</v>
      </c>
      <c r="S327" s="18">
        <f t="shared" si="30"/>
        <v>87.251499999999993</v>
      </c>
      <c r="U327">
        <v>87.251499999999993</v>
      </c>
      <c r="Z327" s="42" t="s">
        <v>118</v>
      </c>
      <c r="AA327" s="42">
        <v>2027</v>
      </c>
      <c r="AB327" s="42" t="s">
        <v>145</v>
      </c>
      <c r="AC327" s="42">
        <v>1942.63</v>
      </c>
    </row>
    <row r="328" spans="3:29">
      <c r="C328" t="s">
        <v>114</v>
      </c>
      <c r="D328">
        <v>2036</v>
      </c>
      <c r="E328" t="s">
        <v>144</v>
      </c>
      <c r="F328">
        <v>27.68</v>
      </c>
      <c r="J328" s="18" t="s">
        <v>121</v>
      </c>
      <c r="K328" s="18">
        <v>2042</v>
      </c>
      <c r="L328" s="18" t="s">
        <v>174</v>
      </c>
      <c r="M328" s="18">
        <v>1813.5</v>
      </c>
      <c r="P328" s="18" t="s">
        <v>121</v>
      </c>
      <c r="Q328" s="18">
        <v>2042</v>
      </c>
      <c r="R328" s="18" t="s">
        <v>175</v>
      </c>
      <c r="S328" s="18">
        <f t="shared" si="30"/>
        <v>90.674999999999997</v>
      </c>
      <c r="U328">
        <v>90.674999999999997</v>
      </c>
      <c r="Z328" s="42" t="s">
        <v>118</v>
      </c>
      <c r="AA328" s="42">
        <v>2028</v>
      </c>
      <c r="AB328" s="42" t="s">
        <v>146</v>
      </c>
      <c r="AC328" s="42">
        <v>59.91</v>
      </c>
    </row>
    <row r="329" spans="3:29">
      <c r="C329" t="s">
        <v>114</v>
      </c>
      <c r="D329">
        <v>2037</v>
      </c>
      <c r="E329" t="s">
        <v>145</v>
      </c>
      <c r="F329">
        <v>0.68</v>
      </c>
      <c r="J329" s="18" t="s">
        <v>121</v>
      </c>
      <c r="K329" s="18">
        <v>2043</v>
      </c>
      <c r="L329" s="18" t="s">
        <v>174</v>
      </c>
      <c r="M329" s="18">
        <v>1883.41</v>
      </c>
      <c r="P329" s="18" t="s">
        <v>121</v>
      </c>
      <c r="Q329" s="18">
        <v>2043</v>
      </c>
      <c r="R329" s="18" t="s">
        <v>175</v>
      </c>
      <c r="S329" s="18">
        <f t="shared" si="30"/>
        <v>94.170500000000004</v>
      </c>
      <c r="U329">
        <v>94.170500000000004</v>
      </c>
      <c r="Z329" s="42" t="s">
        <v>118</v>
      </c>
      <c r="AA329" s="42">
        <v>2028</v>
      </c>
      <c r="AB329" s="42" t="s">
        <v>147</v>
      </c>
      <c r="AC329" s="42">
        <v>562.25</v>
      </c>
    </row>
    <row r="330" spans="3:29">
      <c r="C330" t="s">
        <v>114</v>
      </c>
      <c r="D330">
        <v>2037</v>
      </c>
      <c r="E330" t="s">
        <v>141</v>
      </c>
      <c r="F330">
        <v>321.20999999999998</v>
      </c>
      <c r="J330" s="18" t="s">
        <v>121</v>
      </c>
      <c r="K330" s="18">
        <v>2044</v>
      </c>
      <c r="L330" s="18" t="s">
        <v>174</v>
      </c>
      <c r="M330" s="18">
        <v>1954.06</v>
      </c>
      <c r="P330" s="18" t="s">
        <v>121</v>
      </c>
      <c r="Q330" s="18">
        <v>2044</v>
      </c>
      <c r="R330" s="18" t="s">
        <v>175</v>
      </c>
      <c r="S330" s="18">
        <f t="shared" ref="S330:S393" si="31">IF(Q330&lt;2040, 0,U330)</f>
        <v>97.703000000000003</v>
      </c>
      <c r="U330">
        <v>97.703000000000003</v>
      </c>
      <c r="Z330" s="42" t="s">
        <v>118</v>
      </c>
      <c r="AA330" s="42">
        <v>2028</v>
      </c>
      <c r="AB330" s="42" t="s">
        <v>145</v>
      </c>
      <c r="AC330" s="42">
        <v>1963.53</v>
      </c>
    </row>
    <row r="331" spans="3:29">
      <c r="C331" t="s">
        <v>114</v>
      </c>
      <c r="D331">
        <v>2037</v>
      </c>
      <c r="E331" t="s">
        <v>142</v>
      </c>
      <c r="F331">
        <v>983.53</v>
      </c>
      <c r="J331" s="18" t="s">
        <v>121</v>
      </c>
      <c r="K331" s="18">
        <v>2045</v>
      </c>
      <c r="L331" s="18" t="s">
        <v>174</v>
      </c>
      <c r="M331" s="18">
        <v>2025.61</v>
      </c>
      <c r="P331" s="18" t="s">
        <v>121</v>
      </c>
      <c r="Q331" s="18">
        <v>2045</v>
      </c>
      <c r="R331" s="18" t="s">
        <v>175</v>
      </c>
      <c r="S331" s="18">
        <f t="shared" si="31"/>
        <v>101.28049999999999</v>
      </c>
      <c r="U331">
        <v>101.28049999999999</v>
      </c>
      <c r="Z331" s="42" t="s">
        <v>118</v>
      </c>
      <c r="AA331" s="42">
        <v>2029</v>
      </c>
      <c r="AB331" s="42" t="s">
        <v>146</v>
      </c>
      <c r="AC331" s="42">
        <v>60.16</v>
      </c>
    </row>
    <row r="332" spans="3:29">
      <c r="C332" t="s">
        <v>114</v>
      </c>
      <c r="D332">
        <v>2037</v>
      </c>
      <c r="E332" t="s">
        <v>143</v>
      </c>
      <c r="F332">
        <v>733.76</v>
      </c>
      <c r="J332" s="18" t="s">
        <v>121</v>
      </c>
      <c r="K332" s="18">
        <v>2046</v>
      </c>
      <c r="L332" s="18" t="s">
        <v>174</v>
      </c>
      <c r="M332" s="18">
        <v>2101.02</v>
      </c>
      <c r="P332" s="18" t="s">
        <v>121</v>
      </c>
      <c r="Q332" s="18">
        <v>2046</v>
      </c>
      <c r="R332" s="18" t="s">
        <v>175</v>
      </c>
      <c r="S332" s="18">
        <f t="shared" si="31"/>
        <v>105.051</v>
      </c>
      <c r="U332">
        <v>105.051</v>
      </c>
      <c r="Z332" s="42" t="s">
        <v>118</v>
      </c>
      <c r="AA332" s="42">
        <v>2029</v>
      </c>
      <c r="AB332" s="42" t="s">
        <v>147</v>
      </c>
      <c r="AC332" s="42">
        <v>563.37</v>
      </c>
    </row>
    <row r="333" spans="3:29">
      <c r="C333" t="s">
        <v>114</v>
      </c>
      <c r="D333">
        <v>2037</v>
      </c>
      <c r="E333" t="s">
        <v>144</v>
      </c>
      <c r="F333">
        <v>28.36</v>
      </c>
      <c r="J333" s="18" t="s">
        <v>121</v>
      </c>
      <c r="K333" s="18">
        <v>2047</v>
      </c>
      <c r="L333" s="18" t="s">
        <v>174</v>
      </c>
      <c r="M333" s="18">
        <v>2177.12</v>
      </c>
      <c r="P333" s="18" t="s">
        <v>121</v>
      </c>
      <c r="Q333" s="18">
        <v>2047</v>
      </c>
      <c r="R333" s="18" t="s">
        <v>175</v>
      </c>
      <c r="S333" s="18">
        <f t="shared" si="31"/>
        <v>108.85599999999999</v>
      </c>
      <c r="U333">
        <v>108.85599999999999</v>
      </c>
      <c r="Z333" s="42" t="s">
        <v>118</v>
      </c>
      <c r="AA333" s="42">
        <v>2029</v>
      </c>
      <c r="AB333" s="42" t="s">
        <v>145</v>
      </c>
      <c r="AC333" s="42">
        <v>1985.11</v>
      </c>
    </row>
    <row r="334" spans="3:29">
      <c r="C334" t="s">
        <v>114</v>
      </c>
      <c r="D334">
        <v>2038</v>
      </c>
      <c r="E334" t="s">
        <v>145</v>
      </c>
      <c r="F334">
        <v>0.73</v>
      </c>
      <c r="J334" s="18" t="s">
        <v>121</v>
      </c>
      <c r="K334" s="18">
        <v>2048</v>
      </c>
      <c r="L334" s="18" t="s">
        <v>174</v>
      </c>
      <c r="M334" s="18">
        <v>2252.73</v>
      </c>
      <c r="P334" s="18" t="s">
        <v>121</v>
      </c>
      <c r="Q334" s="18">
        <v>2048</v>
      </c>
      <c r="R334" s="18" t="s">
        <v>175</v>
      </c>
      <c r="S334" s="18">
        <f t="shared" si="31"/>
        <v>112.6365</v>
      </c>
      <c r="U334">
        <v>112.6365</v>
      </c>
      <c r="Z334" s="42" t="s">
        <v>118</v>
      </c>
      <c r="AA334" s="42">
        <v>2030</v>
      </c>
      <c r="AB334" s="42" t="s">
        <v>146</v>
      </c>
      <c r="AC334" s="42">
        <v>60.41</v>
      </c>
    </row>
    <row r="335" spans="3:29">
      <c r="C335" t="s">
        <v>114</v>
      </c>
      <c r="D335">
        <v>2038</v>
      </c>
      <c r="E335" t="s">
        <v>141</v>
      </c>
      <c r="F335">
        <v>327.57</v>
      </c>
      <c r="J335" s="18" t="s">
        <v>121</v>
      </c>
      <c r="K335" s="18">
        <v>2049</v>
      </c>
      <c r="L335" s="18" t="s">
        <v>174</v>
      </c>
      <c r="M335" s="18">
        <v>2327.39</v>
      </c>
      <c r="P335" s="18" t="s">
        <v>121</v>
      </c>
      <c r="Q335" s="18">
        <v>2049</v>
      </c>
      <c r="R335" s="18" t="s">
        <v>175</v>
      </c>
      <c r="S335" s="18">
        <f t="shared" si="31"/>
        <v>116.36949999999999</v>
      </c>
      <c r="U335">
        <v>116.36949999999999</v>
      </c>
      <c r="Z335" s="42" t="s">
        <v>118</v>
      </c>
      <c r="AA335" s="42">
        <v>2030</v>
      </c>
      <c r="AB335" s="42" t="s">
        <v>147</v>
      </c>
      <c r="AC335" s="42">
        <v>564.51</v>
      </c>
    </row>
    <row r="336" spans="3:29">
      <c r="C336" t="s">
        <v>114</v>
      </c>
      <c r="D336">
        <v>2038</v>
      </c>
      <c r="E336" t="s">
        <v>142</v>
      </c>
      <c r="F336">
        <v>1008.95</v>
      </c>
      <c r="J336" s="18" t="s">
        <v>121</v>
      </c>
      <c r="K336" s="18">
        <v>2050</v>
      </c>
      <c r="L336" s="18" t="s">
        <v>174</v>
      </c>
      <c r="M336" s="18">
        <v>2404.63</v>
      </c>
      <c r="P336" s="18" t="s">
        <v>121</v>
      </c>
      <c r="Q336" s="18">
        <v>2050</v>
      </c>
      <c r="R336" s="18" t="s">
        <v>175</v>
      </c>
      <c r="S336" s="18">
        <f t="shared" si="31"/>
        <v>120.23150000000001</v>
      </c>
      <c r="U336">
        <v>120.23150000000001</v>
      </c>
      <c r="Z336" s="42" t="s">
        <v>118</v>
      </c>
      <c r="AA336" s="42">
        <v>2030</v>
      </c>
      <c r="AB336" s="42" t="s">
        <v>145</v>
      </c>
      <c r="AC336" s="42">
        <v>2006.97</v>
      </c>
    </row>
    <row r="337" spans="3:29">
      <c r="C337" t="s">
        <v>114</v>
      </c>
      <c r="D337">
        <v>2038</v>
      </c>
      <c r="E337" t="s">
        <v>143</v>
      </c>
      <c r="F337">
        <v>759.82</v>
      </c>
      <c r="J337" s="18" t="s">
        <v>122</v>
      </c>
      <c r="K337" s="18">
        <v>2010</v>
      </c>
      <c r="L337" s="18" t="s">
        <v>174</v>
      </c>
      <c r="M337" s="18">
        <v>1223.06</v>
      </c>
      <c r="P337" s="18" t="s">
        <v>122</v>
      </c>
      <c r="Q337" s="18">
        <v>2010</v>
      </c>
      <c r="R337" s="18" t="s">
        <v>175</v>
      </c>
      <c r="S337" s="18">
        <f t="shared" si="31"/>
        <v>0</v>
      </c>
      <c r="U337">
        <v>61.152999999999999</v>
      </c>
      <c r="Z337" s="42" t="s">
        <v>118</v>
      </c>
      <c r="AA337" s="42">
        <v>2031</v>
      </c>
      <c r="AB337" s="42" t="s">
        <v>146</v>
      </c>
      <c r="AC337" s="42">
        <v>60.62</v>
      </c>
    </row>
    <row r="338" spans="3:29">
      <c r="C338" t="s">
        <v>114</v>
      </c>
      <c r="D338">
        <v>2038</v>
      </c>
      <c r="E338" t="s">
        <v>144</v>
      </c>
      <c r="F338">
        <v>29.02</v>
      </c>
      <c r="J338" s="18" t="s">
        <v>122</v>
      </c>
      <c r="K338" s="18">
        <v>2011</v>
      </c>
      <c r="L338" s="18" t="s">
        <v>174</v>
      </c>
      <c r="M338" s="18">
        <v>1256.77</v>
      </c>
      <c r="P338" s="18" t="s">
        <v>122</v>
      </c>
      <c r="Q338" s="18">
        <v>2011</v>
      </c>
      <c r="R338" s="18" t="s">
        <v>175</v>
      </c>
      <c r="S338" s="18">
        <f t="shared" si="31"/>
        <v>0</v>
      </c>
      <c r="U338">
        <v>62.838499999999996</v>
      </c>
      <c r="Z338" s="42" t="s">
        <v>118</v>
      </c>
      <c r="AA338" s="42">
        <v>2031</v>
      </c>
      <c r="AB338" s="42" t="s">
        <v>147</v>
      </c>
      <c r="AC338" s="42">
        <v>565.39</v>
      </c>
    </row>
    <row r="339" spans="3:29">
      <c r="C339" t="s">
        <v>114</v>
      </c>
      <c r="D339">
        <v>2039</v>
      </c>
      <c r="E339" t="s">
        <v>145</v>
      </c>
      <c r="F339">
        <v>0.77</v>
      </c>
      <c r="J339" s="18" t="s">
        <v>122</v>
      </c>
      <c r="K339" s="18">
        <v>2012</v>
      </c>
      <c r="L339" s="18" t="s">
        <v>174</v>
      </c>
      <c r="M339" s="18">
        <v>1154.8900000000001</v>
      </c>
      <c r="P339" s="18" t="s">
        <v>122</v>
      </c>
      <c r="Q339" s="18">
        <v>2012</v>
      </c>
      <c r="R339" s="18" t="s">
        <v>175</v>
      </c>
      <c r="S339" s="18">
        <f t="shared" si="31"/>
        <v>0</v>
      </c>
      <c r="U339">
        <v>57.744500000000002</v>
      </c>
      <c r="Z339" s="42" t="s">
        <v>118</v>
      </c>
      <c r="AA339" s="42">
        <v>2031</v>
      </c>
      <c r="AB339" s="42" t="s">
        <v>145</v>
      </c>
      <c r="AC339" s="42">
        <v>2027.24</v>
      </c>
    </row>
    <row r="340" spans="3:29">
      <c r="C340" t="s">
        <v>114</v>
      </c>
      <c r="D340">
        <v>2039</v>
      </c>
      <c r="E340" t="s">
        <v>141</v>
      </c>
      <c r="F340">
        <v>334</v>
      </c>
      <c r="J340" s="18" t="s">
        <v>122</v>
      </c>
      <c r="K340" s="18">
        <v>2013</v>
      </c>
      <c r="L340" s="18" t="s">
        <v>174</v>
      </c>
      <c r="M340" s="18">
        <v>1263.69</v>
      </c>
      <c r="P340" s="18" t="s">
        <v>122</v>
      </c>
      <c r="Q340" s="18">
        <v>2013</v>
      </c>
      <c r="R340" s="18" t="s">
        <v>175</v>
      </c>
      <c r="S340" s="18">
        <f t="shared" si="31"/>
        <v>0</v>
      </c>
      <c r="U340">
        <v>63.1845</v>
      </c>
      <c r="Z340" s="42" t="s">
        <v>118</v>
      </c>
      <c r="AA340" s="42">
        <v>2032</v>
      </c>
      <c r="AB340" s="42" t="s">
        <v>146</v>
      </c>
      <c r="AC340" s="42">
        <v>60.81</v>
      </c>
    </row>
    <row r="341" spans="3:29">
      <c r="C341" t="s">
        <v>114</v>
      </c>
      <c r="D341">
        <v>2039</v>
      </c>
      <c r="E341" t="s">
        <v>142</v>
      </c>
      <c r="F341">
        <v>1031.6199999999999</v>
      </c>
      <c r="J341" s="18" t="s">
        <v>122</v>
      </c>
      <c r="K341" s="18">
        <v>2014</v>
      </c>
      <c r="L341" s="18" t="s">
        <v>174</v>
      </c>
      <c r="M341" s="18">
        <v>1313.16</v>
      </c>
      <c r="P341" s="18" t="s">
        <v>122</v>
      </c>
      <c r="Q341" s="18">
        <v>2014</v>
      </c>
      <c r="R341" s="18" t="s">
        <v>175</v>
      </c>
      <c r="S341" s="18">
        <f t="shared" si="31"/>
        <v>0</v>
      </c>
      <c r="U341">
        <v>65.658000000000001</v>
      </c>
      <c r="Z341" s="42" t="s">
        <v>118</v>
      </c>
      <c r="AA341" s="42">
        <v>2032</v>
      </c>
      <c r="AB341" s="42" t="s">
        <v>147</v>
      </c>
      <c r="AC341" s="42">
        <v>566.02</v>
      </c>
    </row>
    <row r="342" spans="3:29">
      <c r="C342" t="s">
        <v>114</v>
      </c>
      <c r="D342">
        <v>2039</v>
      </c>
      <c r="E342" t="s">
        <v>143</v>
      </c>
      <c r="F342">
        <v>786.67</v>
      </c>
      <c r="J342" s="18" t="s">
        <v>122</v>
      </c>
      <c r="K342" s="18">
        <v>2015</v>
      </c>
      <c r="L342" s="18" t="s">
        <v>174</v>
      </c>
      <c r="M342" s="18">
        <v>1356.7</v>
      </c>
      <c r="P342" s="18" t="s">
        <v>122</v>
      </c>
      <c r="Q342" s="18">
        <v>2015</v>
      </c>
      <c r="R342" s="18" t="s">
        <v>175</v>
      </c>
      <c r="S342" s="18">
        <f t="shared" si="31"/>
        <v>0</v>
      </c>
      <c r="U342">
        <v>67.835000000000008</v>
      </c>
      <c r="Z342" s="42" t="s">
        <v>118</v>
      </c>
      <c r="AA342" s="42">
        <v>2032</v>
      </c>
      <c r="AB342" s="42" t="s">
        <v>145</v>
      </c>
      <c r="AC342" s="42">
        <v>2045.98</v>
      </c>
    </row>
    <row r="343" spans="3:29">
      <c r="C343" t="s">
        <v>114</v>
      </c>
      <c r="D343">
        <v>2039</v>
      </c>
      <c r="E343" t="s">
        <v>144</v>
      </c>
      <c r="F343">
        <v>29.79</v>
      </c>
      <c r="J343" s="18" t="s">
        <v>122</v>
      </c>
      <c r="K343" s="18">
        <v>2016</v>
      </c>
      <c r="L343" s="18" t="s">
        <v>174</v>
      </c>
      <c r="M343" s="18">
        <v>1279.78</v>
      </c>
      <c r="P343" s="18" t="s">
        <v>122</v>
      </c>
      <c r="Q343" s="18">
        <v>2016</v>
      </c>
      <c r="R343" s="18" t="s">
        <v>175</v>
      </c>
      <c r="S343" s="18">
        <f t="shared" si="31"/>
        <v>0</v>
      </c>
      <c r="U343">
        <v>63.988999999999997</v>
      </c>
      <c r="Z343" s="42" t="s">
        <v>118</v>
      </c>
      <c r="AA343" s="42">
        <v>2033</v>
      </c>
      <c r="AB343" s="42" t="s">
        <v>146</v>
      </c>
      <c r="AC343" s="42">
        <v>60.97</v>
      </c>
    </row>
    <row r="344" spans="3:29">
      <c r="C344" t="s">
        <v>114</v>
      </c>
      <c r="D344">
        <v>2040</v>
      </c>
      <c r="E344" t="s">
        <v>145</v>
      </c>
      <c r="F344">
        <v>0.81</v>
      </c>
      <c r="J344" s="18" t="s">
        <v>122</v>
      </c>
      <c r="K344" s="18">
        <v>2017</v>
      </c>
      <c r="L344" s="18" t="s">
        <v>174</v>
      </c>
      <c r="M344" s="18">
        <v>1293.17</v>
      </c>
      <c r="P344" s="18" t="s">
        <v>122</v>
      </c>
      <c r="Q344" s="18">
        <v>2017</v>
      </c>
      <c r="R344" s="18" t="s">
        <v>175</v>
      </c>
      <c r="S344" s="18">
        <f t="shared" si="31"/>
        <v>0</v>
      </c>
      <c r="U344">
        <v>64.658500000000004</v>
      </c>
      <c r="Z344" s="42" t="s">
        <v>118</v>
      </c>
      <c r="AA344" s="42">
        <v>2033</v>
      </c>
      <c r="AB344" s="42" t="s">
        <v>147</v>
      </c>
      <c r="AC344" s="42">
        <v>566.39</v>
      </c>
    </row>
    <row r="345" spans="3:29">
      <c r="C345" t="s">
        <v>114</v>
      </c>
      <c r="D345">
        <v>2040</v>
      </c>
      <c r="E345" t="s">
        <v>141</v>
      </c>
      <c r="F345">
        <v>340.44</v>
      </c>
      <c r="J345" s="18" t="s">
        <v>122</v>
      </c>
      <c r="K345" s="18">
        <v>2018</v>
      </c>
      <c r="L345" s="18" t="s">
        <v>174</v>
      </c>
      <c r="M345" s="18">
        <v>1304.51</v>
      </c>
      <c r="P345" s="18" t="s">
        <v>122</v>
      </c>
      <c r="Q345" s="18">
        <v>2018</v>
      </c>
      <c r="R345" s="18" t="s">
        <v>175</v>
      </c>
      <c r="S345" s="18">
        <f t="shared" si="31"/>
        <v>0</v>
      </c>
      <c r="U345">
        <v>65.225499999999997</v>
      </c>
      <c r="Z345" s="42" t="s">
        <v>118</v>
      </c>
      <c r="AA345" s="42">
        <v>2033</v>
      </c>
      <c r="AB345" s="42" t="s">
        <v>145</v>
      </c>
      <c r="AC345" s="42">
        <v>2062.5100000000002</v>
      </c>
    </row>
    <row r="346" spans="3:29">
      <c r="C346" t="s">
        <v>114</v>
      </c>
      <c r="D346">
        <v>2040</v>
      </c>
      <c r="E346" t="s">
        <v>142</v>
      </c>
      <c r="F346">
        <v>1057.4000000000001</v>
      </c>
      <c r="J346" s="18" t="s">
        <v>122</v>
      </c>
      <c r="K346" s="18">
        <v>2019</v>
      </c>
      <c r="L346" s="18" t="s">
        <v>174</v>
      </c>
      <c r="M346" s="18">
        <v>1324.01</v>
      </c>
      <c r="P346" s="18" t="s">
        <v>122</v>
      </c>
      <c r="Q346" s="18">
        <v>2019</v>
      </c>
      <c r="R346" s="18" t="s">
        <v>175</v>
      </c>
      <c r="S346" s="18">
        <f t="shared" si="31"/>
        <v>0</v>
      </c>
      <c r="U346">
        <v>66.200500000000005</v>
      </c>
      <c r="Z346" s="42" t="s">
        <v>118</v>
      </c>
      <c r="AA346" s="42">
        <v>2034</v>
      </c>
      <c r="AB346" s="42" t="s">
        <v>146</v>
      </c>
      <c r="AC346" s="42">
        <v>61.13</v>
      </c>
    </row>
    <row r="347" spans="3:29">
      <c r="C347" t="s">
        <v>114</v>
      </c>
      <c r="D347">
        <v>2040</v>
      </c>
      <c r="E347" t="s">
        <v>143</v>
      </c>
      <c r="F347">
        <v>814.1</v>
      </c>
      <c r="J347" s="18" t="s">
        <v>122</v>
      </c>
      <c r="K347" s="18">
        <v>2020</v>
      </c>
      <c r="L347" s="18" t="s">
        <v>174</v>
      </c>
      <c r="M347" s="18">
        <v>1332.27</v>
      </c>
      <c r="P347" s="18" t="s">
        <v>122</v>
      </c>
      <c r="Q347" s="18">
        <v>2020</v>
      </c>
      <c r="R347" s="18" t="s">
        <v>175</v>
      </c>
      <c r="S347" s="18">
        <f t="shared" si="31"/>
        <v>0</v>
      </c>
      <c r="U347">
        <v>66.613500000000002</v>
      </c>
      <c r="Z347" s="42" t="s">
        <v>118</v>
      </c>
      <c r="AA347" s="42">
        <v>2034</v>
      </c>
      <c r="AB347" s="42" t="s">
        <v>147</v>
      </c>
      <c r="AC347" s="42">
        <v>566.78</v>
      </c>
    </row>
    <row r="348" spans="3:29">
      <c r="C348" t="s">
        <v>114</v>
      </c>
      <c r="D348">
        <v>2040</v>
      </c>
      <c r="E348" t="s">
        <v>144</v>
      </c>
      <c r="F348">
        <v>30.64</v>
      </c>
      <c r="J348" s="18" t="s">
        <v>122</v>
      </c>
      <c r="K348" s="18">
        <v>2021</v>
      </c>
      <c r="L348" s="18" t="s">
        <v>174</v>
      </c>
      <c r="M348" s="18">
        <v>1347.55</v>
      </c>
      <c r="P348" s="18" t="s">
        <v>122</v>
      </c>
      <c r="Q348" s="18">
        <v>2021</v>
      </c>
      <c r="R348" s="18" t="s">
        <v>175</v>
      </c>
      <c r="S348" s="18">
        <f t="shared" si="31"/>
        <v>0</v>
      </c>
      <c r="U348">
        <v>67.377499999999998</v>
      </c>
      <c r="Z348" s="42" t="s">
        <v>118</v>
      </c>
      <c r="AA348" s="42">
        <v>2034</v>
      </c>
      <c r="AB348" s="42" t="s">
        <v>145</v>
      </c>
      <c r="AC348" s="42">
        <v>2078.5300000000002</v>
      </c>
    </row>
    <row r="349" spans="3:29">
      <c r="C349" t="s">
        <v>114</v>
      </c>
      <c r="D349">
        <v>2041</v>
      </c>
      <c r="E349" t="s">
        <v>145</v>
      </c>
      <c r="F349">
        <v>0.85</v>
      </c>
      <c r="J349" s="18" t="s">
        <v>122</v>
      </c>
      <c r="K349" s="18">
        <v>2022</v>
      </c>
      <c r="L349" s="18" t="s">
        <v>174</v>
      </c>
      <c r="M349" s="18">
        <v>1363.91</v>
      </c>
      <c r="P349" s="18" t="s">
        <v>122</v>
      </c>
      <c r="Q349" s="18">
        <v>2022</v>
      </c>
      <c r="R349" s="18" t="s">
        <v>175</v>
      </c>
      <c r="S349" s="18">
        <f t="shared" si="31"/>
        <v>0</v>
      </c>
      <c r="U349">
        <v>68.19550000000001</v>
      </c>
      <c r="Z349" s="42" t="s">
        <v>118</v>
      </c>
      <c r="AA349" s="42">
        <v>2035</v>
      </c>
      <c r="AB349" s="42" t="s">
        <v>146</v>
      </c>
      <c r="AC349" s="42">
        <v>61.27</v>
      </c>
    </row>
    <row r="350" spans="3:29">
      <c r="C350" t="s">
        <v>114</v>
      </c>
      <c r="D350">
        <v>2041</v>
      </c>
      <c r="E350" t="s">
        <v>141</v>
      </c>
      <c r="F350">
        <v>346.55</v>
      </c>
      <c r="J350" s="18" t="s">
        <v>122</v>
      </c>
      <c r="K350" s="18">
        <v>2023</v>
      </c>
      <c r="L350" s="18" t="s">
        <v>174</v>
      </c>
      <c r="M350" s="18">
        <v>1378.28</v>
      </c>
      <c r="P350" s="18" t="s">
        <v>122</v>
      </c>
      <c r="Q350" s="18">
        <v>2023</v>
      </c>
      <c r="R350" s="18" t="s">
        <v>175</v>
      </c>
      <c r="S350" s="18">
        <f t="shared" si="31"/>
        <v>0</v>
      </c>
      <c r="U350">
        <v>68.914000000000001</v>
      </c>
      <c r="Z350" s="42" t="s">
        <v>118</v>
      </c>
      <c r="AA350" s="42">
        <v>2035</v>
      </c>
      <c r="AB350" s="42" t="s">
        <v>147</v>
      </c>
      <c r="AC350" s="42">
        <v>567.09</v>
      </c>
    </row>
    <row r="351" spans="3:29">
      <c r="C351" t="s">
        <v>114</v>
      </c>
      <c r="D351">
        <v>2041</v>
      </c>
      <c r="E351" t="s">
        <v>142</v>
      </c>
      <c r="F351">
        <v>1083.42</v>
      </c>
      <c r="J351" s="18" t="s">
        <v>122</v>
      </c>
      <c r="K351" s="18">
        <v>2024</v>
      </c>
      <c r="L351" s="18" t="s">
        <v>174</v>
      </c>
      <c r="M351" s="18">
        <v>1390.02</v>
      </c>
      <c r="P351" s="18" t="s">
        <v>122</v>
      </c>
      <c r="Q351" s="18">
        <v>2024</v>
      </c>
      <c r="R351" s="18" t="s">
        <v>175</v>
      </c>
      <c r="S351" s="18">
        <f t="shared" si="31"/>
        <v>0</v>
      </c>
      <c r="U351">
        <v>69.501000000000005</v>
      </c>
      <c r="Z351" s="42" t="s">
        <v>118</v>
      </c>
      <c r="AA351" s="42">
        <v>2035</v>
      </c>
      <c r="AB351" s="42" t="s">
        <v>145</v>
      </c>
      <c r="AC351" s="42">
        <v>2093.69</v>
      </c>
    </row>
    <row r="352" spans="3:29">
      <c r="C352" t="s">
        <v>114</v>
      </c>
      <c r="D352">
        <v>2041</v>
      </c>
      <c r="E352" t="s">
        <v>143</v>
      </c>
      <c r="F352">
        <v>841.06</v>
      </c>
      <c r="J352" s="18" t="s">
        <v>122</v>
      </c>
      <c r="K352" s="18">
        <v>2025</v>
      </c>
      <c r="L352" s="18" t="s">
        <v>174</v>
      </c>
      <c r="M352" s="18">
        <v>1399.41</v>
      </c>
      <c r="P352" s="18" t="s">
        <v>122</v>
      </c>
      <c r="Q352" s="18">
        <v>2025</v>
      </c>
      <c r="R352" s="18" t="s">
        <v>175</v>
      </c>
      <c r="S352" s="18">
        <f t="shared" si="31"/>
        <v>0</v>
      </c>
      <c r="U352">
        <v>69.970500000000001</v>
      </c>
      <c r="Z352" s="42" t="s">
        <v>118</v>
      </c>
      <c r="AA352" s="42">
        <v>2036</v>
      </c>
      <c r="AB352" s="42" t="s">
        <v>146</v>
      </c>
      <c r="AC352" s="42">
        <v>61.4</v>
      </c>
    </row>
    <row r="353" spans="3:29">
      <c r="C353" t="s">
        <v>114</v>
      </c>
      <c r="D353">
        <v>2041</v>
      </c>
      <c r="E353" t="s">
        <v>144</v>
      </c>
      <c r="F353">
        <v>31.51</v>
      </c>
      <c r="J353" s="18" t="s">
        <v>122</v>
      </c>
      <c r="K353" s="18">
        <v>2026</v>
      </c>
      <c r="L353" s="18" t="s">
        <v>174</v>
      </c>
      <c r="M353" s="18">
        <v>1404.24</v>
      </c>
      <c r="P353" s="18" t="s">
        <v>122</v>
      </c>
      <c r="Q353" s="18">
        <v>2026</v>
      </c>
      <c r="R353" s="18" t="s">
        <v>175</v>
      </c>
      <c r="S353" s="18">
        <f t="shared" si="31"/>
        <v>0</v>
      </c>
      <c r="U353">
        <v>70.212000000000003</v>
      </c>
      <c r="Z353" s="42" t="s">
        <v>118</v>
      </c>
      <c r="AA353" s="42">
        <v>2036</v>
      </c>
      <c r="AB353" s="42" t="s">
        <v>147</v>
      </c>
      <c r="AC353" s="42">
        <v>567.30999999999995</v>
      </c>
    </row>
    <row r="354" spans="3:29">
      <c r="C354" t="s">
        <v>114</v>
      </c>
      <c r="D354">
        <v>2042</v>
      </c>
      <c r="E354" t="s">
        <v>145</v>
      </c>
      <c r="F354">
        <v>0.89</v>
      </c>
      <c r="J354" s="18" t="s">
        <v>122</v>
      </c>
      <c r="K354" s="18">
        <v>2027</v>
      </c>
      <c r="L354" s="18" t="s">
        <v>174</v>
      </c>
      <c r="M354" s="18">
        <v>1408.02</v>
      </c>
      <c r="P354" s="18" t="s">
        <v>122</v>
      </c>
      <c r="Q354" s="18">
        <v>2027</v>
      </c>
      <c r="R354" s="18" t="s">
        <v>175</v>
      </c>
      <c r="S354" s="18">
        <f t="shared" si="31"/>
        <v>0</v>
      </c>
      <c r="U354">
        <v>70.400999999999996</v>
      </c>
      <c r="Z354" s="42" t="s">
        <v>118</v>
      </c>
      <c r="AA354" s="42">
        <v>2036</v>
      </c>
      <c r="AB354" s="42" t="s">
        <v>145</v>
      </c>
      <c r="AC354" s="42">
        <v>2107.0100000000002</v>
      </c>
    </row>
    <row r="355" spans="3:29">
      <c r="C355" t="s">
        <v>114</v>
      </c>
      <c r="D355">
        <v>2042</v>
      </c>
      <c r="E355" t="s">
        <v>141</v>
      </c>
      <c r="F355">
        <v>352.64</v>
      </c>
      <c r="J355" s="18" t="s">
        <v>122</v>
      </c>
      <c r="K355" s="18">
        <v>2028</v>
      </c>
      <c r="L355" s="18" t="s">
        <v>174</v>
      </c>
      <c r="M355" s="18">
        <v>1412.42</v>
      </c>
      <c r="P355" s="18" t="s">
        <v>122</v>
      </c>
      <c r="Q355" s="18">
        <v>2028</v>
      </c>
      <c r="R355" s="18" t="s">
        <v>175</v>
      </c>
      <c r="S355" s="18">
        <f t="shared" si="31"/>
        <v>0</v>
      </c>
      <c r="U355">
        <v>70.621000000000009</v>
      </c>
      <c r="Z355" s="42" t="s">
        <v>118</v>
      </c>
      <c r="AA355" s="42">
        <v>2037</v>
      </c>
      <c r="AB355" s="42" t="s">
        <v>146</v>
      </c>
      <c r="AC355" s="42">
        <v>61.5</v>
      </c>
    </row>
    <row r="356" spans="3:29">
      <c r="C356" t="s">
        <v>114</v>
      </c>
      <c r="D356">
        <v>2042</v>
      </c>
      <c r="E356" t="s">
        <v>142</v>
      </c>
      <c r="F356">
        <v>1107.3699999999999</v>
      </c>
      <c r="J356" s="18" t="s">
        <v>122</v>
      </c>
      <c r="K356" s="18">
        <v>2029</v>
      </c>
      <c r="L356" s="18" t="s">
        <v>174</v>
      </c>
      <c r="M356" s="18">
        <v>1418.08</v>
      </c>
      <c r="P356" s="18" t="s">
        <v>122</v>
      </c>
      <c r="Q356" s="18">
        <v>2029</v>
      </c>
      <c r="R356" s="18" t="s">
        <v>175</v>
      </c>
      <c r="S356" s="18">
        <f t="shared" si="31"/>
        <v>0</v>
      </c>
      <c r="U356">
        <v>70.903999999999996</v>
      </c>
      <c r="Z356" s="42" t="s">
        <v>118</v>
      </c>
      <c r="AA356" s="42">
        <v>2037</v>
      </c>
      <c r="AB356" s="42" t="s">
        <v>147</v>
      </c>
      <c r="AC356" s="42">
        <v>567.27</v>
      </c>
    </row>
    <row r="357" spans="3:29">
      <c r="C357" t="s">
        <v>114</v>
      </c>
      <c r="D357">
        <v>2042</v>
      </c>
      <c r="E357" t="s">
        <v>143</v>
      </c>
      <c r="F357">
        <v>868.57</v>
      </c>
      <c r="J357" s="18" t="s">
        <v>122</v>
      </c>
      <c r="K357" s="18">
        <v>2030</v>
      </c>
      <c r="L357" s="18" t="s">
        <v>174</v>
      </c>
      <c r="M357" s="18">
        <v>1423.96</v>
      </c>
      <c r="P357" s="18" t="s">
        <v>122</v>
      </c>
      <c r="Q357" s="18">
        <v>2030</v>
      </c>
      <c r="R357" s="18" t="s">
        <v>175</v>
      </c>
      <c r="S357" s="18">
        <f t="shared" si="31"/>
        <v>0</v>
      </c>
      <c r="U357">
        <v>71.198000000000008</v>
      </c>
      <c r="Z357" s="42" t="s">
        <v>118</v>
      </c>
      <c r="AA357" s="42">
        <v>2037</v>
      </c>
      <c r="AB357" s="42" t="s">
        <v>145</v>
      </c>
      <c r="AC357" s="42">
        <v>2118.2399999999998</v>
      </c>
    </row>
    <row r="358" spans="3:29">
      <c r="C358" t="s">
        <v>114</v>
      </c>
      <c r="D358">
        <v>2042</v>
      </c>
      <c r="E358" t="s">
        <v>144</v>
      </c>
      <c r="F358">
        <v>32.44</v>
      </c>
      <c r="J358" s="18" t="s">
        <v>122</v>
      </c>
      <c r="K358" s="18">
        <v>2031</v>
      </c>
      <c r="L358" s="18" t="s">
        <v>174</v>
      </c>
      <c r="M358" s="18">
        <v>1428.96</v>
      </c>
      <c r="P358" s="18" t="s">
        <v>122</v>
      </c>
      <c r="Q358" s="18">
        <v>2031</v>
      </c>
      <c r="R358" s="18" t="s">
        <v>175</v>
      </c>
      <c r="S358" s="18">
        <f t="shared" si="31"/>
        <v>0</v>
      </c>
      <c r="U358">
        <v>71.448000000000008</v>
      </c>
      <c r="Z358" s="42" t="s">
        <v>118</v>
      </c>
      <c r="AA358" s="42">
        <v>2038</v>
      </c>
      <c r="AB358" s="42" t="s">
        <v>146</v>
      </c>
      <c r="AC358" s="42">
        <v>61.59</v>
      </c>
    </row>
    <row r="359" spans="3:29">
      <c r="C359" t="s">
        <v>114</v>
      </c>
      <c r="D359">
        <v>2043</v>
      </c>
      <c r="E359" t="s">
        <v>145</v>
      </c>
      <c r="F359">
        <v>0.93</v>
      </c>
      <c r="J359" s="18" t="s">
        <v>122</v>
      </c>
      <c r="K359" s="18">
        <v>2032</v>
      </c>
      <c r="L359" s="18" t="s">
        <v>174</v>
      </c>
      <c r="M359" s="18">
        <v>1432.55</v>
      </c>
      <c r="P359" s="18" t="s">
        <v>122</v>
      </c>
      <c r="Q359" s="18">
        <v>2032</v>
      </c>
      <c r="R359" s="18" t="s">
        <v>175</v>
      </c>
      <c r="S359" s="18">
        <f t="shared" si="31"/>
        <v>0</v>
      </c>
      <c r="U359">
        <v>71.627499999999998</v>
      </c>
      <c r="Z359" s="42" t="s">
        <v>118</v>
      </c>
      <c r="AA359" s="42">
        <v>2038</v>
      </c>
      <c r="AB359" s="42" t="s">
        <v>147</v>
      </c>
      <c r="AC359" s="42">
        <v>567.14</v>
      </c>
    </row>
    <row r="360" spans="3:29">
      <c r="C360" t="s">
        <v>114</v>
      </c>
      <c r="D360">
        <v>2043</v>
      </c>
      <c r="E360" t="s">
        <v>141</v>
      </c>
      <c r="F360">
        <v>358.73</v>
      </c>
      <c r="J360" s="18" t="s">
        <v>122</v>
      </c>
      <c r="K360" s="18">
        <v>2033</v>
      </c>
      <c r="L360" s="18" t="s">
        <v>174</v>
      </c>
      <c r="M360" s="18">
        <v>1434.8</v>
      </c>
      <c r="P360" s="18" t="s">
        <v>122</v>
      </c>
      <c r="Q360" s="18">
        <v>2033</v>
      </c>
      <c r="R360" s="18" t="s">
        <v>175</v>
      </c>
      <c r="S360" s="18">
        <f t="shared" si="31"/>
        <v>0</v>
      </c>
      <c r="U360">
        <v>71.739999999999995</v>
      </c>
      <c r="Z360" s="42" t="s">
        <v>118</v>
      </c>
      <c r="AA360" s="42">
        <v>2038</v>
      </c>
      <c r="AB360" s="42" t="s">
        <v>145</v>
      </c>
      <c r="AC360" s="42">
        <v>2127.39</v>
      </c>
    </row>
    <row r="361" spans="3:29">
      <c r="C361" t="s">
        <v>114</v>
      </c>
      <c r="D361">
        <v>2043</v>
      </c>
      <c r="E361" t="s">
        <v>142</v>
      </c>
      <c r="F361">
        <v>1132.81</v>
      </c>
      <c r="J361" s="18" t="s">
        <v>122</v>
      </c>
      <c r="K361" s="18">
        <v>2034</v>
      </c>
      <c r="L361" s="18" t="s">
        <v>174</v>
      </c>
      <c r="M361" s="18">
        <v>1436.13</v>
      </c>
      <c r="P361" s="18" t="s">
        <v>122</v>
      </c>
      <c r="Q361" s="18">
        <v>2034</v>
      </c>
      <c r="R361" s="18" t="s">
        <v>175</v>
      </c>
      <c r="S361" s="18">
        <f t="shared" si="31"/>
        <v>0</v>
      </c>
      <c r="U361">
        <v>71.8065</v>
      </c>
      <c r="Z361" s="42" t="s">
        <v>118</v>
      </c>
      <c r="AA361" s="42">
        <v>2039</v>
      </c>
      <c r="AB361" s="42" t="s">
        <v>146</v>
      </c>
      <c r="AC361" s="42">
        <v>61.66</v>
      </c>
    </row>
    <row r="362" spans="3:29">
      <c r="C362" t="s">
        <v>114</v>
      </c>
      <c r="D362">
        <v>2043</v>
      </c>
      <c r="E362" t="s">
        <v>143</v>
      </c>
      <c r="F362">
        <v>896.39</v>
      </c>
      <c r="J362" s="18" t="s">
        <v>122</v>
      </c>
      <c r="K362" s="18">
        <v>2035</v>
      </c>
      <c r="L362" s="18" t="s">
        <v>174</v>
      </c>
      <c r="M362" s="18">
        <v>1437.23</v>
      </c>
      <c r="P362" s="18" t="s">
        <v>122</v>
      </c>
      <c r="Q362" s="18">
        <v>2035</v>
      </c>
      <c r="R362" s="18" t="s">
        <v>175</v>
      </c>
      <c r="S362" s="18">
        <f t="shared" si="31"/>
        <v>0</v>
      </c>
      <c r="U362">
        <v>71.861500000000007</v>
      </c>
      <c r="Z362" s="42" t="s">
        <v>118</v>
      </c>
      <c r="AA362" s="42">
        <v>2039</v>
      </c>
      <c r="AB362" s="42" t="s">
        <v>147</v>
      </c>
      <c r="AC362" s="42">
        <v>566.86</v>
      </c>
    </row>
    <row r="363" spans="3:29">
      <c r="C363" t="s">
        <v>114</v>
      </c>
      <c r="D363">
        <v>2043</v>
      </c>
      <c r="E363" t="s">
        <v>144</v>
      </c>
      <c r="F363">
        <v>33.47</v>
      </c>
      <c r="J363" s="18" t="s">
        <v>122</v>
      </c>
      <c r="K363" s="18">
        <v>2036</v>
      </c>
      <c r="L363" s="18" t="s">
        <v>174</v>
      </c>
      <c r="M363" s="18">
        <v>1437.99</v>
      </c>
      <c r="P363" s="18" t="s">
        <v>122</v>
      </c>
      <c r="Q363" s="18">
        <v>2036</v>
      </c>
      <c r="R363" s="18" t="s">
        <v>175</v>
      </c>
      <c r="S363" s="18">
        <f t="shared" si="31"/>
        <v>0</v>
      </c>
      <c r="U363">
        <v>71.899500000000003</v>
      </c>
      <c r="Z363" s="42" t="s">
        <v>118</v>
      </c>
      <c r="AA363" s="42">
        <v>2039</v>
      </c>
      <c r="AB363" s="42" t="s">
        <v>145</v>
      </c>
      <c r="AC363" s="42">
        <v>2136.2600000000002</v>
      </c>
    </row>
    <row r="364" spans="3:29">
      <c r="C364" t="s">
        <v>114</v>
      </c>
      <c r="D364">
        <v>2044</v>
      </c>
      <c r="E364" t="s">
        <v>145</v>
      </c>
      <c r="F364">
        <v>0.97</v>
      </c>
      <c r="J364" s="18" t="s">
        <v>122</v>
      </c>
      <c r="K364" s="18">
        <v>2037</v>
      </c>
      <c r="L364" s="18" t="s">
        <v>174</v>
      </c>
      <c r="M364" s="18">
        <v>1437.65</v>
      </c>
      <c r="P364" s="18" t="s">
        <v>122</v>
      </c>
      <c r="Q364" s="18">
        <v>2037</v>
      </c>
      <c r="R364" s="18" t="s">
        <v>175</v>
      </c>
      <c r="S364" s="18">
        <f t="shared" si="31"/>
        <v>0</v>
      </c>
      <c r="U364">
        <v>71.882500000000007</v>
      </c>
      <c r="Z364" s="42" t="s">
        <v>118</v>
      </c>
      <c r="AA364" s="42">
        <v>2040</v>
      </c>
      <c r="AB364" s="42" t="s">
        <v>146</v>
      </c>
      <c r="AC364" s="42">
        <v>61.74</v>
      </c>
    </row>
    <row r="365" spans="3:29">
      <c r="C365" t="s">
        <v>114</v>
      </c>
      <c r="D365">
        <v>2044</v>
      </c>
      <c r="E365" t="s">
        <v>141</v>
      </c>
      <c r="F365">
        <v>364.81</v>
      </c>
      <c r="J365" s="18" t="s">
        <v>122</v>
      </c>
      <c r="K365" s="18">
        <v>2038</v>
      </c>
      <c r="L365" s="18" t="s">
        <v>174</v>
      </c>
      <c r="M365" s="18">
        <v>1436.79</v>
      </c>
      <c r="P365" s="18" t="s">
        <v>122</v>
      </c>
      <c r="Q365" s="18">
        <v>2038</v>
      </c>
      <c r="R365" s="18" t="s">
        <v>175</v>
      </c>
      <c r="S365" s="18">
        <f t="shared" si="31"/>
        <v>0</v>
      </c>
      <c r="U365">
        <v>71.839500000000001</v>
      </c>
      <c r="Z365" s="42" t="s">
        <v>118</v>
      </c>
      <c r="AA365" s="42">
        <v>2040</v>
      </c>
      <c r="AB365" s="42" t="s">
        <v>147</v>
      </c>
      <c r="AC365" s="42">
        <v>566.74</v>
      </c>
    </row>
    <row r="366" spans="3:29">
      <c r="C366" t="s">
        <v>114</v>
      </c>
      <c r="D366">
        <v>2044</v>
      </c>
      <c r="E366" t="s">
        <v>142</v>
      </c>
      <c r="F366">
        <v>1163.01</v>
      </c>
      <c r="J366" s="18" t="s">
        <v>122</v>
      </c>
      <c r="K366" s="18">
        <v>2039</v>
      </c>
      <c r="L366" s="18" t="s">
        <v>174</v>
      </c>
      <c r="M366" s="18">
        <v>1436.59</v>
      </c>
      <c r="P366" s="18" t="s">
        <v>122</v>
      </c>
      <c r="Q366" s="18">
        <v>2039</v>
      </c>
      <c r="R366" s="18" t="s">
        <v>175</v>
      </c>
      <c r="S366" s="18">
        <f t="shared" si="31"/>
        <v>0</v>
      </c>
      <c r="U366">
        <v>71.829499999999996</v>
      </c>
      <c r="Z366" s="42" t="s">
        <v>118</v>
      </c>
      <c r="AA366" s="42">
        <v>2040</v>
      </c>
      <c r="AB366" s="42" t="s">
        <v>145</v>
      </c>
      <c r="AC366" s="42">
        <v>2144.96</v>
      </c>
    </row>
    <row r="367" spans="3:29">
      <c r="C367" t="s">
        <v>114</v>
      </c>
      <c r="D367">
        <v>2044</v>
      </c>
      <c r="E367" t="s">
        <v>143</v>
      </c>
      <c r="F367">
        <v>924.64</v>
      </c>
      <c r="J367" s="18" t="s">
        <v>122</v>
      </c>
      <c r="K367" s="18">
        <v>2040</v>
      </c>
      <c r="L367" s="18" t="s">
        <v>174</v>
      </c>
      <c r="M367" s="18">
        <v>1437.2</v>
      </c>
      <c r="P367" s="18" t="s">
        <v>122</v>
      </c>
      <c r="Q367" s="18">
        <v>2040</v>
      </c>
      <c r="R367" s="18" t="s">
        <v>175</v>
      </c>
      <c r="S367" s="18">
        <f t="shared" si="31"/>
        <v>71.86</v>
      </c>
      <c r="U367">
        <v>71.86</v>
      </c>
      <c r="Z367" s="42" t="s">
        <v>118</v>
      </c>
      <c r="AA367" s="42">
        <v>2041</v>
      </c>
      <c r="AB367" s="42" t="s">
        <v>146</v>
      </c>
      <c r="AC367" s="42">
        <v>61.81</v>
      </c>
    </row>
    <row r="368" spans="3:29">
      <c r="C368" t="s">
        <v>114</v>
      </c>
      <c r="D368">
        <v>2044</v>
      </c>
      <c r="E368" t="s">
        <v>144</v>
      </c>
      <c r="F368">
        <v>34.549999999999997</v>
      </c>
      <c r="J368" s="18" t="s">
        <v>122</v>
      </c>
      <c r="K368" s="18">
        <v>2041</v>
      </c>
      <c r="L368" s="18" t="s">
        <v>174</v>
      </c>
      <c r="M368" s="18">
        <v>1437.72</v>
      </c>
      <c r="P368" s="18" t="s">
        <v>122</v>
      </c>
      <c r="Q368" s="18">
        <v>2041</v>
      </c>
      <c r="R368" s="18" t="s">
        <v>175</v>
      </c>
      <c r="S368" s="18">
        <f t="shared" si="31"/>
        <v>71.885999999999996</v>
      </c>
      <c r="U368">
        <v>71.885999999999996</v>
      </c>
      <c r="Z368" s="42" t="s">
        <v>118</v>
      </c>
      <c r="AA368" s="42">
        <v>2041</v>
      </c>
      <c r="AB368" s="42" t="s">
        <v>147</v>
      </c>
      <c r="AC368" s="42">
        <v>566.49</v>
      </c>
    </row>
    <row r="369" spans="3:29">
      <c r="C369" t="s">
        <v>114</v>
      </c>
      <c r="D369">
        <v>2045</v>
      </c>
      <c r="E369" t="s">
        <v>145</v>
      </c>
      <c r="F369">
        <v>1.01</v>
      </c>
      <c r="J369" s="18" t="s">
        <v>122</v>
      </c>
      <c r="K369" s="18">
        <v>2042</v>
      </c>
      <c r="L369" s="18" t="s">
        <v>174</v>
      </c>
      <c r="M369" s="18">
        <v>1438.23</v>
      </c>
      <c r="P369" s="18" t="s">
        <v>122</v>
      </c>
      <c r="Q369" s="18">
        <v>2042</v>
      </c>
      <c r="R369" s="18" t="s">
        <v>175</v>
      </c>
      <c r="S369" s="18">
        <f t="shared" si="31"/>
        <v>71.911500000000004</v>
      </c>
      <c r="U369">
        <v>71.911500000000004</v>
      </c>
      <c r="Z369" s="42" t="s">
        <v>118</v>
      </c>
      <c r="AA369" s="42">
        <v>2041</v>
      </c>
      <c r="AB369" s="42" t="s">
        <v>145</v>
      </c>
      <c r="AC369" s="42">
        <v>2153.2800000000002</v>
      </c>
    </row>
    <row r="370" spans="3:29">
      <c r="C370" t="s">
        <v>114</v>
      </c>
      <c r="D370">
        <v>2045</v>
      </c>
      <c r="E370" t="s">
        <v>141</v>
      </c>
      <c r="F370">
        <v>370.89</v>
      </c>
      <c r="J370" s="18" t="s">
        <v>122</v>
      </c>
      <c r="K370" s="18">
        <v>2043</v>
      </c>
      <c r="L370" s="18" t="s">
        <v>174</v>
      </c>
      <c r="M370" s="18">
        <v>1438.23</v>
      </c>
      <c r="P370" s="18" t="s">
        <v>122</v>
      </c>
      <c r="Q370" s="18">
        <v>2043</v>
      </c>
      <c r="R370" s="18" t="s">
        <v>175</v>
      </c>
      <c r="S370" s="18">
        <f t="shared" si="31"/>
        <v>71.911500000000004</v>
      </c>
      <c r="U370">
        <v>71.911500000000004</v>
      </c>
      <c r="Z370" s="42" t="s">
        <v>118</v>
      </c>
      <c r="AA370" s="42">
        <v>2042</v>
      </c>
      <c r="AB370" s="42" t="s">
        <v>146</v>
      </c>
      <c r="AC370" s="42">
        <v>61.89</v>
      </c>
    </row>
    <row r="371" spans="3:29">
      <c r="C371" t="s">
        <v>114</v>
      </c>
      <c r="D371">
        <v>2045</v>
      </c>
      <c r="E371" t="s">
        <v>142</v>
      </c>
      <c r="F371">
        <v>1187.54</v>
      </c>
      <c r="J371" s="18" t="s">
        <v>122</v>
      </c>
      <c r="K371" s="18">
        <v>2044</v>
      </c>
      <c r="L371" s="18" t="s">
        <v>174</v>
      </c>
      <c r="M371" s="18">
        <v>1438.31</v>
      </c>
      <c r="P371" s="18" t="s">
        <v>122</v>
      </c>
      <c r="Q371" s="18">
        <v>2044</v>
      </c>
      <c r="R371" s="18" t="s">
        <v>175</v>
      </c>
      <c r="S371" s="18">
        <f t="shared" si="31"/>
        <v>71.915499999999994</v>
      </c>
      <c r="U371">
        <v>71.915499999999994</v>
      </c>
      <c r="Z371" s="42" t="s">
        <v>118</v>
      </c>
      <c r="AA371" s="42">
        <v>2042</v>
      </c>
      <c r="AB371" s="42" t="s">
        <v>147</v>
      </c>
      <c r="AC371" s="42">
        <v>566.35</v>
      </c>
    </row>
    <row r="372" spans="3:29">
      <c r="C372" t="s">
        <v>114</v>
      </c>
      <c r="D372">
        <v>2045</v>
      </c>
      <c r="E372" t="s">
        <v>143</v>
      </c>
      <c r="F372">
        <v>953.55</v>
      </c>
      <c r="J372" s="18" t="s">
        <v>122</v>
      </c>
      <c r="K372" s="18">
        <v>2045</v>
      </c>
      <c r="L372" s="18" t="s">
        <v>174</v>
      </c>
      <c r="M372" s="18">
        <v>1438.41</v>
      </c>
      <c r="P372" s="18" t="s">
        <v>122</v>
      </c>
      <c r="Q372" s="18">
        <v>2045</v>
      </c>
      <c r="R372" s="18" t="s">
        <v>175</v>
      </c>
      <c r="S372" s="18">
        <f t="shared" si="31"/>
        <v>71.920500000000004</v>
      </c>
      <c r="U372">
        <v>71.920500000000004</v>
      </c>
      <c r="Z372" s="42" t="s">
        <v>118</v>
      </c>
      <c r="AA372" s="42">
        <v>2042</v>
      </c>
      <c r="AB372" s="42" t="s">
        <v>145</v>
      </c>
      <c r="AC372" s="42">
        <v>2162.31</v>
      </c>
    </row>
    <row r="373" spans="3:29">
      <c r="C373" t="s">
        <v>114</v>
      </c>
      <c r="D373">
        <v>2045</v>
      </c>
      <c r="E373" t="s">
        <v>144</v>
      </c>
      <c r="F373">
        <v>35.68</v>
      </c>
      <c r="J373" s="18" t="s">
        <v>122</v>
      </c>
      <c r="K373" s="18">
        <v>2046</v>
      </c>
      <c r="L373" s="18" t="s">
        <v>174</v>
      </c>
      <c r="M373" s="18">
        <v>1443.02</v>
      </c>
      <c r="P373" s="18" t="s">
        <v>122</v>
      </c>
      <c r="Q373" s="18">
        <v>2046</v>
      </c>
      <c r="R373" s="18" t="s">
        <v>175</v>
      </c>
      <c r="S373" s="18">
        <f t="shared" si="31"/>
        <v>72.150999999999996</v>
      </c>
      <c r="U373">
        <v>72.150999999999996</v>
      </c>
      <c r="Z373" s="42" t="s">
        <v>118</v>
      </c>
      <c r="AA373" s="42">
        <v>2043</v>
      </c>
      <c r="AB373" s="42" t="s">
        <v>146</v>
      </c>
      <c r="AC373" s="42">
        <v>62</v>
      </c>
    </row>
    <row r="374" spans="3:29">
      <c r="C374" t="s">
        <v>114</v>
      </c>
      <c r="D374">
        <v>2046</v>
      </c>
      <c r="E374" t="s">
        <v>145</v>
      </c>
      <c r="F374">
        <v>1.06</v>
      </c>
      <c r="J374" s="18" t="s">
        <v>122</v>
      </c>
      <c r="K374" s="18">
        <v>2047</v>
      </c>
      <c r="L374" s="18" t="s">
        <v>174</v>
      </c>
      <c r="M374" s="18">
        <v>1448.21</v>
      </c>
      <c r="P374" s="18" t="s">
        <v>122</v>
      </c>
      <c r="Q374" s="18">
        <v>2047</v>
      </c>
      <c r="R374" s="18" t="s">
        <v>175</v>
      </c>
      <c r="S374" s="18">
        <f t="shared" si="31"/>
        <v>72.410499999999999</v>
      </c>
      <c r="U374">
        <v>72.410499999999999</v>
      </c>
      <c r="Z374" s="42" t="s">
        <v>118</v>
      </c>
      <c r="AA374" s="42">
        <v>2043</v>
      </c>
      <c r="AB374" s="42" t="s">
        <v>147</v>
      </c>
      <c r="AC374" s="42">
        <v>566.54</v>
      </c>
    </row>
    <row r="375" spans="3:29">
      <c r="C375" t="s">
        <v>114</v>
      </c>
      <c r="D375">
        <v>2046</v>
      </c>
      <c r="E375" t="s">
        <v>141</v>
      </c>
      <c r="F375">
        <v>378.73</v>
      </c>
      <c r="J375" s="18" t="s">
        <v>122</v>
      </c>
      <c r="K375" s="18">
        <v>2048</v>
      </c>
      <c r="L375" s="18" t="s">
        <v>174</v>
      </c>
      <c r="M375" s="18">
        <v>1453.7</v>
      </c>
      <c r="P375" s="18" t="s">
        <v>122</v>
      </c>
      <c r="Q375" s="18">
        <v>2048</v>
      </c>
      <c r="R375" s="18" t="s">
        <v>175</v>
      </c>
      <c r="S375" s="18">
        <f t="shared" si="31"/>
        <v>72.685000000000002</v>
      </c>
      <c r="U375">
        <v>72.685000000000002</v>
      </c>
      <c r="Z375" s="42" t="s">
        <v>118</v>
      </c>
      <c r="AA375" s="42">
        <v>2043</v>
      </c>
      <c r="AB375" s="42" t="s">
        <v>145</v>
      </c>
      <c r="AC375" s="42">
        <v>2172.13</v>
      </c>
    </row>
    <row r="376" spans="3:29">
      <c r="C376" t="s">
        <v>114</v>
      </c>
      <c r="D376">
        <v>2046</v>
      </c>
      <c r="E376" t="s">
        <v>142</v>
      </c>
      <c r="F376">
        <v>1221.08</v>
      </c>
      <c r="J376" s="18" t="s">
        <v>122</v>
      </c>
      <c r="K376" s="18">
        <v>2049</v>
      </c>
      <c r="L376" s="18" t="s">
        <v>174</v>
      </c>
      <c r="M376" s="18">
        <v>1458.56</v>
      </c>
      <c r="P376" s="18" t="s">
        <v>122</v>
      </c>
      <c r="Q376" s="18">
        <v>2049</v>
      </c>
      <c r="R376" s="18" t="s">
        <v>175</v>
      </c>
      <c r="S376" s="18">
        <f t="shared" si="31"/>
        <v>72.927999999999997</v>
      </c>
      <c r="U376">
        <v>72.927999999999997</v>
      </c>
      <c r="Z376" s="42" t="s">
        <v>118</v>
      </c>
      <c r="AA376" s="42">
        <v>2044</v>
      </c>
      <c r="AB376" s="42" t="s">
        <v>146</v>
      </c>
      <c r="AC376" s="42">
        <v>62.08</v>
      </c>
    </row>
    <row r="377" spans="3:29">
      <c r="C377" t="s">
        <v>114</v>
      </c>
      <c r="D377">
        <v>2046</v>
      </c>
      <c r="E377" t="s">
        <v>143</v>
      </c>
      <c r="F377">
        <v>985.57</v>
      </c>
      <c r="J377" s="18" t="s">
        <v>122</v>
      </c>
      <c r="K377" s="18">
        <v>2050</v>
      </c>
      <c r="L377" s="18" t="s">
        <v>174</v>
      </c>
      <c r="M377" s="18">
        <v>1462.65</v>
      </c>
      <c r="P377" s="18" t="s">
        <v>122</v>
      </c>
      <c r="Q377" s="18">
        <v>2050</v>
      </c>
      <c r="R377" s="18" t="s">
        <v>175</v>
      </c>
      <c r="S377" s="18">
        <f t="shared" si="31"/>
        <v>73.132500000000007</v>
      </c>
      <c r="U377">
        <v>73.132500000000007</v>
      </c>
      <c r="Z377" s="42" t="s">
        <v>118</v>
      </c>
      <c r="AA377" s="42">
        <v>2044</v>
      </c>
      <c r="AB377" s="42" t="s">
        <v>147</v>
      </c>
      <c r="AC377" s="42">
        <v>566.54999999999995</v>
      </c>
    </row>
    <row r="378" spans="3:29">
      <c r="C378" t="s">
        <v>114</v>
      </c>
      <c r="D378">
        <v>2046</v>
      </c>
      <c r="E378" t="s">
        <v>144</v>
      </c>
      <c r="F378">
        <v>36.880000000000003</v>
      </c>
      <c r="J378" s="18" t="s">
        <v>123</v>
      </c>
      <c r="K378" s="18">
        <v>2010</v>
      </c>
      <c r="L378" s="18" t="s">
        <v>174</v>
      </c>
      <c r="M378" s="18">
        <v>653.94000000000005</v>
      </c>
      <c r="P378" s="18" t="s">
        <v>123</v>
      </c>
      <c r="Q378" s="18">
        <v>2010</v>
      </c>
      <c r="R378" s="18" t="s">
        <v>175</v>
      </c>
      <c r="S378" s="18">
        <f t="shared" si="31"/>
        <v>0</v>
      </c>
      <c r="U378">
        <v>32.697000000000003</v>
      </c>
      <c r="Z378" s="42" t="s">
        <v>118</v>
      </c>
      <c r="AA378" s="42">
        <v>2044</v>
      </c>
      <c r="AB378" s="42" t="s">
        <v>145</v>
      </c>
      <c r="AC378" s="42">
        <v>2180.0500000000002</v>
      </c>
    </row>
    <row r="379" spans="3:29">
      <c r="C379" t="s">
        <v>114</v>
      </c>
      <c r="D379">
        <v>2047</v>
      </c>
      <c r="E379" t="s">
        <v>145</v>
      </c>
      <c r="F379">
        <v>1.1000000000000001</v>
      </c>
      <c r="J379" s="18" t="s">
        <v>123</v>
      </c>
      <c r="K379" s="18">
        <v>2011</v>
      </c>
      <c r="L379" s="18" t="s">
        <v>174</v>
      </c>
      <c r="M379" s="18">
        <v>661.95</v>
      </c>
      <c r="P379" s="18" t="s">
        <v>123</v>
      </c>
      <c r="Q379" s="18">
        <v>2011</v>
      </c>
      <c r="R379" s="18" t="s">
        <v>175</v>
      </c>
      <c r="S379" s="18">
        <f t="shared" si="31"/>
        <v>0</v>
      </c>
      <c r="U379">
        <v>33.097500000000004</v>
      </c>
      <c r="Z379" s="42" t="s">
        <v>118</v>
      </c>
      <c r="AA379" s="42">
        <v>2045</v>
      </c>
      <c r="AB379" s="42" t="s">
        <v>146</v>
      </c>
      <c r="AC379" s="42">
        <v>62.13</v>
      </c>
    </row>
    <row r="380" spans="3:29">
      <c r="C380" t="s">
        <v>114</v>
      </c>
      <c r="D380">
        <v>2047</v>
      </c>
      <c r="E380" t="s">
        <v>141</v>
      </c>
      <c r="F380">
        <v>386.63</v>
      </c>
      <c r="J380" s="18" t="s">
        <v>123</v>
      </c>
      <c r="K380" s="18">
        <v>2012</v>
      </c>
      <c r="L380" s="18" t="s">
        <v>174</v>
      </c>
      <c r="M380" s="18">
        <v>722.19</v>
      </c>
      <c r="P380" s="18" t="s">
        <v>123</v>
      </c>
      <c r="Q380" s="18">
        <v>2012</v>
      </c>
      <c r="R380" s="18" t="s">
        <v>175</v>
      </c>
      <c r="S380" s="18">
        <f t="shared" si="31"/>
        <v>0</v>
      </c>
      <c r="U380">
        <v>36.109500000000004</v>
      </c>
      <c r="Z380" s="42" t="s">
        <v>118</v>
      </c>
      <c r="AA380" s="42">
        <v>2045</v>
      </c>
      <c r="AB380" s="42" t="s">
        <v>147</v>
      </c>
      <c r="AC380" s="42">
        <v>566.24</v>
      </c>
    </row>
    <row r="381" spans="3:29">
      <c r="C381" t="s">
        <v>114</v>
      </c>
      <c r="D381">
        <v>2047</v>
      </c>
      <c r="E381" t="s">
        <v>142</v>
      </c>
      <c r="F381">
        <v>1244.21</v>
      </c>
      <c r="J381" s="18" t="s">
        <v>123</v>
      </c>
      <c r="K381" s="18">
        <v>2013</v>
      </c>
      <c r="L381" s="18" t="s">
        <v>174</v>
      </c>
      <c r="M381" s="18">
        <v>753.21</v>
      </c>
      <c r="P381" s="18" t="s">
        <v>123</v>
      </c>
      <c r="Q381" s="18">
        <v>2013</v>
      </c>
      <c r="R381" s="18" t="s">
        <v>175</v>
      </c>
      <c r="S381" s="18">
        <f t="shared" si="31"/>
        <v>0</v>
      </c>
      <c r="U381">
        <v>37.660499999999999</v>
      </c>
      <c r="Z381" s="42" t="s">
        <v>118</v>
      </c>
      <c r="AA381" s="42">
        <v>2045</v>
      </c>
      <c r="AB381" s="42" t="s">
        <v>145</v>
      </c>
      <c r="AC381" s="42">
        <v>2186.3200000000002</v>
      </c>
    </row>
    <row r="382" spans="3:29">
      <c r="C382" t="s">
        <v>114</v>
      </c>
      <c r="D382">
        <v>2047</v>
      </c>
      <c r="E382" t="s">
        <v>143</v>
      </c>
      <c r="F382">
        <v>1018.86</v>
      </c>
      <c r="J382" s="18" t="s">
        <v>123</v>
      </c>
      <c r="K382" s="18">
        <v>2014</v>
      </c>
      <c r="L382" s="18" t="s">
        <v>174</v>
      </c>
      <c r="M382" s="18">
        <v>833.62</v>
      </c>
      <c r="P382" s="18" t="s">
        <v>123</v>
      </c>
      <c r="Q382" s="18">
        <v>2014</v>
      </c>
      <c r="R382" s="18" t="s">
        <v>175</v>
      </c>
      <c r="S382" s="18">
        <f t="shared" si="31"/>
        <v>0</v>
      </c>
      <c r="U382">
        <v>41.680999999999997</v>
      </c>
      <c r="Z382" s="42" t="s">
        <v>118</v>
      </c>
      <c r="AA382" s="42">
        <v>2046</v>
      </c>
      <c r="AB382" s="42" t="s">
        <v>146</v>
      </c>
      <c r="AC382" s="42">
        <v>62.14</v>
      </c>
    </row>
    <row r="383" spans="3:29">
      <c r="C383" t="s">
        <v>114</v>
      </c>
      <c r="D383">
        <v>2047</v>
      </c>
      <c r="E383" t="s">
        <v>144</v>
      </c>
      <c r="F383">
        <v>38.119999999999997</v>
      </c>
      <c r="J383" s="18" t="s">
        <v>123</v>
      </c>
      <c r="K383" s="18">
        <v>2015</v>
      </c>
      <c r="L383" s="18" t="s">
        <v>174</v>
      </c>
      <c r="M383" s="18">
        <v>1000.39</v>
      </c>
      <c r="P383" s="18" t="s">
        <v>123</v>
      </c>
      <c r="Q383" s="18">
        <v>2015</v>
      </c>
      <c r="R383" s="18" t="s">
        <v>175</v>
      </c>
      <c r="S383" s="18">
        <f t="shared" si="31"/>
        <v>0</v>
      </c>
      <c r="U383">
        <v>50.019500000000001</v>
      </c>
      <c r="Z383" s="42" t="s">
        <v>118</v>
      </c>
      <c r="AA383" s="42">
        <v>2046</v>
      </c>
      <c r="AB383" s="42" t="s">
        <v>147</v>
      </c>
      <c r="AC383" s="42">
        <v>565.59</v>
      </c>
    </row>
    <row r="384" spans="3:29">
      <c r="C384" t="s">
        <v>114</v>
      </c>
      <c r="D384">
        <v>2048</v>
      </c>
      <c r="E384" t="s">
        <v>145</v>
      </c>
      <c r="F384">
        <v>1.1399999999999999</v>
      </c>
      <c r="J384" s="18" t="s">
        <v>123</v>
      </c>
      <c r="K384" s="18">
        <v>2016</v>
      </c>
      <c r="L384" s="18" t="s">
        <v>174</v>
      </c>
      <c r="M384" s="18">
        <v>1004.27</v>
      </c>
      <c r="P384" s="18" t="s">
        <v>123</v>
      </c>
      <c r="Q384" s="18">
        <v>2016</v>
      </c>
      <c r="R384" s="18" t="s">
        <v>175</v>
      </c>
      <c r="S384" s="18">
        <f t="shared" si="31"/>
        <v>0</v>
      </c>
      <c r="U384">
        <v>50.213499999999996</v>
      </c>
      <c r="Z384" s="42" t="s">
        <v>118</v>
      </c>
      <c r="AA384" s="42">
        <v>2046</v>
      </c>
      <c r="AB384" s="42" t="s">
        <v>145</v>
      </c>
      <c r="AC384" s="42">
        <v>2189.4699999999998</v>
      </c>
    </row>
    <row r="385" spans="3:29">
      <c r="C385" t="s">
        <v>114</v>
      </c>
      <c r="D385">
        <v>2048</v>
      </c>
      <c r="E385" t="s">
        <v>141</v>
      </c>
      <c r="F385">
        <v>394.62</v>
      </c>
      <c r="J385" s="18" t="s">
        <v>123</v>
      </c>
      <c r="K385" s="18">
        <v>2017</v>
      </c>
      <c r="L385" s="18" t="s">
        <v>174</v>
      </c>
      <c r="M385" s="18">
        <v>1026.18</v>
      </c>
      <c r="P385" s="18" t="s">
        <v>123</v>
      </c>
      <c r="Q385" s="18">
        <v>2017</v>
      </c>
      <c r="R385" s="18" t="s">
        <v>175</v>
      </c>
      <c r="S385" s="18">
        <f t="shared" si="31"/>
        <v>0</v>
      </c>
      <c r="U385">
        <v>51.309000000000005</v>
      </c>
      <c r="Z385" s="42" t="s">
        <v>118</v>
      </c>
      <c r="AA385" s="42">
        <v>2047</v>
      </c>
      <c r="AB385" s="42" t="s">
        <v>146</v>
      </c>
      <c r="AC385" s="42">
        <v>62.13</v>
      </c>
    </row>
    <row r="386" spans="3:29">
      <c r="C386" t="s">
        <v>114</v>
      </c>
      <c r="D386">
        <v>2048</v>
      </c>
      <c r="E386" t="s">
        <v>142</v>
      </c>
      <c r="F386">
        <v>1274.54</v>
      </c>
      <c r="J386" s="18" t="s">
        <v>123</v>
      </c>
      <c r="K386" s="18">
        <v>2018</v>
      </c>
      <c r="L386" s="18" t="s">
        <v>174</v>
      </c>
      <c r="M386" s="18">
        <v>1050.2</v>
      </c>
      <c r="P386" s="18" t="s">
        <v>123</v>
      </c>
      <c r="Q386" s="18">
        <v>2018</v>
      </c>
      <c r="R386" s="18" t="s">
        <v>175</v>
      </c>
      <c r="S386" s="18">
        <f t="shared" si="31"/>
        <v>0</v>
      </c>
      <c r="U386">
        <v>52.510000000000005</v>
      </c>
      <c r="Z386" s="42" t="s">
        <v>118</v>
      </c>
      <c r="AA386" s="42">
        <v>2047</v>
      </c>
      <c r="AB386" s="42" t="s">
        <v>147</v>
      </c>
      <c r="AC386" s="42">
        <v>564.76</v>
      </c>
    </row>
    <row r="387" spans="3:29">
      <c r="C387" t="s">
        <v>114</v>
      </c>
      <c r="D387">
        <v>2048</v>
      </c>
      <c r="E387" t="s">
        <v>143</v>
      </c>
      <c r="F387">
        <v>1053.43</v>
      </c>
      <c r="J387" s="18" t="s">
        <v>123</v>
      </c>
      <c r="K387" s="18">
        <v>2019</v>
      </c>
      <c r="L387" s="18" t="s">
        <v>174</v>
      </c>
      <c r="M387" s="18">
        <v>1077.4000000000001</v>
      </c>
      <c r="P387" s="18" t="s">
        <v>123</v>
      </c>
      <c r="Q387" s="18">
        <v>2019</v>
      </c>
      <c r="R387" s="18" t="s">
        <v>175</v>
      </c>
      <c r="S387" s="18">
        <f t="shared" si="31"/>
        <v>0</v>
      </c>
      <c r="U387">
        <v>53.870000000000005</v>
      </c>
      <c r="Z387" s="42" t="s">
        <v>118</v>
      </c>
      <c r="AA387" s="42">
        <v>2047</v>
      </c>
      <c r="AB387" s="42" t="s">
        <v>145</v>
      </c>
      <c r="AC387" s="42">
        <v>2190.65</v>
      </c>
    </row>
    <row r="388" spans="3:29">
      <c r="C388" t="s">
        <v>114</v>
      </c>
      <c r="D388">
        <v>2048</v>
      </c>
      <c r="E388" t="s">
        <v>144</v>
      </c>
      <c r="F388">
        <v>39.409999999999997</v>
      </c>
      <c r="J388" s="18" t="s">
        <v>123</v>
      </c>
      <c r="K388" s="18">
        <v>2020</v>
      </c>
      <c r="L388" s="18" t="s">
        <v>174</v>
      </c>
      <c r="M388" s="18">
        <v>1092.18</v>
      </c>
      <c r="P388" s="18" t="s">
        <v>123</v>
      </c>
      <c r="Q388" s="18">
        <v>2020</v>
      </c>
      <c r="R388" s="18" t="s">
        <v>175</v>
      </c>
      <c r="S388" s="18">
        <f t="shared" si="31"/>
        <v>0</v>
      </c>
      <c r="U388">
        <v>54.609000000000002</v>
      </c>
      <c r="Z388" s="42" t="s">
        <v>118</v>
      </c>
      <c r="AA388" s="42">
        <v>2048</v>
      </c>
      <c r="AB388" s="42" t="s">
        <v>146</v>
      </c>
      <c r="AC388" s="42">
        <v>62.11</v>
      </c>
    </row>
    <row r="389" spans="3:29">
      <c r="C389" t="s">
        <v>114</v>
      </c>
      <c r="D389">
        <v>2049</v>
      </c>
      <c r="E389" t="s">
        <v>145</v>
      </c>
      <c r="F389">
        <v>1.18</v>
      </c>
      <c r="J389" s="18" t="s">
        <v>123</v>
      </c>
      <c r="K389" s="18">
        <v>2021</v>
      </c>
      <c r="L389" s="18" t="s">
        <v>174</v>
      </c>
      <c r="M389" s="18">
        <v>1110.81</v>
      </c>
      <c r="P389" s="18" t="s">
        <v>123</v>
      </c>
      <c r="Q389" s="18">
        <v>2021</v>
      </c>
      <c r="R389" s="18" t="s">
        <v>175</v>
      </c>
      <c r="S389" s="18">
        <f t="shared" si="31"/>
        <v>0</v>
      </c>
      <c r="U389">
        <v>55.540499999999994</v>
      </c>
      <c r="Z389" s="42" t="s">
        <v>118</v>
      </c>
      <c r="AA389" s="42">
        <v>2048</v>
      </c>
      <c r="AB389" s="42" t="s">
        <v>147</v>
      </c>
      <c r="AC389" s="42">
        <v>563.9</v>
      </c>
    </row>
    <row r="390" spans="3:29">
      <c r="C390" t="s">
        <v>114</v>
      </c>
      <c r="D390">
        <v>2049</v>
      </c>
      <c r="E390" t="s">
        <v>141</v>
      </c>
      <c r="F390">
        <v>402.75</v>
      </c>
      <c r="J390" s="18" t="s">
        <v>123</v>
      </c>
      <c r="K390" s="18">
        <v>2022</v>
      </c>
      <c r="L390" s="18" t="s">
        <v>174</v>
      </c>
      <c r="M390" s="18">
        <v>1129.79</v>
      </c>
      <c r="P390" s="18" t="s">
        <v>123</v>
      </c>
      <c r="Q390" s="18">
        <v>2022</v>
      </c>
      <c r="R390" s="18" t="s">
        <v>175</v>
      </c>
      <c r="S390" s="18">
        <f t="shared" si="31"/>
        <v>0</v>
      </c>
      <c r="U390">
        <v>56.4895</v>
      </c>
      <c r="Z390" s="42" t="s">
        <v>118</v>
      </c>
      <c r="AA390" s="42">
        <v>2048</v>
      </c>
      <c r="AB390" s="42" t="s">
        <v>145</v>
      </c>
      <c r="AC390" s="42">
        <v>2190.94</v>
      </c>
    </row>
    <row r="391" spans="3:29">
      <c r="C391" t="s">
        <v>114</v>
      </c>
      <c r="D391">
        <v>2049</v>
      </c>
      <c r="E391" t="s">
        <v>142</v>
      </c>
      <c r="F391">
        <v>1301.97</v>
      </c>
      <c r="J391" s="18" t="s">
        <v>123</v>
      </c>
      <c r="K391" s="18">
        <v>2023</v>
      </c>
      <c r="L391" s="18" t="s">
        <v>174</v>
      </c>
      <c r="M391" s="18">
        <v>1155.57</v>
      </c>
      <c r="P391" s="18" t="s">
        <v>123</v>
      </c>
      <c r="Q391" s="18">
        <v>2023</v>
      </c>
      <c r="R391" s="18" t="s">
        <v>175</v>
      </c>
      <c r="S391" s="18">
        <f t="shared" si="31"/>
        <v>0</v>
      </c>
      <c r="U391">
        <v>57.778499999999994</v>
      </c>
      <c r="Z391" s="42" t="s">
        <v>118</v>
      </c>
      <c r="AA391" s="42">
        <v>2049</v>
      </c>
      <c r="AB391" s="42" t="s">
        <v>146</v>
      </c>
      <c r="AC391" s="42">
        <v>62.12</v>
      </c>
    </row>
    <row r="392" spans="3:29">
      <c r="C392" t="s">
        <v>114</v>
      </c>
      <c r="D392">
        <v>2049</v>
      </c>
      <c r="E392" t="s">
        <v>143</v>
      </c>
      <c r="F392">
        <v>1089.01</v>
      </c>
      <c r="J392" s="18" t="s">
        <v>123</v>
      </c>
      <c r="K392" s="18">
        <v>2024</v>
      </c>
      <c r="L392" s="18" t="s">
        <v>174</v>
      </c>
      <c r="M392" s="18">
        <v>1187.45</v>
      </c>
      <c r="P392" s="18" t="s">
        <v>123</v>
      </c>
      <c r="Q392" s="18">
        <v>2024</v>
      </c>
      <c r="R392" s="18" t="s">
        <v>175</v>
      </c>
      <c r="S392" s="18">
        <f t="shared" si="31"/>
        <v>0</v>
      </c>
      <c r="U392">
        <v>59.372500000000002</v>
      </c>
      <c r="Z392" s="42" t="s">
        <v>118</v>
      </c>
      <c r="AA392" s="42">
        <v>2049</v>
      </c>
      <c r="AB392" s="42" t="s">
        <v>147</v>
      </c>
      <c r="AC392" s="42">
        <v>563.34</v>
      </c>
    </row>
    <row r="393" spans="3:29">
      <c r="C393" t="s">
        <v>114</v>
      </c>
      <c r="D393">
        <v>2049</v>
      </c>
      <c r="E393" t="s">
        <v>144</v>
      </c>
      <c r="F393">
        <v>41.09</v>
      </c>
      <c r="J393" s="18" t="s">
        <v>123</v>
      </c>
      <c r="K393" s="18">
        <v>2025</v>
      </c>
      <c r="L393" s="18" t="s">
        <v>174</v>
      </c>
      <c r="M393" s="18">
        <v>1222.77</v>
      </c>
      <c r="P393" s="18" t="s">
        <v>123</v>
      </c>
      <c r="Q393" s="18">
        <v>2025</v>
      </c>
      <c r="R393" s="18" t="s">
        <v>175</v>
      </c>
      <c r="S393" s="18">
        <f t="shared" si="31"/>
        <v>0</v>
      </c>
      <c r="U393">
        <v>61.138500000000001</v>
      </c>
      <c r="Z393" s="42" t="s">
        <v>118</v>
      </c>
      <c r="AA393" s="42">
        <v>2049</v>
      </c>
      <c r="AB393" s="42" t="s">
        <v>145</v>
      </c>
      <c r="AC393" s="42">
        <v>2193.69</v>
      </c>
    </row>
    <row r="394" spans="3:29">
      <c r="C394" t="s">
        <v>114</v>
      </c>
      <c r="D394">
        <v>2050</v>
      </c>
      <c r="E394" t="s">
        <v>145</v>
      </c>
      <c r="F394">
        <v>1.23</v>
      </c>
      <c r="J394" s="18" t="s">
        <v>123</v>
      </c>
      <c r="K394" s="18">
        <v>2026</v>
      </c>
      <c r="L394" s="18" t="s">
        <v>174</v>
      </c>
      <c r="M394" s="18">
        <v>1261.83</v>
      </c>
      <c r="P394" s="18" t="s">
        <v>123</v>
      </c>
      <c r="Q394" s="18">
        <v>2026</v>
      </c>
      <c r="R394" s="18" t="s">
        <v>175</v>
      </c>
      <c r="S394" s="18">
        <f t="shared" ref="S394:S457" si="32">IF(Q394&lt;2040, 0,U394)</f>
        <v>0</v>
      </c>
      <c r="U394">
        <v>63.091499999999996</v>
      </c>
      <c r="Z394" s="42" t="s">
        <v>118</v>
      </c>
      <c r="AA394" s="42">
        <v>2050</v>
      </c>
      <c r="AB394" s="42" t="s">
        <v>146</v>
      </c>
      <c r="AC394" s="42">
        <v>62.08</v>
      </c>
    </row>
    <row r="395" spans="3:29">
      <c r="C395" t="s">
        <v>114</v>
      </c>
      <c r="D395">
        <v>2050</v>
      </c>
      <c r="E395" t="s">
        <v>141</v>
      </c>
      <c r="F395">
        <v>411.03</v>
      </c>
      <c r="J395" s="18" t="s">
        <v>123</v>
      </c>
      <c r="K395" s="18">
        <v>2027</v>
      </c>
      <c r="L395" s="18" t="s">
        <v>174</v>
      </c>
      <c r="M395" s="18">
        <v>1301.92</v>
      </c>
      <c r="P395" s="18" t="s">
        <v>123</v>
      </c>
      <c r="Q395" s="18">
        <v>2027</v>
      </c>
      <c r="R395" s="18" t="s">
        <v>175</v>
      </c>
      <c r="S395" s="18">
        <f t="shared" si="32"/>
        <v>0</v>
      </c>
      <c r="U395">
        <v>65.096000000000004</v>
      </c>
      <c r="Z395" s="42" t="s">
        <v>118</v>
      </c>
      <c r="AA395" s="42">
        <v>2050</v>
      </c>
      <c r="AB395" s="42" t="s">
        <v>147</v>
      </c>
      <c r="AC395" s="42">
        <v>562.35</v>
      </c>
    </row>
    <row r="396" spans="3:29">
      <c r="C396" t="s">
        <v>114</v>
      </c>
      <c r="D396">
        <v>2050</v>
      </c>
      <c r="E396" t="s">
        <v>142</v>
      </c>
      <c r="F396">
        <v>1335.6</v>
      </c>
      <c r="J396" s="18" t="s">
        <v>123</v>
      </c>
      <c r="K396" s="18">
        <v>2028</v>
      </c>
      <c r="L396" s="18" t="s">
        <v>174</v>
      </c>
      <c r="M396" s="18">
        <v>1344.25</v>
      </c>
      <c r="P396" s="18" t="s">
        <v>123</v>
      </c>
      <c r="Q396" s="18">
        <v>2028</v>
      </c>
      <c r="R396" s="18" t="s">
        <v>175</v>
      </c>
      <c r="S396" s="18">
        <f t="shared" si="32"/>
        <v>0</v>
      </c>
      <c r="U396">
        <v>67.212500000000006</v>
      </c>
      <c r="Z396" s="42" t="s">
        <v>118</v>
      </c>
      <c r="AA396" s="42">
        <v>2050</v>
      </c>
      <c r="AB396" s="42" t="s">
        <v>145</v>
      </c>
      <c r="AC396" s="42">
        <v>2192.31</v>
      </c>
    </row>
    <row r="397" spans="3:29">
      <c r="C397" t="s">
        <v>114</v>
      </c>
      <c r="D397">
        <v>2050</v>
      </c>
      <c r="E397" t="s">
        <v>143</v>
      </c>
      <c r="F397">
        <v>1126.05</v>
      </c>
      <c r="J397" s="18" t="s">
        <v>123</v>
      </c>
      <c r="K397" s="18">
        <v>2029</v>
      </c>
      <c r="L397" s="18" t="s">
        <v>174</v>
      </c>
      <c r="M397" s="18">
        <v>1387.53</v>
      </c>
      <c r="P397" s="18" t="s">
        <v>123</v>
      </c>
      <c r="Q397" s="18">
        <v>2029</v>
      </c>
      <c r="R397" s="18" t="s">
        <v>175</v>
      </c>
      <c r="S397" s="18">
        <f t="shared" si="32"/>
        <v>0</v>
      </c>
      <c r="U397">
        <v>69.376499999999993</v>
      </c>
      <c r="Z397" s="42" t="s">
        <v>120</v>
      </c>
      <c r="AA397" s="42">
        <v>2019</v>
      </c>
      <c r="AB397" s="42" t="s">
        <v>146</v>
      </c>
      <c r="AC397" s="42">
        <v>541.62</v>
      </c>
    </row>
    <row r="398" spans="3:29">
      <c r="C398" t="s">
        <v>114</v>
      </c>
      <c r="D398">
        <v>2050</v>
      </c>
      <c r="E398" t="s">
        <v>144</v>
      </c>
      <c r="F398">
        <v>43.19</v>
      </c>
      <c r="J398" s="18" t="s">
        <v>123</v>
      </c>
      <c r="K398" s="18">
        <v>2030</v>
      </c>
      <c r="L398" s="18" t="s">
        <v>174</v>
      </c>
      <c r="M398" s="18">
        <v>1431.94</v>
      </c>
      <c r="P398" s="18" t="s">
        <v>123</v>
      </c>
      <c r="Q398" s="18">
        <v>2030</v>
      </c>
      <c r="R398" s="18" t="s">
        <v>175</v>
      </c>
      <c r="S398" s="18">
        <f t="shared" si="32"/>
        <v>0</v>
      </c>
      <c r="U398">
        <v>71.597000000000008</v>
      </c>
      <c r="Z398" s="42" t="s">
        <v>120</v>
      </c>
      <c r="AA398" s="42">
        <v>2019</v>
      </c>
      <c r="AB398" s="42" t="s">
        <v>147</v>
      </c>
      <c r="AC398" s="42">
        <v>1080.23</v>
      </c>
    </row>
    <row r="399" spans="3:29">
      <c r="C399" t="s">
        <v>115</v>
      </c>
      <c r="D399">
        <v>2010</v>
      </c>
      <c r="E399" t="s">
        <v>141</v>
      </c>
      <c r="F399">
        <v>244.59</v>
      </c>
      <c r="J399" s="18" t="s">
        <v>123</v>
      </c>
      <c r="K399" s="18">
        <v>2031</v>
      </c>
      <c r="L399" s="18" t="s">
        <v>174</v>
      </c>
      <c r="M399" s="18">
        <v>1484.85</v>
      </c>
      <c r="P399" s="18" t="s">
        <v>123</v>
      </c>
      <c r="Q399" s="18">
        <v>2031</v>
      </c>
      <c r="R399" s="18" t="s">
        <v>175</v>
      </c>
      <c r="S399" s="18">
        <f t="shared" si="32"/>
        <v>0</v>
      </c>
      <c r="U399">
        <v>74.242499999999993</v>
      </c>
      <c r="Z399" s="42" t="s">
        <v>120</v>
      </c>
      <c r="AA399" s="42">
        <v>2019</v>
      </c>
      <c r="AB399" s="42" t="s">
        <v>145</v>
      </c>
      <c r="AC399" s="42">
        <v>820.22</v>
      </c>
    </row>
    <row r="400" spans="3:29">
      <c r="C400" t="s">
        <v>115</v>
      </c>
      <c r="D400">
        <v>2010</v>
      </c>
      <c r="E400" t="s">
        <v>142</v>
      </c>
      <c r="F400">
        <v>383.27</v>
      </c>
      <c r="J400" s="18" t="s">
        <v>123</v>
      </c>
      <c r="K400" s="18">
        <v>2032</v>
      </c>
      <c r="L400" s="18" t="s">
        <v>174</v>
      </c>
      <c r="M400" s="18">
        <v>1537</v>
      </c>
      <c r="P400" s="18" t="s">
        <v>123</v>
      </c>
      <c r="Q400" s="18">
        <v>2032</v>
      </c>
      <c r="R400" s="18" t="s">
        <v>175</v>
      </c>
      <c r="S400" s="18">
        <f t="shared" si="32"/>
        <v>0</v>
      </c>
      <c r="U400">
        <v>76.849999999999994</v>
      </c>
      <c r="Z400" s="42" t="s">
        <v>120</v>
      </c>
      <c r="AA400" s="42">
        <v>2020</v>
      </c>
      <c r="AB400" s="42" t="s">
        <v>146</v>
      </c>
      <c r="AC400" s="42">
        <v>539.08000000000004</v>
      </c>
    </row>
    <row r="401" spans="3:29">
      <c r="C401" t="s">
        <v>115</v>
      </c>
      <c r="D401">
        <v>2010</v>
      </c>
      <c r="E401" t="s">
        <v>143</v>
      </c>
      <c r="F401">
        <v>255.78</v>
      </c>
      <c r="J401" s="18" t="s">
        <v>123</v>
      </c>
      <c r="K401" s="18">
        <v>2033</v>
      </c>
      <c r="L401" s="18" t="s">
        <v>174</v>
      </c>
      <c r="M401" s="18">
        <v>1590.52</v>
      </c>
      <c r="P401" s="18" t="s">
        <v>123</v>
      </c>
      <c r="Q401" s="18">
        <v>2033</v>
      </c>
      <c r="R401" s="18" t="s">
        <v>175</v>
      </c>
      <c r="S401" s="18">
        <f t="shared" si="32"/>
        <v>0</v>
      </c>
      <c r="U401">
        <v>79.525999999999996</v>
      </c>
      <c r="Z401" s="42" t="s">
        <v>120</v>
      </c>
      <c r="AA401" s="42">
        <v>2020</v>
      </c>
      <c r="AB401" s="42" t="s">
        <v>147</v>
      </c>
      <c r="AC401" s="42">
        <v>1076.6300000000001</v>
      </c>
    </row>
    <row r="402" spans="3:29">
      <c r="C402" t="s">
        <v>115</v>
      </c>
      <c r="D402">
        <v>2010</v>
      </c>
      <c r="E402" t="s">
        <v>144</v>
      </c>
      <c r="F402">
        <v>13.02</v>
      </c>
      <c r="J402" s="18" t="s">
        <v>123</v>
      </c>
      <c r="K402" s="18">
        <v>2034</v>
      </c>
      <c r="L402" s="18" t="s">
        <v>174</v>
      </c>
      <c r="M402" s="18">
        <v>1644.31</v>
      </c>
      <c r="P402" s="18" t="s">
        <v>123</v>
      </c>
      <c r="Q402" s="18">
        <v>2034</v>
      </c>
      <c r="R402" s="18" t="s">
        <v>175</v>
      </c>
      <c r="S402" s="18">
        <f t="shared" si="32"/>
        <v>0</v>
      </c>
      <c r="U402">
        <v>82.215499999999992</v>
      </c>
      <c r="Z402" s="42" t="s">
        <v>120</v>
      </c>
      <c r="AA402" s="42">
        <v>2020</v>
      </c>
      <c r="AB402" s="42" t="s">
        <v>145</v>
      </c>
      <c r="AC402" s="42">
        <v>783.27</v>
      </c>
    </row>
    <row r="403" spans="3:29">
      <c r="C403" t="s">
        <v>115</v>
      </c>
      <c r="D403">
        <v>2011</v>
      </c>
      <c r="E403" t="s">
        <v>141</v>
      </c>
      <c r="F403">
        <v>247.18</v>
      </c>
      <c r="J403" s="18" t="s">
        <v>123</v>
      </c>
      <c r="K403" s="18">
        <v>2035</v>
      </c>
      <c r="L403" s="18" t="s">
        <v>174</v>
      </c>
      <c r="M403" s="18">
        <v>1697.54</v>
      </c>
      <c r="P403" s="18" t="s">
        <v>123</v>
      </c>
      <c r="Q403" s="18">
        <v>2035</v>
      </c>
      <c r="R403" s="18" t="s">
        <v>175</v>
      </c>
      <c r="S403" s="18">
        <f t="shared" si="32"/>
        <v>0</v>
      </c>
      <c r="U403">
        <v>84.876999999999995</v>
      </c>
      <c r="Z403" s="42" t="s">
        <v>120</v>
      </c>
      <c r="AA403" s="42">
        <v>2021</v>
      </c>
      <c r="AB403" s="42" t="s">
        <v>146</v>
      </c>
      <c r="AC403" s="42">
        <v>539.70000000000005</v>
      </c>
    </row>
    <row r="404" spans="3:29">
      <c r="C404" t="s">
        <v>115</v>
      </c>
      <c r="D404">
        <v>2011</v>
      </c>
      <c r="E404" t="s">
        <v>142</v>
      </c>
      <c r="F404">
        <v>374.78</v>
      </c>
      <c r="J404" s="18" t="s">
        <v>123</v>
      </c>
      <c r="K404" s="18">
        <v>2036</v>
      </c>
      <c r="L404" s="18" t="s">
        <v>174</v>
      </c>
      <c r="M404" s="18">
        <v>1742.53</v>
      </c>
      <c r="P404" s="18" t="s">
        <v>123</v>
      </c>
      <c r="Q404" s="18">
        <v>2036</v>
      </c>
      <c r="R404" s="18" t="s">
        <v>175</v>
      </c>
      <c r="S404" s="18">
        <f t="shared" si="32"/>
        <v>0</v>
      </c>
      <c r="U404">
        <v>87.126499999999993</v>
      </c>
      <c r="Z404" s="42" t="s">
        <v>120</v>
      </c>
      <c r="AA404" s="42">
        <v>2021</v>
      </c>
      <c r="AB404" s="42" t="s">
        <v>147</v>
      </c>
      <c r="AC404" s="42">
        <v>1075.8800000000001</v>
      </c>
    </row>
    <row r="405" spans="3:29">
      <c r="C405" t="s">
        <v>115</v>
      </c>
      <c r="D405">
        <v>2011</v>
      </c>
      <c r="E405" t="s">
        <v>143</v>
      </c>
      <c r="F405">
        <v>263.77</v>
      </c>
      <c r="J405" s="18" t="s">
        <v>123</v>
      </c>
      <c r="K405" s="18">
        <v>2037</v>
      </c>
      <c r="L405" s="18" t="s">
        <v>174</v>
      </c>
      <c r="M405" s="18">
        <v>1780.9</v>
      </c>
      <c r="P405" s="18" t="s">
        <v>123</v>
      </c>
      <c r="Q405" s="18">
        <v>2037</v>
      </c>
      <c r="R405" s="18" t="s">
        <v>175</v>
      </c>
      <c r="S405" s="18">
        <f t="shared" si="32"/>
        <v>0</v>
      </c>
      <c r="U405">
        <v>89.045000000000002</v>
      </c>
      <c r="Z405" s="42" t="s">
        <v>120</v>
      </c>
      <c r="AA405" s="42">
        <v>2021</v>
      </c>
      <c r="AB405" s="42" t="s">
        <v>145</v>
      </c>
      <c r="AC405" s="42">
        <v>821.34</v>
      </c>
    </row>
    <row r="406" spans="3:29">
      <c r="C406" t="s">
        <v>115</v>
      </c>
      <c r="D406">
        <v>2011</v>
      </c>
      <c r="E406" t="s">
        <v>144</v>
      </c>
      <c r="F406">
        <v>13.68</v>
      </c>
      <c r="J406" s="18" t="s">
        <v>123</v>
      </c>
      <c r="K406" s="18">
        <v>2038</v>
      </c>
      <c r="L406" s="18" t="s">
        <v>174</v>
      </c>
      <c r="M406" s="18">
        <v>1818.48</v>
      </c>
      <c r="P406" s="18" t="s">
        <v>123</v>
      </c>
      <c r="Q406" s="18">
        <v>2038</v>
      </c>
      <c r="R406" s="18" t="s">
        <v>175</v>
      </c>
      <c r="S406" s="18">
        <f t="shared" si="32"/>
        <v>0</v>
      </c>
      <c r="U406">
        <v>90.924000000000007</v>
      </c>
      <c r="Z406" s="42" t="s">
        <v>120</v>
      </c>
      <c r="AA406" s="42">
        <v>2022</v>
      </c>
      <c r="AB406" s="42" t="s">
        <v>146</v>
      </c>
      <c r="AC406" s="42">
        <v>539.41</v>
      </c>
    </row>
    <row r="407" spans="3:29">
      <c r="C407" t="s">
        <v>115</v>
      </c>
      <c r="D407">
        <v>2012</v>
      </c>
      <c r="E407" t="s">
        <v>141</v>
      </c>
      <c r="F407">
        <v>247.31</v>
      </c>
      <c r="J407" s="18" t="s">
        <v>123</v>
      </c>
      <c r="K407" s="18">
        <v>2039</v>
      </c>
      <c r="L407" s="18" t="s">
        <v>174</v>
      </c>
      <c r="M407" s="18">
        <v>1855.32</v>
      </c>
      <c r="P407" s="18" t="s">
        <v>123</v>
      </c>
      <c r="Q407" s="18">
        <v>2039</v>
      </c>
      <c r="R407" s="18" t="s">
        <v>175</v>
      </c>
      <c r="S407" s="18">
        <f t="shared" si="32"/>
        <v>0</v>
      </c>
      <c r="U407">
        <v>92.765999999999991</v>
      </c>
      <c r="Z407" s="42" t="s">
        <v>120</v>
      </c>
      <c r="AA407" s="42">
        <v>2022</v>
      </c>
      <c r="AB407" s="42" t="s">
        <v>147</v>
      </c>
      <c r="AC407" s="42">
        <v>1072.7</v>
      </c>
    </row>
    <row r="408" spans="3:29">
      <c r="C408" t="s">
        <v>115</v>
      </c>
      <c r="D408">
        <v>2012</v>
      </c>
      <c r="E408" t="s">
        <v>142</v>
      </c>
      <c r="F408">
        <v>374.11</v>
      </c>
      <c r="J408" s="18" t="s">
        <v>123</v>
      </c>
      <c r="K408" s="18">
        <v>2040</v>
      </c>
      <c r="L408" s="18" t="s">
        <v>174</v>
      </c>
      <c r="M408" s="18">
        <v>1889.14</v>
      </c>
      <c r="P408" s="18" t="s">
        <v>123</v>
      </c>
      <c r="Q408" s="18">
        <v>2040</v>
      </c>
      <c r="R408" s="18" t="s">
        <v>175</v>
      </c>
      <c r="S408" s="18">
        <f t="shared" si="32"/>
        <v>94.457000000000008</v>
      </c>
      <c r="U408">
        <v>94.457000000000008</v>
      </c>
      <c r="Z408" s="42" t="s">
        <v>120</v>
      </c>
      <c r="AA408" s="42">
        <v>2022</v>
      </c>
      <c r="AB408" s="42" t="s">
        <v>145</v>
      </c>
      <c r="AC408" s="42">
        <v>838.89</v>
      </c>
    </row>
    <row r="409" spans="3:29">
      <c r="C409" t="s">
        <v>115</v>
      </c>
      <c r="D409">
        <v>2012</v>
      </c>
      <c r="E409" t="s">
        <v>143</v>
      </c>
      <c r="F409">
        <v>260.19</v>
      </c>
      <c r="J409" s="18" t="s">
        <v>123</v>
      </c>
      <c r="K409" s="18">
        <v>2041</v>
      </c>
      <c r="L409" s="18" t="s">
        <v>174</v>
      </c>
      <c r="M409" s="18">
        <v>1924.02</v>
      </c>
      <c r="P409" s="18" t="s">
        <v>123</v>
      </c>
      <c r="Q409" s="18">
        <v>2041</v>
      </c>
      <c r="R409" s="18" t="s">
        <v>175</v>
      </c>
      <c r="S409" s="18">
        <f t="shared" si="32"/>
        <v>96.200999999999993</v>
      </c>
      <c r="U409">
        <v>96.200999999999993</v>
      </c>
      <c r="Z409" s="42" t="s">
        <v>120</v>
      </c>
      <c r="AA409" s="42">
        <v>2023</v>
      </c>
      <c r="AB409" s="42" t="s">
        <v>146</v>
      </c>
      <c r="AC409" s="42">
        <v>538.38</v>
      </c>
    </row>
    <row r="410" spans="3:29">
      <c r="C410" t="s">
        <v>115</v>
      </c>
      <c r="D410">
        <v>2012</v>
      </c>
      <c r="E410" t="s">
        <v>144</v>
      </c>
      <c r="F410">
        <v>14.52</v>
      </c>
      <c r="J410" s="18" t="s">
        <v>123</v>
      </c>
      <c r="K410" s="18">
        <v>2042</v>
      </c>
      <c r="L410" s="18" t="s">
        <v>174</v>
      </c>
      <c r="M410" s="18">
        <v>1954.62</v>
      </c>
      <c r="P410" s="18" t="s">
        <v>123</v>
      </c>
      <c r="Q410" s="18">
        <v>2042</v>
      </c>
      <c r="R410" s="18" t="s">
        <v>175</v>
      </c>
      <c r="S410" s="18">
        <f t="shared" si="32"/>
        <v>97.730999999999995</v>
      </c>
      <c r="U410">
        <v>97.730999999999995</v>
      </c>
      <c r="Z410" s="42" t="s">
        <v>120</v>
      </c>
      <c r="AA410" s="42">
        <v>2023</v>
      </c>
      <c r="AB410" s="42" t="s">
        <v>147</v>
      </c>
      <c r="AC410" s="42">
        <v>1068.9000000000001</v>
      </c>
    </row>
    <row r="411" spans="3:29">
      <c r="C411" t="s">
        <v>115</v>
      </c>
      <c r="D411">
        <v>2013</v>
      </c>
      <c r="E411" t="s">
        <v>141</v>
      </c>
      <c r="F411">
        <v>257.23</v>
      </c>
      <c r="J411" s="18" t="s">
        <v>123</v>
      </c>
      <c r="K411" s="18">
        <v>2043</v>
      </c>
      <c r="L411" s="18" t="s">
        <v>174</v>
      </c>
      <c r="M411" s="18">
        <v>1988.23</v>
      </c>
      <c r="P411" s="18" t="s">
        <v>123</v>
      </c>
      <c r="Q411" s="18">
        <v>2043</v>
      </c>
      <c r="R411" s="18" t="s">
        <v>175</v>
      </c>
      <c r="S411" s="18">
        <f t="shared" si="32"/>
        <v>99.411500000000004</v>
      </c>
      <c r="U411">
        <v>99.411500000000004</v>
      </c>
      <c r="Z411" s="42" t="s">
        <v>120</v>
      </c>
      <c r="AA411" s="42">
        <v>2023</v>
      </c>
      <c r="AB411" s="42" t="s">
        <v>145</v>
      </c>
      <c r="AC411" s="42">
        <v>850.21</v>
      </c>
    </row>
    <row r="412" spans="3:29">
      <c r="C412" t="s">
        <v>115</v>
      </c>
      <c r="D412">
        <v>2013</v>
      </c>
      <c r="E412" t="s">
        <v>142</v>
      </c>
      <c r="F412">
        <v>360.83</v>
      </c>
      <c r="J412" s="18" t="s">
        <v>123</v>
      </c>
      <c r="K412" s="18">
        <v>2044</v>
      </c>
      <c r="L412" s="18" t="s">
        <v>174</v>
      </c>
      <c r="M412" s="18">
        <v>2022.29</v>
      </c>
      <c r="P412" s="18" t="s">
        <v>123</v>
      </c>
      <c r="Q412" s="18">
        <v>2044</v>
      </c>
      <c r="R412" s="18" t="s">
        <v>175</v>
      </c>
      <c r="S412" s="18">
        <f t="shared" si="32"/>
        <v>101.11449999999999</v>
      </c>
      <c r="U412">
        <v>101.11449999999999</v>
      </c>
      <c r="Z412" s="42" t="s">
        <v>120</v>
      </c>
      <c r="AA412" s="42">
        <v>2024</v>
      </c>
      <c r="AB412" s="42" t="s">
        <v>146</v>
      </c>
      <c r="AC412" s="42">
        <v>537.29999999999995</v>
      </c>
    </row>
    <row r="413" spans="3:29">
      <c r="C413" t="s">
        <v>115</v>
      </c>
      <c r="D413">
        <v>2013</v>
      </c>
      <c r="E413" t="s">
        <v>143</v>
      </c>
      <c r="F413">
        <v>259.13</v>
      </c>
      <c r="J413" s="18" t="s">
        <v>123</v>
      </c>
      <c r="K413" s="18">
        <v>2045</v>
      </c>
      <c r="L413" s="18" t="s">
        <v>174</v>
      </c>
      <c r="M413" s="18">
        <v>2056</v>
      </c>
      <c r="P413" s="18" t="s">
        <v>123</v>
      </c>
      <c r="Q413" s="18">
        <v>2045</v>
      </c>
      <c r="R413" s="18" t="s">
        <v>175</v>
      </c>
      <c r="S413" s="18">
        <f t="shared" si="32"/>
        <v>102.8</v>
      </c>
      <c r="U413">
        <v>102.8</v>
      </c>
      <c r="Z413" s="42" t="s">
        <v>120</v>
      </c>
      <c r="AA413" s="42">
        <v>2024</v>
      </c>
      <c r="AB413" s="42" t="s">
        <v>147</v>
      </c>
      <c r="AC413" s="42">
        <v>1065.51</v>
      </c>
    </row>
    <row r="414" spans="3:29">
      <c r="C414" t="s">
        <v>115</v>
      </c>
      <c r="D414">
        <v>2013</v>
      </c>
      <c r="E414" t="s">
        <v>144</v>
      </c>
      <c r="F414">
        <v>15.96</v>
      </c>
      <c r="J414" s="18" t="s">
        <v>123</v>
      </c>
      <c r="K414" s="18">
        <v>2046</v>
      </c>
      <c r="L414" s="18" t="s">
        <v>174</v>
      </c>
      <c r="M414" s="18">
        <v>2089.42</v>
      </c>
      <c r="P414" s="18" t="s">
        <v>123</v>
      </c>
      <c r="Q414" s="18">
        <v>2046</v>
      </c>
      <c r="R414" s="18" t="s">
        <v>175</v>
      </c>
      <c r="S414" s="18">
        <f t="shared" si="32"/>
        <v>104.471</v>
      </c>
      <c r="U414">
        <v>104.471</v>
      </c>
      <c r="Z414" s="42" t="s">
        <v>120</v>
      </c>
      <c r="AA414" s="42">
        <v>2024</v>
      </c>
      <c r="AB414" s="42" t="s">
        <v>145</v>
      </c>
      <c r="AC414" s="42">
        <v>856.09</v>
      </c>
    </row>
    <row r="415" spans="3:29">
      <c r="C415" t="s">
        <v>115</v>
      </c>
      <c r="D415">
        <v>2014</v>
      </c>
      <c r="E415" t="s">
        <v>141</v>
      </c>
      <c r="F415">
        <v>259.16000000000003</v>
      </c>
      <c r="J415" s="18" t="s">
        <v>123</v>
      </c>
      <c r="K415" s="18">
        <v>2047</v>
      </c>
      <c r="L415" s="18" t="s">
        <v>174</v>
      </c>
      <c r="M415" s="18">
        <v>2126.66</v>
      </c>
      <c r="P415" s="18" t="s">
        <v>123</v>
      </c>
      <c r="Q415" s="18">
        <v>2047</v>
      </c>
      <c r="R415" s="18" t="s">
        <v>175</v>
      </c>
      <c r="S415" s="18">
        <f t="shared" si="32"/>
        <v>106.333</v>
      </c>
      <c r="U415">
        <v>106.333</v>
      </c>
      <c r="Z415" s="42" t="s">
        <v>120</v>
      </c>
      <c r="AA415" s="42">
        <v>2025</v>
      </c>
      <c r="AB415" s="42" t="s">
        <v>146</v>
      </c>
      <c r="AC415" s="42">
        <v>536.37</v>
      </c>
    </row>
    <row r="416" spans="3:29">
      <c r="C416" t="s">
        <v>115</v>
      </c>
      <c r="D416">
        <v>2014</v>
      </c>
      <c r="E416" t="s">
        <v>142</v>
      </c>
      <c r="F416">
        <v>370.48</v>
      </c>
      <c r="J416" s="18" t="s">
        <v>123</v>
      </c>
      <c r="K416" s="18">
        <v>2048</v>
      </c>
      <c r="L416" s="18" t="s">
        <v>174</v>
      </c>
      <c r="M416" s="18">
        <v>2167</v>
      </c>
      <c r="P416" s="18" t="s">
        <v>123</v>
      </c>
      <c r="Q416" s="18">
        <v>2048</v>
      </c>
      <c r="R416" s="18" t="s">
        <v>175</v>
      </c>
      <c r="S416" s="18">
        <f t="shared" si="32"/>
        <v>108.35</v>
      </c>
      <c r="U416">
        <v>108.35</v>
      </c>
      <c r="Z416" s="42" t="s">
        <v>120</v>
      </c>
      <c r="AA416" s="42">
        <v>2025</v>
      </c>
      <c r="AB416" s="42" t="s">
        <v>147</v>
      </c>
      <c r="AC416" s="42">
        <v>1062.5999999999999</v>
      </c>
    </row>
    <row r="417" spans="3:29">
      <c r="C417" t="s">
        <v>115</v>
      </c>
      <c r="D417">
        <v>2014</v>
      </c>
      <c r="E417" t="s">
        <v>143</v>
      </c>
      <c r="F417">
        <v>251.11</v>
      </c>
      <c r="J417" s="18" t="s">
        <v>123</v>
      </c>
      <c r="K417" s="18">
        <v>2049</v>
      </c>
      <c r="L417" s="18" t="s">
        <v>174</v>
      </c>
      <c r="M417" s="18">
        <v>2206.61</v>
      </c>
      <c r="P417" s="18" t="s">
        <v>123</v>
      </c>
      <c r="Q417" s="18">
        <v>2049</v>
      </c>
      <c r="R417" s="18" t="s">
        <v>175</v>
      </c>
      <c r="S417" s="18">
        <f t="shared" si="32"/>
        <v>110.3305</v>
      </c>
      <c r="U417">
        <v>110.3305</v>
      </c>
      <c r="Z417" s="42" t="s">
        <v>120</v>
      </c>
      <c r="AA417" s="42">
        <v>2025</v>
      </c>
      <c r="AB417" s="42" t="s">
        <v>145</v>
      </c>
      <c r="AC417" s="42">
        <v>860.04</v>
      </c>
    </row>
    <row r="418" spans="3:29">
      <c r="C418" t="s">
        <v>115</v>
      </c>
      <c r="D418">
        <v>2014</v>
      </c>
      <c r="E418" t="s">
        <v>144</v>
      </c>
      <c r="F418">
        <v>16.47</v>
      </c>
      <c r="J418" s="18" t="s">
        <v>123</v>
      </c>
      <c r="K418" s="18">
        <v>2050</v>
      </c>
      <c r="L418" s="18" t="s">
        <v>174</v>
      </c>
      <c r="M418" s="18">
        <v>2240.2600000000002</v>
      </c>
      <c r="P418" s="18" t="s">
        <v>123</v>
      </c>
      <c r="Q418" s="18">
        <v>2050</v>
      </c>
      <c r="R418" s="18" t="s">
        <v>175</v>
      </c>
      <c r="S418" s="18">
        <f t="shared" si="32"/>
        <v>112.01300000000001</v>
      </c>
      <c r="U418">
        <v>112.01300000000001</v>
      </c>
      <c r="Z418" s="42" t="s">
        <v>120</v>
      </c>
      <c r="AA418" s="42">
        <v>2026</v>
      </c>
      <c r="AB418" s="42" t="s">
        <v>146</v>
      </c>
      <c r="AC418" s="42">
        <v>535.72</v>
      </c>
    </row>
    <row r="419" spans="3:29">
      <c r="C419" t="s">
        <v>115</v>
      </c>
      <c r="D419">
        <v>2015</v>
      </c>
      <c r="E419" t="s">
        <v>141</v>
      </c>
      <c r="F419">
        <v>273.88</v>
      </c>
      <c r="J419" s="18" t="s">
        <v>50</v>
      </c>
      <c r="K419" s="18">
        <v>2010</v>
      </c>
      <c r="L419" s="18" t="s">
        <v>174</v>
      </c>
      <c r="M419" s="18">
        <v>114.55</v>
      </c>
      <c r="P419" s="18" t="s">
        <v>50</v>
      </c>
      <c r="Q419" s="18">
        <v>2010</v>
      </c>
      <c r="R419" s="18" t="s">
        <v>175</v>
      </c>
      <c r="S419" s="18">
        <f t="shared" si="32"/>
        <v>0</v>
      </c>
      <c r="U419">
        <v>5.7275</v>
      </c>
      <c r="Z419" s="42" t="s">
        <v>120</v>
      </c>
      <c r="AA419" s="42">
        <v>2026</v>
      </c>
      <c r="AB419" s="42" t="s">
        <v>147</v>
      </c>
      <c r="AC419" s="42">
        <v>1060.43</v>
      </c>
    </row>
    <row r="420" spans="3:29">
      <c r="C420" t="s">
        <v>115</v>
      </c>
      <c r="D420">
        <v>2015</v>
      </c>
      <c r="E420" t="s">
        <v>142</v>
      </c>
      <c r="F420">
        <v>353.47</v>
      </c>
      <c r="J420" s="18" t="s">
        <v>50</v>
      </c>
      <c r="K420" s="18">
        <v>2011</v>
      </c>
      <c r="L420" s="18" t="s">
        <v>174</v>
      </c>
      <c r="M420" s="18">
        <v>118.68</v>
      </c>
      <c r="P420" s="18" t="s">
        <v>50</v>
      </c>
      <c r="Q420" s="18">
        <v>2011</v>
      </c>
      <c r="R420" s="18" t="s">
        <v>175</v>
      </c>
      <c r="S420" s="18">
        <f t="shared" si="32"/>
        <v>0</v>
      </c>
      <c r="U420">
        <v>5.9340000000000002</v>
      </c>
      <c r="Z420" s="42" t="s">
        <v>120</v>
      </c>
      <c r="AA420" s="42">
        <v>2026</v>
      </c>
      <c r="AB420" s="42" t="s">
        <v>145</v>
      </c>
      <c r="AC420" s="42">
        <v>863.79</v>
      </c>
    </row>
    <row r="421" spans="3:29">
      <c r="C421" t="s">
        <v>115</v>
      </c>
      <c r="D421">
        <v>2015</v>
      </c>
      <c r="E421" t="s">
        <v>143</v>
      </c>
      <c r="F421">
        <v>256.8</v>
      </c>
      <c r="J421" s="18" t="s">
        <v>50</v>
      </c>
      <c r="K421" s="18">
        <v>2012</v>
      </c>
      <c r="L421" s="18" t="s">
        <v>174</v>
      </c>
      <c r="M421" s="18">
        <v>120.37</v>
      </c>
      <c r="P421" s="18" t="s">
        <v>50</v>
      </c>
      <c r="Q421" s="18">
        <v>2012</v>
      </c>
      <c r="R421" s="18" t="s">
        <v>175</v>
      </c>
      <c r="S421" s="18">
        <f t="shared" si="32"/>
        <v>0</v>
      </c>
      <c r="U421">
        <v>6.0185000000000004</v>
      </c>
      <c r="Z421" s="42" t="s">
        <v>120</v>
      </c>
      <c r="AA421" s="42">
        <v>2027</v>
      </c>
      <c r="AB421" s="42" t="s">
        <v>146</v>
      </c>
      <c r="AC421" s="42">
        <v>535.15</v>
      </c>
    </row>
    <row r="422" spans="3:29">
      <c r="C422" t="s">
        <v>115</v>
      </c>
      <c r="D422">
        <v>2015</v>
      </c>
      <c r="E422" t="s">
        <v>144</v>
      </c>
      <c r="F422">
        <v>20.74</v>
      </c>
      <c r="J422" s="18" t="s">
        <v>50</v>
      </c>
      <c r="K422" s="18">
        <v>2013</v>
      </c>
      <c r="L422" s="18" t="s">
        <v>174</v>
      </c>
      <c r="M422" s="18">
        <v>130.88999999999999</v>
      </c>
      <c r="P422" s="18" t="s">
        <v>50</v>
      </c>
      <c r="Q422" s="18">
        <v>2013</v>
      </c>
      <c r="R422" s="18" t="s">
        <v>175</v>
      </c>
      <c r="S422" s="18">
        <f t="shared" si="32"/>
        <v>0</v>
      </c>
      <c r="U422">
        <v>6.5444999999999993</v>
      </c>
      <c r="Z422" s="42" t="s">
        <v>120</v>
      </c>
      <c r="AA422" s="42">
        <v>2027</v>
      </c>
      <c r="AB422" s="42" t="s">
        <v>147</v>
      </c>
      <c r="AC422" s="42">
        <v>1058.51</v>
      </c>
    </row>
    <row r="423" spans="3:29">
      <c r="C423" t="s">
        <v>115</v>
      </c>
      <c r="D423">
        <v>2016</v>
      </c>
      <c r="E423" t="s">
        <v>141</v>
      </c>
      <c r="F423">
        <v>273.97000000000003</v>
      </c>
      <c r="J423" s="18" t="s">
        <v>50</v>
      </c>
      <c r="K423" s="18">
        <v>2014</v>
      </c>
      <c r="L423" s="18" t="s">
        <v>174</v>
      </c>
      <c r="M423" s="18">
        <v>132.79</v>
      </c>
      <c r="P423" s="18" t="s">
        <v>50</v>
      </c>
      <c r="Q423" s="18">
        <v>2014</v>
      </c>
      <c r="R423" s="18" t="s">
        <v>175</v>
      </c>
      <c r="S423" s="18">
        <f t="shared" si="32"/>
        <v>0</v>
      </c>
      <c r="U423">
        <v>6.6395</v>
      </c>
      <c r="Z423" s="42" t="s">
        <v>120</v>
      </c>
      <c r="AA423" s="42">
        <v>2027</v>
      </c>
      <c r="AB423" s="42" t="s">
        <v>145</v>
      </c>
      <c r="AC423" s="42">
        <v>866.87</v>
      </c>
    </row>
    <row r="424" spans="3:29">
      <c r="C424" t="s">
        <v>115</v>
      </c>
      <c r="D424">
        <v>2016</v>
      </c>
      <c r="E424" t="s">
        <v>142</v>
      </c>
      <c r="F424">
        <v>356.98</v>
      </c>
      <c r="J424" s="18" t="s">
        <v>50</v>
      </c>
      <c r="K424" s="18">
        <v>2015</v>
      </c>
      <c r="L424" s="18" t="s">
        <v>174</v>
      </c>
      <c r="M424" s="18">
        <v>144.47</v>
      </c>
      <c r="P424" s="18" t="s">
        <v>50</v>
      </c>
      <c r="Q424" s="18">
        <v>2015</v>
      </c>
      <c r="R424" s="18" t="s">
        <v>175</v>
      </c>
      <c r="S424" s="18">
        <f t="shared" si="32"/>
        <v>0</v>
      </c>
      <c r="U424">
        <v>7.2234999999999996</v>
      </c>
      <c r="Z424" s="42" t="s">
        <v>120</v>
      </c>
      <c r="AA424" s="42">
        <v>2028</v>
      </c>
      <c r="AB424" s="42" t="s">
        <v>146</v>
      </c>
      <c r="AC424" s="42">
        <v>534.66</v>
      </c>
    </row>
    <row r="425" spans="3:29">
      <c r="C425" t="s">
        <v>115</v>
      </c>
      <c r="D425">
        <v>2016</v>
      </c>
      <c r="E425" t="s">
        <v>143</v>
      </c>
      <c r="F425">
        <v>255.18</v>
      </c>
      <c r="J425" s="18" t="s">
        <v>50</v>
      </c>
      <c r="K425" s="18">
        <v>2016</v>
      </c>
      <c r="L425" s="18" t="s">
        <v>174</v>
      </c>
      <c r="M425" s="18">
        <v>147.54</v>
      </c>
      <c r="P425" s="18" t="s">
        <v>50</v>
      </c>
      <c r="Q425" s="18">
        <v>2016</v>
      </c>
      <c r="R425" s="18" t="s">
        <v>175</v>
      </c>
      <c r="S425" s="18">
        <f t="shared" si="32"/>
        <v>0</v>
      </c>
      <c r="U425">
        <v>7.3769999999999998</v>
      </c>
      <c r="Z425" s="42" t="s">
        <v>120</v>
      </c>
      <c r="AA425" s="42">
        <v>2028</v>
      </c>
      <c r="AB425" s="42" t="s">
        <v>147</v>
      </c>
      <c r="AC425" s="42">
        <v>1056.79</v>
      </c>
    </row>
    <row r="426" spans="3:29">
      <c r="C426" t="s">
        <v>115</v>
      </c>
      <c r="D426">
        <v>2016</v>
      </c>
      <c r="E426" t="s">
        <v>144</v>
      </c>
      <c r="F426">
        <v>21.95</v>
      </c>
      <c r="J426" s="18" t="s">
        <v>50</v>
      </c>
      <c r="K426" s="18">
        <v>2017</v>
      </c>
      <c r="L426" s="18" t="s">
        <v>174</v>
      </c>
      <c r="M426" s="18">
        <v>153.82</v>
      </c>
      <c r="P426" s="18" t="s">
        <v>50</v>
      </c>
      <c r="Q426" s="18">
        <v>2017</v>
      </c>
      <c r="R426" s="18" t="s">
        <v>175</v>
      </c>
      <c r="S426" s="18">
        <f t="shared" si="32"/>
        <v>0</v>
      </c>
      <c r="U426">
        <v>7.6909999999999998</v>
      </c>
      <c r="Z426" s="42" t="s">
        <v>120</v>
      </c>
      <c r="AA426" s="42">
        <v>2028</v>
      </c>
      <c r="AB426" s="42" t="s">
        <v>145</v>
      </c>
      <c r="AC426" s="42">
        <v>870.31</v>
      </c>
    </row>
    <row r="427" spans="3:29">
      <c r="C427" t="s">
        <v>115</v>
      </c>
      <c r="D427">
        <v>2017</v>
      </c>
      <c r="E427" t="s">
        <v>141</v>
      </c>
      <c r="F427">
        <v>285.68</v>
      </c>
      <c r="J427" s="18" t="s">
        <v>50</v>
      </c>
      <c r="K427" s="18">
        <v>2018</v>
      </c>
      <c r="L427" s="18" t="s">
        <v>174</v>
      </c>
      <c r="M427" s="18">
        <v>158.49</v>
      </c>
      <c r="P427" s="18" t="s">
        <v>50</v>
      </c>
      <c r="Q427" s="18">
        <v>2018</v>
      </c>
      <c r="R427" s="18" t="s">
        <v>175</v>
      </c>
      <c r="S427" s="18">
        <f t="shared" si="32"/>
        <v>0</v>
      </c>
      <c r="U427">
        <v>7.9245000000000001</v>
      </c>
      <c r="Z427" s="42" t="s">
        <v>120</v>
      </c>
      <c r="AA427" s="42">
        <v>2029</v>
      </c>
      <c r="AB427" s="42" t="s">
        <v>146</v>
      </c>
      <c r="AC427" s="42">
        <v>534.49</v>
      </c>
    </row>
    <row r="428" spans="3:29">
      <c r="C428" t="s">
        <v>115</v>
      </c>
      <c r="D428">
        <v>2017</v>
      </c>
      <c r="E428" t="s">
        <v>142</v>
      </c>
      <c r="F428">
        <v>357.9</v>
      </c>
      <c r="J428" s="18" t="s">
        <v>50</v>
      </c>
      <c r="K428" s="18">
        <v>2019</v>
      </c>
      <c r="L428" s="18" t="s">
        <v>174</v>
      </c>
      <c r="M428" s="18">
        <v>163.06</v>
      </c>
      <c r="P428" s="18" t="s">
        <v>50</v>
      </c>
      <c r="Q428" s="18">
        <v>2019</v>
      </c>
      <c r="R428" s="18" t="s">
        <v>175</v>
      </c>
      <c r="S428" s="18">
        <f t="shared" si="32"/>
        <v>0</v>
      </c>
      <c r="U428">
        <v>8.1530000000000005</v>
      </c>
      <c r="Z428" s="42" t="s">
        <v>120</v>
      </c>
      <c r="AA428" s="42">
        <v>2029</v>
      </c>
      <c r="AB428" s="42" t="s">
        <v>147</v>
      </c>
      <c r="AC428" s="42">
        <v>1055.95</v>
      </c>
    </row>
    <row r="429" spans="3:29">
      <c r="C429" t="s">
        <v>115</v>
      </c>
      <c r="D429">
        <v>2017</v>
      </c>
      <c r="E429" t="s">
        <v>143</v>
      </c>
      <c r="F429">
        <v>260.69</v>
      </c>
      <c r="J429" s="18" t="s">
        <v>50</v>
      </c>
      <c r="K429" s="18">
        <v>2020</v>
      </c>
      <c r="L429" s="18" t="s">
        <v>174</v>
      </c>
      <c r="M429" s="18">
        <v>168.64</v>
      </c>
      <c r="P429" s="18" t="s">
        <v>50</v>
      </c>
      <c r="Q429" s="18">
        <v>2020</v>
      </c>
      <c r="R429" s="18" t="s">
        <v>175</v>
      </c>
      <c r="S429" s="18">
        <f t="shared" si="32"/>
        <v>0</v>
      </c>
      <c r="U429">
        <v>8.4319999999999986</v>
      </c>
      <c r="Z429" s="42" t="s">
        <v>120</v>
      </c>
      <c r="AA429" s="42">
        <v>2029</v>
      </c>
      <c r="AB429" s="42" t="s">
        <v>145</v>
      </c>
      <c r="AC429" s="42">
        <v>873.81</v>
      </c>
    </row>
    <row r="430" spans="3:29">
      <c r="C430" t="s">
        <v>115</v>
      </c>
      <c r="D430">
        <v>2017</v>
      </c>
      <c r="E430" t="s">
        <v>144</v>
      </c>
      <c r="F430">
        <v>21.57</v>
      </c>
      <c r="J430" s="18" t="s">
        <v>50</v>
      </c>
      <c r="K430" s="18">
        <v>2021</v>
      </c>
      <c r="L430" s="18" t="s">
        <v>174</v>
      </c>
      <c r="M430" s="18">
        <v>173.24</v>
      </c>
      <c r="P430" s="18" t="s">
        <v>50</v>
      </c>
      <c r="Q430" s="18">
        <v>2021</v>
      </c>
      <c r="R430" s="18" t="s">
        <v>175</v>
      </c>
      <c r="S430" s="18">
        <f t="shared" si="32"/>
        <v>0</v>
      </c>
      <c r="U430">
        <v>8.6620000000000008</v>
      </c>
      <c r="Z430" s="42" t="s">
        <v>120</v>
      </c>
      <c r="AA430" s="42">
        <v>2030</v>
      </c>
      <c r="AB430" s="42" t="s">
        <v>146</v>
      </c>
      <c r="AC430" s="42">
        <v>534.27</v>
      </c>
    </row>
    <row r="431" spans="3:29">
      <c r="C431" t="s">
        <v>115</v>
      </c>
      <c r="D431">
        <v>2018</v>
      </c>
      <c r="E431" t="s">
        <v>141</v>
      </c>
      <c r="F431">
        <v>293.02999999999997</v>
      </c>
      <c r="J431" s="18" t="s">
        <v>50</v>
      </c>
      <c r="K431" s="18">
        <v>2022</v>
      </c>
      <c r="L431" s="18" t="s">
        <v>174</v>
      </c>
      <c r="M431" s="18">
        <v>178.64</v>
      </c>
      <c r="P431" s="18" t="s">
        <v>50</v>
      </c>
      <c r="Q431" s="18">
        <v>2022</v>
      </c>
      <c r="R431" s="18" t="s">
        <v>175</v>
      </c>
      <c r="S431" s="18">
        <f t="shared" si="32"/>
        <v>0</v>
      </c>
      <c r="U431">
        <v>8.9319999999999986</v>
      </c>
      <c r="Z431" s="42" t="s">
        <v>120</v>
      </c>
      <c r="AA431" s="42">
        <v>2030</v>
      </c>
      <c r="AB431" s="42" t="s">
        <v>147</v>
      </c>
      <c r="AC431" s="42">
        <v>1054.97</v>
      </c>
    </row>
    <row r="432" spans="3:29">
      <c r="C432" t="s">
        <v>115</v>
      </c>
      <c r="D432">
        <v>2018</v>
      </c>
      <c r="E432" t="s">
        <v>142</v>
      </c>
      <c r="F432">
        <v>356.99</v>
      </c>
      <c r="J432" s="18" t="s">
        <v>50</v>
      </c>
      <c r="K432" s="18">
        <v>2023</v>
      </c>
      <c r="L432" s="18" t="s">
        <v>174</v>
      </c>
      <c r="M432" s="18">
        <v>184.68</v>
      </c>
      <c r="P432" s="18" t="s">
        <v>50</v>
      </c>
      <c r="Q432" s="18">
        <v>2023</v>
      </c>
      <c r="R432" s="18" t="s">
        <v>175</v>
      </c>
      <c r="S432" s="18">
        <f t="shared" si="32"/>
        <v>0</v>
      </c>
      <c r="U432">
        <v>9.234</v>
      </c>
      <c r="Z432" s="42" t="s">
        <v>120</v>
      </c>
      <c r="AA432" s="42">
        <v>2030</v>
      </c>
      <c r="AB432" s="42" t="s">
        <v>145</v>
      </c>
      <c r="AC432" s="42">
        <v>878.38</v>
      </c>
    </row>
    <row r="433" spans="3:29">
      <c r="C433" t="s">
        <v>115</v>
      </c>
      <c r="D433">
        <v>2018</v>
      </c>
      <c r="E433" t="s">
        <v>143</v>
      </c>
      <c r="F433">
        <v>264.5</v>
      </c>
      <c r="J433" s="18" t="s">
        <v>50</v>
      </c>
      <c r="K433" s="18">
        <v>2024</v>
      </c>
      <c r="L433" s="18" t="s">
        <v>174</v>
      </c>
      <c r="M433" s="18">
        <v>190.87</v>
      </c>
      <c r="P433" s="18" t="s">
        <v>50</v>
      </c>
      <c r="Q433" s="18">
        <v>2024</v>
      </c>
      <c r="R433" s="18" t="s">
        <v>175</v>
      </c>
      <c r="S433" s="18">
        <f t="shared" si="32"/>
        <v>0</v>
      </c>
      <c r="U433">
        <v>9.5434999999999999</v>
      </c>
      <c r="Z433" s="42" t="s">
        <v>120</v>
      </c>
      <c r="AA433" s="42">
        <v>2031</v>
      </c>
      <c r="AB433" s="42" t="s">
        <v>146</v>
      </c>
      <c r="AC433" s="42">
        <v>533.57000000000005</v>
      </c>
    </row>
    <row r="434" spans="3:29">
      <c r="C434" t="s">
        <v>115</v>
      </c>
      <c r="D434">
        <v>2018</v>
      </c>
      <c r="E434" t="s">
        <v>144</v>
      </c>
      <c r="F434">
        <v>22.15</v>
      </c>
      <c r="J434" s="18" t="s">
        <v>50</v>
      </c>
      <c r="K434" s="18">
        <v>2025</v>
      </c>
      <c r="L434" s="18" t="s">
        <v>174</v>
      </c>
      <c r="M434" s="18">
        <v>197.11</v>
      </c>
      <c r="P434" s="18" t="s">
        <v>50</v>
      </c>
      <c r="Q434" s="18">
        <v>2025</v>
      </c>
      <c r="R434" s="18" t="s">
        <v>175</v>
      </c>
      <c r="S434" s="18">
        <f t="shared" si="32"/>
        <v>0</v>
      </c>
      <c r="U434">
        <v>9.855500000000001</v>
      </c>
      <c r="Z434" s="42" t="s">
        <v>120</v>
      </c>
      <c r="AA434" s="42">
        <v>2031</v>
      </c>
      <c r="AB434" s="42" t="s">
        <v>147</v>
      </c>
      <c r="AC434" s="42">
        <v>1052.77</v>
      </c>
    </row>
    <row r="435" spans="3:29">
      <c r="C435" t="s">
        <v>115</v>
      </c>
      <c r="D435">
        <v>2019</v>
      </c>
      <c r="E435" t="s">
        <v>145</v>
      </c>
      <c r="F435">
        <v>1.24</v>
      </c>
      <c r="J435" s="18" t="s">
        <v>50</v>
      </c>
      <c r="K435" s="18">
        <v>2026</v>
      </c>
      <c r="L435" s="18" t="s">
        <v>174</v>
      </c>
      <c r="M435" s="18">
        <v>203.41</v>
      </c>
      <c r="P435" s="18" t="s">
        <v>50</v>
      </c>
      <c r="Q435" s="18">
        <v>2026</v>
      </c>
      <c r="R435" s="18" t="s">
        <v>175</v>
      </c>
      <c r="S435" s="18">
        <f t="shared" si="32"/>
        <v>0</v>
      </c>
      <c r="U435">
        <v>10.170500000000001</v>
      </c>
      <c r="Z435" s="42" t="s">
        <v>120</v>
      </c>
      <c r="AA435" s="42">
        <v>2031</v>
      </c>
      <c r="AB435" s="42" t="s">
        <v>145</v>
      </c>
      <c r="AC435" s="42">
        <v>883.44</v>
      </c>
    </row>
    <row r="436" spans="3:29">
      <c r="C436" t="s">
        <v>115</v>
      </c>
      <c r="D436">
        <v>2019</v>
      </c>
      <c r="E436" t="s">
        <v>141</v>
      </c>
      <c r="F436">
        <v>298.7</v>
      </c>
      <c r="J436" s="18" t="s">
        <v>50</v>
      </c>
      <c r="K436" s="18">
        <v>2027</v>
      </c>
      <c r="L436" s="18" t="s">
        <v>174</v>
      </c>
      <c r="M436" s="18">
        <v>209.81</v>
      </c>
      <c r="P436" s="18" t="s">
        <v>50</v>
      </c>
      <c r="Q436" s="18">
        <v>2027</v>
      </c>
      <c r="R436" s="18" t="s">
        <v>175</v>
      </c>
      <c r="S436" s="18">
        <f t="shared" si="32"/>
        <v>0</v>
      </c>
      <c r="U436">
        <v>10.490500000000001</v>
      </c>
      <c r="Z436" s="42" t="s">
        <v>120</v>
      </c>
      <c r="AA436" s="42">
        <v>2032</v>
      </c>
      <c r="AB436" s="42" t="s">
        <v>146</v>
      </c>
      <c r="AC436" s="42">
        <v>532.78</v>
      </c>
    </row>
    <row r="437" spans="3:29">
      <c r="C437" t="s">
        <v>115</v>
      </c>
      <c r="D437">
        <v>2019</v>
      </c>
      <c r="E437" t="s">
        <v>142</v>
      </c>
      <c r="F437">
        <v>370.02</v>
      </c>
      <c r="J437" s="18" t="s">
        <v>50</v>
      </c>
      <c r="K437" s="18">
        <v>2028</v>
      </c>
      <c r="L437" s="18" t="s">
        <v>174</v>
      </c>
      <c r="M437" s="18">
        <v>216.5</v>
      </c>
      <c r="P437" s="18" t="s">
        <v>50</v>
      </c>
      <c r="Q437" s="18">
        <v>2028</v>
      </c>
      <c r="R437" s="18" t="s">
        <v>175</v>
      </c>
      <c r="S437" s="18">
        <f t="shared" si="32"/>
        <v>0</v>
      </c>
      <c r="U437">
        <v>10.824999999999999</v>
      </c>
      <c r="Z437" s="42" t="s">
        <v>120</v>
      </c>
      <c r="AA437" s="42">
        <v>2032</v>
      </c>
      <c r="AB437" s="42" t="s">
        <v>147</v>
      </c>
      <c r="AC437" s="42">
        <v>1050.3499999999999</v>
      </c>
    </row>
    <row r="438" spans="3:29">
      <c r="C438" t="s">
        <v>115</v>
      </c>
      <c r="D438">
        <v>2019</v>
      </c>
      <c r="E438" t="s">
        <v>143</v>
      </c>
      <c r="F438">
        <v>265.10000000000002</v>
      </c>
      <c r="J438" s="18" t="s">
        <v>50</v>
      </c>
      <c r="K438" s="18">
        <v>2029</v>
      </c>
      <c r="L438" s="18" t="s">
        <v>174</v>
      </c>
      <c r="M438" s="18">
        <v>223.45</v>
      </c>
      <c r="P438" s="18" t="s">
        <v>50</v>
      </c>
      <c r="Q438" s="18">
        <v>2029</v>
      </c>
      <c r="R438" s="18" t="s">
        <v>175</v>
      </c>
      <c r="S438" s="18">
        <f t="shared" si="32"/>
        <v>0</v>
      </c>
      <c r="U438">
        <v>11.172499999999999</v>
      </c>
      <c r="Z438" s="42" t="s">
        <v>120</v>
      </c>
      <c r="AA438" s="42">
        <v>2032</v>
      </c>
      <c r="AB438" s="42" t="s">
        <v>145</v>
      </c>
      <c r="AC438" s="42">
        <v>888.46</v>
      </c>
    </row>
    <row r="439" spans="3:29">
      <c r="C439" t="s">
        <v>115</v>
      </c>
      <c r="D439">
        <v>2019</v>
      </c>
      <c r="E439" t="s">
        <v>144</v>
      </c>
      <c r="F439">
        <v>41.1</v>
      </c>
      <c r="J439" s="18" t="s">
        <v>50</v>
      </c>
      <c r="K439" s="18">
        <v>2030</v>
      </c>
      <c r="L439" s="18" t="s">
        <v>174</v>
      </c>
      <c r="M439" s="18">
        <v>230.65</v>
      </c>
      <c r="P439" s="18" t="s">
        <v>50</v>
      </c>
      <c r="Q439" s="18">
        <v>2030</v>
      </c>
      <c r="R439" s="18" t="s">
        <v>175</v>
      </c>
      <c r="S439" s="18">
        <f t="shared" si="32"/>
        <v>0</v>
      </c>
      <c r="U439">
        <v>11.532500000000001</v>
      </c>
      <c r="Z439" s="42" t="s">
        <v>120</v>
      </c>
      <c r="AA439" s="42">
        <v>2033</v>
      </c>
      <c r="AB439" s="42" t="s">
        <v>146</v>
      </c>
      <c r="AC439" s="42">
        <v>531.91999999999996</v>
      </c>
    </row>
    <row r="440" spans="3:29">
      <c r="C440" t="s">
        <v>115</v>
      </c>
      <c r="D440">
        <v>2020</v>
      </c>
      <c r="E440" t="s">
        <v>145</v>
      </c>
      <c r="F440">
        <v>1.1599999999999999</v>
      </c>
      <c r="J440" s="18" t="s">
        <v>50</v>
      </c>
      <c r="K440" s="18">
        <v>2031</v>
      </c>
      <c r="L440" s="18" t="s">
        <v>174</v>
      </c>
      <c r="M440" s="18">
        <v>238.14</v>
      </c>
      <c r="P440" s="18" t="s">
        <v>50</v>
      </c>
      <c r="Q440" s="18">
        <v>2031</v>
      </c>
      <c r="R440" s="18" t="s">
        <v>175</v>
      </c>
      <c r="S440" s="18">
        <f t="shared" si="32"/>
        <v>0</v>
      </c>
      <c r="U440">
        <v>11.907</v>
      </c>
      <c r="Z440" s="42" t="s">
        <v>120</v>
      </c>
      <c r="AA440" s="42">
        <v>2033</v>
      </c>
      <c r="AB440" s="42" t="s">
        <v>147</v>
      </c>
      <c r="AC440" s="42">
        <v>1047.73</v>
      </c>
    </row>
    <row r="441" spans="3:29">
      <c r="C441" t="s">
        <v>115</v>
      </c>
      <c r="D441">
        <v>2020</v>
      </c>
      <c r="E441" t="s">
        <v>141</v>
      </c>
      <c r="F441">
        <v>293.75</v>
      </c>
      <c r="J441" s="18" t="s">
        <v>50</v>
      </c>
      <c r="K441" s="18">
        <v>2032</v>
      </c>
      <c r="L441" s="18" t="s">
        <v>174</v>
      </c>
      <c r="M441" s="18">
        <v>245.8</v>
      </c>
      <c r="P441" s="18" t="s">
        <v>50</v>
      </c>
      <c r="Q441" s="18">
        <v>2032</v>
      </c>
      <c r="R441" s="18" t="s">
        <v>175</v>
      </c>
      <c r="S441" s="18">
        <f t="shared" si="32"/>
        <v>0</v>
      </c>
      <c r="U441">
        <v>12.290000000000001</v>
      </c>
      <c r="Z441" s="42" t="s">
        <v>120</v>
      </c>
      <c r="AA441" s="42">
        <v>2033</v>
      </c>
      <c r="AB441" s="42" t="s">
        <v>145</v>
      </c>
      <c r="AC441" s="42">
        <v>893.02</v>
      </c>
    </row>
    <row r="442" spans="3:29">
      <c r="C442" t="s">
        <v>115</v>
      </c>
      <c r="D442">
        <v>2020</v>
      </c>
      <c r="E442" t="s">
        <v>142</v>
      </c>
      <c r="F442">
        <v>366.72</v>
      </c>
      <c r="J442" s="18" t="s">
        <v>50</v>
      </c>
      <c r="K442" s="18">
        <v>2033</v>
      </c>
      <c r="L442" s="18" t="s">
        <v>174</v>
      </c>
      <c r="M442" s="18">
        <v>253.86</v>
      </c>
      <c r="P442" s="18" t="s">
        <v>50</v>
      </c>
      <c r="Q442" s="18">
        <v>2033</v>
      </c>
      <c r="R442" s="18" t="s">
        <v>175</v>
      </c>
      <c r="S442" s="18">
        <f t="shared" si="32"/>
        <v>0</v>
      </c>
      <c r="U442">
        <v>12.693000000000001</v>
      </c>
      <c r="Z442" s="42" t="s">
        <v>120</v>
      </c>
      <c r="AA442" s="42">
        <v>2034</v>
      </c>
      <c r="AB442" s="42" t="s">
        <v>146</v>
      </c>
      <c r="AC442" s="42">
        <v>531.20000000000005</v>
      </c>
    </row>
    <row r="443" spans="3:29">
      <c r="C443" t="s">
        <v>115</v>
      </c>
      <c r="D443">
        <v>2020</v>
      </c>
      <c r="E443" t="s">
        <v>143</v>
      </c>
      <c r="F443">
        <v>269.43</v>
      </c>
      <c r="J443" s="18" t="s">
        <v>50</v>
      </c>
      <c r="K443" s="18">
        <v>2034</v>
      </c>
      <c r="L443" s="18" t="s">
        <v>174</v>
      </c>
      <c r="M443" s="18">
        <v>262.08999999999997</v>
      </c>
      <c r="P443" s="18" t="s">
        <v>50</v>
      </c>
      <c r="Q443" s="18">
        <v>2034</v>
      </c>
      <c r="R443" s="18" t="s">
        <v>175</v>
      </c>
      <c r="S443" s="18">
        <f t="shared" si="32"/>
        <v>0</v>
      </c>
      <c r="U443">
        <v>13.104499999999998</v>
      </c>
      <c r="Z443" s="42" t="s">
        <v>120</v>
      </c>
      <c r="AA443" s="42">
        <v>2034</v>
      </c>
      <c r="AB443" s="42" t="s">
        <v>147</v>
      </c>
      <c r="AC443" s="42">
        <v>1045.47</v>
      </c>
    </row>
    <row r="444" spans="3:29">
      <c r="C444" t="s">
        <v>115</v>
      </c>
      <c r="D444">
        <v>2020</v>
      </c>
      <c r="E444" t="s">
        <v>144</v>
      </c>
      <c r="F444">
        <v>37.659999999999997</v>
      </c>
      <c r="J444" s="18" t="s">
        <v>50</v>
      </c>
      <c r="K444" s="18">
        <v>2035</v>
      </c>
      <c r="L444" s="18" t="s">
        <v>174</v>
      </c>
      <c r="M444" s="18">
        <v>270.5</v>
      </c>
      <c r="P444" s="18" t="s">
        <v>50</v>
      </c>
      <c r="Q444" s="18">
        <v>2035</v>
      </c>
      <c r="R444" s="18" t="s">
        <v>175</v>
      </c>
      <c r="S444" s="18">
        <f t="shared" si="32"/>
        <v>0</v>
      </c>
      <c r="U444">
        <v>13.525</v>
      </c>
      <c r="Z444" s="42" t="s">
        <v>120</v>
      </c>
      <c r="AA444" s="42">
        <v>2034</v>
      </c>
      <c r="AB444" s="42" t="s">
        <v>145</v>
      </c>
      <c r="AC444" s="42">
        <v>898.41</v>
      </c>
    </row>
    <row r="445" spans="3:29">
      <c r="C445" t="s">
        <v>115</v>
      </c>
      <c r="D445">
        <v>2021</v>
      </c>
      <c r="E445" t="s">
        <v>145</v>
      </c>
      <c r="F445">
        <v>1.1599999999999999</v>
      </c>
      <c r="J445" s="18" t="s">
        <v>50</v>
      </c>
      <c r="K445" s="18">
        <v>2036</v>
      </c>
      <c r="L445" s="18" t="s">
        <v>174</v>
      </c>
      <c r="M445" s="18">
        <v>279.72000000000003</v>
      </c>
      <c r="P445" s="18" t="s">
        <v>50</v>
      </c>
      <c r="Q445" s="18">
        <v>2036</v>
      </c>
      <c r="R445" s="18" t="s">
        <v>175</v>
      </c>
      <c r="S445" s="18">
        <f t="shared" si="32"/>
        <v>0</v>
      </c>
      <c r="U445">
        <v>13.986000000000001</v>
      </c>
      <c r="Z445" s="42" t="s">
        <v>120</v>
      </c>
      <c r="AA445" s="42">
        <v>2035</v>
      </c>
      <c r="AB445" s="42" t="s">
        <v>146</v>
      </c>
      <c r="AC445" s="42">
        <v>530.54999999999995</v>
      </c>
    </row>
    <row r="446" spans="3:29">
      <c r="C446" t="s">
        <v>115</v>
      </c>
      <c r="D446">
        <v>2021</v>
      </c>
      <c r="E446" t="s">
        <v>141</v>
      </c>
      <c r="F446">
        <v>300.72000000000003</v>
      </c>
      <c r="J446" s="18" t="s">
        <v>50</v>
      </c>
      <c r="K446" s="18">
        <v>2037</v>
      </c>
      <c r="L446" s="18" t="s">
        <v>174</v>
      </c>
      <c r="M446" s="18">
        <v>289.11</v>
      </c>
      <c r="P446" s="18" t="s">
        <v>50</v>
      </c>
      <c r="Q446" s="18">
        <v>2037</v>
      </c>
      <c r="R446" s="18" t="s">
        <v>175</v>
      </c>
      <c r="S446" s="18">
        <f t="shared" si="32"/>
        <v>0</v>
      </c>
      <c r="U446">
        <v>14.455500000000001</v>
      </c>
      <c r="Z446" s="42" t="s">
        <v>120</v>
      </c>
      <c r="AA446" s="42">
        <v>2035</v>
      </c>
      <c r="AB446" s="42" t="s">
        <v>147</v>
      </c>
      <c r="AC446" s="42">
        <v>1043.42</v>
      </c>
    </row>
    <row r="447" spans="3:29">
      <c r="C447" t="s">
        <v>115</v>
      </c>
      <c r="D447">
        <v>2021</v>
      </c>
      <c r="E447" t="s">
        <v>142</v>
      </c>
      <c r="F447">
        <v>370.13</v>
      </c>
      <c r="J447" s="18" t="s">
        <v>50</v>
      </c>
      <c r="K447" s="18">
        <v>2038</v>
      </c>
      <c r="L447" s="18" t="s">
        <v>174</v>
      </c>
      <c r="M447" s="18">
        <v>298.77999999999997</v>
      </c>
      <c r="P447" s="18" t="s">
        <v>50</v>
      </c>
      <c r="Q447" s="18">
        <v>2038</v>
      </c>
      <c r="R447" s="18" t="s">
        <v>175</v>
      </c>
      <c r="S447" s="18">
        <f t="shared" si="32"/>
        <v>0</v>
      </c>
      <c r="U447">
        <v>14.938999999999998</v>
      </c>
      <c r="Z447" s="42" t="s">
        <v>120</v>
      </c>
      <c r="AA447" s="42">
        <v>2035</v>
      </c>
      <c r="AB447" s="42" t="s">
        <v>145</v>
      </c>
      <c r="AC447" s="42">
        <v>903.8</v>
      </c>
    </row>
    <row r="448" spans="3:29">
      <c r="C448" t="s">
        <v>115</v>
      </c>
      <c r="D448">
        <v>2021</v>
      </c>
      <c r="E448" t="s">
        <v>143</v>
      </c>
      <c r="F448">
        <v>264.7</v>
      </c>
      <c r="J448" s="18" t="s">
        <v>50</v>
      </c>
      <c r="K448" s="18">
        <v>2039</v>
      </c>
      <c r="L448" s="18" t="s">
        <v>174</v>
      </c>
      <c r="M448" s="18">
        <v>308.64999999999998</v>
      </c>
      <c r="P448" s="18" t="s">
        <v>50</v>
      </c>
      <c r="Q448" s="18">
        <v>2039</v>
      </c>
      <c r="R448" s="18" t="s">
        <v>175</v>
      </c>
      <c r="S448" s="18">
        <f t="shared" si="32"/>
        <v>0</v>
      </c>
      <c r="U448">
        <v>15.432499999999999</v>
      </c>
      <c r="Z448" s="42" t="s">
        <v>120</v>
      </c>
      <c r="AA448" s="42">
        <v>2036</v>
      </c>
      <c r="AB448" s="42" t="s">
        <v>146</v>
      </c>
      <c r="AC448" s="42">
        <v>529.91999999999996</v>
      </c>
    </row>
    <row r="449" spans="3:29">
      <c r="C449" t="s">
        <v>115</v>
      </c>
      <c r="D449">
        <v>2021</v>
      </c>
      <c r="E449" t="s">
        <v>144</v>
      </c>
      <c r="F449">
        <v>40.340000000000003</v>
      </c>
      <c r="J449" s="18" t="s">
        <v>50</v>
      </c>
      <c r="K449" s="18">
        <v>2040</v>
      </c>
      <c r="L449" s="18" t="s">
        <v>174</v>
      </c>
      <c r="M449" s="18">
        <v>318.83999999999997</v>
      </c>
      <c r="P449" s="18" t="s">
        <v>50</v>
      </c>
      <c r="Q449" s="18">
        <v>2040</v>
      </c>
      <c r="R449" s="18" t="s">
        <v>175</v>
      </c>
      <c r="S449" s="18">
        <f t="shared" si="32"/>
        <v>15.941999999999998</v>
      </c>
      <c r="U449">
        <v>15.941999999999998</v>
      </c>
      <c r="Z449" s="42" t="s">
        <v>120</v>
      </c>
      <c r="AA449" s="42">
        <v>2036</v>
      </c>
      <c r="AB449" s="42" t="s">
        <v>147</v>
      </c>
      <c r="AC449" s="42">
        <v>1041.4100000000001</v>
      </c>
    </row>
    <row r="450" spans="3:29">
      <c r="C450" t="s">
        <v>115</v>
      </c>
      <c r="D450">
        <v>2022</v>
      </c>
      <c r="E450" t="s">
        <v>145</v>
      </c>
      <c r="F450">
        <v>1.24</v>
      </c>
      <c r="J450" s="18" t="s">
        <v>50</v>
      </c>
      <c r="K450" s="18">
        <v>2041</v>
      </c>
      <c r="L450" s="18" t="s">
        <v>174</v>
      </c>
      <c r="M450" s="18">
        <v>328.53</v>
      </c>
      <c r="P450" s="18" t="s">
        <v>50</v>
      </c>
      <c r="Q450" s="18">
        <v>2041</v>
      </c>
      <c r="R450" s="18" t="s">
        <v>175</v>
      </c>
      <c r="S450" s="18">
        <f t="shared" si="32"/>
        <v>16.426499999999997</v>
      </c>
      <c r="U450">
        <v>16.426499999999997</v>
      </c>
      <c r="Z450" s="42" t="s">
        <v>120</v>
      </c>
      <c r="AA450" s="42">
        <v>2036</v>
      </c>
      <c r="AB450" s="42" t="s">
        <v>145</v>
      </c>
      <c r="AC450" s="42">
        <v>909.37</v>
      </c>
    </row>
    <row r="451" spans="3:29">
      <c r="C451" t="s">
        <v>115</v>
      </c>
      <c r="D451">
        <v>2022</v>
      </c>
      <c r="E451" t="s">
        <v>141</v>
      </c>
      <c r="F451">
        <v>306.81</v>
      </c>
      <c r="J451" s="18" t="s">
        <v>50</v>
      </c>
      <c r="K451" s="18">
        <v>2042</v>
      </c>
      <c r="L451" s="18" t="s">
        <v>174</v>
      </c>
      <c r="M451" s="18">
        <v>338.34</v>
      </c>
      <c r="P451" s="18" t="s">
        <v>50</v>
      </c>
      <c r="Q451" s="18">
        <v>2042</v>
      </c>
      <c r="R451" s="18" t="s">
        <v>175</v>
      </c>
      <c r="S451" s="18">
        <f t="shared" si="32"/>
        <v>16.916999999999998</v>
      </c>
      <c r="U451">
        <v>16.916999999999998</v>
      </c>
      <c r="Z451" s="42" t="s">
        <v>120</v>
      </c>
      <c r="AA451" s="42">
        <v>2037</v>
      </c>
      <c r="AB451" s="42" t="s">
        <v>146</v>
      </c>
      <c r="AC451" s="42">
        <v>529.29</v>
      </c>
    </row>
    <row r="452" spans="3:29">
      <c r="C452" t="s">
        <v>115</v>
      </c>
      <c r="D452">
        <v>2022</v>
      </c>
      <c r="E452" t="s">
        <v>142</v>
      </c>
      <c r="F452">
        <v>379.46</v>
      </c>
      <c r="J452" s="18" t="s">
        <v>50</v>
      </c>
      <c r="K452" s="18">
        <v>2043</v>
      </c>
      <c r="L452" s="18" t="s">
        <v>174</v>
      </c>
      <c r="M452" s="18">
        <v>348.21</v>
      </c>
      <c r="P452" s="18" t="s">
        <v>50</v>
      </c>
      <c r="Q452" s="18">
        <v>2043</v>
      </c>
      <c r="R452" s="18" t="s">
        <v>175</v>
      </c>
      <c r="S452" s="18">
        <f t="shared" si="32"/>
        <v>17.410499999999999</v>
      </c>
      <c r="U452">
        <v>17.410499999999999</v>
      </c>
      <c r="Z452" s="42" t="s">
        <v>120</v>
      </c>
      <c r="AA452" s="42">
        <v>2037</v>
      </c>
      <c r="AB452" s="42" t="s">
        <v>147</v>
      </c>
      <c r="AC452" s="42">
        <v>1039.3900000000001</v>
      </c>
    </row>
    <row r="453" spans="3:29">
      <c r="C453" t="s">
        <v>115</v>
      </c>
      <c r="D453">
        <v>2022</v>
      </c>
      <c r="E453" t="s">
        <v>143</v>
      </c>
      <c r="F453">
        <v>266.33999999999997</v>
      </c>
      <c r="J453" s="18" t="s">
        <v>50</v>
      </c>
      <c r="K453" s="18">
        <v>2044</v>
      </c>
      <c r="L453" s="18" t="s">
        <v>174</v>
      </c>
      <c r="M453" s="18">
        <v>358.24</v>
      </c>
      <c r="P453" s="18" t="s">
        <v>50</v>
      </c>
      <c r="Q453" s="18">
        <v>2044</v>
      </c>
      <c r="R453" s="18" t="s">
        <v>175</v>
      </c>
      <c r="S453" s="18">
        <f t="shared" si="32"/>
        <v>17.911999999999999</v>
      </c>
      <c r="U453">
        <v>17.911999999999999</v>
      </c>
      <c r="Z453" s="42" t="s">
        <v>120</v>
      </c>
      <c r="AA453" s="42">
        <v>2037</v>
      </c>
      <c r="AB453" s="42" t="s">
        <v>145</v>
      </c>
      <c r="AC453" s="42">
        <v>915.06</v>
      </c>
    </row>
    <row r="454" spans="3:29">
      <c r="C454" t="s">
        <v>115</v>
      </c>
      <c r="D454">
        <v>2022</v>
      </c>
      <c r="E454" t="s">
        <v>144</v>
      </c>
      <c r="F454">
        <v>43.27</v>
      </c>
      <c r="J454" s="18" t="s">
        <v>50</v>
      </c>
      <c r="K454" s="18">
        <v>2045</v>
      </c>
      <c r="L454" s="18" t="s">
        <v>174</v>
      </c>
      <c r="M454" s="18">
        <v>368.57</v>
      </c>
      <c r="P454" s="18" t="s">
        <v>50</v>
      </c>
      <c r="Q454" s="18">
        <v>2045</v>
      </c>
      <c r="R454" s="18" t="s">
        <v>175</v>
      </c>
      <c r="S454" s="18">
        <f t="shared" si="32"/>
        <v>18.4285</v>
      </c>
      <c r="U454">
        <v>18.4285</v>
      </c>
      <c r="Z454" s="42" t="s">
        <v>120</v>
      </c>
      <c r="AA454" s="42">
        <v>2038</v>
      </c>
      <c r="AB454" s="42" t="s">
        <v>146</v>
      </c>
      <c r="AC454" s="42">
        <v>528.66999999999996</v>
      </c>
    </row>
    <row r="455" spans="3:29">
      <c r="C455" t="s">
        <v>115</v>
      </c>
      <c r="D455">
        <v>2023</v>
      </c>
      <c r="E455" t="s">
        <v>145</v>
      </c>
      <c r="F455">
        <v>1.27</v>
      </c>
      <c r="J455" s="18" t="s">
        <v>50</v>
      </c>
      <c r="K455" s="18">
        <v>2046</v>
      </c>
      <c r="L455" s="18" t="s">
        <v>174</v>
      </c>
      <c r="M455" s="18">
        <v>380.34</v>
      </c>
      <c r="P455" s="18" t="s">
        <v>50</v>
      </c>
      <c r="Q455" s="18">
        <v>2046</v>
      </c>
      <c r="R455" s="18" t="s">
        <v>175</v>
      </c>
      <c r="S455" s="18">
        <f t="shared" si="32"/>
        <v>19.016999999999999</v>
      </c>
      <c r="U455">
        <v>19.016999999999999</v>
      </c>
      <c r="Z455" s="42" t="s">
        <v>120</v>
      </c>
      <c r="AA455" s="42">
        <v>2038</v>
      </c>
      <c r="AB455" s="42" t="s">
        <v>147</v>
      </c>
      <c r="AC455" s="42">
        <v>1037.4100000000001</v>
      </c>
    </row>
    <row r="456" spans="3:29">
      <c r="C456" t="s">
        <v>115</v>
      </c>
      <c r="D456">
        <v>2023</v>
      </c>
      <c r="E456" t="s">
        <v>141</v>
      </c>
      <c r="F456">
        <v>310.89999999999998</v>
      </c>
      <c r="J456" s="18" t="s">
        <v>50</v>
      </c>
      <c r="K456" s="18">
        <v>2047</v>
      </c>
      <c r="L456" s="18" t="s">
        <v>174</v>
      </c>
      <c r="M456" s="18">
        <v>392.42</v>
      </c>
      <c r="P456" s="18" t="s">
        <v>50</v>
      </c>
      <c r="Q456" s="18">
        <v>2047</v>
      </c>
      <c r="R456" s="18" t="s">
        <v>175</v>
      </c>
      <c r="S456" s="18">
        <f t="shared" si="32"/>
        <v>19.621000000000002</v>
      </c>
      <c r="U456">
        <v>19.621000000000002</v>
      </c>
      <c r="Z456" s="42" t="s">
        <v>120</v>
      </c>
      <c r="AA456" s="42">
        <v>2038</v>
      </c>
      <c r="AB456" s="42" t="s">
        <v>145</v>
      </c>
      <c r="AC456" s="42">
        <v>921.05</v>
      </c>
    </row>
    <row r="457" spans="3:29">
      <c r="C457" t="s">
        <v>115</v>
      </c>
      <c r="D457">
        <v>2023</v>
      </c>
      <c r="E457" t="s">
        <v>142</v>
      </c>
      <c r="F457">
        <v>390.35</v>
      </c>
      <c r="J457" s="18" t="s">
        <v>50</v>
      </c>
      <c r="K457" s="18">
        <v>2048</v>
      </c>
      <c r="L457" s="18" t="s">
        <v>174</v>
      </c>
      <c r="M457" s="18">
        <v>404.8</v>
      </c>
      <c r="P457" s="18" t="s">
        <v>50</v>
      </c>
      <c r="Q457" s="18">
        <v>2048</v>
      </c>
      <c r="R457" s="18" t="s">
        <v>175</v>
      </c>
      <c r="S457" s="18">
        <f t="shared" si="32"/>
        <v>20.240000000000002</v>
      </c>
      <c r="U457">
        <v>20.240000000000002</v>
      </c>
      <c r="Z457" s="42" t="s">
        <v>120</v>
      </c>
      <c r="AA457" s="42">
        <v>2039</v>
      </c>
      <c r="AB457" s="42" t="s">
        <v>146</v>
      </c>
      <c r="AC457" s="42">
        <v>528.03</v>
      </c>
    </row>
    <row r="458" spans="3:29">
      <c r="C458" t="s">
        <v>115</v>
      </c>
      <c r="D458">
        <v>2023</v>
      </c>
      <c r="E458" t="s">
        <v>143</v>
      </c>
      <c r="F458">
        <v>267.3</v>
      </c>
      <c r="J458" s="18" t="s">
        <v>50</v>
      </c>
      <c r="K458" s="18">
        <v>2049</v>
      </c>
      <c r="L458" s="18" t="s">
        <v>174</v>
      </c>
      <c r="M458" s="18">
        <v>417.69</v>
      </c>
      <c r="P458" s="18" t="s">
        <v>50</v>
      </c>
      <c r="Q458" s="18">
        <v>2049</v>
      </c>
      <c r="R458" s="18" t="s">
        <v>175</v>
      </c>
      <c r="S458" s="18">
        <f t="shared" ref="S458:S521" si="33">IF(Q458&lt;2040, 0,U458)</f>
        <v>20.884499999999999</v>
      </c>
      <c r="U458">
        <v>20.884499999999999</v>
      </c>
      <c r="Z458" s="42" t="s">
        <v>120</v>
      </c>
      <c r="AA458" s="42">
        <v>2039</v>
      </c>
      <c r="AB458" s="42" t="s">
        <v>147</v>
      </c>
      <c r="AC458" s="42">
        <v>1035.3599999999999</v>
      </c>
    </row>
    <row r="459" spans="3:29">
      <c r="C459" t="s">
        <v>115</v>
      </c>
      <c r="D459">
        <v>2023</v>
      </c>
      <c r="E459" t="s">
        <v>144</v>
      </c>
      <c r="F459">
        <v>45.9</v>
      </c>
      <c r="J459" s="18" t="s">
        <v>50</v>
      </c>
      <c r="K459" s="18">
        <v>2050</v>
      </c>
      <c r="L459" s="18" t="s">
        <v>174</v>
      </c>
      <c r="M459" s="18">
        <v>431.24</v>
      </c>
      <c r="P459" s="18" t="s">
        <v>50</v>
      </c>
      <c r="Q459" s="18">
        <v>2050</v>
      </c>
      <c r="R459" s="18" t="s">
        <v>175</v>
      </c>
      <c r="S459" s="18">
        <f t="shared" si="33"/>
        <v>21.562000000000001</v>
      </c>
      <c r="U459">
        <v>21.562000000000001</v>
      </c>
      <c r="Z459" s="42" t="s">
        <v>120</v>
      </c>
      <c r="AA459" s="42">
        <v>2039</v>
      </c>
      <c r="AB459" s="42" t="s">
        <v>145</v>
      </c>
      <c r="AC459" s="42">
        <v>927.65</v>
      </c>
    </row>
    <row r="460" spans="3:29">
      <c r="C460" t="s">
        <v>115</v>
      </c>
      <c r="D460">
        <v>2024</v>
      </c>
      <c r="E460" t="s">
        <v>145</v>
      </c>
      <c r="F460">
        <v>1.3</v>
      </c>
      <c r="J460" s="18" t="s">
        <v>124</v>
      </c>
      <c r="K460" s="18">
        <v>2010</v>
      </c>
      <c r="L460" s="18" t="s">
        <v>174</v>
      </c>
      <c r="M460" s="18">
        <v>904.03</v>
      </c>
      <c r="P460" s="18" t="s">
        <v>124</v>
      </c>
      <c r="Q460" s="18">
        <v>2010</v>
      </c>
      <c r="R460" s="18" t="s">
        <v>175</v>
      </c>
      <c r="S460" s="18">
        <f t="shared" si="33"/>
        <v>0</v>
      </c>
      <c r="U460">
        <v>45.201499999999996</v>
      </c>
      <c r="Z460" s="42" t="s">
        <v>120</v>
      </c>
      <c r="AA460" s="42">
        <v>2040</v>
      </c>
      <c r="AB460" s="42" t="s">
        <v>146</v>
      </c>
      <c r="AC460" s="42">
        <v>527.5</v>
      </c>
    </row>
    <row r="461" spans="3:29">
      <c r="C461" t="s">
        <v>115</v>
      </c>
      <c r="D461">
        <v>2024</v>
      </c>
      <c r="E461" t="s">
        <v>141</v>
      </c>
      <c r="F461">
        <v>315.35000000000002</v>
      </c>
      <c r="J461" s="18" t="s">
        <v>124</v>
      </c>
      <c r="K461" s="18">
        <v>2011</v>
      </c>
      <c r="L461" s="18" t="s">
        <v>174</v>
      </c>
      <c r="M461" s="18">
        <v>933.22</v>
      </c>
      <c r="P461" s="18" t="s">
        <v>124</v>
      </c>
      <c r="Q461" s="18">
        <v>2011</v>
      </c>
      <c r="R461" s="18" t="s">
        <v>175</v>
      </c>
      <c r="S461" s="18">
        <f t="shared" si="33"/>
        <v>0</v>
      </c>
      <c r="U461">
        <v>46.661000000000001</v>
      </c>
      <c r="Z461" s="42" t="s">
        <v>120</v>
      </c>
      <c r="AA461" s="42">
        <v>2040</v>
      </c>
      <c r="AB461" s="42" t="s">
        <v>147</v>
      </c>
      <c r="AC461" s="42">
        <v>1033.5999999999999</v>
      </c>
    </row>
    <row r="462" spans="3:29">
      <c r="C462" t="s">
        <v>115</v>
      </c>
      <c r="D462">
        <v>2024</v>
      </c>
      <c r="E462" t="s">
        <v>142</v>
      </c>
      <c r="F462">
        <v>400.43</v>
      </c>
      <c r="J462" s="18" t="s">
        <v>124</v>
      </c>
      <c r="K462" s="18">
        <v>2012</v>
      </c>
      <c r="L462" s="18" t="s">
        <v>174</v>
      </c>
      <c r="M462" s="18">
        <v>990.77</v>
      </c>
      <c r="P462" s="18" t="s">
        <v>124</v>
      </c>
      <c r="Q462" s="18">
        <v>2012</v>
      </c>
      <c r="R462" s="18" t="s">
        <v>175</v>
      </c>
      <c r="S462" s="18">
        <f t="shared" si="33"/>
        <v>0</v>
      </c>
      <c r="U462">
        <v>49.538499999999999</v>
      </c>
      <c r="Z462" s="42" t="s">
        <v>120</v>
      </c>
      <c r="AA462" s="42">
        <v>2040</v>
      </c>
      <c r="AB462" s="42" t="s">
        <v>145</v>
      </c>
      <c r="AC462" s="42">
        <v>934.45</v>
      </c>
    </row>
    <row r="463" spans="3:29">
      <c r="C463" t="s">
        <v>115</v>
      </c>
      <c r="D463">
        <v>2024</v>
      </c>
      <c r="E463" t="s">
        <v>143</v>
      </c>
      <c r="F463">
        <v>267.75</v>
      </c>
      <c r="J463" s="18" t="s">
        <v>124</v>
      </c>
      <c r="K463" s="18">
        <v>2013</v>
      </c>
      <c r="L463" s="18" t="s">
        <v>174</v>
      </c>
      <c r="M463" s="18">
        <v>1027.52</v>
      </c>
      <c r="P463" s="18" t="s">
        <v>124</v>
      </c>
      <c r="Q463" s="18">
        <v>2013</v>
      </c>
      <c r="R463" s="18" t="s">
        <v>175</v>
      </c>
      <c r="S463" s="18">
        <f t="shared" si="33"/>
        <v>0</v>
      </c>
      <c r="U463">
        <v>51.375999999999998</v>
      </c>
      <c r="Z463" s="42" t="s">
        <v>120</v>
      </c>
      <c r="AA463" s="42">
        <v>2041</v>
      </c>
      <c r="AB463" s="42" t="s">
        <v>146</v>
      </c>
      <c r="AC463" s="42">
        <v>527.07000000000005</v>
      </c>
    </row>
    <row r="464" spans="3:29">
      <c r="C464" t="s">
        <v>115</v>
      </c>
      <c r="D464">
        <v>2024</v>
      </c>
      <c r="E464" t="s">
        <v>144</v>
      </c>
      <c r="F464">
        <v>48.64</v>
      </c>
      <c r="J464" s="18" t="s">
        <v>124</v>
      </c>
      <c r="K464" s="18">
        <v>2014</v>
      </c>
      <c r="L464" s="18" t="s">
        <v>174</v>
      </c>
      <c r="M464" s="18">
        <v>1025.3</v>
      </c>
      <c r="P464" s="18" t="s">
        <v>124</v>
      </c>
      <c r="Q464" s="18">
        <v>2014</v>
      </c>
      <c r="R464" s="18" t="s">
        <v>175</v>
      </c>
      <c r="S464" s="18">
        <f t="shared" si="33"/>
        <v>0</v>
      </c>
      <c r="U464">
        <v>51.265000000000001</v>
      </c>
      <c r="Z464" s="42" t="s">
        <v>120</v>
      </c>
      <c r="AA464" s="42">
        <v>2041</v>
      </c>
      <c r="AB464" s="42" t="s">
        <v>147</v>
      </c>
      <c r="AC464" s="42">
        <v>1032.0899999999999</v>
      </c>
    </row>
    <row r="465" spans="3:29">
      <c r="C465" t="s">
        <v>115</v>
      </c>
      <c r="D465">
        <v>2025</v>
      </c>
      <c r="E465" t="s">
        <v>145</v>
      </c>
      <c r="F465">
        <v>1.32</v>
      </c>
      <c r="J465" s="18" t="s">
        <v>124</v>
      </c>
      <c r="K465" s="18">
        <v>2015</v>
      </c>
      <c r="L465" s="18" t="s">
        <v>174</v>
      </c>
      <c r="M465" s="18">
        <v>1076.1600000000001</v>
      </c>
      <c r="P465" s="18" t="s">
        <v>124</v>
      </c>
      <c r="Q465" s="18">
        <v>2015</v>
      </c>
      <c r="R465" s="18" t="s">
        <v>175</v>
      </c>
      <c r="S465" s="18">
        <f t="shared" si="33"/>
        <v>0</v>
      </c>
      <c r="U465">
        <v>53.808000000000007</v>
      </c>
      <c r="Z465" s="42" t="s">
        <v>120</v>
      </c>
      <c r="AA465" s="42">
        <v>2041</v>
      </c>
      <c r="AB465" s="42" t="s">
        <v>145</v>
      </c>
      <c r="AC465" s="42">
        <v>941.44</v>
      </c>
    </row>
    <row r="466" spans="3:29">
      <c r="C466" t="s">
        <v>115</v>
      </c>
      <c r="D466">
        <v>2025</v>
      </c>
      <c r="E466" t="s">
        <v>141</v>
      </c>
      <c r="F466">
        <v>320.56</v>
      </c>
      <c r="J466" s="18" t="s">
        <v>124</v>
      </c>
      <c r="K466" s="18">
        <v>2016</v>
      </c>
      <c r="L466" s="18" t="s">
        <v>174</v>
      </c>
      <c r="M466" s="18">
        <v>1144.25</v>
      </c>
      <c r="P466" s="18" t="s">
        <v>124</v>
      </c>
      <c r="Q466" s="18">
        <v>2016</v>
      </c>
      <c r="R466" s="18" t="s">
        <v>175</v>
      </c>
      <c r="S466" s="18">
        <f t="shared" si="33"/>
        <v>0</v>
      </c>
      <c r="U466">
        <v>57.212499999999999</v>
      </c>
      <c r="Z466" s="42" t="s">
        <v>120</v>
      </c>
      <c r="AA466" s="42">
        <v>2042</v>
      </c>
      <c r="AB466" s="42" t="s">
        <v>146</v>
      </c>
      <c r="AC466" s="42">
        <v>526.62</v>
      </c>
    </row>
    <row r="467" spans="3:29">
      <c r="C467" t="s">
        <v>115</v>
      </c>
      <c r="D467">
        <v>2025</v>
      </c>
      <c r="E467" t="s">
        <v>142</v>
      </c>
      <c r="F467">
        <v>413.73</v>
      </c>
      <c r="J467" s="18" t="s">
        <v>124</v>
      </c>
      <c r="K467" s="18">
        <v>2017</v>
      </c>
      <c r="L467" s="18" t="s">
        <v>174</v>
      </c>
      <c r="M467" s="18">
        <v>1188.05</v>
      </c>
      <c r="P467" s="18" t="s">
        <v>124</v>
      </c>
      <c r="Q467" s="18">
        <v>2017</v>
      </c>
      <c r="R467" s="18" t="s">
        <v>175</v>
      </c>
      <c r="S467" s="18">
        <f t="shared" si="33"/>
        <v>0</v>
      </c>
      <c r="U467">
        <v>59.402499999999996</v>
      </c>
      <c r="Z467" s="42" t="s">
        <v>120</v>
      </c>
      <c r="AA467" s="42">
        <v>2042</v>
      </c>
      <c r="AB467" s="42" t="s">
        <v>147</v>
      </c>
      <c r="AC467" s="42">
        <v>1030.53</v>
      </c>
    </row>
    <row r="468" spans="3:29">
      <c r="C468" t="s">
        <v>115</v>
      </c>
      <c r="D468">
        <v>2025</v>
      </c>
      <c r="E468" t="s">
        <v>143</v>
      </c>
      <c r="F468">
        <v>268.45</v>
      </c>
      <c r="J468" s="18" t="s">
        <v>124</v>
      </c>
      <c r="K468" s="18">
        <v>2018</v>
      </c>
      <c r="L468" s="18" t="s">
        <v>174</v>
      </c>
      <c r="M468" s="18">
        <v>1233.2</v>
      </c>
      <c r="P468" s="18" t="s">
        <v>124</v>
      </c>
      <c r="Q468" s="18">
        <v>2018</v>
      </c>
      <c r="R468" s="18" t="s">
        <v>175</v>
      </c>
      <c r="S468" s="18">
        <f t="shared" si="33"/>
        <v>0</v>
      </c>
      <c r="U468">
        <v>61.660000000000004</v>
      </c>
      <c r="Z468" s="42" t="s">
        <v>120</v>
      </c>
      <c r="AA468" s="42">
        <v>2042</v>
      </c>
      <c r="AB468" s="42" t="s">
        <v>145</v>
      </c>
      <c r="AC468" s="42">
        <v>948.6</v>
      </c>
    </row>
    <row r="469" spans="3:29">
      <c r="C469" t="s">
        <v>115</v>
      </c>
      <c r="D469">
        <v>2025</v>
      </c>
      <c r="E469" t="s">
        <v>144</v>
      </c>
      <c r="F469">
        <v>51.68</v>
      </c>
      <c r="J469" s="18" t="s">
        <v>124</v>
      </c>
      <c r="K469" s="18">
        <v>2019</v>
      </c>
      <c r="L469" s="18" t="s">
        <v>174</v>
      </c>
      <c r="M469" s="18">
        <v>1277.1500000000001</v>
      </c>
      <c r="P469" s="18" t="s">
        <v>124</v>
      </c>
      <c r="Q469" s="18">
        <v>2019</v>
      </c>
      <c r="R469" s="18" t="s">
        <v>175</v>
      </c>
      <c r="S469" s="18">
        <f t="shared" si="33"/>
        <v>0</v>
      </c>
      <c r="U469">
        <v>63.857500000000002</v>
      </c>
      <c r="Z469" s="42" t="s">
        <v>120</v>
      </c>
      <c r="AA469" s="42">
        <v>2043</v>
      </c>
      <c r="AB469" s="42" t="s">
        <v>146</v>
      </c>
      <c r="AC469" s="42">
        <v>526.16999999999996</v>
      </c>
    </row>
    <row r="470" spans="3:29">
      <c r="C470" t="s">
        <v>115</v>
      </c>
      <c r="D470">
        <v>2026</v>
      </c>
      <c r="E470" t="s">
        <v>145</v>
      </c>
      <c r="F470">
        <v>1.34</v>
      </c>
      <c r="J470" s="18" t="s">
        <v>124</v>
      </c>
      <c r="K470" s="18">
        <v>2020</v>
      </c>
      <c r="L470" s="18" t="s">
        <v>174</v>
      </c>
      <c r="M470" s="18">
        <v>1319.35</v>
      </c>
      <c r="P470" s="18" t="s">
        <v>124</v>
      </c>
      <c r="Q470" s="18">
        <v>2020</v>
      </c>
      <c r="R470" s="18" t="s">
        <v>175</v>
      </c>
      <c r="S470" s="18">
        <f t="shared" si="33"/>
        <v>0</v>
      </c>
      <c r="U470">
        <v>65.967500000000001</v>
      </c>
      <c r="Z470" s="42" t="s">
        <v>120</v>
      </c>
      <c r="AA470" s="42">
        <v>2043</v>
      </c>
      <c r="AB470" s="42" t="s">
        <v>147</v>
      </c>
      <c r="AC470" s="42">
        <v>1028.97</v>
      </c>
    </row>
    <row r="471" spans="3:29">
      <c r="C471" t="s">
        <v>115</v>
      </c>
      <c r="D471">
        <v>2026</v>
      </c>
      <c r="E471" t="s">
        <v>141</v>
      </c>
      <c r="F471">
        <v>326.67</v>
      </c>
      <c r="J471" s="18" t="s">
        <v>124</v>
      </c>
      <c r="K471" s="18">
        <v>2021</v>
      </c>
      <c r="L471" s="18" t="s">
        <v>174</v>
      </c>
      <c r="M471" s="18">
        <v>1359.21</v>
      </c>
      <c r="P471" s="18" t="s">
        <v>124</v>
      </c>
      <c r="Q471" s="18">
        <v>2021</v>
      </c>
      <c r="R471" s="18" t="s">
        <v>175</v>
      </c>
      <c r="S471" s="18">
        <f t="shared" si="33"/>
        <v>0</v>
      </c>
      <c r="U471">
        <v>67.960499999999996</v>
      </c>
      <c r="Z471" s="42" t="s">
        <v>120</v>
      </c>
      <c r="AA471" s="42">
        <v>2043</v>
      </c>
      <c r="AB471" s="42" t="s">
        <v>145</v>
      </c>
      <c r="AC471" s="42">
        <v>956.05</v>
      </c>
    </row>
    <row r="472" spans="3:29">
      <c r="C472" t="s">
        <v>115</v>
      </c>
      <c r="D472">
        <v>2026</v>
      </c>
      <c r="E472" t="s">
        <v>142</v>
      </c>
      <c r="F472">
        <v>426.34</v>
      </c>
      <c r="J472" s="18" t="s">
        <v>124</v>
      </c>
      <c r="K472" s="18">
        <v>2022</v>
      </c>
      <c r="L472" s="18" t="s">
        <v>174</v>
      </c>
      <c r="M472" s="18">
        <v>1398.69</v>
      </c>
      <c r="P472" s="18" t="s">
        <v>124</v>
      </c>
      <c r="Q472" s="18">
        <v>2022</v>
      </c>
      <c r="R472" s="18" t="s">
        <v>175</v>
      </c>
      <c r="S472" s="18">
        <f t="shared" si="33"/>
        <v>0</v>
      </c>
      <c r="U472">
        <v>69.9345</v>
      </c>
      <c r="Z472" s="42" t="s">
        <v>120</v>
      </c>
      <c r="AA472" s="42">
        <v>2044</v>
      </c>
      <c r="AB472" s="42" t="s">
        <v>146</v>
      </c>
      <c r="AC472" s="42">
        <v>525.72</v>
      </c>
    </row>
    <row r="473" spans="3:29">
      <c r="C473" t="s">
        <v>115</v>
      </c>
      <c r="D473">
        <v>2026</v>
      </c>
      <c r="E473" t="s">
        <v>143</v>
      </c>
      <c r="F473">
        <v>269.64999999999998</v>
      </c>
      <c r="J473" s="18" t="s">
        <v>124</v>
      </c>
      <c r="K473" s="18">
        <v>2023</v>
      </c>
      <c r="L473" s="18" t="s">
        <v>174</v>
      </c>
      <c r="M473" s="18">
        <v>1435.07</v>
      </c>
      <c r="P473" s="18" t="s">
        <v>124</v>
      </c>
      <c r="Q473" s="18">
        <v>2023</v>
      </c>
      <c r="R473" s="18" t="s">
        <v>175</v>
      </c>
      <c r="S473" s="18">
        <f t="shared" si="33"/>
        <v>0</v>
      </c>
      <c r="U473">
        <v>71.753500000000003</v>
      </c>
      <c r="Z473" s="42" t="s">
        <v>120</v>
      </c>
      <c r="AA473" s="42">
        <v>2044</v>
      </c>
      <c r="AB473" s="42" t="s">
        <v>147</v>
      </c>
      <c r="AC473" s="42">
        <v>1027.42</v>
      </c>
    </row>
    <row r="474" spans="3:29">
      <c r="C474" t="s">
        <v>115</v>
      </c>
      <c r="D474">
        <v>2026</v>
      </c>
      <c r="E474" t="s">
        <v>144</v>
      </c>
      <c r="F474">
        <v>54.62</v>
      </c>
      <c r="J474" s="18" t="s">
        <v>124</v>
      </c>
      <c r="K474" s="18">
        <v>2024</v>
      </c>
      <c r="L474" s="18" t="s">
        <v>174</v>
      </c>
      <c r="M474" s="18">
        <v>1473.22</v>
      </c>
      <c r="P474" s="18" t="s">
        <v>124</v>
      </c>
      <c r="Q474" s="18">
        <v>2024</v>
      </c>
      <c r="R474" s="18" t="s">
        <v>175</v>
      </c>
      <c r="S474" s="18">
        <f t="shared" si="33"/>
        <v>0</v>
      </c>
      <c r="U474">
        <v>73.661000000000001</v>
      </c>
      <c r="Z474" s="42" t="s">
        <v>120</v>
      </c>
      <c r="AA474" s="42">
        <v>2044</v>
      </c>
      <c r="AB474" s="42" t="s">
        <v>145</v>
      </c>
      <c r="AC474" s="42">
        <v>963.45</v>
      </c>
    </row>
    <row r="475" spans="3:29">
      <c r="C475" t="s">
        <v>115</v>
      </c>
      <c r="D475">
        <v>2027</v>
      </c>
      <c r="E475" t="s">
        <v>145</v>
      </c>
      <c r="F475">
        <v>1.35</v>
      </c>
      <c r="J475" s="18" t="s">
        <v>124</v>
      </c>
      <c r="K475" s="18">
        <v>2025</v>
      </c>
      <c r="L475" s="18" t="s">
        <v>174</v>
      </c>
      <c r="M475" s="18">
        <v>1514.37</v>
      </c>
      <c r="P475" s="18" t="s">
        <v>124</v>
      </c>
      <c r="Q475" s="18">
        <v>2025</v>
      </c>
      <c r="R475" s="18" t="s">
        <v>175</v>
      </c>
      <c r="S475" s="18">
        <f t="shared" si="33"/>
        <v>0</v>
      </c>
      <c r="U475">
        <v>75.718499999999992</v>
      </c>
      <c r="Z475" s="42" t="s">
        <v>120</v>
      </c>
      <c r="AA475" s="42">
        <v>2045</v>
      </c>
      <c r="AB475" s="42" t="s">
        <v>146</v>
      </c>
      <c r="AC475" s="42">
        <v>525.29999999999995</v>
      </c>
    </row>
    <row r="476" spans="3:29">
      <c r="C476" t="s">
        <v>115</v>
      </c>
      <c r="D476">
        <v>2027</v>
      </c>
      <c r="E476" t="s">
        <v>141</v>
      </c>
      <c r="F476">
        <v>332.89</v>
      </c>
      <c r="J476" s="18" t="s">
        <v>124</v>
      </c>
      <c r="K476" s="18">
        <v>2026</v>
      </c>
      <c r="L476" s="18" t="s">
        <v>174</v>
      </c>
      <c r="M476" s="18">
        <v>1567.25</v>
      </c>
      <c r="P476" s="18" t="s">
        <v>124</v>
      </c>
      <c r="Q476" s="18">
        <v>2026</v>
      </c>
      <c r="R476" s="18" t="s">
        <v>175</v>
      </c>
      <c r="S476" s="18">
        <f t="shared" si="33"/>
        <v>0</v>
      </c>
      <c r="U476">
        <v>78.362499999999997</v>
      </c>
      <c r="Z476" s="42" t="s">
        <v>120</v>
      </c>
      <c r="AA476" s="42">
        <v>2045</v>
      </c>
      <c r="AB476" s="42" t="s">
        <v>147</v>
      </c>
      <c r="AC476" s="42">
        <v>1025.94</v>
      </c>
    </row>
    <row r="477" spans="3:29">
      <c r="C477" t="s">
        <v>115</v>
      </c>
      <c r="D477">
        <v>2027</v>
      </c>
      <c r="E477" t="s">
        <v>142</v>
      </c>
      <c r="F477">
        <v>438.97</v>
      </c>
      <c r="J477" s="18" t="s">
        <v>124</v>
      </c>
      <c r="K477" s="18">
        <v>2027</v>
      </c>
      <c r="L477" s="18" t="s">
        <v>174</v>
      </c>
      <c r="M477" s="18">
        <v>1620.79</v>
      </c>
      <c r="P477" s="18" t="s">
        <v>124</v>
      </c>
      <c r="Q477" s="18">
        <v>2027</v>
      </c>
      <c r="R477" s="18" t="s">
        <v>175</v>
      </c>
      <c r="S477" s="18">
        <f t="shared" si="33"/>
        <v>0</v>
      </c>
      <c r="U477">
        <v>81.039500000000004</v>
      </c>
      <c r="Z477" s="42" t="s">
        <v>120</v>
      </c>
      <c r="AA477" s="42">
        <v>2045</v>
      </c>
      <c r="AB477" s="42" t="s">
        <v>145</v>
      </c>
      <c r="AC477" s="42">
        <v>971.38</v>
      </c>
    </row>
    <row r="478" spans="3:29">
      <c r="C478" t="s">
        <v>115</v>
      </c>
      <c r="D478">
        <v>2027</v>
      </c>
      <c r="E478" t="s">
        <v>143</v>
      </c>
      <c r="F478">
        <v>271.02999999999997</v>
      </c>
      <c r="J478" s="18" t="s">
        <v>124</v>
      </c>
      <c r="K478" s="18">
        <v>2028</v>
      </c>
      <c r="L478" s="18" t="s">
        <v>174</v>
      </c>
      <c r="M478" s="18">
        <v>1676.99</v>
      </c>
      <c r="P478" s="18" t="s">
        <v>124</v>
      </c>
      <c r="Q478" s="18">
        <v>2028</v>
      </c>
      <c r="R478" s="18" t="s">
        <v>175</v>
      </c>
      <c r="S478" s="18">
        <f t="shared" si="33"/>
        <v>0</v>
      </c>
      <c r="U478">
        <v>83.849500000000006</v>
      </c>
      <c r="Z478" s="42" t="s">
        <v>120</v>
      </c>
      <c r="AA478" s="42">
        <v>2046</v>
      </c>
      <c r="AB478" s="42" t="s">
        <v>146</v>
      </c>
      <c r="AC478" s="42">
        <v>524.84</v>
      </c>
    </row>
    <row r="479" spans="3:29">
      <c r="C479" t="s">
        <v>115</v>
      </c>
      <c r="D479">
        <v>2027</v>
      </c>
      <c r="E479" t="s">
        <v>144</v>
      </c>
      <c r="F479">
        <v>57.95</v>
      </c>
      <c r="J479" s="18" t="s">
        <v>124</v>
      </c>
      <c r="K479" s="18">
        <v>2029</v>
      </c>
      <c r="L479" s="18" t="s">
        <v>174</v>
      </c>
      <c r="M479" s="18">
        <v>1734.88</v>
      </c>
      <c r="P479" s="18" t="s">
        <v>124</v>
      </c>
      <c r="Q479" s="18">
        <v>2029</v>
      </c>
      <c r="R479" s="18" t="s">
        <v>175</v>
      </c>
      <c r="S479" s="18">
        <f t="shared" si="33"/>
        <v>0</v>
      </c>
      <c r="U479">
        <v>86.744</v>
      </c>
      <c r="Z479" s="42" t="s">
        <v>120</v>
      </c>
      <c r="AA479" s="42">
        <v>2046</v>
      </c>
      <c r="AB479" s="42" t="s">
        <v>147</v>
      </c>
      <c r="AC479" s="42">
        <v>1024.3699999999999</v>
      </c>
    </row>
    <row r="480" spans="3:29">
      <c r="C480" t="s">
        <v>115</v>
      </c>
      <c r="D480">
        <v>2028</v>
      </c>
      <c r="E480" t="s">
        <v>145</v>
      </c>
      <c r="F480">
        <v>1.37</v>
      </c>
      <c r="J480" s="18" t="s">
        <v>124</v>
      </c>
      <c r="K480" s="18">
        <v>2030</v>
      </c>
      <c r="L480" s="18" t="s">
        <v>174</v>
      </c>
      <c r="M480" s="18">
        <v>1792.37</v>
      </c>
      <c r="P480" s="18" t="s">
        <v>124</v>
      </c>
      <c r="Q480" s="18">
        <v>2030</v>
      </c>
      <c r="R480" s="18" t="s">
        <v>175</v>
      </c>
      <c r="S480" s="18">
        <f t="shared" si="33"/>
        <v>0</v>
      </c>
      <c r="U480">
        <v>89.618499999999997</v>
      </c>
      <c r="Z480" s="42" t="s">
        <v>120</v>
      </c>
      <c r="AA480" s="42">
        <v>2046</v>
      </c>
      <c r="AB480" s="42" t="s">
        <v>145</v>
      </c>
      <c r="AC480" s="42">
        <v>979.05</v>
      </c>
    </row>
    <row r="481" spans="3:29">
      <c r="C481" t="s">
        <v>115</v>
      </c>
      <c r="D481">
        <v>2028</v>
      </c>
      <c r="E481" t="s">
        <v>141</v>
      </c>
      <c r="F481">
        <v>339.21</v>
      </c>
      <c r="J481" s="18" t="s">
        <v>124</v>
      </c>
      <c r="K481" s="18">
        <v>2031</v>
      </c>
      <c r="L481" s="18" t="s">
        <v>174</v>
      </c>
      <c r="M481" s="18">
        <v>1845.15</v>
      </c>
      <c r="P481" s="18" t="s">
        <v>124</v>
      </c>
      <c r="Q481" s="18">
        <v>2031</v>
      </c>
      <c r="R481" s="18" t="s">
        <v>175</v>
      </c>
      <c r="S481" s="18">
        <f t="shared" si="33"/>
        <v>0</v>
      </c>
      <c r="U481">
        <v>92.257500000000007</v>
      </c>
      <c r="Z481" s="42" t="s">
        <v>120</v>
      </c>
      <c r="AA481" s="42">
        <v>2047</v>
      </c>
      <c r="AB481" s="42" t="s">
        <v>146</v>
      </c>
      <c r="AC481" s="42">
        <v>524.39</v>
      </c>
    </row>
    <row r="482" spans="3:29">
      <c r="C482" t="s">
        <v>115</v>
      </c>
      <c r="D482">
        <v>2028</v>
      </c>
      <c r="E482" t="s">
        <v>142</v>
      </c>
      <c r="F482">
        <v>451.82</v>
      </c>
      <c r="J482" s="18" t="s">
        <v>124</v>
      </c>
      <c r="K482" s="18">
        <v>2032</v>
      </c>
      <c r="L482" s="18" t="s">
        <v>174</v>
      </c>
      <c r="M482" s="18">
        <v>1897.89</v>
      </c>
      <c r="P482" s="18" t="s">
        <v>124</v>
      </c>
      <c r="Q482" s="18">
        <v>2032</v>
      </c>
      <c r="R482" s="18" t="s">
        <v>175</v>
      </c>
      <c r="S482" s="18">
        <f t="shared" si="33"/>
        <v>0</v>
      </c>
      <c r="U482">
        <v>94.894500000000008</v>
      </c>
      <c r="Z482" s="42" t="s">
        <v>120</v>
      </c>
      <c r="AA482" s="42">
        <v>2047</v>
      </c>
      <c r="AB482" s="42" t="s">
        <v>147</v>
      </c>
      <c r="AC482" s="42">
        <v>1022.83</v>
      </c>
    </row>
    <row r="483" spans="3:29">
      <c r="C483" t="s">
        <v>115</v>
      </c>
      <c r="D483">
        <v>2028</v>
      </c>
      <c r="E483" t="s">
        <v>143</v>
      </c>
      <c r="F483">
        <v>272.32</v>
      </c>
      <c r="J483" s="18" t="s">
        <v>124</v>
      </c>
      <c r="K483" s="18">
        <v>2033</v>
      </c>
      <c r="L483" s="18" t="s">
        <v>174</v>
      </c>
      <c r="M483" s="18">
        <v>1951.88</v>
      </c>
      <c r="P483" s="18" t="s">
        <v>124</v>
      </c>
      <c r="Q483" s="18">
        <v>2033</v>
      </c>
      <c r="R483" s="18" t="s">
        <v>175</v>
      </c>
      <c r="S483" s="18">
        <f t="shared" si="33"/>
        <v>0</v>
      </c>
      <c r="U483">
        <v>97.594000000000008</v>
      </c>
      <c r="Z483" s="42" t="s">
        <v>120</v>
      </c>
      <c r="AA483" s="42">
        <v>2047</v>
      </c>
      <c r="AB483" s="42" t="s">
        <v>145</v>
      </c>
      <c r="AC483" s="42">
        <v>987.25</v>
      </c>
    </row>
    <row r="484" spans="3:29">
      <c r="C484" t="s">
        <v>115</v>
      </c>
      <c r="D484">
        <v>2028</v>
      </c>
      <c r="E484" t="s">
        <v>144</v>
      </c>
      <c r="F484">
        <v>61.37</v>
      </c>
      <c r="J484" s="18" t="s">
        <v>124</v>
      </c>
      <c r="K484" s="18">
        <v>2034</v>
      </c>
      <c r="L484" s="18" t="s">
        <v>174</v>
      </c>
      <c r="M484" s="18">
        <v>2005.99</v>
      </c>
      <c r="P484" s="18" t="s">
        <v>124</v>
      </c>
      <c r="Q484" s="18">
        <v>2034</v>
      </c>
      <c r="R484" s="18" t="s">
        <v>175</v>
      </c>
      <c r="S484" s="18">
        <f t="shared" si="33"/>
        <v>0</v>
      </c>
      <c r="U484">
        <v>100.29949999999999</v>
      </c>
      <c r="Z484" s="42" t="s">
        <v>120</v>
      </c>
      <c r="AA484" s="42">
        <v>2048</v>
      </c>
      <c r="AB484" s="42" t="s">
        <v>146</v>
      </c>
      <c r="AC484" s="42">
        <v>524.05999999999995</v>
      </c>
    </row>
    <row r="485" spans="3:29">
      <c r="C485" t="s">
        <v>115</v>
      </c>
      <c r="D485">
        <v>2029</v>
      </c>
      <c r="E485" t="s">
        <v>145</v>
      </c>
      <c r="F485">
        <v>1.38</v>
      </c>
      <c r="J485" s="18" t="s">
        <v>124</v>
      </c>
      <c r="K485" s="18">
        <v>2035</v>
      </c>
      <c r="L485" s="18" t="s">
        <v>174</v>
      </c>
      <c r="M485" s="18">
        <v>2060.9</v>
      </c>
      <c r="P485" s="18" t="s">
        <v>124</v>
      </c>
      <c r="Q485" s="18">
        <v>2035</v>
      </c>
      <c r="R485" s="18" t="s">
        <v>175</v>
      </c>
      <c r="S485" s="18">
        <f t="shared" si="33"/>
        <v>0</v>
      </c>
      <c r="U485">
        <v>103.045</v>
      </c>
      <c r="Z485" s="42" t="s">
        <v>120</v>
      </c>
      <c r="AA485" s="42">
        <v>2048</v>
      </c>
      <c r="AB485" s="42" t="s">
        <v>147</v>
      </c>
      <c r="AC485" s="42">
        <v>1021.6</v>
      </c>
    </row>
    <row r="486" spans="3:29">
      <c r="C486" t="s">
        <v>115</v>
      </c>
      <c r="D486">
        <v>2029</v>
      </c>
      <c r="E486" t="s">
        <v>141</v>
      </c>
      <c r="F486">
        <v>345.75</v>
      </c>
      <c r="J486" s="18" t="s">
        <v>124</v>
      </c>
      <c r="K486" s="18">
        <v>2036</v>
      </c>
      <c r="L486" s="18" t="s">
        <v>174</v>
      </c>
      <c r="M486" s="18">
        <v>2119.62</v>
      </c>
      <c r="P486" s="18" t="s">
        <v>124</v>
      </c>
      <c r="Q486" s="18">
        <v>2036</v>
      </c>
      <c r="R486" s="18" t="s">
        <v>175</v>
      </c>
      <c r="S486" s="18">
        <f t="shared" si="33"/>
        <v>0</v>
      </c>
      <c r="U486">
        <v>105.98099999999999</v>
      </c>
      <c r="Z486" s="42" t="s">
        <v>120</v>
      </c>
      <c r="AA486" s="42">
        <v>2048</v>
      </c>
      <c r="AB486" s="42" t="s">
        <v>145</v>
      </c>
      <c r="AC486" s="42">
        <v>995.6</v>
      </c>
    </row>
    <row r="487" spans="3:29">
      <c r="C487" t="s">
        <v>115</v>
      </c>
      <c r="D487">
        <v>2029</v>
      </c>
      <c r="E487" t="s">
        <v>142</v>
      </c>
      <c r="F487">
        <v>465.68</v>
      </c>
      <c r="J487" s="18" t="s">
        <v>124</v>
      </c>
      <c r="K487" s="18">
        <v>2037</v>
      </c>
      <c r="L487" s="18" t="s">
        <v>174</v>
      </c>
      <c r="M487" s="18">
        <v>2181.0700000000002</v>
      </c>
      <c r="P487" s="18" t="s">
        <v>124</v>
      </c>
      <c r="Q487" s="18">
        <v>2037</v>
      </c>
      <c r="R487" s="18" t="s">
        <v>175</v>
      </c>
      <c r="S487" s="18">
        <f t="shared" si="33"/>
        <v>0</v>
      </c>
      <c r="U487">
        <v>109.05350000000001</v>
      </c>
      <c r="Z487" s="42" t="s">
        <v>120</v>
      </c>
      <c r="AA487" s="42">
        <v>2049</v>
      </c>
      <c r="AB487" s="42" t="s">
        <v>146</v>
      </c>
      <c r="AC487" s="42">
        <v>523.64</v>
      </c>
    </row>
    <row r="488" spans="3:29">
      <c r="C488" t="s">
        <v>115</v>
      </c>
      <c r="D488">
        <v>2029</v>
      </c>
      <c r="E488" t="s">
        <v>143</v>
      </c>
      <c r="F488">
        <v>273.62</v>
      </c>
      <c r="J488" s="18" t="s">
        <v>124</v>
      </c>
      <c r="K488" s="18">
        <v>2038</v>
      </c>
      <c r="L488" s="18" t="s">
        <v>174</v>
      </c>
      <c r="M488" s="18">
        <v>2243.13</v>
      </c>
      <c r="P488" s="18" t="s">
        <v>124</v>
      </c>
      <c r="Q488" s="18">
        <v>2038</v>
      </c>
      <c r="R488" s="18" t="s">
        <v>175</v>
      </c>
      <c r="S488" s="18">
        <f t="shared" si="33"/>
        <v>0</v>
      </c>
      <c r="U488">
        <v>112.15650000000001</v>
      </c>
      <c r="Z488" s="42" t="s">
        <v>120</v>
      </c>
      <c r="AA488" s="42">
        <v>2049</v>
      </c>
      <c r="AB488" s="42" t="s">
        <v>147</v>
      </c>
      <c r="AC488" s="42">
        <v>1020.12</v>
      </c>
    </row>
    <row r="489" spans="3:29">
      <c r="C489" t="s">
        <v>115</v>
      </c>
      <c r="D489">
        <v>2029</v>
      </c>
      <c r="E489" t="s">
        <v>144</v>
      </c>
      <c r="F489">
        <v>64.84</v>
      </c>
      <c r="J489" s="18" t="s">
        <v>124</v>
      </c>
      <c r="K489" s="18">
        <v>2039</v>
      </c>
      <c r="L489" s="18" t="s">
        <v>174</v>
      </c>
      <c r="M489" s="18">
        <v>2306.4699999999998</v>
      </c>
      <c r="P489" s="18" t="s">
        <v>124</v>
      </c>
      <c r="Q489" s="18">
        <v>2039</v>
      </c>
      <c r="R489" s="18" t="s">
        <v>175</v>
      </c>
      <c r="S489" s="18">
        <f t="shared" si="33"/>
        <v>0</v>
      </c>
      <c r="U489">
        <v>115.3235</v>
      </c>
      <c r="Z489" s="42" t="s">
        <v>120</v>
      </c>
      <c r="AA489" s="42">
        <v>2049</v>
      </c>
      <c r="AB489" s="42" t="s">
        <v>145</v>
      </c>
      <c r="AC489" s="42">
        <v>1004.31</v>
      </c>
    </row>
    <row r="490" spans="3:29">
      <c r="C490" t="s">
        <v>115</v>
      </c>
      <c r="D490">
        <v>2030</v>
      </c>
      <c r="E490" t="s">
        <v>145</v>
      </c>
      <c r="F490">
        <v>1.4</v>
      </c>
      <c r="J490" s="18" t="s">
        <v>124</v>
      </c>
      <c r="K490" s="18">
        <v>2040</v>
      </c>
      <c r="L490" s="18" t="s">
        <v>174</v>
      </c>
      <c r="M490" s="18">
        <v>2371.02</v>
      </c>
      <c r="P490" s="18" t="s">
        <v>124</v>
      </c>
      <c r="Q490" s="18">
        <v>2040</v>
      </c>
      <c r="R490" s="18" t="s">
        <v>175</v>
      </c>
      <c r="S490" s="18">
        <f t="shared" si="33"/>
        <v>118.551</v>
      </c>
      <c r="U490">
        <v>118.551</v>
      </c>
      <c r="Z490" s="42" t="s">
        <v>120</v>
      </c>
      <c r="AA490" s="42">
        <v>2050</v>
      </c>
      <c r="AB490" s="42" t="s">
        <v>146</v>
      </c>
      <c r="AC490" s="42">
        <v>523.42999999999995</v>
      </c>
    </row>
    <row r="491" spans="3:29">
      <c r="C491" t="s">
        <v>115</v>
      </c>
      <c r="D491">
        <v>2030</v>
      </c>
      <c r="E491" t="s">
        <v>141</v>
      </c>
      <c r="F491">
        <v>352.25</v>
      </c>
      <c r="J491" s="18" t="s">
        <v>124</v>
      </c>
      <c r="K491" s="18">
        <v>2041</v>
      </c>
      <c r="L491" s="18" t="s">
        <v>174</v>
      </c>
      <c r="M491" s="18">
        <v>2437.92</v>
      </c>
      <c r="P491" s="18" t="s">
        <v>124</v>
      </c>
      <c r="Q491" s="18">
        <v>2041</v>
      </c>
      <c r="R491" s="18" t="s">
        <v>175</v>
      </c>
      <c r="S491" s="18">
        <f t="shared" si="33"/>
        <v>121.896</v>
      </c>
      <c r="U491">
        <v>121.896</v>
      </c>
      <c r="Z491" s="42" t="s">
        <v>120</v>
      </c>
      <c r="AA491" s="42">
        <v>2050</v>
      </c>
      <c r="AB491" s="42" t="s">
        <v>147</v>
      </c>
      <c r="AC491" s="42">
        <v>1019.18</v>
      </c>
    </row>
    <row r="492" spans="3:29">
      <c r="C492" t="s">
        <v>115</v>
      </c>
      <c r="D492">
        <v>2030</v>
      </c>
      <c r="E492" t="s">
        <v>142</v>
      </c>
      <c r="F492">
        <v>477.37</v>
      </c>
      <c r="J492" s="18" t="s">
        <v>124</v>
      </c>
      <c r="K492" s="18">
        <v>2042</v>
      </c>
      <c r="L492" s="18" t="s">
        <v>174</v>
      </c>
      <c r="M492" s="18">
        <v>2507.58</v>
      </c>
      <c r="P492" s="18" t="s">
        <v>124</v>
      </c>
      <c r="Q492" s="18">
        <v>2042</v>
      </c>
      <c r="R492" s="18" t="s">
        <v>175</v>
      </c>
      <c r="S492" s="18">
        <f t="shared" si="33"/>
        <v>125.37899999999999</v>
      </c>
      <c r="U492">
        <v>125.37899999999999</v>
      </c>
      <c r="Z492" s="42" t="s">
        <v>120</v>
      </c>
      <c r="AA492" s="42">
        <v>2050</v>
      </c>
      <c r="AB492" s="42" t="s">
        <v>145</v>
      </c>
      <c r="AC492" s="42">
        <v>1013.29</v>
      </c>
    </row>
    <row r="493" spans="3:29">
      <c r="C493" t="s">
        <v>115</v>
      </c>
      <c r="D493">
        <v>2030</v>
      </c>
      <c r="E493" t="s">
        <v>143</v>
      </c>
      <c r="F493">
        <v>274.86</v>
      </c>
      <c r="J493" s="18" t="s">
        <v>124</v>
      </c>
      <c r="K493" s="18">
        <v>2043</v>
      </c>
      <c r="L493" s="18" t="s">
        <v>174</v>
      </c>
      <c r="M493" s="18">
        <v>2577.17</v>
      </c>
      <c r="P493" s="18" t="s">
        <v>124</v>
      </c>
      <c r="Q493" s="18">
        <v>2043</v>
      </c>
      <c r="R493" s="18" t="s">
        <v>175</v>
      </c>
      <c r="S493" s="18">
        <f t="shared" si="33"/>
        <v>128.85849999999999</v>
      </c>
      <c r="U493">
        <v>128.85849999999999</v>
      </c>
      <c r="Z493" s="42" t="s">
        <v>122</v>
      </c>
      <c r="AA493" s="42">
        <v>2020</v>
      </c>
      <c r="AB493" s="42" t="s">
        <v>146</v>
      </c>
      <c r="AC493" s="42">
        <v>0.54</v>
      </c>
    </row>
    <row r="494" spans="3:29">
      <c r="C494" t="s">
        <v>115</v>
      </c>
      <c r="D494">
        <v>2030</v>
      </c>
      <c r="E494" t="s">
        <v>144</v>
      </c>
      <c r="F494">
        <v>68.23</v>
      </c>
      <c r="J494" s="18" t="s">
        <v>124</v>
      </c>
      <c r="K494" s="18">
        <v>2044</v>
      </c>
      <c r="L494" s="18" t="s">
        <v>174</v>
      </c>
      <c r="M494" s="18">
        <v>2647.62</v>
      </c>
      <c r="P494" s="18" t="s">
        <v>124</v>
      </c>
      <c r="Q494" s="18">
        <v>2044</v>
      </c>
      <c r="R494" s="18" t="s">
        <v>175</v>
      </c>
      <c r="S494" s="18">
        <f t="shared" si="33"/>
        <v>132.381</v>
      </c>
      <c r="U494">
        <v>132.381</v>
      </c>
      <c r="Z494" s="42" t="s">
        <v>122</v>
      </c>
      <c r="AA494" s="42">
        <v>2020</v>
      </c>
      <c r="AB494" s="42" t="s">
        <v>147</v>
      </c>
      <c r="AC494" s="42">
        <v>0.03</v>
      </c>
    </row>
    <row r="495" spans="3:29">
      <c r="C495" t="s">
        <v>115</v>
      </c>
      <c r="D495">
        <v>2031</v>
      </c>
      <c r="E495" t="s">
        <v>145</v>
      </c>
      <c r="F495">
        <v>1.41</v>
      </c>
      <c r="J495" s="18" t="s">
        <v>124</v>
      </c>
      <c r="K495" s="18">
        <v>2045</v>
      </c>
      <c r="L495" s="18" t="s">
        <v>174</v>
      </c>
      <c r="M495" s="18">
        <v>2719.25</v>
      </c>
      <c r="P495" s="18" t="s">
        <v>124</v>
      </c>
      <c r="Q495" s="18">
        <v>2045</v>
      </c>
      <c r="R495" s="18" t="s">
        <v>175</v>
      </c>
      <c r="S495" s="18">
        <f t="shared" si="33"/>
        <v>135.96250000000001</v>
      </c>
      <c r="U495">
        <v>135.96250000000001</v>
      </c>
      <c r="Z495" s="42" t="s">
        <v>122</v>
      </c>
      <c r="AA495" s="42">
        <v>2021</v>
      </c>
      <c r="AB495" s="42" t="s">
        <v>146</v>
      </c>
      <c r="AC495" s="42">
        <v>0.18</v>
      </c>
    </row>
    <row r="496" spans="3:29">
      <c r="C496" t="s">
        <v>115</v>
      </c>
      <c r="D496">
        <v>2031</v>
      </c>
      <c r="E496" t="s">
        <v>141</v>
      </c>
      <c r="F496">
        <v>357.42</v>
      </c>
      <c r="J496" s="18" t="s">
        <v>124</v>
      </c>
      <c r="K496" s="18">
        <v>2046</v>
      </c>
      <c r="L496" s="18" t="s">
        <v>174</v>
      </c>
      <c r="M496" s="18">
        <v>2792.9</v>
      </c>
      <c r="P496" s="18" t="s">
        <v>124</v>
      </c>
      <c r="Q496" s="18">
        <v>2046</v>
      </c>
      <c r="R496" s="18" t="s">
        <v>175</v>
      </c>
      <c r="S496" s="18">
        <f t="shared" si="33"/>
        <v>139.64500000000001</v>
      </c>
      <c r="U496">
        <v>139.64500000000001</v>
      </c>
      <c r="Z496" s="42" t="s">
        <v>122</v>
      </c>
      <c r="AA496" s="42">
        <v>2021</v>
      </c>
      <c r="AB496" s="42" t="s">
        <v>147</v>
      </c>
      <c r="AC496" s="42">
        <v>0.01</v>
      </c>
    </row>
    <row r="497" spans="3:29">
      <c r="C497" t="s">
        <v>115</v>
      </c>
      <c r="D497">
        <v>2031</v>
      </c>
      <c r="E497" t="s">
        <v>142</v>
      </c>
      <c r="F497">
        <v>489.24</v>
      </c>
      <c r="J497" s="18" t="s">
        <v>124</v>
      </c>
      <c r="K497" s="18">
        <v>2047</v>
      </c>
      <c r="L497" s="18" t="s">
        <v>174</v>
      </c>
      <c r="M497" s="18">
        <v>2867.88</v>
      </c>
      <c r="P497" s="18" t="s">
        <v>124</v>
      </c>
      <c r="Q497" s="18">
        <v>2047</v>
      </c>
      <c r="R497" s="18" t="s">
        <v>175</v>
      </c>
      <c r="S497" s="18">
        <f t="shared" si="33"/>
        <v>143.39400000000001</v>
      </c>
      <c r="U497">
        <v>143.39400000000001</v>
      </c>
      <c r="Z497" s="42" t="s">
        <v>122</v>
      </c>
      <c r="AA497" s="42">
        <v>2022</v>
      </c>
      <c r="AB497" s="42" t="s">
        <v>146</v>
      </c>
      <c r="AC497" s="42">
        <v>0.05</v>
      </c>
    </row>
    <row r="498" spans="3:29">
      <c r="C498" t="s">
        <v>115</v>
      </c>
      <c r="D498">
        <v>2031</v>
      </c>
      <c r="E498" t="s">
        <v>143</v>
      </c>
      <c r="F498">
        <v>276.11</v>
      </c>
      <c r="J498" s="18" t="s">
        <v>124</v>
      </c>
      <c r="K498" s="18">
        <v>2048</v>
      </c>
      <c r="L498" s="18" t="s">
        <v>174</v>
      </c>
      <c r="M498" s="18">
        <v>2942.42</v>
      </c>
      <c r="P498" s="18" t="s">
        <v>124</v>
      </c>
      <c r="Q498" s="18">
        <v>2048</v>
      </c>
      <c r="R498" s="18" t="s">
        <v>175</v>
      </c>
      <c r="S498" s="18">
        <f t="shared" si="33"/>
        <v>147.12100000000001</v>
      </c>
      <c r="U498">
        <v>147.12100000000001</v>
      </c>
      <c r="Z498" s="42" t="s">
        <v>122</v>
      </c>
      <c r="AA498" s="42">
        <v>2022</v>
      </c>
      <c r="AB498" s="42" t="s">
        <v>147</v>
      </c>
      <c r="AC498" s="42">
        <v>0</v>
      </c>
    </row>
    <row r="499" spans="3:29">
      <c r="C499" t="s">
        <v>115</v>
      </c>
      <c r="D499">
        <v>2031</v>
      </c>
      <c r="E499" t="s">
        <v>144</v>
      </c>
      <c r="F499">
        <v>71.45</v>
      </c>
      <c r="J499" s="18" t="s">
        <v>124</v>
      </c>
      <c r="K499" s="18">
        <v>2049</v>
      </c>
      <c r="L499" s="18" t="s">
        <v>174</v>
      </c>
      <c r="M499" s="18">
        <v>3016.15</v>
      </c>
      <c r="P499" s="18" t="s">
        <v>124</v>
      </c>
      <c r="Q499" s="18">
        <v>2049</v>
      </c>
      <c r="R499" s="18" t="s">
        <v>175</v>
      </c>
      <c r="S499" s="18">
        <f t="shared" si="33"/>
        <v>150.8075</v>
      </c>
      <c r="U499">
        <v>150.8075</v>
      </c>
      <c r="Z499" s="42" t="s">
        <v>122</v>
      </c>
      <c r="AA499" s="42">
        <v>2023</v>
      </c>
      <c r="AB499" s="42" t="s">
        <v>146</v>
      </c>
      <c r="AC499" s="42">
        <v>7.0000000000000007E-2</v>
      </c>
    </row>
    <row r="500" spans="3:29">
      <c r="C500" t="s">
        <v>115</v>
      </c>
      <c r="D500">
        <v>2032</v>
      </c>
      <c r="E500" t="s">
        <v>145</v>
      </c>
      <c r="F500">
        <v>1.42</v>
      </c>
      <c r="J500" s="18" t="s">
        <v>124</v>
      </c>
      <c r="K500" s="18">
        <v>2050</v>
      </c>
      <c r="L500" s="18" t="s">
        <v>174</v>
      </c>
      <c r="M500" s="18">
        <v>3093.59</v>
      </c>
      <c r="P500" s="18" t="s">
        <v>124</v>
      </c>
      <c r="Q500" s="18">
        <v>2050</v>
      </c>
      <c r="R500" s="18" t="s">
        <v>175</v>
      </c>
      <c r="S500" s="18">
        <f t="shared" si="33"/>
        <v>154.67950000000002</v>
      </c>
      <c r="U500">
        <v>154.67950000000002</v>
      </c>
      <c r="Z500" s="42" t="s">
        <v>122</v>
      </c>
      <c r="AA500" s="42">
        <v>2023</v>
      </c>
      <c r="AB500" s="42" t="s">
        <v>147</v>
      </c>
      <c r="AC500" s="42">
        <v>0</v>
      </c>
    </row>
    <row r="501" spans="3:29">
      <c r="C501" t="s">
        <v>115</v>
      </c>
      <c r="D501">
        <v>2032</v>
      </c>
      <c r="E501" t="s">
        <v>141</v>
      </c>
      <c r="F501">
        <v>362.59</v>
      </c>
      <c r="J501" s="18" t="s">
        <v>105</v>
      </c>
      <c r="K501" s="18">
        <v>2010</v>
      </c>
      <c r="L501" s="18" t="s">
        <v>174</v>
      </c>
      <c r="M501" s="18">
        <v>576.54999999999995</v>
      </c>
      <c r="P501" s="18" t="s">
        <v>105</v>
      </c>
      <c r="Q501" s="18">
        <v>2010</v>
      </c>
      <c r="R501" s="18" t="s">
        <v>175</v>
      </c>
      <c r="S501" s="18">
        <f t="shared" si="33"/>
        <v>0</v>
      </c>
      <c r="U501">
        <v>28.827499999999997</v>
      </c>
      <c r="Z501" s="42" t="s">
        <v>122</v>
      </c>
      <c r="AA501" s="42">
        <v>2024</v>
      </c>
      <c r="AB501" s="42" t="s">
        <v>146</v>
      </c>
      <c r="AC501" s="42">
        <v>0.13</v>
      </c>
    </row>
    <row r="502" spans="3:29">
      <c r="C502" t="s">
        <v>115</v>
      </c>
      <c r="D502">
        <v>2032</v>
      </c>
      <c r="E502" t="s">
        <v>142</v>
      </c>
      <c r="F502">
        <v>500.94</v>
      </c>
      <c r="J502" s="18" t="s">
        <v>105</v>
      </c>
      <c r="K502" s="18">
        <v>2011</v>
      </c>
      <c r="L502" s="18" t="s">
        <v>174</v>
      </c>
      <c r="M502" s="18">
        <v>553.19000000000005</v>
      </c>
      <c r="P502" s="18" t="s">
        <v>105</v>
      </c>
      <c r="Q502" s="18">
        <v>2011</v>
      </c>
      <c r="R502" s="18" t="s">
        <v>175</v>
      </c>
      <c r="S502" s="18">
        <f t="shared" si="33"/>
        <v>0</v>
      </c>
      <c r="U502">
        <v>27.659500000000001</v>
      </c>
      <c r="Z502" s="42" t="s">
        <v>122</v>
      </c>
      <c r="AA502" s="42">
        <v>2024</v>
      </c>
      <c r="AB502" s="42" t="s">
        <v>147</v>
      </c>
      <c r="AC502" s="42">
        <v>0.01</v>
      </c>
    </row>
    <row r="503" spans="3:29">
      <c r="C503" t="s">
        <v>115</v>
      </c>
      <c r="D503">
        <v>2032</v>
      </c>
      <c r="E503" t="s">
        <v>143</v>
      </c>
      <c r="F503">
        <v>277.47000000000003</v>
      </c>
      <c r="J503" s="18" t="s">
        <v>105</v>
      </c>
      <c r="K503" s="18">
        <v>2012</v>
      </c>
      <c r="L503" s="18" t="s">
        <v>174</v>
      </c>
      <c r="M503" s="18">
        <v>559.58000000000004</v>
      </c>
      <c r="P503" s="18" t="s">
        <v>105</v>
      </c>
      <c r="Q503" s="18">
        <v>2012</v>
      </c>
      <c r="R503" s="18" t="s">
        <v>175</v>
      </c>
      <c r="S503" s="18">
        <f t="shared" si="33"/>
        <v>0</v>
      </c>
      <c r="U503">
        <v>27.979000000000003</v>
      </c>
      <c r="Z503" s="42" t="s">
        <v>122</v>
      </c>
      <c r="AA503" s="42">
        <v>2025</v>
      </c>
      <c r="AB503" s="42" t="s">
        <v>146</v>
      </c>
      <c r="AC503" s="42">
        <v>0.15</v>
      </c>
    </row>
    <row r="504" spans="3:29">
      <c r="C504" t="s">
        <v>115</v>
      </c>
      <c r="D504">
        <v>2032</v>
      </c>
      <c r="E504" t="s">
        <v>144</v>
      </c>
      <c r="F504">
        <v>74.790000000000006</v>
      </c>
      <c r="J504" s="18" t="s">
        <v>105</v>
      </c>
      <c r="K504" s="18">
        <v>2013</v>
      </c>
      <c r="L504" s="18" t="s">
        <v>174</v>
      </c>
      <c r="M504" s="18">
        <v>557.41999999999996</v>
      </c>
      <c r="P504" s="18" t="s">
        <v>105</v>
      </c>
      <c r="Q504" s="18">
        <v>2013</v>
      </c>
      <c r="R504" s="18" t="s">
        <v>175</v>
      </c>
      <c r="S504" s="18">
        <f t="shared" si="33"/>
        <v>0</v>
      </c>
      <c r="U504">
        <v>27.870999999999999</v>
      </c>
      <c r="Z504" s="42" t="s">
        <v>122</v>
      </c>
      <c r="AA504" s="42">
        <v>2025</v>
      </c>
      <c r="AB504" s="42" t="s">
        <v>147</v>
      </c>
      <c r="AC504" s="42">
        <v>0.01</v>
      </c>
    </row>
    <row r="505" spans="3:29">
      <c r="C505" t="s">
        <v>115</v>
      </c>
      <c r="D505">
        <v>2033</v>
      </c>
      <c r="E505" t="s">
        <v>145</v>
      </c>
      <c r="F505">
        <v>1.44</v>
      </c>
      <c r="J505" s="18" t="s">
        <v>105</v>
      </c>
      <c r="K505" s="18">
        <v>2014</v>
      </c>
      <c r="L505" s="18" t="s">
        <v>174</v>
      </c>
      <c r="M505" s="18">
        <v>523.77</v>
      </c>
      <c r="P505" s="18" t="s">
        <v>105</v>
      </c>
      <c r="Q505" s="18">
        <v>2014</v>
      </c>
      <c r="R505" s="18" t="s">
        <v>175</v>
      </c>
      <c r="S505" s="18">
        <f t="shared" si="33"/>
        <v>0</v>
      </c>
      <c r="U505">
        <v>26.188499999999998</v>
      </c>
      <c r="Z505" s="42" t="s">
        <v>122</v>
      </c>
      <c r="AA505" s="42">
        <v>2026</v>
      </c>
      <c r="AB505" s="42" t="s">
        <v>146</v>
      </c>
      <c r="AC505" s="42">
        <v>0.19</v>
      </c>
    </row>
    <row r="506" spans="3:29">
      <c r="C506" t="s">
        <v>115</v>
      </c>
      <c r="D506">
        <v>2033</v>
      </c>
      <c r="E506" t="s">
        <v>141</v>
      </c>
      <c r="F506">
        <v>367.9</v>
      </c>
      <c r="J506" s="18" t="s">
        <v>105</v>
      </c>
      <c r="K506" s="18">
        <v>2015</v>
      </c>
      <c r="L506" s="18" t="s">
        <v>174</v>
      </c>
      <c r="M506" s="18">
        <v>527.92999999999995</v>
      </c>
      <c r="P506" s="18" t="s">
        <v>105</v>
      </c>
      <c r="Q506" s="18">
        <v>2015</v>
      </c>
      <c r="R506" s="18" t="s">
        <v>175</v>
      </c>
      <c r="S506" s="18">
        <f t="shared" si="33"/>
        <v>0</v>
      </c>
      <c r="U506">
        <v>26.396499999999996</v>
      </c>
      <c r="Z506" s="42" t="s">
        <v>122</v>
      </c>
      <c r="AA506" s="42">
        <v>2026</v>
      </c>
      <c r="AB506" s="42" t="s">
        <v>147</v>
      </c>
      <c r="AC506" s="42">
        <v>0.01</v>
      </c>
    </row>
    <row r="507" spans="3:29">
      <c r="C507" t="s">
        <v>115</v>
      </c>
      <c r="D507">
        <v>2033</v>
      </c>
      <c r="E507" t="s">
        <v>142</v>
      </c>
      <c r="F507">
        <v>513.84</v>
      </c>
      <c r="J507" s="18" t="s">
        <v>105</v>
      </c>
      <c r="K507" s="18">
        <v>2016</v>
      </c>
      <c r="L507" s="18" t="s">
        <v>174</v>
      </c>
      <c r="M507" s="18">
        <v>546.69000000000005</v>
      </c>
      <c r="P507" s="18" t="s">
        <v>105</v>
      </c>
      <c r="Q507" s="18">
        <v>2016</v>
      </c>
      <c r="R507" s="18" t="s">
        <v>175</v>
      </c>
      <c r="S507" s="18">
        <f t="shared" si="33"/>
        <v>0</v>
      </c>
      <c r="U507">
        <v>27.334500000000002</v>
      </c>
      <c r="Z507" s="42" t="s">
        <v>122</v>
      </c>
      <c r="AA507" s="42">
        <v>2027</v>
      </c>
      <c r="AB507" s="42" t="s">
        <v>146</v>
      </c>
      <c r="AC507" s="42">
        <v>0.22</v>
      </c>
    </row>
    <row r="508" spans="3:29">
      <c r="C508" t="s">
        <v>115</v>
      </c>
      <c r="D508">
        <v>2033</v>
      </c>
      <c r="E508" t="s">
        <v>143</v>
      </c>
      <c r="F508">
        <v>278.87</v>
      </c>
      <c r="J508" s="18" t="s">
        <v>105</v>
      </c>
      <c r="K508" s="18">
        <v>2017</v>
      </c>
      <c r="L508" s="18" t="s">
        <v>174</v>
      </c>
      <c r="M508" s="18">
        <v>554.5</v>
      </c>
      <c r="P508" s="18" t="s">
        <v>105</v>
      </c>
      <c r="Q508" s="18">
        <v>2017</v>
      </c>
      <c r="R508" s="18" t="s">
        <v>175</v>
      </c>
      <c r="S508" s="18">
        <f t="shared" si="33"/>
        <v>0</v>
      </c>
      <c r="U508">
        <v>27.725000000000001</v>
      </c>
      <c r="Z508" s="42" t="s">
        <v>122</v>
      </c>
      <c r="AA508" s="42">
        <v>2027</v>
      </c>
      <c r="AB508" s="42" t="s">
        <v>147</v>
      </c>
      <c r="AC508" s="42">
        <v>0.01</v>
      </c>
    </row>
    <row r="509" spans="3:29">
      <c r="C509" t="s">
        <v>115</v>
      </c>
      <c r="D509">
        <v>2033</v>
      </c>
      <c r="E509" t="s">
        <v>144</v>
      </c>
      <c r="F509">
        <v>78.36</v>
      </c>
      <c r="J509" s="18" t="s">
        <v>105</v>
      </c>
      <c r="K509" s="18">
        <v>2018</v>
      </c>
      <c r="L509" s="18" t="s">
        <v>174</v>
      </c>
      <c r="M509" s="18">
        <v>562.41</v>
      </c>
      <c r="P509" s="18" t="s">
        <v>105</v>
      </c>
      <c r="Q509" s="18">
        <v>2018</v>
      </c>
      <c r="R509" s="18" t="s">
        <v>175</v>
      </c>
      <c r="S509" s="18">
        <f t="shared" si="33"/>
        <v>0</v>
      </c>
      <c r="U509">
        <v>28.1205</v>
      </c>
      <c r="Z509" s="42" t="s">
        <v>122</v>
      </c>
      <c r="AA509" s="42">
        <v>2028</v>
      </c>
      <c r="AB509" s="42" t="s">
        <v>146</v>
      </c>
      <c r="AC509" s="42">
        <v>0.25</v>
      </c>
    </row>
    <row r="510" spans="3:29">
      <c r="C510" t="s">
        <v>115</v>
      </c>
      <c r="D510">
        <v>2034</v>
      </c>
      <c r="E510" t="s">
        <v>145</v>
      </c>
      <c r="F510">
        <v>1.45</v>
      </c>
      <c r="J510" s="18" t="s">
        <v>105</v>
      </c>
      <c r="K510" s="18">
        <v>2019</v>
      </c>
      <c r="L510" s="18" t="s">
        <v>174</v>
      </c>
      <c r="M510" s="18">
        <v>567.97</v>
      </c>
      <c r="P510" s="18" t="s">
        <v>105</v>
      </c>
      <c r="Q510" s="18">
        <v>2019</v>
      </c>
      <c r="R510" s="18" t="s">
        <v>175</v>
      </c>
      <c r="S510" s="18">
        <f t="shared" si="33"/>
        <v>0</v>
      </c>
      <c r="U510">
        <v>28.398500000000002</v>
      </c>
      <c r="Z510" s="42" t="s">
        <v>122</v>
      </c>
      <c r="AA510" s="42">
        <v>2028</v>
      </c>
      <c r="AB510" s="42" t="s">
        <v>147</v>
      </c>
      <c r="AC510" s="42">
        <v>0.01</v>
      </c>
    </row>
    <row r="511" spans="3:29">
      <c r="C511" t="s">
        <v>115</v>
      </c>
      <c r="D511">
        <v>2034</v>
      </c>
      <c r="E511" t="s">
        <v>141</v>
      </c>
      <c r="F511">
        <v>373.24</v>
      </c>
      <c r="J511" s="18" t="s">
        <v>105</v>
      </c>
      <c r="K511" s="18">
        <v>2020</v>
      </c>
      <c r="L511" s="18" t="s">
        <v>174</v>
      </c>
      <c r="M511" s="18">
        <v>570.57000000000005</v>
      </c>
      <c r="P511" s="18" t="s">
        <v>105</v>
      </c>
      <c r="Q511" s="18">
        <v>2020</v>
      </c>
      <c r="R511" s="18" t="s">
        <v>175</v>
      </c>
      <c r="S511" s="18">
        <f t="shared" si="33"/>
        <v>0</v>
      </c>
      <c r="U511">
        <v>28.528500000000001</v>
      </c>
      <c r="Z511" s="42" t="s">
        <v>122</v>
      </c>
      <c r="AA511" s="42">
        <v>2029</v>
      </c>
      <c r="AB511" s="42" t="s">
        <v>146</v>
      </c>
      <c r="AC511" s="42">
        <v>0.27</v>
      </c>
    </row>
    <row r="512" spans="3:29">
      <c r="C512" t="s">
        <v>115</v>
      </c>
      <c r="D512">
        <v>2034</v>
      </c>
      <c r="E512" t="s">
        <v>142</v>
      </c>
      <c r="F512">
        <v>524.30999999999995</v>
      </c>
      <c r="J512" s="18" t="s">
        <v>105</v>
      </c>
      <c r="K512" s="18">
        <v>2021</v>
      </c>
      <c r="L512" s="18" t="s">
        <v>174</v>
      </c>
      <c r="M512" s="18">
        <v>573.58000000000004</v>
      </c>
      <c r="P512" s="18" t="s">
        <v>105</v>
      </c>
      <c r="Q512" s="18">
        <v>2021</v>
      </c>
      <c r="R512" s="18" t="s">
        <v>175</v>
      </c>
      <c r="S512" s="18">
        <f t="shared" si="33"/>
        <v>0</v>
      </c>
      <c r="U512">
        <v>28.679000000000002</v>
      </c>
      <c r="Z512" s="42" t="s">
        <v>122</v>
      </c>
      <c r="AA512" s="42">
        <v>2029</v>
      </c>
      <c r="AB512" s="42" t="s">
        <v>147</v>
      </c>
      <c r="AC512" s="42">
        <v>0.01</v>
      </c>
    </row>
    <row r="513" spans="3:29">
      <c r="C513" t="s">
        <v>115</v>
      </c>
      <c r="D513">
        <v>2034</v>
      </c>
      <c r="E513" t="s">
        <v>143</v>
      </c>
      <c r="F513">
        <v>280.2</v>
      </c>
      <c r="J513" s="18" t="s">
        <v>105</v>
      </c>
      <c r="K513" s="18">
        <v>2022</v>
      </c>
      <c r="L513" s="18" t="s">
        <v>174</v>
      </c>
      <c r="M513" s="18">
        <v>580.11</v>
      </c>
      <c r="P513" s="18" t="s">
        <v>105</v>
      </c>
      <c r="Q513" s="18">
        <v>2022</v>
      </c>
      <c r="R513" s="18" t="s">
        <v>175</v>
      </c>
      <c r="S513" s="18">
        <f t="shared" si="33"/>
        <v>0</v>
      </c>
      <c r="U513">
        <v>29.005500000000001</v>
      </c>
      <c r="Z513" s="42" t="s">
        <v>122</v>
      </c>
      <c r="AA513" s="42">
        <v>2030</v>
      </c>
      <c r="AB513" s="42" t="s">
        <v>146</v>
      </c>
      <c r="AC513" s="42">
        <v>0.28000000000000003</v>
      </c>
    </row>
    <row r="514" spans="3:29">
      <c r="C514" t="s">
        <v>115</v>
      </c>
      <c r="D514">
        <v>2034</v>
      </c>
      <c r="E514" t="s">
        <v>144</v>
      </c>
      <c r="F514">
        <v>81.790000000000006</v>
      </c>
      <c r="J514" s="18" t="s">
        <v>105</v>
      </c>
      <c r="K514" s="18">
        <v>2023</v>
      </c>
      <c r="L514" s="18" t="s">
        <v>174</v>
      </c>
      <c r="M514" s="18">
        <v>588.59</v>
      </c>
      <c r="P514" s="18" t="s">
        <v>105</v>
      </c>
      <c r="Q514" s="18">
        <v>2023</v>
      </c>
      <c r="R514" s="18" t="s">
        <v>175</v>
      </c>
      <c r="S514" s="18">
        <f t="shared" si="33"/>
        <v>0</v>
      </c>
      <c r="U514">
        <v>29.429500000000001</v>
      </c>
      <c r="Z514" s="42" t="s">
        <v>122</v>
      </c>
      <c r="AA514" s="42">
        <v>2030</v>
      </c>
      <c r="AB514" s="42" t="s">
        <v>147</v>
      </c>
      <c r="AC514" s="42">
        <v>0.01</v>
      </c>
    </row>
    <row r="515" spans="3:29">
      <c r="C515" t="s">
        <v>115</v>
      </c>
      <c r="D515">
        <v>2035</v>
      </c>
      <c r="E515" t="s">
        <v>145</v>
      </c>
      <c r="F515">
        <v>1.47</v>
      </c>
      <c r="J515" s="18" t="s">
        <v>105</v>
      </c>
      <c r="K515" s="18">
        <v>2024</v>
      </c>
      <c r="L515" s="18" t="s">
        <v>174</v>
      </c>
      <c r="M515" s="18">
        <v>597.33000000000004</v>
      </c>
      <c r="P515" s="18" t="s">
        <v>105</v>
      </c>
      <c r="Q515" s="18">
        <v>2024</v>
      </c>
      <c r="R515" s="18" t="s">
        <v>175</v>
      </c>
      <c r="S515" s="18">
        <f t="shared" si="33"/>
        <v>0</v>
      </c>
      <c r="U515">
        <v>29.866500000000002</v>
      </c>
      <c r="Z515" s="42" t="s">
        <v>122</v>
      </c>
      <c r="AA515" s="42">
        <v>2031</v>
      </c>
      <c r="AB515" s="42" t="s">
        <v>146</v>
      </c>
      <c r="AC515" s="42">
        <v>0.31</v>
      </c>
    </row>
    <row r="516" spans="3:29">
      <c r="C516" t="s">
        <v>115</v>
      </c>
      <c r="D516">
        <v>2035</v>
      </c>
      <c r="E516" t="s">
        <v>141</v>
      </c>
      <c r="F516">
        <v>378.67</v>
      </c>
      <c r="J516" s="18" t="s">
        <v>105</v>
      </c>
      <c r="K516" s="18">
        <v>2025</v>
      </c>
      <c r="L516" s="18" t="s">
        <v>174</v>
      </c>
      <c r="M516" s="18">
        <v>604.77</v>
      </c>
      <c r="P516" s="18" t="s">
        <v>105</v>
      </c>
      <c r="Q516" s="18">
        <v>2025</v>
      </c>
      <c r="R516" s="18" t="s">
        <v>175</v>
      </c>
      <c r="S516" s="18">
        <f t="shared" si="33"/>
        <v>0</v>
      </c>
      <c r="U516">
        <v>30.238499999999998</v>
      </c>
      <c r="Z516" s="42" t="s">
        <v>122</v>
      </c>
      <c r="AA516" s="42">
        <v>2031</v>
      </c>
      <c r="AB516" s="42" t="s">
        <v>147</v>
      </c>
      <c r="AC516" s="42">
        <v>0.02</v>
      </c>
    </row>
    <row r="517" spans="3:29">
      <c r="C517" t="s">
        <v>115</v>
      </c>
      <c r="D517">
        <v>2035</v>
      </c>
      <c r="E517" t="s">
        <v>142</v>
      </c>
      <c r="F517">
        <v>535.29</v>
      </c>
      <c r="J517" s="18" t="s">
        <v>105</v>
      </c>
      <c r="K517" s="18">
        <v>2026</v>
      </c>
      <c r="L517" s="18" t="s">
        <v>174</v>
      </c>
      <c r="M517" s="18">
        <v>611.16999999999996</v>
      </c>
      <c r="P517" s="18" t="s">
        <v>105</v>
      </c>
      <c r="Q517" s="18">
        <v>2026</v>
      </c>
      <c r="R517" s="18" t="s">
        <v>175</v>
      </c>
      <c r="S517" s="18">
        <f t="shared" si="33"/>
        <v>0</v>
      </c>
      <c r="U517">
        <v>30.558499999999999</v>
      </c>
      <c r="Z517" s="42" t="s">
        <v>122</v>
      </c>
      <c r="AA517" s="42">
        <v>2032</v>
      </c>
      <c r="AB517" s="42" t="s">
        <v>146</v>
      </c>
      <c r="AC517" s="42">
        <v>0.34</v>
      </c>
    </row>
    <row r="518" spans="3:29">
      <c r="C518" t="s">
        <v>115</v>
      </c>
      <c r="D518">
        <v>2035</v>
      </c>
      <c r="E518" t="s">
        <v>143</v>
      </c>
      <c r="F518">
        <v>281.52</v>
      </c>
      <c r="J518" s="18" t="s">
        <v>105</v>
      </c>
      <c r="K518" s="18">
        <v>2027</v>
      </c>
      <c r="L518" s="18" t="s">
        <v>174</v>
      </c>
      <c r="M518" s="18">
        <v>616.96</v>
      </c>
      <c r="P518" s="18" t="s">
        <v>105</v>
      </c>
      <c r="Q518" s="18">
        <v>2027</v>
      </c>
      <c r="R518" s="18" t="s">
        <v>175</v>
      </c>
      <c r="S518" s="18">
        <f t="shared" si="33"/>
        <v>0</v>
      </c>
      <c r="U518">
        <v>30.848000000000003</v>
      </c>
      <c r="Z518" s="42" t="s">
        <v>122</v>
      </c>
      <c r="AA518" s="42">
        <v>2032</v>
      </c>
      <c r="AB518" s="42" t="s">
        <v>147</v>
      </c>
      <c r="AC518" s="42">
        <v>0.02</v>
      </c>
    </row>
    <row r="519" spans="3:29">
      <c r="C519" t="s">
        <v>115</v>
      </c>
      <c r="D519">
        <v>2035</v>
      </c>
      <c r="E519" t="s">
        <v>144</v>
      </c>
      <c r="F519">
        <v>85.04</v>
      </c>
      <c r="J519" s="18" t="s">
        <v>105</v>
      </c>
      <c r="K519" s="18">
        <v>2028</v>
      </c>
      <c r="L519" s="18" t="s">
        <v>174</v>
      </c>
      <c r="M519" s="18">
        <v>622.74</v>
      </c>
      <c r="P519" s="18" t="s">
        <v>105</v>
      </c>
      <c r="Q519" s="18">
        <v>2028</v>
      </c>
      <c r="R519" s="18" t="s">
        <v>175</v>
      </c>
      <c r="S519" s="18">
        <f t="shared" si="33"/>
        <v>0</v>
      </c>
      <c r="U519">
        <v>31.137</v>
      </c>
      <c r="Z519" s="42" t="s">
        <v>122</v>
      </c>
      <c r="AA519" s="42">
        <v>2033</v>
      </c>
      <c r="AB519" s="42" t="s">
        <v>146</v>
      </c>
      <c r="AC519" s="42">
        <v>0.37</v>
      </c>
    </row>
    <row r="520" spans="3:29">
      <c r="C520" t="s">
        <v>115</v>
      </c>
      <c r="D520">
        <v>2036</v>
      </c>
      <c r="E520" t="s">
        <v>145</v>
      </c>
      <c r="F520">
        <v>1.48</v>
      </c>
      <c r="J520" s="18" t="s">
        <v>105</v>
      </c>
      <c r="K520" s="18">
        <v>2029</v>
      </c>
      <c r="L520" s="18" t="s">
        <v>174</v>
      </c>
      <c r="M520" s="18">
        <v>629.17999999999995</v>
      </c>
      <c r="P520" s="18" t="s">
        <v>105</v>
      </c>
      <c r="Q520" s="18">
        <v>2029</v>
      </c>
      <c r="R520" s="18" t="s">
        <v>175</v>
      </c>
      <c r="S520" s="18">
        <f t="shared" si="33"/>
        <v>0</v>
      </c>
      <c r="U520">
        <v>31.458999999999996</v>
      </c>
      <c r="Z520" s="42" t="s">
        <v>122</v>
      </c>
      <c r="AA520" s="42">
        <v>2033</v>
      </c>
      <c r="AB520" s="42" t="s">
        <v>147</v>
      </c>
      <c r="AC520" s="42">
        <v>0.02</v>
      </c>
    </row>
    <row r="521" spans="3:29">
      <c r="C521" t="s">
        <v>115</v>
      </c>
      <c r="D521">
        <v>2036</v>
      </c>
      <c r="E521" t="s">
        <v>141</v>
      </c>
      <c r="F521">
        <v>383.92</v>
      </c>
      <c r="J521" s="18" t="s">
        <v>105</v>
      </c>
      <c r="K521" s="18">
        <v>2030</v>
      </c>
      <c r="L521" s="18" t="s">
        <v>174</v>
      </c>
      <c r="M521" s="18">
        <v>636.59</v>
      </c>
      <c r="P521" s="18" t="s">
        <v>105</v>
      </c>
      <c r="Q521" s="18">
        <v>2030</v>
      </c>
      <c r="R521" s="18" t="s">
        <v>175</v>
      </c>
      <c r="S521" s="18">
        <f t="shared" si="33"/>
        <v>0</v>
      </c>
      <c r="U521">
        <v>31.829500000000003</v>
      </c>
      <c r="Z521" s="42" t="s">
        <v>122</v>
      </c>
      <c r="AA521" s="42">
        <v>2034</v>
      </c>
      <c r="AB521" s="42" t="s">
        <v>146</v>
      </c>
      <c r="AC521" s="42">
        <v>0.4</v>
      </c>
    </row>
    <row r="522" spans="3:29">
      <c r="C522" t="s">
        <v>115</v>
      </c>
      <c r="D522">
        <v>2036</v>
      </c>
      <c r="E522" t="s">
        <v>142</v>
      </c>
      <c r="F522">
        <v>546.20000000000005</v>
      </c>
      <c r="J522" s="18" t="s">
        <v>105</v>
      </c>
      <c r="K522" s="18">
        <v>2031</v>
      </c>
      <c r="L522" s="18" t="s">
        <v>174</v>
      </c>
      <c r="M522" s="18">
        <v>653.98</v>
      </c>
      <c r="P522" s="18" t="s">
        <v>105</v>
      </c>
      <c r="Q522" s="18">
        <v>2031</v>
      </c>
      <c r="R522" s="18" t="s">
        <v>175</v>
      </c>
      <c r="S522" s="18">
        <f t="shared" ref="S522:S585" si="34">IF(Q522&lt;2040, 0,U522)</f>
        <v>0</v>
      </c>
      <c r="U522">
        <v>32.698999999999998</v>
      </c>
      <c r="Z522" s="42" t="s">
        <v>122</v>
      </c>
      <c r="AA522" s="42">
        <v>2034</v>
      </c>
      <c r="AB522" s="42" t="s">
        <v>147</v>
      </c>
      <c r="AC522" s="42">
        <v>0.02</v>
      </c>
    </row>
    <row r="523" spans="3:29">
      <c r="C523" t="s">
        <v>115</v>
      </c>
      <c r="D523">
        <v>2036</v>
      </c>
      <c r="E523" t="s">
        <v>143</v>
      </c>
      <c r="F523">
        <v>282.72000000000003</v>
      </c>
      <c r="J523" s="18" t="s">
        <v>105</v>
      </c>
      <c r="K523" s="18">
        <v>2032</v>
      </c>
      <c r="L523" s="18" t="s">
        <v>174</v>
      </c>
      <c r="M523" s="18">
        <v>664.83</v>
      </c>
      <c r="P523" s="18" t="s">
        <v>105</v>
      </c>
      <c r="Q523" s="18">
        <v>2032</v>
      </c>
      <c r="R523" s="18" t="s">
        <v>175</v>
      </c>
      <c r="S523" s="18">
        <f t="shared" si="34"/>
        <v>0</v>
      </c>
      <c r="U523">
        <v>33.241500000000002</v>
      </c>
      <c r="Z523" s="42" t="s">
        <v>122</v>
      </c>
      <c r="AA523" s="42">
        <v>2035</v>
      </c>
      <c r="AB523" s="42" t="s">
        <v>146</v>
      </c>
      <c r="AC523" s="42">
        <v>0.44</v>
      </c>
    </row>
    <row r="524" spans="3:29">
      <c r="C524" t="s">
        <v>115</v>
      </c>
      <c r="D524">
        <v>2036</v>
      </c>
      <c r="E524" t="s">
        <v>144</v>
      </c>
      <c r="F524">
        <v>88.6</v>
      </c>
      <c r="J524" s="18" t="s">
        <v>105</v>
      </c>
      <c r="K524" s="18">
        <v>2033</v>
      </c>
      <c r="L524" s="18" t="s">
        <v>174</v>
      </c>
      <c r="M524" s="18">
        <v>675.87</v>
      </c>
      <c r="P524" s="18" t="s">
        <v>105</v>
      </c>
      <c r="Q524" s="18">
        <v>2033</v>
      </c>
      <c r="R524" s="18" t="s">
        <v>175</v>
      </c>
      <c r="S524" s="18">
        <f t="shared" si="34"/>
        <v>0</v>
      </c>
      <c r="U524">
        <v>33.793500000000002</v>
      </c>
      <c r="Z524" s="42" t="s">
        <v>122</v>
      </c>
      <c r="AA524" s="42">
        <v>2035</v>
      </c>
      <c r="AB524" s="42" t="s">
        <v>147</v>
      </c>
      <c r="AC524" s="42">
        <v>0.02</v>
      </c>
    </row>
    <row r="525" spans="3:29">
      <c r="C525" t="s">
        <v>115</v>
      </c>
      <c r="D525">
        <v>2037</v>
      </c>
      <c r="E525" t="s">
        <v>145</v>
      </c>
      <c r="F525">
        <v>1.5</v>
      </c>
      <c r="J525" s="18" t="s">
        <v>105</v>
      </c>
      <c r="K525" s="18">
        <v>2034</v>
      </c>
      <c r="L525" s="18" t="s">
        <v>174</v>
      </c>
      <c r="M525" s="18">
        <v>687.11</v>
      </c>
      <c r="P525" s="18" t="s">
        <v>105</v>
      </c>
      <c r="Q525" s="18">
        <v>2034</v>
      </c>
      <c r="R525" s="18" t="s">
        <v>175</v>
      </c>
      <c r="S525" s="18">
        <f t="shared" si="34"/>
        <v>0</v>
      </c>
      <c r="U525">
        <v>34.355499999999999</v>
      </c>
      <c r="Z525" s="42" t="s">
        <v>122</v>
      </c>
      <c r="AA525" s="42">
        <v>2036</v>
      </c>
      <c r="AB525" s="42" t="s">
        <v>146</v>
      </c>
      <c r="AC525" s="42">
        <v>0.47</v>
      </c>
    </row>
    <row r="526" spans="3:29">
      <c r="C526" t="s">
        <v>115</v>
      </c>
      <c r="D526">
        <v>2037</v>
      </c>
      <c r="E526" t="s">
        <v>141</v>
      </c>
      <c r="F526">
        <v>388.93</v>
      </c>
      <c r="J526" s="18" t="s">
        <v>105</v>
      </c>
      <c r="K526" s="18">
        <v>2035</v>
      </c>
      <c r="L526" s="18" t="s">
        <v>174</v>
      </c>
      <c r="M526" s="18">
        <v>697.31</v>
      </c>
      <c r="P526" s="18" t="s">
        <v>105</v>
      </c>
      <c r="Q526" s="18">
        <v>2035</v>
      </c>
      <c r="R526" s="18" t="s">
        <v>175</v>
      </c>
      <c r="S526" s="18">
        <f t="shared" si="34"/>
        <v>0</v>
      </c>
      <c r="U526">
        <v>34.865499999999997</v>
      </c>
      <c r="Z526" s="42" t="s">
        <v>122</v>
      </c>
      <c r="AA526" s="42">
        <v>2036</v>
      </c>
      <c r="AB526" s="42" t="s">
        <v>147</v>
      </c>
      <c r="AC526" s="42">
        <v>0.02</v>
      </c>
    </row>
    <row r="527" spans="3:29">
      <c r="C527" t="s">
        <v>115</v>
      </c>
      <c r="D527">
        <v>2037</v>
      </c>
      <c r="E527" t="s">
        <v>142</v>
      </c>
      <c r="F527">
        <v>557.16999999999996</v>
      </c>
      <c r="J527" s="18" t="s">
        <v>105</v>
      </c>
      <c r="K527" s="18">
        <v>2036</v>
      </c>
      <c r="L527" s="18" t="s">
        <v>174</v>
      </c>
      <c r="M527" s="18">
        <v>705.09</v>
      </c>
      <c r="P527" s="18" t="s">
        <v>105</v>
      </c>
      <c r="Q527" s="18">
        <v>2036</v>
      </c>
      <c r="R527" s="18" t="s">
        <v>175</v>
      </c>
      <c r="S527" s="18">
        <f t="shared" si="34"/>
        <v>0</v>
      </c>
      <c r="U527">
        <v>35.2545</v>
      </c>
      <c r="Z527" s="42" t="s">
        <v>122</v>
      </c>
      <c r="AA527" s="42">
        <v>2037</v>
      </c>
      <c r="AB527" s="42" t="s">
        <v>146</v>
      </c>
      <c r="AC527" s="42">
        <v>0.49</v>
      </c>
    </row>
    <row r="528" spans="3:29">
      <c r="C528" t="s">
        <v>115</v>
      </c>
      <c r="D528">
        <v>2037</v>
      </c>
      <c r="E528" t="s">
        <v>143</v>
      </c>
      <c r="F528">
        <v>283.81</v>
      </c>
      <c r="J528" s="18" t="s">
        <v>105</v>
      </c>
      <c r="K528" s="18">
        <v>2037</v>
      </c>
      <c r="L528" s="18" t="s">
        <v>174</v>
      </c>
      <c r="M528" s="18">
        <v>712.14</v>
      </c>
      <c r="P528" s="18" t="s">
        <v>105</v>
      </c>
      <c r="Q528" s="18">
        <v>2037</v>
      </c>
      <c r="R528" s="18" t="s">
        <v>175</v>
      </c>
      <c r="S528" s="18">
        <f t="shared" si="34"/>
        <v>0</v>
      </c>
      <c r="U528">
        <v>35.606999999999999</v>
      </c>
      <c r="Z528" s="42" t="s">
        <v>122</v>
      </c>
      <c r="AA528" s="42">
        <v>2037</v>
      </c>
      <c r="AB528" s="42" t="s">
        <v>147</v>
      </c>
      <c r="AC528" s="42">
        <v>0.03</v>
      </c>
    </row>
    <row r="529" spans="3:29">
      <c r="C529" t="s">
        <v>115</v>
      </c>
      <c r="D529">
        <v>2037</v>
      </c>
      <c r="E529" t="s">
        <v>144</v>
      </c>
      <c r="F529">
        <v>91.86</v>
      </c>
      <c r="J529" s="18" t="s">
        <v>105</v>
      </c>
      <c r="K529" s="18">
        <v>2038</v>
      </c>
      <c r="L529" s="18" t="s">
        <v>174</v>
      </c>
      <c r="M529" s="18">
        <v>718.76</v>
      </c>
      <c r="P529" s="18" t="s">
        <v>105</v>
      </c>
      <c r="Q529" s="18">
        <v>2038</v>
      </c>
      <c r="R529" s="18" t="s">
        <v>175</v>
      </c>
      <c r="S529" s="18">
        <f t="shared" si="34"/>
        <v>0</v>
      </c>
      <c r="U529">
        <v>35.938000000000002</v>
      </c>
      <c r="Z529" s="42" t="s">
        <v>122</v>
      </c>
      <c r="AA529" s="42">
        <v>2038</v>
      </c>
      <c r="AB529" s="42" t="s">
        <v>146</v>
      </c>
      <c r="AC529" s="42">
        <v>0.53</v>
      </c>
    </row>
    <row r="530" spans="3:29">
      <c r="C530" t="s">
        <v>115</v>
      </c>
      <c r="D530">
        <v>2038</v>
      </c>
      <c r="E530" t="s">
        <v>145</v>
      </c>
      <c r="F530">
        <v>1.51</v>
      </c>
      <c r="J530" s="18" t="s">
        <v>105</v>
      </c>
      <c r="K530" s="18">
        <v>2039</v>
      </c>
      <c r="L530" s="18" t="s">
        <v>174</v>
      </c>
      <c r="M530" s="18">
        <v>725.22</v>
      </c>
      <c r="P530" s="18" t="s">
        <v>105</v>
      </c>
      <c r="Q530" s="18">
        <v>2039</v>
      </c>
      <c r="R530" s="18" t="s">
        <v>175</v>
      </c>
      <c r="S530" s="18">
        <f t="shared" si="34"/>
        <v>0</v>
      </c>
      <c r="U530">
        <v>36.261000000000003</v>
      </c>
      <c r="Z530" s="42" t="s">
        <v>122</v>
      </c>
      <c r="AA530" s="42">
        <v>2038</v>
      </c>
      <c r="AB530" s="42" t="s">
        <v>147</v>
      </c>
      <c r="AC530" s="42">
        <v>0.03</v>
      </c>
    </row>
    <row r="531" spans="3:29">
      <c r="C531" t="s">
        <v>115</v>
      </c>
      <c r="D531">
        <v>2038</v>
      </c>
      <c r="E531" t="s">
        <v>141</v>
      </c>
      <c r="F531">
        <v>393.7</v>
      </c>
      <c r="J531" s="18" t="s">
        <v>105</v>
      </c>
      <c r="K531" s="18">
        <v>2040</v>
      </c>
      <c r="L531" s="18" t="s">
        <v>174</v>
      </c>
      <c r="M531" s="18">
        <v>731.34</v>
      </c>
      <c r="P531" s="18" t="s">
        <v>105</v>
      </c>
      <c r="Q531" s="18">
        <v>2040</v>
      </c>
      <c r="R531" s="18" t="s">
        <v>175</v>
      </c>
      <c r="S531" s="18">
        <f t="shared" si="34"/>
        <v>36.567</v>
      </c>
      <c r="U531">
        <v>36.567</v>
      </c>
      <c r="Z531" s="42" t="s">
        <v>122</v>
      </c>
      <c r="AA531" s="42">
        <v>2039</v>
      </c>
      <c r="AB531" s="42" t="s">
        <v>146</v>
      </c>
      <c r="AC531" s="42">
        <v>0.56999999999999995</v>
      </c>
    </row>
    <row r="532" spans="3:29">
      <c r="C532" t="s">
        <v>115</v>
      </c>
      <c r="D532">
        <v>2038</v>
      </c>
      <c r="E532" t="s">
        <v>142</v>
      </c>
      <c r="F532">
        <v>568.26</v>
      </c>
      <c r="J532" s="18" t="s">
        <v>105</v>
      </c>
      <c r="K532" s="18">
        <v>2041</v>
      </c>
      <c r="L532" s="18" t="s">
        <v>174</v>
      </c>
      <c r="M532" s="18">
        <v>740.29</v>
      </c>
      <c r="P532" s="18" t="s">
        <v>105</v>
      </c>
      <c r="Q532" s="18">
        <v>2041</v>
      </c>
      <c r="R532" s="18" t="s">
        <v>175</v>
      </c>
      <c r="S532" s="18">
        <f t="shared" si="34"/>
        <v>37.014499999999998</v>
      </c>
      <c r="U532">
        <v>37.014499999999998</v>
      </c>
      <c r="Z532" s="42" t="s">
        <v>122</v>
      </c>
      <c r="AA532" s="42">
        <v>2039</v>
      </c>
      <c r="AB532" s="42" t="s">
        <v>147</v>
      </c>
      <c r="AC532" s="42">
        <v>0.03</v>
      </c>
    </row>
    <row r="533" spans="3:29">
      <c r="C533" t="s">
        <v>115</v>
      </c>
      <c r="D533">
        <v>2038</v>
      </c>
      <c r="E533" t="s">
        <v>143</v>
      </c>
      <c r="F533">
        <v>284.79000000000002</v>
      </c>
      <c r="J533" s="18" t="s">
        <v>105</v>
      </c>
      <c r="K533" s="18">
        <v>2042</v>
      </c>
      <c r="L533" s="18" t="s">
        <v>174</v>
      </c>
      <c r="M533" s="18">
        <v>749.1</v>
      </c>
      <c r="P533" s="18" t="s">
        <v>105</v>
      </c>
      <c r="Q533" s="18">
        <v>2042</v>
      </c>
      <c r="R533" s="18" t="s">
        <v>175</v>
      </c>
      <c r="S533" s="18">
        <f t="shared" si="34"/>
        <v>37.454999999999998</v>
      </c>
      <c r="U533">
        <v>37.454999999999998</v>
      </c>
      <c r="Z533" s="42" t="s">
        <v>122</v>
      </c>
      <c r="AA533" s="42">
        <v>2040</v>
      </c>
      <c r="AB533" s="42" t="s">
        <v>146</v>
      </c>
      <c r="AC533" s="42">
        <v>0.61</v>
      </c>
    </row>
    <row r="534" spans="3:29">
      <c r="C534" t="s">
        <v>115</v>
      </c>
      <c r="D534">
        <v>2038</v>
      </c>
      <c r="E534" t="s">
        <v>144</v>
      </c>
      <c r="F534">
        <v>95.21</v>
      </c>
      <c r="J534" s="18" t="s">
        <v>105</v>
      </c>
      <c r="K534" s="18">
        <v>2043</v>
      </c>
      <c r="L534" s="18" t="s">
        <v>174</v>
      </c>
      <c r="M534" s="18">
        <v>757.77</v>
      </c>
      <c r="P534" s="18" t="s">
        <v>105</v>
      </c>
      <c r="Q534" s="18">
        <v>2043</v>
      </c>
      <c r="R534" s="18" t="s">
        <v>175</v>
      </c>
      <c r="S534" s="18">
        <f t="shared" si="34"/>
        <v>37.888500000000001</v>
      </c>
      <c r="U534">
        <v>37.888500000000001</v>
      </c>
      <c r="Z534" s="42" t="s">
        <v>122</v>
      </c>
      <c r="AA534" s="42">
        <v>2040</v>
      </c>
      <c r="AB534" s="42" t="s">
        <v>147</v>
      </c>
      <c r="AC534" s="42">
        <v>0.03</v>
      </c>
    </row>
    <row r="535" spans="3:29">
      <c r="C535" t="s">
        <v>115</v>
      </c>
      <c r="D535">
        <v>2039</v>
      </c>
      <c r="E535" t="s">
        <v>145</v>
      </c>
      <c r="F535">
        <v>1.53</v>
      </c>
      <c r="J535" s="18" t="s">
        <v>105</v>
      </c>
      <c r="K535" s="18">
        <v>2044</v>
      </c>
      <c r="L535" s="18" t="s">
        <v>174</v>
      </c>
      <c r="M535" s="18">
        <v>766.63</v>
      </c>
      <c r="P535" s="18" t="s">
        <v>105</v>
      </c>
      <c r="Q535" s="18">
        <v>2044</v>
      </c>
      <c r="R535" s="18" t="s">
        <v>175</v>
      </c>
      <c r="S535" s="18">
        <f t="shared" si="34"/>
        <v>38.331499999999998</v>
      </c>
      <c r="U535">
        <v>38.331499999999998</v>
      </c>
      <c r="Z535" s="42" t="s">
        <v>122</v>
      </c>
      <c r="AA535" s="42">
        <v>2041</v>
      </c>
      <c r="AB535" s="42" t="s">
        <v>146</v>
      </c>
      <c r="AC535" s="42">
        <v>0.66</v>
      </c>
    </row>
    <row r="536" spans="3:29">
      <c r="C536" t="s">
        <v>115</v>
      </c>
      <c r="D536">
        <v>2039</v>
      </c>
      <c r="E536" t="s">
        <v>141</v>
      </c>
      <c r="F536">
        <v>398.35</v>
      </c>
      <c r="J536" s="18" t="s">
        <v>105</v>
      </c>
      <c r="K536" s="18">
        <v>2045</v>
      </c>
      <c r="L536" s="18" t="s">
        <v>174</v>
      </c>
      <c r="M536" s="18">
        <v>775.63</v>
      </c>
      <c r="P536" s="18" t="s">
        <v>105</v>
      </c>
      <c r="Q536" s="18">
        <v>2045</v>
      </c>
      <c r="R536" s="18" t="s">
        <v>175</v>
      </c>
      <c r="S536" s="18">
        <f t="shared" si="34"/>
        <v>38.781500000000001</v>
      </c>
      <c r="U536">
        <v>38.781500000000001</v>
      </c>
      <c r="Z536" s="42" t="s">
        <v>122</v>
      </c>
      <c r="AA536" s="42">
        <v>2041</v>
      </c>
      <c r="AB536" s="42" t="s">
        <v>147</v>
      </c>
      <c r="AC536" s="42">
        <v>0.03</v>
      </c>
    </row>
    <row r="537" spans="3:29">
      <c r="C537" t="s">
        <v>115</v>
      </c>
      <c r="D537">
        <v>2039</v>
      </c>
      <c r="E537" t="s">
        <v>142</v>
      </c>
      <c r="F537">
        <v>577.77</v>
      </c>
      <c r="J537" s="18" t="s">
        <v>105</v>
      </c>
      <c r="K537" s="18">
        <v>2046</v>
      </c>
      <c r="L537" s="18" t="s">
        <v>174</v>
      </c>
      <c r="M537" s="18">
        <v>780.08</v>
      </c>
      <c r="P537" s="18" t="s">
        <v>105</v>
      </c>
      <c r="Q537" s="18">
        <v>2046</v>
      </c>
      <c r="R537" s="18" t="s">
        <v>175</v>
      </c>
      <c r="S537" s="18">
        <f t="shared" si="34"/>
        <v>39.004000000000005</v>
      </c>
      <c r="U537">
        <v>39.004000000000005</v>
      </c>
      <c r="Z537" s="42" t="s">
        <v>122</v>
      </c>
      <c r="AA537" s="42">
        <v>2042</v>
      </c>
      <c r="AB537" s="42" t="s">
        <v>146</v>
      </c>
      <c r="AC537" s="42">
        <v>0.7</v>
      </c>
    </row>
    <row r="538" spans="3:29">
      <c r="C538" t="s">
        <v>115</v>
      </c>
      <c r="D538">
        <v>2039</v>
      </c>
      <c r="E538" t="s">
        <v>143</v>
      </c>
      <c r="F538">
        <v>285.7</v>
      </c>
      <c r="J538" s="18" t="s">
        <v>105</v>
      </c>
      <c r="K538" s="18">
        <v>2047</v>
      </c>
      <c r="L538" s="18" t="s">
        <v>174</v>
      </c>
      <c r="M538" s="18">
        <v>784.25</v>
      </c>
      <c r="P538" s="18" t="s">
        <v>105</v>
      </c>
      <c r="Q538" s="18">
        <v>2047</v>
      </c>
      <c r="R538" s="18" t="s">
        <v>175</v>
      </c>
      <c r="S538" s="18">
        <f t="shared" si="34"/>
        <v>39.212499999999999</v>
      </c>
      <c r="U538">
        <v>39.212499999999999</v>
      </c>
      <c r="Z538" s="42" t="s">
        <v>122</v>
      </c>
      <c r="AA538" s="42">
        <v>2042</v>
      </c>
      <c r="AB538" s="42" t="s">
        <v>147</v>
      </c>
      <c r="AC538" s="42">
        <v>0.04</v>
      </c>
    </row>
    <row r="539" spans="3:29">
      <c r="C539" t="s">
        <v>115</v>
      </c>
      <c r="D539">
        <v>2039</v>
      </c>
      <c r="E539" t="s">
        <v>144</v>
      </c>
      <c r="F539">
        <v>98.38</v>
      </c>
      <c r="J539" s="18" t="s">
        <v>105</v>
      </c>
      <c r="K539" s="18">
        <v>2048</v>
      </c>
      <c r="L539" s="18" t="s">
        <v>174</v>
      </c>
      <c r="M539" s="18">
        <v>788.78</v>
      </c>
      <c r="P539" s="18" t="s">
        <v>105</v>
      </c>
      <c r="Q539" s="18">
        <v>2048</v>
      </c>
      <c r="R539" s="18" t="s">
        <v>175</v>
      </c>
      <c r="S539" s="18">
        <f t="shared" si="34"/>
        <v>39.439</v>
      </c>
      <c r="U539">
        <v>39.439</v>
      </c>
      <c r="Z539" s="42" t="s">
        <v>122</v>
      </c>
      <c r="AA539" s="42">
        <v>2043</v>
      </c>
      <c r="AB539" s="42" t="s">
        <v>146</v>
      </c>
      <c r="AC539" s="42">
        <v>0.74</v>
      </c>
    </row>
    <row r="540" spans="3:29">
      <c r="C540" t="s">
        <v>115</v>
      </c>
      <c r="D540">
        <v>2040</v>
      </c>
      <c r="E540" t="s">
        <v>145</v>
      </c>
      <c r="F540">
        <v>1.54</v>
      </c>
      <c r="J540" s="18" t="s">
        <v>105</v>
      </c>
      <c r="K540" s="18">
        <v>2049</v>
      </c>
      <c r="L540" s="18" t="s">
        <v>174</v>
      </c>
      <c r="M540" s="18">
        <v>792.85</v>
      </c>
      <c r="P540" s="18" t="s">
        <v>105</v>
      </c>
      <c r="Q540" s="18">
        <v>2049</v>
      </c>
      <c r="R540" s="18" t="s">
        <v>175</v>
      </c>
      <c r="S540" s="18">
        <f t="shared" si="34"/>
        <v>39.642499999999998</v>
      </c>
      <c r="U540">
        <v>39.642499999999998</v>
      </c>
      <c r="Z540" s="42" t="s">
        <v>122</v>
      </c>
      <c r="AA540" s="42">
        <v>2043</v>
      </c>
      <c r="AB540" s="42" t="s">
        <v>147</v>
      </c>
      <c r="AC540" s="42">
        <v>0.04</v>
      </c>
    </row>
    <row r="541" spans="3:29">
      <c r="C541" t="s">
        <v>115</v>
      </c>
      <c r="D541">
        <v>2040</v>
      </c>
      <c r="E541" t="s">
        <v>141</v>
      </c>
      <c r="F541">
        <v>402.84</v>
      </c>
      <c r="J541" s="18" t="s">
        <v>105</v>
      </c>
      <c r="K541" s="18">
        <v>2050</v>
      </c>
      <c r="L541" s="18" t="s">
        <v>174</v>
      </c>
      <c r="M541" s="18">
        <v>797.17</v>
      </c>
      <c r="P541" s="18" t="s">
        <v>105</v>
      </c>
      <c r="Q541" s="18">
        <v>2050</v>
      </c>
      <c r="R541" s="18" t="s">
        <v>175</v>
      </c>
      <c r="S541" s="18">
        <f t="shared" si="34"/>
        <v>39.858499999999999</v>
      </c>
      <c r="U541">
        <v>39.858499999999999</v>
      </c>
      <c r="Z541" s="42" t="s">
        <v>122</v>
      </c>
      <c r="AA541" s="42">
        <v>2044</v>
      </c>
      <c r="AB541" s="42" t="s">
        <v>146</v>
      </c>
      <c r="AC541" s="42">
        <v>0.77</v>
      </c>
    </row>
    <row r="542" spans="3:29">
      <c r="C542" t="s">
        <v>115</v>
      </c>
      <c r="D542">
        <v>2040</v>
      </c>
      <c r="E542" t="s">
        <v>142</v>
      </c>
      <c r="F542">
        <v>588.11</v>
      </c>
      <c r="J542" s="18" t="s">
        <v>51</v>
      </c>
      <c r="K542" s="18">
        <v>2010</v>
      </c>
      <c r="L542" s="18" t="s">
        <v>174</v>
      </c>
      <c r="M542" s="18">
        <v>504.22</v>
      </c>
      <c r="P542" s="18" t="s">
        <v>51</v>
      </c>
      <c r="Q542" s="18">
        <v>2010</v>
      </c>
      <c r="R542" s="18" t="s">
        <v>175</v>
      </c>
      <c r="S542" s="18">
        <f t="shared" si="34"/>
        <v>0</v>
      </c>
      <c r="U542">
        <v>25.211000000000002</v>
      </c>
      <c r="Z542" s="42" t="s">
        <v>122</v>
      </c>
      <c r="AA542" s="42">
        <v>2044</v>
      </c>
      <c r="AB542" s="42" t="s">
        <v>147</v>
      </c>
      <c r="AC542" s="42">
        <v>0.04</v>
      </c>
    </row>
    <row r="543" spans="3:29">
      <c r="C543" t="s">
        <v>115</v>
      </c>
      <c r="D543">
        <v>2040</v>
      </c>
      <c r="E543" t="s">
        <v>143</v>
      </c>
      <c r="F543">
        <v>286.44</v>
      </c>
      <c r="J543" s="18" t="s">
        <v>51</v>
      </c>
      <c r="K543" s="18">
        <v>2011</v>
      </c>
      <c r="L543" s="18" t="s">
        <v>174</v>
      </c>
      <c r="M543" s="18">
        <v>511.75</v>
      </c>
      <c r="P543" s="18" t="s">
        <v>51</v>
      </c>
      <c r="Q543" s="18">
        <v>2011</v>
      </c>
      <c r="R543" s="18" t="s">
        <v>175</v>
      </c>
      <c r="S543" s="18">
        <f t="shared" si="34"/>
        <v>0</v>
      </c>
      <c r="U543">
        <v>25.587499999999999</v>
      </c>
      <c r="Z543" s="42" t="s">
        <v>122</v>
      </c>
      <c r="AA543" s="42">
        <v>2045</v>
      </c>
      <c r="AB543" s="42" t="s">
        <v>146</v>
      </c>
      <c r="AC543" s="42">
        <v>0.79</v>
      </c>
    </row>
    <row r="544" spans="3:29">
      <c r="C544" t="s">
        <v>115</v>
      </c>
      <c r="D544">
        <v>2040</v>
      </c>
      <c r="E544" t="s">
        <v>144</v>
      </c>
      <c r="F544">
        <v>101.48</v>
      </c>
      <c r="J544" s="18" t="s">
        <v>51</v>
      </c>
      <c r="K544" s="18">
        <v>2012</v>
      </c>
      <c r="L544" s="18" t="s">
        <v>174</v>
      </c>
      <c r="M544" s="18">
        <v>520.26</v>
      </c>
      <c r="P544" s="18" t="s">
        <v>51</v>
      </c>
      <c r="Q544" s="18">
        <v>2012</v>
      </c>
      <c r="R544" s="18" t="s">
        <v>175</v>
      </c>
      <c r="S544" s="18">
        <f t="shared" si="34"/>
        <v>0</v>
      </c>
      <c r="U544">
        <v>26.012999999999998</v>
      </c>
      <c r="Z544" s="42" t="s">
        <v>122</v>
      </c>
      <c r="AA544" s="42">
        <v>2045</v>
      </c>
      <c r="AB544" s="42" t="s">
        <v>147</v>
      </c>
      <c r="AC544" s="42">
        <v>0.04</v>
      </c>
    </row>
    <row r="545" spans="3:29">
      <c r="C545" t="s">
        <v>115</v>
      </c>
      <c r="D545">
        <v>2041</v>
      </c>
      <c r="E545" t="s">
        <v>145</v>
      </c>
      <c r="F545">
        <v>1.55</v>
      </c>
      <c r="J545" s="18" t="s">
        <v>51</v>
      </c>
      <c r="K545" s="18">
        <v>2013</v>
      </c>
      <c r="L545" s="18" t="s">
        <v>174</v>
      </c>
      <c r="M545" s="18">
        <v>515.07000000000005</v>
      </c>
      <c r="P545" s="18" t="s">
        <v>51</v>
      </c>
      <c r="Q545" s="18">
        <v>2013</v>
      </c>
      <c r="R545" s="18" t="s">
        <v>175</v>
      </c>
      <c r="S545" s="18">
        <f t="shared" si="34"/>
        <v>0</v>
      </c>
      <c r="U545">
        <v>25.753500000000003</v>
      </c>
      <c r="Z545" s="42" t="s">
        <v>122</v>
      </c>
      <c r="AA545" s="42">
        <v>2046</v>
      </c>
      <c r="AB545" s="42" t="s">
        <v>146</v>
      </c>
      <c r="AC545" s="42">
        <v>0.82</v>
      </c>
    </row>
    <row r="546" spans="3:29">
      <c r="C546" t="s">
        <v>115</v>
      </c>
      <c r="D546">
        <v>2041</v>
      </c>
      <c r="E546" t="s">
        <v>141</v>
      </c>
      <c r="F546">
        <v>407.93</v>
      </c>
      <c r="J546" s="18" t="s">
        <v>51</v>
      </c>
      <c r="K546" s="18">
        <v>2014</v>
      </c>
      <c r="L546" s="18" t="s">
        <v>174</v>
      </c>
      <c r="M546" s="18">
        <v>514.16</v>
      </c>
      <c r="P546" s="18" t="s">
        <v>51</v>
      </c>
      <c r="Q546" s="18">
        <v>2014</v>
      </c>
      <c r="R546" s="18" t="s">
        <v>175</v>
      </c>
      <c r="S546" s="18">
        <f t="shared" si="34"/>
        <v>0</v>
      </c>
      <c r="U546">
        <v>25.707999999999998</v>
      </c>
      <c r="Z546" s="42" t="s">
        <v>122</v>
      </c>
      <c r="AA546" s="42">
        <v>2046</v>
      </c>
      <c r="AB546" s="42" t="s">
        <v>147</v>
      </c>
      <c r="AC546" s="42">
        <v>0.04</v>
      </c>
    </row>
    <row r="547" spans="3:29">
      <c r="C547" t="s">
        <v>115</v>
      </c>
      <c r="D547">
        <v>2041</v>
      </c>
      <c r="E547" t="s">
        <v>142</v>
      </c>
      <c r="F547">
        <v>599.66999999999996</v>
      </c>
      <c r="J547" s="18" t="s">
        <v>51</v>
      </c>
      <c r="K547" s="18">
        <v>2015</v>
      </c>
      <c r="L547" s="18" t="s">
        <v>174</v>
      </c>
      <c r="M547" s="18">
        <v>516.15</v>
      </c>
      <c r="P547" s="18" t="s">
        <v>51</v>
      </c>
      <c r="Q547" s="18">
        <v>2015</v>
      </c>
      <c r="R547" s="18" t="s">
        <v>175</v>
      </c>
      <c r="S547" s="18">
        <f t="shared" si="34"/>
        <v>0</v>
      </c>
      <c r="U547">
        <v>25.807499999999997</v>
      </c>
      <c r="Z547" s="42" t="s">
        <v>122</v>
      </c>
      <c r="AA547" s="42">
        <v>2047</v>
      </c>
      <c r="AB547" s="42" t="s">
        <v>146</v>
      </c>
      <c r="AC547" s="42">
        <v>0.84</v>
      </c>
    </row>
    <row r="548" spans="3:29">
      <c r="C548" t="s">
        <v>115</v>
      </c>
      <c r="D548">
        <v>2041</v>
      </c>
      <c r="E548" t="s">
        <v>143</v>
      </c>
      <c r="F548">
        <v>287.26</v>
      </c>
      <c r="J548" s="18" t="s">
        <v>51</v>
      </c>
      <c r="K548" s="18">
        <v>2016</v>
      </c>
      <c r="L548" s="18" t="s">
        <v>174</v>
      </c>
      <c r="M548" s="18">
        <v>549.09</v>
      </c>
      <c r="P548" s="18" t="s">
        <v>51</v>
      </c>
      <c r="Q548" s="18">
        <v>2016</v>
      </c>
      <c r="R548" s="18" t="s">
        <v>175</v>
      </c>
      <c r="S548" s="18">
        <f t="shared" si="34"/>
        <v>0</v>
      </c>
      <c r="U548">
        <v>27.454500000000003</v>
      </c>
      <c r="Z548" s="42" t="s">
        <v>122</v>
      </c>
      <c r="AA548" s="42">
        <v>2047</v>
      </c>
      <c r="AB548" s="42" t="s">
        <v>147</v>
      </c>
      <c r="AC548" s="42">
        <v>0.04</v>
      </c>
    </row>
    <row r="549" spans="3:29">
      <c r="C549" t="s">
        <v>115</v>
      </c>
      <c r="D549">
        <v>2041</v>
      </c>
      <c r="E549" t="s">
        <v>144</v>
      </c>
      <c r="F549">
        <v>104.65</v>
      </c>
      <c r="J549" s="18" t="s">
        <v>51</v>
      </c>
      <c r="K549" s="18">
        <v>2017</v>
      </c>
      <c r="L549" s="18" t="s">
        <v>174</v>
      </c>
      <c r="M549" s="18">
        <v>560.66999999999996</v>
      </c>
      <c r="P549" s="18" t="s">
        <v>51</v>
      </c>
      <c r="Q549" s="18">
        <v>2017</v>
      </c>
      <c r="R549" s="18" t="s">
        <v>175</v>
      </c>
      <c r="S549" s="18">
        <f t="shared" si="34"/>
        <v>0</v>
      </c>
      <c r="U549">
        <v>28.033499999999997</v>
      </c>
      <c r="Z549" s="42" t="s">
        <v>122</v>
      </c>
      <c r="AA549" s="42">
        <v>2048</v>
      </c>
      <c r="AB549" s="42" t="s">
        <v>146</v>
      </c>
      <c r="AC549" s="42">
        <v>0.86</v>
      </c>
    </row>
    <row r="550" spans="3:29">
      <c r="C550" t="s">
        <v>115</v>
      </c>
      <c r="D550">
        <v>2042</v>
      </c>
      <c r="E550" t="s">
        <v>145</v>
      </c>
      <c r="F550">
        <v>1.57</v>
      </c>
      <c r="J550" s="18" t="s">
        <v>51</v>
      </c>
      <c r="K550" s="18">
        <v>2018</v>
      </c>
      <c r="L550" s="18" t="s">
        <v>174</v>
      </c>
      <c r="M550" s="18">
        <v>575.91999999999996</v>
      </c>
      <c r="P550" s="18" t="s">
        <v>51</v>
      </c>
      <c r="Q550" s="18">
        <v>2018</v>
      </c>
      <c r="R550" s="18" t="s">
        <v>175</v>
      </c>
      <c r="S550" s="18">
        <f t="shared" si="34"/>
        <v>0</v>
      </c>
      <c r="U550">
        <v>28.795999999999999</v>
      </c>
      <c r="Z550" s="42" t="s">
        <v>122</v>
      </c>
      <c r="AA550" s="42">
        <v>2048</v>
      </c>
      <c r="AB550" s="42" t="s">
        <v>147</v>
      </c>
      <c r="AC550" s="42">
        <v>0.04</v>
      </c>
    </row>
    <row r="551" spans="3:29">
      <c r="C551" t="s">
        <v>115</v>
      </c>
      <c r="D551">
        <v>2042</v>
      </c>
      <c r="E551" t="s">
        <v>141</v>
      </c>
      <c r="F551">
        <v>413.17</v>
      </c>
      <c r="J551" s="18" t="s">
        <v>51</v>
      </c>
      <c r="K551" s="18">
        <v>2019</v>
      </c>
      <c r="L551" s="18" t="s">
        <v>174</v>
      </c>
      <c r="M551" s="18">
        <v>592.44000000000005</v>
      </c>
      <c r="P551" s="18" t="s">
        <v>51</v>
      </c>
      <c r="Q551" s="18">
        <v>2019</v>
      </c>
      <c r="R551" s="18" t="s">
        <v>175</v>
      </c>
      <c r="S551" s="18">
        <f t="shared" si="34"/>
        <v>0</v>
      </c>
      <c r="U551">
        <v>29.622000000000003</v>
      </c>
      <c r="Z551" s="42" t="s">
        <v>122</v>
      </c>
      <c r="AA551" s="42">
        <v>2049</v>
      </c>
      <c r="AB551" s="42" t="s">
        <v>146</v>
      </c>
      <c r="AC551" s="42">
        <v>0.86</v>
      </c>
    </row>
    <row r="552" spans="3:29">
      <c r="C552" t="s">
        <v>115</v>
      </c>
      <c r="D552">
        <v>2042</v>
      </c>
      <c r="E552" t="s">
        <v>142</v>
      </c>
      <c r="F552">
        <v>609.76</v>
      </c>
      <c r="J552" s="18" t="s">
        <v>51</v>
      </c>
      <c r="K552" s="18">
        <v>2020</v>
      </c>
      <c r="L552" s="18" t="s">
        <v>174</v>
      </c>
      <c r="M552" s="18">
        <v>605.39</v>
      </c>
      <c r="P552" s="18" t="s">
        <v>51</v>
      </c>
      <c r="Q552" s="18">
        <v>2020</v>
      </c>
      <c r="R552" s="18" t="s">
        <v>175</v>
      </c>
      <c r="S552" s="18">
        <f t="shared" si="34"/>
        <v>0</v>
      </c>
      <c r="U552">
        <v>30.269500000000001</v>
      </c>
      <c r="Z552" s="42" t="s">
        <v>122</v>
      </c>
      <c r="AA552" s="42">
        <v>2049</v>
      </c>
      <c r="AB552" s="42" t="s">
        <v>147</v>
      </c>
      <c r="AC552" s="42">
        <v>0.05</v>
      </c>
    </row>
    <row r="553" spans="3:29">
      <c r="C553" t="s">
        <v>115</v>
      </c>
      <c r="D553">
        <v>2042</v>
      </c>
      <c r="E553" t="s">
        <v>143</v>
      </c>
      <c r="F553">
        <v>288.12</v>
      </c>
      <c r="J553" s="18" t="s">
        <v>51</v>
      </c>
      <c r="K553" s="18">
        <v>2021</v>
      </c>
      <c r="L553" s="18" t="s">
        <v>174</v>
      </c>
      <c r="M553" s="18">
        <v>619.53</v>
      </c>
      <c r="P553" s="18" t="s">
        <v>51</v>
      </c>
      <c r="Q553" s="18">
        <v>2021</v>
      </c>
      <c r="R553" s="18" t="s">
        <v>175</v>
      </c>
      <c r="S553" s="18">
        <f t="shared" si="34"/>
        <v>0</v>
      </c>
      <c r="U553">
        <v>30.976499999999998</v>
      </c>
      <c r="Z553" s="42" t="s">
        <v>122</v>
      </c>
      <c r="AA553" s="42">
        <v>2050</v>
      </c>
      <c r="AB553" s="42" t="s">
        <v>146</v>
      </c>
      <c r="AC553" s="42">
        <v>0.88</v>
      </c>
    </row>
    <row r="554" spans="3:29">
      <c r="C554" t="s">
        <v>115</v>
      </c>
      <c r="D554">
        <v>2042</v>
      </c>
      <c r="E554" t="s">
        <v>144</v>
      </c>
      <c r="F554">
        <v>107.65</v>
      </c>
      <c r="J554" s="18" t="s">
        <v>51</v>
      </c>
      <c r="K554" s="18">
        <v>2022</v>
      </c>
      <c r="L554" s="18" t="s">
        <v>174</v>
      </c>
      <c r="M554" s="18">
        <v>635.59</v>
      </c>
      <c r="P554" s="18" t="s">
        <v>51</v>
      </c>
      <c r="Q554" s="18">
        <v>2022</v>
      </c>
      <c r="R554" s="18" t="s">
        <v>175</v>
      </c>
      <c r="S554" s="18">
        <f t="shared" si="34"/>
        <v>0</v>
      </c>
      <c r="U554">
        <v>31.779500000000002</v>
      </c>
      <c r="Z554" s="42" t="s">
        <v>122</v>
      </c>
      <c r="AA554" s="42">
        <v>2050</v>
      </c>
      <c r="AB554" s="42" t="s">
        <v>147</v>
      </c>
      <c r="AC554" s="42">
        <v>0.05</v>
      </c>
    </row>
    <row r="555" spans="3:29">
      <c r="C555" t="s">
        <v>115</v>
      </c>
      <c r="D555">
        <v>2043</v>
      </c>
      <c r="E555" t="s">
        <v>145</v>
      </c>
      <c r="F555">
        <v>1.58</v>
      </c>
      <c r="J555" s="18" t="s">
        <v>51</v>
      </c>
      <c r="K555" s="18">
        <v>2023</v>
      </c>
      <c r="L555" s="18" t="s">
        <v>174</v>
      </c>
      <c r="M555" s="18">
        <v>651.69000000000005</v>
      </c>
      <c r="P555" s="18" t="s">
        <v>51</v>
      </c>
      <c r="Q555" s="18">
        <v>2023</v>
      </c>
      <c r="R555" s="18" t="s">
        <v>175</v>
      </c>
      <c r="S555" s="18">
        <f t="shared" si="34"/>
        <v>0</v>
      </c>
      <c r="U555">
        <v>32.584500000000006</v>
      </c>
      <c r="Z555" s="42" t="s">
        <v>124</v>
      </c>
      <c r="AA555" s="42">
        <v>2019</v>
      </c>
      <c r="AB555" s="42" t="s">
        <v>146</v>
      </c>
      <c r="AC555" s="42">
        <v>37.770000000000003</v>
      </c>
    </row>
    <row r="556" spans="3:29">
      <c r="C556" t="s">
        <v>115</v>
      </c>
      <c r="D556">
        <v>2043</v>
      </c>
      <c r="E556" t="s">
        <v>141</v>
      </c>
      <c r="F556">
        <v>418.33</v>
      </c>
      <c r="J556" s="18" t="s">
        <v>51</v>
      </c>
      <c r="K556" s="18">
        <v>2024</v>
      </c>
      <c r="L556" s="18" t="s">
        <v>174</v>
      </c>
      <c r="M556" s="18">
        <v>667.22</v>
      </c>
      <c r="P556" s="18" t="s">
        <v>51</v>
      </c>
      <c r="Q556" s="18">
        <v>2024</v>
      </c>
      <c r="R556" s="18" t="s">
        <v>175</v>
      </c>
      <c r="S556" s="18">
        <f t="shared" si="34"/>
        <v>0</v>
      </c>
      <c r="U556">
        <v>33.361000000000004</v>
      </c>
      <c r="Z556" s="42" t="s">
        <v>124</v>
      </c>
      <c r="AA556" s="42">
        <v>2019</v>
      </c>
      <c r="AB556" s="42" t="s">
        <v>147</v>
      </c>
      <c r="AC556" s="42">
        <v>47.7</v>
      </c>
    </row>
    <row r="557" spans="3:29">
      <c r="C557" t="s">
        <v>115</v>
      </c>
      <c r="D557">
        <v>2043</v>
      </c>
      <c r="E557" t="s">
        <v>142</v>
      </c>
      <c r="F557">
        <v>620.65</v>
      </c>
      <c r="J557" s="18" t="s">
        <v>51</v>
      </c>
      <c r="K557" s="18">
        <v>2025</v>
      </c>
      <c r="L557" s="18" t="s">
        <v>174</v>
      </c>
      <c r="M557" s="18">
        <v>681.99</v>
      </c>
      <c r="P557" s="18" t="s">
        <v>51</v>
      </c>
      <c r="Q557" s="18">
        <v>2025</v>
      </c>
      <c r="R557" s="18" t="s">
        <v>175</v>
      </c>
      <c r="S557" s="18">
        <f t="shared" si="34"/>
        <v>0</v>
      </c>
      <c r="U557">
        <v>34.099499999999999</v>
      </c>
      <c r="Z557" s="42" t="s">
        <v>124</v>
      </c>
      <c r="AA557" s="42">
        <v>2019</v>
      </c>
      <c r="AB557" s="42" t="s">
        <v>145</v>
      </c>
      <c r="AC557" s="42">
        <v>257.24</v>
      </c>
    </row>
    <row r="558" spans="3:29">
      <c r="C558" t="s">
        <v>115</v>
      </c>
      <c r="D558">
        <v>2043</v>
      </c>
      <c r="E558" t="s">
        <v>143</v>
      </c>
      <c r="F558">
        <v>288.92</v>
      </c>
      <c r="J558" s="18" t="s">
        <v>51</v>
      </c>
      <c r="K558" s="18">
        <v>2026</v>
      </c>
      <c r="L558" s="18" t="s">
        <v>174</v>
      </c>
      <c r="M558" s="18">
        <v>694.28</v>
      </c>
      <c r="P558" s="18" t="s">
        <v>51</v>
      </c>
      <c r="Q558" s="18">
        <v>2026</v>
      </c>
      <c r="R558" s="18" t="s">
        <v>175</v>
      </c>
      <c r="S558" s="18">
        <f t="shared" si="34"/>
        <v>0</v>
      </c>
      <c r="U558">
        <v>34.713999999999999</v>
      </c>
      <c r="Z558" s="42" t="s">
        <v>124</v>
      </c>
      <c r="AA558" s="42">
        <v>2020</v>
      </c>
      <c r="AB558" s="42" t="s">
        <v>146</v>
      </c>
      <c r="AC558" s="42">
        <v>37.700000000000003</v>
      </c>
    </row>
    <row r="559" spans="3:29">
      <c r="C559" t="s">
        <v>115</v>
      </c>
      <c r="D559">
        <v>2043</v>
      </c>
      <c r="E559" t="s">
        <v>144</v>
      </c>
      <c r="F559">
        <v>110.72</v>
      </c>
      <c r="J559" s="18" t="s">
        <v>51</v>
      </c>
      <c r="K559" s="18">
        <v>2027</v>
      </c>
      <c r="L559" s="18" t="s">
        <v>174</v>
      </c>
      <c r="M559" s="18">
        <v>706.3</v>
      </c>
      <c r="P559" s="18" t="s">
        <v>51</v>
      </c>
      <c r="Q559" s="18">
        <v>2027</v>
      </c>
      <c r="R559" s="18" t="s">
        <v>175</v>
      </c>
      <c r="S559" s="18">
        <f t="shared" si="34"/>
        <v>0</v>
      </c>
      <c r="U559">
        <v>35.314999999999998</v>
      </c>
      <c r="Z559" s="42" t="s">
        <v>124</v>
      </c>
      <c r="AA559" s="42">
        <v>2020</v>
      </c>
      <c r="AB559" s="42" t="s">
        <v>147</v>
      </c>
      <c r="AC559" s="42">
        <v>47.61</v>
      </c>
    </row>
    <row r="560" spans="3:29">
      <c r="C560" t="s">
        <v>115</v>
      </c>
      <c r="D560">
        <v>2044</v>
      </c>
      <c r="E560" t="s">
        <v>145</v>
      </c>
      <c r="F560">
        <v>1.59</v>
      </c>
      <c r="J560" s="18" t="s">
        <v>51</v>
      </c>
      <c r="K560" s="18">
        <v>2028</v>
      </c>
      <c r="L560" s="18" t="s">
        <v>174</v>
      </c>
      <c r="M560" s="18">
        <v>718.4</v>
      </c>
      <c r="P560" s="18" t="s">
        <v>51</v>
      </c>
      <c r="Q560" s="18">
        <v>2028</v>
      </c>
      <c r="R560" s="18" t="s">
        <v>175</v>
      </c>
      <c r="S560" s="18">
        <f t="shared" si="34"/>
        <v>0</v>
      </c>
      <c r="U560">
        <v>35.92</v>
      </c>
      <c r="Z560" s="42" t="s">
        <v>124</v>
      </c>
      <c r="AA560" s="42">
        <v>2020</v>
      </c>
      <c r="AB560" s="42" t="s">
        <v>145</v>
      </c>
      <c r="AC560" s="42">
        <v>254.21</v>
      </c>
    </row>
    <row r="561" spans="3:29">
      <c r="C561" t="s">
        <v>115</v>
      </c>
      <c r="D561">
        <v>2044</v>
      </c>
      <c r="E561" t="s">
        <v>141</v>
      </c>
      <c r="F561">
        <v>423.59</v>
      </c>
      <c r="J561" s="18" t="s">
        <v>51</v>
      </c>
      <c r="K561" s="18">
        <v>2029</v>
      </c>
      <c r="L561" s="18" t="s">
        <v>174</v>
      </c>
      <c r="M561" s="18">
        <v>730.8</v>
      </c>
      <c r="P561" s="18" t="s">
        <v>51</v>
      </c>
      <c r="Q561" s="18">
        <v>2029</v>
      </c>
      <c r="R561" s="18" t="s">
        <v>175</v>
      </c>
      <c r="S561" s="18">
        <f t="shared" si="34"/>
        <v>0</v>
      </c>
      <c r="U561">
        <v>36.54</v>
      </c>
      <c r="Z561" s="42" t="s">
        <v>124</v>
      </c>
      <c r="AA561" s="42">
        <v>2021</v>
      </c>
      <c r="AB561" s="42" t="s">
        <v>146</v>
      </c>
      <c r="AC561" s="42">
        <v>37.799999999999997</v>
      </c>
    </row>
    <row r="562" spans="3:29">
      <c r="C562" t="s">
        <v>115</v>
      </c>
      <c r="D562">
        <v>2044</v>
      </c>
      <c r="E562" t="s">
        <v>142</v>
      </c>
      <c r="F562">
        <v>631.28</v>
      </c>
      <c r="J562" s="18" t="s">
        <v>51</v>
      </c>
      <c r="K562" s="18">
        <v>2030</v>
      </c>
      <c r="L562" s="18" t="s">
        <v>174</v>
      </c>
      <c r="M562" s="18">
        <v>742.59</v>
      </c>
      <c r="P562" s="18" t="s">
        <v>51</v>
      </c>
      <c r="Q562" s="18">
        <v>2030</v>
      </c>
      <c r="R562" s="18" t="s">
        <v>175</v>
      </c>
      <c r="S562" s="18">
        <f t="shared" si="34"/>
        <v>0</v>
      </c>
      <c r="U562">
        <v>37.1295</v>
      </c>
      <c r="Z562" s="42" t="s">
        <v>124</v>
      </c>
      <c r="AA562" s="42">
        <v>2021</v>
      </c>
      <c r="AB562" s="42" t="s">
        <v>147</v>
      </c>
      <c r="AC562" s="42">
        <v>47.67</v>
      </c>
    </row>
    <row r="563" spans="3:29">
      <c r="C563" t="s">
        <v>115</v>
      </c>
      <c r="D563">
        <v>2044</v>
      </c>
      <c r="E563" t="s">
        <v>143</v>
      </c>
      <c r="F563">
        <v>289.76</v>
      </c>
      <c r="J563" s="18" t="s">
        <v>51</v>
      </c>
      <c r="K563" s="18">
        <v>2031</v>
      </c>
      <c r="L563" s="18" t="s">
        <v>174</v>
      </c>
      <c r="M563" s="18">
        <v>756.59</v>
      </c>
      <c r="P563" s="18" t="s">
        <v>51</v>
      </c>
      <c r="Q563" s="18">
        <v>2031</v>
      </c>
      <c r="R563" s="18" t="s">
        <v>175</v>
      </c>
      <c r="S563" s="18">
        <f t="shared" si="34"/>
        <v>0</v>
      </c>
      <c r="U563">
        <v>37.829500000000003</v>
      </c>
      <c r="Z563" s="42" t="s">
        <v>124</v>
      </c>
      <c r="AA563" s="42">
        <v>2021</v>
      </c>
      <c r="AB563" s="42" t="s">
        <v>145</v>
      </c>
      <c r="AC563" s="42">
        <v>265.85000000000002</v>
      </c>
    </row>
    <row r="564" spans="3:29">
      <c r="C564" t="s">
        <v>115</v>
      </c>
      <c r="D564">
        <v>2044</v>
      </c>
      <c r="E564" t="s">
        <v>144</v>
      </c>
      <c r="F564">
        <v>113.64</v>
      </c>
      <c r="J564" s="18" t="s">
        <v>51</v>
      </c>
      <c r="K564" s="18">
        <v>2032</v>
      </c>
      <c r="L564" s="18" t="s">
        <v>174</v>
      </c>
      <c r="M564" s="18">
        <v>769.54</v>
      </c>
      <c r="P564" s="18" t="s">
        <v>51</v>
      </c>
      <c r="Q564" s="18">
        <v>2032</v>
      </c>
      <c r="R564" s="18" t="s">
        <v>175</v>
      </c>
      <c r="S564" s="18">
        <f t="shared" si="34"/>
        <v>0</v>
      </c>
      <c r="U564">
        <v>38.476999999999997</v>
      </c>
      <c r="Z564" s="42" t="s">
        <v>124</v>
      </c>
      <c r="AA564" s="42">
        <v>2022</v>
      </c>
      <c r="AB564" s="42" t="s">
        <v>146</v>
      </c>
      <c r="AC564" s="42">
        <v>37.93</v>
      </c>
    </row>
    <row r="565" spans="3:29">
      <c r="C565" t="s">
        <v>115</v>
      </c>
      <c r="D565">
        <v>2045</v>
      </c>
      <c r="E565" t="s">
        <v>145</v>
      </c>
      <c r="F565">
        <v>1.61</v>
      </c>
      <c r="J565" s="18" t="s">
        <v>51</v>
      </c>
      <c r="K565" s="18">
        <v>2033</v>
      </c>
      <c r="L565" s="18" t="s">
        <v>174</v>
      </c>
      <c r="M565" s="18">
        <v>781.97</v>
      </c>
      <c r="P565" s="18" t="s">
        <v>51</v>
      </c>
      <c r="Q565" s="18">
        <v>2033</v>
      </c>
      <c r="R565" s="18" t="s">
        <v>175</v>
      </c>
      <c r="S565" s="18">
        <f t="shared" si="34"/>
        <v>0</v>
      </c>
      <c r="U565">
        <v>39.098500000000001</v>
      </c>
      <c r="Z565" s="42" t="s">
        <v>124</v>
      </c>
      <c r="AA565" s="42">
        <v>2022</v>
      </c>
      <c r="AB565" s="42" t="s">
        <v>147</v>
      </c>
      <c r="AC565" s="42">
        <v>47.77</v>
      </c>
    </row>
    <row r="566" spans="3:29">
      <c r="C566" t="s">
        <v>115</v>
      </c>
      <c r="D566">
        <v>2045</v>
      </c>
      <c r="E566" t="s">
        <v>141</v>
      </c>
      <c r="F566">
        <v>429.17</v>
      </c>
      <c r="J566" s="18" t="s">
        <v>51</v>
      </c>
      <c r="K566" s="18">
        <v>2034</v>
      </c>
      <c r="L566" s="18" t="s">
        <v>174</v>
      </c>
      <c r="M566" s="18">
        <v>794.39</v>
      </c>
      <c r="P566" s="18" t="s">
        <v>51</v>
      </c>
      <c r="Q566" s="18">
        <v>2034</v>
      </c>
      <c r="R566" s="18" t="s">
        <v>175</v>
      </c>
      <c r="S566" s="18">
        <f t="shared" si="34"/>
        <v>0</v>
      </c>
      <c r="U566">
        <v>39.719499999999996</v>
      </c>
      <c r="Z566" s="42" t="s">
        <v>124</v>
      </c>
      <c r="AA566" s="42">
        <v>2022</v>
      </c>
      <c r="AB566" s="42" t="s">
        <v>145</v>
      </c>
      <c r="AC566" s="42">
        <v>274.69</v>
      </c>
    </row>
    <row r="567" spans="3:29">
      <c r="C567" t="s">
        <v>115</v>
      </c>
      <c r="D567">
        <v>2045</v>
      </c>
      <c r="E567" t="s">
        <v>142</v>
      </c>
      <c r="F567">
        <v>640.07000000000005</v>
      </c>
      <c r="J567" s="18" t="s">
        <v>51</v>
      </c>
      <c r="K567" s="18">
        <v>2035</v>
      </c>
      <c r="L567" s="18" t="s">
        <v>174</v>
      </c>
      <c r="M567" s="18">
        <v>807.13</v>
      </c>
      <c r="P567" s="18" t="s">
        <v>51</v>
      </c>
      <c r="Q567" s="18">
        <v>2035</v>
      </c>
      <c r="R567" s="18" t="s">
        <v>175</v>
      </c>
      <c r="S567" s="18">
        <f t="shared" si="34"/>
        <v>0</v>
      </c>
      <c r="U567">
        <v>40.356499999999997</v>
      </c>
      <c r="Z567" s="42" t="s">
        <v>124</v>
      </c>
      <c r="AA567" s="42">
        <v>2023</v>
      </c>
      <c r="AB567" s="42" t="s">
        <v>146</v>
      </c>
      <c r="AC567" s="42">
        <v>38.04</v>
      </c>
    </row>
    <row r="568" spans="3:29">
      <c r="C568" t="s">
        <v>115</v>
      </c>
      <c r="D568">
        <v>2045</v>
      </c>
      <c r="E568" t="s">
        <v>143</v>
      </c>
      <c r="F568">
        <v>290.66000000000003</v>
      </c>
      <c r="J568" s="18" t="s">
        <v>51</v>
      </c>
      <c r="K568" s="18">
        <v>2036</v>
      </c>
      <c r="L568" s="18" t="s">
        <v>174</v>
      </c>
      <c r="M568" s="18">
        <v>817.44</v>
      </c>
      <c r="P568" s="18" t="s">
        <v>51</v>
      </c>
      <c r="Q568" s="18">
        <v>2036</v>
      </c>
      <c r="R568" s="18" t="s">
        <v>175</v>
      </c>
      <c r="S568" s="18">
        <f t="shared" si="34"/>
        <v>0</v>
      </c>
      <c r="U568">
        <v>40.872</v>
      </c>
      <c r="Z568" s="42" t="s">
        <v>124</v>
      </c>
      <c r="AA568" s="42">
        <v>2023</v>
      </c>
      <c r="AB568" s="42" t="s">
        <v>147</v>
      </c>
      <c r="AC568" s="42">
        <v>47.84</v>
      </c>
    </row>
    <row r="569" spans="3:29">
      <c r="C569" t="s">
        <v>115</v>
      </c>
      <c r="D569">
        <v>2045</v>
      </c>
      <c r="E569" t="s">
        <v>144</v>
      </c>
      <c r="F569">
        <v>116.22</v>
      </c>
      <c r="J569" s="18" t="s">
        <v>51</v>
      </c>
      <c r="K569" s="18">
        <v>2037</v>
      </c>
      <c r="L569" s="18" t="s">
        <v>174</v>
      </c>
      <c r="M569" s="18">
        <v>827.65</v>
      </c>
      <c r="P569" s="18" t="s">
        <v>51</v>
      </c>
      <c r="Q569" s="18">
        <v>2037</v>
      </c>
      <c r="R569" s="18" t="s">
        <v>175</v>
      </c>
      <c r="S569" s="18">
        <f t="shared" si="34"/>
        <v>0</v>
      </c>
      <c r="U569">
        <v>41.3825</v>
      </c>
      <c r="Z569" s="42" t="s">
        <v>124</v>
      </c>
      <c r="AA569" s="42">
        <v>2023</v>
      </c>
      <c r="AB569" s="42" t="s">
        <v>145</v>
      </c>
      <c r="AC569" s="42">
        <v>282.97000000000003</v>
      </c>
    </row>
    <row r="570" spans="3:29">
      <c r="C570" t="s">
        <v>115</v>
      </c>
      <c r="D570">
        <v>2046</v>
      </c>
      <c r="E570" t="s">
        <v>145</v>
      </c>
      <c r="F570">
        <v>1.62</v>
      </c>
      <c r="J570" s="18" t="s">
        <v>51</v>
      </c>
      <c r="K570" s="18">
        <v>2038</v>
      </c>
      <c r="L570" s="18" t="s">
        <v>174</v>
      </c>
      <c r="M570" s="18">
        <v>838.04</v>
      </c>
      <c r="P570" s="18" t="s">
        <v>51</v>
      </c>
      <c r="Q570" s="18">
        <v>2038</v>
      </c>
      <c r="R570" s="18" t="s">
        <v>175</v>
      </c>
      <c r="S570" s="18">
        <f t="shared" si="34"/>
        <v>0</v>
      </c>
      <c r="U570">
        <v>41.902000000000001</v>
      </c>
      <c r="Z570" s="42" t="s">
        <v>124</v>
      </c>
      <c r="AA570" s="42">
        <v>2024</v>
      </c>
      <c r="AB570" s="42" t="s">
        <v>146</v>
      </c>
      <c r="AC570" s="42">
        <v>38.14</v>
      </c>
    </row>
    <row r="571" spans="3:29">
      <c r="C571" t="s">
        <v>115</v>
      </c>
      <c r="D571">
        <v>2046</v>
      </c>
      <c r="E571" t="s">
        <v>141</v>
      </c>
      <c r="F571">
        <v>434</v>
      </c>
      <c r="J571" s="18" t="s">
        <v>51</v>
      </c>
      <c r="K571" s="18">
        <v>2039</v>
      </c>
      <c r="L571" s="18" t="s">
        <v>174</v>
      </c>
      <c r="M571" s="18">
        <v>849.02</v>
      </c>
      <c r="P571" s="18" t="s">
        <v>51</v>
      </c>
      <c r="Q571" s="18">
        <v>2039</v>
      </c>
      <c r="R571" s="18" t="s">
        <v>175</v>
      </c>
      <c r="S571" s="18">
        <f t="shared" si="34"/>
        <v>0</v>
      </c>
      <c r="U571">
        <v>42.451000000000001</v>
      </c>
      <c r="Z571" s="42" t="s">
        <v>124</v>
      </c>
      <c r="AA571" s="42">
        <v>2024</v>
      </c>
      <c r="AB571" s="42" t="s">
        <v>147</v>
      </c>
      <c r="AC571" s="42">
        <v>47.91</v>
      </c>
    </row>
    <row r="572" spans="3:29">
      <c r="C572" t="s">
        <v>115</v>
      </c>
      <c r="D572">
        <v>2046</v>
      </c>
      <c r="E572" t="s">
        <v>142</v>
      </c>
      <c r="F572">
        <v>649.15</v>
      </c>
      <c r="J572" s="18" t="s">
        <v>51</v>
      </c>
      <c r="K572" s="18">
        <v>2040</v>
      </c>
      <c r="L572" s="18" t="s">
        <v>174</v>
      </c>
      <c r="M572" s="18">
        <v>860.38</v>
      </c>
      <c r="P572" s="18" t="s">
        <v>51</v>
      </c>
      <c r="Q572" s="18">
        <v>2040</v>
      </c>
      <c r="R572" s="18" t="s">
        <v>175</v>
      </c>
      <c r="S572" s="18">
        <f t="shared" si="34"/>
        <v>43.018999999999998</v>
      </c>
      <c r="U572">
        <v>43.018999999999998</v>
      </c>
      <c r="Z572" s="42" t="s">
        <v>124</v>
      </c>
      <c r="AA572" s="42">
        <v>2024</v>
      </c>
      <c r="AB572" s="42" t="s">
        <v>145</v>
      </c>
      <c r="AC572" s="42">
        <v>290.44</v>
      </c>
    </row>
    <row r="573" spans="3:29">
      <c r="C573" t="s">
        <v>115</v>
      </c>
      <c r="D573">
        <v>2046</v>
      </c>
      <c r="E573" t="s">
        <v>143</v>
      </c>
      <c r="F573">
        <v>291.42</v>
      </c>
      <c r="J573" s="18" t="s">
        <v>51</v>
      </c>
      <c r="K573" s="18">
        <v>2041</v>
      </c>
      <c r="L573" s="18" t="s">
        <v>174</v>
      </c>
      <c r="M573" s="18">
        <v>872.35</v>
      </c>
      <c r="P573" s="18" t="s">
        <v>51</v>
      </c>
      <c r="Q573" s="18">
        <v>2041</v>
      </c>
      <c r="R573" s="18" t="s">
        <v>175</v>
      </c>
      <c r="S573" s="18">
        <f t="shared" si="34"/>
        <v>43.6175</v>
      </c>
      <c r="U573">
        <v>43.6175</v>
      </c>
      <c r="Z573" s="42" t="s">
        <v>124</v>
      </c>
      <c r="AA573" s="42">
        <v>2025</v>
      </c>
      <c r="AB573" s="42" t="s">
        <v>146</v>
      </c>
      <c r="AC573" s="42">
        <v>38.24</v>
      </c>
    </row>
    <row r="574" spans="3:29">
      <c r="C574" t="s">
        <v>115</v>
      </c>
      <c r="D574">
        <v>2046</v>
      </c>
      <c r="E574" t="s">
        <v>144</v>
      </c>
      <c r="F574">
        <v>118.83</v>
      </c>
      <c r="J574" s="18" t="s">
        <v>51</v>
      </c>
      <c r="K574" s="18">
        <v>2042</v>
      </c>
      <c r="L574" s="18" t="s">
        <v>174</v>
      </c>
      <c r="M574" s="18">
        <v>885.45</v>
      </c>
      <c r="P574" s="18" t="s">
        <v>51</v>
      </c>
      <c r="Q574" s="18">
        <v>2042</v>
      </c>
      <c r="R574" s="18" t="s">
        <v>175</v>
      </c>
      <c r="S574" s="18">
        <f t="shared" si="34"/>
        <v>44.272500000000001</v>
      </c>
      <c r="U574">
        <v>44.272500000000001</v>
      </c>
      <c r="Z574" s="42" t="s">
        <v>124</v>
      </c>
      <c r="AA574" s="42">
        <v>2025</v>
      </c>
      <c r="AB574" s="42" t="s">
        <v>147</v>
      </c>
      <c r="AC574" s="42">
        <v>47.97</v>
      </c>
    </row>
    <row r="575" spans="3:29">
      <c r="C575" t="s">
        <v>115</v>
      </c>
      <c r="D575">
        <v>2047</v>
      </c>
      <c r="E575" t="s">
        <v>145</v>
      </c>
      <c r="F575">
        <v>1.63</v>
      </c>
      <c r="J575" s="18" t="s">
        <v>51</v>
      </c>
      <c r="K575" s="18">
        <v>2043</v>
      </c>
      <c r="L575" s="18" t="s">
        <v>174</v>
      </c>
      <c r="M575" s="18">
        <v>899.07</v>
      </c>
      <c r="P575" s="18" t="s">
        <v>51</v>
      </c>
      <c r="Q575" s="18">
        <v>2043</v>
      </c>
      <c r="R575" s="18" t="s">
        <v>175</v>
      </c>
      <c r="S575" s="18">
        <f t="shared" si="34"/>
        <v>44.953500000000005</v>
      </c>
      <c r="U575">
        <v>44.953500000000005</v>
      </c>
      <c r="Z575" s="42" t="s">
        <v>124</v>
      </c>
      <c r="AA575" s="42">
        <v>2025</v>
      </c>
      <c r="AB575" s="42" t="s">
        <v>145</v>
      </c>
      <c r="AC575" s="42">
        <v>297.86</v>
      </c>
    </row>
    <row r="576" spans="3:29">
      <c r="C576" t="s">
        <v>115</v>
      </c>
      <c r="D576">
        <v>2047</v>
      </c>
      <c r="E576" t="s">
        <v>141</v>
      </c>
      <c r="F576">
        <v>438.73</v>
      </c>
      <c r="J576" s="18" t="s">
        <v>51</v>
      </c>
      <c r="K576" s="18">
        <v>2044</v>
      </c>
      <c r="L576" s="18" t="s">
        <v>174</v>
      </c>
      <c r="M576" s="18">
        <v>912.82</v>
      </c>
      <c r="P576" s="18" t="s">
        <v>51</v>
      </c>
      <c r="Q576" s="18">
        <v>2044</v>
      </c>
      <c r="R576" s="18" t="s">
        <v>175</v>
      </c>
      <c r="S576" s="18">
        <f t="shared" si="34"/>
        <v>45.641000000000005</v>
      </c>
      <c r="U576">
        <v>45.641000000000005</v>
      </c>
      <c r="Z576" s="42" t="s">
        <v>124</v>
      </c>
      <c r="AA576" s="42">
        <v>2026</v>
      </c>
      <c r="AB576" s="42" t="s">
        <v>146</v>
      </c>
      <c r="AC576" s="42">
        <v>38.340000000000003</v>
      </c>
    </row>
    <row r="577" spans="3:29">
      <c r="C577" t="s">
        <v>115</v>
      </c>
      <c r="D577">
        <v>2047</v>
      </c>
      <c r="E577" t="s">
        <v>142</v>
      </c>
      <c r="F577">
        <v>657.9</v>
      </c>
      <c r="J577" s="18" t="s">
        <v>51</v>
      </c>
      <c r="K577" s="18">
        <v>2045</v>
      </c>
      <c r="L577" s="18" t="s">
        <v>174</v>
      </c>
      <c r="M577" s="18">
        <v>926.17</v>
      </c>
      <c r="P577" s="18" t="s">
        <v>51</v>
      </c>
      <c r="Q577" s="18">
        <v>2045</v>
      </c>
      <c r="R577" s="18" t="s">
        <v>175</v>
      </c>
      <c r="S577" s="18">
        <f t="shared" si="34"/>
        <v>46.308499999999995</v>
      </c>
      <c r="U577">
        <v>46.308499999999995</v>
      </c>
      <c r="Z577" s="42" t="s">
        <v>124</v>
      </c>
      <c r="AA577" s="42">
        <v>2026</v>
      </c>
      <c r="AB577" s="42" t="s">
        <v>147</v>
      </c>
      <c r="AC577" s="42">
        <v>48.04</v>
      </c>
    </row>
    <row r="578" spans="3:29">
      <c r="C578" t="s">
        <v>115</v>
      </c>
      <c r="D578">
        <v>2047</v>
      </c>
      <c r="E578" t="s">
        <v>143</v>
      </c>
      <c r="F578">
        <v>292.18</v>
      </c>
      <c r="J578" s="18" t="s">
        <v>51</v>
      </c>
      <c r="K578" s="18">
        <v>2046</v>
      </c>
      <c r="L578" s="18" t="s">
        <v>174</v>
      </c>
      <c r="M578" s="18">
        <v>939.18</v>
      </c>
      <c r="P578" s="18" t="s">
        <v>51</v>
      </c>
      <c r="Q578" s="18">
        <v>2046</v>
      </c>
      <c r="R578" s="18" t="s">
        <v>175</v>
      </c>
      <c r="S578" s="18">
        <f t="shared" si="34"/>
        <v>46.958999999999996</v>
      </c>
      <c r="U578">
        <v>46.958999999999996</v>
      </c>
      <c r="Z578" s="42" t="s">
        <v>124</v>
      </c>
      <c r="AA578" s="42">
        <v>2026</v>
      </c>
      <c r="AB578" s="42" t="s">
        <v>145</v>
      </c>
      <c r="AC578" s="42">
        <v>304.79000000000002</v>
      </c>
    </row>
    <row r="579" spans="3:29">
      <c r="C579" t="s">
        <v>115</v>
      </c>
      <c r="D579">
        <v>2047</v>
      </c>
      <c r="E579" t="s">
        <v>144</v>
      </c>
      <c r="F579">
        <v>121.32</v>
      </c>
      <c r="J579" s="18" t="s">
        <v>51</v>
      </c>
      <c r="K579" s="18">
        <v>2047</v>
      </c>
      <c r="L579" s="18" t="s">
        <v>174</v>
      </c>
      <c r="M579" s="18">
        <v>952.05</v>
      </c>
      <c r="P579" s="18" t="s">
        <v>51</v>
      </c>
      <c r="Q579" s="18">
        <v>2047</v>
      </c>
      <c r="R579" s="18" t="s">
        <v>175</v>
      </c>
      <c r="S579" s="18">
        <f t="shared" si="34"/>
        <v>47.602499999999999</v>
      </c>
      <c r="U579">
        <v>47.602499999999999</v>
      </c>
      <c r="Z579" s="42" t="s">
        <v>124</v>
      </c>
      <c r="AA579" s="42">
        <v>2027</v>
      </c>
      <c r="AB579" s="42" t="s">
        <v>146</v>
      </c>
      <c r="AC579" s="42">
        <v>38.44</v>
      </c>
    </row>
    <row r="580" spans="3:29">
      <c r="C580" t="s">
        <v>115</v>
      </c>
      <c r="D580">
        <v>2048</v>
      </c>
      <c r="E580" t="s">
        <v>145</v>
      </c>
      <c r="F580">
        <v>1.65</v>
      </c>
      <c r="J580" s="18" t="s">
        <v>51</v>
      </c>
      <c r="K580" s="18">
        <v>2048</v>
      </c>
      <c r="L580" s="18" t="s">
        <v>174</v>
      </c>
      <c r="M580" s="18">
        <v>965.38</v>
      </c>
      <c r="P580" s="18" t="s">
        <v>51</v>
      </c>
      <c r="Q580" s="18">
        <v>2048</v>
      </c>
      <c r="R580" s="18" t="s">
        <v>175</v>
      </c>
      <c r="S580" s="18">
        <f t="shared" si="34"/>
        <v>48.268999999999998</v>
      </c>
      <c r="U580">
        <v>48.268999999999998</v>
      </c>
      <c r="Z580" s="42" t="s">
        <v>124</v>
      </c>
      <c r="AA580" s="42">
        <v>2027</v>
      </c>
      <c r="AB580" s="42" t="s">
        <v>147</v>
      </c>
      <c r="AC580" s="42">
        <v>48.09</v>
      </c>
    </row>
    <row r="581" spans="3:29">
      <c r="C581" t="s">
        <v>115</v>
      </c>
      <c r="D581">
        <v>2048</v>
      </c>
      <c r="E581" t="s">
        <v>141</v>
      </c>
      <c r="F581">
        <v>443.6</v>
      </c>
      <c r="J581" s="18" t="s">
        <v>51</v>
      </c>
      <c r="K581" s="18">
        <v>2049</v>
      </c>
      <c r="L581" s="18" t="s">
        <v>174</v>
      </c>
      <c r="M581" s="18">
        <v>978.73</v>
      </c>
      <c r="P581" s="18" t="s">
        <v>51</v>
      </c>
      <c r="Q581" s="18">
        <v>2049</v>
      </c>
      <c r="R581" s="18" t="s">
        <v>175</v>
      </c>
      <c r="S581" s="18">
        <f t="shared" si="34"/>
        <v>48.936500000000002</v>
      </c>
      <c r="U581">
        <v>48.936500000000002</v>
      </c>
      <c r="Z581" s="42" t="s">
        <v>124</v>
      </c>
      <c r="AA581" s="42">
        <v>2027</v>
      </c>
      <c r="AB581" s="42" t="s">
        <v>145</v>
      </c>
      <c r="AC581" s="42">
        <v>311.92</v>
      </c>
    </row>
    <row r="582" spans="3:29">
      <c r="C582" t="s">
        <v>115</v>
      </c>
      <c r="D582">
        <v>2048</v>
      </c>
      <c r="E582" t="s">
        <v>142</v>
      </c>
      <c r="F582">
        <v>668.41</v>
      </c>
      <c r="J582" s="18" t="s">
        <v>51</v>
      </c>
      <c r="K582" s="18">
        <v>2050</v>
      </c>
      <c r="L582" s="18" t="s">
        <v>174</v>
      </c>
      <c r="M582" s="18">
        <v>991.43</v>
      </c>
      <c r="P582" s="18" t="s">
        <v>51</v>
      </c>
      <c r="Q582" s="18">
        <v>2050</v>
      </c>
      <c r="R582" s="18" t="s">
        <v>175</v>
      </c>
      <c r="S582" s="18">
        <f t="shared" si="34"/>
        <v>49.5715</v>
      </c>
      <c r="U582">
        <v>49.5715</v>
      </c>
      <c r="Z582" s="42" t="s">
        <v>124</v>
      </c>
      <c r="AA582" s="42">
        <v>2028</v>
      </c>
      <c r="AB582" s="42" t="s">
        <v>146</v>
      </c>
      <c r="AC582" s="42">
        <v>38.53</v>
      </c>
    </row>
    <row r="583" spans="3:29">
      <c r="C583" t="s">
        <v>115</v>
      </c>
      <c r="D583">
        <v>2048</v>
      </c>
      <c r="E583" t="s">
        <v>143</v>
      </c>
      <c r="F583">
        <v>292.99</v>
      </c>
      <c r="J583" s="18" t="s">
        <v>125</v>
      </c>
      <c r="K583" s="18">
        <v>2010</v>
      </c>
      <c r="L583" s="18" t="s">
        <v>174</v>
      </c>
      <c r="M583" s="18">
        <v>256.31</v>
      </c>
      <c r="P583" s="18" t="s">
        <v>125</v>
      </c>
      <c r="Q583" s="18">
        <v>2010</v>
      </c>
      <c r="R583" s="18" t="s">
        <v>175</v>
      </c>
      <c r="S583" s="18">
        <f t="shared" si="34"/>
        <v>0</v>
      </c>
      <c r="U583">
        <v>12.8155</v>
      </c>
      <c r="Z583" s="42" t="s">
        <v>124</v>
      </c>
      <c r="AA583" s="42">
        <v>2028</v>
      </c>
      <c r="AB583" s="42" t="s">
        <v>147</v>
      </c>
      <c r="AC583" s="42">
        <v>48.15</v>
      </c>
    </row>
    <row r="584" spans="3:29">
      <c r="C584" t="s">
        <v>115</v>
      </c>
      <c r="D584">
        <v>2048</v>
      </c>
      <c r="E584" t="s">
        <v>144</v>
      </c>
      <c r="F584">
        <v>123.62</v>
      </c>
      <c r="J584" s="18" t="s">
        <v>125</v>
      </c>
      <c r="K584" s="18">
        <v>2011</v>
      </c>
      <c r="L584" s="18" t="s">
        <v>174</v>
      </c>
      <c r="M584" s="18">
        <v>293.05</v>
      </c>
      <c r="P584" s="18" t="s">
        <v>125</v>
      </c>
      <c r="Q584" s="18">
        <v>2011</v>
      </c>
      <c r="R584" s="18" t="s">
        <v>175</v>
      </c>
      <c r="S584" s="18">
        <f t="shared" si="34"/>
        <v>0</v>
      </c>
      <c r="U584">
        <v>14.6525</v>
      </c>
      <c r="Z584" s="42" t="s">
        <v>124</v>
      </c>
      <c r="AA584" s="42">
        <v>2028</v>
      </c>
      <c r="AB584" s="42" t="s">
        <v>145</v>
      </c>
      <c r="AC584" s="42">
        <v>319.33</v>
      </c>
    </row>
    <row r="585" spans="3:29">
      <c r="C585" t="s">
        <v>115</v>
      </c>
      <c r="D585">
        <v>2049</v>
      </c>
      <c r="E585" t="s">
        <v>145</v>
      </c>
      <c r="F585">
        <v>1.66</v>
      </c>
      <c r="J585" s="18" t="s">
        <v>125</v>
      </c>
      <c r="K585" s="18">
        <v>2012</v>
      </c>
      <c r="L585" s="18" t="s">
        <v>174</v>
      </c>
      <c r="M585" s="18">
        <v>289.2</v>
      </c>
      <c r="P585" s="18" t="s">
        <v>125</v>
      </c>
      <c r="Q585" s="18">
        <v>2012</v>
      </c>
      <c r="R585" s="18" t="s">
        <v>175</v>
      </c>
      <c r="S585" s="18">
        <f t="shared" si="34"/>
        <v>0</v>
      </c>
      <c r="U585">
        <v>14.459999999999999</v>
      </c>
      <c r="Z585" s="42" t="s">
        <v>124</v>
      </c>
      <c r="AA585" s="42">
        <v>2029</v>
      </c>
      <c r="AB585" s="42" t="s">
        <v>146</v>
      </c>
      <c r="AC585" s="42">
        <v>38.619999999999997</v>
      </c>
    </row>
    <row r="586" spans="3:29">
      <c r="C586" t="s">
        <v>115</v>
      </c>
      <c r="D586">
        <v>2049</v>
      </c>
      <c r="E586" t="s">
        <v>141</v>
      </c>
      <c r="F586">
        <v>448.46</v>
      </c>
      <c r="J586" s="18" t="s">
        <v>125</v>
      </c>
      <c r="K586" s="18">
        <v>2013</v>
      </c>
      <c r="L586" s="18" t="s">
        <v>174</v>
      </c>
      <c r="M586" s="18">
        <v>310.07</v>
      </c>
      <c r="P586" s="18" t="s">
        <v>125</v>
      </c>
      <c r="Q586" s="18">
        <v>2013</v>
      </c>
      <c r="R586" s="18" t="s">
        <v>175</v>
      </c>
      <c r="S586" s="18">
        <f t="shared" ref="S586:S649" si="35">IF(Q586&lt;2040, 0,U586)</f>
        <v>0</v>
      </c>
      <c r="U586">
        <v>15.503499999999999</v>
      </c>
      <c r="Z586" s="42" t="s">
        <v>124</v>
      </c>
      <c r="AA586" s="42">
        <v>2029</v>
      </c>
      <c r="AB586" s="42" t="s">
        <v>147</v>
      </c>
      <c r="AC586" s="42">
        <v>48.2</v>
      </c>
    </row>
    <row r="587" spans="3:29">
      <c r="C587" t="s">
        <v>115</v>
      </c>
      <c r="D587">
        <v>2049</v>
      </c>
      <c r="E587" t="s">
        <v>142</v>
      </c>
      <c r="F587">
        <v>677.59</v>
      </c>
      <c r="J587" s="18" t="s">
        <v>125</v>
      </c>
      <c r="K587" s="18">
        <v>2014</v>
      </c>
      <c r="L587" s="18" t="s">
        <v>174</v>
      </c>
      <c r="M587" s="18">
        <v>316.19</v>
      </c>
      <c r="P587" s="18" t="s">
        <v>125</v>
      </c>
      <c r="Q587" s="18">
        <v>2014</v>
      </c>
      <c r="R587" s="18" t="s">
        <v>175</v>
      </c>
      <c r="S587" s="18">
        <f t="shared" si="35"/>
        <v>0</v>
      </c>
      <c r="U587">
        <v>15.8095</v>
      </c>
      <c r="Z587" s="42" t="s">
        <v>124</v>
      </c>
      <c r="AA587" s="42">
        <v>2029</v>
      </c>
      <c r="AB587" s="42" t="s">
        <v>145</v>
      </c>
      <c r="AC587" s="42">
        <v>326.93</v>
      </c>
    </row>
    <row r="588" spans="3:29">
      <c r="C588" t="s">
        <v>115</v>
      </c>
      <c r="D588">
        <v>2049</v>
      </c>
      <c r="E588" t="s">
        <v>143</v>
      </c>
      <c r="F588">
        <v>293.77</v>
      </c>
      <c r="J588" s="18" t="s">
        <v>125</v>
      </c>
      <c r="K588" s="18">
        <v>2015</v>
      </c>
      <c r="L588" s="18" t="s">
        <v>174</v>
      </c>
      <c r="M588" s="18">
        <v>308.22000000000003</v>
      </c>
      <c r="P588" s="18" t="s">
        <v>125</v>
      </c>
      <c r="Q588" s="18">
        <v>2015</v>
      </c>
      <c r="R588" s="18" t="s">
        <v>175</v>
      </c>
      <c r="S588" s="18">
        <f t="shared" si="35"/>
        <v>0</v>
      </c>
      <c r="U588">
        <v>15.411000000000001</v>
      </c>
      <c r="Z588" s="42" t="s">
        <v>124</v>
      </c>
      <c r="AA588" s="42">
        <v>2030</v>
      </c>
      <c r="AB588" s="42" t="s">
        <v>146</v>
      </c>
      <c r="AC588" s="42">
        <v>38.71</v>
      </c>
    </row>
    <row r="589" spans="3:29">
      <c r="C589" t="s">
        <v>115</v>
      </c>
      <c r="D589">
        <v>2049</v>
      </c>
      <c r="E589" t="s">
        <v>144</v>
      </c>
      <c r="F589">
        <v>125.76</v>
      </c>
      <c r="J589" s="18" t="s">
        <v>125</v>
      </c>
      <c r="K589" s="18">
        <v>2016</v>
      </c>
      <c r="L589" s="18" t="s">
        <v>174</v>
      </c>
      <c r="M589" s="18">
        <v>309.95</v>
      </c>
      <c r="P589" s="18" t="s">
        <v>125</v>
      </c>
      <c r="Q589" s="18">
        <v>2016</v>
      </c>
      <c r="R589" s="18" t="s">
        <v>175</v>
      </c>
      <c r="S589" s="18">
        <f t="shared" si="35"/>
        <v>0</v>
      </c>
      <c r="U589">
        <v>15.497499999999999</v>
      </c>
      <c r="Z589" s="42" t="s">
        <v>124</v>
      </c>
      <c r="AA589" s="42">
        <v>2030</v>
      </c>
      <c r="AB589" s="42" t="s">
        <v>147</v>
      </c>
      <c r="AC589" s="42">
        <v>48.26</v>
      </c>
    </row>
    <row r="590" spans="3:29">
      <c r="C590" t="s">
        <v>115</v>
      </c>
      <c r="D590">
        <v>2050</v>
      </c>
      <c r="E590" t="s">
        <v>145</v>
      </c>
      <c r="F590">
        <v>1.67</v>
      </c>
      <c r="J590" s="18" t="s">
        <v>125</v>
      </c>
      <c r="K590" s="18">
        <v>2017</v>
      </c>
      <c r="L590" s="18" t="s">
        <v>174</v>
      </c>
      <c r="M590" s="18">
        <v>319.23</v>
      </c>
      <c r="P590" s="18" t="s">
        <v>125</v>
      </c>
      <c r="Q590" s="18">
        <v>2017</v>
      </c>
      <c r="R590" s="18" t="s">
        <v>175</v>
      </c>
      <c r="S590" s="18">
        <f t="shared" si="35"/>
        <v>0</v>
      </c>
      <c r="U590">
        <v>15.961500000000001</v>
      </c>
      <c r="Z590" s="42" t="s">
        <v>124</v>
      </c>
      <c r="AA590" s="42">
        <v>2030</v>
      </c>
      <c r="AB590" s="42" t="s">
        <v>145</v>
      </c>
      <c r="AC590" s="42">
        <v>334.74</v>
      </c>
    </row>
    <row r="591" spans="3:29">
      <c r="C591" t="s">
        <v>115</v>
      </c>
      <c r="D591">
        <v>2050</v>
      </c>
      <c r="E591" t="s">
        <v>141</v>
      </c>
      <c r="F591">
        <v>453.46</v>
      </c>
      <c r="J591" s="18" t="s">
        <v>125</v>
      </c>
      <c r="K591" s="18">
        <v>2018</v>
      </c>
      <c r="L591" s="18" t="s">
        <v>174</v>
      </c>
      <c r="M591" s="18">
        <v>328.9</v>
      </c>
      <c r="P591" s="18" t="s">
        <v>125</v>
      </c>
      <c r="Q591" s="18">
        <v>2018</v>
      </c>
      <c r="R591" s="18" t="s">
        <v>175</v>
      </c>
      <c r="S591" s="18">
        <f t="shared" si="35"/>
        <v>0</v>
      </c>
      <c r="U591">
        <v>16.445</v>
      </c>
      <c r="Z591" s="42" t="s">
        <v>124</v>
      </c>
      <c r="AA591" s="42">
        <v>2031</v>
      </c>
      <c r="AB591" s="42" t="s">
        <v>146</v>
      </c>
      <c r="AC591" s="42">
        <v>38.799999999999997</v>
      </c>
    </row>
    <row r="592" spans="3:29">
      <c r="C592" t="s">
        <v>115</v>
      </c>
      <c r="D592">
        <v>2050</v>
      </c>
      <c r="E592" t="s">
        <v>142</v>
      </c>
      <c r="F592">
        <v>686.71</v>
      </c>
      <c r="J592" s="18" t="s">
        <v>125</v>
      </c>
      <c r="K592" s="18">
        <v>2019</v>
      </c>
      <c r="L592" s="18" t="s">
        <v>174</v>
      </c>
      <c r="M592" s="18">
        <v>336.55</v>
      </c>
      <c r="P592" s="18" t="s">
        <v>125</v>
      </c>
      <c r="Q592" s="18">
        <v>2019</v>
      </c>
      <c r="R592" s="18" t="s">
        <v>175</v>
      </c>
      <c r="S592" s="18">
        <f t="shared" si="35"/>
        <v>0</v>
      </c>
      <c r="U592">
        <v>16.827500000000001</v>
      </c>
      <c r="Z592" s="42" t="s">
        <v>124</v>
      </c>
      <c r="AA592" s="42">
        <v>2031</v>
      </c>
      <c r="AB592" s="42" t="s">
        <v>147</v>
      </c>
      <c r="AC592" s="42">
        <v>48.31</v>
      </c>
    </row>
    <row r="593" spans="3:29">
      <c r="C593" t="s">
        <v>115</v>
      </c>
      <c r="D593">
        <v>2050</v>
      </c>
      <c r="E593" t="s">
        <v>143</v>
      </c>
      <c r="F593">
        <v>294.56</v>
      </c>
      <c r="J593" s="18" t="s">
        <v>125</v>
      </c>
      <c r="K593" s="18">
        <v>2020</v>
      </c>
      <c r="L593" s="18" t="s">
        <v>174</v>
      </c>
      <c r="M593" s="18">
        <v>343.45</v>
      </c>
      <c r="P593" s="18" t="s">
        <v>125</v>
      </c>
      <c r="Q593" s="18">
        <v>2020</v>
      </c>
      <c r="R593" s="18" t="s">
        <v>175</v>
      </c>
      <c r="S593" s="18">
        <f t="shared" si="35"/>
        <v>0</v>
      </c>
      <c r="U593">
        <v>17.172499999999999</v>
      </c>
      <c r="Z593" s="42" t="s">
        <v>124</v>
      </c>
      <c r="AA593" s="42">
        <v>2031</v>
      </c>
      <c r="AB593" s="42" t="s">
        <v>145</v>
      </c>
      <c r="AC593" s="42">
        <v>343.02</v>
      </c>
    </row>
    <row r="594" spans="3:29">
      <c r="C594" t="s">
        <v>115</v>
      </c>
      <c r="D594">
        <v>2050</v>
      </c>
      <c r="E594" t="s">
        <v>144</v>
      </c>
      <c r="F594">
        <v>127.71</v>
      </c>
      <c r="J594" s="18" t="s">
        <v>125</v>
      </c>
      <c r="K594" s="18">
        <v>2021</v>
      </c>
      <c r="L594" s="18" t="s">
        <v>174</v>
      </c>
      <c r="M594" s="18">
        <v>352.88</v>
      </c>
      <c r="P594" s="18" t="s">
        <v>125</v>
      </c>
      <c r="Q594" s="18">
        <v>2021</v>
      </c>
      <c r="R594" s="18" t="s">
        <v>175</v>
      </c>
      <c r="S594" s="18">
        <f t="shared" si="35"/>
        <v>0</v>
      </c>
      <c r="U594">
        <v>17.643999999999998</v>
      </c>
      <c r="Z594" s="42" t="s">
        <v>124</v>
      </c>
      <c r="AA594" s="42">
        <v>2032</v>
      </c>
      <c r="AB594" s="42" t="s">
        <v>146</v>
      </c>
      <c r="AC594" s="42">
        <v>38.880000000000003</v>
      </c>
    </row>
    <row r="595" spans="3:29">
      <c r="C595" t="s">
        <v>116</v>
      </c>
      <c r="D595">
        <v>2010</v>
      </c>
      <c r="E595" t="s">
        <v>141</v>
      </c>
      <c r="F595">
        <v>423.4</v>
      </c>
      <c r="J595" s="18" t="s">
        <v>125</v>
      </c>
      <c r="K595" s="18">
        <v>2022</v>
      </c>
      <c r="L595" s="18" t="s">
        <v>174</v>
      </c>
      <c r="M595" s="18">
        <v>362.56</v>
      </c>
      <c r="P595" s="18" t="s">
        <v>125</v>
      </c>
      <c r="Q595" s="18">
        <v>2022</v>
      </c>
      <c r="R595" s="18" t="s">
        <v>175</v>
      </c>
      <c r="S595" s="18">
        <f t="shared" si="35"/>
        <v>0</v>
      </c>
      <c r="U595">
        <v>18.128</v>
      </c>
      <c r="Z595" s="42" t="s">
        <v>124</v>
      </c>
      <c r="AA595" s="42">
        <v>2032</v>
      </c>
      <c r="AB595" s="42" t="s">
        <v>147</v>
      </c>
      <c r="AC595" s="42">
        <v>48.36</v>
      </c>
    </row>
    <row r="596" spans="3:29">
      <c r="C596" t="s">
        <v>116</v>
      </c>
      <c r="D596">
        <v>2010</v>
      </c>
      <c r="E596" t="s">
        <v>142</v>
      </c>
      <c r="F596">
        <v>694.26</v>
      </c>
      <c r="J596" s="18" t="s">
        <v>125</v>
      </c>
      <c r="K596" s="18">
        <v>2023</v>
      </c>
      <c r="L596" s="18" t="s">
        <v>174</v>
      </c>
      <c r="M596" s="18">
        <v>372.54</v>
      </c>
      <c r="P596" s="18" t="s">
        <v>125</v>
      </c>
      <c r="Q596" s="18">
        <v>2023</v>
      </c>
      <c r="R596" s="18" t="s">
        <v>175</v>
      </c>
      <c r="S596" s="18">
        <f t="shared" si="35"/>
        <v>0</v>
      </c>
      <c r="U596">
        <v>18.627000000000002</v>
      </c>
      <c r="Z596" s="42" t="s">
        <v>124</v>
      </c>
      <c r="AA596" s="42">
        <v>2032</v>
      </c>
      <c r="AB596" s="42" t="s">
        <v>145</v>
      </c>
      <c r="AC596" s="42">
        <v>351.17</v>
      </c>
    </row>
    <row r="597" spans="3:29">
      <c r="C597" t="s">
        <v>116</v>
      </c>
      <c r="D597">
        <v>2010</v>
      </c>
      <c r="E597" t="s">
        <v>143</v>
      </c>
      <c r="F597">
        <v>430.41</v>
      </c>
      <c r="J597" s="18" t="s">
        <v>125</v>
      </c>
      <c r="K597" s="18">
        <v>2024</v>
      </c>
      <c r="L597" s="18" t="s">
        <v>174</v>
      </c>
      <c r="M597" s="18">
        <v>382.65</v>
      </c>
      <c r="P597" s="18" t="s">
        <v>125</v>
      </c>
      <c r="Q597" s="18">
        <v>2024</v>
      </c>
      <c r="R597" s="18" t="s">
        <v>175</v>
      </c>
      <c r="S597" s="18">
        <f t="shared" si="35"/>
        <v>0</v>
      </c>
      <c r="U597">
        <v>19.1325</v>
      </c>
      <c r="Z597" s="42" t="s">
        <v>124</v>
      </c>
      <c r="AA597" s="42">
        <v>2033</v>
      </c>
      <c r="AB597" s="42" t="s">
        <v>146</v>
      </c>
      <c r="AC597" s="42">
        <v>38.97</v>
      </c>
    </row>
    <row r="598" spans="3:29">
      <c r="C598" t="s">
        <v>116</v>
      </c>
      <c r="D598">
        <v>2010</v>
      </c>
      <c r="E598" t="s">
        <v>144</v>
      </c>
      <c r="F598">
        <v>6.6</v>
      </c>
      <c r="J598" s="18" t="s">
        <v>125</v>
      </c>
      <c r="K598" s="18">
        <v>2025</v>
      </c>
      <c r="L598" s="18" t="s">
        <v>174</v>
      </c>
      <c r="M598" s="18">
        <v>393.01</v>
      </c>
      <c r="P598" s="18" t="s">
        <v>125</v>
      </c>
      <c r="Q598" s="18">
        <v>2025</v>
      </c>
      <c r="R598" s="18" t="s">
        <v>175</v>
      </c>
      <c r="S598" s="18">
        <f t="shared" si="35"/>
        <v>0</v>
      </c>
      <c r="U598">
        <v>19.650500000000001</v>
      </c>
      <c r="Z598" s="42" t="s">
        <v>124</v>
      </c>
      <c r="AA598" s="42">
        <v>2033</v>
      </c>
      <c r="AB598" s="42" t="s">
        <v>147</v>
      </c>
      <c r="AC598" s="42">
        <v>48.41</v>
      </c>
    </row>
    <row r="599" spans="3:29">
      <c r="C599" t="s">
        <v>116</v>
      </c>
      <c r="D599">
        <v>2011</v>
      </c>
      <c r="E599" t="s">
        <v>141</v>
      </c>
      <c r="F599">
        <v>446.96</v>
      </c>
      <c r="J599" s="18" t="s">
        <v>125</v>
      </c>
      <c r="K599" s="18">
        <v>2026</v>
      </c>
      <c r="L599" s="18" t="s">
        <v>174</v>
      </c>
      <c r="M599" s="18">
        <v>402.87</v>
      </c>
      <c r="P599" s="18" t="s">
        <v>125</v>
      </c>
      <c r="Q599" s="18">
        <v>2026</v>
      </c>
      <c r="R599" s="18" t="s">
        <v>175</v>
      </c>
      <c r="S599" s="18">
        <f t="shared" si="35"/>
        <v>0</v>
      </c>
      <c r="U599">
        <v>20.1435</v>
      </c>
      <c r="Z599" s="42" t="s">
        <v>124</v>
      </c>
      <c r="AA599" s="42">
        <v>2033</v>
      </c>
      <c r="AB599" s="42" t="s">
        <v>145</v>
      </c>
      <c r="AC599" s="42">
        <v>359.2</v>
      </c>
    </row>
    <row r="600" spans="3:29">
      <c r="C600" t="s">
        <v>116</v>
      </c>
      <c r="D600">
        <v>2011</v>
      </c>
      <c r="E600" t="s">
        <v>142</v>
      </c>
      <c r="F600">
        <v>705.65</v>
      </c>
      <c r="J600" s="18" t="s">
        <v>125</v>
      </c>
      <c r="K600" s="18">
        <v>2027</v>
      </c>
      <c r="L600" s="18" t="s">
        <v>174</v>
      </c>
      <c r="M600" s="18">
        <v>413.02</v>
      </c>
      <c r="P600" s="18" t="s">
        <v>125</v>
      </c>
      <c r="Q600" s="18">
        <v>2027</v>
      </c>
      <c r="R600" s="18" t="s">
        <v>175</v>
      </c>
      <c r="S600" s="18">
        <f t="shared" si="35"/>
        <v>0</v>
      </c>
      <c r="U600">
        <v>20.651</v>
      </c>
      <c r="Z600" s="42" t="s">
        <v>124</v>
      </c>
      <c r="AA600" s="42">
        <v>2034</v>
      </c>
      <c r="AB600" s="42" t="s">
        <v>146</v>
      </c>
      <c r="AC600" s="42">
        <v>39.049999999999997</v>
      </c>
    </row>
    <row r="601" spans="3:29">
      <c r="C601" t="s">
        <v>116</v>
      </c>
      <c r="D601">
        <v>2011</v>
      </c>
      <c r="E601" t="s">
        <v>143</v>
      </c>
      <c r="F601">
        <v>445.94</v>
      </c>
      <c r="J601" s="18" t="s">
        <v>125</v>
      </c>
      <c r="K601" s="18">
        <v>2028</v>
      </c>
      <c r="L601" s="18" t="s">
        <v>174</v>
      </c>
      <c r="M601" s="18">
        <v>423.3</v>
      </c>
      <c r="P601" s="18" t="s">
        <v>125</v>
      </c>
      <c r="Q601" s="18">
        <v>2028</v>
      </c>
      <c r="R601" s="18" t="s">
        <v>175</v>
      </c>
      <c r="S601" s="18">
        <f t="shared" si="35"/>
        <v>0</v>
      </c>
      <c r="U601">
        <v>21.164999999999999</v>
      </c>
      <c r="Z601" s="42" t="s">
        <v>124</v>
      </c>
      <c r="AA601" s="42">
        <v>2034</v>
      </c>
      <c r="AB601" s="42" t="s">
        <v>147</v>
      </c>
      <c r="AC601" s="42">
        <v>48.46</v>
      </c>
    </row>
    <row r="602" spans="3:29">
      <c r="C602" t="s">
        <v>116</v>
      </c>
      <c r="D602">
        <v>2011</v>
      </c>
      <c r="E602" t="s">
        <v>144</v>
      </c>
      <c r="F602">
        <v>10.14</v>
      </c>
      <c r="J602" s="18" t="s">
        <v>125</v>
      </c>
      <c r="K602" s="18">
        <v>2029</v>
      </c>
      <c r="L602" s="18" t="s">
        <v>174</v>
      </c>
      <c r="M602" s="18">
        <v>433.64</v>
      </c>
      <c r="P602" s="18" t="s">
        <v>125</v>
      </c>
      <c r="Q602" s="18">
        <v>2029</v>
      </c>
      <c r="R602" s="18" t="s">
        <v>175</v>
      </c>
      <c r="S602" s="18">
        <f t="shared" si="35"/>
        <v>0</v>
      </c>
      <c r="U602">
        <v>21.681999999999999</v>
      </c>
      <c r="Z602" s="42" t="s">
        <v>124</v>
      </c>
      <c r="AA602" s="42">
        <v>2034</v>
      </c>
      <c r="AB602" s="42" t="s">
        <v>145</v>
      </c>
      <c r="AC602" s="42">
        <v>367.25</v>
      </c>
    </row>
    <row r="603" spans="3:29">
      <c r="C603" t="s">
        <v>116</v>
      </c>
      <c r="D603">
        <v>2012</v>
      </c>
      <c r="E603" t="s">
        <v>141</v>
      </c>
      <c r="F603">
        <v>474.77</v>
      </c>
      <c r="J603" s="18" t="s">
        <v>125</v>
      </c>
      <c r="K603" s="18">
        <v>2030</v>
      </c>
      <c r="L603" s="18" t="s">
        <v>174</v>
      </c>
      <c r="M603" s="18">
        <v>444.21</v>
      </c>
      <c r="P603" s="18" t="s">
        <v>125</v>
      </c>
      <c r="Q603" s="18">
        <v>2030</v>
      </c>
      <c r="R603" s="18" t="s">
        <v>175</v>
      </c>
      <c r="S603" s="18">
        <f t="shared" si="35"/>
        <v>0</v>
      </c>
      <c r="U603">
        <v>22.2105</v>
      </c>
      <c r="Z603" s="42" t="s">
        <v>124</v>
      </c>
      <c r="AA603" s="42">
        <v>2035</v>
      </c>
      <c r="AB603" s="42" t="s">
        <v>146</v>
      </c>
      <c r="AC603" s="42">
        <v>39.130000000000003</v>
      </c>
    </row>
    <row r="604" spans="3:29">
      <c r="C604" t="s">
        <v>116</v>
      </c>
      <c r="D604">
        <v>2012</v>
      </c>
      <c r="E604" t="s">
        <v>142</v>
      </c>
      <c r="F604">
        <v>714.95</v>
      </c>
      <c r="J604" s="18" t="s">
        <v>125</v>
      </c>
      <c r="K604" s="18">
        <v>2031</v>
      </c>
      <c r="L604" s="18" t="s">
        <v>174</v>
      </c>
      <c r="M604" s="18">
        <v>453.46</v>
      </c>
      <c r="P604" s="18" t="s">
        <v>125</v>
      </c>
      <c r="Q604" s="18">
        <v>2031</v>
      </c>
      <c r="R604" s="18" t="s">
        <v>175</v>
      </c>
      <c r="S604" s="18">
        <f t="shared" si="35"/>
        <v>0</v>
      </c>
      <c r="U604">
        <v>22.672999999999998</v>
      </c>
      <c r="Z604" s="42" t="s">
        <v>124</v>
      </c>
      <c r="AA604" s="42">
        <v>2035</v>
      </c>
      <c r="AB604" s="42" t="s">
        <v>147</v>
      </c>
      <c r="AC604" s="42">
        <v>48.51</v>
      </c>
    </row>
    <row r="605" spans="3:29">
      <c r="C605" t="s">
        <v>116</v>
      </c>
      <c r="D605">
        <v>2012</v>
      </c>
      <c r="E605" t="s">
        <v>143</v>
      </c>
      <c r="F605">
        <v>466.97</v>
      </c>
      <c r="J605" s="18" t="s">
        <v>125</v>
      </c>
      <c r="K605" s="18">
        <v>2032</v>
      </c>
      <c r="L605" s="18" t="s">
        <v>174</v>
      </c>
      <c r="M605" s="18">
        <v>462.89</v>
      </c>
      <c r="P605" s="18" t="s">
        <v>125</v>
      </c>
      <c r="Q605" s="18">
        <v>2032</v>
      </c>
      <c r="R605" s="18" t="s">
        <v>175</v>
      </c>
      <c r="S605" s="18">
        <f t="shared" si="35"/>
        <v>0</v>
      </c>
      <c r="U605">
        <v>23.144500000000001</v>
      </c>
      <c r="Z605" s="42" t="s">
        <v>124</v>
      </c>
      <c r="AA605" s="42">
        <v>2035</v>
      </c>
      <c r="AB605" s="42" t="s">
        <v>145</v>
      </c>
      <c r="AC605" s="42">
        <v>375.21</v>
      </c>
    </row>
    <row r="606" spans="3:29">
      <c r="C606" t="s">
        <v>116</v>
      </c>
      <c r="D606">
        <v>2012</v>
      </c>
      <c r="E606" t="s">
        <v>144</v>
      </c>
      <c r="F606">
        <v>11.03</v>
      </c>
      <c r="J606" s="18" t="s">
        <v>125</v>
      </c>
      <c r="K606" s="18">
        <v>2033</v>
      </c>
      <c r="L606" s="18" t="s">
        <v>174</v>
      </c>
      <c r="M606" s="18">
        <v>472.7</v>
      </c>
      <c r="P606" s="18" t="s">
        <v>125</v>
      </c>
      <c r="Q606" s="18">
        <v>2033</v>
      </c>
      <c r="R606" s="18" t="s">
        <v>175</v>
      </c>
      <c r="S606" s="18">
        <f t="shared" si="35"/>
        <v>0</v>
      </c>
      <c r="U606">
        <v>23.634999999999998</v>
      </c>
      <c r="Z606" s="42" t="s">
        <v>124</v>
      </c>
      <c r="AA606" s="42">
        <v>2036</v>
      </c>
      <c r="AB606" s="42" t="s">
        <v>146</v>
      </c>
      <c r="AC606" s="42">
        <v>39.21</v>
      </c>
    </row>
    <row r="607" spans="3:29">
      <c r="C607" t="s">
        <v>116</v>
      </c>
      <c r="D607">
        <v>2013</v>
      </c>
      <c r="E607" t="s">
        <v>141</v>
      </c>
      <c r="F607">
        <v>503.81</v>
      </c>
      <c r="J607" s="18" t="s">
        <v>125</v>
      </c>
      <c r="K607" s="18">
        <v>2034</v>
      </c>
      <c r="L607" s="18" t="s">
        <v>174</v>
      </c>
      <c r="M607" s="18">
        <v>482.99</v>
      </c>
      <c r="P607" s="18" t="s">
        <v>125</v>
      </c>
      <c r="Q607" s="18">
        <v>2034</v>
      </c>
      <c r="R607" s="18" t="s">
        <v>175</v>
      </c>
      <c r="S607" s="18">
        <f t="shared" si="35"/>
        <v>0</v>
      </c>
      <c r="U607">
        <v>24.1495</v>
      </c>
      <c r="Z607" s="42" t="s">
        <v>124</v>
      </c>
      <c r="AA607" s="42">
        <v>2036</v>
      </c>
      <c r="AB607" s="42" t="s">
        <v>147</v>
      </c>
      <c r="AC607" s="42">
        <v>48.56</v>
      </c>
    </row>
    <row r="608" spans="3:29">
      <c r="C608" t="s">
        <v>116</v>
      </c>
      <c r="D608">
        <v>2013</v>
      </c>
      <c r="E608" t="s">
        <v>142</v>
      </c>
      <c r="F608">
        <v>707.41</v>
      </c>
      <c r="J608" s="18" t="s">
        <v>125</v>
      </c>
      <c r="K608" s="18">
        <v>2035</v>
      </c>
      <c r="L608" s="18" t="s">
        <v>174</v>
      </c>
      <c r="M608" s="18">
        <v>493.35</v>
      </c>
      <c r="P608" s="18" t="s">
        <v>125</v>
      </c>
      <c r="Q608" s="18">
        <v>2035</v>
      </c>
      <c r="R608" s="18" t="s">
        <v>175</v>
      </c>
      <c r="S608" s="18">
        <f t="shared" si="35"/>
        <v>0</v>
      </c>
      <c r="U608">
        <v>24.6675</v>
      </c>
      <c r="Z608" s="42" t="s">
        <v>124</v>
      </c>
      <c r="AA608" s="42">
        <v>2036</v>
      </c>
      <c r="AB608" s="42" t="s">
        <v>145</v>
      </c>
      <c r="AC608" s="42">
        <v>382.99</v>
      </c>
    </row>
    <row r="609" spans="3:29">
      <c r="C609" t="s">
        <v>116</v>
      </c>
      <c r="D609">
        <v>2013</v>
      </c>
      <c r="E609" t="s">
        <v>143</v>
      </c>
      <c r="F609">
        <v>500.46</v>
      </c>
      <c r="J609" s="18" t="s">
        <v>125</v>
      </c>
      <c r="K609" s="18">
        <v>2036</v>
      </c>
      <c r="L609" s="18" t="s">
        <v>174</v>
      </c>
      <c r="M609" s="18">
        <v>504.01</v>
      </c>
      <c r="P609" s="18" t="s">
        <v>125</v>
      </c>
      <c r="Q609" s="18">
        <v>2036</v>
      </c>
      <c r="R609" s="18" t="s">
        <v>175</v>
      </c>
      <c r="S609" s="18">
        <f t="shared" si="35"/>
        <v>0</v>
      </c>
      <c r="U609">
        <v>25.200499999999998</v>
      </c>
      <c r="Z609" s="42" t="s">
        <v>124</v>
      </c>
      <c r="AA609" s="42">
        <v>2037</v>
      </c>
      <c r="AB609" s="42" t="s">
        <v>146</v>
      </c>
      <c r="AC609" s="42">
        <v>39.29</v>
      </c>
    </row>
    <row r="610" spans="3:29">
      <c r="C610" t="s">
        <v>116</v>
      </c>
      <c r="D610">
        <v>2013</v>
      </c>
      <c r="E610" t="s">
        <v>144</v>
      </c>
      <c r="F610">
        <v>10.39</v>
      </c>
      <c r="J610" s="18" t="s">
        <v>125</v>
      </c>
      <c r="K610" s="18">
        <v>2037</v>
      </c>
      <c r="L610" s="18" t="s">
        <v>174</v>
      </c>
      <c r="M610" s="18">
        <v>514.92999999999995</v>
      </c>
      <c r="P610" s="18" t="s">
        <v>125</v>
      </c>
      <c r="Q610" s="18">
        <v>2037</v>
      </c>
      <c r="R610" s="18" t="s">
        <v>175</v>
      </c>
      <c r="S610" s="18">
        <f t="shared" si="35"/>
        <v>0</v>
      </c>
      <c r="U610">
        <v>25.746499999999997</v>
      </c>
      <c r="Z610" s="42" t="s">
        <v>124</v>
      </c>
      <c r="AA610" s="42">
        <v>2037</v>
      </c>
      <c r="AB610" s="42" t="s">
        <v>147</v>
      </c>
      <c r="AC610" s="42">
        <v>48.61</v>
      </c>
    </row>
    <row r="611" spans="3:29">
      <c r="C611" t="s">
        <v>116</v>
      </c>
      <c r="D611">
        <v>2014</v>
      </c>
      <c r="E611" t="s">
        <v>141</v>
      </c>
      <c r="F611">
        <v>539.41999999999996</v>
      </c>
      <c r="J611" s="18" t="s">
        <v>125</v>
      </c>
      <c r="K611" s="18">
        <v>2038</v>
      </c>
      <c r="L611" s="18" t="s">
        <v>174</v>
      </c>
      <c r="M611" s="18">
        <v>526.23</v>
      </c>
      <c r="P611" s="18" t="s">
        <v>125</v>
      </c>
      <c r="Q611" s="18">
        <v>2038</v>
      </c>
      <c r="R611" s="18" t="s">
        <v>175</v>
      </c>
      <c r="S611" s="18">
        <f t="shared" si="35"/>
        <v>0</v>
      </c>
      <c r="U611">
        <v>26.311500000000002</v>
      </c>
      <c r="Z611" s="42" t="s">
        <v>124</v>
      </c>
      <c r="AA611" s="42">
        <v>2037</v>
      </c>
      <c r="AB611" s="42" t="s">
        <v>145</v>
      </c>
      <c r="AC611" s="42">
        <v>390.76</v>
      </c>
    </row>
    <row r="612" spans="3:29">
      <c r="C612" t="s">
        <v>116</v>
      </c>
      <c r="D612">
        <v>2014</v>
      </c>
      <c r="E612" t="s">
        <v>142</v>
      </c>
      <c r="F612">
        <v>683.38</v>
      </c>
      <c r="J612" s="18" t="s">
        <v>125</v>
      </c>
      <c r="K612" s="18">
        <v>2039</v>
      </c>
      <c r="L612" s="18" t="s">
        <v>174</v>
      </c>
      <c r="M612" s="18">
        <v>537.69000000000005</v>
      </c>
      <c r="P612" s="18" t="s">
        <v>125</v>
      </c>
      <c r="Q612" s="18">
        <v>2039</v>
      </c>
      <c r="R612" s="18" t="s">
        <v>175</v>
      </c>
      <c r="S612" s="18">
        <f t="shared" si="35"/>
        <v>0</v>
      </c>
      <c r="U612">
        <v>26.884500000000003</v>
      </c>
      <c r="Z612" s="42" t="s">
        <v>124</v>
      </c>
      <c r="AA612" s="42">
        <v>2038</v>
      </c>
      <c r="AB612" s="42" t="s">
        <v>146</v>
      </c>
      <c r="AC612" s="42">
        <v>39.369999999999997</v>
      </c>
    </row>
    <row r="613" spans="3:29">
      <c r="C613" t="s">
        <v>116</v>
      </c>
      <c r="D613">
        <v>2014</v>
      </c>
      <c r="E613" t="s">
        <v>143</v>
      </c>
      <c r="F613">
        <v>534.48</v>
      </c>
      <c r="J613" s="18" t="s">
        <v>125</v>
      </c>
      <c r="K613" s="18">
        <v>2040</v>
      </c>
      <c r="L613" s="18" t="s">
        <v>174</v>
      </c>
      <c r="M613" s="18">
        <v>549.47</v>
      </c>
      <c r="P613" s="18" t="s">
        <v>125</v>
      </c>
      <c r="Q613" s="18">
        <v>2040</v>
      </c>
      <c r="R613" s="18" t="s">
        <v>175</v>
      </c>
      <c r="S613" s="18">
        <f t="shared" si="35"/>
        <v>27.473500000000001</v>
      </c>
      <c r="U613">
        <v>27.473500000000001</v>
      </c>
      <c r="Z613" s="42" t="s">
        <v>124</v>
      </c>
      <c r="AA613" s="42">
        <v>2038</v>
      </c>
      <c r="AB613" s="42" t="s">
        <v>147</v>
      </c>
      <c r="AC613" s="42">
        <v>48.66</v>
      </c>
    </row>
    <row r="614" spans="3:29">
      <c r="C614" t="s">
        <v>116</v>
      </c>
      <c r="D614">
        <v>2014</v>
      </c>
      <c r="E614" t="s">
        <v>144</v>
      </c>
      <c r="F614">
        <v>11.3</v>
      </c>
      <c r="J614" s="18" t="s">
        <v>125</v>
      </c>
      <c r="K614" s="18">
        <v>2041</v>
      </c>
      <c r="L614" s="18" t="s">
        <v>174</v>
      </c>
      <c r="M614" s="18">
        <v>560.74</v>
      </c>
      <c r="P614" s="18" t="s">
        <v>125</v>
      </c>
      <c r="Q614" s="18">
        <v>2041</v>
      </c>
      <c r="R614" s="18" t="s">
        <v>175</v>
      </c>
      <c r="S614" s="18">
        <f t="shared" si="35"/>
        <v>28.036999999999999</v>
      </c>
      <c r="U614">
        <v>28.036999999999999</v>
      </c>
      <c r="Z614" s="42" t="s">
        <v>124</v>
      </c>
      <c r="AA614" s="42">
        <v>2038</v>
      </c>
      <c r="AB614" s="42" t="s">
        <v>145</v>
      </c>
      <c r="AC614" s="42">
        <v>398.64</v>
      </c>
    </row>
    <row r="615" spans="3:29">
      <c r="C615" t="s">
        <v>116</v>
      </c>
      <c r="D615">
        <v>2015</v>
      </c>
      <c r="E615" t="s">
        <v>141</v>
      </c>
      <c r="F615">
        <v>547.65</v>
      </c>
      <c r="J615" s="18" t="s">
        <v>125</v>
      </c>
      <c r="K615" s="18">
        <v>2042</v>
      </c>
      <c r="L615" s="18" t="s">
        <v>174</v>
      </c>
      <c r="M615" s="18">
        <v>572.15</v>
      </c>
      <c r="P615" s="18" t="s">
        <v>125</v>
      </c>
      <c r="Q615" s="18">
        <v>2042</v>
      </c>
      <c r="R615" s="18" t="s">
        <v>175</v>
      </c>
      <c r="S615" s="18">
        <f t="shared" si="35"/>
        <v>28.607499999999998</v>
      </c>
      <c r="U615">
        <v>28.607499999999998</v>
      </c>
      <c r="Z615" s="42" t="s">
        <v>124</v>
      </c>
      <c r="AA615" s="42">
        <v>2039</v>
      </c>
      <c r="AB615" s="42" t="s">
        <v>146</v>
      </c>
      <c r="AC615" s="42">
        <v>39.450000000000003</v>
      </c>
    </row>
    <row r="616" spans="3:29">
      <c r="C616" t="s">
        <v>116</v>
      </c>
      <c r="D616">
        <v>2015</v>
      </c>
      <c r="E616" t="s">
        <v>142</v>
      </c>
      <c r="F616">
        <v>644.94000000000005</v>
      </c>
      <c r="J616" s="18" t="s">
        <v>125</v>
      </c>
      <c r="K616" s="18">
        <v>2043</v>
      </c>
      <c r="L616" s="18" t="s">
        <v>174</v>
      </c>
      <c r="M616" s="18">
        <v>583.86</v>
      </c>
      <c r="P616" s="18" t="s">
        <v>125</v>
      </c>
      <c r="Q616" s="18">
        <v>2043</v>
      </c>
      <c r="R616" s="18" t="s">
        <v>175</v>
      </c>
      <c r="S616" s="18">
        <f t="shared" si="35"/>
        <v>29.193000000000001</v>
      </c>
      <c r="U616">
        <v>29.193000000000001</v>
      </c>
      <c r="Z616" s="42" t="s">
        <v>124</v>
      </c>
      <c r="AA616" s="42">
        <v>2039</v>
      </c>
      <c r="AB616" s="42" t="s">
        <v>147</v>
      </c>
      <c r="AC616" s="42">
        <v>48.71</v>
      </c>
    </row>
    <row r="617" spans="3:29">
      <c r="C617" t="s">
        <v>116</v>
      </c>
      <c r="D617">
        <v>2015</v>
      </c>
      <c r="E617" t="s">
        <v>143</v>
      </c>
      <c r="F617">
        <v>536.35</v>
      </c>
      <c r="J617" s="18" t="s">
        <v>125</v>
      </c>
      <c r="K617" s="18">
        <v>2044</v>
      </c>
      <c r="L617" s="18" t="s">
        <v>174</v>
      </c>
      <c r="M617" s="18">
        <v>595.86</v>
      </c>
      <c r="P617" s="18" t="s">
        <v>125</v>
      </c>
      <c r="Q617" s="18">
        <v>2044</v>
      </c>
      <c r="R617" s="18" t="s">
        <v>175</v>
      </c>
      <c r="S617" s="18">
        <f t="shared" si="35"/>
        <v>29.792999999999999</v>
      </c>
      <c r="U617">
        <v>29.792999999999999</v>
      </c>
      <c r="Z617" s="42" t="s">
        <v>124</v>
      </c>
      <c r="AA617" s="42">
        <v>2039</v>
      </c>
      <c r="AB617" s="42" t="s">
        <v>145</v>
      </c>
      <c r="AC617" s="42">
        <v>406.55</v>
      </c>
    </row>
    <row r="618" spans="3:29">
      <c r="C618" t="s">
        <v>116</v>
      </c>
      <c r="D618">
        <v>2015</v>
      </c>
      <c r="E618" t="s">
        <v>144</v>
      </c>
      <c r="F618">
        <v>11.31</v>
      </c>
      <c r="J618" s="18" t="s">
        <v>125</v>
      </c>
      <c r="K618" s="18">
        <v>2045</v>
      </c>
      <c r="L618" s="18" t="s">
        <v>174</v>
      </c>
      <c r="M618" s="18">
        <v>608.34</v>
      </c>
      <c r="P618" s="18" t="s">
        <v>125</v>
      </c>
      <c r="Q618" s="18">
        <v>2045</v>
      </c>
      <c r="R618" s="18" t="s">
        <v>175</v>
      </c>
      <c r="S618" s="18">
        <f t="shared" si="35"/>
        <v>30.417000000000002</v>
      </c>
      <c r="U618">
        <v>30.417000000000002</v>
      </c>
      <c r="Z618" s="42" t="s">
        <v>124</v>
      </c>
      <c r="AA618" s="42">
        <v>2040</v>
      </c>
      <c r="AB618" s="42" t="s">
        <v>146</v>
      </c>
      <c r="AC618" s="42">
        <v>39.53</v>
      </c>
    </row>
    <row r="619" spans="3:29">
      <c r="C619" t="s">
        <v>116</v>
      </c>
      <c r="D619">
        <v>2016</v>
      </c>
      <c r="E619" t="s">
        <v>141</v>
      </c>
      <c r="F619">
        <v>544.70000000000005</v>
      </c>
      <c r="J619" s="18" t="s">
        <v>125</v>
      </c>
      <c r="K619" s="18">
        <v>2046</v>
      </c>
      <c r="L619" s="18" t="s">
        <v>174</v>
      </c>
      <c r="M619" s="18">
        <v>621.44000000000005</v>
      </c>
      <c r="P619" s="18" t="s">
        <v>125</v>
      </c>
      <c r="Q619" s="18">
        <v>2046</v>
      </c>
      <c r="R619" s="18" t="s">
        <v>175</v>
      </c>
      <c r="S619" s="18">
        <f t="shared" si="35"/>
        <v>31.072000000000003</v>
      </c>
      <c r="U619">
        <v>31.072000000000003</v>
      </c>
      <c r="Z619" s="42" t="s">
        <v>124</v>
      </c>
      <c r="AA619" s="42">
        <v>2040</v>
      </c>
      <c r="AB619" s="42" t="s">
        <v>147</v>
      </c>
      <c r="AC619" s="42">
        <v>48.75</v>
      </c>
    </row>
    <row r="620" spans="3:29">
      <c r="C620" t="s">
        <v>116</v>
      </c>
      <c r="D620">
        <v>2016</v>
      </c>
      <c r="E620" t="s">
        <v>142</v>
      </c>
      <c r="F620">
        <v>639.11</v>
      </c>
      <c r="J620" s="18" t="s">
        <v>125</v>
      </c>
      <c r="K620" s="18">
        <v>2047</v>
      </c>
      <c r="L620" s="18" t="s">
        <v>174</v>
      </c>
      <c r="M620" s="18">
        <v>634.97</v>
      </c>
      <c r="P620" s="18" t="s">
        <v>125</v>
      </c>
      <c r="Q620" s="18">
        <v>2047</v>
      </c>
      <c r="R620" s="18" t="s">
        <v>175</v>
      </c>
      <c r="S620" s="18">
        <f t="shared" si="35"/>
        <v>31.7485</v>
      </c>
      <c r="U620">
        <v>31.7485</v>
      </c>
      <c r="Z620" s="42" t="s">
        <v>124</v>
      </c>
      <c r="AA620" s="42">
        <v>2040</v>
      </c>
      <c r="AB620" s="42" t="s">
        <v>145</v>
      </c>
      <c r="AC620" s="42">
        <v>414.29</v>
      </c>
    </row>
    <row r="621" spans="3:29">
      <c r="C621" t="s">
        <v>116</v>
      </c>
      <c r="D621">
        <v>2016</v>
      </c>
      <c r="E621" t="s">
        <v>143</v>
      </c>
      <c r="F621">
        <v>547.38</v>
      </c>
      <c r="J621" s="18" t="s">
        <v>125</v>
      </c>
      <c r="K621" s="18">
        <v>2048</v>
      </c>
      <c r="L621" s="18" t="s">
        <v>174</v>
      </c>
      <c r="M621" s="18">
        <v>648.41999999999996</v>
      </c>
      <c r="P621" s="18" t="s">
        <v>125</v>
      </c>
      <c r="Q621" s="18">
        <v>2048</v>
      </c>
      <c r="R621" s="18" t="s">
        <v>175</v>
      </c>
      <c r="S621" s="18">
        <f t="shared" si="35"/>
        <v>32.420999999999999</v>
      </c>
      <c r="U621">
        <v>32.420999999999999</v>
      </c>
      <c r="Z621" s="42" t="s">
        <v>124</v>
      </c>
      <c r="AA621" s="42">
        <v>2041</v>
      </c>
      <c r="AB621" s="42" t="s">
        <v>146</v>
      </c>
      <c r="AC621" s="42">
        <v>39.6</v>
      </c>
    </row>
    <row r="622" spans="3:29">
      <c r="C622" t="s">
        <v>116</v>
      </c>
      <c r="D622">
        <v>2016</v>
      </c>
      <c r="E622" t="s">
        <v>144</v>
      </c>
      <c r="F622">
        <v>10.44</v>
      </c>
      <c r="J622" s="18" t="s">
        <v>125</v>
      </c>
      <c r="K622" s="18">
        <v>2049</v>
      </c>
      <c r="L622" s="18" t="s">
        <v>174</v>
      </c>
      <c r="M622" s="18">
        <v>661.95</v>
      </c>
      <c r="P622" s="18" t="s">
        <v>125</v>
      </c>
      <c r="Q622" s="18">
        <v>2049</v>
      </c>
      <c r="R622" s="18" t="s">
        <v>175</v>
      </c>
      <c r="S622" s="18">
        <f t="shared" si="35"/>
        <v>33.097500000000004</v>
      </c>
      <c r="U622">
        <v>33.097500000000004</v>
      </c>
      <c r="Z622" s="42" t="s">
        <v>124</v>
      </c>
      <c r="AA622" s="42">
        <v>2041</v>
      </c>
      <c r="AB622" s="42" t="s">
        <v>147</v>
      </c>
      <c r="AC622" s="42">
        <v>48.8</v>
      </c>
    </row>
    <row r="623" spans="3:29">
      <c r="C623" t="s">
        <v>116</v>
      </c>
      <c r="D623">
        <v>2017</v>
      </c>
      <c r="E623" t="s">
        <v>141</v>
      </c>
      <c r="F623">
        <v>547.6</v>
      </c>
      <c r="J623" s="18" t="s">
        <v>125</v>
      </c>
      <c r="K623" s="18">
        <v>2050</v>
      </c>
      <c r="L623" s="18" t="s">
        <v>174</v>
      </c>
      <c r="M623" s="18">
        <v>674.97</v>
      </c>
      <c r="P623" s="18" t="s">
        <v>125</v>
      </c>
      <c r="Q623" s="18">
        <v>2050</v>
      </c>
      <c r="R623" s="18" t="s">
        <v>175</v>
      </c>
      <c r="S623" s="18">
        <f t="shared" si="35"/>
        <v>33.7485</v>
      </c>
      <c r="U623">
        <v>33.7485</v>
      </c>
      <c r="Z623" s="42" t="s">
        <v>124</v>
      </c>
      <c r="AA623" s="42">
        <v>2041</v>
      </c>
      <c r="AB623" s="42" t="s">
        <v>145</v>
      </c>
      <c r="AC623" s="42">
        <v>421.78</v>
      </c>
    </row>
    <row r="624" spans="3:29">
      <c r="C624" t="s">
        <v>116</v>
      </c>
      <c r="D624">
        <v>2017</v>
      </c>
      <c r="E624" t="s">
        <v>142</v>
      </c>
      <c r="F624">
        <v>653.21</v>
      </c>
      <c r="J624" s="18" t="s">
        <v>112</v>
      </c>
      <c r="K624" s="18">
        <v>2010</v>
      </c>
      <c r="L624" s="18" t="s">
        <v>174</v>
      </c>
      <c r="M624" s="18">
        <v>4538.6400000000003</v>
      </c>
      <c r="P624" s="18" t="s">
        <v>112</v>
      </c>
      <c r="Q624" s="18">
        <v>2010</v>
      </c>
      <c r="R624" s="18" t="s">
        <v>175</v>
      </c>
      <c r="S624" s="18">
        <f t="shared" si="35"/>
        <v>0</v>
      </c>
      <c r="U624">
        <v>226.93200000000002</v>
      </c>
      <c r="Z624" s="42" t="s">
        <v>124</v>
      </c>
      <c r="AA624" s="42">
        <v>2042</v>
      </c>
      <c r="AB624" s="42" t="s">
        <v>146</v>
      </c>
      <c r="AC624" s="42">
        <v>39.68</v>
      </c>
    </row>
    <row r="625" spans="3:29">
      <c r="C625" t="s">
        <v>116</v>
      </c>
      <c r="D625">
        <v>2017</v>
      </c>
      <c r="E625" t="s">
        <v>143</v>
      </c>
      <c r="F625">
        <v>551.41999999999996</v>
      </c>
      <c r="J625" s="18" t="s">
        <v>112</v>
      </c>
      <c r="K625" s="18">
        <v>2011</v>
      </c>
      <c r="L625" s="18" t="s">
        <v>174</v>
      </c>
      <c r="M625" s="18">
        <v>4531.33</v>
      </c>
      <c r="P625" s="18" t="s">
        <v>112</v>
      </c>
      <c r="Q625" s="18">
        <v>2011</v>
      </c>
      <c r="R625" s="18" t="s">
        <v>175</v>
      </c>
      <c r="S625" s="18">
        <f t="shared" si="35"/>
        <v>0</v>
      </c>
      <c r="U625">
        <v>226.56649999999999</v>
      </c>
      <c r="Z625" s="42" t="s">
        <v>124</v>
      </c>
      <c r="AA625" s="42">
        <v>2042</v>
      </c>
      <c r="AB625" s="42" t="s">
        <v>147</v>
      </c>
      <c r="AC625" s="42">
        <v>48.85</v>
      </c>
    </row>
    <row r="626" spans="3:29">
      <c r="C626" t="s">
        <v>116</v>
      </c>
      <c r="D626">
        <v>2017</v>
      </c>
      <c r="E626" t="s">
        <v>144</v>
      </c>
      <c r="F626">
        <v>10.73</v>
      </c>
      <c r="J626" s="18" t="s">
        <v>112</v>
      </c>
      <c r="K626" s="18">
        <v>2012</v>
      </c>
      <c r="L626" s="18" t="s">
        <v>174</v>
      </c>
      <c r="M626" s="18">
        <v>4528.07</v>
      </c>
      <c r="P626" s="18" t="s">
        <v>112</v>
      </c>
      <c r="Q626" s="18">
        <v>2012</v>
      </c>
      <c r="R626" s="18" t="s">
        <v>175</v>
      </c>
      <c r="S626" s="18">
        <f t="shared" si="35"/>
        <v>0</v>
      </c>
      <c r="U626">
        <v>226.40349999999998</v>
      </c>
      <c r="Z626" s="42" t="s">
        <v>124</v>
      </c>
      <c r="AA626" s="42">
        <v>2042</v>
      </c>
      <c r="AB626" s="42" t="s">
        <v>145</v>
      </c>
      <c r="AC626" s="42">
        <v>429.12</v>
      </c>
    </row>
    <row r="627" spans="3:29">
      <c r="C627" t="s">
        <v>116</v>
      </c>
      <c r="D627">
        <v>2018</v>
      </c>
      <c r="E627" t="s">
        <v>141</v>
      </c>
      <c r="F627">
        <v>560.95000000000005</v>
      </c>
      <c r="J627" s="18" t="s">
        <v>112</v>
      </c>
      <c r="K627" s="18">
        <v>2013</v>
      </c>
      <c r="L627" s="18" t="s">
        <v>174</v>
      </c>
      <c r="M627" s="18">
        <v>4562.1099999999997</v>
      </c>
      <c r="P627" s="18" t="s">
        <v>112</v>
      </c>
      <c r="Q627" s="18">
        <v>2013</v>
      </c>
      <c r="R627" s="18" t="s">
        <v>175</v>
      </c>
      <c r="S627" s="18">
        <f t="shared" si="35"/>
        <v>0</v>
      </c>
      <c r="U627">
        <v>228.10549999999998</v>
      </c>
      <c r="Z627" s="42" t="s">
        <v>124</v>
      </c>
      <c r="AA627" s="42">
        <v>2043</v>
      </c>
      <c r="AB627" s="42" t="s">
        <v>146</v>
      </c>
      <c r="AC627" s="42">
        <v>39.75</v>
      </c>
    </row>
    <row r="628" spans="3:29">
      <c r="C628" t="s">
        <v>116</v>
      </c>
      <c r="D628">
        <v>2018</v>
      </c>
      <c r="E628" t="s">
        <v>142</v>
      </c>
      <c r="F628">
        <v>662.51</v>
      </c>
      <c r="J628" s="18" t="s">
        <v>112</v>
      </c>
      <c r="K628" s="18">
        <v>2014</v>
      </c>
      <c r="L628" s="18" t="s">
        <v>174</v>
      </c>
      <c r="M628" s="18">
        <v>4613.5600000000004</v>
      </c>
      <c r="P628" s="18" t="s">
        <v>112</v>
      </c>
      <c r="Q628" s="18">
        <v>2014</v>
      </c>
      <c r="R628" s="18" t="s">
        <v>175</v>
      </c>
      <c r="S628" s="18">
        <f t="shared" si="35"/>
        <v>0</v>
      </c>
      <c r="U628">
        <v>230.67800000000003</v>
      </c>
      <c r="Z628" s="42" t="s">
        <v>124</v>
      </c>
      <c r="AA628" s="42">
        <v>2043</v>
      </c>
      <c r="AB628" s="42" t="s">
        <v>147</v>
      </c>
      <c r="AC628" s="42">
        <v>48.89</v>
      </c>
    </row>
    <row r="629" spans="3:29">
      <c r="C629" t="s">
        <v>116</v>
      </c>
      <c r="D629">
        <v>2018</v>
      </c>
      <c r="E629" t="s">
        <v>143</v>
      </c>
      <c r="F629">
        <v>568.48</v>
      </c>
      <c r="J629" s="18" t="s">
        <v>112</v>
      </c>
      <c r="K629" s="18">
        <v>2015</v>
      </c>
      <c r="L629" s="18" t="s">
        <v>174</v>
      </c>
      <c r="M629" s="18">
        <v>4642.88</v>
      </c>
      <c r="P629" s="18" t="s">
        <v>112</v>
      </c>
      <c r="Q629" s="18">
        <v>2015</v>
      </c>
      <c r="R629" s="18" t="s">
        <v>175</v>
      </c>
      <c r="S629" s="18">
        <f t="shared" si="35"/>
        <v>0</v>
      </c>
      <c r="U629">
        <v>232.14400000000001</v>
      </c>
      <c r="Z629" s="42" t="s">
        <v>124</v>
      </c>
      <c r="AA629" s="42">
        <v>2043</v>
      </c>
      <c r="AB629" s="42" t="s">
        <v>145</v>
      </c>
      <c r="AC629" s="42">
        <v>436.46</v>
      </c>
    </row>
    <row r="630" spans="3:29">
      <c r="C630" t="s">
        <v>116</v>
      </c>
      <c r="D630">
        <v>2018</v>
      </c>
      <c r="E630" t="s">
        <v>144</v>
      </c>
      <c r="F630">
        <v>11.71</v>
      </c>
      <c r="J630" s="18" t="s">
        <v>112</v>
      </c>
      <c r="K630" s="18">
        <v>2016</v>
      </c>
      <c r="L630" s="18" t="s">
        <v>174</v>
      </c>
      <c r="M630" s="18">
        <v>4664.8599999999997</v>
      </c>
      <c r="P630" s="18" t="s">
        <v>112</v>
      </c>
      <c r="Q630" s="18">
        <v>2016</v>
      </c>
      <c r="R630" s="18" t="s">
        <v>175</v>
      </c>
      <c r="S630" s="18">
        <f t="shared" si="35"/>
        <v>0</v>
      </c>
      <c r="U630">
        <v>233.24299999999999</v>
      </c>
      <c r="Z630" s="42" t="s">
        <v>124</v>
      </c>
      <c r="AA630" s="42">
        <v>2044</v>
      </c>
      <c r="AB630" s="42" t="s">
        <v>146</v>
      </c>
      <c r="AC630" s="42">
        <v>39.82</v>
      </c>
    </row>
    <row r="631" spans="3:29">
      <c r="C631" t="s">
        <v>116</v>
      </c>
      <c r="D631">
        <v>2019</v>
      </c>
      <c r="E631" t="s">
        <v>141</v>
      </c>
      <c r="F631">
        <v>568.24</v>
      </c>
      <c r="J631" s="18" t="s">
        <v>112</v>
      </c>
      <c r="K631" s="18">
        <v>2017</v>
      </c>
      <c r="L631" s="18" t="s">
        <v>174</v>
      </c>
      <c r="M631" s="18">
        <v>4603.5</v>
      </c>
      <c r="P631" s="18" t="s">
        <v>112</v>
      </c>
      <c r="Q631" s="18">
        <v>2017</v>
      </c>
      <c r="R631" s="18" t="s">
        <v>175</v>
      </c>
      <c r="S631" s="18">
        <f t="shared" si="35"/>
        <v>0</v>
      </c>
      <c r="U631">
        <v>230.17500000000001</v>
      </c>
      <c r="Z631" s="42" t="s">
        <v>124</v>
      </c>
      <c r="AA631" s="42">
        <v>2044</v>
      </c>
      <c r="AB631" s="42" t="s">
        <v>147</v>
      </c>
      <c r="AC631" s="42">
        <v>48.94</v>
      </c>
    </row>
    <row r="632" spans="3:29">
      <c r="C632" t="s">
        <v>116</v>
      </c>
      <c r="D632">
        <v>2019</v>
      </c>
      <c r="E632" t="s">
        <v>142</v>
      </c>
      <c r="F632">
        <v>671.69</v>
      </c>
      <c r="J632" s="18" t="s">
        <v>112</v>
      </c>
      <c r="K632" s="18">
        <v>2018</v>
      </c>
      <c r="L632" s="18" t="s">
        <v>174</v>
      </c>
      <c r="M632" s="18">
        <v>4682.71</v>
      </c>
      <c r="P632" s="18" t="s">
        <v>112</v>
      </c>
      <c r="Q632" s="18">
        <v>2018</v>
      </c>
      <c r="R632" s="18" t="s">
        <v>175</v>
      </c>
      <c r="S632" s="18">
        <f t="shared" si="35"/>
        <v>0</v>
      </c>
      <c r="U632">
        <v>234.13550000000001</v>
      </c>
      <c r="Z632" s="42" t="s">
        <v>124</v>
      </c>
      <c r="AA632" s="42">
        <v>2044</v>
      </c>
      <c r="AB632" s="42" t="s">
        <v>145</v>
      </c>
      <c r="AC632" s="42">
        <v>443.69</v>
      </c>
    </row>
    <row r="633" spans="3:29">
      <c r="C633" t="s">
        <v>116</v>
      </c>
      <c r="D633">
        <v>2019</v>
      </c>
      <c r="E633" t="s">
        <v>143</v>
      </c>
      <c r="F633">
        <v>575.80999999999995</v>
      </c>
      <c r="J633" s="18" t="s">
        <v>112</v>
      </c>
      <c r="K633" s="18">
        <v>2019</v>
      </c>
      <c r="L633" s="18" t="s">
        <v>174</v>
      </c>
      <c r="M633" s="18">
        <v>4630.8500000000004</v>
      </c>
      <c r="P633" s="18" t="s">
        <v>112</v>
      </c>
      <c r="Q633" s="18">
        <v>2019</v>
      </c>
      <c r="R633" s="18" t="s">
        <v>175</v>
      </c>
      <c r="S633" s="18">
        <f t="shared" si="35"/>
        <v>0</v>
      </c>
      <c r="U633">
        <v>231.54250000000002</v>
      </c>
      <c r="Z633" s="42" t="s">
        <v>124</v>
      </c>
      <c r="AA633" s="42">
        <v>2045</v>
      </c>
      <c r="AB633" s="42" t="s">
        <v>146</v>
      </c>
      <c r="AC633" s="42">
        <v>39.89</v>
      </c>
    </row>
    <row r="634" spans="3:29">
      <c r="C634" t="s">
        <v>116</v>
      </c>
      <c r="D634">
        <v>2019</v>
      </c>
      <c r="E634" t="s">
        <v>144</v>
      </c>
      <c r="F634">
        <v>27.75</v>
      </c>
      <c r="J634" s="18" t="s">
        <v>112</v>
      </c>
      <c r="K634" s="18">
        <v>2020</v>
      </c>
      <c r="L634" s="18" t="s">
        <v>174</v>
      </c>
      <c r="M634" s="18">
        <v>4698.7</v>
      </c>
      <c r="P634" s="18" t="s">
        <v>112</v>
      </c>
      <c r="Q634" s="18">
        <v>2020</v>
      </c>
      <c r="R634" s="18" t="s">
        <v>175</v>
      </c>
      <c r="S634" s="18">
        <f t="shared" si="35"/>
        <v>0</v>
      </c>
      <c r="U634">
        <v>234.935</v>
      </c>
      <c r="Z634" s="42" t="s">
        <v>124</v>
      </c>
      <c r="AA634" s="42">
        <v>2045</v>
      </c>
      <c r="AB634" s="42" t="s">
        <v>147</v>
      </c>
      <c r="AC634" s="42">
        <v>48.98</v>
      </c>
    </row>
    <row r="635" spans="3:29">
      <c r="C635" t="s">
        <v>116</v>
      </c>
      <c r="D635">
        <v>2020</v>
      </c>
      <c r="E635" t="s">
        <v>141</v>
      </c>
      <c r="F635">
        <v>546.51</v>
      </c>
      <c r="J635" s="18" t="s">
        <v>112</v>
      </c>
      <c r="K635" s="18">
        <v>2021</v>
      </c>
      <c r="L635" s="18" t="s">
        <v>174</v>
      </c>
      <c r="M635" s="18">
        <v>4726.68</v>
      </c>
      <c r="P635" s="18" t="s">
        <v>112</v>
      </c>
      <c r="Q635" s="18">
        <v>2021</v>
      </c>
      <c r="R635" s="18" t="s">
        <v>175</v>
      </c>
      <c r="S635" s="18">
        <f t="shared" si="35"/>
        <v>0</v>
      </c>
      <c r="U635">
        <v>236.334</v>
      </c>
      <c r="Z635" s="42" t="s">
        <v>124</v>
      </c>
      <c r="AA635" s="42">
        <v>2045</v>
      </c>
      <c r="AB635" s="42" t="s">
        <v>145</v>
      </c>
      <c r="AC635" s="42">
        <v>450.76</v>
      </c>
    </row>
    <row r="636" spans="3:29">
      <c r="C636" t="s">
        <v>116</v>
      </c>
      <c r="D636">
        <v>2020</v>
      </c>
      <c r="E636" t="s">
        <v>142</v>
      </c>
      <c r="F636">
        <v>672.86</v>
      </c>
      <c r="J636" s="18" t="s">
        <v>112</v>
      </c>
      <c r="K636" s="18">
        <v>2022</v>
      </c>
      <c r="L636" s="18" t="s">
        <v>174</v>
      </c>
      <c r="M636" s="18">
        <v>4749.49</v>
      </c>
      <c r="P636" s="18" t="s">
        <v>112</v>
      </c>
      <c r="Q636" s="18">
        <v>2022</v>
      </c>
      <c r="R636" s="18" t="s">
        <v>175</v>
      </c>
      <c r="S636" s="18">
        <f t="shared" si="35"/>
        <v>0</v>
      </c>
      <c r="U636">
        <v>237.47449999999998</v>
      </c>
      <c r="Z636" s="42" t="s">
        <v>124</v>
      </c>
      <c r="AA636" s="42">
        <v>2046</v>
      </c>
      <c r="AB636" s="42" t="s">
        <v>146</v>
      </c>
      <c r="AC636" s="42">
        <v>39.96</v>
      </c>
    </row>
    <row r="637" spans="3:29">
      <c r="C637" t="s">
        <v>116</v>
      </c>
      <c r="D637">
        <v>2020</v>
      </c>
      <c r="E637" t="s">
        <v>143</v>
      </c>
      <c r="F637">
        <v>562.9</v>
      </c>
      <c r="J637" s="18" t="s">
        <v>112</v>
      </c>
      <c r="K637" s="18">
        <v>2023</v>
      </c>
      <c r="L637" s="18" t="s">
        <v>174</v>
      </c>
      <c r="M637" s="18">
        <v>4766.29</v>
      </c>
      <c r="P637" s="18" t="s">
        <v>112</v>
      </c>
      <c r="Q637" s="18">
        <v>2023</v>
      </c>
      <c r="R637" s="18" t="s">
        <v>175</v>
      </c>
      <c r="S637" s="18">
        <f t="shared" si="35"/>
        <v>0</v>
      </c>
      <c r="U637">
        <v>238.31450000000001</v>
      </c>
      <c r="Z637" s="42" t="s">
        <v>124</v>
      </c>
      <c r="AA637" s="42">
        <v>2046</v>
      </c>
      <c r="AB637" s="42" t="s">
        <v>147</v>
      </c>
      <c r="AC637" s="42">
        <v>49.02</v>
      </c>
    </row>
    <row r="638" spans="3:29">
      <c r="C638" t="s">
        <v>116</v>
      </c>
      <c r="D638">
        <v>2020</v>
      </c>
      <c r="E638" t="s">
        <v>144</v>
      </c>
      <c r="F638">
        <v>27.55</v>
      </c>
      <c r="J638" s="18" t="s">
        <v>112</v>
      </c>
      <c r="K638" s="18">
        <v>2024</v>
      </c>
      <c r="L638" s="18" t="s">
        <v>174</v>
      </c>
      <c r="M638" s="18">
        <v>4782.3100000000004</v>
      </c>
      <c r="P638" s="18" t="s">
        <v>112</v>
      </c>
      <c r="Q638" s="18">
        <v>2024</v>
      </c>
      <c r="R638" s="18" t="s">
        <v>175</v>
      </c>
      <c r="S638" s="18">
        <f t="shared" si="35"/>
        <v>0</v>
      </c>
      <c r="U638">
        <v>239.11550000000003</v>
      </c>
      <c r="Z638" s="42" t="s">
        <v>124</v>
      </c>
      <c r="AA638" s="42">
        <v>2046</v>
      </c>
      <c r="AB638" s="42" t="s">
        <v>145</v>
      </c>
      <c r="AC638" s="42">
        <v>457.67</v>
      </c>
    </row>
    <row r="639" spans="3:29">
      <c r="C639" t="s">
        <v>116</v>
      </c>
      <c r="D639">
        <v>2021</v>
      </c>
      <c r="E639" t="s">
        <v>145</v>
      </c>
      <c r="F639">
        <v>0.17</v>
      </c>
      <c r="J639" s="18" t="s">
        <v>112</v>
      </c>
      <c r="K639" s="18">
        <v>2025</v>
      </c>
      <c r="L639" s="18" t="s">
        <v>174</v>
      </c>
      <c r="M639" s="18">
        <v>4798.6400000000003</v>
      </c>
      <c r="P639" s="18" t="s">
        <v>112</v>
      </c>
      <c r="Q639" s="18">
        <v>2025</v>
      </c>
      <c r="R639" s="18" t="s">
        <v>175</v>
      </c>
      <c r="S639" s="18">
        <f t="shared" si="35"/>
        <v>0</v>
      </c>
      <c r="U639">
        <v>239.93200000000002</v>
      </c>
      <c r="Z639" s="42" t="s">
        <v>124</v>
      </c>
      <c r="AA639" s="42">
        <v>2047</v>
      </c>
      <c r="AB639" s="42" t="s">
        <v>146</v>
      </c>
      <c r="AC639" s="42">
        <v>40.03</v>
      </c>
    </row>
    <row r="640" spans="3:29">
      <c r="C640" t="s">
        <v>116</v>
      </c>
      <c r="D640">
        <v>2021</v>
      </c>
      <c r="E640" t="s">
        <v>141</v>
      </c>
      <c r="F640">
        <v>560.02</v>
      </c>
      <c r="J640" s="18" t="s">
        <v>112</v>
      </c>
      <c r="K640" s="18">
        <v>2026</v>
      </c>
      <c r="L640" s="18" t="s">
        <v>174</v>
      </c>
      <c r="M640" s="18">
        <v>4808.1899999999996</v>
      </c>
      <c r="P640" s="18" t="s">
        <v>112</v>
      </c>
      <c r="Q640" s="18">
        <v>2026</v>
      </c>
      <c r="R640" s="18" t="s">
        <v>175</v>
      </c>
      <c r="S640" s="18">
        <f t="shared" si="35"/>
        <v>0</v>
      </c>
      <c r="U640">
        <v>240.40949999999998</v>
      </c>
      <c r="Z640" s="42" t="s">
        <v>124</v>
      </c>
      <c r="AA640" s="42">
        <v>2047</v>
      </c>
      <c r="AB640" s="42" t="s">
        <v>147</v>
      </c>
      <c r="AC640" s="42">
        <v>49.07</v>
      </c>
    </row>
    <row r="641" spans="3:29">
      <c r="C641" t="s">
        <v>116</v>
      </c>
      <c r="D641">
        <v>2021</v>
      </c>
      <c r="E641" t="s">
        <v>142</v>
      </c>
      <c r="F641">
        <v>695.23</v>
      </c>
      <c r="J641" s="18" t="s">
        <v>112</v>
      </c>
      <c r="K641" s="18">
        <v>2027</v>
      </c>
      <c r="L641" s="18" t="s">
        <v>174</v>
      </c>
      <c r="M641" s="18">
        <v>4822.7700000000004</v>
      </c>
      <c r="P641" s="18" t="s">
        <v>112</v>
      </c>
      <c r="Q641" s="18">
        <v>2027</v>
      </c>
      <c r="R641" s="18" t="s">
        <v>175</v>
      </c>
      <c r="S641" s="18">
        <f t="shared" si="35"/>
        <v>0</v>
      </c>
      <c r="U641">
        <v>241.13850000000002</v>
      </c>
      <c r="Z641" s="42" t="s">
        <v>124</v>
      </c>
      <c r="AA641" s="42">
        <v>2047</v>
      </c>
      <c r="AB641" s="42" t="s">
        <v>145</v>
      </c>
      <c r="AC641" s="42">
        <v>464.39</v>
      </c>
    </row>
    <row r="642" spans="3:29">
      <c r="C642" t="s">
        <v>116</v>
      </c>
      <c r="D642">
        <v>2021</v>
      </c>
      <c r="E642" t="s">
        <v>143</v>
      </c>
      <c r="F642">
        <v>548.02</v>
      </c>
      <c r="J642" s="18" t="s">
        <v>112</v>
      </c>
      <c r="K642" s="18">
        <v>2028</v>
      </c>
      <c r="L642" s="18" t="s">
        <v>174</v>
      </c>
      <c r="M642" s="18">
        <v>4841.43</v>
      </c>
      <c r="P642" s="18" t="s">
        <v>112</v>
      </c>
      <c r="Q642" s="18">
        <v>2028</v>
      </c>
      <c r="R642" s="18" t="s">
        <v>175</v>
      </c>
      <c r="S642" s="18">
        <f t="shared" si="35"/>
        <v>0</v>
      </c>
      <c r="U642">
        <v>242.07150000000001</v>
      </c>
      <c r="Z642" s="42" t="s">
        <v>124</v>
      </c>
      <c r="AA642" s="42">
        <v>2048</v>
      </c>
      <c r="AB642" s="42" t="s">
        <v>146</v>
      </c>
      <c r="AC642" s="42">
        <v>40.1</v>
      </c>
    </row>
    <row r="643" spans="3:29">
      <c r="C643" t="s">
        <v>116</v>
      </c>
      <c r="D643">
        <v>2021</v>
      </c>
      <c r="E643" t="s">
        <v>144</v>
      </c>
      <c r="F643">
        <v>28.61</v>
      </c>
      <c r="J643" s="18" t="s">
        <v>112</v>
      </c>
      <c r="K643" s="18">
        <v>2029</v>
      </c>
      <c r="L643" s="18" t="s">
        <v>174</v>
      </c>
      <c r="M643" s="18">
        <v>4864.18</v>
      </c>
      <c r="P643" s="18" t="s">
        <v>112</v>
      </c>
      <c r="Q643" s="18">
        <v>2029</v>
      </c>
      <c r="R643" s="18" t="s">
        <v>175</v>
      </c>
      <c r="S643" s="18">
        <f t="shared" si="35"/>
        <v>0</v>
      </c>
      <c r="U643">
        <v>243.209</v>
      </c>
      <c r="Z643" s="42" t="s">
        <v>124</v>
      </c>
      <c r="AA643" s="42">
        <v>2048</v>
      </c>
      <c r="AB643" s="42" t="s">
        <v>147</v>
      </c>
      <c r="AC643" s="42">
        <v>49.11</v>
      </c>
    </row>
    <row r="644" spans="3:29">
      <c r="C644" t="s">
        <v>116</v>
      </c>
      <c r="D644">
        <v>2022</v>
      </c>
      <c r="E644" t="s">
        <v>145</v>
      </c>
      <c r="F644">
        <v>0.24</v>
      </c>
      <c r="J644" s="18" t="s">
        <v>112</v>
      </c>
      <c r="K644" s="18">
        <v>2030</v>
      </c>
      <c r="L644" s="18" t="s">
        <v>174</v>
      </c>
      <c r="M644" s="18">
        <v>4873.71</v>
      </c>
      <c r="P644" s="18" t="s">
        <v>112</v>
      </c>
      <c r="Q644" s="18">
        <v>2030</v>
      </c>
      <c r="R644" s="18" t="s">
        <v>175</v>
      </c>
      <c r="S644" s="18">
        <f t="shared" si="35"/>
        <v>0</v>
      </c>
      <c r="U644">
        <v>243.68549999999999</v>
      </c>
      <c r="Z644" s="42" t="s">
        <v>124</v>
      </c>
      <c r="AA644" s="42">
        <v>2048</v>
      </c>
      <c r="AB644" s="42" t="s">
        <v>145</v>
      </c>
      <c r="AC644" s="42">
        <v>470.98</v>
      </c>
    </row>
    <row r="645" spans="3:29">
      <c r="C645" t="s">
        <v>116</v>
      </c>
      <c r="D645">
        <v>2022</v>
      </c>
      <c r="E645" t="s">
        <v>141</v>
      </c>
      <c r="F645">
        <v>570.35</v>
      </c>
      <c r="J645" s="18" t="s">
        <v>112</v>
      </c>
      <c r="K645" s="18">
        <v>2031</v>
      </c>
      <c r="L645" s="18" t="s">
        <v>174</v>
      </c>
      <c r="M645" s="18">
        <v>4886.91</v>
      </c>
      <c r="P645" s="18" t="s">
        <v>112</v>
      </c>
      <c r="Q645" s="18">
        <v>2031</v>
      </c>
      <c r="R645" s="18" t="s">
        <v>175</v>
      </c>
      <c r="S645" s="18">
        <f t="shared" si="35"/>
        <v>0</v>
      </c>
      <c r="U645">
        <v>244.34549999999999</v>
      </c>
      <c r="Z645" s="42" t="s">
        <v>124</v>
      </c>
      <c r="AA645" s="42">
        <v>2049</v>
      </c>
      <c r="AB645" s="42" t="s">
        <v>146</v>
      </c>
      <c r="AC645" s="42">
        <v>40.159999999999997</v>
      </c>
    </row>
    <row r="646" spans="3:29">
      <c r="C646" t="s">
        <v>116</v>
      </c>
      <c r="D646">
        <v>2022</v>
      </c>
      <c r="E646" t="s">
        <v>142</v>
      </c>
      <c r="F646">
        <v>710.23</v>
      </c>
      <c r="J646" s="18" t="s">
        <v>112</v>
      </c>
      <c r="K646" s="18">
        <v>2032</v>
      </c>
      <c r="L646" s="18" t="s">
        <v>174</v>
      </c>
      <c r="M646" s="18">
        <v>4902.37</v>
      </c>
      <c r="P646" s="18" t="s">
        <v>112</v>
      </c>
      <c r="Q646" s="18">
        <v>2032</v>
      </c>
      <c r="R646" s="18" t="s">
        <v>175</v>
      </c>
      <c r="S646" s="18">
        <f t="shared" si="35"/>
        <v>0</v>
      </c>
      <c r="U646">
        <v>245.11849999999998</v>
      </c>
      <c r="Z646" s="42" t="s">
        <v>124</v>
      </c>
      <c r="AA646" s="42">
        <v>2049</v>
      </c>
      <c r="AB646" s="42" t="s">
        <v>147</v>
      </c>
      <c r="AC646" s="42">
        <v>49.15</v>
      </c>
    </row>
    <row r="647" spans="3:29">
      <c r="C647" t="s">
        <v>116</v>
      </c>
      <c r="D647">
        <v>2022</v>
      </c>
      <c r="E647" t="s">
        <v>143</v>
      </c>
      <c r="F647">
        <v>570</v>
      </c>
      <c r="J647" s="18" t="s">
        <v>112</v>
      </c>
      <c r="K647" s="18">
        <v>2033</v>
      </c>
      <c r="L647" s="18" t="s">
        <v>174</v>
      </c>
      <c r="M647" s="18">
        <v>4919.78</v>
      </c>
      <c r="P647" s="18" t="s">
        <v>112</v>
      </c>
      <c r="Q647" s="18">
        <v>2033</v>
      </c>
      <c r="R647" s="18" t="s">
        <v>175</v>
      </c>
      <c r="S647" s="18">
        <f t="shared" si="35"/>
        <v>0</v>
      </c>
      <c r="U647">
        <v>245.98899999999998</v>
      </c>
      <c r="Z647" s="42" t="s">
        <v>124</v>
      </c>
      <c r="AA647" s="42">
        <v>2049</v>
      </c>
      <c r="AB647" s="42" t="s">
        <v>145</v>
      </c>
      <c r="AC647" s="42">
        <v>477.52</v>
      </c>
    </row>
    <row r="648" spans="3:29">
      <c r="C648" t="s">
        <v>116</v>
      </c>
      <c r="D648">
        <v>2022</v>
      </c>
      <c r="E648" t="s">
        <v>144</v>
      </c>
      <c r="F648">
        <v>29.67</v>
      </c>
      <c r="J648" s="18" t="s">
        <v>112</v>
      </c>
      <c r="K648" s="18">
        <v>2034</v>
      </c>
      <c r="L648" s="18" t="s">
        <v>174</v>
      </c>
      <c r="M648" s="18">
        <v>4939.79</v>
      </c>
      <c r="P648" s="18" t="s">
        <v>112</v>
      </c>
      <c r="Q648" s="18">
        <v>2034</v>
      </c>
      <c r="R648" s="18" t="s">
        <v>175</v>
      </c>
      <c r="S648" s="18">
        <f t="shared" si="35"/>
        <v>0</v>
      </c>
      <c r="U648">
        <v>246.98949999999999</v>
      </c>
      <c r="Z648" s="42" t="s">
        <v>124</v>
      </c>
      <c r="AA648" s="42">
        <v>2050</v>
      </c>
      <c r="AB648" s="42" t="s">
        <v>146</v>
      </c>
      <c r="AC648" s="42">
        <v>40.229999999999997</v>
      </c>
    </row>
    <row r="649" spans="3:29">
      <c r="C649" t="s">
        <v>116</v>
      </c>
      <c r="D649">
        <v>2023</v>
      </c>
      <c r="E649" t="s">
        <v>145</v>
      </c>
      <c r="F649">
        <v>0.31</v>
      </c>
      <c r="J649" s="18" t="s">
        <v>112</v>
      </c>
      <c r="K649" s="18">
        <v>2035</v>
      </c>
      <c r="L649" s="18" t="s">
        <v>174</v>
      </c>
      <c r="M649" s="18">
        <v>4962.3900000000003</v>
      </c>
      <c r="P649" s="18" t="s">
        <v>112</v>
      </c>
      <c r="Q649" s="18">
        <v>2035</v>
      </c>
      <c r="R649" s="18" t="s">
        <v>175</v>
      </c>
      <c r="S649" s="18">
        <f t="shared" si="35"/>
        <v>0</v>
      </c>
      <c r="U649">
        <v>248.11950000000002</v>
      </c>
      <c r="Z649" s="42" t="s">
        <v>124</v>
      </c>
      <c r="AA649" s="42">
        <v>2050</v>
      </c>
      <c r="AB649" s="42" t="s">
        <v>147</v>
      </c>
      <c r="AC649" s="42">
        <v>49.19</v>
      </c>
    </row>
    <row r="650" spans="3:29">
      <c r="C650" t="s">
        <v>116</v>
      </c>
      <c r="D650">
        <v>2023</v>
      </c>
      <c r="E650" t="s">
        <v>141</v>
      </c>
      <c r="F650">
        <v>579.27</v>
      </c>
      <c r="J650" s="18" t="s">
        <v>112</v>
      </c>
      <c r="K650" s="18">
        <v>2036</v>
      </c>
      <c r="L650" s="18" t="s">
        <v>174</v>
      </c>
      <c r="M650" s="18">
        <v>4986.2</v>
      </c>
      <c r="P650" s="18" t="s">
        <v>112</v>
      </c>
      <c r="Q650" s="18">
        <v>2036</v>
      </c>
      <c r="R650" s="18" t="s">
        <v>175</v>
      </c>
      <c r="S650" s="18">
        <f t="shared" ref="S650:S664" si="36">IF(Q650&lt;2040, 0,U650)</f>
        <v>0</v>
      </c>
      <c r="U650">
        <v>249.31</v>
      </c>
      <c r="Z650" s="42" t="s">
        <v>124</v>
      </c>
      <c r="AA650" s="42">
        <v>2050</v>
      </c>
      <c r="AB650" s="42" t="s">
        <v>145</v>
      </c>
      <c r="AC650" s="42">
        <v>484.05</v>
      </c>
    </row>
    <row r="651" spans="3:29">
      <c r="C651" t="s">
        <v>116</v>
      </c>
      <c r="D651">
        <v>2023</v>
      </c>
      <c r="E651" t="s">
        <v>142</v>
      </c>
      <c r="F651">
        <v>724.67</v>
      </c>
      <c r="J651" s="18" t="s">
        <v>112</v>
      </c>
      <c r="K651" s="18">
        <v>2037</v>
      </c>
      <c r="L651" s="18" t="s">
        <v>174</v>
      </c>
      <c r="M651" s="18">
        <v>5011.29</v>
      </c>
      <c r="P651" s="18" t="s">
        <v>112</v>
      </c>
      <c r="Q651" s="18">
        <v>2037</v>
      </c>
      <c r="R651" s="18" t="s">
        <v>175</v>
      </c>
      <c r="S651" s="18">
        <f t="shared" si="36"/>
        <v>0</v>
      </c>
      <c r="U651">
        <v>250.56450000000001</v>
      </c>
      <c r="Z651" s="42" t="s">
        <v>105</v>
      </c>
      <c r="AA651" s="42">
        <v>2019</v>
      </c>
      <c r="AB651" s="42" t="s">
        <v>146</v>
      </c>
      <c r="AC651" s="42">
        <v>478.85</v>
      </c>
    </row>
    <row r="652" spans="3:29">
      <c r="C652" t="s">
        <v>116</v>
      </c>
      <c r="D652">
        <v>2023</v>
      </c>
      <c r="E652" t="s">
        <v>143</v>
      </c>
      <c r="F652">
        <v>578.61</v>
      </c>
      <c r="J652" s="18" t="s">
        <v>112</v>
      </c>
      <c r="K652" s="18">
        <v>2038</v>
      </c>
      <c r="L652" s="18" t="s">
        <v>174</v>
      </c>
      <c r="M652" s="18">
        <v>5039.1400000000003</v>
      </c>
      <c r="P652" s="18" t="s">
        <v>112</v>
      </c>
      <c r="Q652" s="18">
        <v>2038</v>
      </c>
      <c r="R652" s="18" t="s">
        <v>175</v>
      </c>
      <c r="S652" s="18">
        <f t="shared" si="36"/>
        <v>0</v>
      </c>
      <c r="U652">
        <v>251.95700000000002</v>
      </c>
      <c r="Z652" s="42" t="s">
        <v>105</v>
      </c>
      <c r="AA652" s="42">
        <v>2019</v>
      </c>
      <c r="AB652" s="42" t="s">
        <v>147</v>
      </c>
      <c r="AC652" s="42">
        <v>1357.92</v>
      </c>
    </row>
    <row r="653" spans="3:29">
      <c r="C653" t="s">
        <v>116</v>
      </c>
      <c r="D653">
        <v>2023</v>
      </c>
      <c r="E653" t="s">
        <v>144</v>
      </c>
      <c r="F653">
        <v>30.47</v>
      </c>
      <c r="J653" s="18" t="s">
        <v>112</v>
      </c>
      <c r="K653" s="18">
        <v>2039</v>
      </c>
      <c r="L653" s="18" t="s">
        <v>174</v>
      </c>
      <c r="M653" s="18">
        <v>5070.2</v>
      </c>
      <c r="P653" s="18" t="s">
        <v>112</v>
      </c>
      <c r="Q653" s="18">
        <v>2039</v>
      </c>
      <c r="R653" s="18" t="s">
        <v>175</v>
      </c>
      <c r="S653" s="18">
        <f t="shared" si="36"/>
        <v>0</v>
      </c>
      <c r="U653">
        <v>253.51</v>
      </c>
      <c r="Z653" s="42" t="s">
        <v>105</v>
      </c>
      <c r="AA653" s="42">
        <v>2019</v>
      </c>
      <c r="AB653" s="42" t="s">
        <v>145</v>
      </c>
      <c r="AC653" s="42">
        <v>1366.31</v>
      </c>
    </row>
    <row r="654" spans="3:29">
      <c r="C654" t="s">
        <v>116</v>
      </c>
      <c r="D654">
        <v>2024</v>
      </c>
      <c r="E654" t="s">
        <v>145</v>
      </c>
      <c r="F654">
        <v>0.39</v>
      </c>
      <c r="J654" s="18" t="s">
        <v>112</v>
      </c>
      <c r="K654" s="18">
        <v>2040</v>
      </c>
      <c r="L654" s="18" t="s">
        <v>174</v>
      </c>
      <c r="M654" s="18">
        <v>5096.28</v>
      </c>
      <c r="P654" s="18" t="s">
        <v>112</v>
      </c>
      <c r="Q654" s="18">
        <v>2040</v>
      </c>
      <c r="R654" s="18" t="s">
        <v>175</v>
      </c>
      <c r="S654" s="18">
        <f t="shared" si="36"/>
        <v>254.81399999999999</v>
      </c>
      <c r="U654">
        <v>254.81399999999999</v>
      </c>
      <c r="Z654" s="42" t="s">
        <v>105</v>
      </c>
      <c r="AA654" s="42">
        <v>2020</v>
      </c>
      <c r="AB654" s="42" t="s">
        <v>146</v>
      </c>
      <c r="AC654" s="42">
        <v>477.42</v>
      </c>
    </row>
    <row r="655" spans="3:29">
      <c r="C655" t="s">
        <v>116</v>
      </c>
      <c r="D655">
        <v>2024</v>
      </c>
      <c r="E655" t="s">
        <v>141</v>
      </c>
      <c r="F655">
        <v>588.17999999999995</v>
      </c>
      <c r="J655" s="18" t="s">
        <v>112</v>
      </c>
      <c r="K655" s="18">
        <v>2041</v>
      </c>
      <c r="L655" s="18" t="s">
        <v>174</v>
      </c>
      <c r="M655" s="18">
        <v>5124.5</v>
      </c>
      <c r="P655" s="18" t="s">
        <v>112</v>
      </c>
      <c r="Q655" s="18">
        <v>2041</v>
      </c>
      <c r="R655" s="18" t="s">
        <v>175</v>
      </c>
      <c r="S655" s="18">
        <f t="shared" si="36"/>
        <v>256.22500000000002</v>
      </c>
      <c r="U655">
        <v>256.22500000000002</v>
      </c>
      <c r="Z655" s="42" t="s">
        <v>105</v>
      </c>
      <c r="AA655" s="42">
        <v>2020</v>
      </c>
      <c r="AB655" s="42" t="s">
        <v>147</v>
      </c>
      <c r="AC655" s="42">
        <v>1354.85</v>
      </c>
    </row>
    <row r="656" spans="3:29">
      <c r="C656" t="s">
        <v>116</v>
      </c>
      <c r="D656">
        <v>2024</v>
      </c>
      <c r="E656" t="s">
        <v>142</v>
      </c>
      <c r="F656">
        <v>737.67</v>
      </c>
      <c r="J656" s="18" t="s">
        <v>112</v>
      </c>
      <c r="K656" s="18">
        <v>2042</v>
      </c>
      <c r="L656" s="18" t="s">
        <v>174</v>
      </c>
      <c r="M656" s="18">
        <v>5156.42</v>
      </c>
      <c r="P656" s="18" t="s">
        <v>112</v>
      </c>
      <c r="Q656" s="18">
        <v>2042</v>
      </c>
      <c r="R656" s="18" t="s">
        <v>175</v>
      </c>
      <c r="S656" s="18">
        <f t="shared" si="36"/>
        <v>257.82100000000003</v>
      </c>
      <c r="U656">
        <v>257.82100000000003</v>
      </c>
      <c r="Z656" s="42" t="s">
        <v>105</v>
      </c>
      <c r="AA656" s="42">
        <v>2020</v>
      </c>
      <c r="AB656" s="42" t="s">
        <v>145</v>
      </c>
      <c r="AC656" s="42">
        <v>1339.83</v>
      </c>
    </row>
    <row r="657" spans="3:29">
      <c r="C657" t="s">
        <v>116</v>
      </c>
      <c r="D657">
        <v>2024</v>
      </c>
      <c r="E657" t="s">
        <v>143</v>
      </c>
      <c r="F657">
        <v>588.54999999999995</v>
      </c>
      <c r="J657" s="18" t="s">
        <v>112</v>
      </c>
      <c r="K657" s="18">
        <v>2043</v>
      </c>
      <c r="L657" s="18" t="s">
        <v>174</v>
      </c>
      <c r="M657" s="18">
        <v>5192.7299999999996</v>
      </c>
      <c r="P657" s="18" t="s">
        <v>112</v>
      </c>
      <c r="Q657" s="18">
        <v>2043</v>
      </c>
      <c r="R657" s="18" t="s">
        <v>175</v>
      </c>
      <c r="S657" s="18">
        <f t="shared" si="36"/>
        <v>259.63649999999996</v>
      </c>
      <c r="U657">
        <v>259.63649999999996</v>
      </c>
      <c r="Z657" s="42" t="s">
        <v>105</v>
      </c>
      <c r="AA657" s="42">
        <v>2021</v>
      </c>
      <c r="AB657" s="42" t="s">
        <v>146</v>
      </c>
      <c r="AC657" s="42">
        <v>489.49</v>
      </c>
    </row>
    <row r="658" spans="3:29">
      <c r="C658" t="s">
        <v>116</v>
      </c>
      <c r="D658">
        <v>2024</v>
      </c>
      <c r="E658" t="s">
        <v>144</v>
      </c>
      <c r="F658">
        <v>31.05</v>
      </c>
      <c r="J658" s="18" t="s">
        <v>112</v>
      </c>
      <c r="K658" s="18">
        <v>2044</v>
      </c>
      <c r="L658" s="18" t="s">
        <v>174</v>
      </c>
      <c r="M658" s="18">
        <v>5231.8999999999996</v>
      </c>
      <c r="P658" s="18" t="s">
        <v>112</v>
      </c>
      <c r="Q658" s="18">
        <v>2044</v>
      </c>
      <c r="R658" s="18" t="s">
        <v>175</v>
      </c>
      <c r="S658" s="18">
        <f t="shared" si="36"/>
        <v>261.59499999999997</v>
      </c>
      <c r="U658">
        <v>261.59499999999997</v>
      </c>
      <c r="Z658" s="42" t="s">
        <v>105</v>
      </c>
      <c r="AA658" s="42">
        <v>2021</v>
      </c>
      <c r="AB658" s="42" t="s">
        <v>147</v>
      </c>
      <c r="AC658" s="42">
        <v>1385.14</v>
      </c>
    </row>
    <row r="659" spans="3:29">
      <c r="C659" t="s">
        <v>116</v>
      </c>
      <c r="D659">
        <v>2025</v>
      </c>
      <c r="E659" t="s">
        <v>145</v>
      </c>
      <c r="F659">
        <v>0.47</v>
      </c>
      <c r="J659" s="18" t="s">
        <v>112</v>
      </c>
      <c r="K659" s="18">
        <v>2045</v>
      </c>
      <c r="L659" s="18" t="s">
        <v>174</v>
      </c>
      <c r="M659" s="18">
        <v>5274.28</v>
      </c>
      <c r="P659" s="18" t="s">
        <v>112</v>
      </c>
      <c r="Q659" s="18">
        <v>2045</v>
      </c>
      <c r="R659" s="18" t="s">
        <v>175</v>
      </c>
      <c r="S659" s="18">
        <f t="shared" si="36"/>
        <v>263.714</v>
      </c>
      <c r="U659">
        <v>263.714</v>
      </c>
      <c r="Z659" s="42" t="s">
        <v>105</v>
      </c>
      <c r="AA659" s="42">
        <v>2021</v>
      </c>
      <c r="AB659" s="42" t="s">
        <v>145</v>
      </c>
      <c r="AC659" s="42">
        <v>1496.22</v>
      </c>
    </row>
    <row r="660" spans="3:29">
      <c r="C660" t="s">
        <v>116</v>
      </c>
      <c r="D660">
        <v>2025</v>
      </c>
      <c r="E660" t="s">
        <v>141</v>
      </c>
      <c r="F660">
        <v>596.94000000000005</v>
      </c>
      <c r="J660" s="18" t="s">
        <v>112</v>
      </c>
      <c r="K660" s="18">
        <v>2046</v>
      </c>
      <c r="L660" s="18" t="s">
        <v>174</v>
      </c>
      <c r="M660" s="18">
        <v>5320.16</v>
      </c>
      <c r="P660" s="18" t="s">
        <v>112</v>
      </c>
      <c r="Q660" s="18">
        <v>2046</v>
      </c>
      <c r="R660" s="18" t="s">
        <v>175</v>
      </c>
      <c r="S660" s="18">
        <f t="shared" si="36"/>
        <v>266.00799999999998</v>
      </c>
      <c r="U660">
        <v>266.00799999999998</v>
      </c>
      <c r="Z660" s="42" t="s">
        <v>105</v>
      </c>
      <c r="AA660" s="42">
        <v>2022</v>
      </c>
      <c r="AB660" s="42" t="s">
        <v>146</v>
      </c>
      <c r="AC660" s="42">
        <v>494.32</v>
      </c>
    </row>
    <row r="661" spans="3:29">
      <c r="C661" t="s">
        <v>116</v>
      </c>
      <c r="D661">
        <v>2025</v>
      </c>
      <c r="E661" t="s">
        <v>142</v>
      </c>
      <c r="F661">
        <v>750.15</v>
      </c>
      <c r="J661" s="18" t="s">
        <v>112</v>
      </c>
      <c r="K661" s="18">
        <v>2047</v>
      </c>
      <c r="L661" s="18" t="s">
        <v>174</v>
      </c>
      <c r="M661" s="18">
        <v>5370.18</v>
      </c>
      <c r="P661" s="18" t="s">
        <v>112</v>
      </c>
      <c r="Q661" s="18">
        <v>2047</v>
      </c>
      <c r="R661" s="18" t="s">
        <v>175</v>
      </c>
      <c r="S661" s="18">
        <f t="shared" si="36"/>
        <v>268.50900000000001</v>
      </c>
      <c r="U661">
        <v>268.50900000000001</v>
      </c>
      <c r="Z661" s="42" t="s">
        <v>105</v>
      </c>
      <c r="AA661" s="42">
        <v>2022</v>
      </c>
      <c r="AB661" s="42" t="s">
        <v>147</v>
      </c>
      <c r="AC661" s="42">
        <v>1396.28</v>
      </c>
    </row>
    <row r="662" spans="3:29">
      <c r="C662" t="s">
        <v>116</v>
      </c>
      <c r="D662">
        <v>2025</v>
      </c>
      <c r="E662" t="s">
        <v>143</v>
      </c>
      <c r="F662">
        <v>600.41999999999996</v>
      </c>
      <c r="J662" s="18" t="s">
        <v>112</v>
      </c>
      <c r="K662" s="18">
        <v>2048</v>
      </c>
      <c r="L662" s="18" t="s">
        <v>174</v>
      </c>
      <c r="M662" s="18">
        <v>5423.32</v>
      </c>
      <c r="P662" s="18" t="s">
        <v>112</v>
      </c>
      <c r="Q662" s="18">
        <v>2048</v>
      </c>
      <c r="R662" s="18" t="s">
        <v>175</v>
      </c>
      <c r="S662" s="18">
        <f t="shared" si="36"/>
        <v>271.166</v>
      </c>
      <c r="U662">
        <v>271.166</v>
      </c>
      <c r="Z662" s="42" t="s">
        <v>105</v>
      </c>
      <c r="AA662" s="42">
        <v>2022</v>
      </c>
      <c r="AB662" s="42" t="s">
        <v>145</v>
      </c>
      <c r="AC662" s="42">
        <v>1563.27</v>
      </c>
    </row>
    <row r="663" spans="3:29">
      <c r="C663" t="s">
        <v>116</v>
      </c>
      <c r="D663">
        <v>2025</v>
      </c>
      <c r="E663" t="s">
        <v>144</v>
      </c>
      <c r="F663">
        <v>31.57</v>
      </c>
      <c r="J663" s="18" t="s">
        <v>112</v>
      </c>
      <c r="K663" s="18">
        <v>2049</v>
      </c>
      <c r="L663" s="18" t="s">
        <v>174</v>
      </c>
      <c r="M663" s="18">
        <v>5480.86</v>
      </c>
      <c r="P663" s="18" t="s">
        <v>112</v>
      </c>
      <c r="Q663" s="18">
        <v>2049</v>
      </c>
      <c r="R663" s="18" t="s">
        <v>175</v>
      </c>
      <c r="S663" s="18">
        <f t="shared" si="36"/>
        <v>274.04300000000001</v>
      </c>
      <c r="U663">
        <v>274.04300000000001</v>
      </c>
      <c r="Z663" s="42" t="s">
        <v>105</v>
      </c>
      <c r="AA663" s="42">
        <v>2023</v>
      </c>
      <c r="AB663" s="42" t="s">
        <v>146</v>
      </c>
      <c r="AC663" s="42">
        <v>497.38</v>
      </c>
    </row>
    <row r="664" spans="3:29">
      <c r="C664" t="s">
        <v>116</v>
      </c>
      <c r="D664">
        <v>2026</v>
      </c>
      <c r="E664" t="s">
        <v>145</v>
      </c>
      <c r="F664">
        <v>0.55000000000000004</v>
      </c>
      <c r="J664" s="18" t="s">
        <v>112</v>
      </c>
      <c r="K664" s="18">
        <v>2050</v>
      </c>
      <c r="L664" s="18" t="s">
        <v>174</v>
      </c>
      <c r="M664" s="18">
        <v>5543.39</v>
      </c>
      <c r="P664" s="18" t="s">
        <v>112</v>
      </c>
      <c r="Q664" s="18">
        <v>2050</v>
      </c>
      <c r="R664" s="18" t="s">
        <v>175</v>
      </c>
      <c r="S664" s="18">
        <f t="shared" si="36"/>
        <v>277.16950000000003</v>
      </c>
      <c r="U664">
        <v>277.16950000000003</v>
      </c>
      <c r="Z664" s="42" t="s">
        <v>105</v>
      </c>
      <c r="AA664" s="42">
        <v>2023</v>
      </c>
      <c r="AB664" s="42" t="s">
        <v>147</v>
      </c>
      <c r="AC664" s="42">
        <v>1402.89</v>
      </c>
    </row>
    <row r="665" spans="3:29">
      <c r="C665" t="s">
        <v>116</v>
      </c>
      <c r="D665">
        <v>2026</v>
      </c>
      <c r="E665" t="s">
        <v>141</v>
      </c>
      <c r="F665">
        <v>604.02</v>
      </c>
      <c r="J665" s="18"/>
      <c r="K665" s="18"/>
      <c r="L665" s="18"/>
      <c r="M665" s="18"/>
      <c r="Z665" s="42" t="s">
        <v>105</v>
      </c>
      <c r="AA665" s="42">
        <v>2023</v>
      </c>
      <c r="AB665" s="42" t="s">
        <v>145</v>
      </c>
      <c r="AC665" s="42">
        <v>1620.65</v>
      </c>
    </row>
    <row r="666" spans="3:29">
      <c r="C666" t="s">
        <v>116</v>
      </c>
      <c r="D666">
        <v>2026</v>
      </c>
      <c r="E666" t="s">
        <v>142</v>
      </c>
      <c r="F666">
        <v>762.88</v>
      </c>
      <c r="J666" s="18"/>
      <c r="K666" s="18"/>
      <c r="L666" s="18"/>
      <c r="M666" s="18"/>
      <c r="Z666" s="42" t="s">
        <v>105</v>
      </c>
      <c r="AA666" s="42">
        <v>2024</v>
      </c>
      <c r="AB666" s="42" t="s">
        <v>146</v>
      </c>
      <c r="AC666" s="42">
        <v>499.98</v>
      </c>
    </row>
    <row r="667" spans="3:29">
      <c r="C667" t="s">
        <v>116</v>
      </c>
      <c r="D667">
        <v>2026</v>
      </c>
      <c r="E667" t="s">
        <v>143</v>
      </c>
      <c r="F667">
        <v>610.46</v>
      </c>
      <c r="J667" s="18"/>
      <c r="K667" s="18"/>
      <c r="L667" s="18"/>
      <c r="M667" s="18"/>
      <c r="Z667" s="42" t="s">
        <v>105</v>
      </c>
      <c r="AA667" s="42">
        <v>2024</v>
      </c>
      <c r="AB667" s="42" t="s">
        <v>147</v>
      </c>
      <c r="AC667" s="42">
        <v>1408.03</v>
      </c>
    </row>
    <row r="668" spans="3:29">
      <c r="C668" t="s">
        <v>116</v>
      </c>
      <c r="D668">
        <v>2026</v>
      </c>
      <c r="E668" t="s">
        <v>144</v>
      </c>
      <c r="F668">
        <v>32.06</v>
      </c>
      <c r="J668" s="18"/>
      <c r="K668" s="18"/>
      <c r="L668" s="18"/>
      <c r="M668" s="18"/>
      <c r="Z668" s="42" t="s">
        <v>105</v>
      </c>
      <c r="AA668" s="42">
        <v>2024</v>
      </c>
      <c r="AB668" s="42" t="s">
        <v>145</v>
      </c>
      <c r="AC668" s="42">
        <v>1669.7</v>
      </c>
    </row>
    <row r="669" spans="3:29">
      <c r="C669" t="s">
        <v>116</v>
      </c>
      <c r="D669">
        <v>2027</v>
      </c>
      <c r="E669" t="s">
        <v>145</v>
      </c>
      <c r="F669">
        <v>0.62</v>
      </c>
      <c r="J669" s="18"/>
      <c r="K669" s="18"/>
      <c r="L669" s="18"/>
      <c r="M669" s="18"/>
      <c r="Z669" s="42" t="s">
        <v>105</v>
      </c>
      <c r="AA669" s="42">
        <v>2025</v>
      </c>
      <c r="AB669" s="42" t="s">
        <v>146</v>
      </c>
      <c r="AC669" s="42">
        <v>501.46</v>
      </c>
    </row>
    <row r="670" spans="3:29">
      <c r="C670" t="s">
        <v>116</v>
      </c>
      <c r="D670">
        <v>2027</v>
      </c>
      <c r="E670" t="s">
        <v>141</v>
      </c>
      <c r="F670">
        <v>610.71</v>
      </c>
      <c r="J670" s="18"/>
      <c r="K670" s="18"/>
      <c r="L670" s="18"/>
      <c r="M670" s="18"/>
      <c r="Z670" s="42" t="s">
        <v>105</v>
      </c>
      <c r="AA670" s="42">
        <v>2025</v>
      </c>
      <c r="AB670" s="42" t="s">
        <v>147</v>
      </c>
      <c r="AC670" s="42">
        <v>1410.25</v>
      </c>
    </row>
    <row r="671" spans="3:29">
      <c r="C671" t="s">
        <v>116</v>
      </c>
      <c r="D671">
        <v>2027</v>
      </c>
      <c r="E671" t="s">
        <v>142</v>
      </c>
      <c r="F671">
        <v>774.87</v>
      </c>
      <c r="J671" s="18"/>
      <c r="K671" s="18"/>
      <c r="L671" s="18"/>
      <c r="M671" s="18"/>
      <c r="Z671" s="42" t="s">
        <v>105</v>
      </c>
      <c r="AA671" s="42">
        <v>2025</v>
      </c>
      <c r="AB671" s="42" t="s">
        <v>145</v>
      </c>
      <c r="AC671" s="42">
        <v>1703.32</v>
      </c>
    </row>
    <row r="672" spans="3:29">
      <c r="C672" t="s">
        <v>116</v>
      </c>
      <c r="D672">
        <v>2027</v>
      </c>
      <c r="E672" t="s">
        <v>143</v>
      </c>
      <c r="F672">
        <v>620.16</v>
      </c>
      <c r="J672" s="18"/>
      <c r="K672" s="18"/>
      <c r="L672" s="18"/>
      <c r="M672" s="18"/>
      <c r="Z672" s="42" t="s">
        <v>105</v>
      </c>
      <c r="AA672" s="42">
        <v>2026</v>
      </c>
      <c r="AB672" s="42" t="s">
        <v>146</v>
      </c>
      <c r="AC672" s="42">
        <v>503</v>
      </c>
    </row>
    <row r="673" spans="3:29">
      <c r="C673" t="s">
        <v>116</v>
      </c>
      <c r="D673">
        <v>2027</v>
      </c>
      <c r="E673" t="s">
        <v>144</v>
      </c>
      <c r="F673">
        <v>32.6</v>
      </c>
      <c r="J673" s="18"/>
      <c r="K673" s="18"/>
      <c r="L673" s="18"/>
      <c r="M673" s="18"/>
      <c r="Z673" s="42" t="s">
        <v>105</v>
      </c>
      <c r="AA673" s="42">
        <v>2026</v>
      </c>
      <c r="AB673" s="42" t="s">
        <v>147</v>
      </c>
      <c r="AC673" s="42">
        <v>1413.55</v>
      </c>
    </row>
    <row r="674" spans="3:29">
      <c r="C674" t="s">
        <v>116</v>
      </c>
      <c r="D674">
        <v>2028</v>
      </c>
      <c r="E674" t="s">
        <v>145</v>
      </c>
      <c r="F674">
        <v>0.69</v>
      </c>
      <c r="J674" s="18"/>
      <c r="K674" s="18"/>
      <c r="L674" s="18"/>
      <c r="M674" s="18"/>
      <c r="Z674" s="42" t="s">
        <v>105</v>
      </c>
      <c r="AA674" s="42">
        <v>2026</v>
      </c>
      <c r="AB674" s="42" t="s">
        <v>145</v>
      </c>
      <c r="AC674" s="42">
        <v>1731.77</v>
      </c>
    </row>
    <row r="675" spans="3:29">
      <c r="C675" t="s">
        <v>116</v>
      </c>
      <c r="D675">
        <v>2028</v>
      </c>
      <c r="E675" t="s">
        <v>141</v>
      </c>
      <c r="F675">
        <v>616.86</v>
      </c>
      <c r="J675" s="18"/>
      <c r="K675" s="18"/>
      <c r="L675" s="18"/>
      <c r="M675" s="18"/>
      <c r="Z675" s="42" t="s">
        <v>105</v>
      </c>
      <c r="AA675" s="42">
        <v>2027</v>
      </c>
      <c r="AB675" s="42" t="s">
        <v>146</v>
      </c>
      <c r="AC675" s="42">
        <v>504.09</v>
      </c>
    </row>
    <row r="676" spans="3:29">
      <c r="C676" t="s">
        <v>116</v>
      </c>
      <c r="D676">
        <v>2028</v>
      </c>
      <c r="E676" t="s">
        <v>142</v>
      </c>
      <c r="F676">
        <v>785.52</v>
      </c>
      <c r="J676" s="18"/>
      <c r="K676" s="18"/>
      <c r="L676" s="18"/>
      <c r="M676" s="18"/>
      <c r="Z676" s="42" t="s">
        <v>105</v>
      </c>
      <c r="AA676" s="42">
        <v>2027</v>
      </c>
      <c r="AB676" s="42" t="s">
        <v>147</v>
      </c>
      <c r="AC676" s="42">
        <v>1415.57</v>
      </c>
    </row>
    <row r="677" spans="3:29">
      <c r="C677" t="s">
        <v>116</v>
      </c>
      <c r="D677">
        <v>2028</v>
      </c>
      <c r="E677" t="s">
        <v>143</v>
      </c>
      <c r="F677">
        <v>629.54</v>
      </c>
      <c r="J677" s="18"/>
      <c r="K677" s="18"/>
      <c r="L677" s="18"/>
      <c r="M677" s="18"/>
      <c r="Z677" s="42" t="s">
        <v>105</v>
      </c>
      <c r="AA677" s="42">
        <v>2027</v>
      </c>
      <c r="AB677" s="42" t="s">
        <v>145</v>
      </c>
      <c r="AC677" s="42">
        <v>1757.77</v>
      </c>
    </row>
    <row r="678" spans="3:29">
      <c r="C678" t="s">
        <v>116</v>
      </c>
      <c r="D678">
        <v>2028</v>
      </c>
      <c r="E678" t="s">
        <v>144</v>
      </c>
      <c r="F678">
        <v>33.07</v>
      </c>
      <c r="J678" s="18"/>
      <c r="K678" s="18"/>
      <c r="L678" s="18"/>
      <c r="M678" s="18"/>
      <c r="Z678" s="42" t="s">
        <v>105</v>
      </c>
      <c r="AA678" s="42">
        <v>2028</v>
      </c>
      <c r="AB678" s="42" t="s">
        <v>146</v>
      </c>
      <c r="AC678" s="42">
        <v>505.09</v>
      </c>
    </row>
    <row r="679" spans="3:29">
      <c r="C679" t="s">
        <v>116</v>
      </c>
      <c r="D679">
        <v>2029</v>
      </c>
      <c r="E679" t="s">
        <v>145</v>
      </c>
      <c r="F679">
        <v>0.74</v>
      </c>
      <c r="J679" s="18"/>
      <c r="K679" s="18"/>
      <c r="L679" s="18"/>
      <c r="M679" s="18"/>
      <c r="Z679" s="42" t="s">
        <v>105</v>
      </c>
      <c r="AA679" s="42">
        <v>2028</v>
      </c>
      <c r="AB679" s="42" t="s">
        <v>147</v>
      </c>
      <c r="AC679" s="42">
        <v>1417.56</v>
      </c>
    </row>
    <row r="680" spans="3:29">
      <c r="C680" t="s">
        <v>116</v>
      </c>
      <c r="D680">
        <v>2029</v>
      </c>
      <c r="E680" t="s">
        <v>141</v>
      </c>
      <c r="F680">
        <v>622.77</v>
      </c>
      <c r="J680" s="18"/>
      <c r="K680" s="18"/>
      <c r="L680" s="18"/>
      <c r="M680" s="18"/>
      <c r="Z680" s="42" t="s">
        <v>105</v>
      </c>
      <c r="AA680" s="42">
        <v>2028</v>
      </c>
      <c r="AB680" s="42" t="s">
        <v>145</v>
      </c>
      <c r="AC680" s="42">
        <v>1780.34</v>
      </c>
    </row>
    <row r="681" spans="3:29">
      <c r="C681" t="s">
        <v>116</v>
      </c>
      <c r="D681">
        <v>2029</v>
      </c>
      <c r="E681" t="s">
        <v>142</v>
      </c>
      <c r="F681">
        <v>795.13</v>
      </c>
      <c r="J681" s="18"/>
      <c r="K681" s="18"/>
      <c r="L681" s="18"/>
      <c r="M681" s="18"/>
      <c r="Z681" s="42" t="s">
        <v>105</v>
      </c>
      <c r="AA681" s="42">
        <v>2029</v>
      </c>
      <c r="AB681" s="42" t="s">
        <v>146</v>
      </c>
      <c r="AC681" s="42">
        <v>506.15</v>
      </c>
    </row>
    <row r="682" spans="3:29">
      <c r="C682" t="s">
        <v>116</v>
      </c>
      <c r="D682">
        <v>2029</v>
      </c>
      <c r="E682" t="s">
        <v>143</v>
      </c>
      <c r="F682">
        <v>638.73</v>
      </c>
      <c r="J682" s="18"/>
      <c r="K682" s="18"/>
      <c r="L682" s="18"/>
      <c r="M682" s="18"/>
      <c r="Z682" s="42" t="s">
        <v>105</v>
      </c>
      <c r="AA682" s="42">
        <v>2029</v>
      </c>
      <c r="AB682" s="42" t="s">
        <v>147</v>
      </c>
      <c r="AC682" s="42">
        <v>1419.69</v>
      </c>
    </row>
    <row r="683" spans="3:29">
      <c r="C683" t="s">
        <v>116</v>
      </c>
      <c r="D683">
        <v>2029</v>
      </c>
      <c r="E683" t="s">
        <v>144</v>
      </c>
      <c r="F683">
        <v>33.64</v>
      </c>
      <c r="J683" s="18"/>
      <c r="K683" s="18"/>
      <c r="L683" s="18"/>
      <c r="M683" s="18"/>
      <c r="Z683" s="42" t="s">
        <v>105</v>
      </c>
      <c r="AA683" s="42">
        <v>2029</v>
      </c>
      <c r="AB683" s="42" t="s">
        <v>145</v>
      </c>
      <c r="AC683" s="42">
        <v>1802.06</v>
      </c>
    </row>
    <row r="684" spans="3:29">
      <c r="C684" t="s">
        <v>116</v>
      </c>
      <c r="D684">
        <v>2030</v>
      </c>
      <c r="E684" t="s">
        <v>145</v>
      </c>
      <c r="F684">
        <v>0.8</v>
      </c>
      <c r="J684" s="18"/>
      <c r="K684" s="18"/>
      <c r="L684" s="18"/>
      <c r="M684" s="18"/>
      <c r="Z684" s="42" t="s">
        <v>105</v>
      </c>
      <c r="AA684" s="42">
        <v>2030</v>
      </c>
      <c r="AB684" s="42" t="s">
        <v>146</v>
      </c>
      <c r="AC684" s="42">
        <v>507.06</v>
      </c>
    </row>
    <row r="685" spans="3:29">
      <c r="C685" t="s">
        <v>116</v>
      </c>
      <c r="D685">
        <v>2030</v>
      </c>
      <c r="E685" t="s">
        <v>141</v>
      </c>
      <c r="F685">
        <v>628.85</v>
      </c>
      <c r="J685" s="18"/>
      <c r="K685" s="18"/>
      <c r="L685" s="18"/>
      <c r="M685" s="18"/>
      <c r="Z685" s="42" t="s">
        <v>105</v>
      </c>
      <c r="AA685" s="42">
        <v>2030</v>
      </c>
      <c r="AB685" s="42" t="s">
        <v>147</v>
      </c>
      <c r="AC685" s="42">
        <v>1421.01</v>
      </c>
    </row>
    <row r="686" spans="3:29">
      <c r="C686" t="s">
        <v>116</v>
      </c>
      <c r="D686">
        <v>2030</v>
      </c>
      <c r="E686" t="s">
        <v>142</v>
      </c>
      <c r="F686">
        <v>804.01</v>
      </c>
      <c r="J686" s="18"/>
      <c r="K686" s="18"/>
      <c r="L686" s="18"/>
      <c r="M686" s="18"/>
      <c r="Z686" s="42" t="s">
        <v>105</v>
      </c>
      <c r="AA686" s="42">
        <v>2030</v>
      </c>
      <c r="AB686" s="42" t="s">
        <v>145</v>
      </c>
      <c r="AC686" s="42">
        <v>1824.18</v>
      </c>
    </row>
    <row r="687" spans="3:29">
      <c r="C687" t="s">
        <v>116</v>
      </c>
      <c r="D687">
        <v>2030</v>
      </c>
      <c r="E687" t="s">
        <v>143</v>
      </c>
      <c r="F687">
        <v>647.88</v>
      </c>
      <c r="J687" s="18"/>
      <c r="K687" s="18"/>
      <c r="L687" s="18"/>
      <c r="M687" s="18"/>
      <c r="Z687" s="42" t="s">
        <v>105</v>
      </c>
      <c r="AA687" s="42">
        <v>2031</v>
      </c>
      <c r="AB687" s="42" t="s">
        <v>146</v>
      </c>
      <c r="AC687" s="42">
        <v>507.59</v>
      </c>
    </row>
    <row r="688" spans="3:29">
      <c r="C688" t="s">
        <v>116</v>
      </c>
      <c r="D688">
        <v>2030</v>
      </c>
      <c r="E688" t="s">
        <v>144</v>
      </c>
      <c r="F688">
        <v>34.200000000000003</v>
      </c>
      <c r="J688" s="18"/>
      <c r="K688" s="18"/>
      <c r="L688" s="18"/>
      <c r="M688" s="18"/>
      <c r="Z688" s="42" t="s">
        <v>105</v>
      </c>
      <c r="AA688" s="42">
        <v>2031</v>
      </c>
      <c r="AB688" s="42" t="s">
        <v>147</v>
      </c>
      <c r="AC688" s="42">
        <v>1420.76</v>
      </c>
    </row>
    <row r="689" spans="3:29">
      <c r="C689" t="s">
        <v>116</v>
      </c>
      <c r="D689">
        <v>2031</v>
      </c>
      <c r="E689" t="s">
        <v>145</v>
      </c>
      <c r="F689">
        <v>0.86</v>
      </c>
      <c r="J689" s="18"/>
      <c r="K689" s="18"/>
      <c r="L689" s="18"/>
      <c r="M689" s="18"/>
      <c r="Z689" s="42" t="s">
        <v>105</v>
      </c>
      <c r="AA689" s="42">
        <v>2031</v>
      </c>
      <c r="AB689" s="42" t="s">
        <v>145</v>
      </c>
      <c r="AC689" s="42">
        <v>1847.57</v>
      </c>
    </row>
    <row r="690" spans="3:29">
      <c r="C690" t="s">
        <v>116</v>
      </c>
      <c r="D690">
        <v>2031</v>
      </c>
      <c r="E690" t="s">
        <v>141</v>
      </c>
      <c r="F690">
        <v>639.45000000000005</v>
      </c>
      <c r="J690" s="18"/>
      <c r="K690" s="18"/>
      <c r="L690" s="18"/>
      <c r="M690" s="18"/>
      <c r="Z690" s="42" t="s">
        <v>105</v>
      </c>
      <c r="AA690" s="42">
        <v>2032</v>
      </c>
      <c r="AB690" s="42" t="s">
        <v>146</v>
      </c>
      <c r="AC690" s="42">
        <v>507.99</v>
      </c>
    </row>
    <row r="691" spans="3:29">
      <c r="C691" t="s">
        <v>116</v>
      </c>
      <c r="D691">
        <v>2031</v>
      </c>
      <c r="E691" t="s">
        <v>142</v>
      </c>
      <c r="F691">
        <v>811.57</v>
      </c>
      <c r="J691" s="18"/>
      <c r="K691" s="18"/>
      <c r="L691" s="18"/>
      <c r="M691" s="18"/>
      <c r="Z691" s="42" t="s">
        <v>105</v>
      </c>
      <c r="AA691" s="42">
        <v>2032</v>
      </c>
      <c r="AB691" s="42" t="s">
        <v>147</v>
      </c>
      <c r="AC691" s="42">
        <v>1420</v>
      </c>
    </row>
    <row r="692" spans="3:29">
      <c r="C692" t="s">
        <v>116</v>
      </c>
      <c r="D692">
        <v>2031</v>
      </c>
      <c r="E692" t="s">
        <v>143</v>
      </c>
      <c r="F692">
        <v>660.24</v>
      </c>
      <c r="J692" s="18"/>
      <c r="K692" s="18"/>
      <c r="L692" s="18"/>
      <c r="M692" s="18"/>
      <c r="Z692" s="42" t="s">
        <v>105</v>
      </c>
      <c r="AA692" s="42">
        <v>2032</v>
      </c>
      <c r="AB692" s="42" t="s">
        <v>145</v>
      </c>
      <c r="AC692" s="42">
        <v>1868.96</v>
      </c>
    </row>
    <row r="693" spans="3:29">
      <c r="C693" t="s">
        <v>116</v>
      </c>
      <c r="D693">
        <v>2031</v>
      </c>
      <c r="E693" t="s">
        <v>144</v>
      </c>
      <c r="F693">
        <v>34.979999999999997</v>
      </c>
      <c r="J693" s="18"/>
      <c r="K693" s="18"/>
      <c r="L693" s="18"/>
      <c r="M693" s="18"/>
      <c r="Z693" s="42" t="s">
        <v>105</v>
      </c>
      <c r="AA693" s="42">
        <v>2033</v>
      </c>
      <c r="AB693" s="42" t="s">
        <v>146</v>
      </c>
      <c r="AC693" s="42">
        <v>508.26</v>
      </c>
    </row>
    <row r="694" spans="3:29">
      <c r="C694" t="s">
        <v>116</v>
      </c>
      <c r="D694">
        <v>2032</v>
      </c>
      <c r="E694" t="s">
        <v>145</v>
      </c>
      <c r="F694">
        <v>0.92</v>
      </c>
      <c r="J694" s="18"/>
      <c r="K694" s="18"/>
      <c r="L694" s="18"/>
      <c r="M694" s="18"/>
      <c r="Z694" s="42" t="s">
        <v>105</v>
      </c>
      <c r="AA694" s="42">
        <v>2033</v>
      </c>
      <c r="AB694" s="42" t="s">
        <v>147</v>
      </c>
      <c r="AC694" s="42">
        <v>1418.85</v>
      </c>
    </row>
    <row r="695" spans="3:29">
      <c r="C695" t="s">
        <v>116</v>
      </c>
      <c r="D695">
        <v>2032</v>
      </c>
      <c r="E695" t="s">
        <v>141</v>
      </c>
      <c r="F695">
        <v>649.91</v>
      </c>
      <c r="J695" s="18"/>
      <c r="K695" s="18"/>
      <c r="L695" s="18"/>
      <c r="M695" s="18"/>
      <c r="Z695" s="42" t="s">
        <v>105</v>
      </c>
      <c r="AA695" s="42">
        <v>2033</v>
      </c>
      <c r="AB695" s="42" t="s">
        <v>145</v>
      </c>
      <c r="AC695" s="42">
        <v>1887.82</v>
      </c>
    </row>
    <row r="696" spans="3:29">
      <c r="C696" t="s">
        <v>116</v>
      </c>
      <c r="D696">
        <v>2032</v>
      </c>
      <c r="E696" t="s">
        <v>142</v>
      </c>
      <c r="F696">
        <v>819.17</v>
      </c>
      <c r="J696" s="18"/>
      <c r="K696" s="18"/>
      <c r="L696" s="18"/>
      <c r="M696" s="18"/>
      <c r="Z696" s="42" t="s">
        <v>105</v>
      </c>
      <c r="AA696" s="42">
        <v>2034</v>
      </c>
      <c r="AB696" s="42" t="s">
        <v>146</v>
      </c>
      <c r="AC696" s="42">
        <v>508.83</v>
      </c>
    </row>
    <row r="697" spans="3:29">
      <c r="C697" t="s">
        <v>116</v>
      </c>
      <c r="D697">
        <v>2032</v>
      </c>
      <c r="E697" t="s">
        <v>143</v>
      </c>
      <c r="F697">
        <v>672.65</v>
      </c>
      <c r="J697" s="18"/>
      <c r="K697" s="18"/>
      <c r="L697" s="18"/>
      <c r="M697" s="18"/>
      <c r="Z697" s="42" t="s">
        <v>105</v>
      </c>
      <c r="AA697" s="42">
        <v>2034</v>
      </c>
      <c r="AB697" s="42" t="s">
        <v>147</v>
      </c>
      <c r="AC697" s="42">
        <v>1418.81</v>
      </c>
    </row>
    <row r="698" spans="3:29">
      <c r="C698" t="s">
        <v>116</v>
      </c>
      <c r="D698">
        <v>2032</v>
      </c>
      <c r="E698" t="s">
        <v>144</v>
      </c>
      <c r="F698">
        <v>35.76</v>
      </c>
      <c r="J698" s="18"/>
      <c r="K698" s="18"/>
      <c r="L698" s="18"/>
      <c r="M698" s="18"/>
      <c r="Z698" s="42" t="s">
        <v>105</v>
      </c>
      <c r="AA698" s="42">
        <v>2034</v>
      </c>
      <c r="AB698" s="42" t="s">
        <v>145</v>
      </c>
      <c r="AC698" s="42">
        <v>1908.46</v>
      </c>
    </row>
    <row r="699" spans="3:29">
      <c r="C699" t="s">
        <v>116</v>
      </c>
      <c r="D699">
        <v>2033</v>
      </c>
      <c r="E699" t="s">
        <v>145</v>
      </c>
      <c r="F699">
        <v>0.96</v>
      </c>
      <c r="J699" s="18"/>
      <c r="K699" s="18"/>
      <c r="L699" s="18"/>
      <c r="M699" s="18"/>
      <c r="Z699" s="42" t="s">
        <v>105</v>
      </c>
      <c r="AA699" s="42">
        <v>2035</v>
      </c>
      <c r="AB699" s="42" t="s">
        <v>146</v>
      </c>
      <c r="AC699" s="42">
        <v>509.51</v>
      </c>
    </row>
    <row r="700" spans="3:29">
      <c r="C700" t="s">
        <v>116</v>
      </c>
      <c r="D700">
        <v>2033</v>
      </c>
      <c r="E700" t="s">
        <v>141</v>
      </c>
      <c r="F700">
        <v>659.88</v>
      </c>
      <c r="J700" s="18"/>
      <c r="K700" s="18"/>
      <c r="L700" s="18"/>
      <c r="M700" s="18"/>
      <c r="Z700" s="42" t="s">
        <v>105</v>
      </c>
      <c r="AA700" s="42">
        <v>2035</v>
      </c>
      <c r="AB700" s="42" t="s">
        <v>147</v>
      </c>
      <c r="AC700" s="42">
        <v>1419.19</v>
      </c>
    </row>
    <row r="701" spans="3:29">
      <c r="C701" t="s">
        <v>116</v>
      </c>
      <c r="D701">
        <v>2033</v>
      </c>
      <c r="E701" t="s">
        <v>142</v>
      </c>
      <c r="F701">
        <v>826.97</v>
      </c>
      <c r="J701" s="18"/>
      <c r="K701" s="18"/>
      <c r="L701" s="18"/>
      <c r="M701" s="18"/>
      <c r="Z701" s="42" t="s">
        <v>105</v>
      </c>
      <c r="AA701" s="42">
        <v>2035</v>
      </c>
      <c r="AB701" s="42" t="s">
        <v>145</v>
      </c>
      <c r="AC701" s="42">
        <v>1929.67</v>
      </c>
    </row>
    <row r="702" spans="3:29">
      <c r="C702" t="s">
        <v>116</v>
      </c>
      <c r="D702">
        <v>2033</v>
      </c>
      <c r="E702" t="s">
        <v>143</v>
      </c>
      <c r="F702">
        <v>684.97</v>
      </c>
      <c r="J702" s="18"/>
      <c r="K702" s="18"/>
      <c r="L702" s="18"/>
      <c r="M702" s="18"/>
      <c r="Z702" s="42" t="s">
        <v>105</v>
      </c>
      <c r="AA702" s="42">
        <v>2036</v>
      </c>
      <c r="AB702" s="42" t="s">
        <v>146</v>
      </c>
      <c r="AC702" s="42">
        <v>509.86</v>
      </c>
    </row>
    <row r="703" spans="3:29">
      <c r="C703" t="s">
        <v>116</v>
      </c>
      <c r="D703">
        <v>2033</v>
      </c>
      <c r="E703" t="s">
        <v>144</v>
      </c>
      <c r="F703">
        <v>36.770000000000003</v>
      </c>
      <c r="J703" s="18"/>
      <c r="K703" s="18"/>
      <c r="L703" s="18"/>
      <c r="M703" s="18"/>
      <c r="Z703" s="42" t="s">
        <v>105</v>
      </c>
      <c r="AA703" s="42">
        <v>2036</v>
      </c>
      <c r="AB703" s="42" t="s">
        <v>147</v>
      </c>
      <c r="AC703" s="42">
        <v>1418.57</v>
      </c>
    </row>
    <row r="704" spans="3:29">
      <c r="C704" t="s">
        <v>116</v>
      </c>
      <c r="D704">
        <v>2034</v>
      </c>
      <c r="E704" t="s">
        <v>145</v>
      </c>
      <c r="F704">
        <v>1.01</v>
      </c>
      <c r="J704" s="18"/>
      <c r="K704" s="18"/>
      <c r="L704" s="18"/>
      <c r="M704" s="18"/>
      <c r="Z704" s="42" t="s">
        <v>105</v>
      </c>
      <c r="AA704" s="42">
        <v>2036</v>
      </c>
      <c r="AB704" s="42" t="s">
        <v>145</v>
      </c>
      <c r="AC704" s="42">
        <v>1948.47</v>
      </c>
    </row>
    <row r="705" spans="3:29">
      <c r="C705" t="s">
        <v>116</v>
      </c>
      <c r="D705">
        <v>2034</v>
      </c>
      <c r="E705" t="s">
        <v>141</v>
      </c>
      <c r="F705">
        <v>669.63</v>
      </c>
      <c r="J705" s="18"/>
      <c r="K705" s="18"/>
      <c r="L705" s="18"/>
      <c r="M705" s="18"/>
      <c r="Z705" s="42" t="s">
        <v>105</v>
      </c>
      <c r="AA705" s="42">
        <v>2037</v>
      </c>
      <c r="AB705" s="42" t="s">
        <v>146</v>
      </c>
      <c r="AC705" s="42">
        <v>509.94</v>
      </c>
    </row>
    <row r="706" spans="3:29">
      <c r="C706" t="s">
        <v>116</v>
      </c>
      <c r="D706">
        <v>2034</v>
      </c>
      <c r="E706" t="s">
        <v>142</v>
      </c>
      <c r="F706">
        <v>834.87</v>
      </c>
      <c r="J706" s="18"/>
      <c r="K706" s="18"/>
      <c r="L706" s="18"/>
      <c r="M706" s="18"/>
      <c r="Z706" s="42" t="s">
        <v>105</v>
      </c>
      <c r="AA706" s="42">
        <v>2037</v>
      </c>
      <c r="AB706" s="42" t="s">
        <v>147</v>
      </c>
      <c r="AC706" s="42">
        <v>1417.1</v>
      </c>
    </row>
    <row r="707" spans="3:29">
      <c r="C707" t="s">
        <v>116</v>
      </c>
      <c r="D707">
        <v>2034</v>
      </c>
      <c r="E707" t="s">
        <v>143</v>
      </c>
      <c r="F707">
        <v>697.34</v>
      </c>
      <c r="J707" s="18"/>
      <c r="K707" s="18"/>
      <c r="L707" s="18"/>
      <c r="M707" s="18"/>
      <c r="Z707" s="42" t="s">
        <v>105</v>
      </c>
      <c r="AA707" s="42">
        <v>2037</v>
      </c>
      <c r="AB707" s="42" t="s">
        <v>145</v>
      </c>
      <c r="AC707" s="42">
        <v>1965.23</v>
      </c>
    </row>
    <row r="708" spans="3:29">
      <c r="C708" t="s">
        <v>116</v>
      </c>
      <c r="D708">
        <v>2034</v>
      </c>
      <c r="E708" t="s">
        <v>144</v>
      </c>
      <c r="F708">
        <v>37.799999999999997</v>
      </c>
      <c r="J708" s="18"/>
      <c r="K708" s="18"/>
      <c r="L708" s="18"/>
      <c r="M708" s="18"/>
      <c r="Z708" s="42" t="s">
        <v>105</v>
      </c>
      <c r="AA708" s="42">
        <v>2038</v>
      </c>
      <c r="AB708" s="42" t="s">
        <v>146</v>
      </c>
      <c r="AC708" s="42">
        <v>510.23</v>
      </c>
    </row>
    <row r="709" spans="3:29">
      <c r="C709" t="s">
        <v>116</v>
      </c>
      <c r="D709">
        <v>2035</v>
      </c>
      <c r="E709" t="s">
        <v>145</v>
      </c>
      <c r="F709">
        <v>1.05</v>
      </c>
      <c r="J709" s="18"/>
      <c r="K709" s="18"/>
      <c r="L709" s="18"/>
      <c r="M709" s="18"/>
      <c r="Z709" s="42" t="s">
        <v>105</v>
      </c>
      <c r="AA709" s="42">
        <v>2038</v>
      </c>
      <c r="AB709" s="42" t="s">
        <v>147</v>
      </c>
      <c r="AC709" s="42">
        <v>1416.42</v>
      </c>
    </row>
    <row r="710" spans="3:29">
      <c r="C710" t="s">
        <v>116</v>
      </c>
      <c r="D710">
        <v>2035</v>
      </c>
      <c r="E710" t="s">
        <v>141</v>
      </c>
      <c r="F710">
        <v>678.97</v>
      </c>
      <c r="J710" s="18"/>
      <c r="K710" s="18"/>
      <c r="L710" s="18"/>
      <c r="M710" s="18"/>
      <c r="Z710" s="42" t="s">
        <v>105</v>
      </c>
      <c r="AA710" s="42">
        <v>2038</v>
      </c>
      <c r="AB710" s="42" t="s">
        <v>145</v>
      </c>
      <c r="AC710" s="42">
        <v>1980.65</v>
      </c>
    </row>
    <row r="711" spans="3:29">
      <c r="C711" t="s">
        <v>116</v>
      </c>
      <c r="D711">
        <v>2035</v>
      </c>
      <c r="E711" t="s">
        <v>142</v>
      </c>
      <c r="F711">
        <v>842.28</v>
      </c>
      <c r="J711" s="18"/>
      <c r="K711" s="18"/>
      <c r="L711" s="18"/>
      <c r="M711" s="18"/>
      <c r="Z711" s="42" t="s">
        <v>105</v>
      </c>
      <c r="AA711" s="42">
        <v>2039</v>
      </c>
      <c r="AB711" s="42" t="s">
        <v>146</v>
      </c>
      <c r="AC711" s="42">
        <v>510.17</v>
      </c>
    </row>
    <row r="712" spans="3:29">
      <c r="C712" t="s">
        <v>116</v>
      </c>
      <c r="D712">
        <v>2035</v>
      </c>
      <c r="E712" t="s">
        <v>143</v>
      </c>
      <c r="F712">
        <v>709.53</v>
      </c>
      <c r="J712" s="18"/>
      <c r="K712" s="18"/>
      <c r="L712" s="18"/>
      <c r="M712" s="18"/>
      <c r="Z712" s="42" t="s">
        <v>105</v>
      </c>
      <c r="AA712" s="42">
        <v>2039</v>
      </c>
      <c r="AB712" s="42" t="s">
        <v>147</v>
      </c>
      <c r="AC712" s="42">
        <v>1414.57</v>
      </c>
    </row>
    <row r="713" spans="3:29">
      <c r="C713" t="s">
        <v>116</v>
      </c>
      <c r="D713">
        <v>2035</v>
      </c>
      <c r="E713" t="s">
        <v>144</v>
      </c>
      <c r="F713">
        <v>38.96</v>
      </c>
      <c r="J713" s="18"/>
      <c r="K713" s="18"/>
      <c r="L713" s="18"/>
      <c r="M713" s="18"/>
      <c r="Z713" s="42" t="s">
        <v>105</v>
      </c>
      <c r="AA713" s="42">
        <v>2039</v>
      </c>
      <c r="AB713" s="42" t="s">
        <v>145</v>
      </c>
      <c r="AC713" s="42">
        <v>1994.88</v>
      </c>
    </row>
    <row r="714" spans="3:29">
      <c r="C714" t="s">
        <v>116</v>
      </c>
      <c r="D714">
        <v>2036</v>
      </c>
      <c r="E714" t="s">
        <v>145</v>
      </c>
      <c r="F714">
        <v>1.08</v>
      </c>
      <c r="J714" s="18"/>
      <c r="K714" s="18"/>
      <c r="L714" s="18"/>
      <c r="M714" s="18"/>
      <c r="Z714" s="42" t="s">
        <v>105</v>
      </c>
      <c r="AA714" s="42">
        <v>2040</v>
      </c>
      <c r="AB714" s="42" t="s">
        <v>146</v>
      </c>
      <c r="AC714" s="42">
        <v>510.26</v>
      </c>
    </row>
    <row r="715" spans="3:29">
      <c r="C715" t="s">
        <v>116</v>
      </c>
      <c r="D715">
        <v>2036</v>
      </c>
      <c r="E715" t="s">
        <v>141</v>
      </c>
      <c r="F715">
        <v>688.94</v>
      </c>
      <c r="J715" s="18"/>
      <c r="K715" s="18"/>
      <c r="L715" s="18"/>
      <c r="M715" s="18"/>
      <c r="Z715" s="42" t="s">
        <v>105</v>
      </c>
      <c r="AA715" s="42">
        <v>2040</v>
      </c>
      <c r="AB715" s="42" t="s">
        <v>147</v>
      </c>
      <c r="AC715" s="42">
        <v>1413.35</v>
      </c>
    </row>
    <row r="716" spans="3:29">
      <c r="C716" t="s">
        <v>116</v>
      </c>
      <c r="D716">
        <v>2036</v>
      </c>
      <c r="E716" t="s">
        <v>142</v>
      </c>
      <c r="F716">
        <v>849.01</v>
      </c>
      <c r="J716" s="18"/>
      <c r="K716" s="18"/>
      <c r="L716" s="18"/>
      <c r="M716" s="18"/>
      <c r="Z716" s="42" t="s">
        <v>105</v>
      </c>
      <c r="AA716" s="42">
        <v>2040</v>
      </c>
      <c r="AB716" s="42" t="s">
        <v>145</v>
      </c>
      <c r="AC716" s="42">
        <v>2007.7</v>
      </c>
    </row>
    <row r="717" spans="3:29">
      <c r="C717" t="s">
        <v>116</v>
      </c>
      <c r="D717">
        <v>2036</v>
      </c>
      <c r="E717" t="s">
        <v>143</v>
      </c>
      <c r="F717">
        <v>722.82</v>
      </c>
      <c r="J717" s="18"/>
      <c r="K717" s="18"/>
      <c r="L717" s="18"/>
      <c r="M717" s="18"/>
      <c r="Z717" s="42" t="s">
        <v>105</v>
      </c>
      <c r="AA717" s="42">
        <v>2041</v>
      </c>
      <c r="AB717" s="42" t="s">
        <v>146</v>
      </c>
      <c r="AC717" s="42">
        <v>510.45</v>
      </c>
    </row>
    <row r="718" spans="3:29">
      <c r="C718" t="s">
        <v>116</v>
      </c>
      <c r="D718">
        <v>2036</v>
      </c>
      <c r="E718" t="s">
        <v>144</v>
      </c>
      <c r="F718">
        <v>40.21</v>
      </c>
      <c r="J718" s="18"/>
      <c r="K718" s="18"/>
      <c r="L718" s="18"/>
      <c r="M718" s="18"/>
      <c r="Z718" s="42" t="s">
        <v>105</v>
      </c>
      <c r="AA718" s="42">
        <v>2041</v>
      </c>
      <c r="AB718" s="42" t="s">
        <v>147</v>
      </c>
      <c r="AC718" s="42">
        <v>1412.46</v>
      </c>
    </row>
    <row r="719" spans="3:29">
      <c r="C719" t="s">
        <v>116</v>
      </c>
      <c r="D719">
        <v>2037</v>
      </c>
      <c r="E719" t="s">
        <v>145</v>
      </c>
      <c r="F719">
        <v>1.1000000000000001</v>
      </c>
      <c r="J719" s="18"/>
      <c r="K719" s="18"/>
      <c r="L719" s="18"/>
      <c r="M719" s="18"/>
      <c r="Z719" s="42" t="s">
        <v>105</v>
      </c>
      <c r="AA719" s="42">
        <v>2041</v>
      </c>
      <c r="AB719" s="42" t="s">
        <v>145</v>
      </c>
      <c r="AC719" s="42">
        <v>2020.89</v>
      </c>
    </row>
    <row r="720" spans="3:29">
      <c r="C720" t="s">
        <v>116</v>
      </c>
      <c r="D720">
        <v>2037</v>
      </c>
      <c r="E720" t="s">
        <v>141</v>
      </c>
      <c r="F720">
        <v>698.65</v>
      </c>
      <c r="J720" s="18"/>
      <c r="K720" s="18"/>
      <c r="L720" s="18"/>
      <c r="M720" s="18"/>
      <c r="Z720" s="42" t="s">
        <v>105</v>
      </c>
      <c r="AA720" s="42">
        <v>2042</v>
      </c>
      <c r="AB720" s="42" t="s">
        <v>146</v>
      </c>
      <c r="AC720" s="42">
        <v>510.49</v>
      </c>
    </row>
    <row r="721" spans="3:29">
      <c r="C721" t="s">
        <v>116</v>
      </c>
      <c r="D721">
        <v>2037</v>
      </c>
      <c r="E721" t="s">
        <v>142</v>
      </c>
      <c r="F721">
        <v>854.8</v>
      </c>
      <c r="J721" s="18"/>
      <c r="K721" s="18"/>
      <c r="L721" s="18"/>
      <c r="M721" s="18"/>
      <c r="Z721" s="42" t="s">
        <v>105</v>
      </c>
      <c r="AA721" s="42">
        <v>2042</v>
      </c>
      <c r="AB721" s="42" t="s">
        <v>147</v>
      </c>
      <c r="AC721" s="42">
        <v>1411.12</v>
      </c>
    </row>
    <row r="722" spans="3:29">
      <c r="C722" t="s">
        <v>116</v>
      </c>
      <c r="D722">
        <v>2037</v>
      </c>
      <c r="E722" t="s">
        <v>143</v>
      </c>
      <c r="F722">
        <v>736.09</v>
      </c>
      <c r="J722" s="18"/>
      <c r="K722" s="18"/>
      <c r="L722" s="18"/>
      <c r="M722" s="18"/>
      <c r="Z722" s="42" t="s">
        <v>105</v>
      </c>
      <c r="AA722" s="42">
        <v>2042</v>
      </c>
      <c r="AB722" s="42" t="s">
        <v>145</v>
      </c>
      <c r="AC722" s="42">
        <v>2032.34</v>
      </c>
    </row>
    <row r="723" spans="3:29">
      <c r="C723" t="s">
        <v>116</v>
      </c>
      <c r="D723">
        <v>2037</v>
      </c>
      <c r="E723" t="s">
        <v>144</v>
      </c>
      <c r="F723">
        <v>41.52</v>
      </c>
      <c r="J723" s="18"/>
      <c r="K723" s="18"/>
      <c r="L723" s="18"/>
      <c r="M723" s="18"/>
      <c r="Z723" s="42" t="s">
        <v>105</v>
      </c>
      <c r="AA723" s="42">
        <v>2043</v>
      </c>
      <c r="AB723" s="42" t="s">
        <v>146</v>
      </c>
      <c r="AC723" s="42">
        <v>510.35</v>
      </c>
    </row>
    <row r="724" spans="3:29">
      <c r="C724" t="s">
        <v>116</v>
      </c>
      <c r="D724">
        <v>2038</v>
      </c>
      <c r="E724" t="s">
        <v>145</v>
      </c>
      <c r="F724">
        <v>1.1200000000000001</v>
      </c>
      <c r="J724" s="18"/>
      <c r="K724" s="18"/>
      <c r="L724" s="18"/>
      <c r="M724" s="18"/>
      <c r="Z724" s="42" t="s">
        <v>105</v>
      </c>
      <c r="AA724" s="42">
        <v>2043</v>
      </c>
      <c r="AB724" s="42" t="s">
        <v>147</v>
      </c>
      <c r="AC724" s="42">
        <v>1409.21</v>
      </c>
    </row>
    <row r="725" spans="3:29">
      <c r="C725" t="s">
        <v>116</v>
      </c>
      <c r="D725">
        <v>2038</v>
      </c>
      <c r="E725" t="s">
        <v>141</v>
      </c>
      <c r="F725">
        <v>708.17</v>
      </c>
      <c r="J725" s="18"/>
      <c r="K725" s="18"/>
      <c r="L725" s="18"/>
      <c r="M725" s="18"/>
      <c r="Z725" s="42" t="s">
        <v>105</v>
      </c>
      <c r="AA725" s="42">
        <v>2043</v>
      </c>
      <c r="AB725" s="42" t="s">
        <v>145</v>
      </c>
      <c r="AC725" s="42">
        <v>2042.99</v>
      </c>
    </row>
    <row r="726" spans="3:29">
      <c r="C726" t="s">
        <v>116</v>
      </c>
      <c r="D726">
        <v>2038</v>
      </c>
      <c r="E726" t="s">
        <v>142</v>
      </c>
      <c r="F726">
        <v>859.89</v>
      </c>
      <c r="J726" s="18"/>
      <c r="K726" s="18"/>
      <c r="L726" s="18"/>
      <c r="M726" s="18"/>
      <c r="Z726" s="42" t="s">
        <v>105</v>
      </c>
      <c r="AA726" s="42">
        <v>2044</v>
      </c>
      <c r="AB726" s="42" t="s">
        <v>146</v>
      </c>
      <c r="AC726" s="42">
        <v>510.15</v>
      </c>
    </row>
    <row r="727" spans="3:29">
      <c r="C727" t="s">
        <v>116</v>
      </c>
      <c r="D727">
        <v>2038</v>
      </c>
      <c r="E727" t="s">
        <v>143</v>
      </c>
      <c r="F727">
        <v>749.46</v>
      </c>
      <c r="J727" s="18"/>
      <c r="K727" s="18"/>
      <c r="L727" s="18"/>
      <c r="M727" s="18"/>
      <c r="Z727" s="42" t="s">
        <v>105</v>
      </c>
      <c r="AA727" s="42">
        <v>2044</v>
      </c>
      <c r="AB727" s="42" t="s">
        <v>147</v>
      </c>
      <c r="AC727" s="42">
        <v>1407.14</v>
      </c>
    </row>
    <row r="728" spans="3:29">
      <c r="C728" t="s">
        <v>116</v>
      </c>
      <c r="D728">
        <v>2038</v>
      </c>
      <c r="E728" t="s">
        <v>144</v>
      </c>
      <c r="F728">
        <v>42.87</v>
      </c>
      <c r="J728" s="18"/>
      <c r="K728" s="18"/>
      <c r="L728" s="18"/>
      <c r="M728" s="18"/>
      <c r="Z728" s="42" t="s">
        <v>105</v>
      </c>
      <c r="AA728" s="42">
        <v>2044</v>
      </c>
      <c r="AB728" s="42" t="s">
        <v>145</v>
      </c>
      <c r="AC728" s="42">
        <v>2052.35</v>
      </c>
    </row>
    <row r="729" spans="3:29">
      <c r="C729" t="s">
        <v>116</v>
      </c>
      <c r="D729">
        <v>2039</v>
      </c>
      <c r="E729" t="s">
        <v>145</v>
      </c>
      <c r="F729">
        <v>1.1399999999999999</v>
      </c>
      <c r="J729" s="18"/>
      <c r="K729" s="18"/>
      <c r="L729" s="18"/>
      <c r="M729" s="18"/>
      <c r="Z729" s="42" t="s">
        <v>105</v>
      </c>
      <c r="AA729" s="42">
        <v>2045</v>
      </c>
      <c r="AB729" s="42" t="s">
        <v>146</v>
      </c>
      <c r="AC729" s="42">
        <v>509.83</v>
      </c>
    </row>
    <row r="730" spans="3:29">
      <c r="C730" t="s">
        <v>116</v>
      </c>
      <c r="D730">
        <v>2039</v>
      </c>
      <c r="E730" t="s">
        <v>141</v>
      </c>
      <c r="F730">
        <v>717.35</v>
      </c>
      <c r="J730" s="18"/>
      <c r="K730" s="18"/>
      <c r="L730" s="18"/>
      <c r="M730" s="18"/>
      <c r="Z730" s="42" t="s">
        <v>105</v>
      </c>
      <c r="AA730" s="42">
        <v>2045</v>
      </c>
      <c r="AB730" s="42" t="s">
        <v>147</v>
      </c>
      <c r="AC730" s="42">
        <v>1404.71</v>
      </c>
    </row>
    <row r="731" spans="3:29">
      <c r="C731" t="s">
        <v>116</v>
      </c>
      <c r="D731">
        <v>2039</v>
      </c>
      <c r="E731" t="s">
        <v>142</v>
      </c>
      <c r="F731">
        <v>864.27</v>
      </c>
      <c r="J731" s="18"/>
      <c r="K731" s="18"/>
      <c r="L731" s="18"/>
      <c r="M731" s="18"/>
      <c r="Z731" s="42" t="s">
        <v>105</v>
      </c>
      <c r="AA731" s="42">
        <v>2045</v>
      </c>
      <c r="AB731" s="42" t="s">
        <v>145</v>
      </c>
      <c r="AC731" s="42">
        <v>2061.5500000000002</v>
      </c>
    </row>
    <row r="732" spans="3:29">
      <c r="C732" t="s">
        <v>116</v>
      </c>
      <c r="D732">
        <v>2039</v>
      </c>
      <c r="E732" t="s">
        <v>143</v>
      </c>
      <c r="F732">
        <v>762.92</v>
      </c>
      <c r="J732" s="18"/>
      <c r="K732" s="18"/>
      <c r="L732" s="18"/>
      <c r="M732" s="18"/>
      <c r="Z732" s="42" t="s">
        <v>105</v>
      </c>
      <c r="AA732" s="42">
        <v>2046</v>
      </c>
      <c r="AB732" s="42" t="s">
        <v>146</v>
      </c>
      <c r="AC732" s="42">
        <v>509.38</v>
      </c>
    </row>
    <row r="733" spans="3:29">
      <c r="C733" t="s">
        <v>116</v>
      </c>
      <c r="D733">
        <v>2039</v>
      </c>
      <c r="E733" t="s">
        <v>144</v>
      </c>
      <c r="F733">
        <v>44.39</v>
      </c>
      <c r="J733" s="18"/>
      <c r="K733" s="18"/>
      <c r="L733" s="18"/>
      <c r="M733" s="18"/>
      <c r="Z733" s="42" t="s">
        <v>105</v>
      </c>
      <c r="AA733" s="42">
        <v>2046</v>
      </c>
      <c r="AB733" s="42" t="s">
        <v>147</v>
      </c>
      <c r="AC733" s="42">
        <v>1401.94</v>
      </c>
    </row>
    <row r="734" spans="3:29">
      <c r="C734" t="s">
        <v>116</v>
      </c>
      <c r="D734">
        <v>2040</v>
      </c>
      <c r="E734" t="s">
        <v>145</v>
      </c>
      <c r="F734">
        <v>1.1499999999999999</v>
      </c>
      <c r="J734" s="18"/>
      <c r="K734" s="18"/>
      <c r="L734" s="18"/>
      <c r="M734" s="18"/>
      <c r="Z734" s="42" t="s">
        <v>105</v>
      </c>
      <c r="AA734" s="42">
        <v>2046</v>
      </c>
      <c r="AB734" s="42" t="s">
        <v>145</v>
      </c>
      <c r="AC734" s="42">
        <v>2068.1</v>
      </c>
    </row>
    <row r="735" spans="3:29">
      <c r="C735" t="s">
        <v>116</v>
      </c>
      <c r="D735">
        <v>2040</v>
      </c>
      <c r="E735" t="s">
        <v>141</v>
      </c>
      <c r="F735">
        <v>726.67</v>
      </c>
      <c r="J735" s="18"/>
      <c r="K735" s="18"/>
      <c r="L735" s="18"/>
      <c r="M735" s="18"/>
      <c r="Z735" s="42" t="s">
        <v>105</v>
      </c>
      <c r="AA735" s="42">
        <v>2047</v>
      </c>
      <c r="AB735" s="42" t="s">
        <v>146</v>
      </c>
      <c r="AC735" s="42">
        <v>508.79</v>
      </c>
    </row>
    <row r="736" spans="3:29">
      <c r="C736" t="s">
        <v>116</v>
      </c>
      <c r="D736">
        <v>2040</v>
      </c>
      <c r="E736" t="s">
        <v>142</v>
      </c>
      <c r="F736">
        <v>868.23</v>
      </c>
      <c r="J736" s="18"/>
      <c r="K736" s="18"/>
      <c r="L736" s="18"/>
      <c r="M736" s="18"/>
      <c r="Z736" s="42" t="s">
        <v>105</v>
      </c>
      <c r="AA736" s="42">
        <v>2047</v>
      </c>
      <c r="AB736" s="42" t="s">
        <v>147</v>
      </c>
      <c r="AC736" s="42">
        <v>1398.62</v>
      </c>
    </row>
    <row r="737" spans="3:29">
      <c r="C737" t="s">
        <v>116</v>
      </c>
      <c r="D737">
        <v>2040</v>
      </c>
      <c r="E737" t="s">
        <v>143</v>
      </c>
      <c r="F737">
        <v>776.6</v>
      </c>
      <c r="J737" s="18"/>
      <c r="K737" s="18"/>
      <c r="L737" s="18"/>
      <c r="M737" s="18"/>
      <c r="Z737" s="42" t="s">
        <v>105</v>
      </c>
      <c r="AA737" s="42">
        <v>2047</v>
      </c>
      <c r="AB737" s="42" t="s">
        <v>145</v>
      </c>
      <c r="AC737" s="42">
        <v>2075.77</v>
      </c>
    </row>
    <row r="738" spans="3:29">
      <c r="C738" t="s">
        <v>116</v>
      </c>
      <c r="D738">
        <v>2040</v>
      </c>
      <c r="E738" t="s">
        <v>144</v>
      </c>
      <c r="F738">
        <v>46.05</v>
      </c>
      <c r="J738" s="18"/>
      <c r="K738" s="18"/>
      <c r="L738" s="18"/>
      <c r="M738" s="18"/>
      <c r="Z738" s="42" t="s">
        <v>105</v>
      </c>
      <c r="AA738" s="42">
        <v>2048</v>
      </c>
      <c r="AB738" s="42" t="s">
        <v>146</v>
      </c>
      <c r="AC738" s="42">
        <v>508.72</v>
      </c>
    </row>
    <row r="739" spans="3:29">
      <c r="C739" t="s">
        <v>116</v>
      </c>
      <c r="D739">
        <v>2041</v>
      </c>
      <c r="E739" t="s">
        <v>145</v>
      </c>
      <c r="F739">
        <v>1.1599999999999999</v>
      </c>
      <c r="J739" s="18"/>
      <c r="K739" s="18"/>
      <c r="L739" s="18"/>
      <c r="M739" s="18"/>
      <c r="Z739" s="42" t="s">
        <v>105</v>
      </c>
      <c r="AA739" s="42">
        <v>2048</v>
      </c>
      <c r="AB739" s="42" t="s">
        <v>147</v>
      </c>
      <c r="AC739" s="42">
        <v>1397.24</v>
      </c>
    </row>
    <row r="740" spans="3:29">
      <c r="C740" t="s">
        <v>116</v>
      </c>
      <c r="D740">
        <v>2041</v>
      </c>
      <c r="E740" t="s">
        <v>141</v>
      </c>
      <c r="F740">
        <v>730.58</v>
      </c>
      <c r="J740" s="18"/>
      <c r="K740" s="18"/>
      <c r="L740" s="18"/>
      <c r="M740" s="18"/>
      <c r="Z740" s="42" t="s">
        <v>105</v>
      </c>
      <c r="AA740" s="42">
        <v>2048</v>
      </c>
      <c r="AB740" s="42" t="s">
        <v>145</v>
      </c>
      <c r="AC740" s="42">
        <v>2080.92</v>
      </c>
    </row>
    <row r="741" spans="3:29">
      <c r="C741" t="s">
        <v>116</v>
      </c>
      <c r="D741">
        <v>2041</v>
      </c>
      <c r="E741" t="s">
        <v>142</v>
      </c>
      <c r="F741">
        <v>871.83</v>
      </c>
      <c r="J741" s="18"/>
      <c r="K741" s="18"/>
      <c r="L741" s="18"/>
      <c r="M741" s="18"/>
      <c r="Z741" s="42" t="s">
        <v>105</v>
      </c>
      <c r="AA741" s="42">
        <v>2049</v>
      </c>
      <c r="AB741" s="42" t="s">
        <v>146</v>
      </c>
      <c r="AC741" s="42">
        <v>507.93</v>
      </c>
    </row>
    <row r="742" spans="3:29">
      <c r="C742" t="s">
        <v>116</v>
      </c>
      <c r="D742">
        <v>2041</v>
      </c>
      <c r="E742" t="s">
        <v>143</v>
      </c>
      <c r="F742">
        <v>784.19</v>
      </c>
      <c r="J742" s="18"/>
      <c r="K742" s="18"/>
      <c r="L742" s="18"/>
      <c r="M742" s="18"/>
      <c r="Z742" s="42" t="s">
        <v>105</v>
      </c>
      <c r="AA742" s="42">
        <v>2049</v>
      </c>
      <c r="AB742" s="42" t="s">
        <v>147</v>
      </c>
      <c r="AC742" s="42">
        <v>1393.38</v>
      </c>
    </row>
    <row r="743" spans="3:29">
      <c r="C743" t="s">
        <v>116</v>
      </c>
      <c r="D743">
        <v>2041</v>
      </c>
      <c r="E743" t="s">
        <v>144</v>
      </c>
      <c r="F743">
        <v>47.75</v>
      </c>
      <c r="J743" s="18"/>
      <c r="K743" s="18"/>
      <c r="L743" s="18"/>
      <c r="M743" s="18"/>
      <c r="Z743" s="42" t="s">
        <v>105</v>
      </c>
      <c r="AA743" s="42">
        <v>2049</v>
      </c>
      <c r="AB743" s="42" t="s">
        <v>145</v>
      </c>
      <c r="AC743" s="42">
        <v>2084.9899999999998</v>
      </c>
    </row>
    <row r="744" spans="3:29">
      <c r="C744" t="s">
        <v>116</v>
      </c>
      <c r="D744">
        <v>2042</v>
      </c>
      <c r="E744" t="s">
        <v>145</v>
      </c>
      <c r="F744">
        <v>1.17</v>
      </c>
      <c r="J744" s="18"/>
      <c r="K744" s="18"/>
      <c r="L744" s="18"/>
      <c r="M744" s="18"/>
      <c r="Z744" s="42" t="s">
        <v>105</v>
      </c>
      <c r="AA744" s="42">
        <v>2050</v>
      </c>
      <c r="AB744" s="42" t="s">
        <v>146</v>
      </c>
      <c r="AC744" s="42">
        <v>507.54</v>
      </c>
    </row>
    <row r="745" spans="3:29">
      <c r="C745" t="s">
        <v>116</v>
      </c>
      <c r="D745">
        <v>2042</v>
      </c>
      <c r="E745" t="s">
        <v>141</v>
      </c>
      <c r="F745">
        <v>734.24</v>
      </c>
      <c r="J745" s="18"/>
      <c r="K745" s="18"/>
      <c r="L745" s="18"/>
      <c r="M745" s="18"/>
      <c r="Z745" s="42" t="s">
        <v>105</v>
      </c>
      <c r="AA745" s="42">
        <v>2050</v>
      </c>
      <c r="AB745" s="42" t="s">
        <v>147</v>
      </c>
      <c r="AC745" s="42">
        <v>1390.99</v>
      </c>
    </row>
    <row r="746" spans="3:29">
      <c r="C746" t="s">
        <v>116</v>
      </c>
      <c r="D746">
        <v>2042</v>
      </c>
      <c r="E746" t="s">
        <v>142</v>
      </c>
      <c r="F746">
        <v>875.03</v>
      </c>
      <c r="J746" s="18"/>
      <c r="K746" s="18"/>
      <c r="L746" s="18"/>
      <c r="M746" s="18"/>
      <c r="Z746" s="42" t="s">
        <v>105</v>
      </c>
      <c r="AA746" s="42">
        <v>2050</v>
      </c>
      <c r="AB746" s="42" t="s">
        <v>145</v>
      </c>
      <c r="AC746" s="42">
        <v>2088.66</v>
      </c>
    </row>
    <row r="747" spans="3:29">
      <c r="C747" t="s">
        <v>116</v>
      </c>
      <c r="D747">
        <v>2042</v>
      </c>
      <c r="E747" t="s">
        <v>143</v>
      </c>
      <c r="F747">
        <v>791.73</v>
      </c>
      <c r="J747" s="18"/>
      <c r="K747" s="18"/>
      <c r="L747" s="18"/>
      <c r="M747" s="18"/>
      <c r="Z747" s="42" t="s">
        <v>51</v>
      </c>
      <c r="AA747" s="42">
        <v>2019</v>
      </c>
      <c r="AB747" s="42" t="s">
        <v>146</v>
      </c>
      <c r="AC747" s="42">
        <v>27.87</v>
      </c>
    </row>
    <row r="748" spans="3:29">
      <c r="C748" t="s">
        <v>116</v>
      </c>
      <c r="D748">
        <v>2042</v>
      </c>
      <c r="E748" t="s">
        <v>144</v>
      </c>
      <c r="F748">
        <v>49.51</v>
      </c>
      <c r="J748" s="18"/>
      <c r="K748" s="18"/>
      <c r="L748" s="18"/>
      <c r="M748" s="18"/>
      <c r="Z748" s="42" t="s">
        <v>51</v>
      </c>
      <c r="AA748" s="42">
        <v>2019</v>
      </c>
      <c r="AB748" s="42" t="s">
        <v>147</v>
      </c>
      <c r="AC748" s="42">
        <v>168.99</v>
      </c>
    </row>
    <row r="749" spans="3:29">
      <c r="C749" t="s">
        <v>116</v>
      </c>
      <c r="D749">
        <v>2043</v>
      </c>
      <c r="E749" t="s">
        <v>145</v>
      </c>
      <c r="F749">
        <v>1.18</v>
      </c>
      <c r="J749" s="18"/>
      <c r="K749" s="18"/>
      <c r="L749" s="18"/>
      <c r="M749" s="18"/>
      <c r="Z749" s="42" t="s">
        <v>51</v>
      </c>
      <c r="AA749" s="42">
        <v>2019</v>
      </c>
      <c r="AB749" s="42" t="s">
        <v>145</v>
      </c>
      <c r="AC749" s="42">
        <v>205.49</v>
      </c>
    </row>
    <row r="750" spans="3:29">
      <c r="C750" t="s">
        <v>116</v>
      </c>
      <c r="D750">
        <v>2043</v>
      </c>
      <c r="E750" t="s">
        <v>141</v>
      </c>
      <c r="F750">
        <v>737.65</v>
      </c>
      <c r="J750" s="18"/>
      <c r="K750" s="18"/>
      <c r="L750" s="18"/>
      <c r="M750" s="18"/>
      <c r="Z750" s="42" t="s">
        <v>51</v>
      </c>
      <c r="AA750" s="42">
        <v>2020</v>
      </c>
      <c r="AB750" s="42" t="s">
        <v>146</v>
      </c>
      <c r="AC750" s="42">
        <v>27.73</v>
      </c>
    </row>
    <row r="751" spans="3:29">
      <c r="C751" t="s">
        <v>116</v>
      </c>
      <c r="D751">
        <v>2043</v>
      </c>
      <c r="E751" t="s">
        <v>142</v>
      </c>
      <c r="F751">
        <v>877.83</v>
      </c>
      <c r="J751" s="18"/>
      <c r="K751" s="18"/>
      <c r="L751" s="18"/>
      <c r="M751" s="18"/>
      <c r="Z751" s="42" t="s">
        <v>51</v>
      </c>
      <c r="AA751" s="42">
        <v>2020</v>
      </c>
      <c r="AB751" s="42" t="s">
        <v>147</v>
      </c>
      <c r="AC751" s="42">
        <v>167.92</v>
      </c>
    </row>
    <row r="752" spans="3:29">
      <c r="C752" t="s">
        <v>116</v>
      </c>
      <c r="D752">
        <v>2043</v>
      </c>
      <c r="E752" t="s">
        <v>143</v>
      </c>
      <c r="F752">
        <v>799.24</v>
      </c>
      <c r="J752" s="18"/>
      <c r="K752" s="18"/>
      <c r="L752" s="18"/>
      <c r="M752" s="18"/>
      <c r="Z752" s="42" t="s">
        <v>51</v>
      </c>
      <c r="AA752" s="42">
        <v>2020</v>
      </c>
      <c r="AB752" s="42" t="s">
        <v>145</v>
      </c>
      <c r="AC752" s="42">
        <v>192.42</v>
      </c>
    </row>
    <row r="753" spans="3:29">
      <c r="C753" t="s">
        <v>116</v>
      </c>
      <c r="D753">
        <v>2043</v>
      </c>
      <c r="E753" t="s">
        <v>144</v>
      </c>
      <c r="F753">
        <v>51.34</v>
      </c>
      <c r="J753" s="18"/>
      <c r="K753" s="18"/>
      <c r="L753" s="18"/>
      <c r="M753" s="18"/>
      <c r="Z753" s="42" t="s">
        <v>51</v>
      </c>
      <c r="AA753" s="42">
        <v>2021</v>
      </c>
      <c r="AB753" s="42" t="s">
        <v>146</v>
      </c>
      <c r="AC753" s="42">
        <v>27.52</v>
      </c>
    </row>
    <row r="754" spans="3:29">
      <c r="C754" t="s">
        <v>116</v>
      </c>
      <c r="D754">
        <v>2044</v>
      </c>
      <c r="E754" t="s">
        <v>145</v>
      </c>
      <c r="F754">
        <v>1.18</v>
      </c>
      <c r="J754" s="18"/>
      <c r="K754" s="18"/>
      <c r="L754" s="18"/>
      <c r="M754" s="18"/>
      <c r="Z754" s="42" t="s">
        <v>51</v>
      </c>
      <c r="AA754" s="42">
        <v>2021</v>
      </c>
      <c r="AB754" s="42" t="s">
        <v>147</v>
      </c>
      <c r="AC754" s="42">
        <v>166.15</v>
      </c>
    </row>
    <row r="755" spans="3:29">
      <c r="C755" t="s">
        <v>116</v>
      </c>
      <c r="D755">
        <v>2044</v>
      </c>
      <c r="E755" t="s">
        <v>141</v>
      </c>
      <c r="F755">
        <v>740.83</v>
      </c>
      <c r="J755" s="18"/>
      <c r="K755" s="18"/>
      <c r="L755" s="18"/>
      <c r="M755" s="18"/>
      <c r="Z755" s="42" t="s">
        <v>51</v>
      </c>
      <c r="AA755" s="42">
        <v>2021</v>
      </c>
      <c r="AB755" s="42" t="s">
        <v>145</v>
      </c>
      <c r="AC755" s="42">
        <v>196.45</v>
      </c>
    </row>
    <row r="756" spans="3:29">
      <c r="C756" t="s">
        <v>116</v>
      </c>
      <c r="D756">
        <v>2044</v>
      </c>
      <c r="E756" t="s">
        <v>142</v>
      </c>
      <c r="F756">
        <v>880.31</v>
      </c>
      <c r="J756" s="18"/>
      <c r="K756" s="18"/>
      <c r="L756" s="18"/>
      <c r="M756" s="18"/>
      <c r="Z756" s="42" t="s">
        <v>51</v>
      </c>
      <c r="AA756" s="42">
        <v>2022</v>
      </c>
      <c r="AB756" s="42" t="s">
        <v>146</v>
      </c>
      <c r="AC756" s="42">
        <v>27.3</v>
      </c>
    </row>
    <row r="757" spans="3:29">
      <c r="C757" t="s">
        <v>116</v>
      </c>
      <c r="D757">
        <v>2044</v>
      </c>
      <c r="E757" t="s">
        <v>143</v>
      </c>
      <c r="F757">
        <v>806.66</v>
      </c>
      <c r="J757" s="18"/>
      <c r="K757" s="18"/>
      <c r="L757" s="18"/>
      <c r="M757" s="18"/>
      <c r="Z757" s="42" t="s">
        <v>51</v>
      </c>
      <c r="AA757" s="42">
        <v>2022</v>
      </c>
      <c r="AB757" s="42" t="s">
        <v>147</v>
      </c>
      <c r="AC757" s="42">
        <v>164.18</v>
      </c>
    </row>
    <row r="758" spans="3:29">
      <c r="C758" t="s">
        <v>116</v>
      </c>
      <c r="D758">
        <v>2044</v>
      </c>
      <c r="E758" t="s">
        <v>144</v>
      </c>
      <c r="F758">
        <v>53.25</v>
      </c>
      <c r="J758" s="18"/>
      <c r="K758" s="18"/>
      <c r="L758" s="18"/>
      <c r="M758" s="18"/>
      <c r="Z758" s="42" t="s">
        <v>51</v>
      </c>
      <c r="AA758" s="42">
        <v>2022</v>
      </c>
      <c r="AB758" s="42" t="s">
        <v>145</v>
      </c>
      <c r="AC758" s="42">
        <v>198.34</v>
      </c>
    </row>
    <row r="759" spans="3:29">
      <c r="C759" t="s">
        <v>116</v>
      </c>
      <c r="D759">
        <v>2045</v>
      </c>
      <c r="E759" t="s">
        <v>145</v>
      </c>
      <c r="F759">
        <v>1.19</v>
      </c>
      <c r="J759" s="18"/>
      <c r="K759" s="18"/>
      <c r="L759" s="18"/>
      <c r="M759" s="18"/>
      <c r="Z759" s="42" t="s">
        <v>51</v>
      </c>
      <c r="AA759" s="42">
        <v>2023</v>
      </c>
      <c r="AB759" s="42" t="s">
        <v>146</v>
      </c>
      <c r="AC759" s="42">
        <v>27.08</v>
      </c>
    </row>
    <row r="760" spans="3:29">
      <c r="C760" t="s">
        <v>116</v>
      </c>
      <c r="D760">
        <v>2045</v>
      </c>
      <c r="E760" t="s">
        <v>141</v>
      </c>
      <c r="F760">
        <v>743.83</v>
      </c>
      <c r="J760" s="18"/>
      <c r="K760" s="18"/>
      <c r="L760" s="18"/>
      <c r="M760" s="18"/>
      <c r="Z760" s="42" t="s">
        <v>51</v>
      </c>
      <c r="AA760" s="42">
        <v>2023</v>
      </c>
      <c r="AB760" s="42" t="s">
        <v>147</v>
      </c>
      <c r="AC760" s="42">
        <v>162.18</v>
      </c>
    </row>
    <row r="761" spans="3:29">
      <c r="C761" t="s">
        <v>116</v>
      </c>
      <c r="D761">
        <v>2045</v>
      </c>
      <c r="E761" t="s">
        <v>142</v>
      </c>
      <c r="F761">
        <v>882.59</v>
      </c>
      <c r="J761" s="18"/>
      <c r="K761" s="18"/>
      <c r="L761" s="18"/>
      <c r="M761" s="18"/>
      <c r="Z761" s="42" t="s">
        <v>51</v>
      </c>
      <c r="AA761" s="42">
        <v>2023</v>
      </c>
      <c r="AB761" s="42" t="s">
        <v>145</v>
      </c>
      <c r="AC761" s="42">
        <v>200.05</v>
      </c>
    </row>
    <row r="762" spans="3:29">
      <c r="C762" t="s">
        <v>116</v>
      </c>
      <c r="D762">
        <v>2045</v>
      </c>
      <c r="E762" t="s">
        <v>143</v>
      </c>
      <c r="F762">
        <v>814.05</v>
      </c>
      <c r="J762" s="18"/>
      <c r="K762" s="18"/>
      <c r="L762" s="18"/>
      <c r="M762" s="18"/>
      <c r="Z762" s="42" t="s">
        <v>51</v>
      </c>
      <c r="AA762" s="42">
        <v>2024</v>
      </c>
      <c r="AB762" s="42" t="s">
        <v>146</v>
      </c>
      <c r="AC762" s="42">
        <v>26.87</v>
      </c>
    </row>
    <row r="763" spans="3:29">
      <c r="C763" t="s">
        <v>116</v>
      </c>
      <c r="D763">
        <v>2045</v>
      </c>
      <c r="E763" t="s">
        <v>144</v>
      </c>
      <c r="F763">
        <v>55.25</v>
      </c>
      <c r="J763" s="18"/>
      <c r="K763" s="18"/>
      <c r="L763" s="18"/>
      <c r="M763" s="18"/>
      <c r="Z763" s="42" t="s">
        <v>51</v>
      </c>
      <c r="AA763" s="42">
        <v>2024</v>
      </c>
      <c r="AB763" s="42" t="s">
        <v>147</v>
      </c>
      <c r="AC763" s="42">
        <v>160.4</v>
      </c>
    </row>
    <row r="764" spans="3:29">
      <c r="C764" t="s">
        <v>116</v>
      </c>
      <c r="D764">
        <v>2046</v>
      </c>
      <c r="E764" t="s">
        <v>145</v>
      </c>
      <c r="F764">
        <v>1.19</v>
      </c>
      <c r="J764" s="18"/>
      <c r="K764" s="18"/>
      <c r="L764" s="18"/>
      <c r="M764" s="18"/>
      <c r="Z764" s="42" t="s">
        <v>51</v>
      </c>
      <c r="AA764" s="42">
        <v>2024</v>
      </c>
      <c r="AB764" s="42" t="s">
        <v>145</v>
      </c>
      <c r="AC764" s="42">
        <v>200.68</v>
      </c>
    </row>
    <row r="765" spans="3:29">
      <c r="C765" t="s">
        <v>116</v>
      </c>
      <c r="D765">
        <v>2046</v>
      </c>
      <c r="E765" t="s">
        <v>141</v>
      </c>
      <c r="F765">
        <v>750.99</v>
      </c>
      <c r="J765" s="18"/>
      <c r="K765" s="18"/>
      <c r="L765" s="18"/>
      <c r="M765" s="18"/>
      <c r="Z765" s="42" t="s">
        <v>51</v>
      </c>
      <c r="AA765" s="42">
        <v>2025</v>
      </c>
      <c r="AB765" s="42" t="s">
        <v>146</v>
      </c>
      <c r="AC765" s="42">
        <v>26.67</v>
      </c>
    </row>
    <row r="766" spans="3:29">
      <c r="C766" t="s">
        <v>116</v>
      </c>
      <c r="D766">
        <v>2046</v>
      </c>
      <c r="E766" t="s">
        <v>142</v>
      </c>
      <c r="F766">
        <v>884.33</v>
      </c>
      <c r="J766" s="18"/>
      <c r="K766" s="18"/>
      <c r="L766" s="18"/>
      <c r="M766" s="18"/>
      <c r="Z766" s="42" t="s">
        <v>51</v>
      </c>
      <c r="AA766" s="42">
        <v>2025</v>
      </c>
      <c r="AB766" s="42" t="s">
        <v>147</v>
      </c>
      <c r="AC766" s="42">
        <v>158.77000000000001</v>
      </c>
    </row>
    <row r="767" spans="3:29">
      <c r="C767" t="s">
        <v>116</v>
      </c>
      <c r="D767">
        <v>2046</v>
      </c>
      <c r="E767" t="s">
        <v>143</v>
      </c>
      <c r="F767">
        <v>826.77</v>
      </c>
      <c r="J767" s="18"/>
      <c r="K767" s="18"/>
      <c r="L767" s="18"/>
      <c r="M767" s="18"/>
      <c r="Z767" s="42" t="s">
        <v>51</v>
      </c>
      <c r="AA767" s="42">
        <v>2025</v>
      </c>
      <c r="AB767" s="42" t="s">
        <v>145</v>
      </c>
      <c r="AC767" s="42">
        <v>201.35</v>
      </c>
    </row>
    <row r="768" spans="3:29">
      <c r="C768" t="s">
        <v>116</v>
      </c>
      <c r="D768">
        <v>2046</v>
      </c>
      <c r="E768" t="s">
        <v>144</v>
      </c>
      <c r="F768">
        <v>57.3</v>
      </c>
      <c r="J768" s="18"/>
      <c r="K768" s="18"/>
      <c r="L768" s="18"/>
      <c r="M768" s="18"/>
      <c r="Z768" s="42" t="s">
        <v>51</v>
      </c>
      <c r="AA768" s="42">
        <v>2026</v>
      </c>
      <c r="AB768" s="42" t="s">
        <v>146</v>
      </c>
      <c r="AC768" s="42">
        <v>26.51</v>
      </c>
    </row>
    <row r="769" spans="3:29">
      <c r="C769" t="s">
        <v>116</v>
      </c>
      <c r="D769">
        <v>2047</v>
      </c>
      <c r="E769" t="s">
        <v>145</v>
      </c>
      <c r="F769">
        <v>1.19</v>
      </c>
      <c r="J769" s="18"/>
      <c r="K769" s="18"/>
      <c r="L769" s="18"/>
      <c r="M769" s="18"/>
      <c r="Z769" s="42" t="s">
        <v>51</v>
      </c>
      <c r="AA769" s="42">
        <v>2026</v>
      </c>
      <c r="AB769" s="42" t="s">
        <v>147</v>
      </c>
      <c r="AC769" s="42">
        <v>157.38</v>
      </c>
    </row>
    <row r="770" spans="3:29">
      <c r="C770" t="s">
        <v>116</v>
      </c>
      <c r="D770">
        <v>2047</v>
      </c>
      <c r="E770" t="s">
        <v>141</v>
      </c>
      <c r="F770">
        <v>758.11</v>
      </c>
      <c r="J770" s="18"/>
      <c r="K770" s="18"/>
      <c r="L770" s="18"/>
      <c r="M770" s="18"/>
      <c r="Z770" s="42" t="s">
        <v>51</v>
      </c>
      <c r="AA770" s="42">
        <v>2026</v>
      </c>
      <c r="AB770" s="42" t="s">
        <v>145</v>
      </c>
      <c r="AC770" s="42">
        <v>201.97</v>
      </c>
    </row>
    <row r="771" spans="3:29">
      <c r="C771" t="s">
        <v>116</v>
      </c>
      <c r="D771">
        <v>2047</v>
      </c>
      <c r="E771" t="s">
        <v>142</v>
      </c>
      <c r="F771">
        <v>885.87</v>
      </c>
      <c r="J771" s="18"/>
      <c r="K771" s="18"/>
      <c r="L771" s="18"/>
      <c r="M771" s="18"/>
      <c r="Z771" s="42" t="s">
        <v>51</v>
      </c>
      <c r="AA771" s="42">
        <v>2027</v>
      </c>
      <c r="AB771" s="42" t="s">
        <v>146</v>
      </c>
      <c r="AC771" s="42">
        <v>26.37</v>
      </c>
    </row>
    <row r="772" spans="3:29">
      <c r="C772" t="s">
        <v>116</v>
      </c>
      <c r="D772">
        <v>2047</v>
      </c>
      <c r="E772" t="s">
        <v>143</v>
      </c>
      <c r="F772">
        <v>839.69</v>
      </c>
      <c r="J772" s="18"/>
      <c r="K772" s="18"/>
      <c r="L772" s="18"/>
      <c r="M772" s="18"/>
      <c r="Z772" s="42" t="s">
        <v>51</v>
      </c>
      <c r="AA772" s="42">
        <v>2027</v>
      </c>
      <c r="AB772" s="42" t="s">
        <v>147</v>
      </c>
      <c r="AC772" s="42">
        <v>156.26</v>
      </c>
    </row>
    <row r="773" spans="3:29">
      <c r="C773" t="s">
        <v>116</v>
      </c>
      <c r="D773">
        <v>2047</v>
      </c>
      <c r="E773" t="s">
        <v>144</v>
      </c>
      <c r="F773">
        <v>59.4</v>
      </c>
      <c r="J773" s="18"/>
      <c r="K773" s="18"/>
      <c r="L773" s="18"/>
      <c r="M773" s="18"/>
      <c r="Z773" s="42" t="s">
        <v>51</v>
      </c>
      <c r="AA773" s="42">
        <v>2027</v>
      </c>
      <c r="AB773" s="42" t="s">
        <v>145</v>
      </c>
      <c r="AC773" s="42">
        <v>202.74</v>
      </c>
    </row>
    <row r="774" spans="3:29">
      <c r="C774" t="s">
        <v>116</v>
      </c>
      <c r="D774">
        <v>2048</v>
      </c>
      <c r="E774" t="s">
        <v>145</v>
      </c>
      <c r="F774">
        <v>1.18</v>
      </c>
      <c r="J774" s="18"/>
      <c r="K774" s="18"/>
      <c r="L774" s="18"/>
      <c r="M774" s="18"/>
      <c r="Z774" s="42" t="s">
        <v>51</v>
      </c>
      <c r="AA774" s="42">
        <v>2028</v>
      </c>
      <c r="AB774" s="42" t="s">
        <v>146</v>
      </c>
      <c r="AC774" s="42">
        <v>26.27</v>
      </c>
    </row>
    <row r="775" spans="3:29">
      <c r="C775" t="s">
        <v>116</v>
      </c>
      <c r="D775">
        <v>2048</v>
      </c>
      <c r="E775" t="s">
        <v>141</v>
      </c>
      <c r="F775">
        <v>765.19</v>
      </c>
      <c r="J775" s="18"/>
      <c r="K775" s="18"/>
      <c r="L775" s="18"/>
      <c r="M775" s="18"/>
      <c r="Z775" s="42" t="s">
        <v>51</v>
      </c>
      <c r="AA775" s="42">
        <v>2028</v>
      </c>
      <c r="AB775" s="42" t="s">
        <v>147</v>
      </c>
      <c r="AC775" s="42">
        <v>155.43</v>
      </c>
    </row>
    <row r="776" spans="3:29">
      <c r="C776" t="s">
        <v>116</v>
      </c>
      <c r="D776">
        <v>2048</v>
      </c>
      <c r="E776" t="s">
        <v>142</v>
      </c>
      <c r="F776">
        <v>887.31</v>
      </c>
      <c r="J776" s="18"/>
      <c r="K776" s="18"/>
      <c r="L776" s="18"/>
      <c r="M776" s="18"/>
      <c r="Z776" s="42" t="s">
        <v>51</v>
      </c>
      <c r="AA776" s="42">
        <v>2028</v>
      </c>
      <c r="AB776" s="42" t="s">
        <v>145</v>
      </c>
      <c r="AC776" s="42">
        <v>203.57</v>
      </c>
    </row>
    <row r="777" spans="3:29">
      <c r="C777" t="s">
        <v>116</v>
      </c>
      <c r="D777">
        <v>2048</v>
      </c>
      <c r="E777" t="s">
        <v>143</v>
      </c>
      <c r="F777">
        <v>852.84</v>
      </c>
      <c r="J777" s="18"/>
      <c r="K777" s="18"/>
      <c r="L777" s="18"/>
      <c r="M777" s="18"/>
      <c r="Z777" s="42" t="s">
        <v>51</v>
      </c>
      <c r="AA777" s="42">
        <v>2029</v>
      </c>
      <c r="AB777" s="42" t="s">
        <v>146</v>
      </c>
      <c r="AC777" s="42">
        <v>26.18</v>
      </c>
    </row>
    <row r="778" spans="3:29">
      <c r="C778" t="s">
        <v>116</v>
      </c>
      <c r="D778">
        <v>2048</v>
      </c>
      <c r="E778" t="s">
        <v>144</v>
      </c>
      <c r="F778">
        <v>61.49</v>
      </c>
      <c r="J778" s="18"/>
      <c r="K778" s="18"/>
      <c r="L778" s="18"/>
      <c r="M778" s="18"/>
      <c r="Z778" s="42" t="s">
        <v>51</v>
      </c>
      <c r="AA778" s="42">
        <v>2029</v>
      </c>
      <c r="AB778" s="42" t="s">
        <v>147</v>
      </c>
      <c r="AC778" s="42">
        <v>154.68</v>
      </c>
    </row>
    <row r="779" spans="3:29">
      <c r="C779" t="s">
        <v>116</v>
      </c>
      <c r="D779">
        <v>2049</v>
      </c>
      <c r="E779" t="s">
        <v>145</v>
      </c>
      <c r="F779">
        <v>1.18</v>
      </c>
      <c r="J779" s="18"/>
      <c r="K779" s="18"/>
      <c r="L779" s="18"/>
      <c r="M779" s="18"/>
      <c r="Z779" s="42" t="s">
        <v>51</v>
      </c>
      <c r="AA779" s="42">
        <v>2029</v>
      </c>
      <c r="AB779" s="42" t="s">
        <v>145</v>
      </c>
      <c r="AC779" s="42">
        <v>204.33</v>
      </c>
    </row>
    <row r="780" spans="3:29">
      <c r="C780" t="s">
        <v>116</v>
      </c>
      <c r="D780">
        <v>2049</v>
      </c>
      <c r="E780" t="s">
        <v>141</v>
      </c>
      <c r="F780">
        <v>772.22</v>
      </c>
      <c r="J780" s="18"/>
      <c r="K780" s="18"/>
      <c r="L780" s="18"/>
      <c r="M780" s="18"/>
      <c r="Z780" s="42" t="s">
        <v>51</v>
      </c>
      <c r="AA780" s="42">
        <v>2030</v>
      </c>
      <c r="AB780" s="42" t="s">
        <v>146</v>
      </c>
      <c r="AC780" s="42">
        <v>26.09</v>
      </c>
    </row>
    <row r="781" spans="3:29">
      <c r="C781" t="s">
        <v>116</v>
      </c>
      <c r="D781">
        <v>2049</v>
      </c>
      <c r="E781" t="s">
        <v>142</v>
      </c>
      <c r="F781">
        <v>888.51</v>
      </c>
      <c r="J781" s="18"/>
      <c r="K781" s="18"/>
      <c r="L781" s="18"/>
      <c r="M781" s="18"/>
      <c r="Z781" s="42" t="s">
        <v>51</v>
      </c>
      <c r="AA781" s="42">
        <v>2030</v>
      </c>
      <c r="AB781" s="42" t="s">
        <v>147</v>
      </c>
      <c r="AC781" s="42">
        <v>153.93</v>
      </c>
    </row>
    <row r="782" spans="3:29">
      <c r="C782" t="s">
        <v>116</v>
      </c>
      <c r="D782">
        <v>2049</v>
      </c>
      <c r="E782" t="s">
        <v>143</v>
      </c>
      <c r="F782">
        <v>866.14</v>
      </c>
      <c r="J782" s="18"/>
      <c r="K782" s="18"/>
      <c r="L782" s="18"/>
      <c r="M782" s="18"/>
      <c r="Z782" s="42" t="s">
        <v>51</v>
      </c>
      <c r="AA782" s="42">
        <v>2030</v>
      </c>
      <c r="AB782" s="42" t="s">
        <v>145</v>
      </c>
      <c r="AC782" s="42">
        <v>205.01</v>
      </c>
    </row>
    <row r="783" spans="3:29">
      <c r="C783" t="s">
        <v>116</v>
      </c>
      <c r="D783">
        <v>2049</v>
      </c>
      <c r="E783" t="s">
        <v>144</v>
      </c>
      <c r="F783">
        <v>63.52</v>
      </c>
      <c r="J783" s="18"/>
      <c r="K783" s="18"/>
      <c r="L783" s="18"/>
      <c r="M783" s="18"/>
      <c r="Z783" s="42" t="s">
        <v>51</v>
      </c>
      <c r="AA783" s="42">
        <v>2031</v>
      </c>
      <c r="AB783" s="42" t="s">
        <v>146</v>
      </c>
      <c r="AC783" s="42">
        <v>26</v>
      </c>
    </row>
    <row r="784" spans="3:29">
      <c r="C784" t="s">
        <v>116</v>
      </c>
      <c r="D784">
        <v>2050</v>
      </c>
      <c r="E784" t="s">
        <v>145</v>
      </c>
      <c r="F784">
        <v>1.18</v>
      </c>
      <c r="J784" s="18"/>
      <c r="K784" s="18"/>
      <c r="L784" s="18"/>
      <c r="M784" s="18"/>
      <c r="Z784" s="42" t="s">
        <v>51</v>
      </c>
      <c r="AA784" s="42">
        <v>2031</v>
      </c>
      <c r="AB784" s="42" t="s">
        <v>147</v>
      </c>
      <c r="AC784" s="42">
        <v>153.16</v>
      </c>
    </row>
    <row r="785" spans="3:29">
      <c r="C785" t="s">
        <v>116</v>
      </c>
      <c r="D785">
        <v>2050</v>
      </c>
      <c r="E785" t="s">
        <v>141</v>
      </c>
      <c r="F785">
        <v>779.2</v>
      </c>
      <c r="J785" s="18"/>
      <c r="K785" s="18"/>
      <c r="L785" s="18"/>
      <c r="M785" s="18"/>
      <c r="Z785" s="42" t="s">
        <v>51</v>
      </c>
      <c r="AA785" s="42">
        <v>2031</v>
      </c>
      <c r="AB785" s="42" t="s">
        <v>145</v>
      </c>
      <c r="AC785" s="42">
        <v>205.52</v>
      </c>
    </row>
    <row r="786" spans="3:29">
      <c r="C786" t="s">
        <v>116</v>
      </c>
      <c r="D786">
        <v>2050</v>
      </c>
      <c r="E786" t="s">
        <v>142</v>
      </c>
      <c r="F786">
        <v>889.47</v>
      </c>
      <c r="J786" s="18"/>
      <c r="K786" s="18"/>
      <c r="L786" s="18"/>
      <c r="M786" s="18"/>
      <c r="Z786" s="42" t="s">
        <v>51</v>
      </c>
      <c r="AA786" s="42">
        <v>2032</v>
      </c>
      <c r="AB786" s="42" t="s">
        <v>146</v>
      </c>
      <c r="AC786" s="42">
        <v>25.91</v>
      </c>
    </row>
    <row r="787" spans="3:29">
      <c r="C787" t="s">
        <v>116</v>
      </c>
      <c r="D787">
        <v>2050</v>
      </c>
      <c r="E787" t="s">
        <v>143</v>
      </c>
      <c r="F787">
        <v>879.53</v>
      </c>
      <c r="J787" s="18"/>
      <c r="K787" s="18"/>
      <c r="L787" s="18"/>
      <c r="M787" s="18"/>
      <c r="Z787" s="42" t="s">
        <v>51</v>
      </c>
      <c r="AA787" s="42">
        <v>2032</v>
      </c>
      <c r="AB787" s="42" t="s">
        <v>147</v>
      </c>
      <c r="AC787" s="42">
        <v>152.41</v>
      </c>
    </row>
    <row r="788" spans="3:29">
      <c r="C788" t="s">
        <v>116</v>
      </c>
      <c r="D788">
        <v>2050</v>
      </c>
      <c r="E788" t="s">
        <v>144</v>
      </c>
      <c r="F788">
        <v>65.52</v>
      </c>
      <c r="J788" s="18"/>
      <c r="K788" s="18"/>
      <c r="L788" s="18"/>
      <c r="M788" s="18"/>
      <c r="Z788" s="42" t="s">
        <v>51</v>
      </c>
      <c r="AA788" s="42">
        <v>2032</v>
      </c>
      <c r="AB788" s="42" t="s">
        <v>145</v>
      </c>
      <c r="AC788" s="42">
        <v>205.07</v>
      </c>
    </row>
    <row r="789" spans="3:29">
      <c r="C789" t="s">
        <v>117</v>
      </c>
      <c r="D789">
        <v>2010</v>
      </c>
      <c r="E789" t="s">
        <v>141</v>
      </c>
      <c r="F789">
        <v>482.04</v>
      </c>
      <c r="J789" s="18"/>
      <c r="K789" s="18"/>
      <c r="L789" s="18"/>
      <c r="M789" s="18"/>
      <c r="Z789" s="42" t="s">
        <v>51</v>
      </c>
      <c r="AA789" s="42">
        <v>2033</v>
      </c>
      <c r="AB789" s="42" t="s">
        <v>146</v>
      </c>
      <c r="AC789" s="42">
        <v>25.82</v>
      </c>
    </row>
    <row r="790" spans="3:29">
      <c r="C790" t="s">
        <v>117</v>
      </c>
      <c r="D790">
        <v>2010</v>
      </c>
      <c r="E790" t="s">
        <v>142</v>
      </c>
      <c r="F790">
        <v>716.29</v>
      </c>
      <c r="J790" s="18"/>
      <c r="K790" s="18"/>
      <c r="L790" s="18"/>
      <c r="M790" s="18"/>
      <c r="Z790" s="42" t="s">
        <v>51</v>
      </c>
      <c r="AA790" s="42">
        <v>2033</v>
      </c>
      <c r="AB790" s="42" t="s">
        <v>147</v>
      </c>
      <c r="AC790" s="42">
        <v>151.69</v>
      </c>
    </row>
    <row r="791" spans="3:29">
      <c r="C791" t="s">
        <v>117</v>
      </c>
      <c r="D791">
        <v>2010</v>
      </c>
      <c r="E791" t="s">
        <v>143</v>
      </c>
      <c r="F791">
        <v>609.96</v>
      </c>
      <c r="J791" s="18"/>
      <c r="K791" s="18"/>
      <c r="L791" s="18"/>
      <c r="M791" s="18"/>
      <c r="Z791" s="42" t="s">
        <v>51</v>
      </c>
      <c r="AA791" s="42">
        <v>2033</v>
      </c>
      <c r="AB791" s="42" t="s">
        <v>145</v>
      </c>
      <c r="AC791" s="42">
        <v>204.64</v>
      </c>
    </row>
    <row r="792" spans="3:29">
      <c r="C792" t="s">
        <v>117</v>
      </c>
      <c r="D792">
        <v>2010</v>
      </c>
      <c r="E792" t="s">
        <v>144</v>
      </c>
      <c r="F792">
        <v>15.5</v>
      </c>
      <c r="J792" s="18"/>
      <c r="K792" s="18"/>
      <c r="L792" s="18"/>
      <c r="M792" s="18"/>
      <c r="Z792" s="42" t="s">
        <v>51</v>
      </c>
      <c r="AA792" s="42">
        <v>2034</v>
      </c>
      <c r="AB792" s="42" t="s">
        <v>146</v>
      </c>
      <c r="AC792" s="42">
        <v>25.73</v>
      </c>
    </row>
    <row r="793" spans="3:29">
      <c r="C793" t="s">
        <v>117</v>
      </c>
      <c r="D793">
        <v>2011</v>
      </c>
      <c r="E793" t="s">
        <v>141</v>
      </c>
      <c r="F793">
        <v>502.07</v>
      </c>
      <c r="J793" s="18"/>
      <c r="K793" s="18"/>
      <c r="L793" s="18"/>
      <c r="M793" s="18"/>
      <c r="Z793" s="42" t="s">
        <v>51</v>
      </c>
      <c r="AA793" s="42">
        <v>2034</v>
      </c>
      <c r="AB793" s="42" t="s">
        <v>147</v>
      </c>
      <c r="AC793" s="42">
        <v>151</v>
      </c>
    </row>
    <row r="794" spans="3:29">
      <c r="C794" t="s">
        <v>117</v>
      </c>
      <c r="D794">
        <v>2011</v>
      </c>
      <c r="E794" t="s">
        <v>142</v>
      </c>
      <c r="F794">
        <v>722.14</v>
      </c>
      <c r="J794" s="18"/>
      <c r="K794" s="18"/>
      <c r="L794" s="18"/>
      <c r="M794" s="18"/>
      <c r="Z794" s="42" t="s">
        <v>51</v>
      </c>
      <c r="AA794" s="42">
        <v>2034</v>
      </c>
      <c r="AB794" s="42" t="s">
        <v>145</v>
      </c>
      <c r="AC794" s="42">
        <v>204.32</v>
      </c>
    </row>
    <row r="795" spans="3:29">
      <c r="C795" t="s">
        <v>117</v>
      </c>
      <c r="D795">
        <v>2011</v>
      </c>
      <c r="E795" t="s">
        <v>143</v>
      </c>
      <c r="F795">
        <v>642.20000000000005</v>
      </c>
      <c r="J795" s="18"/>
      <c r="K795" s="18"/>
      <c r="L795" s="18"/>
      <c r="M795" s="18"/>
      <c r="Z795" s="42" t="s">
        <v>51</v>
      </c>
      <c r="AA795" s="42">
        <v>2035</v>
      </c>
      <c r="AB795" s="42" t="s">
        <v>146</v>
      </c>
      <c r="AC795" s="42">
        <v>25.65</v>
      </c>
    </row>
    <row r="796" spans="3:29">
      <c r="C796" t="s">
        <v>117</v>
      </c>
      <c r="D796">
        <v>2011</v>
      </c>
      <c r="E796" t="s">
        <v>144</v>
      </c>
      <c r="F796">
        <v>16.12</v>
      </c>
      <c r="J796" s="18"/>
      <c r="K796" s="18"/>
      <c r="L796" s="18"/>
      <c r="M796" s="18"/>
      <c r="Z796" s="42" t="s">
        <v>51</v>
      </c>
      <c r="AA796" s="42">
        <v>2035</v>
      </c>
      <c r="AB796" s="42" t="s">
        <v>147</v>
      </c>
      <c r="AC796" s="42">
        <v>150.35</v>
      </c>
    </row>
    <row r="797" spans="3:29">
      <c r="C797" t="s">
        <v>117</v>
      </c>
      <c r="D797">
        <v>2012</v>
      </c>
      <c r="E797" t="s">
        <v>141</v>
      </c>
      <c r="F797">
        <v>496.51</v>
      </c>
      <c r="J797" s="18"/>
      <c r="K797" s="18"/>
      <c r="L797" s="18"/>
      <c r="M797" s="18"/>
      <c r="Z797" s="42" t="s">
        <v>51</v>
      </c>
      <c r="AA797" s="42">
        <v>2035</v>
      </c>
      <c r="AB797" s="42" t="s">
        <v>145</v>
      </c>
      <c r="AC797" s="42">
        <v>204.04</v>
      </c>
    </row>
    <row r="798" spans="3:29">
      <c r="C798" t="s">
        <v>117</v>
      </c>
      <c r="D798">
        <v>2012</v>
      </c>
      <c r="E798" t="s">
        <v>142</v>
      </c>
      <c r="F798">
        <v>702.75</v>
      </c>
      <c r="J798" s="18"/>
      <c r="K798" s="18"/>
      <c r="L798" s="18"/>
      <c r="M798" s="18"/>
      <c r="Z798" s="42" t="s">
        <v>51</v>
      </c>
      <c r="AA798" s="42">
        <v>2036</v>
      </c>
      <c r="AB798" s="42" t="s">
        <v>146</v>
      </c>
      <c r="AC798" s="42">
        <v>25.57</v>
      </c>
    </row>
    <row r="799" spans="3:29">
      <c r="C799" t="s">
        <v>117</v>
      </c>
      <c r="D799">
        <v>2012</v>
      </c>
      <c r="E799" t="s">
        <v>143</v>
      </c>
      <c r="F799">
        <v>637.37</v>
      </c>
      <c r="J799" s="18"/>
      <c r="K799" s="18"/>
      <c r="L799" s="18"/>
      <c r="M799" s="18"/>
      <c r="Z799" s="42" t="s">
        <v>51</v>
      </c>
      <c r="AA799" s="42">
        <v>2036</v>
      </c>
      <c r="AB799" s="42" t="s">
        <v>147</v>
      </c>
      <c r="AC799" s="42">
        <v>149.72999999999999</v>
      </c>
    </row>
    <row r="800" spans="3:29">
      <c r="C800" t="s">
        <v>117</v>
      </c>
      <c r="D800">
        <v>2012</v>
      </c>
      <c r="E800" t="s">
        <v>144</v>
      </c>
      <c r="F800">
        <v>16.489999999999998</v>
      </c>
      <c r="J800" s="18"/>
      <c r="K800" s="18"/>
      <c r="L800" s="18"/>
      <c r="M800" s="18"/>
      <c r="Z800" s="42" t="s">
        <v>51</v>
      </c>
      <c r="AA800" s="42">
        <v>2036</v>
      </c>
      <c r="AB800" s="42" t="s">
        <v>145</v>
      </c>
      <c r="AC800" s="42">
        <v>203.71</v>
      </c>
    </row>
    <row r="801" spans="3:29">
      <c r="C801" t="s">
        <v>117</v>
      </c>
      <c r="D801">
        <v>2013</v>
      </c>
      <c r="E801" t="s">
        <v>141</v>
      </c>
      <c r="F801">
        <v>513.24</v>
      </c>
      <c r="J801" s="18"/>
      <c r="K801" s="18"/>
      <c r="L801" s="18"/>
      <c r="M801" s="18"/>
      <c r="Z801" s="42" t="s">
        <v>51</v>
      </c>
      <c r="AA801" s="42">
        <v>2037</v>
      </c>
      <c r="AB801" s="42" t="s">
        <v>146</v>
      </c>
      <c r="AC801" s="42">
        <v>25.5</v>
      </c>
    </row>
    <row r="802" spans="3:29">
      <c r="C802" t="s">
        <v>117</v>
      </c>
      <c r="D802">
        <v>2013</v>
      </c>
      <c r="E802" t="s">
        <v>142</v>
      </c>
      <c r="F802">
        <v>715.07</v>
      </c>
      <c r="J802" s="18"/>
      <c r="K802" s="18"/>
      <c r="L802" s="18"/>
      <c r="M802" s="18"/>
      <c r="Z802" s="42" t="s">
        <v>51</v>
      </c>
      <c r="AA802" s="42">
        <v>2037</v>
      </c>
      <c r="AB802" s="42" t="s">
        <v>147</v>
      </c>
      <c r="AC802" s="42">
        <v>149.13999999999999</v>
      </c>
    </row>
    <row r="803" spans="3:29">
      <c r="C803" t="s">
        <v>117</v>
      </c>
      <c r="D803">
        <v>2013</v>
      </c>
      <c r="E803" t="s">
        <v>143</v>
      </c>
      <c r="F803">
        <v>668.26</v>
      </c>
      <c r="J803" s="18"/>
      <c r="K803" s="18"/>
      <c r="L803" s="18"/>
      <c r="M803" s="18"/>
      <c r="Z803" s="42" t="s">
        <v>51</v>
      </c>
      <c r="AA803" s="42">
        <v>2037</v>
      </c>
      <c r="AB803" s="42" t="s">
        <v>145</v>
      </c>
      <c r="AC803" s="42">
        <v>203.23</v>
      </c>
    </row>
    <row r="804" spans="3:29">
      <c r="C804" t="s">
        <v>117</v>
      </c>
      <c r="D804">
        <v>2013</v>
      </c>
      <c r="E804" t="s">
        <v>144</v>
      </c>
      <c r="F804">
        <v>21.54</v>
      </c>
      <c r="J804" s="18"/>
      <c r="K804" s="18"/>
      <c r="L804" s="18"/>
      <c r="M804" s="18"/>
      <c r="Z804" s="42" t="s">
        <v>51</v>
      </c>
      <c r="AA804" s="42">
        <v>2038</v>
      </c>
      <c r="AB804" s="42" t="s">
        <v>146</v>
      </c>
      <c r="AC804" s="42">
        <v>25.43</v>
      </c>
    </row>
    <row r="805" spans="3:29">
      <c r="C805" t="s">
        <v>117</v>
      </c>
      <c r="D805">
        <v>2014</v>
      </c>
      <c r="E805" t="s">
        <v>141</v>
      </c>
      <c r="F805">
        <v>524.38</v>
      </c>
      <c r="J805" s="18"/>
      <c r="K805" s="18"/>
      <c r="L805" s="18"/>
      <c r="M805" s="18"/>
      <c r="Z805" s="42" t="s">
        <v>51</v>
      </c>
      <c r="AA805" s="42">
        <v>2038</v>
      </c>
      <c r="AB805" s="42" t="s">
        <v>147</v>
      </c>
      <c r="AC805" s="42">
        <v>148.59</v>
      </c>
    </row>
    <row r="806" spans="3:29">
      <c r="C806" t="s">
        <v>117</v>
      </c>
      <c r="D806">
        <v>2014</v>
      </c>
      <c r="E806" t="s">
        <v>142</v>
      </c>
      <c r="F806">
        <v>701.83</v>
      </c>
      <c r="J806" s="18"/>
      <c r="K806" s="18"/>
      <c r="L806" s="18"/>
      <c r="M806" s="18"/>
      <c r="Z806" s="42" t="s">
        <v>51</v>
      </c>
      <c r="AA806" s="42">
        <v>2038</v>
      </c>
      <c r="AB806" s="42" t="s">
        <v>145</v>
      </c>
      <c r="AC806" s="42">
        <v>202.64</v>
      </c>
    </row>
    <row r="807" spans="3:29">
      <c r="C807" t="s">
        <v>117</v>
      </c>
      <c r="D807">
        <v>2014</v>
      </c>
      <c r="E807" t="s">
        <v>143</v>
      </c>
      <c r="F807">
        <v>662.94</v>
      </c>
      <c r="J807" s="18"/>
      <c r="K807" s="18"/>
      <c r="L807" s="18"/>
      <c r="M807" s="18"/>
      <c r="Z807" s="42" t="s">
        <v>51</v>
      </c>
      <c r="AA807" s="42">
        <v>2039</v>
      </c>
      <c r="AB807" s="42" t="s">
        <v>146</v>
      </c>
      <c r="AC807" s="42">
        <v>25.36</v>
      </c>
    </row>
    <row r="808" spans="3:29">
      <c r="C808" t="s">
        <v>117</v>
      </c>
      <c r="D808">
        <v>2014</v>
      </c>
      <c r="E808" t="s">
        <v>144</v>
      </c>
      <c r="F808">
        <v>23</v>
      </c>
      <c r="J808" s="18"/>
      <c r="K808" s="18"/>
      <c r="L808" s="18"/>
      <c r="M808" s="18"/>
      <c r="Z808" s="42" t="s">
        <v>51</v>
      </c>
      <c r="AA808" s="42">
        <v>2039</v>
      </c>
      <c r="AB808" s="42" t="s">
        <v>147</v>
      </c>
      <c r="AC808" s="42">
        <v>148.05000000000001</v>
      </c>
    </row>
    <row r="809" spans="3:29">
      <c r="C809" t="s">
        <v>117</v>
      </c>
      <c r="D809">
        <v>2015</v>
      </c>
      <c r="E809" t="s">
        <v>141</v>
      </c>
      <c r="F809">
        <v>521.04999999999995</v>
      </c>
      <c r="J809" s="18"/>
      <c r="K809" s="18"/>
      <c r="L809" s="18"/>
      <c r="M809" s="18"/>
      <c r="Z809" s="42" t="s">
        <v>51</v>
      </c>
      <c r="AA809" s="42">
        <v>2039</v>
      </c>
      <c r="AB809" s="42" t="s">
        <v>145</v>
      </c>
      <c r="AC809" s="42">
        <v>202.13</v>
      </c>
    </row>
    <row r="810" spans="3:29">
      <c r="C810" t="s">
        <v>117</v>
      </c>
      <c r="D810">
        <v>2015</v>
      </c>
      <c r="E810" t="s">
        <v>142</v>
      </c>
      <c r="F810">
        <v>667.77</v>
      </c>
      <c r="J810" s="18"/>
      <c r="K810" s="18"/>
      <c r="L810" s="18"/>
      <c r="M810" s="18"/>
      <c r="Z810" s="42" t="s">
        <v>51</v>
      </c>
      <c r="AA810" s="42">
        <v>2040</v>
      </c>
      <c r="AB810" s="42" t="s">
        <v>146</v>
      </c>
      <c r="AC810" s="42">
        <v>25.3</v>
      </c>
    </row>
    <row r="811" spans="3:29">
      <c r="C811" t="s">
        <v>117</v>
      </c>
      <c r="D811">
        <v>2015</v>
      </c>
      <c r="E811" t="s">
        <v>143</v>
      </c>
      <c r="F811">
        <v>649.80999999999995</v>
      </c>
      <c r="J811" s="18"/>
      <c r="K811" s="18"/>
      <c r="L811" s="18"/>
      <c r="M811" s="18"/>
      <c r="Z811" s="42" t="s">
        <v>51</v>
      </c>
      <c r="AA811" s="42">
        <v>2040</v>
      </c>
      <c r="AB811" s="42" t="s">
        <v>147</v>
      </c>
      <c r="AC811" s="42">
        <v>147.55000000000001</v>
      </c>
    </row>
    <row r="812" spans="3:29">
      <c r="C812" t="s">
        <v>117</v>
      </c>
      <c r="D812">
        <v>2015</v>
      </c>
      <c r="E812" t="s">
        <v>144</v>
      </c>
      <c r="F812">
        <v>25.64</v>
      </c>
      <c r="J812" s="18"/>
      <c r="K812" s="18"/>
      <c r="L812" s="18"/>
      <c r="M812" s="18"/>
      <c r="Z812" s="42" t="s">
        <v>51</v>
      </c>
      <c r="AA812" s="42">
        <v>2040</v>
      </c>
      <c r="AB812" s="42" t="s">
        <v>145</v>
      </c>
      <c r="AC812" s="42">
        <v>201.64</v>
      </c>
    </row>
    <row r="813" spans="3:29">
      <c r="C813" t="s">
        <v>117</v>
      </c>
      <c r="D813">
        <v>2016</v>
      </c>
      <c r="E813" t="s">
        <v>141</v>
      </c>
      <c r="F813">
        <v>523.46</v>
      </c>
      <c r="J813" s="18"/>
      <c r="K813" s="18"/>
      <c r="L813" s="18"/>
      <c r="M813" s="18"/>
      <c r="Z813" s="42" t="s">
        <v>51</v>
      </c>
      <c r="AA813" s="42">
        <v>2041</v>
      </c>
      <c r="AB813" s="42" t="s">
        <v>146</v>
      </c>
      <c r="AC813" s="42">
        <v>25.24</v>
      </c>
    </row>
    <row r="814" spans="3:29">
      <c r="C814" t="s">
        <v>117</v>
      </c>
      <c r="D814">
        <v>2016</v>
      </c>
      <c r="E814" t="s">
        <v>142</v>
      </c>
      <c r="F814">
        <v>689.71</v>
      </c>
      <c r="J814" s="18"/>
      <c r="K814" s="18"/>
      <c r="L814" s="18"/>
      <c r="M814" s="18"/>
      <c r="Z814" s="42" t="s">
        <v>51</v>
      </c>
      <c r="AA814" s="42">
        <v>2041</v>
      </c>
      <c r="AB814" s="42" t="s">
        <v>147</v>
      </c>
      <c r="AC814" s="42">
        <v>147.09</v>
      </c>
    </row>
    <row r="815" spans="3:29">
      <c r="C815" t="s">
        <v>117</v>
      </c>
      <c r="D815">
        <v>2016</v>
      </c>
      <c r="E815" t="s">
        <v>143</v>
      </c>
      <c r="F815">
        <v>636.97</v>
      </c>
      <c r="J815" s="18"/>
      <c r="K815" s="18"/>
      <c r="L815" s="18"/>
      <c r="M815" s="18"/>
      <c r="Z815" s="42" t="s">
        <v>51</v>
      </c>
      <c r="AA815" s="42">
        <v>2041</v>
      </c>
      <c r="AB815" s="42" t="s">
        <v>145</v>
      </c>
      <c r="AC815" s="42">
        <v>201.36</v>
      </c>
    </row>
    <row r="816" spans="3:29">
      <c r="C816" t="s">
        <v>117</v>
      </c>
      <c r="D816">
        <v>2016</v>
      </c>
      <c r="E816" t="s">
        <v>144</v>
      </c>
      <c r="F816">
        <v>28.89</v>
      </c>
      <c r="J816" s="18"/>
      <c r="K816" s="18"/>
      <c r="L816" s="18"/>
      <c r="M816" s="18"/>
      <c r="Z816" s="42" t="s">
        <v>51</v>
      </c>
      <c r="AA816" s="42">
        <v>2042</v>
      </c>
      <c r="AB816" s="42" t="s">
        <v>146</v>
      </c>
      <c r="AC816" s="42">
        <v>25.18</v>
      </c>
    </row>
    <row r="817" spans="3:29">
      <c r="C817" t="s">
        <v>117</v>
      </c>
      <c r="D817">
        <v>2017</v>
      </c>
      <c r="E817" t="s">
        <v>141</v>
      </c>
      <c r="F817">
        <v>543.12</v>
      </c>
      <c r="J817" s="18"/>
      <c r="K817" s="18"/>
      <c r="L817" s="18"/>
      <c r="M817" s="18"/>
      <c r="Z817" s="42" t="s">
        <v>51</v>
      </c>
      <c r="AA817" s="42">
        <v>2042</v>
      </c>
      <c r="AB817" s="42" t="s">
        <v>147</v>
      </c>
      <c r="AC817" s="42">
        <v>146.63999999999999</v>
      </c>
    </row>
    <row r="818" spans="3:29">
      <c r="C818" t="s">
        <v>117</v>
      </c>
      <c r="D818">
        <v>2017</v>
      </c>
      <c r="E818" t="s">
        <v>142</v>
      </c>
      <c r="F818">
        <v>690.75</v>
      </c>
      <c r="J818" s="18"/>
      <c r="K818" s="18"/>
      <c r="L818" s="18"/>
      <c r="M818" s="18"/>
      <c r="Z818" s="42" t="s">
        <v>51</v>
      </c>
      <c r="AA818" s="42">
        <v>2042</v>
      </c>
      <c r="AB818" s="42" t="s">
        <v>145</v>
      </c>
      <c r="AC818" s="42">
        <v>201.25</v>
      </c>
    </row>
    <row r="819" spans="3:29">
      <c r="C819" t="s">
        <v>117</v>
      </c>
      <c r="D819">
        <v>2017</v>
      </c>
      <c r="E819" t="s">
        <v>143</v>
      </c>
      <c r="F819">
        <v>624.15</v>
      </c>
      <c r="J819" s="18"/>
      <c r="K819" s="18"/>
      <c r="L819" s="18"/>
      <c r="M819" s="18"/>
      <c r="Z819" s="42" t="s">
        <v>51</v>
      </c>
      <c r="AA819" s="42">
        <v>2043</v>
      </c>
      <c r="AB819" s="42" t="s">
        <v>146</v>
      </c>
      <c r="AC819" s="42">
        <v>25.13</v>
      </c>
    </row>
    <row r="820" spans="3:29">
      <c r="C820" t="s">
        <v>117</v>
      </c>
      <c r="D820">
        <v>2017</v>
      </c>
      <c r="E820" t="s">
        <v>144</v>
      </c>
      <c r="F820">
        <v>29.23</v>
      </c>
      <c r="J820" s="18"/>
      <c r="K820" s="18"/>
      <c r="L820" s="18"/>
      <c r="M820" s="18"/>
      <c r="Z820" s="42" t="s">
        <v>51</v>
      </c>
      <c r="AA820" s="42">
        <v>2043</v>
      </c>
      <c r="AB820" s="42" t="s">
        <v>147</v>
      </c>
      <c r="AC820" s="42">
        <v>146.22</v>
      </c>
    </row>
    <row r="821" spans="3:29">
      <c r="C821" t="s">
        <v>117</v>
      </c>
      <c r="D821">
        <v>2018</v>
      </c>
      <c r="E821" t="s">
        <v>141</v>
      </c>
      <c r="F821">
        <v>546.37</v>
      </c>
      <c r="J821" s="18"/>
      <c r="K821" s="18"/>
      <c r="L821" s="18"/>
      <c r="M821" s="18"/>
      <c r="Z821" s="42" t="s">
        <v>51</v>
      </c>
      <c r="AA821" s="42">
        <v>2043</v>
      </c>
      <c r="AB821" s="42" t="s">
        <v>145</v>
      </c>
      <c r="AC821" s="42">
        <v>201.16</v>
      </c>
    </row>
    <row r="822" spans="3:29">
      <c r="C822" t="s">
        <v>117</v>
      </c>
      <c r="D822">
        <v>2018</v>
      </c>
      <c r="E822" t="s">
        <v>142</v>
      </c>
      <c r="F822">
        <v>701.23</v>
      </c>
      <c r="J822" s="18"/>
      <c r="K822" s="18"/>
      <c r="L822" s="18"/>
      <c r="M822" s="18"/>
      <c r="Z822" s="42" t="s">
        <v>51</v>
      </c>
      <c r="AA822" s="42">
        <v>2044</v>
      </c>
      <c r="AB822" s="42" t="s">
        <v>146</v>
      </c>
      <c r="AC822" s="42">
        <v>25.07</v>
      </c>
    </row>
    <row r="823" spans="3:29">
      <c r="C823" t="s">
        <v>117</v>
      </c>
      <c r="D823">
        <v>2018</v>
      </c>
      <c r="E823" t="s">
        <v>143</v>
      </c>
      <c r="F823">
        <v>630.04</v>
      </c>
      <c r="J823" s="18"/>
      <c r="K823" s="18"/>
      <c r="L823" s="18"/>
      <c r="M823" s="18"/>
      <c r="Z823" s="42" t="s">
        <v>51</v>
      </c>
      <c r="AA823" s="42">
        <v>2044</v>
      </c>
      <c r="AB823" s="42" t="s">
        <v>147</v>
      </c>
      <c r="AC823" s="42">
        <v>145.81</v>
      </c>
    </row>
    <row r="824" spans="3:29">
      <c r="C824" t="s">
        <v>117</v>
      </c>
      <c r="D824">
        <v>2018</v>
      </c>
      <c r="E824" t="s">
        <v>144</v>
      </c>
      <c r="F824">
        <v>29.04</v>
      </c>
      <c r="J824" s="18"/>
      <c r="K824" s="18"/>
      <c r="L824" s="18"/>
      <c r="M824" s="18"/>
      <c r="Z824" s="42" t="s">
        <v>51</v>
      </c>
      <c r="AA824" s="42">
        <v>2044</v>
      </c>
      <c r="AB824" s="42" t="s">
        <v>145</v>
      </c>
      <c r="AC824" s="42">
        <v>201.14</v>
      </c>
    </row>
    <row r="825" spans="3:29">
      <c r="C825" t="s">
        <v>117</v>
      </c>
      <c r="D825">
        <v>2019</v>
      </c>
      <c r="E825" t="s">
        <v>146</v>
      </c>
      <c r="F825">
        <v>0.69</v>
      </c>
      <c r="J825" s="18"/>
      <c r="K825" s="18"/>
      <c r="L825" s="18"/>
      <c r="M825" s="18"/>
      <c r="Z825" s="42" t="s">
        <v>51</v>
      </c>
      <c r="AA825" s="42">
        <v>2045</v>
      </c>
      <c r="AB825" s="42" t="s">
        <v>146</v>
      </c>
      <c r="AC825" s="42">
        <v>25.02</v>
      </c>
    </row>
    <row r="826" spans="3:29">
      <c r="C826" t="s">
        <v>117</v>
      </c>
      <c r="D826">
        <v>2019</v>
      </c>
      <c r="E826" t="s">
        <v>145</v>
      </c>
      <c r="F826">
        <v>13.4</v>
      </c>
      <c r="J826" s="18"/>
      <c r="K826" s="18"/>
      <c r="L826" s="18"/>
      <c r="M826" s="18"/>
      <c r="Z826" s="42" t="s">
        <v>51</v>
      </c>
      <c r="AA826" s="42">
        <v>2045</v>
      </c>
      <c r="AB826" s="42" t="s">
        <v>147</v>
      </c>
      <c r="AC826" s="42">
        <v>145.44</v>
      </c>
    </row>
    <row r="827" spans="3:29">
      <c r="C827" t="s">
        <v>117</v>
      </c>
      <c r="D827">
        <v>2019</v>
      </c>
      <c r="E827" t="s">
        <v>141</v>
      </c>
      <c r="F827">
        <v>555.05999999999995</v>
      </c>
      <c r="J827" s="18"/>
      <c r="K827" s="18"/>
      <c r="L827" s="18"/>
      <c r="M827" s="18"/>
      <c r="Z827" s="42" t="s">
        <v>51</v>
      </c>
      <c r="AA827" s="42">
        <v>2045</v>
      </c>
      <c r="AB827" s="42" t="s">
        <v>145</v>
      </c>
      <c r="AC827" s="42">
        <v>201.11</v>
      </c>
    </row>
    <row r="828" spans="3:29">
      <c r="C828" t="s">
        <v>117</v>
      </c>
      <c r="D828">
        <v>2019</v>
      </c>
      <c r="E828" t="s">
        <v>142</v>
      </c>
      <c r="F828">
        <v>671.64</v>
      </c>
      <c r="J828" s="18"/>
      <c r="K828" s="18"/>
      <c r="L828" s="18"/>
      <c r="M828" s="18"/>
      <c r="Z828" s="42" t="s">
        <v>51</v>
      </c>
      <c r="AA828" s="42">
        <v>2046</v>
      </c>
      <c r="AB828" s="42" t="s">
        <v>146</v>
      </c>
      <c r="AC828" s="42">
        <v>24.98</v>
      </c>
    </row>
    <row r="829" spans="3:29">
      <c r="C829" t="s">
        <v>117</v>
      </c>
      <c r="D829">
        <v>2019</v>
      </c>
      <c r="E829" t="s">
        <v>143</v>
      </c>
      <c r="F829">
        <v>631.77</v>
      </c>
      <c r="J829" s="18"/>
      <c r="K829" s="18"/>
      <c r="L829" s="18"/>
      <c r="M829" s="18"/>
      <c r="Z829" s="42" t="s">
        <v>51</v>
      </c>
      <c r="AA829" s="42">
        <v>2046</v>
      </c>
      <c r="AB829" s="42" t="s">
        <v>147</v>
      </c>
      <c r="AC829" s="42">
        <v>145.08000000000001</v>
      </c>
    </row>
    <row r="830" spans="3:29">
      <c r="C830" t="s">
        <v>117</v>
      </c>
      <c r="D830">
        <v>2019</v>
      </c>
      <c r="E830" t="s">
        <v>144</v>
      </c>
      <c r="F830">
        <v>2.4900000000000002</v>
      </c>
      <c r="J830" s="18"/>
      <c r="K830" s="18"/>
      <c r="L830" s="18"/>
      <c r="M830" s="18"/>
      <c r="Z830" s="42" t="s">
        <v>51</v>
      </c>
      <c r="AA830" s="42">
        <v>2046</v>
      </c>
      <c r="AB830" s="42" t="s">
        <v>145</v>
      </c>
      <c r="AC830" s="42">
        <v>200.96</v>
      </c>
    </row>
    <row r="831" spans="3:29">
      <c r="C831" t="s">
        <v>117</v>
      </c>
      <c r="D831">
        <v>2020</v>
      </c>
      <c r="E831" t="s">
        <v>146</v>
      </c>
      <c r="F831">
        <v>0.69</v>
      </c>
      <c r="J831" s="18"/>
      <c r="K831" s="18"/>
      <c r="L831" s="18"/>
      <c r="M831" s="18"/>
      <c r="Z831" s="42" t="s">
        <v>51</v>
      </c>
      <c r="AA831" s="42">
        <v>2047</v>
      </c>
      <c r="AB831" s="42" t="s">
        <v>146</v>
      </c>
      <c r="AC831" s="42">
        <v>24.93</v>
      </c>
    </row>
    <row r="832" spans="3:29">
      <c r="C832" t="s">
        <v>117</v>
      </c>
      <c r="D832">
        <v>2020</v>
      </c>
      <c r="E832" t="s">
        <v>145</v>
      </c>
      <c r="F832">
        <v>12.39</v>
      </c>
      <c r="J832" s="18"/>
      <c r="K832" s="18"/>
      <c r="L832" s="18"/>
      <c r="M832" s="18"/>
      <c r="Z832" s="42" t="s">
        <v>51</v>
      </c>
      <c r="AA832" s="42">
        <v>2047</v>
      </c>
      <c r="AB832" s="42" t="s">
        <v>147</v>
      </c>
      <c r="AC832" s="42">
        <v>144.75</v>
      </c>
    </row>
    <row r="833" spans="3:29">
      <c r="C833" t="s">
        <v>117</v>
      </c>
      <c r="D833">
        <v>2020</v>
      </c>
      <c r="E833" t="s">
        <v>141</v>
      </c>
      <c r="F833">
        <v>533.25</v>
      </c>
      <c r="J833" s="18"/>
      <c r="K833" s="18"/>
      <c r="L833" s="18"/>
      <c r="M833" s="18"/>
      <c r="Z833" s="42" t="s">
        <v>51</v>
      </c>
      <c r="AA833" s="42">
        <v>2047</v>
      </c>
      <c r="AB833" s="42" t="s">
        <v>145</v>
      </c>
      <c r="AC833" s="42">
        <v>200.75</v>
      </c>
    </row>
    <row r="834" spans="3:29">
      <c r="C834" t="s">
        <v>117</v>
      </c>
      <c r="D834">
        <v>2020</v>
      </c>
      <c r="E834" t="s">
        <v>142</v>
      </c>
      <c r="F834">
        <v>623.02</v>
      </c>
      <c r="J834" s="18"/>
      <c r="K834" s="18"/>
      <c r="L834" s="18"/>
      <c r="M834" s="18"/>
      <c r="Z834" s="42" t="s">
        <v>51</v>
      </c>
      <c r="AA834" s="42">
        <v>2048</v>
      </c>
      <c r="AB834" s="42" t="s">
        <v>146</v>
      </c>
      <c r="AC834" s="42">
        <v>24.89</v>
      </c>
    </row>
    <row r="835" spans="3:29">
      <c r="C835" t="s">
        <v>117</v>
      </c>
      <c r="D835">
        <v>2020</v>
      </c>
      <c r="E835" t="s">
        <v>143</v>
      </c>
      <c r="F835">
        <v>662.64</v>
      </c>
      <c r="J835" s="18"/>
      <c r="K835" s="18"/>
      <c r="L835" s="18"/>
      <c r="M835" s="18"/>
      <c r="Z835" s="42" t="s">
        <v>51</v>
      </c>
      <c r="AA835" s="42">
        <v>2048</v>
      </c>
      <c r="AB835" s="42" t="s">
        <v>147</v>
      </c>
      <c r="AC835" s="42">
        <v>144.41999999999999</v>
      </c>
    </row>
    <row r="836" spans="3:29">
      <c r="C836" t="s">
        <v>117</v>
      </c>
      <c r="D836">
        <v>2020</v>
      </c>
      <c r="E836" t="s">
        <v>144</v>
      </c>
      <c r="F836">
        <v>2.64</v>
      </c>
      <c r="J836" s="18"/>
      <c r="K836" s="18"/>
      <c r="L836" s="18"/>
      <c r="M836" s="18"/>
      <c r="Z836" s="42" t="s">
        <v>51</v>
      </c>
      <c r="AA836" s="42">
        <v>2048</v>
      </c>
      <c r="AB836" s="42" t="s">
        <v>145</v>
      </c>
      <c r="AC836" s="42">
        <v>200.58</v>
      </c>
    </row>
    <row r="837" spans="3:29">
      <c r="C837" t="s">
        <v>117</v>
      </c>
      <c r="D837">
        <v>2021</v>
      </c>
      <c r="E837" t="s">
        <v>146</v>
      </c>
      <c r="F837">
        <v>0.72</v>
      </c>
      <c r="J837" s="18"/>
      <c r="K837" s="18"/>
      <c r="L837" s="18"/>
      <c r="M837" s="18"/>
      <c r="Z837" s="42" t="s">
        <v>51</v>
      </c>
      <c r="AA837" s="42">
        <v>2049</v>
      </c>
      <c r="AB837" s="42" t="s">
        <v>146</v>
      </c>
      <c r="AC837" s="42">
        <v>24.85</v>
      </c>
    </row>
    <row r="838" spans="3:29">
      <c r="C838" t="s">
        <v>117</v>
      </c>
      <c r="D838">
        <v>2021</v>
      </c>
      <c r="E838" t="s">
        <v>145</v>
      </c>
      <c r="F838">
        <v>13.41</v>
      </c>
      <c r="J838" s="18"/>
      <c r="K838" s="18"/>
      <c r="L838" s="18"/>
      <c r="M838" s="18"/>
      <c r="Z838" s="42" t="s">
        <v>51</v>
      </c>
      <c r="AA838" s="42">
        <v>2049</v>
      </c>
      <c r="AB838" s="42" t="s">
        <v>147</v>
      </c>
      <c r="AC838" s="42">
        <v>144.13</v>
      </c>
    </row>
    <row r="839" spans="3:29">
      <c r="C839" t="s">
        <v>117</v>
      </c>
      <c r="D839">
        <v>2021</v>
      </c>
      <c r="E839" t="s">
        <v>141</v>
      </c>
      <c r="F839">
        <v>562.25</v>
      </c>
      <c r="J839" s="18"/>
      <c r="K839" s="18"/>
      <c r="L839" s="18"/>
      <c r="M839" s="18"/>
      <c r="Z839" s="42" t="s">
        <v>51</v>
      </c>
      <c r="AA839" s="42">
        <v>2049</v>
      </c>
      <c r="AB839" s="42" t="s">
        <v>145</v>
      </c>
      <c r="AC839" s="42">
        <v>200.44</v>
      </c>
    </row>
    <row r="840" spans="3:29">
      <c r="C840" t="s">
        <v>117</v>
      </c>
      <c r="D840">
        <v>2021</v>
      </c>
      <c r="E840" t="s">
        <v>142</v>
      </c>
      <c r="F840">
        <v>622.46</v>
      </c>
      <c r="J840" s="18"/>
      <c r="K840" s="18"/>
      <c r="L840" s="18"/>
      <c r="M840" s="18"/>
      <c r="Z840" s="42" t="s">
        <v>51</v>
      </c>
      <c r="AA840" s="42">
        <v>2050</v>
      </c>
      <c r="AB840" s="42" t="s">
        <v>146</v>
      </c>
      <c r="AC840" s="42">
        <v>24.82</v>
      </c>
    </row>
    <row r="841" spans="3:29">
      <c r="C841" t="s">
        <v>117</v>
      </c>
      <c r="D841">
        <v>2021</v>
      </c>
      <c r="E841" t="s">
        <v>143</v>
      </c>
      <c r="F841">
        <v>655.83</v>
      </c>
      <c r="J841" s="18"/>
      <c r="K841" s="18"/>
      <c r="L841" s="18"/>
      <c r="M841" s="18"/>
      <c r="Z841" s="42" t="s">
        <v>51</v>
      </c>
      <c r="AA841" s="42">
        <v>2050</v>
      </c>
      <c r="AB841" s="42" t="s">
        <v>147</v>
      </c>
      <c r="AC841" s="42">
        <v>143.88999999999999</v>
      </c>
    </row>
    <row r="842" spans="3:29">
      <c r="C842" t="s">
        <v>117</v>
      </c>
      <c r="D842">
        <v>2021</v>
      </c>
      <c r="E842" t="s">
        <v>144</v>
      </c>
      <c r="F842">
        <v>3.28</v>
      </c>
      <c r="J842" s="18"/>
      <c r="K842" s="18"/>
      <c r="L842" s="18"/>
      <c r="M842" s="18"/>
      <c r="Z842" s="42" t="s">
        <v>51</v>
      </c>
      <c r="AA842" s="42">
        <v>2050</v>
      </c>
      <c r="AB842" s="42" t="s">
        <v>145</v>
      </c>
      <c r="AC842" s="42">
        <v>200.34</v>
      </c>
    </row>
    <row r="843" spans="3:29">
      <c r="C843" t="s">
        <v>117</v>
      </c>
      <c r="D843">
        <v>2022</v>
      </c>
      <c r="E843" t="s">
        <v>146</v>
      </c>
      <c r="F843">
        <v>0.74</v>
      </c>
      <c r="J843" s="18"/>
      <c r="K843" s="18"/>
      <c r="L843" s="18"/>
      <c r="M843" s="18"/>
      <c r="Z843" s="42" t="s">
        <v>125</v>
      </c>
      <c r="AA843" s="42">
        <v>2019</v>
      </c>
      <c r="AB843" s="42" t="s">
        <v>146</v>
      </c>
      <c r="AC843" s="42">
        <v>245.28</v>
      </c>
    </row>
    <row r="844" spans="3:29">
      <c r="C844" t="s">
        <v>117</v>
      </c>
      <c r="D844">
        <v>2022</v>
      </c>
      <c r="E844" t="s">
        <v>145</v>
      </c>
      <c r="F844">
        <v>14.41</v>
      </c>
      <c r="J844" s="18"/>
      <c r="K844" s="18"/>
      <c r="L844" s="18"/>
      <c r="M844" s="18"/>
      <c r="Z844" s="42" t="s">
        <v>125</v>
      </c>
      <c r="AA844" s="42">
        <v>2019</v>
      </c>
      <c r="AB844" s="42" t="s">
        <v>147</v>
      </c>
      <c r="AC844" s="42">
        <v>332.29</v>
      </c>
    </row>
    <row r="845" spans="3:29">
      <c r="C845" t="s">
        <v>117</v>
      </c>
      <c r="D845">
        <v>2022</v>
      </c>
      <c r="E845" t="s">
        <v>141</v>
      </c>
      <c r="F845">
        <v>590.05999999999995</v>
      </c>
      <c r="J845" s="18"/>
      <c r="K845" s="18"/>
      <c r="L845" s="18"/>
      <c r="M845" s="18"/>
      <c r="Z845" s="42" t="s">
        <v>125</v>
      </c>
      <c r="AA845" s="42">
        <v>2019</v>
      </c>
      <c r="AB845" s="42" t="s">
        <v>145</v>
      </c>
      <c r="AC845" s="42">
        <v>313.85000000000002</v>
      </c>
    </row>
    <row r="846" spans="3:29">
      <c r="C846" t="s">
        <v>117</v>
      </c>
      <c r="D846">
        <v>2022</v>
      </c>
      <c r="E846" t="s">
        <v>142</v>
      </c>
      <c r="F846">
        <v>653.22</v>
      </c>
      <c r="J846" s="18"/>
      <c r="K846" s="18"/>
      <c r="L846" s="18"/>
      <c r="M846" s="18"/>
      <c r="Z846" s="42" t="s">
        <v>125</v>
      </c>
      <c r="AA846" s="42">
        <v>2020</v>
      </c>
      <c r="AB846" s="42" t="s">
        <v>146</v>
      </c>
      <c r="AC846" s="42">
        <v>246.4</v>
      </c>
    </row>
    <row r="847" spans="3:29">
      <c r="C847" t="s">
        <v>117</v>
      </c>
      <c r="D847">
        <v>2022</v>
      </c>
      <c r="E847" t="s">
        <v>143</v>
      </c>
      <c r="F847">
        <v>650.21</v>
      </c>
      <c r="J847" s="18"/>
      <c r="K847" s="18"/>
      <c r="L847" s="18"/>
      <c r="M847" s="18"/>
      <c r="Z847" s="42" t="s">
        <v>125</v>
      </c>
      <c r="AA847" s="42">
        <v>2020</v>
      </c>
      <c r="AB847" s="42" t="s">
        <v>147</v>
      </c>
      <c r="AC847" s="42">
        <v>332.34</v>
      </c>
    </row>
    <row r="848" spans="3:29">
      <c r="C848" t="s">
        <v>117</v>
      </c>
      <c r="D848">
        <v>2022</v>
      </c>
      <c r="E848" t="s">
        <v>144</v>
      </c>
      <c r="F848">
        <v>3.73</v>
      </c>
      <c r="J848" s="18"/>
      <c r="K848" s="18"/>
      <c r="L848" s="18"/>
      <c r="M848" s="18"/>
      <c r="Z848" s="42" t="s">
        <v>125</v>
      </c>
      <c r="AA848" s="42">
        <v>2020</v>
      </c>
      <c r="AB848" s="42" t="s">
        <v>145</v>
      </c>
      <c r="AC848" s="42">
        <v>310.13</v>
      </c>
    </row>
    <row r="849" spans="3:29">
      <c r="C849" t="s">
        <v>117</v>
      </c>
      <c r="D849">
        <v>2023</v>
      </c>
      <c r="E849" t="s">
        <v>146</v>
      </c>
      <c r="F849">
        <v>0.75</v>
      </c>
      <c r="J849" s="18"/>
      <c r="K849" s="18"/>
      <c r="L849" s="18"/>
      <c r="M849" s="18"/>
      <c r="Z849" s="42" t="s">
        <v>125</v>
      </c>
      <c r="AA849" s="42">
        <v>2021</v>
      </c>
      <c r="AB849" s="42" t="s">
        <v>146</v>
      </c>
      <c r="AC849" s="42">
        <v>248.84</v>
      </c>
    </row>
    <row r="850" spans="3:29">
      <c r="C850" t="s">
        <v>117</v>
      </c>
      <c r="D850">
        <v>2023</v>
      </c>
      <c r="E850" t="s">
        <v>145</v>
      </c>
      <c r="F850">
        <v>14.99</v>
      </c>
      <c r="J850" s="18"/>
      <c r="K850" s="18"/>
      <c r="L850" s="18"/>
      <c r="M850" s="18"/>
      <c r="Z850" s="42" t="s">
        <v>125</v>
      </c>
      <c r="AA850" s="42">
        <v>2021</v>
      </c>
      <c r="AB850" s="42" t="s">
        <v>147</v>
      </c>
      <c r="AC850" s="42">
        <v>333.46</v>
      </c>
    </row>
    <row r="851" spans="3:29">
      <c r="C851" t="s">
        <v>117</v>
      </c>
      <c r="D851">
        <v>2023</v>
      </c>
      <c r="E851" t="s">
        <v>141</v>
      </c>
      <c r="F851">
        <v>606.61</v>
      </c>
      <c r="J851" s="18"/>
      <c r="K851" s="18"/>
      <c r="L851" s="18"/>
      <c r="M851" s="18"/>
      <c r="Z851" s="42" t="s">
        <v>125</v>
      </c>
      <c r="AA851" s="42">
        <v>2021</v>
      </c>
      <c r="AB851" s="42" t="s">
        <v>145</v>
      </c>
      <c r="AC851" s="42">
        <v>319.31</v>
      </c>
    </row>
    <row r="852" spans="3:29">
      <c r="C852" t="s">
        <v>117</v>
      </c>
      <c r="D852">
        <v>2023</v>
      </c>
      <c r="E852" t="s">
        <v>142</v>
      </c>
      <c r="F852">
        <v>671.89</v>
      </c>
      <c r="J852" s="18"/>
      <c r="K852" s="18"/>
      <c r="L852" s="18"/>
      <c r="M852" s="18"/>
      <c r="Z852" s="42" t="s">
        <v>125</v>
      </c>
      <c r="AA852" s="42">
        <v>2022</v>
      </c>
      <c r="AB852" s="42" t="s">
        <v>146</v>
      </c>
      <c r="AC852" s="42">
        <v>251.77</v>
      </c>
    </row>
    <row r="853" spans="3:29">
      <c r="C853" t="s">
        <v>117</v>
      </c>
      <c r="D853">
        <v>2023</v>
      </c>
      <c r="E853" t="s">
        <v>143</v>
      </c>
      <c r="F853">
        <v>654.05999999999995</v>
      </c>
      <c r="J853" s="18"/>
      <c r="K853" s="18"/>
      <c r="L853" s="18"/>
      <c r="M853" s="18"/>
      <c r="Z853" s="42" t="s">
        <v>125</v>
      </c>
      <c r="AA853" s="42">
        <v>2022</v>
      </c>
      <c r="AB853" s="42" t="s">
        <v>147</v>
      </c>
      <c r="AC853" s="42">
        <v>335.04</v>
      </c>
    </row>
    <row r="854" spans="3:29">
      <c r="C854" t="s">
        <v>117</v>
      </c>
      <c r="D854">
        <v>2023</v>
      </c>
      <c r="E854" t="s">
        <v>144</v>
      </c>
      <c r="F854">
        <v>4.09</v>
      </c>
      <c r="J854" s="18"/>
      <c r="K854" s="18"/>
      <c r="L854" s="18"/>
      <c r="M854" s="18"/>
      <c r="Z854" s="42" t="s">
        <v>125</v>
      </c>
      <c r="AA854" s="42">
        <v>2022</v>
      </c>
      <c r="AB854" s="42" t="s">
        <v>145</v>
      </c>
      <c r="AC854" s="42">
        <v>329.57</v>
      </c>
    </row>
    <row r="855" spans="3:29">
      <c r="C855" t="s">
        <v>117</v>
      </c>
      <c r="D855">
        <v>2024</v>
      </c>
      <c r="E855" t="s">
        <v>146</v>
      </c>
      <c r="F855">
        <v>0.76</v>
      </c>
      <c r="J855" s="18"/>
      <c r="K855" s="18"/>
      <c r="L855" s="18"/>
      <c r="M855" s="18"/>
      <c r="Z855" s="42" t="s">
        <v>125</v>
      </c>
      <c r="AA855" s="42">
        <v>2023</v>
      </c>
      <c r="AB855" s="42" t="s">
        <v>146</v>
      </c>
      <c r="AC855" s="42">
        <v>253.9</v>
      </c>
    </row>
    <row r="856" spans="3:29">
      <c r="C856" t="s">
        <v>117</v>
      </c>
      <c r="D856">
        <v>2024</v>
      </c>
      <c r="E856" t="s">
        <v>145</v>
      </c>
      <c r="F856">
        <v>15.26</v>
      </c>
      <c r="J856" s="18"/>
      <c r="K856" s="18"/>
      <c r="L856" s="18"/>
      <c r="M856" s="18"/>
      <c r="Z856" s="42" t="s">
        <v>125</v>
      </c>
      <c r="AA856" s="42">
        <v>2023</v>
      </c>
      <c r="AB856" s="42" t="s">
        <v>147</v>
      </c>
      <c r="AC856" s="42">
        <v>335.65</v>
      </c>
    </row>
    <row r="857" spans="3:29">
      <c r="C857" t="s">
        <v>117</v>
      </c>
      <c r="D857">
        <v>2024</v>
      </c>
      <c r="E857" t="s">
        <v>141</v>
      </c>
      <c r="F857">
        <v>616.88</v>
      </c>
      <c r="J857" s="18"/>
      <c r="K857" s="18"/>
      <c r="L857" s="18"/>
      <c r="M857" s="18"/>
      <c r="Z857" s="42" t="s">
        <v>125</v>
      </c>
      <c r="AA857" s="42">
        <v>2023</v>
      </c>
      <c r="AB857" s="42" t="s">
        <v>145</v>
      </c>
      <c r="AC857" s="42">
        <v>337.55</v>
      </c>
    </row>
    <row r="858" spans="3:29">
      <c r="C858" t="s">
        <v>117</v>
      </c>
      <c r="D858">
        <v>2024</v>
      </c>
      <c r="E858" t="s">
        <v>142</v>
      </c>
      <c r="F858">
        <v>683.91</v>
      </c>
      <c r="J858" s="18"/>
      <c r="K858" s="18"/>
      <c r="L858" s="18"/>
      <c r="M858" s="18"/>
      <c r="Z858" s="42" t="s">
        <v>125</v>
      </c>
      <c r="AA858" s="42">
        <v>2024</v>
      </c>
      <c r="AB858" s="42" t="s">
        <v>146</v>
      </c>
      <c r="AC858" s="42">
        <v>255.61</v>
      </c>
    </row>
    <row r="859" spans="3:29">
      <c r="C859" t="s">
        <v>117</v>
      </c>
      <c r="D859">
        <v>2024</v>
      </c>
      <c r="E859" t="s">
        <v>143</v>
      </c>
      <c r="F859">
        <v>655.73</v>
      </c>
      <c r="J859" s="18"/>
      <c r="K859" s="18"/>
      <c r="L859" s="18"/>
      <c r="M859" s="18"/>
      <c r="Z859" s="42" t="s">
        <v>125</v>
      </c>
      <c r="AA859" s="42">
        <v>2024</v>
      </c>
      <c r="AB859" s="42" t="s">
        <v>147</v>
      </c>
      <c r="AC859" s="42">
        <v>335.73</v>
      </c>
    </row>
    <row r="860" spans="3:29">
      <c r="C860" t="s">
        <v>117</v>
      </c>
      <c r="D860">
        <v>2024</v>
      </c>
      <c r="E860" t="s">
        <v>144</v>
      </c>
      <c r="F860">
        <v>5.07</v>
      </c>
      <c r="J860" s="18"/>
      <c r="K860" s="18"/>
      <c r="L860" s="18"/>
      <c r="M860" s="18"/>
      <c r="Z860" s="42" t="s">
        <v>125</v>
      </c>
      <c r="AA860" s="42">
        <v>2024</v>
      </c>
      <c r="AB860" s="42" t="s">
        <v>145</v>
      </c>
      <c r="AC860" s="42">
        <v>343.17</v>
      </c>
    </row>
    <row r="861" spans="3:29">
      <c r="C861" t="s">
        <v>117</v>
      </c>
      <c r="D861">
        <v>2025</v>
      </c>
      <c r="E861" t="s">
        <v>146</v>
      </c>
      <c r="F861">
        <v>0.76</v>
      </c>
      <c r="J861" s="18"/>
      <c r="K861" s="18"/>
      <c r="L861" s="18"/>
      <c r="M861" s="18"/>
      <c r="Z861" s="42" t="s">
        <v>125</v>
      </c>
      <c r="AA861" s="42">
        <v>2025</v>
      </c>
      <c r="AB861" s="42" t="s">
        <v>146</v>
      </c>
      <c r="AC861" s="42">
        <v>257.07</v>
      </c>
    </row>
    <row r="862" spans="3:29">
      <c r="C862" t="s">
        <v>117</v>
      </c>
      <c r="D862">
        <v>2025</v>
      </c>
      <c r="E862" t="s">
        <v>145</v>
      </c>
      <c r="F862">
        <v>15.34</v>
      </c>
      <c r="J862" s="18"/>
      <c r="K862" s="18"/>
      <c r="L862" s="18"/>
      <c r="M862" s="18"/>
      <c r="Z862" s="42" t="s">
        <v>125</v>
      </c>
      <c r="AA862" s="42">
        <v>2025</v>
      </c>
      <c r="AB862" s="42" t="s">
        <v>147</v>
      </c>
      <c r="AC862" s="42">
        <v>335.51</v>
      </c>
    </row>
    <row r="863" spans="3:29">
      <c r="C863" t="s">
        <v>117</v>
      </c>
      <c r="D863">
        <v>2025</v>
      </c>
      <c r="E863" t="s">
        <v>141</v>
      </c>
      <c r="F863">
        <v>625.80999999999995</v>
      </c>
      <c r="J863" s="18"/>
      <c r="K863" s="18"/>
      <c r="L863" s="18"/>
      <c r="M863" s="18"/>
      <c r="Z863" s="42" t="s">
        <v>125</v>
      </c>
      <c r="AA863" s="42">
        <v>2025</v>
      </c>
      <c r="AB863" s="42" t="s">
        <v>145</v>
      </c>
      <c r="AC863" s="42">
        <v>347.72</v>
      </c>
    </row>
    <row r="864" spans="3:29">
      <c r="C864" t="s">
        <v>117</v>
      </c>
      <c r="D864">
        <v>2025</v>
      </c>
      <c r="E864" t="s">
        <v>142</v>
      </c>
      <c r="F864">
        <v>689.6</v>
      </c>
      <c r="J864" s="18"/>
      <c r="K864" s="18"/>
      <c r="L864" s="18"/>
      <c r="M864" s="18"/>
      <c r="Z864" s="42" t="s">
        <v>125</v>
      </c>
      <c r="AA864" s="42">
        <v>2026</v>
      </c>
      <c r="AB864" s="42" t="s">
        <v>146</v>
      </c>
      <c r="AC864" s="42">
        <v>258.75</v>
      </c>
    </row>
    <row r="865" spans="3:29">
      <c r="C865" t="s">
        <v>117</v>
      </c>
      <c r="D865">
        <v>2025</v>
      </c>
      <c r="E865" t="s">
        <v>143</v>
      </c>
      <c r="F865">
        <v>657.41</v>
      </c>
      <c r="J865" s="18"/>
      <c r="K865" s="18"/>
      <c r="L865" s="18"/>
      <c r="M865" s="18"/>
      <c r="Z865" s="42" t="s">
        <v>125</v>
      </c>
      <c r="AA865" s="42">
        <v>2026</v>
      </c>
      <c r="AB865" s="42" t="s">
        <v>147</v>
      </c>
      <c r="AC865" s="42">
        <v>335.66</v>
      </c>
    </row>
    <row r="866" spans="3:29">
      <c r="C866" t="s">
        <v>117</v>
      </c>
      <c r="D866">
        <v>2025</v>
      </c>
      <c r="E866" t="s">
        <v>144</v>
      </c>
      <c r="F866">
        <v>6.67</v>
      </c>
      <c r="J866" s="18"/>
      <c r="K866" s="18"/>
      <c r="L866" s="18"/>
      <c r="M866" s="18"/>
      <c r="Z866" s="42" t="s">
        <v>125</v>
      </c>
      <c r="AA866" s="42">
        <v>2026</v>
      </c>
      <c r="AB866" s="42" t="s">
        <v>145</v>
      </c>
      <c r="AC866" s="42">
        <v>352.51</v>
      </c>
    </row>
    <row r="867" spans="3:29">
      <c r="C867" t="s">
        <v>117</v>
      </c>
      <c r="D867">
        <v>2026</v>
      </c>
      <c r="E867" t="s">
        <v>146</v>
      </c>
      <c r="F867">
        <v>0.76</v>
      </c>
      <c r="J867" s="18"/>
      <c r="K867" s="18"/>
      <c r="L867" s="18"/>
      <c r="M867" s="18"/>
      <c r="Z867" s="42" t="s">
        <v>125</v>
      </c>
      <c r="AA867" s="42">
        <v>2027</v>
      </c>
      <c r="AB867" s="42" t="s">
        <v>146</v>
      </c>
      <c r="AC867" s="42">
        <v>260.33999999999997</v>
      </c>
    </row>
    <row r="868" spans="3:29">
      <c r="C868" t="s">
        <v>117</v>
      </c>
      <c r="D868">
        <v>2026</v>
      </c>
      <c r="E868" t="s">
        <v>145</v>
      </c>
      <c r="F868">
        <v>15.46</v>
      </c>
      <c r="J868" s="18"/>
      <c r="K868" s="18"/>
      <c r="L868" s="18"/>
      <c r="M868" s="18"/>
      <c r="Z868" s="42" t="s">
        <v>125</v>
      </c>
      <c r="AA868" s="42">
        <v>2027</v>
      </c>
      <c r="AB868" s="42" t="s">
        <v>147</v>
      </c>
      <c r="AC868" s="42">
        <v>335.7</v>
      </c>
    </row>
    <row r="869" spans="3:29">
      <c r="C869" t="s">
        <v>117</v>
      </c>
      <c r="D869">
        <v>2026</v>
      </c>
      <c r="E869" t="s">
        <v>141</v>
      </c>
      <c r="F869">
        <v>634.85</v>
      </c>
      <c r="J869" s="18"/>
      <c r="K869" s="18"/>
      <c r="L869" s="18"/>
      <c r="M869" s="18"/>
      <c r="Z869" s="42" t="s">
        <v>125</v>
      </c>
      <c r="AA869" s="42">
        <v>2027</v>
      </c>
      <c r="AB869" s="42" t="s">
        <v>145</v>
      </c>
      <c r="AC869" s="42">
        <v>357.3</v>
      </c>
    </row>
    <row r="870" spans="3:29">
      <c r="C870" t="s">
        <v>117</v>
      </c>
      <c r="D870">
        <v>2026</v>
      </c>
      <c r="E870" t="s">
        <v>142</v>
      </c>
      <c r="F870">
        <v>698.97</v>
      </c>
      <c r="J870" s="18"/>
      <c r="K870" s="18"/>
      <c r="L870" s="18"/>
      <c r="M870" s="18"/>
      <c r="Z870" s="42" t="s">
        <v>125</v>
      </c>
      <c r="AA870" s="42">
        <v>2028</v>
      </c>
      <c r="AB870" s="42" t="s">
        <v>146</v>
      </c>
      <c r="AC870" s="42">
        <v>262.14999999999998</v>
      </c>
    </row>
    <row r="871" spans="3:29">
      <c r="C871" t="s">
        <v>117</v>
      </c>
      <c r="D871">
        <v>2026</v>
      </c>
      <c r="E871" t="s">
        <v>143</v>
      </c>
      <c r="F871">
        <v>661.41</v>
      </c>
      <c r="J871" s="18"/>
      <c r="K871" s="18"/>
      <c r="L871" s="18"/>
      <c r="M871" s="18"/>
      <c r="Z871" s="42" t="s">
        <v>125</v>
      </c>
      <c r="AA871" s="42">
        <v>2028</v>
      </c>
      <c r="AB871" s="42" t="s">
        <v>147</v>
      </c>
      <c r="AC871" s="42">
        <v>336.06</v>
      </c>
    </row>
    <row r="872" spans="3:29">
      <c r="C872" t="s">
        <v>117</v>
      </c>
      <c r="D872">
        <v>2026</v>
      </c>
      <c r="E872" t="s">
        <v>144</v>
      </c>
      <c r="F872">
        <v>8.11</v>
      </c>
      <c r="J872" s="18"/>
      <c r="K872" s="18"/>
      <c r="L872" s="18"/>
      <c r="M872" s="18"/>
      <c r="Z872" s="42" t="s">
        <v>125</v>
      </c>
      <c r="AA872" s="42">
        <v>2028</v>
      </c>
      <c r="AB872" s="42" t="s">
        <v>145</v>
      </c>
      <c r="AC872" s="42">
        <v>362.88</v>
      </c>
    </row>
    <row r="873" spans="3:29">
      <c r="C873" t="s">
        <v>117</v>
      </c>
      <c r="D873">
        <v>2027</v>
      </c>
      <c r="E873" t="s">
        <v>146</v>
      </c>
      <c r="F873">
        <v>0.77</v>
      </c>
      <c r="J873" s="18"/>
      <c r="K873" s="18"/>
      <c r="L873" s="18"/>
      <c r="M873" s="18"/>
      <c r="Z873" s="42" t="s">
        <v>125</v>
      </c>
      <c r="AA873" s="42">
        <v>2029</v>
      </c>
      <c r="AB873" s="42" t="s">
        <v>146</v>
      </c>
      <c r="AC873" s="42">
        <v>264.02999999999997</v>
      </c>
    </row>
    <row r="874" spans="3:29">
      <c r="C874" t="s">
        <v>117</v>
      </c>
      <c r="D874">
        <v>2027</v>
      </c>
      <c r="E874" t="s">
        <v>145</v>
      </c>
      <c r="F874">
        <v>15.62</v>
      </c>
      <c r="J874" s="18"/>
      <c r="K874" s="18"/>
      <c r="L874" s="18"/>
      <c r="M874" s="18"/>
      <c r="Z874" s="42" t="s">
        <v>125</v>
      </c>
      <c r="AA874" s="42">
        <v>2029</v>
      </c>
      <c r="AB874" s="42" t="s">
        <v>147</v>
      </c>
      <c r="AC874" s="42">
        <v>336.53</v>
      </c>
    </row>
    <row r="875" spans="3:29">
      <c r="C875" t="s">
        <v>117</v>
      </c>
      <c r="D875">
        <v>2027</v>
      </c>
      <c r="E875" t="s">
        <v>141</v>
      </c>
      <c r="F875">
        <v>642.86</v>
      </c>
      <c r="J875" s="18"/>
      <c r="K875" s="18"/>
      <c r="L875" s="18"/>
      <c r="M875" s="18"/>
      <c r="Z875" s="42" t="s">
        <v>125</v>
      </c>
      <c r="AA875" s="42">
        <v>2029</v>
      </c>
      <c r="AB875" s="42" t="s">
        <v>145</v>
      </c>
      <c r="AC875" s="42">
        <v>369.06</v>
      </c>
    </row>
    <row r="876" spans="3:29">
      <c r="C876" t="s">
        <v>117</v>
      </c>
      <c r="D876">
        <v>2027</v>
      </c>
      <c r="E876" t="s">
        <v>142</v>
      </c>
      <c r="F876">
        <v>706.8</v>
      </c>
      <c r="J876" s="18"/>
      <c r="K876" s="18"/>
      <c r="L876" s="18"/>
      <c r="M876" s="18"/>
      <c r="Z876" s="42" t="s">
        <v>125</v>
      </c>
      <c r="AA876" s="42">
        <v>2030</v>
      </c>
      <c r="AB876" s="42" t="s">
        <v>146</v>
      </c>
      <c r="AC876" s="42">
        <v>265.97000000000003</v>
      </c>
    </row>
    <row r="877" spans="3:29">
      <c r="C877" t="s">
        <v>117</v>
      </c>
      <c r="D877">
        <v>2027</v>
      </c>
      <c r="E877" t="s">
        <v>143</v>
      </c>
      <c r="F877">
        <v>665.45</v>
      </c>
      <c r="J877" s="18"/>
      <c r="K877" s="18"/>
      <c r="L877" s="18"/>
      <c r="M877" s="18"/>
      <c r="Z877" s="42" t="s">
        <v>125</v>
      </c>
      <c r="AA877" s="42">
        <v>2030</v>
      </c>
      <c r="AB877" s="42" t="s">
        <v>147</v>
      </c>
      <c r="AC877" s="42">
        <v>337.06</v>
      </c>
    </row>
    <row r="878" spans="3:29">
      <c r="C878" t="s">
        <v>117</v>
      </c>
      <c r="D878">
        <v>2027</v>
      </c>
      <c r="E878" t="s">
        <v>144</v>
      </c>
      <c r="F878">
        <v>9.59</v>
      </c>
      <c r="J878" s="18"/>
      <c r="K878" s="18"/>
      <c r="L878" s="18"/>
      <c r="M878" s="18"/>
      <c r="Z878" s="42" t="s">
        <v>125</v>
      </c>
      <c r="AA878" s="42">
        <v>2030</v>
      </c>
      <c r="AB878" s="42" t="s">
        <v>145</v>
      </c>
      <c r="AC878" s="42">
        <v>376.07</v>
      </c>
    </row>
    <row r="879" spans="3:29">
      <c r="C879" t="s">
        <v>117</v>
      </c>
      <c r="D879">
        <v>2028</v>
      </c>
      <c r="E879" t="s">
        <v>146</v>
      </c>
      <c r="F879">
        <v>0.77</v>
      </c>
      <c r="J879" s="18"/>
      <c r="K879" s="18"/>
      <c r="L879" s="18"/>
      <c r="M879" s="18"/>
      <c r="Z879" s="42" t="s">
        <v>125</v>
      </c>
      <c r="AA879" s="42">
        <v>2031</v>
      </c>
      <c r="AB879" s="42" t="s">
        <v>146</v>
      </c>
      <c r="AC879" s="42">
        <v>267.93</v>
      </c>
    </row>
    <row r="880" spans="3:29">
      <c r="C880" t="s">
        <v>117</v>
      </c>
      <c r="D880">
        <v>2028</v>
      </c>
      <c r="E880" t="s">
        <v>145</v>
      </c>
      <c r="F880">
        <v>15.81</v>
      </c>
      <c r="J880" s="18"/>
      <c r="K880" s="18"/>
      <c r="L880" s="18"/>
      <c r="M880" s="18"/>
      <c r="Z880" s="42" t="s">
        <v>125</v>
      </c>
      <c r="AA880" s="42">
        <v>2031</v>
      </c>
      <c r="AB880" s="42" t="s">
        <v>147</v>
      </c>
      <c r="AC880" s="42">
        <v>337.57</v>
      </c>
    </row>
    <row r="881" spans="3:29">
      <c r="C881" t="s">
        <v>117</v>
      </c>
      <c r="D881">
        <v>2028</v>
      </c>
      <c r="E881" t="s">
        <v>141</v>
      </c>
      <c r="F881">
        <v>650.95000000000005</v>
      </c>
      <c r="J881" s="18"/>
      <c r="K881" s="18"/>
      <c r="L881" s="18"/>
      <c r="M881" s="18"/>
      <c r="Z881" s="42" t="s">
        <v>125</v>
      </c>
      <c r="AA881" s="42">
        <v>2031</v>
      </c>
      <c r="AB881" s="42" t="s">
        <v>145</v>
      </c>
      <c r="AC881" s="42">
        <v>384.48</v>
      </c>
    </row>
    <row r="882" spans="3:29">
      <c r="C882" t="s">
        <v>117</v>
      </c>
      <c r="D882">
        <v>2028</v>
      </c>
      <c r="E882" t="s">
        <v>142</v>
      </c>
      <c r="F882">
        <v>719.12</v>
      </c>
      <c r="J882" s="18"/>
      <c r="K882" s="18"/>
      <c r="L882" s="18"/>
      <c r="M882" s="18"/>
      <c r="Z882" s="42" t="s">
        <v>125</v>
      </c>
      <c r="AA882" s="42">
        <v>2032</v>
      </c>
      <c r="AB882" s="42" t="s">
        <v>146</v>
      </c>
      <c r="AC882" s="42">
        <v>269.98</v>
      </c>
    </row>
    <row r="883" spans="3:29">
      <c r="C883" t="s">
        <v>117</v>
      </c>
      <c r="D883">
        <v>2028</v>
      </c>
      <c r="E883" t="s">
        <v>143</v>
      </c>
      <c r="F883">
        <v>669.51</v>
      </c>
      <c r="J883" s="18"/>
      <c r="K883" s="18"/>
      <c r="L883" s="18"/>
      <c r="M883" s="18"/>
      <c r="Z883" s="42" t="s">
        <v>125</v>
      </c>
      <c r="AA883" s="42">
        <v>2032</v>
      </c>
      <c r="AB883" s="42" t="s">
        <v>147</v>
      </c>
      <c r="AC883" s="42">
        <v>338.18</v>
      </c>
    </row>
    <row r="884" spans="3:29">
      <c r="C884" t="s">
        <v>117</v>
      </c>
      <c r="D884">
        <v>2028</v>
      </c>
      <c r="E884" t="s">
        <v>144</v>
      </c>
      <c r="F884">
        <v>11.24</v>
      </c>
      <c r="J884" s="18"/>
      <c r="K884" s="18"/>
      <c r="L884" s="18"/>
      <c r="M884" s="18"/>
      <c r="Z884" s="42" t="s">
        <v>125</v>
      </c>
      <c r="AA884" s="42">
        <v>2032</v>
      </c>
      <c r="AB884" s="42" t="s">
        <v>145</v>
      </c>
      <c r="AC884" s="42">
        <v>393.91</v>
      </c>
    </row>
    <row r="885" spans="3:29">
      <c r="C885" t="s">
        <v>117</v>
      </c>
      <c r="D885">
        <v>2029</v>
      </c>
      <c r="E885" t="s">
        <v>146</v>
      </c>
      <c r="F885">
        <v>0.77</v>
      </c>
      <c r="J885" s="18"/>
      <c r="K885" s="18"/>
      <c r="L885" s="18"/>
      <c r="M885" s="18"/>
      <c r="Z885" s="42" t="s">
        <v>125</v>
      </c>
      <c r="AA885" s="42">
        <v>2033</v>
      </c>
      <c r="AB885" s="42" t="s">
        <v>146</v>
      </c>
      <c r="AC885" s="42">
        <v>272.29000000000002</v>
      </c>
    </row>
    <row r="886" spans="3:29">
      <c r="C886" t="s">
        <v>117</v>
      </c>
      <c r="D886">
        <v>2029</v>
      </c>
      <c r="E886" t="s">
        <v>145</v>
      </c>
      <c r="F886">
        <v>16.010000000000002</v>
      </c>
      <c r="J886" s="18"/>
      <c r="K886" s="18"/>
      <c r="L886" s="18"/>
      <c r="M886" s="18"/>
      <c r="Z886" s="42" t="s">
        <v>125</v>
      </c>
      <c r="AA886" s="42">
        <v>2033</v>
      </c>
      <c r="AB886" s="42" t="s">
        <v>147</v>
      </c>
      <c r="AC886" s="42">
        <v>339.19</v>
      </c>
    </row>
    <row r="887" spans="3:29">
      <c r="C887" t="s">
        <v>117</v>
      </c>
      <c r="D887">
        <v>2029</v>
      </c>
      <c r="E887" t="s">
        <v>141</v>
      </c>
      <c r="F887">
        <v>659.24</v>
      </c>
      <c r="J887" s="18"/>
      <c r="K887" s="18"/>
      <c r="L887" s="18"/>
      <c r="M887" s="18"/>
      <c r="Z887" s="42" t="s">
        <v>125</v>
      </c>
      <c r="AA887" s="42">
        <v>2033</v>
      </c>
      <c r="AB887" s="42" t="s">
        <v>145</v>
      </c>
      <c r="AC887" s="42">
        <v>403.73</v>
      </c>
    </row>
    <row r="888" spans="3:29">
      <c r="C888" t="s">
        <v>117</v>
      </c>
      <c r="D888">
        <v>2029</v>
      </c>
      <c r="E888" t="s">
        <v>142</v>
      </c>
      <c r="F888">
        <v>725.53</v>
      </c>
      <c r="J888" s="18"/>
      <c r="K888" s="18"/>
      <c r="L888" s="18"/>
      <c r="M888" s="18"/>
      <c r="Z888" s="42" t="s">
        <v>125</v>
      </c>
      <c r="AA888" s="42">
        <v>2034</v>
      </c>
      <c r="AB888" s="42" t="s">
        <v>146</v>
      </c>
      <c r="AC888" s="42">
        <v>274.49</v>
      </c>
    </row>
    <row r="889" spans="3:29">
      <c r="C889" t="s">
        <v>117</v>
      </c>
      <c r="D889">
        <v>2029</v>
      </c>
      <c r="E889" t="s">
        <v>143</v>
      </c>
      <c r="F889">
        <v>673.64</v>
      </c>
      <c r="J889" s="18"/>
      <c r="K889" s="18"/>
      <c r="L889" s="18"/>
      <c r="M889" s="18"/>
      <c r="Z889" s="42" t="s">
        <v>125</v>
      </c>
      <c r="AA889" s="42">
        <v>2034</v>
      </c>
      <c r="AB889" s="42" t="s">
        <v>147</v>
      </c>
      <c r="AC889" s="42">
        <v>340</v>
      </c>
    </row>
    <row r="890" spans="3:29">
      <c r="C890" t="s">
        <v>117</v>
      </c>
      <c r="D890">
        <v>2029</v>
      </c>
      <c r="E890" t="s">
        <v>144</v>
      </c>
      <c r="F890">
        <v>13.39</v>
      </c>
      <c r="J890" s="18"/>
      <c r="K890" s="18"/>
      <c r="L890" s="18"/>
      <c r="M890" s="18"/>
      <c r="Z890" s="42" t="s">
        <v>125</v>
      </c>
      <c r="AA890" s="42">
        <v>2034</v>
      </c>
      <c r="AB890" s="42" t="s">
        <v>145</v>
      </c>
      <c r="AC890" s="42">
        <v>414.32</v>
      </c>
    </row>
    <row r="891" spans="3:29">
      <c r="C891" t="s">
        <v>117</v>
      </c>
      <c r="D891">
        <v>2030</v>
      </c>
      <c r="E891" t="s">
        <v>146</v>
      </c>
      <c r="F891">
        <v>0.78</v>
      </c>
      <c r="J891" s="18"/>
      <c r="K891" s="18"/>
      <c r="L891" s="18"/>
      <c r="M891" s="18"/>
      <c r="Z891" s="42" t="s">
        <v>125</v>
      </c>
      <c r="AA891" s="42">
        <v>2035</v>
      </c>
      <c r="AB891" s="42" t="s">
        <v>146</v>
      </c>
      <c r="AC891" s="42">
        <v>276.86</v>
      </c>
    </row>
    <row r="892" spans="3:29">
      <c r="C892" t="s">
        <v>117</v>
      </c>
      <c r="D892">
        <v>2030</v>
      </c>
      <c r="E892" t="s">
        <v>145</v>
      </c>
      <c r="F892">
        <v>16.27</v>
      </c>
      <c r="J892" s="18"/>
      <c r="K892" s="18"/>
      <c r="L892" s="18"/>
      <c r="M892" s="18"/>
      <c r="Z892" s="42" t="s">
        <v>125</v>
      </c>
      <c r="AA892" s="42">
        <v>2035</v>
      </c>
      <c r="AB892" s="42" t="s">
        <v>147</v>
      </c>
      <c r="AC892" s="42">
        <v>341.07</v>
      </c>
    </row>
    <row r="893" spans="3:29">
      <c r="C893" t="s">
        <v>117</v>
      </c>
      <c r="D893">
        <v>2030</v>
      </c>
      <c r="E893" t="s">
        <v>141</v>
      </c>
      <c r="F893">
        <v>668.02</v>
      </c>
      <c r="J893" s="18"/>
      <c r="K893" s="18"/>
      <c r="L893" s="18"/>
      <c r="M893" s="18"/>
      <c r="Z893" s="42" t="s">
        <v>125</v>
      </c>
      <c r="AA893" s="42">
        <v>2035</v>
      </c>
      <c r="AB893" s="42" t="s">
        <v>145</v>
      </c>
      <c r="AC893" s="42">
        <v>425.11</v>
      </c>
    </row>
    <row r="894" spans="3:29">
      <c r="C894" t="s">
        <v>117</v>
      </c>
      <c r="D894">
        <v>2030</v>
      </c>
      <c r="E894" t="s">
        <v>142</v>
      </c>
      <c r="F894">
        <v>736.65</v>
      </c>
      <c r="J894" s="18"/>
      <c r="K894" s="18"/>
      <c r="L894" s="18"/>
      <c r="M894" s="18"/>
      <c r="Z894" s="42" t="s">
        <v>125</v>
      </c>
      <c r="AA894" s="42">
        <v>2036</v>
      </c>
      <c r="AB894" s="42" t="s">
        <v>146</v>
      </c>
      <c r="AC894" s="42">
        <v>279.18</v>
      </c>
    </row>
    <row r="895" spans="3:29">
      <c r="C895" t="s">
        <v>117</v>
      </c>
      <c r="D895">
        <v>2030</v>
      </c>
      <c r="E895" t="s">
        <v>143</v>
      </c>
      <c r="F895">
        <v>677.74</v>
      </c>
      <c r="J895" s="18"/>
      <c r="K895" s="18"/>
      <c r="L895" s="18"/>
      <c r="M895" s="18"/>
      <c r="Z895" s="42" t="s">
        <v>125</v>
      </c>
      <c r="AA895" s="42">
        <v>2036</v>
      </c>
      <c r="AB895" s="42" t="s">
        <v>147</v>
      </c>
      <c r="AC895" s="42">
        <v>342.08</v>
      </c>
    </row>
    <row r="896" spans="3:29">
      <c r="C896" t="s">
        <v>117</v>
      </c>
      <c r="D896">
        <v>2030</v>
      </c>
      <c r="E896" t="s">
        <v>144</v>
      </c>
      <c r="F896">
        <v>15.87</v>
      </c>
      <c r="J896" s="18"/>
      <c r="K896" s="18"/>
      <c r="L896" s="18"/>
      <c r="M896" s="18"/>
      <c r="Z896" s="42" t="s">
        <v>125</v>
      </c>
      <c r="AA896" s="42">
        <v>2036</v>
      </c>
      <c r="AB896" s="42" t="s">
        <v>145</v>
      </c>
      <c r="AC896" s="42">
        <v>436.48</v>
      </c>
    </row>
    <row r="897" spans="3:29">
      <c r="C897" t="s">
        <v>117</v>
      </c>
      <c r="D897">
        <v>2031</v>
      </c>
      <c r="E897" t="s">
        <v>146</v>
      </c>
      <c r="F897">
        <v>0.78</v>
      </c>
      <c r="J897" s="18"/>
      <c r="K897" s="18"/>
      <c r="L897" s="18"/>
      <c r="M897" s="18"/>
      <c r="Z897" s="42" t="s">
        <v>125</v>
      </c>
      <c r="AA897" s="42">
        <v>2037</v>
      </c>
      <c r="AB897" s="42" t="s">
        <v>146</v>
      </c>
      <c r="AC897" s="42">
        <v>281.26</v>
      </c>
    </row>
    <row r="898" spans="3:29">
      <c r="C898" t="s">
        <v>117</v>
      </c>
      <c r="D898">
        <v>2031</v>
      </c>
      <c r="E898" t="s">
        <v>145</v>
      </c>
      <c r="F898">
        <v>16.57</v>
      </c>
      <c r="J898" s="18"/>
      <c r="K898" s="18"/>
      <c r="L898" s="18"/>
      <c r="M898" s="18"/>
      <c r="Z898" s="42" t="s">
        <v>125</v>
      </c>
      <c r="AA898" s="42">
        <v>2037</v>
      </c>
      <c r="AB898" s="42" t="s">
        <v>147</v>
      </c>
      <c r="AC898" s="42">
        <v>342.71</v>
      </c>
    </row>
    <row r="899" spans="3:29">
      <c r="C899" t="s">
        <v>117</v>
      </c>
      <c r="D899">
        <v>2031</v>
      </c>
      <c r="E899" t="s">
        <v>141</v>
      </c>
      <c r="F899">
        <v>675.99</v>
      </c>
      <c r="J899" s="18"/>
      <c r="K899" s="18"/>
      <c r="L899" s="18"/>
      <c r="M899" s="18"/>
      <c r="Z899" s="42" t="s">
        <v>125</v>
      </c>
      <c r="AA899" s="42">
        <v>2037</v>
      </c>
      <c r="AB899" s="42" t="s">
        <v>145</v>
      </c>
      <c r="AC899" s="42">
        <v>447.46</v>
      </c>
    </row>
    <row r="900" spans="3:29">
      <c r="C900" t="s">
        <v>117</v>
      </c>
      <c r="D900">
        <v>2031</v>
      </c>
      <c r="E900" t="s">
        <v>142</v>
      </c>
      <c r="F900">
        <v>746.43</v>
      </c>
      <c r="J900" s="18"/>
      <c r="K900" s="18"/>
      <c r="L900" s="18"/>
      <c r="M900" s="18"/>
      <c r="Z900" s="42" t="s">
        <v>125</v>
      </c>
      <c r="AA900" s="42">
        <v>2038</v>
      </c>
      <c r="AB900" s="42" t="s">
        <v>146</v>
      </c>
      <c r="AC900" s="42">
        <v>283.35000000000002</v>
      </c>
    </row>
    <row r="901" spans="3:29">
      <c r="C901" t="s">
        <v>117</v>
      </c>
      <c r="D901">
        <v>2031</v>
      </c>
      <c r="E901" t="s">
        <v>143</v>
      </c>
      <c r="F901">
        <v>681.02</v>
      </c>
      <c r="J901" s="18"/>
      <c r="K901" s="18"/>
      <c r="L901" s="18"/>
      <c r="M901" s="18"/>
      <c r="Z901" s="42" t="s">
        <v>125</v>
      </c>
      <c r="AA901" s="42">
        <v>2038</v>
      </c>
      <c r="AB901" s="42" t="s">
        <v>147</v>
      </c>
      <c r="AC901" s="42">
        <v>343.37</v>
      </c>
    </row>
    <row r="902" spans="3:29">
      <c r="C902" t="s">
        <v>117</v>
      </c>
      <c r="D902">
        <v>2031</v>
      </c>
      <c r="E902" t="s">
        <v>144</v>
      </c>
      <c r="F902">
        <v>18.989999999999998</v>
      </c>
      <c r="J902" s="18"/>
      <c r="K902" s="18"/>
      <c r="L902" s="18"/>
      <c r="M902" s="18"/>
      <c r="Z902" s="42" t="s">
        <v>125</v>
      </c>
      <c r="AA902" s="42">
        <v>2038</v>
      </c>
      <c r="AB902" s="42" t="s">
        <v>145</v>
      </c>
      <c r="AC902" s="42">
        <v>458.31</v>
      </c>
    </row>
    <row r="903" spans="3:29">
      <c r="C903" t="s">
        <v>117</v>
      </c>
      <c r="D903">
        <v>2032</v>
      </c>
      <c r="E903" t="s">
        <v>146</v>
      </c>
      <c r="F903">
        <v>0.79</v>
      </c>
      <c r="J903" s="18"/>
      <c r="K903" s="18"/>
      <c r="L903" s="18"/>
      <c r="M903" s="18"/>
      <c r="Z903" s="42" t="s">
        <v>125</v>
      </c>
      <c r="AA903" s="42">
        <v>2039</v>
      </c>
      <c r="AB903" s="42" t="s">
        <v>146</v>
      </c>
      <c r="AC903" s="42">
        <v>285.41000000000003</v>
      </c>
    </row>
    <row r="904" spans="3:29">
      <c r="C904" t="s">
        <v>117</v>
      </c>
      <c r="D904">
        <v>2032</v>
      </c>
      <c r="E904" t="s">
        <v>145</v>
      </c>
      <c r="F904">
        <v>16.88</v>
      </c>
      <c r="J904" s="18"/>
      <c r="K904" s="18"/>
      <c r="L904" s="18"/>
      <c r="M904" s="18"/>
      <c r="Z904" s="42" t="s">
        <v>125</v>
      </c>
      <c r="AA904" s="42">
        <v>2039</v>
      </c>
      <c r="AB904" s="42" t="s">
        <v>147</v>
      </c>
      <c r="AC904" s="42">
        <v>343.97</v>
      </c>
    </row>
    <row r="905" spans="3:29">
      <c r="C905" t="s">
        <v>117</v>
      </c>
      <c r="D905">
        <v>2032</v>
      </c>
      <c r="E905" t="s">
        <v>141</v>
      </c>
      <c r="F905">
        <v>684.05</v>
      </c>
      <c r="J905" s="18"/>
      <c r="K905" s="18"/>
      <c r="L905" s="18"/>
      <c r="M905" s="18"/>
      <c r="Z905" s="42" t="s">
        <v>125</v>
      </c>
      <c r="AA905" s="42">
        <v>2039</v>
      </c>
      <c r="AB905" s="42" t="s">
        <v>145</v>
      </c>
      <c r="AC905" s="42">
        <v>469.53</v>
      </c>
    </row>
    <row r="906" spans="3:29">
      <c r="C906" t="s">
        <v>117</v>
      </c>
      <c r="D906">
        <v>2032</v>
      </c>
      <c r="E906" t="s">
        <v>142</v>
      </c>
      <c r="F906">
        <v>758.4</v>
      </c>
      <c r="J906" s="18"/>
      <c r="K906" s="18"/>
      <c r="L906" s="18"/>
      <c r="M906" s="18"/>
      <c r="Z906" s="42" t="s">
        <v>125</v>
      </c>
      <c r="AA906" s="42">
        <v>2040</v>
      </c>
      <c r="AB906" s="42" t="s">
        <v>146</v>
      </c>
      <c r="AC906" s="42">
        <v>287.60000000000002</v>
      </c>
    </row>
    <row r="907" spans="3:29">
      <c r="C907" t="s">
        <v>117</v>
      </c>
      <c r="D907">
        <v>2032</v>
      </c>
      <c r="E907" t="s">
        <v>143</v>
      </c>
      <c r="F907">
        <v>684.88</v>
      </c>
      <c r="J907" s="18"/>
      <c r="K907" s="18"/>
      <c r="L907" s="18"/>
      <c r="M907" s="18"/>
      <c r="Z907" s="42" t="s">
        <v>125</v>
      </c>
      <c r="AA907" s="42">
        <v>2040</v>
      </c>
      <c r="AB907" s="42" t="s">
        <v>147</v>
      </c>
      <c r="AC907" s="42">
        <v>344.76</v>
      </c>
    </row>
    <row r="908" spans="3:29">
      <c r="C908" t="s">
        <v>117</v>
      </c>
      <c r="D908">
        <v>2032</v>
      </c>
      <c r="E908" t="s">
        <v>144</v>
      </c>
      <c r="F908">
        <v>22.69</v>
      </c>
      <c r="J908" s="18"/>
      <c r="K908" s="18"/>
      <c r="L908" s="18"/>
      <c r="M908" s="18"/>
      <c r="Z908" s="42" t="s">
        <v>125</v>
      </c>
      <c r="AA908" s="42">
        <v>2040</v>
      </c>
      <c r="AB908" s="42" t="s">
        <v>145</v>
      </c>
      <c r="AC908" s="42">
        <v>481.11</v>
      </c>
    </row>
    <row r="909" spans="3:29">
      <c r="C909" t="s">
        <v>117</v>
      </c>
      <c r="D909">
        <v>2033</v>
      </c>
      <c r="E909" t="s">
        <v>146</v>
      </c>
      <c r="F909">
        <v>0.8</v>
      </c>
      <c r="J909" s="18"/>
      <c r="K909" s="18"/>
      <c r="L909" s="18"/>
      <c r="M909" s="18"/>
      <c r="Z909" s="42" t="s">
        <v>125</v>
      </c>
      <c r="AA909" s="42">
        <v>2041</v>
      </c>
      <c r="AB909" s="42" t="s">
        <v>146</v>
      </c>
      <c r="AC909" s="42">
        <v>289.83999999999997</v>
      </c>
    </row>
    <row r="910" spans="3:29">
      <c r="C910" t="s">
        <v>117</v>
      </c>
      <c r="D910">
        <v>2033</v>
      </c>
      <c r="E910" t="s">
        <v>145</v>
      </c>
      <c r="F910">
        <v>17.2</v>
      </c>
      <c r="J910" s="18"/>
      <c r="K910" s="18"/>
      <c r="L910" s="18"/>
      <c r="M910" s="18"/>
      <c r="Z910" s="42" t="s">
        <v>125</v>
      </c>
      <c r="AA910" s="42">
        <v>2041</v>
      </c>
      <c r="AB910" s="42" t="s">
        <v>147</v>
      </c>
      <c r="AC910" s="42">
        <v>345.65</v>
      </c>
    </row>
    <row r="911" spans="3:29">
      <c r="C911" t="s">
        <v>117</v>
      </c>
      <c r="D911">
        <v>2033</v>
      </c>
      <c r="E911" t="s">
        <v>141</v>
      </c>
      <c r="F911">
        <v>692.12</v>
      </c>
      <c r="J911" s="18"/>
      <c r="K911" s="18"/>
      <c r="L911" s="18"/>
      <c r="M911" s="18"/>
      <c r="Z911" s="42" t="s">
        <v>125</v>
      </c>
      <c r="AA911" s="42">
        <v>2041</v>
      </c>
      <c r="AB911" s="42" t="s">
        <v>145</v>
      </c>
      <c r="AC911" s="42">
        <v>492.91</v>
      </c>
    </row>
    <row r="912" spans="3:29">
      <c r="C912" t="s">
        <v>117</v>
      </c>
      <c r="D912">
        <v>2033</v>
      </c>
      <c r="E912" t="s">
        <v>142</v>
      </c>
      <c r="F912">
        <v>765.07</v>
      </c>
      <c r="J912" s="18"/>
      <c r="K912" s="18"/>
      <c r="L912" s="18"/>
      <c r="M912" s="18"/>
      <c r="Z912" s="42" t="s">
        <v>125</v>
      </c>
      <c r="AA912" s="42">
        <v>2042</v>
      </c>
      <c r="AB912" s="42" t="s">
        <v>146</v>
      </c>
      <c r="AC912" s="42">
        <v>292.05</v>
      </c>
    </row>
    <row r="913" spans="3:29">
      <c r="C913" t="s">
        <v>117</v>
      </c>
      <c r="D913">
        <v>2033</v>
      </c>
      <c r="E913" t="s">
        <v>143</v>
      </c>
      <c r="F913">
        <v>688.62</v>
      </c>
      <c r="J913" s="18"/>
      <c r="K913" s="18"/>
      <c r="L913" s="18"/>
      <c r="M913" s="18"/>
      <c r="Z913" s="42" t="s">
        <v>125</v>
      </c>
      <c r="AA913" s="42">
        <v>2042</v>
      </c>
      <c r="AB913" s="42" t="s">
        <v>147</v>
      </c>
      <c r="AC913" s="42">
        <v>346.5</v>
      </c>
    </row>
    <row r="914" spans="3:29">
      <c r="C914" t="s">
        <v>117</v>
      </c>
      <c r="D914">
        <v>2033</v>
      </c>
      <c r="E914" t="s">
        <v>144</v>
      </c>
      <c r="F914">
        <v>26.86</v>
      </c>
      <c r="J914" s="18"/>
      <c r="K914" s="18"/>
      <c r="L914" s="18"/>
      <c r="M914" s="18"/>
      <c r="Z914" s="42" t="s">
        <v>125</v>
      </c>
      <c r="AA914" s="42">
        <v>2042</v>
      </c>
      <c r="AB914" s="42" t="s">
        <v>145</v>
      </c>
      <c r="AC914" s="42">
        <v>504.4</v>
      </c>
    </row>
    <row r="915" spans="3:29">
      <c r="C915" t="s">
        <v>117</v>
      </c>
      <c r="D915">
        <v>2034</v>
      </c>
      <c r="E915" t="s">
        <v>146</v>
      </c>
      <c r="F915">
        <v>0.8</v>
      </c>
      <c r="J915" s="18"/>
      <c r="K915" s="18"/>
      <c r="L915" s="18"/>
      <c r="M915" s="18"/>
      <c r="Z915" s="42" t="s">
        <v>125</v>
      </c>
      <c r="AA915" s="42">
        <v>2043</v>
      </c>
      <c r="AB915" s="42" t="s">
        <v>146</v>
      </c>
      <c r="AC915" s="42">
        <v>294.22000000000003</v>
      </c>
    </row>
    <row r="916" spans="3:29">
      <c r="C916" t="s">
        <v>117</v>
      </c>
      <c r="D916">
        <v>2034</v>
      </c>
      <c r="E916" t="s">
        <v>145</v>
      </c>
      <c r="F916">
        <v>17.54</v>
      </c>
      <c r="J916" s="18"/>
      <c r="K916" s="18"/>
      <c r="L916" s="18"/>
      <c r="M916" s="18"/>
      <c r="Z916" s="42" t="s">
        <v>125</v>
      </c>
      <c r="AA916" s="42">
        <v>2043</v>
      </c>
      <c r="AB916" s="42" t="s">
        <v>147</v>
      </c>
      <c r="AC916" s="42">
        <v>347.29</v>
      </c>
    </row>
    <row r="917" spans="3:29">
      <c r="C917" t="s">
        <v>117</v>
      </c>
      <c r="D917">
        <v>2034</v>
      </c>
      <c r="E917" t="s">
        <v>141</v>
      </c>
      <c r="F917">
        <v>700.44</v>
      </c>
      <c r="J917" s="18"/>
      <c r="K917" s="18"/>
      <c r="L917" s="18"/>
      <c r="M917" s="18"/>
      <c r="Z917" s="42" t="s">
        <v>125</v>
      </c>
      <c r="AA917" s="42">
        <v>2043</v>
      </c>
      <c r="AB917" s="42" t="s">
        <v>145</v>
      </c>
      <c r="AC917" s="42">
        <v>516</v>
      </c>
    </row>
    <row r="918" spans="3:29">
      <c r="C918" t="s">
        <v>117</v>
      </c>
      <c r="D918">
        <v>2034</v>
      </c>
      <c r="E918" t="s">
        <v>142</v>
      </c>
      <c r="F918">
        <v>777.95</v>
      </c>
      <c r="J918" s="18"/>
      <c r="K918" s="18"/>
      <c r="L918" s="18"/>
      <c r="M918" s="18"/>
      <c r="Z918" s="42" t="s">
        <v>125</v>
      </c>
      <c r="AA918" s="42">
        <v>2044</v>
      </c>
      <c r="AB918" s="42" t="s">
        <v>146</v>
      </c>
      <c r="AC918" s="42">
        <v>296.42</v>
      </c>
    </row>
    <row r="919" spans="3:29">
      <c r="C919" t="s">
        <v>117</v>
      </c>
      <c r="D919">
        <v>2034</v>
      </c>
      <c r="E919" t="s">
        <v>143</v>
      </c>
      <c r="F919">
        <v>692.35</v>
      </c>
      <c r="J919" s="18"/>
      <c r="K919" s="18"/>
      <c r="L919" s="18"/>
      <c r="M919" s="18"/>
      <c r="Z919" s="42" t="s">
        <v>125</v>
      </c>
      <c r="AA919" s="42">
        <v>2044</v>
      </c>
      <c r="AB919" s="42" t="s">
        <v>147</v>
      </c>
      <c r="AC919" s="42">
        <v>348.11</v>
      </c>
    </row>
    <row r="920" spans="3:29">
      <c r="C920" t="s">
        <v>117</v>
      </c>
      <c r="D920">
        <v>2034</v>
      </c>
      <c r="E920" t="s">
        <v>144</v>
      </c>
      <c r="F920">
        <v>31.63</v>
      </c>
      <c r="J920" s="18"/>
      <c r="K920" s="18"/>
      <c r="L920" s="18"/>
      <c r="M920" s="18"/>
      <c r="Z920" s="42" t="s">
        <v>125</v>
      </c>
      <c r="AA920" s="42">
        <v>2044</v>
      </c>
      <c r="AB920" s="42" t="s">
        <v>145</v>
      </c>
      <c r="AC920" s="42">
        <v>527.92999999999995</v>
      </c>
    </row>
    <row r="921" spans="3:29">
      <c r="C921" t="s">
        <v>117</v>
      </c>
      <c r="D921">
        <v>2035</v>
      </c>
      <c r="E921" t="s">
        <v>146</v>
      </c>
      <c r="F921">
        <v>0.81</v>
      </c>
      <c r="J921" s="18"/>
      <c r="K921" s="18"/>
      <c r="L921" s="18"/>
      <c r="M921" s="18"/>
      <c r="Z921" s="42" t="s">
        <v>125</v>
      </c>
      <c r="AA921" s="42">
        <v>2045</v>
      </c>
      <c r="AB921" s="42" t="s">
        <v>146</v>
      </c>
      <c r="AC921" s="42">
        <v>298.60000000000002</v>
      </c>
    </row>
    <row r="922" spans="3:29">
      <c r="C922" t="s">
        <v>117</v>
      </c>
      <c r="D922">
        <v>2035</v>
      </c>
      <c r="E922" t="s">
        <v>145</v>
      </c>
      <c r="F922">
        <v>17.89</v>
      </c>
      <c r="J922" s="18"/>
      <c r="K922" s="18"/>
      <c r="L922" s="18"/>
      <c r="M922" s="18"/>
      <c r="Z922" s="42" t="s">
        <v>125</v>
      </c>
      <c r="AA922" s="42">
        <v>2045</v>
      </c>
      <c r="AB922" s="42" t="s">
        <v>147</v>
      </c>
      <c r="AC922" s="42">
        <v>348.91</v>
      </c>
    </row>
    <row r="923" spans="3:29">
      <c r="C923" t="s">
        <v>117</v>
      </c>
      <c r="D923">
        <v>2035</v>
      </c>
      <c r="E923" t="s">
        <v>141</v>
      </c>
      <c r="F923">
        <v>708.73</v>
      </c>
      <c r="J923" s="18"/>
      <c r="K923" s="18"/>
      <c r="L923" s="18"/>
      <c r="M923" s="18"/>
      <c r="Z923" s="42" t="s">
        <v>125</v>
      </c>
      <c r="AA923" s="42">
        <v>2045</v>
      </c>
      <c r="AB923" s="42" t="s">
        <v>145</v>
      </c>
      <c r="AC923" s="42">
        <v>539.92999999999995</v>
      </c>
    </row>
    <row r="924" spans="3:29">
      <c r="C924" t="s">
        <v>117</v>
      </c>
      <c r="D924">
        <v>2035</v>
      </c>
      <c r="E924" t="s">
        <v>142</v>
      </c>
      <c r="F924">
        <v>788.34</v>
      </c>
      <c r="J924" s="18"/>
      <c r="K924" s="18"/>
      <c r="L924" s="18"/>
      <c r="M924" s="18"/>
      <c r="Z924" s="42" t="s">
        <v>125</v>
      </c>
      <c r="AA924" s="42">
        <v>2046</v>
      </c>
      <c r="AB924" s="42" t="s">
        <v>146</v>
      </c>
      <c r="AC924" s="42">
        <v>300.76</v>
      </c>
    </row>
    <row r="925" spans="3:29">
      <c r="C925" t="s">
        <v>117</v>
      </c>
      <c r="D925">
        <v>2035</v>
      </c>
      <c r="E925" t="s">
        <v>143</v>
      </c>
      <c r="F925">
        <v>696.01</v>
      </c>
      <c r="J925" s="18"/>
      <c r="K925" s="18"/>
      <c r="L925" s="18"/>
      <c r="M925" s="18"/>
      <c r="Z925" s="42" t="s">
        <v>125</v>
      </c>
      <c r="AA925" s="42">
        <v>2046</v>
      </c>
      <c r="AB925" s="42" t="s">
        <v>147</v>
      </c>
      <c r="AC925" s="42">
        <v>349.7</v>
      </c>
    </row>
    <row r="926" spans="3:29">
      <c r="C926" t="s">
        <v>117</v>
      </c>
      <c r="D926">
        <v>2035</v>
      </c>
      <c r="E926" t="s">
        <v>144</v>
      </c>
      <c r="F926">
        <v>36.619999999999997</v>
      </c>
      <c r="J926" s="18"/>
      <c r="K926" s="18"/>
      <c r="L926" s="18"/>
      <c r="M926" s="18"/>
      <c r="Z926" s="42" t="s">
        <v>125</v>
      </c>
      <c r="AA926" s="42">
        <v>2046</v>
      </c>
      <c r="AB926" s="42" t="s">
        <v>145</v>
      </c>
      <c r="AC926" s="42">
        <v>552.27</v>
      </c>
    </row>
    <row r="927" spans="3:29">
      <c r="C927" t="s">
        <v>117</v>
      </c>
      <c r="D927">
        <v>2036</v>
      </c>
      <c r="E927" t="s">
        <v>146</v>
      </c>
      <c r="F927">
        <v>0.81</v>
      </c>
      <c r="J927" s="18"/>
      <c r="K927" s="18"/>
      <c r="L927" s="18"/>
      <c r="M927" s="18"/>
      <c r="Z927" s="42" t="s">
        <v>125</v>
      </c>
      <c r="AA927" s="42">
        <v>2047</v>
      </c>
      <c r="AB927" s="42" t="s">
        <v>146</v>
      </c>
      <c r="AC927" s="42">
        <v>302.86</v>
      </c>
    </row>
    <row r="928" spans="3:29">
      <c r="C928" t="s">
        <v>117</v>
      </c>
      <c r="D928">
        <v>2036</v>
      </c>
      <c r="E928" t="s">
        <v>145</v>
      </c>
      <c r="F928">
        <v>18.23</v>
      </c>
      <c r="J928" s="18"/>
      <c r="K928" s="18"/>
      <c r="L928" s="18"/>
      <c r="M928" s="18"/>
      <c r="Z928" s="42" t="s">
        <v>125</v>
      </c>
      <c r="AA928" s="42">
        <v>2047</v>
      </c>
      <c r="AB928" s="42" t="s">
        <v>147</v>
      </c>
      <c r="AC928" s="42">
        <v>350.39</v>
      </c>
    </row>
    <row r="929" spans="3:29">
      <c r="C929" t="s">
        <v>117</v>
      </c>
      <c r="D929">
        <v>2036</v>
      </c>
      <c r="E929" t="s">
        <v>141</v>
      </c>
      <c r="F929">
        <v>716.63</v>
      </c>
      <c r="J929" s="18"/>
      <c r="K929" s="18"/>
      <c r="L929" s="18"/>
      <c r="M929" s="18"/>
      <c r="Z929" s="42" t="s">
        <v>125</v>
      </c>
      <c r="AA929" s="42">
        <v>2047</v>
      </c>
      <c r="AB929" s="42" t="s">
        <v>145</v>
      </c>
      <c r="AC929" s="42">
        <v>564.47</v>
      </c>
    </row>
    <row r="930" spans="3:29">
      <c r="C930" t="s">
        <v>117</v>
      </c>
      <c r="D930">
        <v>2036</v>
      </c>
      <c r="E930" t="s">
        <v>142</v>
      </c>
      <c r="F930">
        <v>797.57</v>
      </c>
      <c r="J930" s="18"/>
      <c r="K930" s="18"/>
      <c r="L930" s="18"/>
      <c r="M930" s="18"/>
      <c r="Z930" s="42" t="s">
        <v>125</v>
      </c>
      <c r="AA930" s="42">
        <v>2048</v>
      </c>
      <c r="AB930" s="42" t="s">
        <v>146</v>
      </c>
      <c r="AC930" s="42">
        <v>305.17</v>
      </c>
    </row>
    <row r="931" spans="3:29">
      <c r="C931" t="s">
        <v>117</v>
      </c>
      <c r="D931">
        <v>2036</v>
      </c>
      <c r="E931" t="s">
        <v>143</v>
      </c>
      <c r="F931">
        <v>699.68</v>
      </c>
      <c r="J931" s="18"/>
      <c r="K931" s="18"/>
      <c r="L931" s="18"/>
      <c r="M931" s="18"/>
      <c r="Z931" s="42" t="s">
        <v>125</v>
      </c>
      <c r="AA931" s="42">
        <v>2048</v>
      </c>
      <c r="AB931" s="42" t="s">
        <v>147</v>
      </c>
      <c r="AC931" s="42">
        <v>351.39</v>
      </c>
    </row>
    <row r="932" spans="3:29">
      <c r="C932" t="s">
        <v>117</v>
      </c>
      <c r="D932">
        <v>2036</v>
      </c>
      <c r="E932" t="s">
        <v>144</v>
      </c>
      <c r="F932">
        <v>42.22</v>
      </c>
      <c r="J932" s="18"/>
      <c r="K932" s="18"/>
      <c r="L932" s="18"/>
      <c r="M932" s="18"/>
      <c r="Z932" s="42" t="s">
        <v>125</v>
      </c>
      <c r="AA932" s="42">
        <v>2048</v>
      </c>
      <c r="AB932" s="42" t="s">
        <v>145</v>
      </c>
      <c r="AC932" s="42">
        <v>576.97</v>
      </c>
    </row>
    <row r="933" spans="3:29">
      <c r="C933" t="s">
        <v>117</v>
      </c>
      <c r="D933">
        <v>2037</v>
      </c>
      <c r="E933" t="s">
        <v>146</v>
      </c>
      <c r="F933">
        <v>0.82</v>
      </c>
      <c r="J933" s="18"/>
      <c r="K933" s="18"/>
      <c r="L933" s="18"/>
      <c r="M933" s="18"/>
      <c r="Z933" s="42" t="s">
        <v>125</v>
      </c>
      <c r="AA933" s="42">
        <v>2049</v>
      </c>
      <c r="AB933" s="42" t="s">
        <v>146</v>
      </c>
      <c r="AC933" s="42">
        <v>307.27</v>
      </c>
    </row>
    <row r="934" spans="3:29">
      <c r="C934" t="s">
        <v>117</v>
      </c>
      <c r="D934">
        <v>2037</v>
      </c>
      <c r="E934" t="s">
        <v>145</v>
      </c>
      <c r="F934">
        <v>18.59</v>
      </c>
      <c r="J934" s="18"/>
      <c r="K934" s="18"/>
      <c r="L934" s="18"/>
      <c r="M934" s="18"/>
      <c r="Z934" s="42" t="s">
        <v>125</v>
      </c>
      <c r="AA934" s="42">
        <v>2049</v>
      </c>
      <c r="AB934" s="42" t="s">
        <v>147</v>
      </c>
      <c r="AC934" s="42">
        <v>352.07</v>
      </c>
    </row>
    <row r="935" spans="3:29">
      <c r="C935" t="s">
        <v>117</v>
      </c>
      <c r="D935">
        <v>2037</v>
      </c>
      <c r="E935" t="s">
        <v>141</v>
      </c>
      <c r="F935">
        <v>724.77</v>
      </c>
      <c r="J935" s="18"/>
      <c r="K935" s="18"/>
      <c r="L935" s="18"/>
      <c r="M935" s="18"/>
      <c r="Z935" s="42" t="s">
        <v>125</v>
      </c>
      <c r="AA935" s="42">
        <v>2049</v>
      </c>
      <c r="AB935" s="42" t="s">
        <v>145</v>
      </c>
      <c r="AC935" s="42">
        <v>589.58000000000004</v>
      </c>
    </row>
    <row r="936" spans="3:29">
      <c r="C936" t="s">
        <v>117</v>
      </c>
      <c r="D936">
        <v>2037</v>
      </c>
      <c r="E936" t="s">
        <v>142</v>
      </c>
      <c r="F936">
        <v>806.15</v>
      </c>
      <c r="J936" s="18"/>
      <c r="K936" s="18"/>
      <c r="L936" s="18"/>
      <c r="M936" s="18"/>
      <c r="Z936" s="42" t="s">
        <v>125</v>
      </c>
      <c r="AA936" s="42">
        <v>2050</v>
      </c>
      <c r="AB936" s="42" t="s">
        <v>146</v>
      </c>
      <c r="AC936" s="42">
        <v>309.52</v>
      </c>
    </row>
    <row r="937" spans="3:29">
      <c r="C937" t="s">
        <v>117</v>
      </c>
      <c r="D937">
        <v>2037</v>
      </c>
      <c r="E937" t="s">
        <v>143</v>
      </c>
      <c r="F937">
        <v>703.31</v>
      </c>
      <c r="J937" s="18"/>
      <c r="K937" s="18"/>
      <c r="L937" s="18"/>
      <c r="M937" s="18"/>
      <c r="Z937" s="42" t="s">
        <v>125</v>
      </c>
      <c r="AA937" s="42">
        <v>2050</v>
      </c>
      <c r="AB937" s="42" t="s">
        <v>147</v>
      </c>
      <c r="AC937" s="42">
        <v>352.98</v>
      </c>
    </row>
    <row r="938" spans="3:29">
      <c r="C938" t="s">
        <v>117</v>
      </c>
      <c r="D938">
        <v>2037</v>
      </c>
      <c r="E938" t="s">
        <v>144</v>
      </c>
      <c r="F938">
        <v>47.29</v>
      </c>
      <c r="J938" s="18"/>
      <c r="K938" s="18"/>
      <c r="L938" s="18"/>
      <c r="M938" s="18"/>
      <c r="Z938" s="42" t="s">
        <v>125</v>
      </c>
      <c r="AA938" s="42">
        <v>2050</v>
      </c>
      <c r="AB938" s="42" t="s">
        <v>145</v>
      </c>
      <c r="AC938" s="42">
        <v>602.65</v>
      </c>
    </row>
    <row r="939" spans="3:29">
      <c r="C939" t="s">
        <v>117</v>
      </c>
      <c r="D939">
        <v>2038</v>
      </c>
      <c r="E939" t="s">
        <v>146</v>
      </c>
      <c r="F939">
        <v>0.83</v>
      </c>
      <c r="J939" s="18"/>
      <c r="K939" s="18"/>
      <c r="L939" s="18"/>
      <c r="M939" s="18"/>
    </row>
    <row r="940" spans="3:29">
      <c r="C940" t="s">
        <v>117</v>
      </c>
      <c r="D940">
        <v>2038</v>
      </c>
      <c r="E940" t="s">
        <v>145</v>
      </c>
      <c r="F940">
        <v>18.96</v>
      </c>
      <c r="J940" s="18"/>
      <c r="K940" s="18"/>
      <c r="L940" s="18"/>
      <c r="M940" s="18"/>
    </row>
    <row r="941" spans="3:29">
      <c r="C941" t="s">
        <v>117</v>
      </c>
      <c r="D941">
        <v>2038</v>
      </c>
      <c r="E941" t="s">
        <v>141</v>
      </c>
      <c r="F941">
        <v>733.18</v>
      </c>
      <c r="J941" s="18"/>
      <c r="K941" s="18"/>
      <c r="L941" s="18"/>
      <c r="M941" s="18"/>
    </row>
    <row r="942" spans="3:29">
      <c r="C942" t="s">
        <v>117</v>
      </c>
      <c r="D942">
        <v>2038</v>
      </c>
      <c r="E942" t="s">
        <v>142</v>
      </c>
      <c r="F942">
        <v>817.06</v>
      </c>
      <c r="J942" s="18"/>
      <c r="K942" s="18"/>
      <c r="L942" s="18"/>
      <c r="M942" s="18"/>
    </row>
    <row r="943" spans="3:29">
      <c r="C943" t="s">
        <v>117</v>
      </c>
      <c r="D943">
        <v>2038</v>
      </c>
      <c r="E943" t="s">
        <v>143</v>
      </c>
      <c r="F943">
        <v>706.93</v>
      </c>
      <c r="J943" s="18"/>
      <c r="K943" s="18"/>
      <c r="L943" s="18"/>
      <c r="M943" s="18"/>
    </row>
    <row r="944" spans="3:29">
      <c r="C944" t="s">
        <v>117</v>
      </c>
      <c r="D944">
        <v>2038</v>
      </c>
      <c r="E944" t="s">
        <v>144</v>
      </c>
      <c r="F944">
        <v>52.74</v>
      </c>
      <c r="J944" s="18"/>
      <c r="K944" s="18"/>
      <c r="L944" s="18"/>
      <c r="M944" s="18"/>
    </row>
    <row r="945" spans="3:13">
      <c r="C945" t="s">
        <v>117</v>
      </c>
      <c r="D945">
        <v>2039</v>
      </c>
      <c r="E945" t="s">
        <v>146</v>
      </c>
      <c r="F945">
        <v>0.83</v>
      </c>
      <c r="J945" s="18"/>
      <c r="K945" s="18"/>
      <c r="L945" s="18"/>
      <c r="M945" s="18"/>
    </row>
    <row r="946" spans="3:13">
      <c r="C946" t="s">
        <v>117</v>
      </c>
      <c r="D946">
        <v>2039</v>
      </c>
      <c r="E946" t="s">
        <v>145</v>
      </c>
      <c r="F946">
        <v>19.34</v>
      </c>
      <c r="J946" s="18"/>
      <c r="K946" s="18"/>
      <c r="L946" s="18"/>
      <c r="M946" s="18"/>
    </row>
    <row r="947" spans="3:13">
      <c r="C947" t="s">
        <v>117</v>
      </c>
      <c r="D947">
        <v>2039</v>
      </c>
      <c r="E947" t="s">
        <v>141</v>
      </c>
      <c r="F947">
        <v>741.74</v>
      </c>
      <c r="J947" s="18"/>
      <c r="K947" s="18"/>
      <c r="L947" s="18"/>
      <c r="M947" s="18"/>
    </row>
    <row r="948" spans="3:13">
      <c r="C948" t="s">
        <v>117</v>
      </c>
      <c r="D948">
        <v>2039</v>
      </c>
      <c r="E948" t="s">
        <v>142</v>
      </c>
      <c r="F948">
        <v>827.54</v>
      </c>
      <c r="J948" s="18"/>
      <c r="K948" s="18"/>
      <c r="L948" s="18"/>
      <c r="M948" s="18"/>
    </row>
    <row r="949" spans="3:13">
      <c r="C949" t="s">
        <v>117</v>
      </c>
      <c r="D949">
        <v>2039</v>
      </c>
      <c r="E949" t="s">
        <v>143</v>
      </c>
      <c r="F949">
        <v>710.55</v>
      </c>
      <c r="J949" s="18"/>
      <c r="K949" s="18"/>
      <c r="L949" s="18"/>
      <c r="M949" s="18"/>
    </row>
    <row r="950" spans="3:13">
      <c r="C950" t="s">
        <v>117</v>
      </c>
      <c r="D950">
        <v>2039</v>
      </c>
      <c r="E950" t="s">
        <v>144</v>
      </c>
      <c r="F950">
        <v>58.13</v>
      </c>
      <c r="J950" s="18"/>
      <c r="K950" s="18"/>
      <c r="L950" s="18"/>
      <c r="M950" s="18"/>
    </row>
    <row r="951" spans="3:13">
      <c r="C951" t="s">
        <v>117</v>
      </c>
      <c r="D951">
        <v>2040</v>
      </c>
      <c r="E951" t="s">
        <v>146</v>
      </c>
      <c r="F951">
        <v>0.84</v>
      </c>
      <c r="J951" s="18"/>
      <c r="K951" s="18"/>
      <c r="L951" s="18"/>
      <c r="M951" s="18"/>
    </row>
    <row r="952" spans="3:13">
      <c r="C952" t="s">
        <v>117</v>
      </c>
      <c r="D952">
        <v>2040</v>
      </c>
      <c r="E952" t="s">
        <v>145</v>
      </c>
      <c r="F952">
        <v>19.739999999999998</v>
      </c>
      <c r="J952" s="18"/>
      <c r="K952" s="18"/>
      <c r="L952" s="18"/>
      <c r="M952" s="18"/>
    </row>
    <row r="953" spans="3:13">
      <c r="C953" t="s">
        <v>117</v>
      </c>
      <c r="D953">
        <v>2040</v>
      </c>
      <c r="E953" t="s">
        <v>141</v>
      </c>
      <c r="F953">
        <v>750.45</v>
      </c>
      <c r="J953" s="18"/>
      <c r="K953" s="18"/>
      <c r="L953" s="18"/>
      <c r="M953" s="18"/>
    </row>
    <row r="954" spans="3:13">
      <c r="C954" t="s">
        <v>117</v>
      </c>
      <c r="D954">
        <v>2040</v>
      </c>
      <c r="E954" t="s">
        <v>142</v>
      </c>
      <c r="F954">
        <v>838.02</v>
      </c>
      <c r="J954" s="18"/>
      <c r="K954" s="18"/>
      <c r="L954" s="18"/>
      <c r="M954" s="18"/>
    </row>
    <row r="955" spans="3:13">
      <c r="C955" t="s">
        <v>117</v>
      </c>
      <c r="D955">
        <v>2040</v>
      </c>
      <c r="E955" t="s">
        <v>143</v>
      </c>
      <c r="F955">
        <v>714.15</v>
      </c>
      <c r="J955" s="18"/>
      <c r="K955" s="18"/>
      <c r="L955" s="18"/>
      <c r="M955" s="18"/>
    </row>
    <row r="956" spans="3:13">
      <c r="C956" t="s">
        <v>117</v>
      </c>
      <c r="D956">
        <v>2040</v>
      </c>
      <c r="E956" t="s">
        <v>144</v>
      </c>
      <c r="F956">
        <v>63.48</v>
      </c>
      <c r="J956" s="18"/>
      <c r="K956" s="18"/>
      <c r="L956" s="18"/>
      <c r="M956" s="18"/>
    </row>
    <row r="957" spans="3:13">
      <c r="C957" t="s">
        <v>117</v>
      </c>
      <c r="D957">
        <v>2041</v>
      </c>
      <c r="E957" t="s">
        <v>146</v>
      </c>
      <c r="F957">
        <v>0.84</v>
      </c>
      <c r="J957" s="18"/>
      <c r="K957" s="18"/>
      <c r="L957" s="18"/>
      <c r="M957" s="18"/>
    </row>
    <row r="958" spans="3:13">
      <c r="C958" t="s">
        <v>117</v>
      </c>
      <c r="D958">
        <v>2041</v>
      </c>
      <c r="E958" t="s">
        <v>145</v>
      </c>
      <c r="F958">
        <v>20.170000000000002</v>
      </c>
      <c r="J958" s="18"/>
      <c r="K958" s="18"/>
      <c r="L958" s="18"/>
      <c r="M958" s="18"/>
    </row>
    <row r="959" spans="3:13">
      <c r="C959" t="s">
        <v>117</v>
      </c>
      <c r="D959">
        <v>2041</v>
      </c>
      <c r="E959" t="s">
        <v>141</v>
      </c>
      <c r="F959">
        <v>759.46</v>
      </c>
      <c r="J959" s="18"/>
      <c r="K959" s="18"/>
      <c r="L959" s="18"/>
      <c r="M959" s="18"/>
    </row>
    <row r="960" spans="3:13">
      <c r="C960" t="s">
        <v>117</v>
      </c>
      <c r="D960">
        <v>2041</v>
      </c>
      <c r="E960" t="s">
        <v>142</v>
      </c>
      <c r="F960">
        <v>847.99</v>
      </c>
      <c r="J960" s="18"/>
      <c r="K960" s="18"/>
      <c r="L960" s="18"/>
      <c r="M960" s="18"/>
    </row>
    <row r="961" spans="3:13">
      <c r="C961" t="s">
        <v>117</v>
      </c>
      <c r="D961">
        <v>2041</v>
      </c>
      <c r="E961" t="s">
        <v>143</v>
      </c>
      <c r="F961">
        <v>717.93</v>
      </c>
      <c r="J961" s="18"/>
      <c r="K961" s="18"/>
      <c r="L961" s="18"/>
      <c r="M961" s="18"/>
    </row>
    <row r="962" spans="3:13">
      <c r="C962" t="s">
        <v>117</v>
      </c>
      <c r="D962">
        <v>2041</v>
      </c>
      <c r="E962" t="s">
        <v>144</v>
      </c>
      <c r="F962">
        <v>68.63</v>
      </c>
      <c r="J962" s="18"/>
      <c r="K962" s="18"/>
      <c r="L962" s="18"/>
      <c r="M962" s="18"/>
    </row>
    <row r="963" spans="3:13">
      <c r="C963" t="s">
        <v>117</v>
      </c>
      <c r="D963">
        <v>2042</v>
      </c>
      <c r="E963" t="s">
        <v>146</v>
      </c>
      <c r="F963">
        <v>0.85</v>
      </c>
      <c r="J963" s="18"/>
      <c r="K963" s="18"/>
      <c r="L963" s="18"/>
      <c r="M963" s="18"/>
    </row>
    <row r="964" spans="3:13">
      <c r="C964" t="s">
        <v>117</v>
      </c>
      <c r="D964">
        <v>2042</v>
      </c>
      <c r="E964" t="s">
        <v>145</v>
      </c>
      <c r="F964">
        <v>20.59</v>
      </c>
      <c r="J964" s="18"/>
      <c r="K964" s="18"/>
      <c r="L964" s="18"/>
      <c r="M964" s="18"/>
    </row>
    <row r="965" spans="3:13">
      <c r="C965" t="s">
        <v>117</v>
      </c>
      <c r="D965">
        <v>2042</v>
      </c>
      <c r="E965" t="s">
        <v>141</v>
      </c>
      <c r="F965">
        <v>768.55</v>
      </c>
      <c r="J965" s="18"/>
      <c r="K965" s="18"/>
      <c r="L965" s="18"/>
      <c r="M965" s="18"/>
    </row>
    <row r="966" spans="3:13">
      <c r="C966" t="s">
        <v>117</v>
      </c>
      <c r="D966">
        <v>2042</v>
      </c>
      <c r="E966" t="s">
        <v>142</v>
      </c>
      <c r="F966">
        <v>860.88</v>
      </c>
      <c r="J966" s="18"/>
      <c r="K966" s="18"/>
      <c r="L966" s="18"/>
      <c r="M966" s="18"/>
    </row>
    <row r="967" spans="3:13">
      <c r="C967" t="s">
        <v>117</v>
      </c>
      <c r="D967">
        <v>2042</v>
      </c>
      <c r="E967" t="s">
        <v>143</v>
      </c>
      <c r="F967">
        <v>721.61</v>
      </c>
      <c r="J967" s="18"/>
      <c r="K967" s="18"/>
      <c r="L967" s="18"/>
      <c r="M967" s="18"/>
    </row>
    <row r="968" spans="3:13">
      <c r="C968" t="s">
        <v>117</v>
      </c>
      <c r="D968">
        <v>2042</v>
      </c>
      <c r="E968" t="s">
        <v>144</v>
      </c>
      <c r="F968">
        <v>73.540000000000006</v>
      </c>
      <c r="J968" s="18"/>
      <c r="K968" s="18"/>
      <c r="L968" s="18"/>
      <c r="M968" s="18"/>
    </row>
    <row r="969" spans="3:13">
      <c r="C969" t="s">
        <v>117</v>
      </c>
      <c r="D969">
        <v>2043</v>
      </c>
      <c r="E969" t="s">
        <v>146</v>
      </c>
      <c r="F969">
        <v>0.86</v>
      </c>
      <c r="J969" s="18"/>
      <c r="K969" s="18"/>
      <c r="L969" s="18"/>
      <c r="M969" s="18"/>
    </row>
    <row r="970" spans="3:13">
      <c r="C970" t="s">
        <v>117</v>
      </c>
      <c r="D970">
        <v>2043</v>
      </c>
      <c r="E970" t="s">
        <v>145</v>
      </c>
      <c r="F970">
        <v>21.03</v>
      </c>
      <c r="J970" s="18"/>
      <c r="K970" s="18"/>
      <c r="L970" s="18"/>
      <c r="M970" s="18"/>
    </row>
    <row r="971" spans="3:13">
      <c r="C971" t="s">
        <v>117</v>
      </c>
      <c r="D971">
        <v>2043</v>
      </c>
      <c r="E971" t="s">
        <v>141</v>
      </c>
      <c r="F971">
        <v>777.74</v>
      </c>
      <c r="J971" s="18"/>
      <c r="K971" s="18"/>
      <c r="L971" s="18"/>
      <c r="M971" s="18"/>
    </row>
    <row r="972" spans="3:13">
      <c r="C972" t="s">
        <v>117</v>
      </c>
      <c r="D972">
        <v>2043</v>
      </c>
      <c r="E972" t="s">
        <v>142</v>
      </c>
      <c r="F972">
        <v>872.57</v>
      </c>
      <c r="J972" s="18"/>
      <c r="K972" s="18"/>
      <c r="L972" s="18"/>
      <c r="M972" s="18"/>
    </row>
    <row r="973" spans="3:13">
      <c r="C973" t="s">
        <v>117</v>
      </c>
      <c r="D973">
        <v>2043</v>
      </c>
      <c r="E973" t="s">
        <v>143</v>
      </c>
      <c r="F973">
        <v>725.31</v>
      </c>
      <c r="J973" s="18"/>
      <c r="K973" s="18"/>
      <c r="L973" s="18"/>
      <c r="M973" s="18"/>
    </row>
    <row r="974" spans="3:13">
      <c r="C974" t="s">
        <v>117</v>
      </c>
      <c r="D974">
        <v>2043</v>
      </c>
      <c r="E974" t="s">
        <v>144</v>
      </c>
      <c r="F974">
        <v>78.28</v>
      </c>
      <c r="J974" s="18"/>
      <c r="K974" s="18"/>
      <c r="L974" s="18"/>
      <c r="M974" s="18"/>
    </row>
    <row r="975" spans="3:13">
      <c r="C975" t="s">
        <v>117</v>
      </c>
      <c r="D975">
        <v>2044</v>
      </c>
      <c r="E975" t="s">
        <v>146</v>
      </c>
      <c r="F975">
        <v>0.86</v>
      </c>
      <c r="J975" s="18"/>
      <c r="K975" s="18"/>
      <c r="L975" s="18"/>
      <c r="M975" s="18"/>
    </row>
    <row r="976" spans="3:13">
      <c r="C976" t="s">
        <v>117</v>
      </c>
      <c r="D976">
        <v>2044</v>
      </c>
      <c r="E976" t="s">
        <v>145</v>
      </c>
      <c r="F976">
        <v>21.46</v>
      </c>
      <c r="J976" s="18"/>
      <c r="K976" s="18"/>
      <c r="L976" s="18"/>
      <c r="M976" s="18"/>
    </row>
    <row r="977" spans="3:13">
      <c r="C977" t="s">
        <v>117</v>
      </c>
      <c r="D977">
        <v>2044</v>
      </c>
      <c r="E977" t="s">
        <v>141</v>
      </c>
      <c r="F977">
        <v>786.88</v>
      </c>
      <c r="J977" s="18"/>
      <c r="K977" s="18"/>
      <c r="L977" s="18"/>
      <c r="M977" s="18"/>
    </row>
    <row r="978" spans="3:13">
      <c r="C978" t="s">
        <v>117</v>
      </c>
      <c r="D978">
        <v>2044</v>
      </c>
      <c r="E978" t="s">
        <v>142</v>
      </c>
      <c r="F978">
        <v>883.47</v>
      </c>
      <c r="J978" s="18"/>
      <c r="K978" s="18"/>
      <c r="L978" s="18"/>
      <c r="M978" s="18"/>
    </row>
    <row r="979" spans="3:13">
      <c r="C979" t="s">
        <v>117</v>
      </c>
      <c r="D979">
        <v>2044</v>
      </c>
      <c r="E979" t="s">
        <v>143</v>
      </c>
      <c r="F979">
        <v>728.93</v>
      </c>
      <c r="J979" s="18"/>
      <c r="K979" s="18"/>
      <c r="L979" s="18"/>
      <c r="M979" s="18"/>
    </row>
    <row r="980" spans="3:13">
      <c r="C980" t="s">
        <v>117</v>
      </c>
      <c r="D980">
        <v>2044</v>
      </c>
      <c r="E980" t="s">
        <v>144</v>
      </c>
      <c r="F980">
        <v>82.82</v>
      </c>
      <c r="J980" s="18"/>
      <c r="K980" s="18"/>
      <c r="L980" s="18"/>
      <c r="M980" s="18"/>
    </row>
    <row r="981" spans="3:13">
      <c r="C981" t="s">
        <v>117</v>
      </c>
      <c r="D981">
        <v>2045</v>
      </c>
      <c r="E981" t="s">
        <v>146</v>
      </c>
      <c r="F981">
        <v>0.87</v>
      </c>
      <c r="J981" s="18"/>
      <c r="K981" s="18"/>
      <c r="L981" s="18"/>
      <c r="M981" s="18"/>
    </row>
    <row r="982" spans="3:13">
      <c r="C982" t="s">
        <v>117</v>
      </c>
      <c r="D982">
        <v>2045</v>
      </c>
      <c r="E982" t="s">
        <v>145</v>
      </c>
      <c r="F982">
        <v>21.9</v>
      </c>
      <c r="J982" s="18"/>
      <c r="K982" s="18"/>
      <c r="L982" s="18"/>
      <c r="M982" s="18"/>
    </row>
    <row r="983" spans="3:13">
      <c r="C983" t="s">
        <v>117</v>
      </c>
      <c r="D983">
        <v>2045</v>
      </c>
      <c r="E983" t="s">
        <v>141</v>
      </c>
      <c r="F983">
        <v>795.92</v>
      </c>
      <c r="J983" s="18"/>
      <c r="K983" s="18"/>
      <c r="L983" s="18"/>
      <c r="M983" s="18"/>
    </row>
    <row r="984" spans="3:13">
      <c r="C984" t="s">
        <v>117</v>
      </c>
      <c r="D984">
        <v>2045</v>
      </c>
      <c r="E984" t="s">
        <v>142</v>
      </c>
      <c r="F984">
        <v>897.41</v>
      </c>
      <c r="J984" s="18"/>
      <c r="K984" s="18"/>
      <c r="L984" s="18"/>
      <c r="M984" s="18"/>
    </row>
    <row r="985" spans="3:13">
      <c r="C985" t="s">
        <v>117</v>
      </c>
      <c r="D985">
        <v>2045</v>
      </c>
      <c r="E985" t="s">
        <v>143</v>
      </c>
      <c r="F985">
        <v>732.49</v>
      </c>
      <c r="J985" s="18"/>
      <c r="K985" s="18"/>
      <c r="L985" s="18"/>
      <c r="M985" s="18"/>
    </row>
    <row r="986" spans="3:13">
      <c r="C986" t="s">
        <v>117</v>
      </c>
      <c r="D986">
        <v>2045</v>
      </c>
      <c r="E986" t="s">
        <v>144</v>
      </c>
      <c r="F986">
        <v>87.08</v>
      </c>
      <c r="J986" s="18"/>
      <c r="K986" s="18"/>
      <c r="L986" s="18"/>
      <c r="M986" s="18"/>
    </row>
    <row r="987" spans="3:13">
      <c r="C987" t="s">
        <v>117</v>
      </c>
      <c r="D987">
        <v>2046</v>
      </c>
      <c r="E987" t="s">
        <v>146</v>
      </c>
      <c r="F987">
        <v>0.87</v>
      </c>
      <c r="J987" s="18"/>
      <c r="K987" s="18"/>
      <c r="L987" s="18"/>
      <c r="M987" s="18"/>
    </row>
    <row r="988" spans="3:13">
      <c r="C988" t="s">
        <v>117</v>
      </c>
      <c r="D988">
        <v>2046</v>
      </c>
      <c r="E988" t="s">
        <v>145</v>
      </c>
      <c r="F988">
        <v>22.33</v>
      </c>
      <c r="J988" s="18"/>
      <c r="K988" s="18"/>
      <c r="L988" s="18"/>
      <c r="M988" s="18"/>
    </row>
    <row r="989" spans="3:13">
      <c r="C989" t="s">
        <v>117</v>
      </c>
      <c r="D989">
        <v>2046</v>
      </c>
      <c r="E989" t="s">
        <v>141</v>
      </c>
      <c r="F989">
        <v>803.02</v>
      </c>
      <c r="J989" s="18"/>
      <c r="K989" s="18"/>
      <c r="L989" s="18"/>
      <c r="M989" s="18"/>
    </row>
    <row r="990" spans="3:13">
      <c r="C990" t="s">
        <v>117</v>
      </c>
      <c r="D990">
        <v>2046</v>
      </c>
      <c r="E990" t="s">
        <v>142</v>
      </c>
      <c r="F990">
        <v>906.65</v>
      </c>
      <c r="J990" s="18"/>
      <c r="K990" s="18"/>
      <c r="L990" s="18"/>
      <c r="M990" s="18"/>
    </row>
    <row r="991" spans="3:13">
      <c r="C991" t="s">
        <v>117</v>
      </c>
      <c r="D991">
        <v>2046</v>
      </c>
      <c r="E991" t="s">
        <v>143</v>
      </c>
      <c r="F991">
        <v>733.72</v>
      </c>
      <c r="J991" s="18"/>
      <c r="K991" s="18"/>
      <c r="L991" s="18"/>
      <c r="M991" s="18"/>
    </row>
    <row r="992" spans="3:13">
      <c r="C992" t="s">
        <v>117</v>
      </c>
      <c r="D992">
        <v>2046</v>
      </c>
      <c r="E992" t="s">
        <v>144</v>
      </c>
      <c r="F992">
        <v>91.17</v>
      </c>
      <c r="J992" s="18"/>
      <c r="K992" s="18"/>
      <c r="L992" s="18"/>
      <c r="M992" s="18"/>
    </row>
    <row r="993" spans="3:13">
      <c r="C993" t="s">
        <v>117</v>
      </c>
      <c r="D993">
        <v>2047</v>
      </c>
      <c r="E993" t="s">
        <v>146</v>
      </c>
      <c r="F993">
        <v>0.88</v>
      </c>
      <c r="J993" s="18"/>
      <c r="K993" s="18"/>
      <c r="L993" s="18"/>
      <c r="M993" s="18"/>
    </row>
    <row r="994" spans="3:13">
      <c r="C994" t="s">
        <v>117</v>
      </c>
      <c r="D994">
        <v>2047</v>
      </c>
      <c r="E994" t="s">
        <v>145</v>
      </c>
      <c r="F994">
        <v>22.75</v>
      </c>
      <c r="J994" s="18"/>
      <c r="K994" s="18"/>
      <c r="L994" s="18"/>
      <c r="M994" s="18"/>
    </row>
    <row r="995" spans="3:13">
      <c r="C995" t="s">
        <v>117</v>
      </c>
      <c r="D995">
        <v>2047</v>
      </c>
      <c r="E995" t="s">
        <v>141</v>
      </c>
      <c r="F995">
        <v>810.22</v>
      </c>
      <c r="J995" s="18"/>
      <c r="K995" s="18"/>
      <c r="L995" s="18"/>
      <c r="M995" s="18"/>
    </row>
    <row r="996" spans="3:13">
      <c r="C996" t="s">
        <v>117</v>
      </c>
      <c r="D996">
        <v>2047</v>
      </c>
      <c r="E996" t="s">
        <v>142</v>
      </c>
      <c r="F996">
        <v>921.15</v>
      </c>
      <c r="J996" s="18"/>
      <c r="K996" s="18"/>
      <c r="L996" s="18"/>
      <c r="M996" s="18"/>
    </row>
    <row r="997" spans="3:13">
      <c r="C997" t="s">
        <v>117</v>
      </c>
      <c r="D997">
        <v>2047</v>
      </c>
      <c r="E997" t="s">
        <v>143</v>
      </c>
      <c r="F997">
        <v>734.9</v>
      </c>
      <c r="J997" s="18"/>
      <c r="K997" s="18"/>
      <c r="L997" s="18"/>
      <c r="M997" s="18"/>
    </row>
    <row r="998" spans="3:13">
      <c r="C998" t="s">
        <v>117</v>
      </c>
      <c r="D998">
        <v>2047</v>
      </c>
      <c r="E998" t="s">
        <v>144</v>
      </c>
      <c r="F998">
        <v>94.91</v>
      </c>
      <c r="J998" s="18"/>
      <c r="K998" s="18"/>
      <c r="L998" s="18"/>
      <c r="M998" s="18"/>
    </row>
    <row r="999" spans="3:13">
      <c r="C999" t="s">
        <v>117</v>
      </c>
      <c r="D999">
        <v>2048</v>
      </c>
      <c r="E999" t="s">
        <v>146</v>
      </c>
      <c r="F999">
        <v>0.89</v>
      </c>
      <c r="J999" s="18"/>
      <c r="K999" s="18"/>
      <c r="L999" s="18"/>
      <c r="M999" s="18"/>
    </row>
    <row r="1000" spans="3:13">
      <c r="C1000" t="s">
        <v>117</v>
      </c>
      <c r="D1000">
        <v>2048</v>
      </c>
      <c r="E1000" t="s">
        <v>145</v>
      </c>
      <c r="F1000">
        <v>23.19</v>
      </c>
      <c r="J1000" s="18"/>
      <c r="K1000" s="18"/>
      <c r="L1000" s="18"/>
      <c r="M1000" s="18"/>
    </row>
    <row r="1001" spans="3:13">
      <c r="C1001" t="s">
        <v>117</v>
      </c>
      <c r="D1001">
        <v>2048</v>
      </c>
      <c r="E1001" t="s">
        <v>141</v>
      </c>
      <c r="F1001">
        <v>817.42</v>
      </c>
      <c r="J1001" s="18"/>
      <c r="K1001" s="18"/>
      <c r="L1001" s="18"/>
      <c r="M1001" s="18"/>
    </row>
    <row r="1002" spans="3:13">
      <c r="C1002" t="s">
        <v>117</v>
      </c>
      <c r="D1002">
        <v>2048</v>
      </c>
      <c r="E1002" t="s">
        <v>142</v>
      </c>
      <c r="F1002">
        <v>929.75</v>
      </c>
      <c r="J1002" s="18"/>
      <c r="K1002" s="18"/>
      <c r="L1002" s="18"/>
      <c r="M1002" s="18"/>
    </row>
    <row r="1003" spans="3:13">
      <c r="C1003" t="s">
        <v>117</v>
      </c>
      <c r="D1003">
        <v>2048</v>
      </c>
      <c r="E1003" t="s">
        <v>143</v>
      </c>
      <c r="F1003">
        <v>736.07</v>
      </c>
      <c r="J1003" s="18"/>
      <c r="K1003" s="18"/>
      <c r="L1003" s="18"/>
      <c r="M1003" s="18"/>
    </row>
    <row r="1004" spans="3:13">
      <c r="C1004" t="s">
        <v>117</v>
      </c>
      <c r="D1004">
        <v>2048</v>
      </c>
      <c r="E1004" t="s">
        <v>144</v>
      </c>
      <c r="F1004">
        <v>98.43</v>
      </c>
      <c r="J1004" s="18"/>
      <c r="K1004" s="18"/>
      <c r="L1004" s="18"/>
      <c r="M1004" s="18"/>
    </row>
    <row r="1005" spans="3:13">
      <c r="C1005" t="s">
        <v>117</v>
      </c>
      <c r="D1005">
        <v>2049</v>
      </c>
      <c r="E1005" t="s">
        <v>146</v>
      </c>
      <c r="F1005">
        <v>0.89</v>
      </c>
      <c r="J1005" s="18"/>
      <c r="K1005" s="18"/>
      <c r="L1005" s="18"/>
      <c r="M1005" s="18"/>
    </row>
    <row r="1006" spans="3:13">
      <c r="C1006" t="s">
        <v>117</v>
      </c>
      <c r="D1006">
        <v>2049</v>
      </c>
      <c r="E1006" t="s">
        <v>145</v>
      </c>
      <c r="F1006">
        <v>23.63</v>
      </c>
      <c r="J1006" s="18"/>
      <c r="K1006" s="18"/>
      <c r="L1006" s="18"/>
      <c r="M1006" s="18"/>
    </row>
    <row r="1007" spans="3:13">
      <c r="C1007" t="s">
        <v>117</v>
      </c>
      <c r="D1007">
        <v>2049</v>
      </c>
      <c r="E1007" t="s">
        <v>141</v>
      </c>
      <c r="F1007">
        <v>824.62</v>
      </c>
      <c r="J1007" s="18"/>
      <c r="K1007" s="18"/>
      <c r="L1007" s="18"/>
      <c r="M1007" s="18"/>
    </row>
    <row r="1008" spans="3:13">
      <c r="C1008" t="s">
        <v>117</v>
      </c>
      <c r="D1008">
        <v>2049</v>
      </c>
      <c r="E1008" t="s">
        <v>142</v>
      </c>
      <c r="F1008">
        <v>945.07</v>
      </c>
      <c r="J1008" s="18"/>
      <c r="K1008" s="18"/>
      <c r="L1008" s="18"/>
      <c r="M1008" s="18"/>
    </row>
    <row r="1009" spans="3:13">
      <c r="C1009" t="s">
        <v>117</v>
      </c>
      <c r="D1009">
        <v>2049</v>
      </c>
      <c r="E1009" t="s">
        <v>143</v>
      </c>
      <c r="F1009">
        <v>737.21</v>
      </c>
      <c r="J1009" s="18"/>
      <c r="K1009" s="18"/>
      <c r="L1009" s="18"/>
      <c r="M1009" s="18"/>
    </row>
    <row r="1010" spans="3:13">
      <c r="C1010" t="s">
        <v>117</v>
      </c>
      <c r="D1010">
        <v>2049</v>
      </c>
      <c r="E1010" t="s">
        <v>144</v>
      </c>
      <c r="F1010">
        <v>101.54</v>
      </c>
      <c r="J1010" s="18"/>
      <c r="K1010" s="18"/>
      <c r="L1010" s="18"/>
      <c r="M1010" s="18"/>
    </row>
    <row r="1011" spans="3:13">
      <c r="C1011" t="s">
        <v>117</v>
      </c>
      <c r="D1011">
        <v>2050</v>
      </c>
      <c r="E1011" t="s">
        <v>146</v>
      </c>
      <c r="F1011">
        <v>0.9</v>
      </c>
      <c r="J1011" s="18"/>
      <c r="K1011" s="18"/>
      <c r="L1011" s="18"/>
      <c r="M1011" s="18"/>
    </row>
    <row r="1012" spans="3:13">
      <c r="C1012" t="s">
        <v>117</v>
      </c>
      <c r="D1012">
        <v>2050</v>
      </c>
      <c r="E1012" t="s">
        <v>145</v>
      </c>
      <c r="F1012">
        <v>24.06</v>
      </c>
      <c r="J1012" s="18"/>
      <c r="K1012" s="18"/>
      <c r="L1012" s="18"/>
      <c r="M1012" s="18"/>
    </row>
    <row r="1013" spans="3:13">
      <c r="C1013" t="s">
        <v>117</v>
      </c>
      <c r="D1013">
        <v>2050</v>
      </c>
      <c r="E1013" t="s">
        <v>141</v>
      </c>
      <c r="F1013">
        <v>831.74</v>
      </c>
      <c r="J1013" s="18"/>
      <c r="K1013" s="18"/>
      <c r="L1013" s="18"/>
      <c r="M1013" s="18"/>
    </row>
    <row r="1014" spans="3:13">
      <c r="C1014" t="s">
        <v>117</v>
      </c>
      <c r="D1014">
        <v>2050</v>
      </c>
      <c r="E1014" t="s">
        <v>142</v>
      </c>
      <c r="F1014">
        <v>954.35</v>
      </c>
      <c r="J1014" s="18"/>
      <c r="K1014" s="18"/>
      <c r="L1014" s="18"/>
      <c r="M1014" s="18"/>
    </row>
    <row r="1015" spans="3:13">
      <c r="C1015" t="s">
        <v>117</v>
      </c>
      <c r="D1015">
        <v>2050</v>
      </c>
      <c r="E1015" t="s">
        <v>143</v>
      </c>
      <c r="F1015">
        <v>738.33</v>
      </c>
      <c r="J1015" s="18"/>
      <c r="K1015" s="18"/>
      <c r="L1015" s="18"/>
      <c r="M1015" s="18"/>
    </row>
    <row r="1016" spans="3:13">
      <c r="C1016" t="s">
        <v>117</v>
      </c>
      <c r="D1016">
        <v>2050</v>
      </c>
      <c r="E1016" t="s">
        <v>144</v>
      </c>
      <c r="F1016">
        <v>104.35</v>
      </c>
      <c r="J1016" s="18"/>
      <c r="K1016" s="18"/>
      <c r="L1016" s="18"/>
      <c r="M1016" s="18"/>
    </row>
    <row r="1017" spans="3:13">
      <c r="C1017" t="s">
        <v>118</v>
      </c>
      <c r="D1017">
        <v>2010</v>
      </c>
      <c r="E1017" t="s">
        <v>141</v>
      </c>
      <c r="F1017">
        <v>672.28</v>
      </c>
      <c r="J1017" s="18"/>
      <c r="K1017" s="18"/>
      <c r="L1017" s="18"/>
      <c r="M1017" s="18"/>
    </row>
    <row r="1018" spans="3:13">
      <c r="C1018" t="s">
        <v>118</v>
      </c>
      <c r="D1018">
        <v>2010</v>
      </c>
      <c r="E1018" t="s">
        <v>142</v>
      </c>
      <c r="F1018">
        <v>9978.76</v>
      </c>
      <c r="J1018" s="18"/>
      <c r="K1018" s="18"/>
      <c r="L1018" s="18"/>
      <c r="M1018" s="18"/>
    </row>
    <row r="1019" spans="3:13">
      <c r="C1019" t="s">
        <v>118</v>
      </c>
      <c r="D1019">
        <v>2010</v>
      </c>
      <c r="E1019" t="s">
        <v>143</v>
      </c>
      <c r="F1019">
        <v>1794.69</v>
      </c>
      <c r="J1019" s="18"/>
      <c r="K1019" s="18"/>
      <c r="L1019" s="18"/>
      <c r="M1019" s="18"/>
    </row>
    <row r="1020" spans="3:13">
      <c r="C1020" t="s">
        <v>118</v>
      </c>
      <c r="D1020">
        <v>2010</v>
      </c>
      <c r="E1020" t="s">
        <v>144</v>
      </c>
      <c r="F1020">
        <v>225.35</v>
      </c>
      <c r="J1020" s="18"/>
      <c r="K1020" s="18"/>
      <c r="L1020" s="18"/>
      <c r="M1020" s="18"/>
    </row>
    <row r="1021" spans="3:13">
      <c r="C1021" t="s">
        <v>118</v>
      </c>
      <c r="D1021">
        <v>2011</v>
      </c>
      <c r="E1021" t="s">
        <v>141</v>
      </c>
      <c r="F1021">
        <v>773.17</v>
      </c>
      <c r="J1021" s="18"/>
      <c r="K1021" s="18"/>
      <c r="L1021" s="18"/>
      <c r="M1021" s="18"/>
    </row>
    <row r="1022" spans="3:13">
      <c r="C1022" t="s">
        <v>118</v>
      </c>
      <c r="D1022">
        <v>2011</v>
      </c>
      <c r="E1022" t="s">
        <v>142</v>
      </c>
      <c r="F1022">
        <v>11262.81</v>
      </c>
      <c r="J1022" s="18"/>
      <c r="K1022" s="18"/>
      <c r="L1022" s="18"/>
      <c r="M1022" s="18"/>
    </row>
    <row r="1023" spans="3:13">
      <c r="C1023" t="s">
        <v>118</v>
      </c>
      <c r="D1023">
        <v>2011</v>
      </c>
      <c r="E1023" t="s">
        <v>143</v>
      </c>
      <c r="F1023">
        <v>1970.41</v>
      </c>
      <c r="J1023" s="18"/>
      <c r="K1023" s="18"/>
      <c r="L1023" s="18"/>
      <c r="M1023" s="18"/>
    </row>
    <row r="1024" spans="3:13">
      <c r="C1024" t="s">
        <v>118</v>
      </c>
      <c r="D1024">
        <v>2011</v>
      </c>
      <c r="E1024" t="s">
        <v>144</v>
      </c>
      <c r="F1024">
        <v>251.99</v>
      </c>
      <c r="J1024" s="18"/>
      <c r="K1024" s="18"/>
      <c r="L1024" s="18"/>
      <c r="M1024" s="18"/>
    </row>
    <row r="1025" spans="3:13">
      <c r="C1025" t="s">
        <v>118</v>
      </c>
      <c r="D1025">
        <v>2012</v>
      </c>
      <c r="E1025" t="s">
        <v>141</v>
      </c>
      <c r="F1025">
        <v>862.91</v>
      </c>
      <c r="J1025" s="18"/>
      <c r="K1025" s="18"/>
      <c r="L1025" s="18"/>
      <c r="M1025" s="18"/>
    </row>
    <row r="1026" spans="3:13">
      <c r="C1026" t="s">
        <v>118</v>
      </c>
      <c r="D1026">
        <v>2012</v>
      </c>
      <c r="E1026" t="s">
        <v>142</v>
      </c>
      <c r="F1026">
        <v>11795.89</v>
      </c>
      <c r="J1026" s="18"/>
      <c r="K1026" s="18"/>
      <c r="L1026" s="18"/>
      <c r="M1026" s="18"/>
    </row>
    <row r="1027" spans="3:13">
      <c r="C1027" t="s">
        <v>118</v>
      </c>
      <c r="D1027">
        <v>2012</v>
      </c>
      <c r="E1027" t="s">
        <v>143</v>
      </c>
      <c r="F1027">
        <v>2196.9299999999998</v>
      </c>
      <c r="J1027" s="18"/>
      <c r="K1027" s="18"/>
      <c r="L1027" s="18"/>
      <c r="M1027" s="18"/>
    </row>
    <row r="1028" spans="3:13">
      <c r="C1028" t="s">
        <v>118</v>
      </c>
      <c r="D1028">
        <v>2012</v>
      </c>
      <c r="E1028" t="s">
        <v>144</v>
      </c>
      <c r="F1028">
        <v>276.99</v>
      </c>
      <c r="J1028" s="18"/>
      <c r="K1028" s="18"/>
      <c r="L1028" s="18"/>
      <c r="M1028" s="18"/>
    </row>
    <row r="1029" spans="3:13">
      <c r="C1029" t="s">
        <v>118</v>
      </c>
      <c r="D1029">
        <v>2013</v>
      </c>
      <c r="E1029" t="s">
        <v>141</v>
      </c>
      <c r="F1029">
        <v>955.09</v>
      </c>
      <c r="J1029" s="18"/>
      <c r="K1029" s="18"/>
      <c r="L1029" s="18"/>
      <c r="M1029" s="18"/>
    </row>
    <row r="1030" spans="3:13">
      <c r="C1030" t="s">
        <v>118</v>
      </c>
      <c r="D1030">
        <v>2013</v>
      </c>
      <c r="E1030" t="s">
        <v>142</v>
      </c>
      <c r="F1030">
        <v>12786.7</v>
      </c>
      <c r="J1030" s="18"/>
      <c r="K1030" s="18"/>
      <c r="L1030" s="18"/>
      <c r="M1030" s="18"/>
    </row>
    <row r="1031" spans="3:13">
      <c r="C1031" t="s">
        <v>118</v>
      </c>
      <c r="D1031">
        <v>2013</v>
      </c>
      <c r="E1031" t="s">
        <v>143</v>
      </c>
      <c r="F1031">
        <v>2488.2800000000002</v>
      </c>
      <c r="J1031" s="18"/>
      <c r="K1031" s="18"/>
      <c r="L1031" s="18"/>
      <c r="M1031" s="18"/>
    </row>
    <row r="1032" spans="3:13">
      <c r="C1032" t="s">
        <v>118</v>
      </c>
      <c r="D1032">
        <v>2013</v>
      </c>
      <c r="E1032" t="s">
        <v>144</v>
      </c>
      <c r="F1032">
        <v>302.3</v>
      </c>
      <c r="J1032" s="18"/>
      <c r="K1032" s="18"/>
      <c r="L1032" s="18"/>
      <c r="M1032" s="18"/>
    </row>
    <row r="1033" spans="3:13">
      <c r="C1033" t="s">
        <v>118</v>
      </c>
      <c r="D1033">
        <v>2014</v>
      </c>
      <c r="E1033" t="s">
        <v>141</v>
      </c>
      <c r="F1033">
        <v>1025.51</v>
      </c>
      <c r="J1033" s="18"/>
      <c r="K1033" s="18"/>
      <c r="L1033" s="18"/>
      <c r="M1033" s="18"/>
    </row>
    <row r="1034" spans="3:13">
      <c r="C1034" t="s">
        <v>118</v>
      </c>
      <c r="D1034">
        <v>2014</v>
      </c>
      <c r="E1034" t="s">
        <v>142</v>
      </c>
      <c r="F1034">
        <v>13360.95</v>
      </c>
      <c r="J1034" s="18"/>
      <c r="K1034" s="18"/>
      <c r="L1034" s="18"/>
      <c r="M1034" s="18"/>
    </row>
    <row r="1035" spans="3:13">
      <c r="C1035" t="s">
        <v>118</v>
      </c>
      <c r="D1035">
        <v>2014</v>
      </c>
      <c r="E1035" t="s">
        <v>143</v>
      </c>
      <c r="F1035">
        <v>2576.84</v>
      </c>
      <c r="J1035" s="18"/>
      <c r="K1035" s="18"/>
      <c r="L1035" s="18"/>
      <c r="M1035" s="18"/>
    </row>
    <row r="1036" spans="3:13">
      <c r="C1036" t="s">
        <v>118</v>
      </c>
      <c r="D1036">
        <v>2014</v>
      </c>
      <c r="E1036" t="s">
        <v>144</v>
      </c>
      <c r="F1036">
        <v>323.66000000000003</v>
      </c>
      <c r="J1036" s="18"/>
      <c r="K1036" s="18"/>
      <c r="L1036" s="18"/>
      <c r="M1036" s="18"/>
    </row>
    <row r="1037" spans="3:13">
      <c r="C1037" t="s">
        <v>118</v>
      </c>
      <c r="D1037">
        <v>2015</v>
      </c>
      <c r="E1037" t="s">
        <v>141</v>
      </c>
      <c r="F1037">
        <v>1105.5999999999999</v>
      </c>
      <c r="J1037" s="18"/>
      <c r="K1037" s="18"/>
      <c r="L1037" s="18"/>
      <c r="M1037" s="18"/>
    </row>
    <row r="1038" spans="3:13">
      <c r="C1038" t="s">
        <v>118</v>
      </c>
      <c r="D1038">
        <v>2015</v>
      </c>
      <c r="E1038" t="s">
        <v>142</v>
      </c>
      <c r="F1038">
        <v>13708.25</v>
      </c>
      <c r="J1038" s="18"/>
      <c r="K1038" s="18"/>
      <c r="L1038" s="18"/>
      <c r="M1038" s="18"/>
    </row>
    <row r="1039" spans="3:13">
      <c r="C1039" t="s">
        <v>118</v>
      </c>
      <c r="D1039">
        <v>2015</v>
      </c>
      <c r="E1039" t="s">
        <v>143</v>
      </c>
      <c r="F1039">
        <v>2745.08</v>
      </c>
      <c r="J1039" s="18"/>
      <c r="K1039" s="18"/>
      <c r="L1039" s="18"/>
      <c r="M1039" s="18"/>
    </row>
    <row r="1040" spans="3:13">
      <c r="C1040" t="s">
        <v>118</v>
      </c>
      <c r="D1040">
        <v>2015</v>
      </c>
      <c r="E1040" t="s">
        <v>144</v>
      </c>
      <c r="F1040">
        <v>358.32</v>
      </c>
      <c r="J1040" s="18"/>
      <c r="K1040" s="18"/>
      <c r="L1040" s="18"/>
      <c r="M1040" s="18"/>
    </row>
    <row r="1041" spans="3:13">
      <c r="C1041" t="s">
        <v>118</v>
      </c>
      <c r="D1041">
        <v>2016</v>
      </c>
      <c r="E1041" t="s">
        <v>141</v>
      </c>
      <c r="F1041">
        <v>1228.69</v>
      </c>
      <c r="J1041" s="18"/>
      <c r="K1041" s="18"/>
      <c r="L1041" s="18"/>
      <c r="M1041" s="18"/>
    </row>
    <row r="1042" spans="3:13">
      <c r="C1042" t="s">
        <v>118</v>
      </c>
      <c r="D1042">
        <v>2016</v>
      </c>
      <c r="E1042" t="s">
        <v>142</v>
      </c>
      <c r="F1042">
        <v>14235.39</v>
      </c>
      <c r="J1042" s="18"/>
      <c r="K1042" s="18"/>
      <c r="L1042" s="18"/>
      <c r="M1042" s="18"/>
    </row>
    <row r="1043" spans="3:13">
      <c r="C1043" t="s">
        <v>118</v>
      </c>
      <c r="D1043">
        <v>2016</v>
      </c>
      <c r="E1043" t="s">
        <v>143</v>
      </c>
      <c r="F1043">
        <v>3107.53</v>
      </c>
      <c r="J1043" s="18"/>
      <c r="K1043" s="18"/>
      <c r="L1043" s="18"/>
      <c r="M1043" s="18"/>
    </row>
    <row r="1044" spans="3:13">
      <c r="C1044" t="s">
        <v>118</v>
      </c>
      <c r="D1044">
        <v>2016</v>
      </c>
      <c r="E1044" t="s">
        <v>144</v>
      </c>
      <c r="F1044">
        <v>415.5</v>
      </c>
      <c r="J1044" s="18"/>
      <c r="K1044" s="18"/>
      <c r="L1044" s="18"/>
      <c r="M1044" s="18"/>
    </row>
    <row r="1045" spans="3:13">
      <c r="C1045" t="s">
        <v>118</v>
      </c>
      <c r="D1045">
        <v>2017</v>
      </c>
      <c r="E1045" t="s">
        <v>141</v>
      </c>
      <c r="F1045">
        <v>1384.84</v>
      </c>
      <c r="J1045" s="18"/>
      <c r="K1045" s="18"/>
      <c r="L1045" s="18"/>
      <c r="M1045" s="18"/>
    </row>
    <row r="1046" spans="3:13">
      <c r="C1046" t="s">
        <v>118</v>
      </c>
      <c r="D1046">
        <v>2017</v>
      </c>
      <c r="E1046" t="s">
        <v>142</v>
      </c>
      <c r="F1046">
        <v>14999.49</v>
      </c>
      <c r="J1046" s="18"/>
      <c r="K1046" s="18"/>
      <c r="L1046" s="18"/>
      <c r="M1046" s="18"/>
    </row>
    <row r="1047" spans="3:13">
      <c r="C1047" t="s">
        <v>118</v>
      </c>
      <c r="D1047">
        <v>2017</v>
      </c>
      <c r="E1047" t="s">
        <v>143</v>
      </c>
      <c r="F1047">
        <v>3435.27</v>
      </c>
      <c r="J1047" s="18"/>
      <c r="K1047" s="18"/>
      <c r="L1047" s="18"/>
      <c r="M1047" s="18"/>
    </row>
    <row r="1048" spans="3:13">
      <c r="C1048" t="s">
        <v>118</v>
      </c>
      <c r="D1048">
        <v>2017</v>
      </c>
      <c r="E1048" t="s">
        <v>144</v>
      </c>
      <c r="F1048">
        <v>484.85</v>
      </c>
      <c r="J1048" s="18"/>
      <c r="K1048" s="18"/>
      <c r="L1048" s="18"/>
      <c r="M1048" s="18"/>
    </row>
    <row r="1049" spans="3:13">
      <c r="C1049" t="s">
        <v>118</v>
      </c>
      <c r="D1049">
        <v>2018</v>
      </c>
      <c r="E1049" t="s">
        <v>141</v>
      </c>
      <c r="F1049">
        <v>1597.54</v>
      </c>
      <c r="J1049" s="18"/>
      <c r="K1049" s="18"/>
      <c r="L1049" s="18"/>
      <c r="M1049" s="18"/>
    </row>
    <row r="1050" spans="3:13">
      <c r="C1050" t="s">
        <v>118</v>
      </c>
      <c r="D1050">
        <v>2018</v>
      </c>
      <c r="E1050" t="s">
        <v>142</v>
      </c>
      <c r="F1050">
        <v>16130.92</v>
      </c>
      <c r="J1050" s="18"/>
      <c r="K1050" s="18"/>
      <c r="L1050" s="18"/>
      <c r="M1050" s="18"/>
    </row>
    <row r="1051" spans="3:13">
      <c r="C1051" t="s">
        <v>118</v>
      </c>
      <c r="D1051">
        <v>2018</v>
      </c>
      <c r="E1051" t="s">
        <v>143</v>
      </c>
      <c r="F1051">
        <v>3748.63</v>
      </c>
      <c r="J1051" s="18"/>
      <c r="K1051" s="18"/>
      <c r="L1051" s="18"/>
      <c r="M1051" s="18"/>
    </row>
    <row r="1052" spans="3:13">
      <c r="C1052" t="s">
        <v>118</v>
      </c>
      <c r="D1052">
        <v>2018</v>
      </c>
      <c r="E1052" t="s">
        <v>144</v>
      </c>
      <c r="F1052">
        <v>541.13</v>
      </c>
      <c r="J1052" s="18"/>
      <c r="K1052" s="18"/>
      <c r="L1052" s="18"/>
      <c r="M1052" s="18"/>
    </row>
    <row r="1053" spans="3:13">
      <c r="C1053" t="s">
        <v>118</v>
      </c>
      <c r="D1053">
        <v>2019</v>
      </c>
      <c r="E1053" t="s">
        <v>146</v>
      </c>
      <c r="F1053">
        <v>56.33</v>
      </c>
      <c r="J1053" s="18"/>
      <c r="K1053" s="18"/>
      <c r="L1053" s="18"/>
      <c r="M1053" s="18"/>
    </row>
    <row r="1054" spans="3:13">
      <c r="C1054" t="s">
        <v>118</v>
      </c>
      <c r="D1054">
        <v>2019</v>
      </c>
      <c r="E1054" t="s">
        <v>147</v>
      </c>
      <c r="F1054">
        <v>541.62</v>
      </c>
      <c r="J1054" s="18"/>
      <c r="K1054" s="18"/>
      <c r="L1054" s="18"/>
      <c r="M1054" s="18"/>
    </row>
    <row r="1055" spans="3:13">
      <c r="C1055" t="s">
        <v>118</v>
      </c>
      <c r="D1055">
        <v>2019</v>
      </c>
      <c r="E1055" t="s">
        <v>145</v>
      </c>
      <c r="F1055">
        <v>1675.55</v>
      </c>
      <c r="J1055" s="18"/>
      <c r="K1055" s="18"/>
      <c r="L1055" s="18"/>
      <c r="M1055" s="18"/>
    </row>
    <row r="1056" spans="3:13">
      <c r="C1056" t="s">
        <v>118</v>
      </c>
      <c r="D1056">
        <v>2019</v>
      </c>
      <c r="E1056" t="s">
        <v>141</v>
      </c>
      <c r="F1056">
        <v>1675.85</v>
      </c>
      <c r="J1056" s="18"/>
      <c r="K1056" s="18"/>
      <c r="L1056" s="18"/>
      <c r="M1056" s="18"/>
    </row>
    <row r="1057" spans="3:13">
      <c r="C1057" t="s">
        <v>118</v>
      </c>
      <c r="D1057">
        <v>2019</v>
      </c>
      <c r="E1057" t="s">
        <v>142</v>
      </c>
      <c r="F1057">
        <v>16487.41</v>
      </c>
      <c r="J1057" s="18"/>
      <c r="K1057" s="18"/>
      <c r="L1057" s="18"/>
      <c r="M1057" s="18"/>
    </row>
    <row r="1058" spans="3:13">
      <c r="C1058" t="s">
        <v>118</v>
      </c>
      <c r="D1058">
        <v>2019</v>
      </c>
      <c r="E1058" t="s">
        <v>143</v>
      </c>
      <c r="F1058">
        <v>3940.78</v>
      </c>
      <c r="J1058" s="18"/>
      <c r="K1058" s="18"/>
      <c r="L1058" s="18"/>
      <c r="M1058" s="18"/>
    </row>
    <row r="1059" spans="3:13">
      <c r="C1059" t="s">
        <v>118</v>
      </c>
      <c r="D1059">
        <v>2019</v>
      </c>
      <c r="E1059" t="s">
        <v>144</v>
      </c>
      <c r="F1059">
        <v>663.25</v>
      </c>
      <c r="J1059" s="18"/>
      <c r="K1059" s="18"/>
      <c r="L1059" s="18"/>
      <c r="M1059" s="18"/>
    </row>
    <row r="1060" spans="3:13">
      <c r="C1060" t="s">
        <v>118</v>
      </c>
      <c r="D1060">
        <v>2020</v>
      </c>
      <c r="E1060" t="s">
        <v>146</v>
      </c>
      <c r="F1060">
        <v>55.93</v>
      </c>
      <c r="J1060" s="18"/>
      <c r="K1060" s="18"/>
      <c r="L1060" s="18"/>
      <c r="M1060" s="18"/>
    </row>
    <row r="1061" spans="3:13">
      <c r="C1061" t="s">
        <v>118</v>
      </c>
      <c r="D1061">
        <v>2020</v>
      </c>
      <c r="E1061" t="s">
        <v>147</v>
      </c>
      <c r="F1061">
        <v>536.92999999999995</v>
      </c>
      <c r="J1061" s="18"/>
      <c r="K1061" s="18"/>
      <c r="L1061" s="18"/>
      <c r="M1061" s="18"/>
    </row>
    <row r="1062" spans="3:13">
      <c r="C1062" t="s">
        <v>118</v>
      </c>
      <c r="D1062">
        <v>2020</v>
      </c>
      <c r="E1062" t="s">
        <v>145</v>
      </c>
      <c r="F1062">
        <v>1646.52</v>
      </c>
      <c r="J1062" s="18"/>
      <c r="K1062" s="18"/>
      <c r="L1062" s="18"/>
      <c r="M1062" s="18"/>
    </row>
    <row r="1063" spans="3:13">
      <c r="C1063" t="s">
        <v>118</v>
      </c>
      <c r="D1063">
        <v>2020</v>
      </c>
      <c r="E1063" t="s">
        <v>141</v>
      </c>
      <c r="F1063">
        <v>1717.48</v>
      </c>
      <c r="J1063" s="18"/>
      <c r="K1063" s="18"/>
      <c r="L1063" s="18"/>
      <c r="M1063" s="18"/>
    </row>
    <row r="1064" spans="3:13">
      <c r="C1064" t="s">
        <v>118</v>
      </c>
      <c r="D1064">
        <v>2020</v>
      </c>
      <c r="E1064" t="s">
        <v>142</v>
      </c>
      <c r="F1064">
        <v>15948.32</v>
      </c>
      <c r="J1064" s="18"/>
      <c r="K1064" s="18"/>
      <c r="L1064" s="18"/>
      <c r="M1064" s="18"/>
    </row>
    <row r="1065" spans="3:13">
      <c r="C1065" t="s">
        <v>118</v>
      </c>
      <c r="D1065">
        <v>2020</v>
      </c>
      <c r="E1065" t="s">
        <v>143</v>
      </c>
      <c r="F1065">
        <v>4021.24</v>
      </c>
      <c r="J1065" s="18"/>
      <c r="K1065" s="18"/>
      <c r="L1065" s="18"/>
      <c r="M1065" s="18"/>
    </row>
    <row r="1066" spans="3:13">
      <c r="C1066" t="s">
        <v>118</v>
      </c>
      <c r="D1066">
        <v>2020</v>
      </c>
      <c r="E1066" t="s">
        <v>144</v>
      </c>
      <c r="F1066">
        <v>689.81</v>
      </c>
      <c r="J1066" s="18"/>
      <c r="K1066" s="18"/>
      <c r="L1066" s="18"/>
      <c r="M1066" s="18"/>
    </row>
    <row r="1067" spans="3:13">
      <c r="C1067" t="s">
        <v>118</v>
      </c>
      <c r="D1067">
        <v>2021</v>
      </c>
      <c r="E1067" t="s">
        <v>146</v>
      </c>
      <c r="F1067">
        <v>58.22</v>
      </c>
      <c r="J1067" s="18"/>
      <c r="K1067" s="18"/>
      <c r="L1067" s="18"/>
      <c r="M1067" s="18"/>
    </row>
    <row r="1068" spans="3:13">
      <c r="C1068" t="s">
        <v>118</v>
      </c>
      <c r="D1068">
        <v>2021</v>
      </c>
      <c r="E1068" t="s">
        <v>147</v>
      </c>
      <c r="F1068">
        <v>556.80999999999995</v>
      </c>
      <c r="J1068" s="18"/>
      <c r="K1068" s="18"/>
      <c r="L1068" s="18"/>
      <c r="M1068" s="18"/>
    </row>
    <row r="1069" spans="3:13">
      <c r="C1069" t="s">
        <v>118</v>
      </c>
      <c r="D1069">
        <v>2021</v>
      </c>
      <c r="E1069" t="s">
        <v>145</v>
      </c>
      <c r="F1069">
        <v>1790.53</v>
      </c>
      <c r="J1069" s="18"/>
      <c r="K1069" s="18"/>
      <c r="L1069" s="18"/>
      <c r="M1069" s="18"/>
    </row>
    <row r="1070" spans="3:13">
      <c r="C1070" t="s">
        <v>118</v>
      </c>
      <c r="D1070">
        <v>2021</v>
      </c>
      <c r="E1070" t="s">
        <v>141</v>
      </c>
      <c r="F1070">
        <v>1853.38</v>
      </c>
      <c r="J1070" s="18"/>
      <c r="K1070" s="18"/>
      <c r="L1070" s="18"/>
      <c r="M1070" s="18"/>
    </row>
    <row r="1071" spans="3:13">
      <c r="C1071" t="s">
        <v>118</v>
      </c>
      <c r="D1071">
        <v>2021</v>
      </c>
      <c r="E1071" t="s">
        <v>142</v>
      </c>
      <c r="F1071">
        <v>17858.5</v>
      </c>
      <c r="J1071" s="18"/>
      <c r="K1071" s="18"/>
      <c r="L1071" s="18"/>
      <c r="M1071" s="18"/>
    </row>
    <row r="1072" spans="3:13">
      <c r="C1072" t="s">
        <v>118</v>
      </c>
      <c r="D1072">
        <v>2021</v>
      </c>
      <c r="E1072" t="s">
        <v>143</v>
      </c>
      <c r="F1072">
        <v>4284.46</v>
      </c>
      <c r="J1072" s="18"/>
      <c r="K1072" s="18"/>
      <c r="L1072" s="18"/>
      <c r="M1072" s="18"/>
    </row>
    <row r="1073" spans="3:13">
      <c r="C1073" t="s">
        <v>118</v>
      </c>
      <c r="D1073">
        <v>2021</v>
      </c>
      <c r="E1073" t="s">
        <v>144</v>
      </c>
      <c r="F1073">
        <v>737.48</v>
      </c>
      <c r="J1073" s="18"/>
      <c r="K1073" s="18"/>
      <c r="L1073" s="18"/>
      <c r="M1073" s="18"/>
    </row>
    <row r="1074" spans="3:13">
      <c r="C1074" t="s">
        <v>118</v>
      </c>
      <c r="D1074">
        <v>2022</v>
      </c>
      <c r="E1074" t="s">
        <v>146</v>
      </c>
      <c r="F1074">
        <v>58.91</v>
      </c>
      <c r="J1074" s="18"/>
      <c r="K1074" s="18"/>
      <c r="L1074" s="18"/>
      <c r="M1074" s="18"/>
    </row>
    <row r="1075" spans="3:13">
      <c r="C1075" t="s">
        <v>118</v>
      </c>
      <c r="D1075">
        <v>2022</v>
      </c>
      <c r="E1075" t="s">
        <v>147</v>
      </c>
      <c r="F1075">
        <v>561.73</v>
      </c>
      <c r="J1075" s="18"/>
      <c r="K1075" s="18"/>
      <c r="L1075" s="18"/>
      <c r="M1075" s="18"/>
    </row>
    <row r="1076" spans="3:13">
      <c r="C1076" t="s">
        <v>118</v>
      </c>
      <c r="D1076">
        <v>2022</v>
      </c>
      <c r="E1076" t="s">
        <v>145</v>
      </c>
      <c r="F1076">
        <v>1846.61</v>
      </c>
      <c r="J1076" s="18"/>
      <c r="K1076" s="18"/>
      <c r="L1076" s="18"/>
      <c r="M1076" s="18"/>
    </row>
    <row r="1077" spans="3:13">
      <c r="C1077" t="s">
        <v>118</v>
      </c>
      <c r="D1077">
        <v>2022</v>
      </c>
      <c r="E1077" t="s">
        <v>141</v>
      </c>
      <c r="F1077">
        <v>1937.52</v>
      </c>
      <c r="J1077" s="18"/>
      <c r="K1077" s="18"/>
      <c r="L1077" s="18"/>
      <c r="M1077" s="18"/>
    </row>
    <row r="1078" spans="3:13">
      <c r="C1078" t="s">
        <v>118</v>
      </c>
      <c r="D1078">
        <v>2022</v>
      </c>
      <c r="E1078" t="s">
        <v>142</v>
      </c>
      <c r="F1078">
        <v>17740.96</v>
      </c>
      <c r="J1078" s="18"/>
      <c r="K1078" s="18"/>
      <c r="L1078" s="18"/>
      <c r="M1078" s="18"/>
    </row>
    <row r="1079" spans="3:13">
      <c r="C1079" t="s">
        <v>118</v>
      </c>
      <c r="D1079">
        <v>2022</v>
      </c>
      <c r="E1079" t="s">
        <v>143</v>
      </c>
      <c r="F1079">
        <v>4481.25</v>
      </c>
      <c r="J1079" s="18"/>
      <c r="K1079" s="18"/>
      <c r="L1079" s="18"/>
      <c r="M1079" s="18"/>
    </row>
    <row r="1080" spans="3:13">
      <c r="C1080" t="s">
        <v>118</v>
      </c>
      <c r="D1080">
        <v>2022</v>
      </c>
      <c r="E1080" t="s">
        <v>144</v>
      </c>
      <c r="F1080">
        <v>776.14</v>
      </c>
      <c r="J1080" s="18"/>
      <c r="K1080" s="18"/>
      <c r="L1080" s="18"/>
      <c r="M1080" s="18"/>
    </row>
    <row r="1081" spans="3:13">
      <c r="C1081" t="s">
        <v>118</v>
      </c>
      <c r="D1081">
        <v>2023</v>
      </c>
      <c r="E1081" t="s">
        <v>146</v>
      </c>
      <c r="F1081">
        <v>59.14</v>
      </c>
      <c r="J1081" s="18"/>
      <c r="K1081" s="18"/>
      <c r="L1081" s="18"/>
      <c r="M1081" s="18"/>
    </row>
    <row r="1082" spans="3:13">
      <c r="C1082" t="s">
        <v>118</v>
      </c>
      <c r="D1082">
        <v>2023</v>
      </c>
      <c r="E1082" t="s">
        <v>147</v>
      </c>
      <c r="F1082">
        <v>562.28</v>
      </c>
      <c r="J1082" s="18"/>
      <c r="K1082" s="18"/>
      <c r="L1082" s="18"/>
      <c r="M1082" s="18"/>
    </row>
    <row r="1083" spans="3:13">
      <c r="C1083" t="s">
        <v>118</v>
      </c>
      <c r="D1083">
        <v>2023</v>
      </c>
      <c r="E1083" t="s">
        <v>145</v>
      </c>
      <c r="F1083">
        <v>1873.77</v>
      </c>
      <c r="J1083" s="18"/>
      <c r="K1083" s="18"/>
      <c r="L1083" s="18"/>
      <c r="M1083" s="18"/>
    </row>
    <row r="1084" spans="3:13">
      <c r="C1084" t="s">
        <v>118</v>
      </c>
      <c r="D1084">
        <v>2023</v>
      </c>
      <c r="E1084" t="s">
        <v>141</v>
      </c>
      <c r="F1084">
        <v>2017.69</v>
      </c>
      <c r="J1084" s="18"/>
      <c r="K1084" s="18"/>
      <c r="L1084" s="18"/>
      <c r="M1084" s="18"/>
    </row>
    <row r="1085" spans="3:13">
      <c r="C1085" t="s">
        <v>118</v>
      </c>
      <c r="D1085">
        <v>2023</v>
      </c>
      <c r="E1085" t="s">
        <v>142</v>
      </c>
      <c r="F1085">
        <v>17763.84</v>
      </c>
      <c r="J1085" s="18"/>
      <c r="K1085" s="18"/>
      <c r="L1085" s="18"/>
      <c r="M1085" s="18"/>
    </row>
    <row r="1086" spans="3:13">
      <c r="C1086" t="s">
        <v>118</v>
      </c>
      <c r="D1086">
        <v>2023</v>
      </c>
      <c r="E1086" t="s">
        <v>143</v>
      </c>
      <c r="F1086">
        <v>4658.62</v>
      </c>
      <c r="J1086" s="18"/>
      <c r="K1086" s="18"/>
      <c r="L1086" s="18"/>
      <c r="M1086" s="18"/>
    </row>
    <row r="1087" spans="3:13">
      <c r="C1087" t="s">
        <v>118</v>
      </c>
      <c r="D1087">
        <v>2023</v>
      </c>
      <c r="E1087" t="s">
        <v>144</v>
      </c>
      <c r="F1087">
        <v>810.52</v>
      </c>
      <c r="J1087" s="18"/>
      <c r="K1087" s="18"/>
      <c r="L1087" s="18"/>
      <c r="M1087" s="18"/>
    </row>
    <row r="1088" spans="3:13">
      <c r="C1088" t="s">
        <v>118</v>
      </c>
      <c r="D1088">
        <v>2024</v>
      </c>
      <c r="E1088" t="s">
        <v>146</v>
      </c>
      <c r="F1088">
        <v>59.23</v>
      </c>
      <c r="J1088" s="18"/>
      <c r="K1088" s="18"/>
      <c r="L1088" s="18"/>
      <c r="M1088" s="18"/>
    </row>
    <row r="1089" spans="3:13">
      <c r="C1089" t="s">
        <v>118</v>
      </c>
      <c r="D1089">
        <v>2024</v>
      </c>
      <c r="E1089" t="s">
        <v>147</v>
      </c>
      <c r="F1089">
        <v>561.48</v>
      </c>
      <c r="J1089" s="18"/>
      <c r="K1089" s="18"/>
      <c r="L1089" s="18"/>
      <c r="M1089" s="18"/>
    </row>
    <row r="1090" spans="3:13">
      <c r="C1090" t="s">
        <v>118</v>
      </c>
      <c r="D1090">
        <v>2024</v>
      </c>
      <c r="E1090" t="s">
        <v>145</v>
      </c>
      <c r="F1090">
        <v>1889.74</v>
      </c>
      <c r="J1090" s="18"/>
      <c r="K1090" s="18"/>
      <c r="L1090" s="18"/>
      <c r="M1090" s="18"/>
    </row>
    <row r="1091" spans="3:13">
      <c r="C1091" t="s">
        <v>118</v>
      </c>
      <c r="D1091">
        <v>2024</v>
      </c>
      <c r="E1091" t="s">
        <v>141</v>
      </c>
      <c r="F1091">
        <v>2101.67</v>
      </c>
      <c r="J1091" s="18"/>
      <c r="K1091" s="18"/>
      <c r="L1091" s="18"/>
      <c r="M1091" s="18"/>
    </row>
    <row r="1092" spans="3:13">
      <c r="C1092" t="s">
        <v>118</v>
      </c>
      <c r="D1092">
        <v>2024</v>
      </c>
      <c r="E1092" t="s">
        <v>142</v>
      </c>
      <c r="F1092">
        <v>17646.68</v>
      </c>
      <c r="J1092" s="18"/>
      <c r="K1092" s="18"/>
      <c r="L1092" s="18"/>
      <c r="M1092" s="18"/>
    </row>
    <row r="1093" spans="3:13">
      <c r="C1093" t="s">
        <v>118</v>
      </c>
      <c r="D1093">
        <v>2024</v>
      </c>
      <c r="E1093" t="s">
        <v>143</v>
      </c>
      <c r="F1093">
        <v>4836.76</v>
      </c>
      <c r="J1093" s="18"/>
      <c r="K1093" s="18"/>
      <c r="L1093" s="18"/>
      <c r="M1093" s="18"/>
    </row>
    <row r="1094" spans="3:13">
      <c r="C1094" t="s">
        <v>118</v>
      </c>
      <c r="D1094">
        <v>2024</v>
      </c>
      <c r="E1094" t="s">
        <v>144</v>
      </c>
      <c r="F1094">
        <v>844.97</v>
      </c>
      <c r="J1094" s="18"/>
      <c r="K1094" s="18"/>
      <c r="L1094" s="18"/>
      <c r="M1094" s="18"/>
    </row>
    <row r="1095" spans="3:13">
      <c r="C1095" t="s">
        <v>118</v>
      </c>
      <c r="D1095">
        <v>2025</v>
      </c>
      <c r="E1095" t="s">
        <v>146</v>
      </c>
      <c r="F1095">
        <v>59.33</v>
      </c>
      <c r="J1095" s="18"/>
      <c r="K1095" s="18"/>
      <c r="L1095" s="18"/>
      <c r="M1095" s="18"/>
    </row>
    <row r="1096" spans="3:13">
      <c r="C1096" t="s">
        <v>118</v>
      </c>
      <c r="D1096">
        <v>2025</v>
      </c>
      <c r="E1096" t="s">
        <v>147</v>
      </c>
      <c r="F1096">
        <v>560.79</v>
      </c>
      <c r="J1096" s="18"/>
      <c r="K1096" s="18"/>
      <c r="L1096" s="18"/>
      <c r="M1096" s="18"/>
    </row>
    <row r="1097" spans="3:13">
      <c r="C1097" t="s">
        <v>118</v>
      </c>
      <c r="D1097">
        <v>2025</v>
      </c>
      <c r="E1097" t="s">
        <v>145</v>
      </c>
      <c r="F1097">
        <v>1904.88</v>
      </c>
      <c r="J1097" s="18"/>
      <c r="K1097" s="18"/>
      <c r="L1097" s="18"/>
      <c r="M1097" s="18"/>
    </row>
    <row r="1098" spans="3:13">
      <c r="C1098" t="s">
        <v>118</v>
      </c>
      <c r="D1098">
        <v>2025</v>
      </c>
      <c r="E1098" t="s">
        <v>141</v>
      </c>
      <c r="F1098">
        <v>2188.0700000000002</v>
      </c>
      <c r="J1098" s="18"/>
      <c r="K1098" s="18"/>
      <c r="L1098" s="18"/>
      <c r="M1098" s="18"/>
    </row>
    <row r="1099" spans="3:13">
      <c r="C1099" t="s">
        <v>118</v>
      </c>
      <c r="D1099">
        <v>2025</v>
      </c>
      <c r="E1099" t="s">
        <v>142</v>
      </c>
      <c r="F1099">
        <v>17736.21</v>
      </c>
      <c r="J1099" s="18"/>
      <c r="K1099" s="18"/>
      <c r="L1099" s="18"/>
      <c r="M1099" s="18"/>
    </row>
    <row r="1100" spans="3:13">
      <c r="C1100" t="s">
        <v>118</v>
      </c>
      <c r="D1100">
        <v>2025</v>
      </c>
      <c r="E1100" t="s">
        <v>143</v>
      </c>
      <c r="F1100">
        <v>5018.26</v>
      </c>
      <c r="J1100" s="18"/>
      <c r="K1100" s="18"/>
      <c r="L1100" s="18"/>
      <c r="M1100" s="18"/>
    </row>
    <row r="1101" spans="3:13">
      <c r="C1101" t="s">
        <v>118</v>
      </c>
      <c r="D1101">
        <v>2025</v>
      </c>
      <c r="E1101" t="s">
        <v>144</v>
      </c>
      <c r="F1101">
        <v>882.63</v>
      </c>
      <c r="J1101" s="18"/>
      <c r="K1101" s="18"/>
      <c r="L1101" s="18"/>
      <c r="M1101" s="18"/>
    </row>
    <row r="1102" spans="3:13">
      <c r="C1102" t="s">
        <v>118</v>
      </c>
      <c r="D1102">
        <v>2026</v>
      </c>
      <c r="E1102" t="s">
        <v>146</v>
      </c>
      <c r="F1102">
        <v>59.5</v>
      </c>
      <c r="J1102" s="18"/>
      <c r="K1102" s="18"/>
      <c r="L1102" s="18"/>
      <c r="M1102" s="18"/>
    </row>
    <row r="1103" spans="3:13">
      <c r="C1103" t="s">
        <v>118</v>
      </c>
      <c r="D1103">
        <v>2026</v>
      </c>
      <c r="E1103" t="s">
        <v>147</v>
      </c>
      <c r="F1103">
        <v>560.96</v>
      </c>
      <c r="J1103" s="18"/>
      <c r="K1103" s="18"/>
      <c r="L1103" s="18"/>
      <c r="M1103" s="18"/>
    </row>
    <row r="1104" spans="3:13">
      <c r="C1104" t="s">
        <v>118</v>
      </c>
      <c r="D1104">
        <v>2026</v>
      </c>
      <c r="E1104" t="s">
        <v>145</v>
      </c>
      <c r="F1104">
        <v>1923.81</v>
      </c>
      <c r="J1104" s="18"/>
      <c r="K1104" s="18"/>
      <c r="L1104" s="18"/>
      <c r="M1104" s="18"/>
    </row>
    <row r="1105" spans="3:13">
      <c r="C1105" t="s">
        <v>118</v>
      </c>
      <c r="D1105">
        <v>2026</v>
      </c>
      <c r="E1105" t="s">
        <v>141</v>
      </c>
      <c r="F1105">
        <v>2273.1999999999998</v>
      </c>
      <c r="J1105" s="18"/>
      <c r="K1105" s="18"/>
      <c r="L1105" s="18"/>
      <c r="M1105" s="18"/>
    </row>
    <row r="1106" spans="3:13">
      <c r="C1106" t="s">
        <v>118</v>
      </c>
      <c r="D1106">
        <v>2026</v>
      </c>
      <c r="E1106" t="s">
        <v>142</v>
      </c>
      <c r="F1106">
        <v>17631.61</v>
      </c>
      <c r="J1106" s="18"/>
      <c r="K1106" s="18"/>
      <c r="L1106" s="18"/>
      <c r="M1106" s="18"/>
    </row>
    <row r="1107" spans="3:13">
      <c r="C1107" t="s">
        <v>118</v>
      </c>
      <c r="D1107">
        <v>2026</v>
      </c>
      <c r="E1107" t="s">
        <v>143</v>
      </c>
      <c r="F1107">
        <v>5201.2</v>
      </c>
      <c r="J1107" s="18"/>
      <c r="K1107" s="18"/>
      <c r="L1107" s="18"/>
      <c r="M1107" s="18"/>
    </row>
    <row r="1108" spans="3:13">
      <c r="C1108" t="s">
        <v>118</v>
      </c>
      <c r="D1108">
        <v>2026</v>
      </c>
      <c r="E1108" t="s">
        <v>144</v>
      </c>
      <c r="F1108">
        <v>920.53</v>
      </c>
      <c r="J1108" s="18"/>
      <c r="K1108" s="18"/>
      <c r="L1108" s="18"/>
      <c r="M1108" s="18"/>
    </row>
    <row r="1109" spans="3:13">
      <c r="C1109" t="s">
        <v>118</v>
      </c>
      <c r="D1109">
        <v>2027</v>
      </c>
      <c r="E1109" t="s">
        <v>146</v>
      </c>
      <c r="F1109">
        <v>59.69</v>
      </c>
      <c r="J1109" s="18"/>
      <c r="K1109" s="18"/>
      <c r="L1109" s="18"/>
      <c r="M1109" s="18"/>
    </row>
    <row r="1110" spans="3:13">
      <c r="C1110" t="s">
        <v>118</v>
      </c>
      <c r="D1110">
        <v>2027</v>
      </c>
      <c r="E1110" t="s">
        <v>147</v>
      </c>
      <c r="F1110">
        <v>561.35</v>
      </c>
      <c r="J1110" s="18"/>
      <c r="K1110" s="18"/>
      <c r="L1110" s="18"/>
      <c r="M1110" s="18"/>
    </row>
    <row r="1111" spans="3:13">
      <c r="C1111" t="s">
        <v>118</v>
      </c>
      <c r="D1111">
        <v>2027</v>
      </c>
      <c r="E1111" t="s">
        <v>145</v>
      </c>
      <c r="F1111">
        <v>1942.63</v>
      </c>
      <c r="J1111" s="18"/>
      <c r="K1111" s="18"/>
      <c r="L1111" s="18"/>
      <c r="M1111" s="18"/>
    </row>
    <row r="1112" spans="3:13">
      <c r="C1112" t="s">
        <v>118</v>
      </c>
      <c r="D1112">
        <v>2027</v>
      </c>
      <c r="E1112" t="s">
        <v>141</v>
      </c>
      <c r="F1112">
        <v>2356.48</v>
      </c>
      <c r="J1112" s="18"/>
      <c r="K1112" s="18"/>
      <c r="L1112" s="18"/>
      <c r="M1112" s="18"/>
    </row>
    <row r="1113" spans="3:13">
      <c r="C1113" t="s">
        <v>118</v>
      </c>
      <c r="D1113">
        <v>2027</v>
      </c>
      <c r="E1113" t="s">
        <v>142</v>
      </c>
      <c r="F1113">
        <v>17687.79</v>
      </c>
      <c r="J1113" s="18"/>
      <c r="K1113" s="18"/>
      <c r="L1113" s="18"/>
      <c r="M1113" s="18"/>
    </row>
    <row r="1114" spans="3:13">
      <c r="C1114" t="s">
        <v>118</v>
      </c>
      <c r="D1114">
        <v>2027</v>
      </c>
      <c r="E1114" t="s">
        <v>143</v>
      </c>
      <c r="F1114">
        <v>5389.01</v>
      </c>
      <c r="J1114" s="18"/>
      <c r="K1114" s="18"/>
      <c r="L1114" s="18"/>
      <c r="M1114" s="18"/>
    </row>
    <row r="1115" spans="3:13">
      <c r="C1115" t="s">
        <v>118</v>
      </c>
      <c r="D1115">
        <v>2027</v>
      </c>
      <c r="E1115" t="s">
        <v>144</v>
      </c>
      <c r="F1115">
        <v>964.26</v>
      </c>
      <c r="J1115" s="18"/>
      <c r="K1115" s="18"/>
      <c r="L1115" s="18"/>
      <c r="M1115" s="18"/>
    </row>
    <row r="1116" spans="3:13">
      <c r="C1116" t="s">
        <v>118</v>
      </c>
      <c r="D1116">
        <v>2028</v>
      </c>
      <c r="E1116" t="s">
        <v>146</v>
      </c>
      <c r="F1116">
        <v>59.91</v>
      </c>
      <c r="J1116" s="18"/>
      <c r="K1116" s="18"/>
      <c r="L1116" s="18"/>
      <c r="M1116" s="18"/>
    </row>
    <row r="1117" spans="3:13">
      <c r="C1117" t="s">
        <v>118</v>
      </c>
      <c r="D1117">
        <v>2028</v>
      </c>
      <c r="E1117" t="s">
        <v>147</v>
      </c>
      <c r="F1117">
        <v>562.25</v>
      </c>
      <c r="J1117" s="18"/>
      <c r="K1117" s="18"/>
      <c r="L1117" s="18"/>
      <c r="M1117" s="18"/>
    </row>
    <row r="1118" spans="3:13">
      <c r="C1118" t="s">
        <v>118</v>
      </c>
      <c r="D1118">
        <v>2028</v>
      </c>
      <c r="E1118" t="s">
        <v>145</v>
      </c>
      <c r="F1118">
        <v>1963.53</v>
      </c>
      <c r="J1118" s="18"/>
      <c r="K1118" s="18"/>
      <c r="L1118" s="18"/>
      <c r="M1118" s="18"/>
    </row>
    <row r="1119" spans="3:13">
      <c r="C1119" t="s">
        <v>118</v>
      </c>
      <c r="D1119">
        <v>2028</v>
      </c>
      <c r="E1119" t="s">
        <v>141</v>
      </c>
      <c r="F1119">
        <v>2439.59</v>
      </c>
      <c r="J1119" s="18"/>
      <c r="K1119" s="18"/>
      <c r="L1119" s="18"/>
      <c r="M1119" s="18"/>
    </row>
    <row r="1120" spans="3:13">
      <c r="C1120" t="s">
        <v>118</v>
      </c>
      <c r="D1120">
        <v>2028</v>
      </c>
      <c r="E1120" t="s">
        <v>142</v>
      </c>
      <c r="F1120">
        <v>17628.48</v>
      </c>
      <c r="J1120" s="18"/>
      <c r="K1120" s="18"/>
      <c r="L1120" s="18"/>
      <c r="M1120" s="18"/>
    </row>
    <row r="1121" spans="3:13">
      <c r="C1121" t="s">
        <v>118</v>
      </c>
      <c r="D1121">
        <v>2028</v>
      </c>
      <c r="E1121" t="s">
        <v>143</v>
      </c>
      <c r="F1121">
        <v>5577.16</v>
      </c>
      <c r="J1121" s="18"/>
      <c r="K1121" s="18"/>
      <c r="L1121" s="18"/>
      <c r="M1121" s="18"/>
    </row>
    <row r="1122" spans="3:13">
      <c r="C1122" t="s">
        <v>118</v>
      </c>
      <c r="D1122">
        <v>2028</v>
      </c>
      <c r="E1122" t="s">
        <v>144</v>
      </c>
      <c r="F1122">
        <v>1006.59</v>
      </c>
      <c r="J1122" s="18"/>
      <c r="K1122" s="18"/>
      <c r="L1122" s="18"/>
      <c r="M1122" s="18"/>
    </row>
    <row r="1123" spans="3:13">
      <c r="C1123" t="s">
        <v>118</v>
      </c>
      <c r="D1123">
        <v>2029</v>
      </c>
      <c r="E1123" t="s">
        <v>146</v>
      </c>
      <c r="F1123">
        <v>60.16</v>
      </c>
      <c r="J1123" s="18"/>
      <c r="K1123" s="18"/>
      <c r="L1123" s="18"/>
      <c r="M1123" s="18"/>
    </row>
    <row r="1124" spans="3:13">
      <c r="C1124" t="s">
        <v>118</v>
      </c>
      <c r="D1124">
        <v>2029</v>
      </c>
      <c r="E1124" t="s">
        <v>147</v>
      </c>
      <c r="F1124">
        <v>563.37</v>
      </c>
      <c r="J1124" s="18"/>
      <c r="K1124" s="18"/>
      <c r="L1124" s="18"/>
      <c r="M1124" s="18"/>
    </row>
    <row r="1125" spans="3:13">
      <c r="C1125" t="s">
        <v>118</v>
      </c>
      <c r="D1125">
        <v>2029</v>
      </c>
      <c r="E1125" t="s">
        <v>145</v>
      </c>
      <c r="F1125">
        <v>1985.11</v>
      </c>
      <c r="J1125" s="18"/>
      <c r="K1125" s="18"/>
      <c r="L1125" s="18"/>
      <c r="M1125" s="18"/>
    </row>
    <row r="1126" spans="3:13">
      <c r="C1126" t="s">
        <v>118</v>
      </c>
      <c r="D1126">
        <v>2029</v>
      </c>
      <c r="E1126" t="s">
        <v>141</v>
      </c>
      <c r="F1126">
        <v>2523</v>
      </c>
      <c r="J1126" s="18"/>
      <c r="K1126" s="18"/>
      <c r="L1126" s="18"/>
      <c r="M1126" s="18"/>
    </row>
    <row r="1127" spans="3:13">
      <c r="C1127" t="s">
        <v>118</v>
      </c>
      <c r="D1127">
        <v>2029</v>
      </c>
      <c r="E1127" t="s">
        <v>142</v>
      </c>
      <c r="F1127">
        <v>17773.75</v>
      </c>
      <c r="J1127" s="18"/>
      <c r="K1127" s="18"/>
      <c r="L1127" s="18"/>
      <c r="M1127" s="18"/>
    </row>
    <row r="1128" spans="3:13">
      <c r="C1128" t="s">
        <v>118</v>
      </c>
      <c r="D1128">
        <v>2029</v>
      </c>
      <c r="E1128" t="s">
        <v>143</v>
      </c>
      <c r="F1128">
        <v>5767.36</v>
      </c>
      <c r="J1128" s="18"/>
      <c r="K1128" s="18"/>
      <c r="L1128" s="18"/>
      <c r="M1128" s="18"/>
    </row>
    <row r="1129" spans="3:13">
      <c r="C1129" t="s">
        <v>118</v>
      </c>
      <c r="D1129">
        <v>2029</v>
      </c>
      <c r="E1129" t="s">
        <v>144</v>
      </c>
      <c r="F1129">
        <v>1054.6099999999999</v>
      </c>
      <c r="J1129" s="18"/>
      <c r="K1129" s="18"/>
      <c r="L1129" s="18"/>
      <c r="M1129" s="18"/>
    </row>
    <row r="1130" spans="3:13">
      <c r="C1130" t="s">
        <v>118</v>
      </c>
      <c r="D1130">
        <v>2030</v>
      </c>
      <c r="E1130" t="s">
        <v>146</v>
      </c>
      <c r="F1130">
        <v>60.41</v>
      </c>
      <c r="J1130" s="18"/>
      <c r="K1130" s="18"/>
      <c r="L1130" s="18"/>
      <c r="M1130" s="18"/>
    </row>
    <row r="1131" spans="3:13">
      <c r="C1131" t="s">
        <v>118</v>
      </c>
      <c r="D1131">
        <v>2030</v>
      </c>
      <c r="E1131" t="s">
        <v>147</v>
      </c>
      <c r="F1131">
        <v>564.51</v>
      </c>
      <c r="J1131" s="18"/>
      <c r="K1131" s="18"/>
      <c r="L1131" s="18"/>
      <c r="M1131" s="18"/>
    </row>
    <row r="1132" spans="3:13">
      <c r="C1132" t="s">
        <v>118</v>
      </c>
      <c r="D1132">
        <v>2030</v>
      </c>
      <c r="E1132" t="s">
        <v>145</v>
      </c>
      <c r="F1132">
        <v>2006.97</v>
      </c>
      <c r="J1132" s="18"/>
      <c r="K1132" s="18"/>
      <c r="L1132" s="18"/>
      <c r="M1132" s="18"/>
    </row>
    <row r="1133" spans="3:13">
      <c r="C1133" t="s">
        <v>118</v>
      </c>
      <c r="D1133">
        <v>2030</v>
      </c>
      <c r="E1133" t="s">
        <v>141</v>
      </c>
      <c r="F1133">
        <v>2606.62</v>
      </c>
      <c r="J1133" s="18"/>
      <c r="K1133" s="18"/>
      <c r="L1133" s="18"/>
      <c r="M1133" s="18"/>
    </row>
    <row r="1134" spans="3:13">
      <c r="C1134" t="s">
        <v>118</v>
      </c>
      <c r="D1134">
        <v>2030</v>
      </c>
      <c r="E1134" t="s">
        <v>142</v>
      </c>
      <c r="F1134">
        <v>17774.03</v>
      </c>
      <c r="J1134" s="18"/>
      <c r="K1134" s="18"/>
      <c r="L1134" s="18"/>
      <c r="M1134" s="18"/>
    </row>
    <row r="1135" spans="3:13">
      <c r="C1135" t="s">
        <v>118</v>
      </c>
      <c r="D1135">
        <v>2030</v>
      </c>
      <c r="E1135" t="s">
        <v>143</v>
      </c>
      <c r="F1135">
        <v>5956.46</v>
      </c>
      <c r="J1135" s="18"/>
      <c r="K1135" s="18"/>
      <c r="L1135" s="18"/>
      <c r="M1135" s="18"/>
    </row>
    <row r="1136" spans="3:13">
      <c r="C1136" t="s">
        <v>118</v>
      </c>
      <c r="D1136">
        <v>2030</v>
      </c>
      <c r="E1136" t="s">
        <v>144</v>
      </c>
      <c r="F1136">
        <v>1111.3599999999999</v>
      </c>
      <c r="J1136" s="18"/>
      <c r="K1136" s="18"/>
      <c r="L1136" s="18"/>
      <c r="M1136" s="18"/>
    </row>
    <row r="1137" spans="3:13">
      <c r="C1137" t="s">
        <v>118</v>
      </c>
      <c r="D1137">
        <v>2031</v>
      </c>
      <c r="E1137" t="s">
        <v>146</v>
      </c>
      <c r="F1137">
        <v>60.62</v>
      </c>
      <c r="J1137" s="18"/>
      <c r="K1137" s="18"/>
      <c r="L1137" s="18"/>
      <c r="M1137" s="18"/>
    </row>
    <row r="1138" spans="3:13">
      <c r="C1138" t="s">
        <v>118</v>
      </c>
      <c r="D1138">
        <v>2031</v>
      </c>
      <c r="E1138" t="s">
        <v>147</v>
      </c>
      <c r="F1138">
        <v>565.39</v>
      </c>
      <c r="J1138" s="18"/>
      <c r="K1138" s="18"/>
      <c r="L1138" s="18"/>
      <c r="M1138" s="18"/>
    </row>
    <row r="1139" spans="3:13">
      <c r="C1139" t="s">
        <v>118</v>
      </c>
      <c r="D1139">
        <v>2031</v>
      </c>
      <c r="E1139" t="s">
        <v>145</v>
      </c>
      <c r="F1139">
        <v>2027.24</v>
      </c>
      <c r="J1139" s="18"/>
      <c r="K1139" s="18"/>
      <c r="L1139" s="18"/>
      <c r="M1139" s="18"/>
    </row>
    <row r="1140" spans="3:13">
      <c r="C1140" t="s">
        <v>118</v>
      </c>
      <c r="D1140">
        <v>2031</v>
      </c>
      <c r="E1140" t="s">
        <v>141</v>
      </c>
      <c r="F1140">
        <v>2689.76</v>
      </c>
      <c r="J1140" s="18"/>
      <c r="K1140" s="18"/>
      <c r="L1140" s="18"/>
      <c r="M1140" s="18"/>
    </row>
    <row r="1141" spans="3:13">
      <c r="C1141" t="s">
        <v>118</v>
      </c>
      <c r="D1141">
        <v>2031</v>
      </c>
      <c r="E1141" t="s">
        <v>142</v>
      </c>
      <c r="F1141">
        <v>17922.72</v>
      </c>
      <c r="J1141" s="18"/>
      <c r="K1141" s="18"/>
      <c r="L1141" s="18"/>
      <c r="M1141" s="18"/>
    </row>
    <row r="1142" spans="3:13">
      <c r="C1142" t="s">
        <v>118</v>
      </c>
      <c r="D1142">
        <v>2031</v>
      </c>
      <c r="E1142" t="s">
        <v>143</v>
      </c>
      <c r="F1142">
        <v>6146.79</v>
      </c>
      <c r="J1142" s="18"/>
      <c r="K1142" s="18"/>
      <c r="L1142" s="18"/>
      <c r="M1142" s="18"/>
    </row>
    <row r="1143" spans="3:13">
      <c r="C1143" t="s">
        <v>118</v>
      </c>
      <c r="D1143">
        <v>2031</v>
      </c>
      <c r="E1143" t="s">
        <v>144</v>
      </c>
      <c r="F1143">
        <v>1175.0899999999999</v>
      </c>
      <c r="J1143" s="18"/>
      <c r="K1143" s="18"/>
      <c r="L1143" s="18"/>
      <c r="M1143" s="18"/>
    </row>
    <row r="1144" spans="3:13">
      <c r="C1144" t="s">
        <v>118</v>
      </c>
      <c r="D1144">
        <v>2032</v>
      </c>
      <c r="E1144" t="s">
        <v>146</v>
      </c>
      <c r="F1144">
        <v>60.81</v>
      </c>
      <c r="J1144" s="18"/>
      <c r="K1144" s="18"/>
      <c r="L1144" s="18"/>
      <c r="M1144" s="18"/>
    </row>
    <row r="1145" spans="3:13">
      <c r="C1145" t="s">
        <v>118</v>
      </c>
      <c r="D1145">
        <v>2032</v>
      </c>
      <c r="E1145" t="s">
        <v>147</v>
      </c>
      <c r="F1145">
        <v>566.02</v>
      </c>
      <c r="J1145" s="18"/>
      <c r="K1145" s="18"/>
      <c r="L1145" s="18"/>
      <c r="M1145" s="18"/>
    </row>
    <row r="1146" spans="3:13">
      <c r="C1146" t="s">
        <v>118</v>
      </c>
      <c r="D1146">
        <v>2032</v>
      </c>
      <c r="E1146" t="s">
        <v>145</v>
      </c>
      <c r="F1146">
        <v>2045.98</v>
      </c>
      <c r="J1146" s="18"/>
      <c r="K1146" s="18"/>
      <c r="L1146" s="18"/>
      <c r="M1146" s="18"/>
    </row>
    <row r="1147" spans="3:13">
      <c r="C1147" t="s">
        <v>118</v>
      </c>
      <c r="D1147">
        <v>2032</v>
      </c>
      <c r="E1147" t="s">
        <v>141</v>
      </c>
      <c r="F1147">
        <v>2772.29</v>
      </c>
      <c r="J1147" s="18"/>
      <c r="K1147" s="18"/>
      <c r="L1147" s="18"/>
      <c r="M1147" s="18"/>
    </row>
    <row r="1148" spans="3:13">
      <c r="C1148" t="s">
        <v>118</v>
      </c>
      <c r="D1148">
        <v>2032</v>
      </c>
      <c r="E1148" t="s">
        <v>142</v>
      </c>
      <c r="F1148">
        <v>17882.28</v>
      </c>
      <c r="J1148" s="18"/>
      <c r="K1148" s="18"/>
      <c r="L1148" s="18"/>
      <c r="M1148" s="18"/>
    </row>
    <row r="1149" spans="3:13">
      <c r="C1149" t="s">
        <v>118</v>
      </c>
      <c r="D1149">
        <v>2032</v>
      </c>
      <c r="E1149" t="s">
        <v>143</v>
      </c>
      <c r="F1149">
        <v>6337.01</v>
      </c>
      <c r="J1149" s="18"/>
      <c r="K1149" s="18"/>
      <c r="L1149" s="18"/>
      <c r="M1149" s="18"/>
    </row>
    <row r="1150" spans="3:13">
      <c r="C1150" t="s">
        <v>118</v>
      </c>
      <c r="D1150">
        <v>2032</v>
      </c>
      <c r="E1150" t="s">
        <v>144</v>
      </c>
      <c r="F1150">
        <v>1245.25</v>
      </c>
      <c r="J1150" s="18"/>
      <c r="K1150" s="18"/>
      <c r="L1150" s="18"/>
      <c r="M1150" s="18"/>
    </row>
    <row r="1151" spans="3:13">
      <c r="C1151" t="s">
        <v>118</v>
      </c>
      <c r="D1151">
        <v>2033</v>
      </c>
      <c r="E1151" t="s">
        <v>146</v>
      </c>
      <c r="F1151">
        <v>60.97</v>
      </c>
      <c r="J1151" s="18"/>
      <c r="K1151" s="18"/>
      <c r="L1151" s="18"/>
      <c r="M1151" s="18"/>
    </row>
    <row r="1152" spans="3:13">
      <c r="C1152" t="s">
        <v>118</v>
      </c>
      <c r="D1152">
        <v>2033</v>
      </c>
      <c r="E1152" t="s">
        <v>147</v>
      </c>
      <c r="F1152">
        <v>566.39</v>
      </c>
      <c r="J1152" s="18"/>
      <c r="K1152" s="18"/>
      <c r="L1152" s="18"/>
      <c r="M1152" s="18"/>
    </row>
    <row r="1153" spans="3:13">
      <c r="C1153" t="s">
        <v>118</v>
      </c>
      <c r="D1153">
        <v>2033</v>
      </c>
      <c r="E1153" t="s">
        <v>145</v>
      </c>
      <c r="F1153">
        <v>2062.5100000000002</v>
      </c>
      <c r="J1153" s="18"/>
      <c r="K1153" s="18"/>
      <c r="L1153" s="18"/>
      <c r="M1153" s="18"/>
    </row>
    <row r="1154" spans="3:13">
      <c r="C1154" t="s">
        <v>118</v>
      </c>
      <c r="D1154">
        <v>2033</v>
      </c>
      <c r="E1154" t="s">
        <v>141</v>
      </c>
      <c r="F1154">
        <v>2854.48</v>
      </c>
      <c r="J1154" s="18"/>
      <c r="K1154" s="18"/>
      <c r="L1154" s="18"/>
      <c r="M1154" s="18"/>
    </row>
    <row r="1155" spans="3:13">
      <c r="C1155" t="s">
        <v>118</v>
      </c>
      <c r="D1155">
        <v>2033</v>
      </c>
      <c r="E1155" t="s">
        <v>142</v>
      </c>
      <c r="F1155">
        <v>18093.810000000001</v>
      </c>
      <c r="J1155" s="18"/>
      <c r="K1155" s="18"/>
      <c r="L1155" s="18"/>
      <c r="M1155" s="18"/>
    </row>
    <row r="1156" spans="3:13">
      <c r="C1156" t="s">
        <v>118</v>
      </c>
      <c r="D1156">
        <v>2033</v>
      </c>
      <c r="E1156" t="s">
        <v>143</v>
      </c>
      <c r="F1156">
        <v>6531.34</v>
      </c>
      <c r="J1156" s="18"/>
      <c r="K1156" s="18"/>
      <c r="L1156" s="18"/>
      <c r="M1156" s="18"/>
    </row>
    <row r="1157" spans="3:13">
      <c r="C1157" t="s">
        <v>118</v>
      </c>
      <c r="D1157">
        <v>2033</v>
      </c>
      <c r="E1157" t="s">
        <v>144</v>
      </c>
      <c r="F1157">
        <v>1322.09</v>
      </c>
      <c r="J1157" s="18"/>
      <c r="K1157" s="18"/>
      <c r="L1157" s="18"/>
      <c r="M1157" s="18"/>
    </row>
    <row r="1158" spans="3:13">
      <c r="C1158" t="s">
        <v>118</v>
      </c>
      <c r="D1158">
        <v>2034</v>
      </c>
      <c r="E1158" t="s">
        <v>146</v>
      </c>
      <c r="F1158">
        <v>61.13</v>
      </c>
      <c r="J1158" s="18"/>
      <c r="K1158" s="18"/>
      <c r="L1158" s="18"/>
      <c r="M1158" s="18"/>
    </row>
    <row r="1159" spans="3:13">
      <c r="C1159" t="s">
        <v>118</v>
      </c>
      <c r="D1159">
        <v>2034</v>
      </c>
      <c r="E1159" t="s">
        <v>147</v>
      </c>
      <c r="F1159">
        <v>566.78</v>
      </c>
      <c r="J1159" s="18"/>
      <c r="K1159" s="18"/>
      <c r="L1159" s="18"/>
      <c r="M1159" s="18"/>
    </row>
    <row r="1160" spans="3:13">
      <c r="C1160" t="s">
        <v>118</v>
      </c>
      <c r="D1160">
        <v>2034</v>
      </c>
      <c r="E1160" t="s">
        <v>145</v>
      </c>
      <c r="F1160">
        <v>2078.5300000000002</v>
      </c>
      <c r="J1160" s="18"/>
      <c r="K1160" s="18"/>
      <c r="L1160" s="18"/>
      <c r="M1160" s="18"/>
    </row>
    <row r="1161" spans="3:13">
      <c r="C1161" t="s">
        <v>118</v>
      </c>
      <c r="D1161">
        <v>2034</v>
      </c>
      <c r="E1161" t="s">
        <v>141</v>
      </c>
      <c r="F1161">
        <v>2936.45</v>
      </c>
      <c r="J1161" s="18"/>
      <c r="K1161" s="18"/>
      <c r="L1161" s="18"/>
      <c r="M1161" s="18"/>
    </row>
    <row r="1162" spans="3:13">
      <c r="C1162" t="s">
        <v>118</v>
      </c>
      <c r="D1162">
        <v>2034</v>
      </c>
      <c r="E1162" t="s">
        <v>142</v>
      </c>
      <c r="F1162">
        <v>18024.45</v>
      </c>
      <c r="J1162" s="18"/>
      <c r="K1162" s="18"/>
      <c r="L1162" s="18"/>
      <c r="M1162" s="18"/>
    </row>
    <row r="1163" spans="3:13">
      <c r="C1163" t="s">
        <v>118</v>
      </c>
      <c r="D1163">
        <v>2034</v>
      </c>
      <c r="E1163" t="s">
        <v>143</v>
      </c>
      <c r="F1163">
        <v>6725.12</v>
      </c>
      <c r="J1163" s="18"/>
      <c r="K1163" s="18"/>
      <c r="L1163" s="18"/>
      <c r="M1163" s="18"/>
    </row>
    <row r="1164" spans="3:13">
      <c r="C1164" t="s">
        <v>118</v>
      </c>
      <c r="D1164">
        <v>2034</v>
      </c>
      <c r="E1164" t="s">
        <v>144</v>
      </c>
      <c r="F1164">
        <v>1403.46</v>
      </c>
      <c r="J1164" s="18"/>
      <c r="K1164" s="18"/>
      <c r="L1164" s="18"/>
      <c r="M1164" s="18"/>
    </row>
    <row r="1165" spans="3:13">
      <c r="C1165" t="s">
        <v>118</v>
      </c>
      <c r="D1165">
        <v>2035</v>
      </c>
      <c r="E1165" t="s">
        <v>146</v>
      </c>
      <c r="F1165">
        <v>61.27</v>
      </c>
      <c r="J1165" s="18"/>
      <c r="K1165" s="18"/>
      <c r="L1165" s="18"/>
      <c r="M1165" s="18"/>
    </row>
    <row r="1166" spans="3:13">
      <c r="C1166" t="s">
        <v>118</v>
      </c>
      <c r="D1166">
        <v>2035</v>
      </c>
      <c r="E1166" t="s">
        <v>147</v>
      </c>
      <c r="F1166">
        <v>567.09</v>
      </c>
      <c r="J1166" s="18"/>
      <c r="K1166" s="18"/>
      <c r="L1166" s="18"/>
      <c r="M1166" s="18"/>
    </row>
    <row r="1167" spans="3:13">
      <c r="C1167" t="s">
        <v>118</v>
      </c>
      <c r="D1167">
        <v>2035</v>
      </c>
      <c r="E1167" t="s">
        <v>145</v>
      </c>
      <c r="F1167">
        <v>2093.69</v>
      </c>
      <c r="J1167" s="18"/>
      <c r="K1167" s="18"/>
      <c r="L1167" s="18"/>
      <c r="M1167" s="18"/>
    </row>
    <row r="1168" spans="3:13">
      <c r="C1168" t="s">
        <v>118</v>
      </c>
      <c r="D1168">
        <v>2035</v>
      </c>
      <c r="E1168" t="s">
        <v>141</v>
      </c>
      <c r="F1168">
        <v>3018.44</v>
      </c>
      <c r="J1168" s="18"/>
      <c r="K1168" s="18"/>
      <c r="L1168" s="18"/>
      <c r="M1168" s="18"/>
    </row>
    <row r="1169" spans="3:13">
      <c r="C1169" t="s">
        <v>118</v>
      </c>
      <c r="D1169">
        <v>2035</v>
      </c>
      <c r="E1169" t="s">
        <v>142</v>
      </c>
      <c r="F1169">
        <v>18091.3</v>
      </c>
      <c r="J1169" s="18"/>
      <c r="K1169" s="18"/>
      <c r="L1169" s="18"/>
      <c r="M1169" s="18"/>
    </row>
    <row r="1170" spans="3:13">
      <c r="C1170" t="s">
        <v>118</v>
      </c>
      <c r="D1170">
        <v>2035</v>
      </c>
      <c r="E1170" t="s">
        <v>143</v>
      </c>
      <c r="F1170">
        <v>6921.88</v>
      </c>
      <c r="J1170" s="18"/>
      <c r="K1170" s="18"/>
      <c r="L1170" s="18"/>
      <c r="M1170" s="18"/>
    </row>
    <row r="1171" spans="3:13">
      <c r="C1171" t="s">
        <v>118</v>
      </c>
      <c r="D1171">
        <v>2035</v>
      </c>
      <c r="E1171" t="s">
        <v>144</v>
      </c>
      <c r="F1171">
        <v>1492.45</v>
      </c>
      <c r="J1171" s="18"/>
      <c r="K1171" s="18"/>
      <c r="L1171" s="18"/>
      <c r="M1171" s="18"/>
    </row>
    <row r="1172" spans="3:13">
      <c r="C1172" t="s">
        <v>118</v>
      </c>
      <c r="D1172">
        <v>2036</v>
      </c>
      <c r="E1172" t="s">
        <v>146</v>
      </c>
      <c r="F1172">
        <v>61.4</v>
      </c>
      <c r="J1172" s="18"/>
      <c r="K1172" s="18"/>
      <c r="L1172" s="18"/>
      <c r="M1172" s="18"/>
    </row>
    <row r="1173" spans="3:13">
      <c r="C1173" t="s">
        <v>118</v>
      </c>
      <c r="D1173">
        <v>2036</v>
      </c>
      <c r="E1173" t="s">
        <v>147</v>
      </c>
      <c r="F1173">
        <v>567.30999999999995</v>
      </c>
      <c r="J1173" s="18"/>
      <c r="K1173" s="18"/>
      <c r="L1173" s="18"/>
      <c r="M1173" s="18"/>
    </row>
    <row r="1174" spans="3:13">
      <c r="C1174" t="s">
        <v>118</v>
      </c>
      <c r="D1174">
        <v>2036</v>
      </c>
      <c r="E1174" t="s">
        <v>145</v>
      </c>
      <c r="F1174">
        <v>2107.0100000000002</v>
      </c>
      <c r="J1174" s="18"/>
      <c r="K1174" s="18"/>
      <c r="L1174" s="18"/>
      <c r="M1174" s="18"/>
    </row>
    <row r="1175" spans="3:13">
      <c r="C1175" t="s">
        <v>118</v>
      </c>
      <c r="D1175">
        <v>2036</v>
      </c>
      <c r="E1175" t="s">
        <v>141</v>
      </c>
      <c r="F1175">
        <v>3120.92</v>
      </c>
      <c r="J1175" s="18"/>
      <c r="K1175" s="18"/>
      <c r="L1175" s="18"/>
      <c r="M1175" s="18"/>
    </row>
    <row r="1176" spans="3:13">
      <c r="C1176" t="s">
        <v>118</v>
      </c>
      <c r="D1176">
        <v>2036</v>
      </c>
      <c r="E1176" t="s">
        <v>142</v>
      </c>
      <c r="F1176">
        <v>18264.71</v>
      </c>
      <c r="J1176" s="18"/>
      <c r="K1176" s="18"/>
      <c r="L1176" s="18"/>
      <c r="M1176" s="18"/>
    </row>
    <row r="1177" spans="3:13">
      <c r="C1177" t="s">
        <v>118</v>
      </c>
      <c r="D1177">
        <v>2036</v>
      </c>
      <c r="E1177" t="s">
        <v>143</v>
      </c>
      <c r="F1177">
        <v>7154.77</v>
      </c>
      <c r="J1177" s="18"/>
      <c r="K1177" s="18"/>
      <c r="L1177" s="18"/>
      <c r="M1177" s="18"/>
    </row>
    <row r="1178" spans="3:13">
      <c r="C1178" t="s">
        <v>118</v>
      </c>
      <c r="D1178">
        <v>2036</v>
      </c>
      <c r="E1178" t="s">
        <v>144</v>
      </c>
      <c r="F1178">
        <v>1576.4</v>
      </c>
      <c r="J1178" s="18"/>
      <c r="K1178" s="18"/>
      <c r="L1178" s="18"/>
      <c r="M1178" s="18"/>
    </row>
    <row r="1179" spans="3:13">
      <c r="C1179" t="s">
        <v>118</v>
      </c>
      <c r="D1179">
        <v>2037</v>
      </c>
      <c r="E1179" t="s">
        <v>146</v>
      </c>
      <c r="F1179">
        <v>61.5</v>
      </c>
      <c r="J1179" s="18"/>
      <c r="K1179" s="18"/>
      <c r="L1179" s="18"/>
      <c r="M1179" s="18"/>
    </row>
    <row r="1180" spans="3:13">
      <c r="C1180" t="s">
        <v>118</v>
      </c>
      <c r="D1180">
        <v>2037</v>
      </c>
      <c r="E1180" t="s">
        <v>147</v>
      </c>
      <c r="F1180">
        <v>567.27</v>
      </c>
      <c r="J1180" s="18"/>
      <c r="K1180" s="18"/>
      <c r="L1180" s="18"/>
      <c r="M1180" s="18"/>
    </row>
    <row r="1181" spans="3:13">
      <c r="C1181" t="s">
        <v>118</v>
      </c>
      <c r="D1181">
        <v>2037</v>
      </c>
      <c r="E1181" t="s">
        <v>145</v>
      </c>
      <c r="F1181">
        <v>2118.2399999999998</v>
      </c>
      <c r="J1181" s="18"/>
      <c r="K1181" s="18"/>
      <c r="L1181" s="18"/>
      <c r="M1181" s="18"/>
    </row>
    <row r="1182" spans="3:13">
      <c r="C1182" t="s">
        <v>118</v>
      </c>
      <c r="D1182">
        <v>2037</v>
      </c>
      <c r="E1182" t="s">
        <v>141</v>
      </c>
      <c r="F1182">
        <v>3223.93</v>
      </c>
      <c r="J1182" s="18"/>
      <c r="K1182" s="18"/>
      <c r="L1182" s="18"/>
      <c r="M1182" s="18"/>
    </row>
    <row r="1183" spans="3:13">
      <c r="C1183" t="s">
        <v>118</v>
      </c>
      <c r="D1183">
        <v>2037</v>
      </c>
      <c r="E1183" t="s">
        <v>142</v>
      </c>
      <c r="F1183">
        <v>18260.169999999998</v>
      </c>
      <c r="J1183" s="18"/>
      <c r="K1183" s="18"/>
      <c r="L1183" s="18"/>
      <c r="M1183" s="18"/>
    </row>
    <row r="1184" spans="3:13">
      <c r="C1184" t="s">
        <v>118</v>
      </c>
      <c r="D1184">
        <v>2037</v>
      </c>
      <c r="E1184" t="s">
        <v>143</v>
      </c>
      <c r="F1184">
        <v>7390.64</v>
      </c>
      <c r="J1184" s="18"/>
      <c r="K1184" s="18"/>
      <c r="L1184" s="18"/>
      <c r="M1184" s="18"/>
    </row>
    <row r="1185" spans="3:13">
      <c r="C1185" t="s">
        <v>118</v>
      </c>
      <c r="D1185">
        <v>2037</v>
      </c>
      <c r="E1185" t="s">
        <v>144</v>
      </c>
      <c r="F1185">
        <v>1653.92</v>
      </c>
      <c r="J1185" s="18"/>
      <c r="K1185" s="18"/>
      <c r="L1185" s="18"/>
      <c r="M1185" s="18"/>
    </row>
    <row r="1186" spans="3:13">
      <c r="C1186" t="s">
        <v>118</v>
      </c>
      <c r="D1186">
        <v>2038</v>
      </c>
      <c r="E1186" t="s">
        <v>146</v>
      </c>
      <c r="F1186">
        <v>61.59</v>
      </c>
      <c r="J1186" s="18"/>
      <c r="K1186" s="18"/>
      <c r="L1186" s="18"/>
      <c r="M1186" s="18"/>
    </row>
    <row r="1187" spans="3:13">
      <c r="C1187" t="s">
        <v>118</v>
      </c>
      <c r="D1187">
        <v>2038</v>
      </c>
      <c r="E1187" t="s">
        <v>147</v>
      </c>
      <c r="F1187">
        <v>567.14</v>
      </c>
      <c r="J1187" s="18"/>
      <c r="K1187" s="18"/>
      <c r="L1187" s="18"/>
      <c r="M1187" s="18"/>
    </row>
    <row r="1188" spans="3:13">
      <c r="C1188" t="s">
        <v>118</v>
      </c>
      <c r="D1188">
        <v>2038</v>
      </c>
      <c r="E1188" t="s">
        <v>145</v>
      </c>
      <c r="F1188">
        <v>2127.39</v>
      </c>
      <c r="J1188" s="18"/>
      <c r="K1188" s="18"/>
      <c r="L1188" s="18"/>
      <c r="M1188" s="18"/>
    </row>
    <row r="1189" spans="3:13">
      <c r="C1189" t="s">
        <v>118</v>
      </c>
      <c r="D1189">
        <v>2038</v>
      </c>
      <c r="E1189" t="s">
        <v>141</v>
      </c>
      <c r="F1189">
        <v>3327.84</v>
      </c>
      <c r="J1189" s="18"/>
      <c r="K1189" s="18"/>
      <c r="L1189" s="18"/>
      <c r="M1189" s="18"/>
    </row>
    <row r="1190" spans="3:13">
      <c r="C1190" t="s">
        <v>118</v>
      </c>
      <c r="D1190">
        <v>2038</v>
      </c>
      <c r="E1190" t="s">
        <v>142</v>
      </c>
      <c r="F1190">
        <v>18311.77</v>
      </c>
      <c r="J1190" s="18"/>
      <c r="K1190" s="18"/>
      <c r="L1190" s="18"/>
      <c r="M1190" s="18"/>
    </row>
    <row r="1191" spans="3:13">
      <c r="C1191" t="s">
        <v>118</v>
      </c>
      <c r="D1191">
        <v>2038</v>
      </c>
      <c r="E1191" t="s">
        <v>143</v>
      </c>
      <c r="F1191">
        <v>7629.24</v>
      </c>
      <c r="J1191" s="18"/>
      <c r="K1191" s="18"/>
      <c r="L1191" s="18"/>
      <c r="M1191" s="18"/>
    </row>
    <row r="1192" spans="3:13">
      <c r="C1192" t="s">
        <v>118</v>
      </c>
      <c r="D1192">
        <v>2038</v>
      </c>
      <c r="E1192" t="s">
        <v>144</v>
      </c>
      <c r="F1192">
        <v>1731.58</v>
      </c>
      <c r="J1192" s="18"/>
      <c r="K1192" s="18"/>
      <c r="L1192" s="18"/>
      <c r="M1192" s="18"/>
    </row>
    <row r="1193" spans="3:13">
      <c r="C1193" t="s">
        <v>118</v>
      </c>
      <c r="D1193">
        <v>2039</v>
      </c>
      <c r="E1193" t="s">
        <v>146</v>
      </c>
      <c r="F1193">
        <v>61.66</v>
      </c>
      <c r="J1193" s="18"/>
      <c r="K1193" s="18"/>
      <c r="L1193" s="18"/>
      <c r="M1193" s="18"/>
    </row>
    <row r="1194" spans="3:13">
      <c r="C1194" t="s">
        <v>118</v>
      </c>
      <c r="D1194">
        <v>2039</v>
      </c>
      <c r="E1194" t="s">
        <v>147</v>
      </c>
      <c r="F1194">
        <v>566.86</v>
      </c>
      <c r="J1194" s="18"/>
      <c r="K1194" s="18"/>
      <c r="L1194" s="18"/>
      <c r="M1194" s="18"/>
    </row>
    <row r="1195" spans="3:13">
      <c r="C1195" t="s">
        <v>118</v>
      </c>
      <c r="D1195">
        <v>2039</v>
      </c>
      <c r="E1195" t="s">
        <v>145</v>
      </c>
      <c r="F1195">
        <v>2136.2600000000002</v>
      </c>
      <c r="J1195" s="18"/>
      <c r="K1195" s="18"/>
      <c r="L1195" s="18"/>
      <c r="M1195" s="18"/>
    </row>
    <row r="1196" spans="3:13">
      <c r="C1196" t="s">
        <v>118</v>
      </c>
      <c r="D1196">
        <v>2039</v>
      </c>
      <c r="E1196" t="s">
        <v>141</v>
      </c>
      <c r="F1196">
        <v>3433.42</v>
      </c>
      <c r="J1196" s="18"/>
      <c r="K1196" s="18"/>
      <c r="L1196" s="18"/>
      <c r="M1196" s="18"/>
    </row>
    <row r="1197" spans="3:13">
      <c r="C1197" t="s">
        <v>118</v>
      </c>
      <c r="D1197">
        <v>2039</v>
      </c>
      <c r="E1197" t="s">
        <v>142</v>
      </c>
      <c r="F1197">
        <v>18309.23</v>
      </c>
      <c r="J1197" s="18"/>
      <c r="K1197" s="18"/>
      <c r="L1197" s="18"/>
      <c r="M1197" s="18"/>
    </row>
    <row r="1198" spans="3:13">
      <c r="C1198" t="s">
        <v>118</v>
      </c>
      <c r="D1198">
        <v>2039</v>
      </c>
      <c r="E1198" t="s">
        <v>143</v>
      </c>
      <c r="F1198">
        <v>7875.92</v>
      </c>
      <c r="J1198" s="18"/>
      <c r="K1198" s="18"/>
      <c r="L1198" s="18"/>
      <c r="M1198" s="18"/>
    </row>
    <row r="1199" spans="3:13">
      <c r="C1199" t="s">
        <v>118</v>
      </c>
      <c r="D1199">
        <v>2039</v>
      </c>
      <c r="E1199" t="s">
        <v>144</v>
      </c>
      <c r="F1199">
        <v>1808.2</v>
      </c>
      <c r="J1199" s="18"/>
      <c r="K1199" s="18"/>
      <c r="L1199" s="18"/>
      <c r="M1199" s="18"/>
    </row>
    <row r="1200" spans="3:13">
      <c r="C1200" t="s">
        <v>118</v>
      </c>
      <c r="D1200">
        <v>2040</v>
      </c>
      <c r="E1200" t="s">
        <v>146</v>
      </c>
      <c r="F1200">
        <v>61.74</v>
      </c>
      <c r="J1200" s="18"/>
      <c r="K1200" s="18"/>
      <c r="L1200" s="18"/>
      <c r="M1200" s="18"/>
    </row>
    <row r="1201" spans="3:13">
      <c r="C1201" t="s">
        <v>118</v>
      </c>
      <c r="D1201">
        <v>2040</v>
      </c>
      <c r="E1201" t="s">
        <v>147</v>
      </c>
      <c r="F1201">
        <v>566.74</v>
      </c>
      <c r="J1201" s="18"/>
      <c r="K1201" s="18"/>
      <c r="L1201" s="18"/>
      <c r="M1201" s="18"/>
    </row>
    <row r="1202" spans="3:13">
      <c r="C1202" t="s">
        <v>118</v>
      </c>
      <c r="D1202">
        <v>2040</v>
      </c>
      <c r="E1202" t="s">
        <v>145</v>
      </c>
      <c r="F1202">
        <v>2144.96</v>
      </c>
      <c r="J1202" s="18"/>
      <c r="K1202" s="18"/>
      <c r="L1202" s="18"/>
      <c r="M1202" s="18"/>
    </row>
    <row r="1203" spans="3:13">
      <c r="C1203" t="s">
        <v>118</v>
      </c>
      <c r="D1203">
        <v>2040</v>
      </c>
      <c r="E1203" t="s">
        <v>141</v>
      </c>
      <c r="F1203">
        <v>3541.05</v>
      </c>
      <c r="J1203" s="18"/>
      <c r="K1203" s="18"/>
      <c r="L1203" s="18"/>
      <c r="M1203" s="18"/>
    </row>
    <row r="1204" spans="3:13">
      <c r="C1204" t="s">
        <v>118</v>
      </c>
      <c r="D1204">
        <v>2040</v>
      </c>
      <c r="E1204" t="s">
        <v>142</v>
      </c>
      <c r="F1204">
        <v>18326.45</v>
      </c>
      <c r="J1204" s="18"/>
      <c r="K1204" s="18"/>
      <c r="L1204" s="18"/>
      <c r="M1204" s="18"/>
    </row>
    <row r="1205" spans="3:13">
      <c r="C1205" t="s">
        <v>118</v>
      </c>
      <c r="D1205">
        <v>2040</v>
      </c>
      <c r="E1205" t="s">
        <v>143</v>
      </c>
      <c r="F1205">
        <v>8120.24</v>
      </c>
      <c r="J1205" s="18"/>
      <c r="K1205" s="18"/>
      <c r="L1205" s="18"/>
      <c r="M1205" s="18"/>
    </row>
    <row r="1206" spans="3:13">
      <c r="C1206" t="s">
        <v>118</v>
      </c>
      <c r="D1206">
        <v>2040</v>
      </c>
      <c r="E1206" t="s">
        <v>144</v>
      </c>
      <c r="F1206">
        <v>1882.91</v>
      </c>
      <c r="J1206" s="18"/>
      <c r="K1206" s="18"/>
      <c r="L1206" s="18"/>
      <c r="M1206" s="18"/>
    </row>
    <row r="1207" spans="3:13">
      <c r="C1207" t="s">
        <v>118</v>
      </c>
      <c r="D1207">
        <v>2041</v>
      </c>
      <c r="E1207" t="s">
        <v>146</v>
      </c>
      <c r="F1207">
        <v>61.81</v>
      </c>
      <c r="J1207" s="18"/>
      <c r="K1207" s="18"/>
      <c r="L1207" s="18"/>
      <c r="M1207" s="18"/>
    </row>
    <row r="1208" spans="3:13">
      <c r="C1208" t="s">
        <v>118</v>
      </c>
      <c r="D1208">
        <v>2041</v>
      </c>
      <c r="E1208" t="s">
        <v>147</v>
      </c>
      <c r="F1208">
        <v>566.49</v>
      </c>
      <c r="J1208" s="18"/>
      <c r="K1208" s="18"/>
      <c r="L1208" s="18"/>
      <c r="M1208" s="18"/>
    </row>
    <row r="1209" spans="3:13">
      <c r="C1209" t="s">
        <v>118</v>
      </c>
      <c r="D1209">
        <v>2041</v>
      </c>
      <c r="E1209" t="s">
        <v>145</v>
      </c>
      <c r="F1209">
        <v>2153.2800000000002</v>
      </c>
      <c r="J1209" s="18"/>
      <c r="K1209" s="18"/>
      <c r="L1209" s="18"/>
      <c r="M1209" s="18"/>
    </row>
    <row r="1210" spans="3:13">
      <c r="C1210" t="s">
        <v>118</v>
      </c>
      <c r="D1210">
        <v>2041</v>
      </c>
      <c r="E1210" t="s">
        <v>141</v>
      </c>
      <c r="F1210">
        <v>3660.15</v>
      </c>
      <c r="J1210" s="18"/>
      <c r="K1210" s="18"/>
      <c r="L1210" s="18"/>
      <c r="M1210" s="18"/>
    </row>
    <row r="1211" spans="3:13">
      <c r="C1211" t="s">
        <v>118</v>
      </c>
      <c r="D1211">
        <v>2041</v>
      </c>
      <c r="E1211" t="s">
        <v>142</v>
      </c>
      <c r="F1211">
        <v>18392.79</v>
      </c>
      <c r="J1211" s="18"/>
      <c r="K1211" s="18"/>
      <c r="L1211" s="18"/>
      <c r="M1211" s="18"/>
    </row>
    <row r="1212" spans="3:13">
      <c r="C1212" t="s">
        <v>118</v>
      </c>
      <c r="D1212">
        <v>2041</v>
      </c>
      <c r="E1212" t="s">
        <v>143</v>
      </c>
      <c r="F1212">
        <v>8389.3799999999992</v>
      </c>
      <c r="J1212" s="18"/>
      <c r="K1212" s="18"/>
      <c r="L1212" s="18"/>
      <c r="M1212" s="18"/>
    </row>
    <row r="1213" spans="3:13">
      <c r="C1213" t="s">
        <v>118</v>
      </c>
      <c r="D1213">
        <v>2041</v>
      </c>
      <c r="E1213" t="s">
        <v>144</v>
      </c>
      <c r="F1213">
        <v>1957.49</v>
      </c>
      <c r="J1213" s="18"/>
      <c r="K1213" s="18"/>
      <c r="L1213" s="18"/>
      <c r="M1213" s="18"/>
    </row>
    <row r="1214" spans="3:13">
      <c r="C1214" t="s">
        <v>118</v>
      </c>
      <c r="D1214">
        <v>2042</v>
      </c>
      <c r="E1214" t="s">
        <v>146</v>
      </c>
      <c r="F1214">
        <v>61.89</v>
      </c>
      <c r="J1214" s="18"/>
      <c r="K1214" s="18"/>
      <c r="L1214" s="18"/>
      <c r="M1214" s="18"/>
    </row>
    <row r="1215" spans="3:13">
      <c r="C1215" t="s">
        <v>118</v>
      </c>
      <c r="D1215">
        <v>2042</v>
      </c>
      <c r="E1215" t="s">
        <v>147</v>
      </c>
      <c r="F1215">
        <v>566.35</v>
      </c>
      <c r="J1215" s="18"/>
      <c r="K1215" s="18"/>
      <c r="L1215" s="18"/>
      <c r="M1215" s="18"/>
    </row>
    <row r="1216" spans="3:13">
      <c r="C1216" t="s">
        <v>118</v>
      </c>
      <c r="D1216">
        <v>2042</v>
      </c>
      <c r="E1216" t="s">
        <v>145</v>
      </c>
      <c r="F1216">
        <v>2162.31</v>
      </c>
      <c r="J1216" s="18"/>
      <c r="K1216" s="18"/>
      <c r="L1216" s="18"/>
      <c r="M1216" s="18"/>
    </row>
    <row r="1217" spans="3:13">
      <c r="C1217" t="s">
        <v>118</v>
      </c>
      <c r="D1217">
        <v>2042</v>
      </c>
      <c r="E1217" t="s">
        <v>141</v>
      </c>
      <c r="F1217">
        <v>3783.29</v>
      </c>
      <c r="J1217" s="18"/>
      <c r="K1217" s="18"/>
      <c r="L1217" s="18"/>
      <c r="M1217" s="18"/>
    </row>
    <row r="1218" spans="3:13">
      <c r="C1218" t="s">
        <v>118</v>
      </c>
      <c r="D1218">
        <v>2042</v>
      </c>
      <c r="E1218" t="s">
        <v>142</v>
      </c>
      <c r="F1218">
        <v>18410.599999999999</v>
      </c>
      <c r="J1218" s="18"/>
      <c r="K1218" s="18"/>
      <c r="L1218" s="18"/>
      <c r="M1218" s="18"/>
    </row>
    <row r="1219" spans="3:13">
      <c r="C1219" t="s">
        <v>118</v>
      </c>
      <c r="D1219">
        <v>2042</v>
      </c>
      <c r="E1219" t="s">
        <v>143</v>
      </c>
      <c r="F1219">
        <v>8671.42</v>
      </c>
      <c r="J1219" s="18"/>
      <c r="K1219" s="18"/>
      <c r="L1219" s="18"/>
      <c r="M1219" s="18"/>
    </row>
    <row r="1220" spans="3:13">
      <c r="C1220" t="s">
        <v>118</v>
      </c>
      <c r="D1220">
        <v>2042</v>
      </c>
      <c r="E1220" t="s">
        <v>144</v>
      </c>
      <c r="F1220">
        <v>2029.65</v>
      </c>
      <c r="J1220" s="18"/>
      <c r="K1220" s="18"/>
      <c r="L1220" s="18"/>
      <c r="M1220" s="18"/>
    </row>
    <row r="1221" spans="3:13">
      <c r="C1221" t="s">
        <v>118</v>
      </c>
      <c r="D1221">
        <v>2043</v>
      </c>
      <c r="E1221" t="s">
        <v>146</v>
      </c>
      <c r="F1221">
        <v>62</v>
      </c>
      <c r="J1221" s="18"/>
      <c r="K1221" s="18"/>
      <c r="L1221" s="18"/>
      <c r="M1221" s="18"/>
    </row>
    <row r="1222" spans="3:13">
      <c r="C1222" t="s">
        <v>118</v>
      </c>
      <c r="D1222">
        <v>2043</v>
      </c>
      <c r="E1222" t="s">
        <v>147</v>
      </c>
      <c r="F1222">
        <v>566.54</v>
      </c>
      <c r="J1222" s="18"/>
      <c r="K1222" s="18"/>
      <c r="L1222" s="18"/>
      <c r="M1222" s="18"/>
    </row>
    <row r="1223" spans="3:13">
      <c r="C1223" t="s">
        <v>118</v>
      </c>
      <c r="D1223">
        <v>2043</v>
      </c>
      <c r="E1223" t="s">
        <v>145</v>
      </c>
      <c r="F1223">
        <v>2172.13</v>
      </c>
      <c r="J1223" s="18"/>
      <c r="K1223" s="18"/>
      <c r="L1223" s="18"/>
      <c r="M1223" s="18"/>
    </row>
    <row r="1224" spans="3:13">
      <c r="C1224" t="s">
        <v>118</v>
      </c>
      <c r="D1224">
        <v>2043</v>
      </c>
      <c r="E1224" t="s">
        <v>141</v>
      </c>
      <c r="F1224">
        <v>3909.52</v>
      </c>
      <c r="J1224" s="18"/>
      <c r="K1224" s="18"/>
      <c r="L1224" s="18"/>
      <c r="M1224" s="18"/>
    </row>
    <row r="1225" spans="3:13">
      <c r="C1225" t="s">
        <v>118</v>
      </c>
      <c r="D1225">
        <v>2043</v>
      </c>
      <c r="E1225" t="s">
        <v>142</v>
      </c>
      <c r="F1225">
        <v>18429.43</v>
      </c>
      <c r="J1225" s="18"/>
      <c r="K1225" s="18"/>
      <c r="L1225" s="18"/>
      <c r="M1225" s="18"/>
    </row>
    <row r="1226" spans="3:13">
      <c r="C1226" t="s">
        <v>118</v>
      </c>
      <c r="D1226">
        <v>2043</v>
      </c>
      <c r="E1226" t="s">
        <v>143</v>
      </c>
      <c r="F1226">
        <v>8960.0499999999993</v>
      </c>
      <c r="J1226" s="18"/>
      <c r="K1226" s="18"/>
      <c r="L1226" s="18"/>
      <c r="M1226" s="18"/>
    </row>
    <row r="1227" spans="3:13">
      <c r="C1227" t="s">
        <v>118</v>
      </c>
      <c r="D1227">
        <v>2043</v>
      </c>
      <c r="E1227" t="s">
        <v>144</v>
      </c>
      <c r="F1227">
        <v>2100.37</v>
      </c>
      <c r="J1227" s="18"/>
      <c r="K1227" s="18"/>
      <c r="L1227" s="18"/>
      <c r="M1227" s="18"/>
    </row>
    <row r="1228" spans="3:13">
      <c r="C1228" t="s">
        <v>118</v>
      </c>
      <c r="D1228">
        <v>2044</v>
      </c>
      <c r="E1228" t="s">
        <v>146</v>
      </c>
      <c r="F1228">
        <v>62.08</v>
      </c>
      <c r="J1228" s="18"/>
      <c r="K1228" s="18"/>
      <c r="L1228" s="18"/>
      <c r="M1228" s="18"/>
    </row>
    <row r="1229" spans="3:13">
      <c r="C1229" t="s">
        <v>118</v>
      </c>
      <c r="D1229">
        <v>2044</v>
      </c>
      <c r="E1229" t="s">
        <v>147</v>
      </c>
      <c r="F1229">
        <v>566.54999999999995</v>
      </c>
      <c r="J1229" s="18"/>
      <c r="K1229" s="18"/>
      <c r="L1229" s="18"/>
      <c r="M1229" s="18"/>
    </row>
    <row r="1230" spans="3:13">
      <c r="C1230" t="s">
        <v>118</v>
      </c>
      <c r="D1230">
        <v>2044</v>
      </c>
      <c r="E1230" t="s">
        <v>145</v>
      </c>
      <c r="F1230">
        <v>2180.0500000000002</v>
      </c>
      <c r="J1230" s="18"/>
      <c r="K1230" s="18"/>
      <c r="L1230" s="18"/>
      <c r="M1230" s="18"/>
    </row>
    <row r="1231" spans="3:13">
      <c r="C1231" t="s">
        <v>118</v>
      </c>
      <c r="D1231">
        <v>2044</v>
      </c>
      <c r="E1231" t="s">
        <v>141</v>
      </c>
      <c r="F1231">
        <v>4038.12</v>
      </c>
      <c r="J1231" s="18"/>
      <c r="K1231" s="18"/>
      <c r="L1231" s="18"/>
      <c r="M1231" s="18"/>
    </row>
    <row r="1232" spans="3:13">
      <c r="C1232" t="s">
        <v>118</v>
      </c>
      <c r="D1232">
        <v>2044</v>
      </c>
      <c r="E1232" t="s">
        <v>142</v>
      </c>
      <c r="F1232">
        <v>18471.7</v>
      </c>
      <c r="J1232" s="18"/>
      <c r="K1232" s="18"/>
      <c r="L1232" s="18"/>
      <c r="M1232" s="18"/>
    </row>
    <row r="1233" spans="3:13">
      <c r="C1233" t="s">
        <v>118</v>
      </c>
      <c r="D1233">
        <v>2044</v>
      </c>
      <c r="E1233" t="s">
        <v>143</v>
      </c>
      <c r="F1233">
        <v>9260.6</v>
      </c>
      <c r="J1233" s="18"/>
      <c r="K1233" s="18"/>
      <c r="L1233" s="18"/>
      <c r="M1233" s="18"/>
    </row>
    <row r="1234" spans="3:13">
      <c r="C1234" t="s">
        <v>118</v>
      </c>
      <c r="D1234">
        <v>2044</v>
      </c>
      <c r="E1234" t="s">
        <v>144</v>
      </c>
      <c r="F1234">
        <v>2168.8200000000002</v>
      </c>
      <c r="J1234" s="18"/>
      <c r="K1234" s="18"/>
      <c r="L1234" s="18"/>
      <c r="M1234" s="18"/>
    </row>
    <row r="1235" spans="3:13">
      <c r="C1235" t="s">
        <v>118</v>
      </c>
      <c r="D1235">
        <v>2045</v>
      </c>
      <c r="E1235" t="s">
        <v>146</v>
      </c>
      <c r="F1235">
        <v>62.13</v>
      </c>
      <c r="J1235" s="18"/>
      <c r="K1235" s="18"/>
      <c r="L1235" s="18"/>
      <c r="M1235" s="18"/>
    </row>
    <row r="1236" spans="3:13">
      <c r="C1236" t="s">
        <v>118</v>
      </c>
      <c r="D1236">
        <v>2045</v>
      </c>
      <c r="E1236" t="s">
        <v>147</v>
      </c>
      <c r="F1236">
        <v>566.24</v>
      </c>
      <c r="J1236" s="18"/>
      <c r="K1236" s="18"/>
      <c r="L1236" s="18"/>
      <c r="M1236" s="18"/>
    </row>
    <row r="1237" spans="3:13">
      <c r="C1237" t="s">
        <v>118</v>
      </c>
      <c r="D1237">
        <v>2045</v>
      </c>
      <c r="E1237" t="s">
        <v>145</v>
      </c>
      <c r="F1237">
        <v>2186.3200000000002</v>
      </c>
      <c r="J1237" s="18"/>
      <c r="K1237" s="18"/>
      <c r="L1237" s="18"/>
      <c r="M1237" s="18"/>
    </row>
    <row r="1238" spans="3:13">
      <c r="C1238" t="s">
        <v>118</v>
      </c>
      <c r="D1238">
        <v>2045</v>
      </c>
      <c r="E1238" t="s">
        <v>141</v>
      </c>
      <c r="F1238">
        <v>4168.82</v>
      </c>
      <c r="J1238" s="18"/>
      <c r="K1238" s="18"/>
      <c r="L1238" s="18"/>
      <c r="M1238" s="18"/>
    </row>
    <row r="1239" spans="3:13">
      <c r="C1239" t="s">
        <v>118</v>
      </c>
      <c r="D1239">
        <v>2045</v>
      </c>
      <c r="E1239" t="s">
        <v>142</v>
      </c>
      <c r="F1239">
        <v>18443.98</v>
      </c>
      <c r="J1239" s="18"/>
      <c r="K1239" s="18"/>
      <c r="L1239" s="18"/>
      <c r="M1239" s="18"/>
    </row>
    <row r="1240" spans="3:13">
      <c r="C1240" t="s">
        <v>118</v>
      </c>
      <c r="D1240">
        <v>2045</v>
      </c>
      <c r="E1240" t="s">
        <v>143</v>
      </c>
      <c r="F1240">
        <v>9573.7099999999991</v>
      </c>
      <c r="J1240" s="18"/>
      <c r="K1240" s="18"/>
      <c r="L1240" s="18"/>
      <c r="M1240" s="18"/>
    </row>
    <row r="1241" spans="3:13">
      <c r="C1241" t="s">
        <v>118</v>
      </c>
      <c r="D1241">
        <v>2045</v>
      </c>
      <c r="E1241" t="s">
        <v>144</v>
      </c>
      <c r="F1241">
        <v>2234.27</v>
      </c>
      <c r="J1241" s="18"/>
      <c r="K1241" s="18"/>
      <c r="L1241" s="18"/>
      <c r="M1241" s="18"/>
    </row>
    <row r="1242" spans="3:13">
      <c r="C1242" t="s">
        <v>118</v>
      </c>
      <c r="D1242">
        <v>2046</v>
      </c>
      <c r="E1242" t="s">
        <v>146</v>
      </c>
      <c r="F1242">
        <v>62.14</v>
      </c>
      <c r="J1242" s="18"/>
      <c r="K1242" s="18"/>
      <c r="L1242" s="18"/>
      <c r="M1242" s="18"/>
    </row>
    <row r="1243" spans="3:13">
      <c r="C1243" t="s">
        <v>118</v>
      </c>
      <c r="D1243">
        <v>2046</v>
      </c>
      <c r="E1243" t="s">
        <v>147</v>
      </c>
      <c r="F1243">
        <v>565.59</v>
      </c>
      <c r="J1243" s="18"/>
      <c r="K1243" s="18"/>
      <c r="L1243" s="18"/>
      <c r="M1243" s="18"/>
    </row>
    <row r="1244" spans="3:13">
      <c r="C1244" t="s">
        <v>118</v>
      </c>
      <c r="D1244">
        <v>2046</v>
      </c>
      <c r="E1244" t="s">
        <v>145</v>
      </c>
      <c r="F1244">
        <v>2189.4699999999998</v>
      </c>
      <c r="J1244" s="18"/>
      <c r="K1244" s="18"/>
      <c r="L1244" s="18"/>
      <c r="M1244" s="18"/>
    </row>
    <row r="1245" spans="3:13">
      <c r="C1245" t="s">
        <v>118</v>
      </c>
      <c r="D1245">
        <v>2046</v>
      </c>
      <c r="E1245" t="s">
        <v>141</v>
      </c>
      <c r="F1245">
        <v>4229.7299999999996</v>
      </c>
      <c r="J1245" s="18"/>
      <c r="K1245" s="18"/>
      <c r="L1245" s="18"/>
      <c r="M1245" s="18"/>
    </row>
    <row r="1246" spans="3:13">
      <c r="C1246" t="s">
        <v>118</v>
      </c>
      <c r="D1246">
        <v>2046</v>
      </c>
      <c r="E1246" t="s">
        <v>142</v>
      </c>
      <c r="F1246">
        <v>18304.14</v>
      </c>
      <c r="J1246" s="18"/>
      <c r="K1246" s="18"/>
      <c r="L1246" s="18"/>
      <c r="M1246" s="18"/>
    </row>
    <row r="1247" spans="3:13">
      <c r="C1247" t="s">
        <v>118</v>
      </c>
      <c r="D1247">
        <v>2046</v>
      </c>
      <c r="E1247" t="s">
        <v>143</v>
      </c>
      <c r="F1247">
        <v>9759.1</v>
      </c>
      <c r="J1247" s="18"/>
      <c r="K1247" s="18"/>
      <c r="L1247" s="18"/>
      <c r="M1247" s="18"/>
    </row>
    <row r="1248" spans="3:13">
      <c r="C1248" t="s">
        <v>118</v>
      </c>
      <c r="D1248">
        <v>2046</v>
      </c>
      <c r="E1248" t="s">
        <v>144</v>
      </c>
      <c r="F1248">
        <v>2295.7399999999998</v>
      </c>
      <c r="J1248" s="18"/>
      <c r="K1248" s="18"/>
      <c r="L1248" s="18"/>
      <c r="M1248" s="18"/>
    </row>
    <row r="1249" spans="3:13">
      <c r="C1249" t="s">
        <v>118</v>
      </c>
      <c r="D1249">
        <v>2047</v>
      </c>
      <c r="E1249" t="s">
        <v>146</v>
      </c>
      <c r="F1249">
        <v>62.13</v>
      </c>
      <c r="J1249" s="18"/>
      <c r="K1249" s="18"/>
      <c r="L1249" s="18"/>
      <c r="M1249" s="18"/>
    </row>
    <row r="1250" spans="3:13">
      <c r="C1250" t="s">
        <v>118</v>
      </c>
      <c r="D1250">
        <v>2047</v>
      </c>
      <c r="E1250" t="s">
        <v>147</v>
      </c>
      <c r="F1250">
        <v>564.76</v>
      </c>
      <c r="J1250" s="18"/>
      <c r="K1250" s="18"/>
      <c r="L1250" s="18"/>
      <c r="M1250" s="18"/>
    </row>
    <row r="1251" spans="3:13">
      <c r="C1251" t="s">
        <v>118</v>
      </c>
      <c r="D1251">
        <v>2047</v>
      </c>
      <c r="E1251" t="s">
        <v>145</v>
      </c>
      <c r="F1251">
        <v>2190.65</v>
      </c>
      <c r="J1251" s="18"/>
      <c r="K1251" s="18"/>
      <c r="L1251" s="18"/>
      <c r="M1251" s="18"/>
    </row>
    <row r="1252" spans="3:13">
      <c r="C1252" t="s">
        <v>118</v>
      </c>
      <c r="D1252">
        <v>2047</v>
      </c>
      <c r="E1252" t="s">
        <v>141</v>
      </c>
      <c r="F1252">
        <v>4288.6000000000004</v>
      </c>
      <c r="J1252" s="18"/>
      <c r="K1252" s="18"/>
      <c r="L1252" s="18"/>
      <c r="M1252" s="18"/>
    </row>
    <row r="1253" spans="3:13">
      <c r="C1253" t="s">
        <v>118</v>
      </c>
      <c r="D1253">
        <v>2047</v>
      </c>
      <c r="E1253" t="s">
        <v>142</v>
      </c>
      <c r="F1253">
        <v>18198.25</v>
      </c>
      <c r="J1253" s="18"/>
      <c r="K1253" s="18"/>
      <c r="L1253" s="18"/>
      <c r="M1253" s="18"/>
    </row>
    <row r="1254" spans="3:13">
      <c r="C1254" t="s">
        <v>118</v>
      </c>
      <c r="D1254">
        <v>2047</v>
      </c>
      <c r="E1254" t="s">
        <v>143</v>
      </c>
      <c r="F1254">
        <v>9943.9599999999991</v>
      </c>
      <c r="J1254" s="18"/>
      <c r="K1254" s="18"/>
      <c r="L1254" s="18"/>
      <c r="M1254" s="18"/>
    </row>
    <row r="1255" spans="3:13">
      <c r="C1255" t="s">
        <v>118</v>
      </c>
      <c r="D1255">
        <v>2047</v>
      </c>
      <c r="E1255" t="s">
        <v>144</v>
      </c>
      <c r="F1255">
        <v>2351.23</v>
      </c>
      <c r="J1255" s="18"/>
      <c r="K1255" s="18"/>
      <c r="L1255" s="18"/>
      <c r="M1255" s="18"/>
    </row>
    <row r="1256" spans="3:13">
      <c r="C1256" t="s">
        <v>118</v>
      </c>
      <c r="D1256">
        <v>2048</v>
      </c>
      <c r="E1256" t="s">
        <v>146</v>
      </c>
      <c r="F1256">
        <v>62.11</v>
      </c>
      <c r="J1256" s="18"/>
      <c r="K1256" s="18"/>
      <c r="L1256" s="18"/>
      <c r="M1256" s="18"/>
    </row>
    <row r="1257" spans="3:13">
      <c r="C1257" t="s">
        <v>118</v>
      </c>
      <c r="D1257">
        <v>2048</v>
      </c>
      <c r="E1257" t="s">
        <v>147</v>
      </c>
      <c r="F1257">
        <v>563.9</v>
      </c>
      <c r="J1257" s="18"/>
      <c r="K1257" s="18"/>
      <c r="L1257" s="18"/>
      <c r="M1257" s="18"/>
    </row>
    <row r="1258" spans="3:13">
      <c r="C1258" t="s">
        <v>118</v>
      </c>
      <c r="D1258">
        <v>2048</v>
      </c>
      <c r="E1258" t="s">
        <v>145</v>
      </c>
      <c r="F1258">
        <v>2190.94</v>
      </c>
      <c r="J1258" s="18"/>
      <c r="K1258" s="18"/>
      <c r="L1258" s="18"/>
      <c r="M1258" s="18"/>
    </row>
    <row r="1259" spans="3:13">
      <c r="C1259" t="s">
        <v>118</v>
      </c>
      <c r="D1259">
        <v>2048</v>
      </c>
      <c r="E1259" t="s">
        <v>141</v>
      </c>
      <c r="F1259">
        <v>4345.83</v>
      </c>
      <c r="J1259" s="18"/>
      <c r="K1259" s="18"/>
      <c r="L1259" s="18"/>
      <c r="M1259" s="18"/>
    </row>
    <row r="1260" spans="3:13">
      <c r="C1260" t="s">
        <v>118</v>
      </c>
      <c r="D1260">
        <v>2048</v>
      </c>
      <c r="E1260" t="s">
        <v>142</v>
      </c>
      <c r="F1260">
        <v>18244.68</v>
      </c>
      <c r="J1260" s="18"/>
      <c r="K1260" s="18"/>
      <c r="L1260" s="18"/>
      <c r="M1260" s="18"/>
    </row>
    <row r="1261" spans="3:13">
      <c r="C1261" t="s">
        <v>118</v>
      </c>
      <c r="D1261">
        <v>2048</v>
      </c>
      <c r="E1261" t="s">
        <v>143</v>
      </c>
      <c r="F1261">
        <v>10131.56</v>
      </c>
      <c r="J1261" s="18"/>
      <c r="K1261" s="18"/>
      <c r="L1261" s="18"/>
      <c r="M1261" s="18"/>
    </row>
    <row r="1262" spans="3:13">
      <c r="C1262" t="s">
        <v>118</v>
      </c>
      <c r="D1262">
        <v>2048</v>
      </c>
      <c r="E1262" t="s">
        <v>144</v>
      </c>
      <c r="F1262">
        <v>2404.27</v>
      </c>
      <c r="J1262" s="18"/>
      <c r="K1262" s="18"/>
      <c r="L1262" s="18"/>
      <c r="M1262" s="18"/>
    </row>
    <row r="1263" spans="3:13">
      <c r="C1263" t="s">
        <v>118</v>
      </c>
      <c r="D1263">
        <v>2049</v>
      </c>
      <c r="E1263" t="s">
        <v>146</v>
      </c>
      <c r="F1263">
        <v>62.12</v>
      </c>
      <c r="J1263" s="18"/>
      <c r="K1263" s="18"/>
      <c r="L1263" s="18"/>
      <c r="M1263" s="18"/>
    </row>
    <row r="1264" spans="3:13">
      <c r="C1264" t="s">
        <v>118</v>
      </c>
      <c r="D1264">
        <v>2049</v>
      </c>
      <c r="E1264" t="s">
        <v>147</v>
      </c>
      <c r="F1264">
        <v>563.34</v>
      </c>
      <c r="J1264" s="18"/>
      <c r="K1264" s="18"/>
      <c r="L1264" s="18"/>
      <c r="M1264" s="18"/>
    </row>
    <row r="1265" spans="3:13">
      <c r="C1265" t="s">
        <v>118</v>
      </c>
      <c r="D1265">
        <v>2049</v>
      </c>
      <c r="E1265" t="s">
        <v>145</v>
      </c>
      <c r="F1265">
        <v>2193.69</v>
      </c>
      <c r="J1265" s="18"/>
      <c r="K1265" s="18"/>
      <c r="L1265" s="18"/>
      <c r="M1265" s="18"/>
    </row>
    <row r="1266" spans="3:13">
      <c r="C1266" t="s">
        <v>118</v>
      </c>
      <c r="D1266">
        <v>2049</v>
      </c>
      <c r="E1266" t="s">
        <v>141</v>
      </c>
      <c r="F1266">
        <v>4400.7700000000004</v>
      </c>
      <c r="J1266" s="18"/>
      <c r="K1266" s="18"/>
      <c r="L1266" s="18"/>
      <c r="M1266" s="18"/>
    </row>
    <row r="1267" spans="3:13">
      <c r="C1267" t="s">
        <v>118</v>
      </c>
      <c r="D1267">
        <v>2049</v>
      </c>
      <c r="E1267" t="s">
        <v>142</v>
      </c>
      <c r="F1267">
        <v>18199.55</v>
      </c>
      <c r="J1267" s="18"/>
      <c r="K1267" s="18"/>
      <c r="L1267" s="18"/>
      <c r="M1267" s="18"/>
    </row>
    <row r="1268" spans="3:13">
      <c r="C1268" t="s">
        <v>118</v>
      </c>
      <c r="D1268">
        <v>2049</v>
      </c>
      <c r="E1268" t="s">
        <v>143</v>
      </c>
      <c r="F1268">
        <v>10316.799999999999</v>
      </c>
      <c r="J1268" s="18"/>
      <c r="K1268" s="18"/>
      <c r="L1268" s="18"/>
      <c r="M1268" s="18"/>
    </row>
    <row r="1269" spans="3:13">
      <c r="C1269" t="s">
        <v>118</v>
      </c>
      <c r="D1269">
        <v>2049</v>
      </c>
      <c r="E1269" t="s">
        <v>144</v>
      </c>
      <c r="F1269">
        <v>2453.13</v>
      </c>
      <c r="J1269" s="18"/>
      <c r="K1269" s="18"/>
      <c r="L1269" s="18"/>
      <c r="M1269" s="18"/>
    </row>
    <row r="1270" spans="3:13">
      <c r="C1270" t="s">
        <v>118</v>
      </c>
      <c r="D1270">
        <v>2050</v>
      </c>
      <c r="E1270" t="s">
        <v>146</v>
      </c>
      <c r="F1270">
        <v>62.08</v>
      </c>
      <c r="J1270" s="18"/>
      <c r="K1270" s="18"/>
      <c r="L1270" s="18"/>
      <c r="M1270" s="18"/>
    </row>
    <row r="1271" spans="3:13">
      <c r="C1271" t="s">
        <v>118</v>
      </c>
      <c r="D1271">
        <v>2050</v>
      </c>
      <c r="E1271" t="s">
        <v>147</v>
      </c>
      <c r="F1271">
        <v>562.35</v>
      </c>
      <c r="J1271" s="18"/>
      <c r="K1271" s="18"/>
      <c r="L1271" s="18"/>
      <c r="M1271" s="18"/>
    </row>
    <row r="1272" spans="3:13">
      <c r="C1272" t="s">
        <v>118</v>
      </c>
      <c r="D1272">
        <v>2050</v>
      </c>
      <c r="E1272" t="s">
        <v>145</v>
      </c>
      <c r="F1272">
        <v>2192.31</v>
      </c>
      <c r="J1272" s="18"/>
      <c r="K1272" s="18"/>
      <c r="L1272" s="18"/>
      <c r="M1272" s="18"/>
    </row>
    <row r="1273" spans="3:13">
      <c r="C1273" t="s">
        <v>118</v>
      </c>
      <c r="D1273">
        <v>2050</v>
      </c>
      <c r="E1273" t="s">
        <v>141</v>
      </c>
      <c r="F1273">
        <v>4452.63</v>
      </c>
      <c r="J1273" s="18"/>
      <c r="K1273" s="18"/>
      <c r="L1273" s="18"/>
      <c r="M1273" s="18"/>
    </row>
    <row r="1274" spans="3:13">
      <c r="C1274" t="s">
        <v>118</v>
      </c>
      <c r="D1274">
        <v>2050</v>
      </c>
      <c r="E1274" t="s">
        <v>142</v>
      </c>
      <c r="F1274">
        <v>18177.61</v>
      </c>
      <c r="J1274" s="18"/>
      <c r="K1274" s="18"/>
      <c r="L1274" s="18"/>
      <c r="M1274" s="18"/>
    </row>
    <row r="1275" spans="3:13">
      <c r="C1275" t="s">
        <v>118</v>
      </c>
      <c r="D1275">
        <v>2050</v>
      </c>
      <c r="E1275" t="s">
        <v>143</v>
      </c>
      <c r="F1275">
        <v>10499.79</v>
      </c>
      <c r="J1275" s="18"/>
      <c r="K1275" s="18"/>
      <c r="L1275" s="18"/>
      <c r="M1275" s="18"/>
    </row>
    <row r="1276" spans="3:13">
      <c r="C1276" t="s">
        <v>118</v>
      </c>
      <c r="D1276">
        <v>2050</v>
      </c>
      <c r="E1276" t="s">
        <v>144</v>
      </c>
      <c r="F1276">
        <v>2498.5100000000002</v>
      </c>
      <c r="J1276" s="18"/>
      <c r="K1276" s="18"/>
      <c r="L1276" s="18"/>
      <c r="M1276" s="18"/>
    </row>
    <row r="1277" spans="3:13">
      <c r="C1277" t="s">
        <v>119</v>
      </c>
      <c r="D1277">
        <v>2010</v>
      </c>
      <c r="E1277" t="s">
        <v>141</v>
      </c>
      <c r="F1277">
        <v>294.77</v>
      </c>
      <c r="J1277" s="18"/>
      <c r="K1277" s="18"/>
      <c r="L1277" s="18"/>
      <c r="M1277" s="18"/>
    </row>
    <row r="1278" spans="3:13">
      <c r="C1278" t="s">
        <v>119</v>
      </c>
      <c r="D1278">
        <v>2010</v>
      </c>
      <c r="E1278" t="s">
        <v>142</v>
      </c>
      <c r="F1278">
        <v>478.27</v>
      </c>
      <c r="J1278" s="18"/>
      <c r="K1278" s="18"/>
      <c r="L1278" s="18"/>
      <c r="M1278" s="18"/>
    </row>
    <row r="1279" spans="3:13">
      <c r="C1279" t="s">
        <v>119</v>
      </c>
      <c r="D1279">
        <v>2010</v>
      </c>
      <c r="E1279" t="s">
        <v>143</v>
      </c>
      <c r="F1279">
        <v>425.01</v>
      </c>
      <c r="J1279" s="18"/>
      <c r="K1279" s="18"/>
      <c r="L1279" s="18"/>
      <c r="M1279" s="18"/>
    </row>
    <row r="1280" spans="3:13">
      <c r="C1280" t="s">
        <v>119</v>
      </c>
      <c r="D1280">
        <v>2010</v>
      </c>
      <c r="E1280" t="s">
        <v>144</v>
      </c>
      <c r="F1280">
        <v>12.39</v>
      </c>
      <c r="J1280" s="18"/>
      <c r="K1280" s="18"/>
      <c r="L1280" s="18"/>
      <c r="M1280" s="18"/>
    </row>
    <row r="1281" spans="3:13">
      <c r="C1281" t="s">
        <v>119</v>
      </c>
      <c r="D1281">
        <v>2011</v>
      </c>
      <c r="E1281" t="s">
        <v>141</v>
      </c>
      <c r="F1281">
        <v>312.89</v>
      </c>
      <c r="J1281" s="18"/>
      <c r="K1281" s="18"/>
      <c r="L1281" s="18"/>
      <c r="M1281" s="18"/>
    </row>
    <row r="1282" spans="3:13">
      <c r="C1282" t="s">
        <v>119</v>
      </c>
      <c r="D1282">
        <v>2011</v>
      </c>
      <c r="E1282" t="s">
        <v>142</v>
      </c>
      <c r="F1282">
        <v>497.99</v>
      </c>
      <c r="J1282" s="18"/>
      <c r="K1282" s="18"/>
      <c r="L1282" s="18"/>
      <c r="M1282" s="18"/>
    </row>
    <row r="1283" spans="3:13">
      <c r="C1283" t="s">
        <v>119</v>
      </c>
      <c r="D1283">
        <v>2011</v>
      </c>
      <c r="E1283" t="s">
        <v>143</v>
      </c>
      <c r="F1283">
        <v>438.37</v>
      </c>
      <c r="J1283" s="18"/>
      <c r="K1283" s="18"/>
      <c r="L1283" s="18"/>
      <c r="M1283" s="18"/>
    </row>
    <row r="1284" spans="3:13">
      <c r="C1284" t="s">
        <v>119</v>
      </c>
      <c r="D1284">
        <v>2011</v>
      </c>
      <c r="E1284" t="s">
        <v>144</v>
      </c>
      <c r="F1284">
        <v>14.89</v>
      </c>
      <c r="J1284" s="18"/>
      <c r="K1284" s="18"/>
      <c r="L1284" s="18"/>
      <c r="M1284" s="18"/>
    </row>
    <row r="1285" spans="3:13">
      <c r="C1285" t="s">
        <v>119</v>
      </c>
      <c r="D1285">
        <v>2012</v>
      </c>
      <c r="E1285" t="s">
        <v>141</v>
      </c>
      <c r="F1285">
        <v>328.55</v>
      </c>
      <c r="J1285" s="18"/>
      <c r="K1285" s="18"/>
      <c r="L1285" s="18"/>
      <c r="M1285" s="18"/>
    </row>
    <row r="1286" spans="3:13">
      <c r="C1286" t="s">
        <v>119</v>
      </c>
      <c r="D1286">
        <v>2012</v>
      </c>
      <c r="E1286" t="s">
        <v>142</v>
      </c>
      <c r="F1286">
        <v>511.15</v>
      </c>
      <c r="J1286" s="18"/>
      <c r="K1286" s="18"/>
      <c r="L1286" s="18"/>
      <c r="M1286" s="18"/>
    </row>
    <row r="1287" spans="3:13">
      <c r="C1287" t="s">
        <v>119</v>
      </c>
      <c r="D1287">
        <v>2012</v>
      </c>
      <c r="E1287" t="s">
        <v>143</v>
      </c>
      <c r="F1287">
        <v>461.24</v>
      </c>
      <c r="J1287" s="18"/>
      <c r="K1287" s="18"/>
      <c r="L1287" s="18"/>
      <c r="M1287" s="18"/>
    </row>
    <row r="1288" spans="3:13">
      <c r="C1288" t="s">
        <v>119</v>
      </c>
      <c r="D1288">
        <v>2012</v>
      </c>
      <c r="E1288" t="s">
        <v>144</v>
      </c>
      <c r="F1288">
        <v>4.04</v>
      </c>
      <c r="J1288" s="18"/>
      <c r="K1288" s="18"/>
      <c r="L1288" s="18"/>
      <c r="M1288" s="18"/>
    </row>
    <row r="1289" spans="3:13">
      <c r="C1289" t="s">
        <v>119</v>
      </c>
      <c r="D1289">
        <v>2013</v>
      </c>
      <c r="E1289" t="s">
        <v>141</v>
      </c>
      <c r="F1289">
        <v>330.8</v>
      </c>
      <c r="J1289" s="18"/>
      <c r="K1289" s="18"/>
      <c r="L1289" s="18"/>
      <c r="M1289" s="18"/>
    </row>
    <row r="1290" spans="3:13">
      <c r="C1290" t="s">
        <v>119</v>
      </c>
      <c r="D1290">
        <v>2013</v>
      </c>
      <c r="E1290" t="s">
        <v>142</v>
      </c>
      <c r="F1290">
        <v>542.91999999999996</v>
      </c>
      <c r="J1290" s="18"/>
      <c r="K1290" s="18"/>
      <c r="L1290" s="18"/>
      <c r="M1290" s="18"/>
    </row>
    <row r="1291" spans="3:13">
      <c r="C1291" t="s">
        <v>119</v>
      </c>
      <c r="D1291">
        <v>2013</v>
      </c>
      <c r="E1291" t="s">
        <v>143</v>
      </c>
      <c r="F1291">
        <v>457.31</v>
      </c>
      <c r="J1291" s="18"/>
      <c r="K1291" s="18"/>
      <c r="L1291" s="18"/>
      <c r="M1291" s="18"/>
    </row>
    <row r="1292" spans="3:13">
      <c r="C1292" t="s">
        <v>119</v>
      </c>
      <c r="D1292">
        <v>2013</v>
      </c>
      <c r="E1292" t="s">
        <v>144</v>
      </c>
      <c r="F1292">
        <v>4.0999999999999996</v>
      </c>
      <c r="J1292" s="18"/>
      <c r="K1292" s="18"/>
      <c r="L1292" s="18"/>
      <c r="M1292" s="18"/>
    </row>
    <row r="1293" spans="3:13">
      <c r="C1293" t="s">
        <v>119</v>
      </c>
      <c r="D1293">
        <v>2014</v>
      </c>
      <c r="E1293" t="s">
        <v>141</v>
      </c>
      <c r="F1293">
        <v>317.14</v>
      </c>
      <c r="J1293" s="18"/>
      <c r="K1293" s="18"/>
      <c r="L1293" s="18"/>
      <c r="M1293" s="18"/>
    </row>
    <row r="1294" spans="3:13">
      <c r="C1294" t="s">
        <v>119</v>
      </c>
      <c r="D1294">
        <v>2014</v>
      </c>
      <c r="E1294" t="s">
        <v>142</v>
      </c>
      <c r="F1294">
        <v>464.92</v>
      </c>
      <c r="J1294" s="18"/>
      <c r="K1294" s="18"/>
      <c r="L1294" s="18"/>
      <c r="M1294" s="18"/>
    </row>
    <row r="1295" spans="3:13">
      <c r="C1295" t="s">
        <v>119</v>
      </c>
      <c r="D1295">
        <v>2014</v>
      </c>
      <c r="E1295" t="s">
        <v>143</v>
      </c>
      <c r="F1295">
        <v>457.74</v>
      </c>
      <c r="J1295" s="18"/>
      <c r="K1295" s="18"/>
      <c r="L1295" s="18"/>
      <c r="M1295" s="18"/>
    </row>
    <row r="1296" spans="3:13">
      <c r="C1296" t="s">
        <v>119</v>
      </c>
      <c r="D1296">
        <v>2014</v>
      </c>
      <c r="E1296" t="s">
        <v>144</v>
      </c>
      <c r="F1296">
        <v>3.11</v>
      </c>
      <c r="J1296" s="18"/>
      <c r="K1296" s="18"/>
      <c r="L1296" s="18"/>
      <c r="M1296" s="18"/>
    </row>
    <row r="1297" spans="3:13">
      <c r="C1297" t="s">
        <v>119</v>
      </c>
      <c r="D1297">
        <v>2015</v>
      </c>
      <c r="E1297" t="s">
        <v>141</v>
      </c>
      <c r="F1297">
        <v>362.46</v>
      </c>
      <c r="J1297" s="18"/>
      <c r="K1297" s="18"/>
      <c r="L1297" s="18"/>
      <c r="M1297" s="18"/>
    </row>
    <row r="1298" spans="3:13">
      <c r="C1298" t="s">
        <v>119</v>
      </c>
      <c r="D1298">
        <v>2015</v>
      </c>
      <c r="E1298" t="s">
        <v>142</v>
      </c>
      <c r="F1298">
        <v>499.2</v>
      </c>
      <c r="J1298" s="18"/>
      <c r="K1298" s="18"/>
      <c r="L1298" s="18"/>
      <c r="M1298" s="18"/>
    </row>
    <row r="1299" spans="3:13">
      <c r="C1299" t="s">
        <v>119</v>
      </c>
      <c r="D1299">
        <v>2015</v>
      </c>
      <c r="E1299" t="s">
        <v>143</v>
      </c>
      <c r="F1299">
        <v>497.9</v>
      </c>
      <c r="J1299" s="18"/>
      <c r="K1299" s="18"/>
      <c r="L1299" s="18"/>
      <c r="M1299" s="18"/>
    </row>
    <row r="1300" spans="3:13">
      <c r="C1300" t="s">
        <v>119</v>
      </c>
      <c r="D1300">
        <v>2015</v>
      </c>
      <c r="E1300" t="s">
        <v>144</v>
      </c>
      <c r="F1300">
        <v>3.3</v>
      </c>
      <c r="J1300" s="18"/>
      <c r="K1300" s="18"/>
      <c r="L1300" s="18"/>
      <c r="M1300" s="18"/>
    </row>
    <row r="1301" spans="3:13">
      <c r="C1301" t="s">
        <v>119</v>
      </c>
      <c r="D1301">
        <v>2016</v>
      </c>
      <c r="E1301" t="s">
        <v>141</v>
      </c>
      <c r="F1301">
        <v>362.79</v>
      </c>
      <c r="J1301" s="18"/>
      <c r="K1301" s="18"/>
      <c r="L1301" s="18"/>
      <c r="M1301" s="18"/>
    </row>
    <row r="1302" spans="3:13">
      <c r="C1302" t="s">
        <v>119</v>
      </c>
      <c r="D1302">
        <v>2016</v>
      </c>
      <c r="E1302" t="s">
        <v>142</v>
      </c>
      <c r="F1302">
        <v>490.98</v>
      </c>
      <c r="J1302" s="18"/>
      <c r="K1302" s="18"/>
      <c r="L1302" s="18"/>
      <c r="M1302" s="18"/>
    </row>
    <row r="1303" spans="3:13">
      <c r="C1303" t="s">
        <v>119</v>
      </c>
      <c r="D1303">
        <v>2016</v>
      </c>
      <c r="E1303" t="s">
        <v>143</v>
      </c>
      <c r="F1303">
        <v>502.69</v>
      </c>
      <c r="J1303" s="18"/>
      <c r="K1303" s="18"/>
      <c r="L1303" s="18"/>
      <c r="M1303" s="18"/>
    </row>
    <row r="1304" spans="3:13">
      <c r="C1304" t="s">
        <v>119</v>
      </c>
      <c r="D1304">
        <v>2016</v>
      </c>
      <c r="E1304" t="s">
        <v>144</v>
      </c>
      <c r="F1304">
        <v>3.18</v>
      </c>
      <c r="J1304" s="18"/>
      <c r="K1304" s="18"/>
      <c r="L1304" s="18"/>
      <c r="M1304" s="18"/>
    </row>
    <row r="1305" spans="3:13">
      <c r="C1305" t="s">
        <v>119</v>
      </c>
      <c r="D1305">
        <v>2017</v>
      </c>
      <c r="E1305" t="s">
        <v>141</v>
      </c>
      <c r="F1305">
        <v>378.27</v>
      </c>
      <c r="J1305" s="18"/>
      <c r="K1305" s="18"/>
      <c r="L1305" s="18"/>
      <c r="M1305" s="18"/>
    </row>
    <row r="1306" spans="3:13">
      <c r="C1306" t="s">
        <v>119</v>
      </c>
      <c r="D1306">
        <v>2017</v>
      </c>
      <c r="E1306" t="s">
        <v>142</v>
      </c>
      <c r="F1306">
        <v>472.66</v>
      </c>
      <c r="J1306" s="18"/>
      <c r="K1306" s="18"/>
      <c r="L1306" s="18"/>
      <c r="M1306" s="18"/>
    </row>
    <row r="1307" spans="3:13">
      <c r="C1307" t="s">
        <v>119</v>
      </c>
      <c r="D1307">
        <v>2017</v>
      </c>
      <c r="E1307" t="s">
        <v>143</v>
      </c>
      <c r="F1307">
        <v>496.89</v>
      </c>
      <c r="J1307" s="18"/>
      <c r="K1307" s="18"/>
      <c r="L1307" s="18"/>
      <c r="M1307" s="18"/>
    </row>
    <row r="1308" spans="3:13">
      <c r="C1308" t="s">
        <v>119</v>
      </c>
      <c r="D1308">
        <v>2017</v>
      </c>
      <c r="E1308" t="s">
        <v>144</v>
      </c>
      <c r="F1308">
        <v>3.64</v>
      </c>
      <c r="J1308" s="18"/>
      <c r="K1308" s="18"/>
      <c r="L1308" s="18"/>
      <c r="M1308" s="18"/>
    </row>
    <row r="1309" spans="3:13">
      <c r="C1309" t="s">
        <v>119</v>
      </c>
      <c r="D1309">
        <v>2018</v>
      </c>
      <c r="E1309" t="s">
        <v>141</v>
      </c>
      <c r="F1309">
        <v>376.01</v>
      </c>
      <c r="J1309" s="18"/>
      <c r="K1309" s="18"/>
      <c r="L1309" s="18"/>
      <c r="M1309" s="18"/>
    </row>
    <row r="1310" spans="3:13">
      <c r="C1310" t="s">
        <v>119</v>
      </c>
      <c r="D1310">
        <v>2018</v>
      </c>
      <c r="E1310" t="s">
        <v>142</v>
      </c>
      <c r="F1310">
        <v>476.03</v>
      </c>
      <c r="J1310" s="18"/>
      <c r="K1310" s="18"/>
      <c r="L1310" s="18"/>
      <c r="M1310" s="18"/>
    </row>
    <row r="1311" spans="3:13">
      <c r="C1311" t="s">
        <v>119</v>
      </c>
      <c r="D1311">
        <v>2018</v>
      </c>
      <c r="E1311" t="s">
        <v>143</v>
      </c>
      <c r="F1311">
        <v>508.63</v>
      </c>
      <c r="J1311" s="18"/>
      <c r="K1311" s="18"/>
      <c r="L1311" s="18"/>
      <c r="M1311" s="18"/>
    </row>
    <row r="1312" spans="3:13">
      <c r="C1312" t="s">
        <v>119</v>
      </c>
      <c r="D1312">
        <v>2018</v>
      </c>
      <c r="E1312" t="s">
        <v>144</v>
      </c>
      <c r="F1312">
        <v>3.4</v>
      </c>
      <c r="J1312" s="18"/>
      <c r="K1312" s="18"/>
      <c r="L1312" s="18"/>
      <c r="M1312" s="18"/>
    </row>
    <row r="1313" spans="3:13">
      <c r="C1313" t="s">
        <v>119</v>
      </c>
      <c r="D1313">
        <v>2019</v>
      </c>
      <c r="E1313" t="s">
        <v>141</v>
      </c>
      <c r="F1313">
        <v>363.23</v>
      </c>
      <c r="J1313" s="18"/>
      <c r="K1313" s="18"/>
      <c r="L1313" s="18"/>
      <c r="M1313" s="18"/>
    </row>
    <row r="1314" spans="3:13">
      <c r="C1314" t="s">
        <v>119</v>
      </c>
      <c r="D1314">
        <v>2019</v>
      </c>
      <c r="E1314" t="s">
        <v>142</v>
      </c>
      <c r="F1314">
        <v>467.2</v>
      </c>
      <c r="J1314" s="18"/>
      <c r="K1314" s="18"/>
      <c r="L1314" s="18"/>
      <c r="M1314" s="18"/>
    </row>
    <row r="1315" spans="3:13">
      <c r="C1315" t="s">
        <v>119</v>
      </c>
      <c r="D1315">
        <v>2019</v>
      </c>
      <c r="E1315" t="s">
        <v>143</v>
      </c>
      <c r="F1315">
        <v>485.87</v>
      </c>
      <c r="J1315" s="18"/>
      <c r="K1315" s="18"/>
      <c r="L1315" s="18"/>
      <c r="M1315" s="18"/>
    </row>
    <row r="1316" spans="3:13">
      <c r="C1316" t="s">
        <v>119</v>
      </c>
      <c r="D1316">
        <v>2019</v>
      </c>
      <c r="E1316" t="s">
        <v>144</v>
      </c>
      <c r="F1316">
        <v>1.28</v>
      </c>
      <c r="J1316" s="18"/>
      <c r="K1316" s="18"/>
      <c r="L1316" s="18"/>
      <c r="M1316" s="18"/>
    </row>
    <row r="1317" spans="3:13">
      <c r="C1317" t="s">
        <v>119</v>
      </c>
      <c r="D1317">
        <v>2020</v>
      </c>
      <c r="E1317" t="s">
        <v>141</v>
      </c>
      <c r="F1317">
        <v>327.13</v>
      </c>
      <c r="J1317" s="18"/>
      <c r="K1317" s="18"/>
      <c r="L1317" s="18"/>
      <c r="M1317" s="18"/>
    </row>
    <row r="1318" spans="3:13">
      <c r="C1318" t="s">
        <v>119</v>
      </c>
      <c r="D1318">
        <v>2020</v>
      </c>
      <c r="E1318" t="s">
        <v>142</v>
      </c>
      <c r="F1318">
        <v>437.95</v>
      </c>
      <c r="J1318" s="18"/>
      <c r="K1318" s="18"/>
      <c r="L1318" s="18"/>
      <c r="M1318" s="18"/>
    </row>
    <row r="1319" spans="3:13">
      <c r="C1319" t="s">
        <v>119</v>
      </c>
      <c r="D1319">
        <v>2020</v>
      </c>
      <c r="E1319" t="s">
        <v>143</v>
      </c>
      <c r="F1319">
        <v>448.79</v>
      </c>
      <c r="J1319" s="18"/>
      <c r="K1319" s="18"/>
      <c r="L1319" s="18"/>
      <c r="M1319" s="18"/>
    </row>
    <row r="1320" spans="3:13">
      <c r="C1320" t="s">
        <v>119</v>
      </c>
      <c r="D1320">
        <v>2020</v>
      </c>
      <c r="E1320" t="s">
        <v>144</v>
      </c>
      <c r="F1320">
        <v>0.76</v>
      </c>
      <c r="J1320" s="18"/>
      <c r="K1320" s="18"/>
      <c r="L1320" s="18"/>
      <c r="M1320" s="18"/>
    </row>
    <row r="1321" spans="3:13">
      <c r="C1321" t="s">
        <v>119</v>
      </c>
      <c r="D1321">
        <v>2021</v>
      </c>
      <c r="E1321" t="s">
        <v>141</v>
      </c>
      <c r="F1321">
        <v>344.93</v>
      </c>
      <c r="J1321" s="18"/>
      <c r="K1321" s="18"/>
      <c r="L1321" s="18"/>
      <c r="M1321" s="18"/>
    </row>
    <row r="1322" spans="3:13">
      <c r="C1322" t="s">
        <v>119</v>
      </c>
      <c r="D1322">
        <v>2021</v>
      </c>
      <c r="E1322" t="s">
        <v>142</v>
      </c>
      <c r="F1322">
        <v>508.1</v>
      </c>
      <c r="J1322" s="18"/>
      <c r="K1322" s="18"/>
      <c r="L1322" s="18"/>
      <c r="M1322" s="18"/>
    </row>
    <row r="1323" spans="3:13">
      <c r="C1323" t="s">
        <v>119</v>
      </c>
      <c r="D1323">
        <v>2021</v>
      </c>
      <c r="E1323" t="s">
        <v>143</v>
      </c>
      <c r="F1323">
        <v>461.83</v>
      </c>
      <c r="J1323" s="18"/>
      <c r="K1323" s="18"/>
      <c r="L1323" s="18"/>
      <c r="M1323" s="18"/>
    </row>
    <row r="1324" spans="3:13">
      <c r="C1324" t="s">
        <v>119</v>
      </c>
      <c r="D1324">
        <v>2021</v>
      </c>
      <c r="E1324" t="s">
        <v>144</v>
      </c>
      <c r="F1324">
        <v>1</v>
      </c>
      <c r="J1324" s="18"/>
      <c r="K1324" s="18"/>
      <c r="L1324" s="18"/>
      <c r="M1324" s="18"/>
    </row>
    <row r="1325" spans="3:13">
      <c r="C1325" t="s">
        <v>119</v>
      </c>
      <c r="D1325">
        <v>2022</v>
      </c>
      <c r="E1325" t="s">
        <v>141</v>
      </c>
      <c r="F1325">
        <v>354.05</v>
      </c>
      <c r="J1325" s="18"/>
      <c r="K1325" s="18"/>
      <c r="L1325" s="18"/>
      <c r="M1325" s="18"/>
    </row>
    <row r="1326" spans="3:13">
      <c r="C1326" t="s">
        <v>119</v>
      </c>
      <c r="D1326">
        <v>2022</v>
      </c>
      <c r="E1326" t="s">
        <v>142</v>
      </c>
      <c r="F1326">
        <v>494.69</v>
      </c>
      <c r="J1326" s="18"/>
      <c r="K1326" s="18"/>
      <c r="L1326" s="18"/>
      <c r="M1326" s="18"/>
    </row>
    <row r="1327" spans="3:13">
      <c r="C1327" t="s">
        <v>119</v>
      </c>
      <c r="D1327">
        <v>2022</v>
      </c>
      <c r="E1327" t="s">
        <v>143</v>
      </c>
      <c r="F1327">
        <v>462.82</v>
      </c>
      <c r="J1327" s="18"/>
      <c r="K1327" s="18"/>
      <c r="L1327" s="18"/>
      <c r="M1327" s="18"/>
    </row>
    <row r="1328" spans="3:13">
      <c r="C1328" t="s">
        <v>119</v>
      </c>
      <c r="D1328">
        <v>2022</v>
      </c>
      <c r="E1328" t="s">
        <v>144</v>
      </c>
      <c r="F1328">
        <v>1.0900000000000001</v>
      </c>
      <c r="J1328" s="18"/>
      <c r="K1328" s="18"/>
      <c r="L1328" s="18"/>
      <c r="M1328" s="18"/>
    </row>
    <row r="1329" spans="3:13">
      <c r="C1329" t="s">
        <v>119</v>
      </c>
      <c r="D1329">
        <v>2023</v>
      </c>
      <c r="E1329" t="s">
        <v>141</v>
      </c>
      <c r="F1329">
        <v>363.14</v>
      </c>
      <c r="J1329" s="18"/>
      <c r="K1329" s="18"/>
      <c r="L1329" s="18"/>
      <c r="M1329" s="18"/>
    </row>
    <row r="1330" spans="3:13">
      <c r="C1330" t="s">
        <v>119</v>
      </c>
      <c r="D1330">
        <v>2023</v>
      </c>
      <c r="E1330" t="s">
        <v>142</v>
      </c>
      <c r="F1330">
        <v>501.44</v>
      </c>
      <c r="J1330" s="18"/>
      <c r="K1330" s="18"/>
      <c r="L1330" s="18"/>
      <c r="M1330" s="18"/>
    </row>
    <row r="1331" spans="3:13">
      <c r="C1331" t="s">
        <v>119</v>
      </c>
      <c r="D1331">
        <v>2023</v>
      </c>
      <c r="E1331" t="s">
        <v>143</v>
      </c>
      <c r="F1331">
        <v>466.47</v>
      </c>
      <c r="J1331" s="18"/>
      <c r="K1331" s="18"/>
      <c r="L1331" s="18"/>
      <c r="M1331" s="18"/>
    </row>
    <row r="1332" spans="3:13">
      <c r="C1332" t="s">
        <v>119</v>
      </c>
      <c r="D1332">
        <v>2023</v>
      </c>
      <c r="E1332" t="s">
        <v>144</v>
      </c>
      <c r="F1332">
        <v>1.1000000000000001</v>
      </c>
      <c r="J1332" s="18"/>
      <c r="K1332" s="18"/>
      <c r="L1332" s="18"/>
      <c r="M1332" s="18"/>
    </row>
    <row r="1333" spans="3:13">
      <c r="C1333" t="s">
        <v>119</v>
      </c>
      <c r="D1333">
        <v>2024</v>
      </c>
      <c r="E1333" t="s">
        <v>141</v>
      </c>
      <c r="F1333">
        <v>371.49</v>
      </c>
      <c r="J1333" s="18"/>
      <c r="K1333" s="18"/>
      <c r="L1333" s="18"/>
      <c r="M1333" s="18"/>
    </row>
    <row r="1334" spans="3:13">
      <c r="C1334" t="s">
        <v>119</v>
      </c>
      <c r="D1334">
        <v>2024</v>
      </c>
      <c r="E1334" t="s">
        <v>142</v>
      </c>
      <c r="F1334">
        <v>498.03</v>
      </c>
      <c r="J1334" s="18"/>
      <c r="K1334" s="18"/>
      <c r="L1334" s="18"/>
      <c r="M1334" s="18"/>
    </row>
    <row r="1335" spans="3:13">
      <c r="C1335" t="s">
        <v>119</v>
      </c>
      <c r="D1335">
        <v>2024</v>
      </c>
      <c r="E1335" t="s">
        <v>143</v>
      </c>
      <c r="F1335">
        <v>467.96</v>
      </c>
      <c r="J1335" s="18"/>
      <c r="K1335" s="18"/>
      <c r="L1335" s="18"/>
      <c r="M1335" s="18"/>
    </row>
    <row r="1336" spans="3:13">
      <c r="C1336" t="s">
        <v>119</v>
      </c>
      <c r="D1336">
        <v>2024</v>
      </c>
      <c r="E1336" t="s">
        <v>144</v>
      </c>
      <c r="F1336">
        <v>1.06</v>
      </c>
      <c r="J1336" s="18"/>
      <c r="K1336" s="18"/>
      <c r="L1336" s="18"/>
      <c r="M1336" s="18"/>
    </row>
    <row r="1337" spans="3:13">
      <c r="C1337" t="s">
        <v>119</v>
      </c>
      <c r="D1337">
        <v>2025</v>
      </c>
      <c r="E1337" t="s">
        <v>141</v>
      </c>
      <c r="F1337">
        <v>381.17</v>
      </c>
      <c r="J1337" s="18"/>
      <c r="K1337" s="18"/>
      <c r="L1337" s="18"/>
      <c r="M1337" s="18"/>
    </row>
    <row r="1338" spans="3:13">
      <c r="C1338" t="s">
        <v>119</v>
      </c>
      <c r="D1338">
        <v>2025</v>
      </c>
      <c r="E1338" t="s">
        <v>142</v>
      </c>
      <c r="F1338">
        <v>506.98</v>
      </c>
      <c r="J1338" s="18"/>
      <c r="K1338" s="18"/>
      <c r="L1338" s="18"/>
      <c r="M1338" s="18"/>
    </row>
    <row r="1339" spans="3:13">
      <c r="C1339" t="s">
        <v>119</v>
      </c>
      <c r="D1339">
        <v>2025</v>
      </c>
      <c r="E1339" t="s">
        <v>143</v>
      </c>
      <c r="F1339">
        <v>469.5</v>
      </c>
      <c r="J1339" s="18"/>
      <c r="K1339" s="18"/>
      <c r="L1339" s="18"/>
      <c r="M1339" s="18"/>
    </row>
    <row r="1340" spans="3:13">
      <c r="C1340" t="s">
        <v>119</v>
      </c>
      <c r="D1340">
        <v>2025</v>
      </c>
      <c r="E1340" t="s">
        <v>144</v>
      </c>
      <c r="F1340">
        <v>1.01</v>
      </c>
      <c r="J1340" s="18"/>
      <c r="K1340" s="18"/>
      <c r="L1340" s="18"/>
      <c r="M1340" s="18"/>
    </row>
    <row r="1341" spans="3:13">
      <c r="C1341" t="s">
        <v>119</v>
      </c>
      <c r="D1341">
        <v>2026</v>
      </c>
      <c r="E1341" t="s">
        <v>141</v>
      </c>
      <c r="F1341">
        <v>396.81</v>
      </c>
      <c r="J1341" s="18"/>
      <c r="K1341" s="18"/>
      <c r="L1341" s="18"/>
      <c r="M1341" s="18"/>
    </row>
    <row r="1342" spans="3:13">
      <c r="C1342" t="s">
        <v>119</v>
      </c>
      <c r="D1342">
        <v>2026</v>
      </c>
      <c r="E1342" t="s">
        <v>142</v>
      </c>
      <c r="F1342">
        <v>510.25</v>
      </c>
      <c r="J1342" s="18"/>
      <c r="K1342" s="18"/>
      <c r="L1342" s="18"/>
      <c r="M1342" s="18"/>
    </row>
    <row r="1343" spans="3:13">
      <c r="C1343" t="s">
        <v>119</v>
      </c>
      <c r="D1343">
        <v>2026</v>
      </c>
      <c r="E1343" t="s">
        <v>143</v>
      </c>
      <c r="F1343">
        <v>474.13</v>
      </c>
      <c r="J1343" s="18"/>
      <c r="K1343" s="18"/>
      <c r="L1343" s="18"/>
      <c r="M1343" s="18"/>
    </row>
    <row r="1344" spans="3:13">
      <c r="C1344" t="s">
        <v>119</v>
      </c>
      <c r="D1344">
        <v>2026</v>
      </c>
      <c r="E1344" t="s">
        <v>144</v>
      </c>
      <c r="F1344">
        <v>0.98</v>
      </c>
      <c r="J1344" s="18"/>
      <c r="K1344" s="18"/>
      <c r="L1344" s="18"/>
      <c r="M1344" s="18"/>
    </row>
    <row r="1345" spans="3:13">
      <c r="C1345" t="s">
        <v>119</v>
      </c>
      <c r="D1345">
        <v>2027</v>
      </c>
      <c r="E1345" t="s">
        <v>141</v>
      </c>
      <c r="F1345">
        <v>412.57</v>
      </c>
      <c r="J1345" s="18"/>
      <c r="K1345" s="18"/>
      <c r="L1345" s="18"/>
      <c r="M1345" s="18"/>
    </row>
    <row r="1346" spans="3:13">
      <c r="C1346" t="s">
        <v>119</v>
      </c>
      <c r="D1346">
        <v>2027</v>
      </c>
      <c r="E1346" t="s">
        <v>142</v>
      </c>
      <c r="F1346">
        <v>520.13</v>
      </c>
      <c r="J1346" s="18"/>
      <c r="K1346" s="18"/>
      <c r="L1346" s="18"/>
      <c r="M1346" s="18"/>
    </row>
    <row r="1347" spans="3:13">
      <c r="C1347" t="s">
        <v>119</v>
      </c>
      <c r="D1347">
        <v>2027</v>
      </c>
      <c r="E1347" t="s">
        <v>143</v>
      </c>
      <c r="F1347">
        <v>479.84</v>
      </c>
      <c r="J1347" s="18"/>
      <c r="K1347" s="18"/>
      <c r="L1347" s="18"/>
      <c r="M1347" s="18"/>
    </row>
    <row r="1348" spans="3:13">
      <c r="C1348" t="s">
        <v>119</v>
      </c>
      <c r="D1348">
        <v>2027</v>
      </c>
      <c r="E1348" t="s">
        <v>144</v>
      </c>
      <c r="F1348">
        <v>0.93</v>
      </c>
      <c r="J1348" s="18"/>
      <c r="K1348" s="18"/>
      <c r="L1348" s="18"/>
      <c r="M1348" s="18"/>
    </row>
    <row r="1349" spans="3:13">
      <c r="C1349" t="s">
        <v>119</v>
      </c>
      <c r="D1349">
        <v>2028</v>
      </c>
      <c r="E1349" t="s">
        <v>141</v>
      </c>
      <c r="F1349">
        <v>428.05</v>
      </c>
      <c r="J1349" s="18"/>
      <c r="K1349" s="18"/>
      <c r="L1349" s="18"/>
      <c r="M1349" s="18"/>
    </row>
    <row r="1350" spans="3:13">
      <c r="C1350" t="s">
        <v>119</v>
      </c>
      <c r="D1350">
        <v>2028</v>
      </c>
      <c r="E1350" t="s">
        <v>142</v>
      </c>
      <c r="F1350">
        <v>523.96</v>
      </c>
      <c r="J1350" s="18"/>
      <c r="K1350" s="18"/>
      <c r="L1350" s="18"/>
      <c r="M1350" s="18"/>
    </row>
    <row r="1351" spans="3:13">
      <c r="C1351" t="s">
        <v>119</v>
      </c>
      <c r="D1351">
        <v>2028</v>
      </c>
      <c r="E1351" t="s">
        <v>143</v>
      </c>
      <c r="F1351">
        <v>486.15</v>
      </c>
      <c r="J1351" s="18"/>
      <c r="K1351" s="18"/>
      <c r="L1351" s="18"/>
      <c r="M1351" s="18"/>
    </row>
    <row r="1352" spans="3:13">
      <c r="C1352" t="s">
        <v>119</v>
      </c>
      <c r="D1352">
        <v>2028</v>
      </c>
      <c r="E1352" t="s">
        <v>144</v>
      </c>
      <c r="F1352">
        <v>0.88</v>
      </c>
      <c r="J1352" s="18"/>
      <c r="K1352" s="18"/>
      <c r="L1352" s="18"/>
      <c r="M1352" s="18"/>
    </row>
    <row r="1353" spans="3:13">
      <c r="C1353" t="s">
        <v>119</v>
      </c>
      <c r="D1353">
        <v>2029</v>
      </c>
      <c r="E1353" t="s">
        <v>141</v>
      </c>
      <c r="F1353">
        <v>443.16</v>
      </c>
      <c r="J1353" s="18"/>
      <c r="K1353" s="18"/>
      <c r="L1353" s="18"/>
      <c r="M1353" s="18"/>
    </row>
    <row r="1354" spans="3:13">
      <c r="C1354" t="s">
        <v>119</v>
      </c>
      <c r="D1354">
        <v>2029</v>
      </c>
      <c r="E1354" t="s">
        <v>142</v>
      </c>
      <c r="F1354">
        <v>535.22</v>
      </c>
      <c r="J1354" s="18"/>
      <c r="K1354" s="18"/>
      <c r="L1354" s="18"/>
      <c r="M1354" s="18"/>
    </row>
    <row r="1355" spans="3:13">
      <c r="C1355" t="s">
        <v>119</v>
      </c>
      <c r="D1355">
        <v>2029</v>
      </c>
      <c r="E1355" t="s">
        <v>143</v>
      </c>
      <c r="F1355">
        <v>493.12</v>
      </c>
      <c r="J1355" s="18"/>
      <c r="K1355" s="18"/>
      <c r="L1355" s="18"/>
      <c r="M1355" s="18"/>
    </row>
    <row r="1356" spans="3:13">
      <c r="C1356" t="s">
        <v>119</v>
      </c>
      <c r="D1356">
        <v>2029</v>
      </c>
      <c r="E1356" t="s">
        <v>144</v>
      </c>
      <c r="F1356">
        <v>0.83</v>
      </c>
      <c r="J1356" s="18"/>
      <c r="K1356" s="18"/>
      <c r="L1356" s="18"/>
      <c r="M1356" s="18"/>
    </row>
    <row r="1357" spans="3:13">
      <c r="C1357" t="s">
        <v>119</v>
      </c>
      <c r="D1357">
        <v>2030</v>
      </c>
      <c r="E1357" t="s">
        <v>141</v>
      </c>
      <c r="F1357">
        <v>457.86</v>
      </c>
      <c r="J1357" s="18"/>
      <c r="K1357" s="18"/>
      <c r="L1357" s="18"/>
      <c r="M1357" s="18"/>
    </row>
    <row r="1358" spans="3:13">
      <c r="C1358" t="s">
        <v>119</v>
      </c>
      <c r="D1358">
        <v>2030</v>
      </c>
      <c r="E1358" t="s">
        <v>142</v>
      </c>
      <c r="F1358">
        <v>545.03</v>
      </c>
      <c r="J1358" s="18"/>
      <c r="K1358" s="18"/>
      <c r="L1358" s="18"/>
      <c r="M1358" s="18"/>
    </row>
    <row r="1359" spans="3:13">
      <c r="C1359" t="s">
        <v>119</v>
      </c>
      <c r="D1359">
        <v>2030</v>
      </c>
      <c r="E1359" t="s">
        <v>143</v>
      </c>
      <c r="F1359">
        <v>500.34</v>
      </c>
      <c r="J1359" s="18"/>
      <c r="K1359" s="18"/>
      <c r="L1359" s="18"/>
      <c r="M1359" s="18"/>
    </row>
    <row r="1360" spans="3:13">
      <c r="C1360" t="s">
        <v>119</v>
      </c>
      <c r="D1360">
        <v>2030</v>
      </c>
      <c r="E1360" t="s">
        <v>144</v>
      </c>
      <c r="F1360">
        <v>0.77</v>
      </c>
      <c r="J1360" s="18"/>
      <c r="K1360" s="18"/>
      <c r="L1360" s="18"/>
      <c r="M1360" s="18"/>
    </row>
    <row r="1361" spans="3:13">
      <c r="C1361" t="s">
        <v>119</v>
      </c>
      <c r="D1361">
        <v>2031</v>
      </c>
      <c r="E1361" t="s">
        <v>141</v>
      </c>
      <c r="F1361">
        <v>466.71</v>
      </c>
      <c r="J1361" s="18"/>
      <c r="K1361" s="18"/>
      <c r="L1361" s="18"/>
      <c r="M1361" s="18"/>
    </row>
    <row r="1362" spans="3:13">
      <c r="C1362" t="s">
        <v>119</v>
      </c>
      <c r="D1362">
        <v>2031</v>
      </c>
      <c r="E1362" t="s">
        <v>142</v>
      </c>
      <c r="F1362">
        <v>555.36</v>
      </c>
      <c r="J1362" s="18"/>
      <c r="K1362" s="18"/>
      <c r="L1362" s="18"/>
      <c r="M1362" s="18"/>
    </row>
    <row r="1363" spans="3:13">
      <c r="C1363" t="s">
        <v>119</v>
      </c>
      <c r="D1363">
        <v>2031</v>
      </c>
      <c r="E1363" t="s">
        <v>143</v>
      </c>
      <c r="F1363">
        <v>504.66</v>
      </c>
      <c r="J1363" s="18"/>
      <c r="K1363" s="18"/>
      <c r="L1363" s="18"/>
      <c r="M1363" s="18"/>
    </row>
    <row r="1364" spans="3:13">
      <c r="C1364" t="s">
        <v>119</v>
      </c>
      <c r="D1364">
        <v>2031</v>
      </c>
      <c r="E1364" t="s">
        <v>144</v>
      </c>
      <c r="F1364">
        <v>0.73</v>
      </c>
      <c r="J1364" s="18"/>
      <c r="K1364" s="18"/>
      <c r="L1364" s="18"/>
      <c r="M1364" s="18"/>
    </row>
    <row r="1365" spans="3:13">
      <c r="C1365" t="s">
        <v>119</v>
      </c>
      <c r="D1365">
        <v>2032</v>
      </c>
      <c r="E1365" t="s">
        <v>141</v>
      </c>
      <c r="F1365">
        <v>475.67</v>
      </c>
      <c r="J1365" s="18"/>
      <c r="K1365" s="18"/>
      <c r="L1365" s="18"/>
      <c r="M1365" s="18"/>
    </row>
    <row r="1366" spans="3:13">
      <c r="C1366" t="s">
        <v>119</v>
      </c>
      <c r="D1366">
        <v>2032</v>
      </c>
      <c r="E1366" t="s">
        <v>142</v>
      </c>
      <c r="F1366">
        <v>557.67999999999995</v>
      </c>
      <c r="J1366" s="18"/>
      <c r="K1366" s="18"/>
      <c r="L1366" s="18"/>
      <c r="M1366" s="18"/>
    </row>
    <row r="1367" spans="3:13">
      <c r="C1367" t="s">
        <v>119</v>
      </c>
      <c r="D1367">
        <v>2032</v>
      </c>
      <c r="E1367" t="s">
        <v>143</v>
      </c>
      <c r="F1367">
        <v>509.04</v>
      </c>
      <c r="J1367" s="18"/>
      <c r="K1367" s="18"/>
      <c r="L1367" s="18"/>
      <c r="M1367" s="18"/>
    </row>
    <row r="1368" spans="3:13">
      <c r="C1368" t="s">
        <v>119</v>
      </c>
      <c r="D1368">
        <v>2032</v>
      </c>
      <c r="E1368" t="s">
        <v>144</v>
      </c>
      <c r="F1368">
        <v>0.69</v>
      </c>
      <c r="J1368" s="18"/>
      <c r="K1368" s="18"/>
      <c r="L1368" s="18"/>
      <c r="M1368" s="18"/>
    </row>
    <row r="1369" spans="3:13">
      <c r="C1369" t="s">
        <v>119</v>
      </c>
      <c r="D1369">
        <v>2033</v>
      </c>
      <c r="E1369" t="s">
        <v>141</v>
      </c>
      <c r="F1369">
        <v>484.78</v>
      </c>
      <c r="J1369" s="18"/>
      <c r="K1369" s="18"/>
      <c r="L1369" s="18"/>
      <c r="M1369" s="18"/>
    </row>
    <row r="1370" spans="3:13">
      <c r="C1370" t="s">
        <v>119</v>
      </c>
      <c r="D1370">
        <v>2033</v>
      </c>
      <c r="E1370" t="s">
        <v>142</v>
      </c>
      <c r="F1370">
        <v>575.57000000000005</v>
      </c>
      <c r="J1370" s="18"/>
      <c r="K1370" s="18"/>
      <c r="L1370" s="18"/>
      <c r="M1370" s="18"/>
    </row>
    <row r="1371" spans="3:13">
      <c r="C1371" t="s">
        <v>119</v>
      </c>
      <c r="D1371">
        <v>2033</v>
      </c>
      <c r="E1371" t="s">
        <v>143</v>
      </c>
      <c r="F1371">
        <v>513.55999999999995</v>
      </c>
      <c r="J1371" s="18"/>
      <c r="K1371" s="18"/>
      <c r="L1371" s="18"/>
      <c r="M1371" s="18"/>
    </row>
    <row r="1372" spans="3:13">
      <c r="C1372" t="s">
        <v>119</v>
      </c>
      <c r="D1372">
        <v>2033</v>
      </c>
      <c r="E1372" t="s">
        <v>144</v>
      </c>
      <c r="F1372">
        <v>0.65</v>
      </c>
      <c r="J1372" s="18"/>
      <c r="K1372" s="18"/>
      <c r="L1372" s="18"/>
      <c r="M1372" s="18"/>
    </row>
    <row r="1373" spans="3:13">
      <c r="C1373" t="s">
        <v>119</v>
      </c>
      <c r="D1373">
        <v>2034</v>
      </c>
      <c r="E1373" t="s">
        <v>141</v>
      </c>
      <c r="F1373">
        <v>494.08</v>
      </c>
      <c r="J1373" s="18"/>
      <c r="K1373" s="18"/>
      <c r="L1373" s="18"/>
      <c r="M1373" s="18"/>
    </row>
    <row r="1374" spans="3:13">
      <c r="C1374" t="s">
        <v>119</v>
      </c>
      <c r="D1374">
        <v>2034</v>
      </c>
      <c r="E1374" t="s">
        <v>142</v>
      </c>
      <c r="F1374">
        <v>575.82000000000005</v>
      </c>
      <c r="J1374" s="18"/>
      <c r="K1374" s="18"/>
      <c r="L1374" s="18"/>
      <c r="M1374" s="18"/>
    </row>
    <row r="1375" spans="3:13">
      <c r="C1375" t="s">
        <v>119</v>
      </c>
      <c r="D1375">
        <v>2034</v>
      </c>
      <c r="E1375" t="s">
        <v>143</v>
      </c>
      <c r="F1375">
        <v>518.12</v>
      </c>
      <c r="J1375" s="18"/>
      <c r="K1375" s="18"/>
      <c r="L1375" s="18"/>
      <c r="M1375" s="18"/>
    </row>
    <row r="1376" spans="3:13">
      <c r="C1376" t="s">
        <v>119</v>
      </c>
      <c r="D1376">
        <v>2034</v>
      </c>
      <c r="E1376" t="s">
        <v>144</v>
      </c>
      <c r="F1376">
        <v>0.61</v>
      </c>
      <c r="J1376" s="18"/>
      <c r="K1376" s="18"/>
      <c r="L1376" s="18"/>
      <c r="M1376" s="18"/>
    </row>
    <row r="1377" spans="3:13">
      <c r="C1377" t="s">
        <v>119</v>
      </c>
      <c r="D1377">
        <v>2035</v>
      </c>
      <c r="E1377" t="s">
        <v>141</v>
      </c>
      <c r="F1377">
        <v>503.55</v>
      </c>
      <c r="J1377" s="18"/>
      <c r="K1377" s="18"/>
      <c r="L1377" s="18"/>
      <c r="M1377" s="18"/>
    </row>
    <row r="1378" spans="3:13">
      <c r="C1378" t="s">
        <v>119</v>
      </c>
      <c r="D1378">
        <v>2035</v>
      </c>
      <c r="E1378" t="s">
        <v>142</v>
      </c>
      <c r="F1378">
        <v>585.58000000000004</v>
      </c>
      <c r="J1378" s="18"/>
      <c r="K1378" s="18"/>
      <c r="L1378" s="18"/>
      <c r="M1378" s="18"/>
    </row>
    <row r="1379" spans="3:13">
      <c r="C1379" t="s">
        <v>119</v>
      </c>
      <c r="D1379">
        <v>2035</v>
      </c>
      <c r="E1379" t="s">
        <v>143</v>
      </c>
      <c r="F1379">
        <v>522.76</v>
      </c>
      <c r="J1379" s="18"/>
      <c r="K1379" s="18"/>
      <c r="L1379" s="18"/>
      <c r="M1379" s="18"/>
    </row>
    <row r="1380" spans="3:13">
      <c r="C1380" t="s">
        <v>119</v>
      </c>
      <c r="D1380">
        <v>2035</v>
      </c>
      <c r="E1380" t="s">
        <v>144</v>
      </c>
      <c r="F1380">
        <v>0.56999999999999995</v>
      </c>
      <c r="J1380" s="18"/>
      <c r="K1380" s="18"/>
      <c r="L1380" s="18"/>
      <c r="M1380" s="18"/>
    </row>
    <row r="1381" spans="3:13">
      <c r="C1381" t="s">
        <v>119</v>
      </c>
      <c r="D1381">
        <v>2036</v>
      </c>
      <c r="E1381" t="s">
        <v>141</v>
      </c>
      <c r="F1381">
        <v>514.6</v>
      </c>
      <c r="J1381" s="18"/>
      <c r="K1381" s="18"/>
      <c r="L1381" s="18"/>
      <c r="M1381" s="18"/>
    </row>
    <row r="1382" spans="3:13">
      <c r="C1382" t="s">
        <v>119</v>
      </c>
      <c r="D1382">
        <v>2036</v>
      </c>
      <c r="E1382" t="s">
        <v>142</v>
      </c>
      <c r="F1382">
        <v>597.27</v>
      </c>
      <c r="J1382" s="18"/>
      <c r="K1382" s="18"/>
      <c r="L1382" s="18"/>
      <c r="M1382" s="18"/>
    </row>
    <row r="1383" spans="3:13">
      <c r="C1383" t="s">
        <v>119</v>
      </c>
      <c r="D1383">
        <v>2036</v>
      </c>
      <c r="E1383" t="s">
        <v>143</v>
      </c>
      <c r="F1383">
        <v>528.34</v>
      </c>
      <c r="J1383" s="18"/>
      <c r="K1383" s="18"/>
      <c r="L1383" s="18"/>
      <c r="M1383" s="18"/>
    </row>
    <row r="1384" spans="3:13">
      <c r="C1384" t="s">
        <v>119</v>
      </c>
      <c r="D1384">
        <v>2036</v>
      </c>
      <c r="E1384" t="s">
        <v>144</v>
      </c>
      <c r="F1384">
        <v>0.54</v>
      </c>
      <c r="J1384" s="18"/>
      <c r="K1384" s="18"/>
      <c r="L1384" s="18"/>
      <c r="M1384" s="18"/>
    </row>
    <row r="1385" spans="3:13">
      <c r="C1385" t="s">
        <v>119</v>
      </c>
      <c r="D1385">
        <v>2037</v>
      </c>
      <c r="E1385" t="s">
        <v>141</v>
      </c>
      <c r="F1385">
        <v>525.92999999999995</v>
      </c>
      <c r="J1385" s="18"/>
      <c r="K1385" s="18"/>
      <c r="L1385" s="18"/>
      <c r="M1385" s="18"/>
    </row>
    <row r="1386" spans="3:13">
      <c r="C1386" t="s">
        <v>119</v>
      </c>
      <c r="D1386">
        <v>2037</v>
      </c>
      <c r="E1386" t="s">
        <v>142</v>
      </c>
      <c r="F1386">
        <v>610.05999999999995</v>
      </c>
      <c r="J1386" s="18"/>
      <c r="K1386" s="18"/>
      <c r="L1386" s="18"/>
      <c r="M1386" s="18"/>
    </row>
    <row r="1387" spans="3:13">
      <c r="C1387" t="s">
        <v>119</v>
      </c>
      <c r="D1387">
        <v>2037</v>
      </c>
      <c r="E1387" t="s">
        <v>143</v>
      </c>
      <c r="F1387">
        <v>534.01</v>
      </c>
      <c r="J1387" s="18"/>
      <c r="K1387" s="18"/>
      <c r="L1387" s="18"/>
      <c r="M1387" s="18"/>
    </row>
    <row r="1388" spans="3:13">
      <c r="C1388" t="s">
        <v>119</v>
      </c>
      <c r="D1388">
        <v>2037</v>
      </c>
      <c r="E1388" t="s">
        <v>144</v>
      </c>
      <c r="F1388">
        <v>0.51</v>
      </c>
      <c r="J1388" s="18"/>
      <c r="K1388" s="18"/>
      <c r="L1388" s="18"/>
      <c r="M1388" s="18"/>
    </row>
    <row r="1389" spans="3:13">
      <c r="C1389" t="s">
        <v>119</v>
      </c>
      <c r="D1389">
        <v>2038</v>
      </c>
      <c r="E1389" t="s">
        <v>141</v>
      </c>
      <c r="F1389">
        <v>537.64</v>
      </c>
      <c r="J1389" s="18"/>
      <c r="K1389" s="18"/>
      <c r="L1389" s="18"/>
      <c r="M1389" s="18"/>
    </row>
    <row r="1390" spans="3:13">
      <c r="C1390" t="s">
        <v>119</v>
      </c>
      <c r="D1390">
        <v>2038</v>
      </c>
      <c r="E1390" t="s">
        <v>142</v>
      </c>
      <c r="F1390">
        <v>617.70000000000005</v>
      </c>
      <c r="J1390" s="18"/>
      <c r="K1390" s="18"/>
      <c r="L1390" s="18"/>
      <c r="M1390" s="18"/>
    </row>
    <row r="1391" spans="3:13">
      <c r="C1391" t="s">
        <v>119</v>
      </c>
      <c r="D1391">
        <v>2038</v>
      </c>
      <c r="E1391" t="s">
        <v>143</v>
      </c>
      <c r="F1391">
        <v>539.83000000000004</v>
      </c>
      <c r="J1391" s="18"/>
      <c r="K1391" s="18"/>
      <c r="L1391" s="18"/>
      <c r="M1391" s="18"/>
    </row>
    <row r="1392" spans="3:13">
      <c r="C1392" t="s">
        <v>119</v>
      </c>
      <c r="D1392">
        <v>2038</v>
      </c>
      <c r="E1392" t="s">
        <v>144</v>
      </c>
      <c r="F1392">
        <v>0.48</v>
      </c>
      <c r="J1392" s="18"/>
      <c r="K1392" s="18"/>
      <c r="L1392" s="18"/>
      <c r="M1392" s="18"/>
    </row>
    <row r="1393" spans="3:13">
      <c r="C1393" t="s">
        <v>119</v>
      </c>
      <c r="D1393">
        <v>2039</v>
      </c>
      <c r="E1393" t="s">
        <v>141</v>
      </c>
      <c r="F1393">
        <v>549.74</v>
      </c>
      <c r="J1393" s="18"/>
      <c r="K1393" s="18"/>
      <c r="L1393" s="18"/>
      <c r="M1393" s="18"/>
    </row>
    <row r="1394" spans="3:13">
      <c r="C1394" t="s">
        <v>119</v>
      </c>
      <c r="D1394">
        <v>2039</v>
      </c>
      <c r="E1394" t="s">
        <v>142</v>
      </c>
      <c r="F1394">
        <v>631.45000000000005</v>
      </c>
      <c r="J1394" s="18"/>
      <c r="K1394" s="18"/>
      <c r="L1394" s="18"/>
      <c r="M1394" s="18"/>
    </row>
    <row r="1395" spans="3:13">
      <c r="C1395" t="s">
        <v>119</v>
      </c>
      <c r="D1395">
        <v>2039</v>
      </c>
      <c r="E1395" t="s">
        <v>143</v>
      </c>
      <c r="F1395">
        <v>545.86</v>
      </c>
      <c r="J1395" s="18"/>
      <c r="K1395" s="18"/>
      <c r="L1395" s="18"/>
      <c r="M1395" s="18"/>
    </row>
    <row r="1396" spans="3:13">
      <c r="C1396" t="s">
        <v>119</v>
      </c>
      <c r="D1396">
        <v>2039</v>
      </c>
      <c r="E1396" t="s">
        <v>144</v>
      </c>
      <c r="F1396">
        <v>0.46</v>
      </c>
      <c r="J1396" s="18"/>
      <c r="K1396" s="18"/>
      <c r="L1396" s="18"/>
      <c r="M1396" s="18"/>
    </row>
    <row r="1397" spans="3:13">
      <c r="C1397" t="s">
        <v>119</v>
      </c>
      <c r="D1397">
        <v>2040</v>
      </c>
      <c r="E1397" t="s">
        <v>141</v>
      </c>
      <c r="F1397">
        <v>562.25</v>
      </c>
      <c r="J1397" s="18"/>
      <c r="K1397" s="18"/>
      <c r="L1397" s="18"/>
      <c r="M1397" s="18"/>
    </row>
    <row r="1398" spans="3:13">
      <c r="C1398" t="s">
        <v>119</v>
      </c>
      <c r="D1398">
        <v>2040</v>
      </c>
      <c r="E1398" t="s">
        <v>142</v>
      </c>
      <c r="F1398">
        <v>640.19000000000005</v>
      </c>
      <c r="J1398" s="18"/>
      <c r="K1398" s="18"/>
      <c r="L1398" s="18"/>
      <c r="M1398" s="18"/>
    </row>
    <row r="1399" spans="3:13">
      <c r="C1399" t="s">
        <v>119</v>
      </c>
      <c r="D1399">
        <v>2040</v>
      </c>
      <c r="E1399" t="s">
        <v>143</v>
      </c>
      <c r="F1399">
        <v>551.99</v>
      </c>
      <c r="J1399" s="18"/>
      <c r="K1399" s="18"/>
      <c r="L1399" s="18"/>
      <c r="M1399" s="18"/>
    </row>
    <row r="1400" spans="3:13">
      <c r="C1400" t="s">
        <v>119</v>
      </c>
      <c r="D1400">
        <v>2040</v>
      </c>
      <c r="E1400" t="s">
        <v>144</v>
      </c>
      <c r="F1400">
        <v>0.44</v>
      </c>
      <c r="J1400" s="18"/>
      <c r="K1400" s="18"/>
      <c r="L1400" s="18"/>
      <c r="M1400" s="18"/>
    </row>
    <row r="1401" spans="3:13">
      <c r="C1401" t="s">
        <v>119</v>
      </c>
      <c r="D1401">
        <v>2041</v>
      </c>
      <c r="E1401" t="s">
        <v>141</v>
      </c>
      <c r="F1401">
        <v>575.51</v>
      </c>
      <c r="J1401" s="18"/>
      <c r="K1401" s="18"/>
      <c r="L1401" s="18"/>
      <c r="M1401" s="18"/>
    </row>
    <row r="1402" spans="3:13">
      <c r="C1402" t="s">
        <v>119</v>
      </c>
      <c r="D1402">
        <v>2041</v>
      </c>
      <c r="E1402" t="s">
        <v>142</v>
      </c>
      <c r="F1402">
        <v>656.78</v>
      </c>
      <c r="J1402" s="18"/>
      <c r="K1402" s="18"/>
      <c r="L1402" s="18"/>
      <c r="M1402" s="18"/>
    </row>
    <row r="1403" spans="3:13">
      <c r="C1403" t="s">
        <v>119</v>
      </c>
      <c r="D1403">
        <v>2041</v>
      </c>
      <c r="E1403" t="s">
        <v>143</v>
      </c>
      <c r="F1403">
        <v>558.78</v>
      </c>
      <c r="J1403" s="18"/>
      <c r="K1403" s="18"/>
      <c r="L1403" s="18"/>
      <c r="M1403" s="18"/>
    </row>
    <row r="1404" spans="3:13">
      <c r="C1404" t="s">
        <v>119</v>
      </c>
      <c r="D1404">
        <v>2041</v>
      </c>
      <c r="E1404" t="s">
        <v>144</v>
      </c>
      <c r="F1404">
        <v>0.41</v>
      </c>
      <c r="J1404" s="18"/>
      <c r="K1404" s="18"/>
      <c r="L1404" s="18"/>
      <c r="M1404" s="18"/>
    </row>
    <row r="1405" spans="3:13">
      <c r="C1405" t="s">
        <v>119</v>
      </c>
      <c r="D1405">
        <v>2042</v>
      </c>
      <c r="E1405" t="s">
        <v>141</v>
      </c>
      <c r="F1405">
        <v>589.29</v>
      </c>
      <c r="J1405" s="18"/>
      <c r="K1405" s="18"/>
      <c r="L1405" s="18"/>
      <c r="M1405" s="18"/>
    </row>
    <row r="1406" spans="3:13">
      <c r="C1406" t="s">
        <v>119</v>
      </c>
      <c r="D1406">
        <v>2042</v>
      </c>
      <c r="E1406" t="s">
        <v>142</v>
      </c>
      <c r="F1406">
        <v>668.47</v>
      </c>
      <c r="J1406" s="18"/>
      <c r="K1406" s="18"/>
      <c r="L1406" s="18"/>
      <c r="M1406" s="18"/>
    </row>
    <row r="1407" spans="3:13">
      <c r="C1407" t="s">
        <v>119</v>
      </c>
      <c r="D1407">
        <v>2042</v>
      </c>
      <c r="E1407" t="s">
        <v>143</v>
      </c>
      <c r="F1407">
        <v>565.79999999999995</v>
      </c>
      <c r="J1407" s="18"/>
      <c r="K1407" s="18"/>
      <c r="L1407" s="18"/>
      <c r="M1407" s="18"/>
    </row>
    <row r="1408" spans="3:13">
      <c r="C1408" t="s">
        <v>119</v>
      </c>
      <c r="D1408">
        <v>2042</v>
      </c>
      <c r="E1408" t="s">
        <v>144</v>
      </c>
      <c r="F1408">
        <v>0.39</v>
      </c>
      <c r="J1408" s="18"/>
      <c r="K1408" s="18"/>
      <c r="L1408" s="18"/>
      <c r="M1408" s="18"/>
    </row>
    <row r="1409" spans="3:13">
      <c r="C1409" t="s">
        <v>119</v>
      </c>
      <c r="D1409">
        <v>2043</v>
      </c>
      <c r="E1409" t="s">
        <v>141</v>
      </c>
      <c r="F1409">
        <v>603.61</v>
      </c>
      <c r="J1409" s="18"/>
      <c r="K1409" s="18"/>
      <c r="L1409" s="18"/>
      <c r="M1409" s="18"/>
    </row>
    <row r="1410" spans="3:13">
      <c r="C1410" t="s">
        <v>119</v>
      </c>
      <c r="D1410">
        <v>2043</v>
      </c>
      <c r="E1410" t="s">
        <v>142</v>
      </c>
      <c r="F1410">
        <v>683.84</v>
      </c>
      <c r="J1410" s="18"/>
      <c r="K1410" s="18"/>
      <c r="L1410" s="18"/>
      <c r="M1410" s="18"/>
    </row>
    <row r="1411" spans="3:13">
      <c r="C1411" t="s">
        <v>119</v>
      </c>
      <c r="D1411">
        <v>2043</v>
      </c>
      <c r="E1411" t="s">
        <v>143</v>
      </c>
      <c r="F1411">
        <v>572.99</v>
      </c>
      <c r="J1411" s="18"/>
      <c r="K1411" s="18"/>
      <c r="L1411" s="18"/>
      <c r="M1411" s="18"/>
    </row>
    <row r="1412" spans="3:13">
      <c r="C1412" t="s">
        <v>119</v>
      </c>
      <c r="D1412">
        <v>2043</v>
      </c>
      <c r="E1412" t="s">
        <v>144</v>
      </c>
      <c r="F1412">
        <v>0.37</v>
      </c>
      <c r="J1412" s="18"/>
      <c r="K1412" s="18"/>
      <c r="L1412" s="18"/>
      <c r="M1412" s="18"/>
    </row>
    <row r="1413" spans="3:13">
      <c r="C1413" t="s">
        <v>119</v>
      </c>
      <c r="D1413">
        <v>2044</v>
      </c>
      <c r="E1413" t="s">
        <v>141</v>
      </c>
      <c r="F1413">
        <v>618.4</v>
      </c>
      <c r="J1413" s="18"/>
      <c r="K1413" s="18"/>
      <c r="L1413" s="18"/>
      <c r="M1413" s="18"/>
    </row>
    <row r="1414" spans="3:13">
      <c r="C1414" t="s">
        <v>119</v>
      </c>
      <c r="D1414">
        <v>2044</v>
      </c>
      <c r="E1414" t="s">
        <v>142</v>
      </c>
      <c r="F1414">
        <v>703.89</v>
      </c>
      <c r="J1414" s="18"/>
      <c r="K1414" s="18"/>
      <c r="L1414" s="18"/>
      <c r="M1414" s="18"/>
    </row>
    <row r="1415" spans="3:13">
      <c r="C1415" t="s">
        <v>119</v>
      </c>
      <c r="D1415">
        <v>2044</v>
      </c>
      <c r="E1415" t="s">
        <v>143</v>
      </c>
      <c r="F1415">
        <v>580.34</v>
      </c>
      <c r="J1415" s="18"/>
      <c r="K1415" s="18"/>
      <c r="L1415" s="18"/>
      <c r="M1415" s="18"/>
    </row>
    <row r="1416" spans="3:13">
      <c r="C1416" t="s">
        <v>119</v>
      </c>
      <c r="D1416">
        <v>2044</v>
      </c>
      <c r="E1416" t="s">
        <v>144</v>
      </c>
      <c r="F1416">
        <v>0.35</v>
      </c>
      <c r="J1416" s="18"/>
      <c r="K1416" s="18"/>
      <c r="L1416" s="18"/>
      <c r="M1416" s="18"/>
    </row>
    <row r="1417" spans="3:13">
      <c r="C1417" t="s">
        <v>119</v>
      </c>
      <c r="D1417">
        <v>2045</v>
      </c>
      <c r="E1417" t="s">
        <v>141</v>
      </c>
      <c r="F1417">
        <v>633.70000000000005</v>
      </c>
      <c r="J1417" s="18"/>
      <c r="K1417" s="18"/>
      <c r="L1417" s="18"/>
      <c r="M1417" s="18"/>
    </row>
    <row r="1418" spans="3:13">
      <c r="C1418" t="s">
        <v>119</v>
      </c>
      <c r="D1418">
        <v>2045</v>
      </c>
      <c r="E1418" t="s">
        <v>142</v>
      </c>
      <c r="F1418">
        <v>710.93</v>
      </c>
      <c r="J1418" s="18"/>
      <c r="K1418" s="18"/>
      <c r="L1418" s="18"/>
      <c r="M1418" s="18"/>
    </row>
    <row r="1419" spans="3:13">
      <c r="C1419" t="s">
        <v>119</v>
      </c>
      <c r="D1419">
        <v>2045</v>
      </c>
      <c r="E1419" t="s">
        <v>143</v>
      </c>
      <c r="F1419">
        <v>587.88</v>
      </c>
      <c r="J1419" s="18"/>
      <c r="K1419" s="18"/>
      <c r="L1419" s="18"/>
      <c r="M1419" s="18"/>
    </row>
    <row r="1420" spans="3:13">
      <c r="C1420" t="s">
        <v>119</v>
      </c>
      <c r="D1420">
        <v>2045</v>
      </c>
      <c r="E1420" t="s">
        <v>144</v>
      </c>
      <c r="F1420">
        <v>0.34</v>
      </c>
      <c r="J1420" s="18"/>
      <c r="K1420" s="18"/>
      <c r="L1420" s="18"/>
      <c r="M1420" s="18"/>
    </row>
    <row r="1421" spans="3:13">
      <c r="C1421" t="s">
        <v>119</v>
      </c>
      <c r="D1421">
        <v>2046</v>
      </c>
      <c r="E1421" t="s">
        <v>141</v>
      </c>
      <c r="F1421">
        <v>647.63</v>
      </c>
      <c r="J1421" s="18"/>
      <c r="K1421" s="18"/>
      <c r="L1421" s="18"/>
      <c r="M1421" s="18"/>
    </row>
    <row r="1422" spans="3:13">
      <c r="C1422" t="s">
        <v>119</v>
      </c>
      <c r="D1422">
        <v>2046</v>
      </c>
      <c r="E1422" t="s">
        <v>142</v>
      </c>
      <c r="F1422">
        <v>731.59</v>
      </c>
      <c r="J1422" s="18"/>
      <c r="K1422" s="18"/>
      <c r="L1422" s="18"/>
      <c r="M1422" s="18"/>
    </row>
    <row r="1423" spans="3:13">
      <c r="C1423" t="s">
        <v>119</v>
      </c>
      <c r="D1423">
        <v>2046</v>
      </c>
      <c r="E1423" t="s">
        <v>143</v>
      </c>
      <c r="F1423">
        <v>595.04</v>
      </c>
      <c r="J1423" s="18"/>
      <c r="K1423" s="18"/>
      <c r="L1423" s="18"/>
      <c r="M1423" s="18"/>
    </row>
    <row r="1424" spans="3:13">
      <c r="C1424" t="s">
        <v>119</v>
      </c>
      <c r="D1424">
        <v>2046</v>
      </c>
      <c r="E1424" t="s">
        <v>144</v>
      </c>
      <c r="F1424">
        <v>0.32</v>
      </c>
      <c r="J1424" s="18"/>
      <c r="K1424" s="18"/>
      <c r="L1424" s="18"/>
      <c r="M1424" s="18"/>
    </row>
    <row r="1425" spans="3:13">
      <c r="C1425" t="s">
        <v>119</v>
      </c>
      <c r="D1425">
        <v>2047</v>
      </c>
      <c r="E1425" t="s">
        <v>141</v>
      </c>
      <c r="F1425">
        <v>661.93</v>
      </c>
      <c r="J1425" s="18"/>
      <c r="K1425" s="18"/>
      <c r="L1425" s="18"/>
      <c r="M1425" s="18"/>
    </row>
    <row r="1426" spans="3:13">
      <c r="C1426" t="s">
        <v>119</v>
      </c>
      <c r="D1426">
        <v>2047</v>
      </c>
      <c r="E1426" t="s">
        <v>142</v>
      </c>
      <c r="F1426">
        <v>741.55</v>
      </c>
      <c r="J1426" s="18"/>
      <c r="K1426" s="18"/>
      <c r="L1426" s="18"/>
      <c r="M1426" s="18"/>
    </row>
    <row r="1427" spans="3:13">
      <c r="C1427" t="s">
        <v>119</v>
      </c>
      <c r="D1427">
        <v>2047</v>
      </c>
      <c r="E1427" t="s">
        <v>143</v>
      </c>
      <c r="F1427">
        <v>602.38</v>
      </c>
      <c r="J1427" s="18"/>
      <c r="K1427" s="18"/>
      <c r="L1427" s="18"/>
      <c r="M1427" s="18"/>
    </row>
    <row r="1428" spans="3:13">
      <c r="C1428" t="s">
        <v>119</v>
      </c>
      <c r="D1428">
        <v>2047</v>
      </c>
      <c r="E1428" t="s">
        <v>144</v>
      </c>
      <c r="F1428">
        <v>0.3</v>
      </c>
      <c r="J1428" s="18"/>
      <c r="K1428" s="18"/>
      <c r="L1428" s="18"/>
      <c r="M1428" s="18"/>
    </row>
    <row r="1429" spans="3:13">
      <c r="C1429" t="s">
        <v>119</v>
      </c>
      <c r="D1429">
        <v>2048</v>
      </c>
      <c r="E1429" t="s">
        <v>141</v>
      </c>
      <c r="F1429">
        <v>676.69</v>
      </c>
      <c r="J1429" s="18"/>
      <c r="K1429" s="18"/>
      <c r="L1429" s="18"/>
      <c r="M1429" s="18"/>
    </row>
    <row r="1430" spans="3:13">
      <c r="C1430" t="s">
        <v>119</v>
      </c>
      <c r="D1430">
        <v>2048</v>
      </c>
      <c r="E1430" t="s">
        <v>142</v>
      </c>
      <c r="F1430">
        <v>759.8</v>
      </c>
      <c r="J1430" s="18"/>
      <c r="K1430" s="18"/>
      <c r="L1430" s="18"/>
      <c r="M1430" s="18"/>
    </row>
    <row r="1431" spans="3:13">
      <c r="C1431" t="s">
        <v>119</v>
      </c>
      <c r="D1431">
        <v>2048</v>
      </c>
      <c r="E1431" t="s">
        <v>143</v>
      </c>
      <c r="F1431">
        <v>609.85</v>
      </c>
      <c r="J1431" s="18"/>
      <c r="K1431" s="18"/>
      <c r="L1431" s="18"/>
      <c r="M1431" s="18"/>
    </row>
    <row r="1432" spans="3:13">
      <c r="C1432" t="s">
        <v>119</v>
      </c>
      <c r="D1432">
        <v>2048</v>
      </c>
      <c r="E1432" t="s">
        <v>144</v>
      </c>
      <c r="F1432">
        <v>0.28999999999999998</v>
      </c>
      <c r="J1432" s="18"/>
      <c r="K1432" s="18"/>
      <c r="L1432" s="18"/>
      <c r="M1432" s="18"/>
    </row>
    <row r="1433" spans="3:13">
      <c r="C1433" t="s">
        <v>119</v>
      </c>
      <c r="D1433">
        <v>2049</v>
      </c>
      <c r="E1433" t="s">
        <v>141</v>
      </c>
      <c r="F1433">
        <v>691.9</v>
      </c>
      <c r="J1433" s="18"/>
      <c r="K1433" s="18"/>
      <c r="L1433" s="18"/>
      <c r="M1433" s="18"/>
    </row>
    <row r="1434" spans="3:13">
      <c r="C1434" t="s">
        <v>119</v>
      </c>
      <c r="D1434">
        <v>2049</v>
      </c>
      <c r="E1434" t="s">
        <v>142</v>
      </c>
      <c r="F1434">
        <v>776.44</v>
      </c>
      <c r="J1434" s="18"/>
      <c r="K1434" s="18"/>
      <c r="L1434" s="18"/>
      <c r="M1434" s="18"/>
    </row>
    <row r="1435" spans="3:13">
      <c r="C1435" t="s">
        <v>119</v>
      </c>
      <c r="D1435">
        <v>2049</v>
      </c>
      <c r="E1435" t="s">
        <v>143</v>
      </c>
      <c r="F1435">
        <v>617.41</v>
      </c>
      <c r="J1435" s="18"/>
      <c r="K1435" s="18"/>
      <c r="L1435" s="18"/>
      <c r="M1435" s="18"/>
    </row>
    <row r="1436" spans="3:13">
      <c r="C1436" t="s">
        <v>119</v>
      </c>
      <c r="D1436">
        <v>2049</v>
      </c>
      <c r="E1436" t="s">
        <v>144</v>
      </c>
      <c r="F1436">
        <v>0.27</v>
      </c>
      <c r="J1436" s="18"/>
      <c r="K1436" s="18"/>
      <c r="L1436" s="18"/>
      <c r="M1436" s="18"/>
    </row>
    <row r="1437" spans="3:13">
      <c r="C1437" t="s">
        <v>119</v>
      </c>
      <c r="D1437">
        <v>2050</v>
      </c>
      <c r="E1437" t="s">
        <v>141</v>
      </c>
      <c r="F1437">
        <v>707.52</v>
      </c>
      <c r="J1437" s="18"/>
      <c r="K1437" s="18"/>
      <c r="L1437" s="18"/>
      <c r="M1437" s="18"/>
    </row>
    <row r="1438" spans="3:13">
      <c r="C1438" t="s">
        <v>119</v>
      </c>
      <c r="D1438">
        <v>2050</v>
      </c>
      <c r="E1438" t="s">
        <v>142</v>
      </c>
      <c r="F1438">
        <v>788.73</v>
      </c>
      <c r="J1438" s="18"/>
      <c r="K1438" s="18"/>
      <c r="L1438" s="18"/>
      <c r="M1438" s="18"/>
    </row>
    <row r="1439" spans="3:13">
      <c r="C1439" t="s">
        <v>119</v>
      </c>
      <c r="D1439">
        <v>2050</v>
      </c>
      <c r="E1439" t="s">
        <v>143</v>
      </c>
      <c r="F1439">
        <v>625.1</v>
      </c>
      <c r="J1439" s="18"/>
      <c r="K1439" s="18"/>
      <c r="L1439" s="18"/>
      <c r="M1439" s="18"/>
    </row>
    <row r="1440" spans="3:13">
      <c r="C1440" t="s">
        <v>119</v>
      </c>
      <c r="D1440">
        <v>2050</v>
      </c>
      <c r="E1440" t="s">
        <v>144</v>
      </c>
      <c r="F1440">
        <v>0.26</v>
      </c>
      <c r="J1440" s="18"/>
      <c r="K1440" s="18"/>
      <c r="L1440" s="18"/>
      <c r="M1440" s="18"/>
    </row>
    <row r="1441" spans="3:13">
      <c r="C1441" t="s">
        <v>120</v>
      </c>
      <c r="D1441">
        <v>2010</v>
      </c>
      <c r="E1441" t="s">
        <v>141</v>
      </c>
      <c r="F1441">
        <v>3256.8</v>
      </c>
      <c r="J1441" s="18"/>
      <c r="K1441" s="18"/>
      <c r="L1441" s="18"/>
      <c r="M1441" s="18"/>
    </row>
    <row r="1442" spans="3:13">
      <c r="C1442" t="s">
        <v>120</v>
      </c>
      <c r="D1442">
        <v>2010</v>
      </c>
      <c r="E1442" t="s">
        <v>142</v>
      </c>
      <c r="F1442">
        <v>4388.3999999999996</v>
      </c>
      <c r="J1442" s="18"/>
      <c r="K1442" s="18"/>
      <c r="L1442" s="18"/>
      <c r="M1442" s="18"/>
    </row>
    <row r="1443" spans="3:13">
      <c r="C1443" t="s">
        <v>120</v>
      </c>
      <c r="D1443">
        <v>2010</v>
      </c>
      <c r="E1443" t="s">
        <v>143</v>
      </c>
      <c r="F1443">
        <v>3312.45</v>
      </c>
      <c r="J1443" s="18"/>
      <c r="K1443" s="18"/>
      <c r="L1443" s="18"/>
      <c r="M1443" s="18"/>
    </row>
    <row r="1444" spans="3:13">
      <c r="C1444" t="s">
        <v>120</v>
      </c>
      <c r="D1444">
        <v>2010</v>
      </c>
      <c r="E1444" t="s">
        <v>144</v>
      </c>
      <c r="F1444">
        <v>221.66</v>
      </c>
      <c r="J1444" s="18"/>
      <c r="K1444" s="18"/>
      <c r="L1444" s="18"/>
      <c r="M1444" s="18"/>
    </row>
    <row r="1445" spans="3:13">
      <c r="C1445" t="s">
        <v>120</v>
      </c>
      <c r="D1445">
        <v>2011</v>
      </c>
      <c r="E1445" t="s">
        <v>141</v>
      </c>
      <c r="F1445">
        <v>3185.89</v>
      </c>
      <c r="J1445" s="18"/>
      <c r="K1445" s="18"/>
      <c r="L1445" s="18"/>
      <c r="M1445" s="18"/>
    </row>
    <row r="1446" spans="3:13">
      <c r="C1446" t="s">
        <v>120</v>
      </c>
      <c r="D1446">
        <v>2011</v>
      </c>
      <c r="E1446" t="s">
        <v>142</v>
      </c>
      <c r="F1446">
        <v>4438.97</v>
      </c>
      <c r="J1446" s="18"/>
      <c r="K1446" s="18"/>
      <c r="L1446" s="18"/>
      <c r="M1446" s="18"/>
    </row>
    <row r="1447" spans="3:13">
      <c r="C1447" t="s">
        <v>120</v>
      </c>
      <c r="D1447">
        <v>2011</v>
      </c>
      <c r="E1447" t="s">
        <v>143</v>
      </c>
      <c r="F1447">
        <v>3191.33</v>
      </c>
      <c r="J1447" s="18"/>
      <c r="K1447" s="18"/>
      <c r="L1447" s="18"/>
      <c r="M1447" s="18"/>
    </row>
    <row r="1448" spans="3:13">
      <c r="C1448" t="s">
        <v>120</v>
      </c>
      <c r="D1448">
        <v>2011</v>
      </c>
      <c r="E1448" t="s">
        <v>144</v>
      </c>
      <c r="F1448">
        <v>228.41</v>
      </c>
      <c r="J1448" s="18"/>
      <c r="K1448" s="18"/>
      <c r="L1448" s="18"/>
      <c r="M1448" s="18"/>
    </row>
    <row r="1449" spans="3:13">
      <c r="C1449" t="s">
        <v>120</v>
      </c>
      <c r="D1449">
        <v>2012</v>
      </c>
      <c r="E1449" t="s">
        <v>141</v>
      </c>
      <c r="F1449">
        <v>3229.5</v>
      </c>
      <c r="J1449" s="18"/>
      <c r="K1449" s="18"/>
      <c r="L1449" s="18"/>
      <c r="M1449" s="18"/>
    </row>
    <row r="1450" spans="3:13">
      <c r="C1450" t="s">
        <v>120</v>
      </c>
      <c r="D1450">
        <v>2012</v>
      </c>
      <c r="E1450" t="s">
        <v>142</v>
      </c>
      <c r="F1450">
        <v>4393.6400000000003</v>
      </c>
      <c r="J1450" s="18"/>
      <c r="K1450" s="18"/>
      <c r="L1450" s="18"/>
      <c r="M1450" s="18"/>
    </row>
    <row r="1451" spans="3:13">
      <c r="C1451" t="s">
        <v>120</v>
      </c>
      <c r="D1451">
        <v>2012</v>
      </c>
      <c r="E1451" t="s">
        <v>143</v>
      </c>
      <c r="F1451">
        <v>3265.46</v>
      </c>
      <c r="J1451" s="18"/>
      <c r="K1451" s="18"/>
      <c r="L1451" s="18"/>
      <c r="M1451" s="18"/>
    </row>
    <row r="1452" spans="3:13">
      <c r="C1452" t="s">
        <v>120</v>
      </c>
      <c r="D1452">
        <v>2012</v>
      </c>
      <c r="E1452" t="s">
        <v>144</v>
      </c>
      <c r="F1452">
        <v>228.52</v>
      </c>
      <c r="J1452" s="18"/>
      <c r="K1452" s="18"/>
      <c r="L1452" s="18"/>
      <c r="M1452" s="18"/>
    </row>
    <row r="1453" spans="3:13">
      <c r="C1453" t="s">
        <v>120</v>
      </c>
      <c r="D1453">
        <v>2013</v>
      </c>
      <c r="E1453" t="s">
        <v>141</v>
      </c>
      <c r="F1453">
        <v>3229.86</v>
      </c>
      <c r="J1453" s="18"/>
      <c r="K1453" s="18"/>
      <c r="L1453" s="18"/>
      <c r="M1453" s="18"/>
    </row>
    <row r="1454" spans="3:13">
      <c r="C1454" t="s">
        <v>120</v>
      </c>
      <c r="D1454">
        <v>2013</v>
      </c>
      <c r="E1454" t="s">
        <v>142</v>
      </c>
      <c r="F1454">
        <v>4332.88</v>
      </c>
      <c r="J1454" s="18"/>
      <c r="K1454" s="18"/>
      <c r="L1454" s="18"/>
      <c r="M1454" s="18"/>
    </row>
    <row r="1455" spans="3:13">
      <c r="C1455" t="s">
        <v>120</v>
      </c>
      <c r="D1455">
        <v>2013</v>
      </c>
      <c r="E1455" t="s">
        <v>143</v>
      </c>
      <c r="F1455">
        <v>3250.23</v>
      </c>
      <c r="J1455" s="18"/>
      <c r="K1455" s="18"/>
      <c r="L1455" s="18"/>
      <c r="M1455" s="18"/>
    </row>
    <row r="1456" spans="3:13">
      <c r="C1456" t="s">
        <v>120</v>
      </c>
      <c r="D1456">
        <v>2013</v>
      </c>
      <c r="E1456" t="s">
        <v>144</v>
      </c>
      <c r="F1456">
        <v>229.58</v>
      </c>
      <c r="J1456" s="18"/>
      <c r="K1456" s="18"/>
      <c r="L1456" s="18"/>
      <c r="M1456" s="18"/>
    </row>
    <row r="1457" spans="3:13">
      <c r="C1457" t="s">
        <v>120</v>
      </c>
      <c r="D1457">
        <v>2014</v>
      </c>
      <c r="E1457" t="s">
        <v>141</v>
      </c>
      <c r="F1457">
        <v>3152.15</v>
      </c>
      <c r="J1457" s="18"/>
      <c r="K1457" s="18"/>
      <c r="L1457" s="18"/>
      <c r="M1457" s="18"/>
    </row>
    <row r="1458" spans="3:13">
      <c r="C1458" t="s">
        <v>120</v>
      </c>
      <c r="D1458">
        <v>2014</v>
      </c>
      <c r="E1458" t="s">
        <v>142</v>
      </c>
      <c r="F1458">
        <v>4353.2299999999996</v>
      </c>
      <c r="J1458" s="18"/>
      <c r="K1458" s="18"/>
      <c r="L1458" s="18"/>
      <c r="M1458" s="18"/>
    </row>
    <row r="1459" spans="3:13">
      <c r="C1459" t="s">
        <v>120</v>
      </c>
      <c r="D1459">
        <v>2014</v>
      </c>
      <c r="E1459" t="s">
        <v>143</v>
      </c>
      <c r="F1459">
        <v>3126.13</v>
      </c>
      <c r="J1459" s="18"/>
      <c r="K1459" s="18"/>
      <c r="L1459" s="18"/>
      <c r="M1459" s="18"/>
    </row>
    <row r="1460" spans="3:13">
      <c r="C1460" t="s">
        <v>120</v>
      </c>
      <c r="D1460">
        <v>2014</v>
      </c>
      <c r="E1460" t="s">
        <v>144</v>
      </c>
      <c r="F1460">
        <v>226.49</v>
      </c>
      <c r="J1460" s="18"/>
      <c r="K1460" s="18"/>
      <c r="L1460" s="18"/>
      <c r="M1460" s="18"/>
    </row>
    <row r="1461" spans="3:13">
      <c r="C1461" t="s">
        <v>120</v>
      </c>
      <c r="D1461">
        <v>2015</v>
      </c>
      <c r="E1461" t="s">
        <v>141</v>
      </c>
      <c r="F1461">
        <v>3284.12</v>
      </c>
      <c r="J1461" s="18"/>
      <c r="K1461" s="18"/>
      <c r="L1461" s="18"/>
      <c r="M1461" s="18"/>
    </row>
    <row r="1462" spans="3:13">
      <c r="C1462" t="s">
        <v>120</v>
      </c>
      <c r="D1462">
        <v>2015</v>
      </c>
      <c r="E1462" t="s">
        <v>142</v>
      </c>
      <c r="F1462">
        <v>4328.4399999999996</v>
      </c>
      <c r="J1462" s="18"/>
      <c r="K1462" s="18"/>
      <c r="L1462" s="18"/>
      <c r="M1462" s="18"/>
    </row>
    <row r="1463" spans="3:13">
      <c r="C1463" t="s">
        <v>120</v>
      </c>
      <c r="D1463">
        <v>2015</v>
      </c>
      <c r="E1463" t="s">
        <v>143</v>
      </c>
      <c r="F1463">
        <v>3201.31</v>
      </c>
      <c r="J1463" s="18"/>
      <c r="K1463" s="18"/>
      <c r="L1463" s="18"/>
      <c r="M1463" s="18"/>
    </row>
    <row r="1464" spans="3:13">
      <c r="C1464" t="s">
        <v>120</v>
      </c>
      <c r="D1464">
        <v>2015</v>
      </c>
      <c r="E1464" t="s">
        <v>144</v>
      </c>
      <c r="F1464">
        <v>231.54</v>
      </c>
      <c r="J1464" s="18"/>
      <c r="K1464" s="18"/>
      <c r="L1464" s="18"/>
      <c r="M1464" s="18"/>
    </row>
    <row r="1465" spans="3:13">
      <c r="C1465" t="s">
        <v>120</v>
      </c>
      <c r="D1465">
        <v>2016</v>
      </c>
      <c r="E1465" t="s">
        <v>141</v>
      </c>
      <c r="F1465">
        <v>3320.71</v>
      </c>
      <c r="J1465" s="18"/>
      <c r="K1465" s="18"/>
      <c r="L1465" s="18"/>
      <c r="M1465" s="18"/>
    </row>
    <row r="1466" spans="3:13">
      <c r="C1466" t="s">
        <v>120</v>
      </c>
      <c r="D1466">
        <v>2016</v>
      </c>
      <c r="E1466" t="s">
        <v>142</v>
      </c>
      <c r="F1466">
        <v>4376.22</v>
      </c>
      <c r="J1466" s="18"/>
      <c r="K1466" s="18"/>
      <c r="L1466" s="18"/>
      <c r="M1466" s="18"/>
    </row>
    <row r="1467" spans="3:13">
      <c r="C1467" t="s">
        <v>120</v>
      </c>
      <c r="D1467">
        <v>2016</v>
      </c>
      <c r="E1467" t="s">
        <v>143</v>
      </c>
      <c r="F1467">
        <v>3260.24</v>
      </c>
      <c r="J1467" s="18"/>
      <c r="K1467" s="18"/>
      <c r="L1467" s="18"/>
      <c r="M1467" s="18"/>
    </row>
    <row r="1468" spans="3:13">
      <c r="C1468" t="s">
        <v>120</v>
      </c>
      <c r="D1468">
        <v>2016</v>
      </c>
      <c r="E1468" t="s">
        <v>144</v>
      </c>
      <c r="F1468">
        <v>237.32</v>
      </c>
      <c r="J1468" s="18"/>
      <c r="K1468" s="18"/>
      <c r="L1468" s="18"/>
      <c r="M1468" s="18"/>
    </row>
    <row r="1469" spans="3:13">
      <c r="C1469" t="s">
        <v>120</v>
      </c>
      <c r="D1469">
        <v>2017</v>
      </c>
      <c r="E1469" t="s">
        <v>141</v>
      </c>
      <c r="F1469">
        <v>3366.13</v>
      </c>
      <c r="J1469" s="18"/>
      <c r="K1469" s="18"/>
      <c r="L1469" s="18"/>
      <c r="M1469" s="18"/>
    </row>
    <row r="1470" spans="3:13">
      <c r="C1470" t="s">
        <v>120</v>
      </c>
      <c r="D1470">
        <v>2017</v>
      </c>
      <c r="E1470" t="s">
        <v>142</v>
      </c>
      <c r="F1470">
        <v>4431.09</v>
      </c>
      <c r="J1470" s="18"/>
      <c r="K1470" s="18"/>
      <c r="L1470" s="18"/>
      <c r="M1470" s="18"/>
    </row>
    <row r="1471" spans="3:13">
      <c r="C1471" t="s">
        <v>120</v>
      </c>
      <c r="D1471">
        <v>2017</v>
      </c>
      <c r="E1471" t="s">
        <v>143</v>
      </c>
      <c r="F1471">
        <v>3284.95</v>
      </c>
      <c r="J1471" s="18"/>
      <c r="K1471" s="18"/>
      <c r="L1471" s="18"/>
      <c r="M1471" s="18"/>
    </row>
    <row r="1472" spans="3:13">
      <c r="C1472" t="s">
        <v>120</v>
      </c>
      <c r="D1472">
        <v>2017</v>
      </c>
      <c r="E1472" t="s">
        <v>144</v>
      </c>
      <c r="F1472">
        <v>242.22</v>
      </c>
      <c r="J1472" s="18"/>
      <c r="K1472" s="18"/>
      <c r="L1472" s="18"/>
      <c r="M1472" s="18"/>
    </row>
    <row r="1473" spans="3:13">
      <c r="C1473" t="s">
        <v>120</v>
      </c>
      <c r="D1473">
        <v>2018</v>
      </c>
      <c r="E1473" t="s">
        <v>141</v>
      </c>
      <c r="F1473">
        <v>3392.72</v>
      </c>
      <c r="J1473" s="18"/>
      <c r="K1473" s="18"/>
      <c r="L1473" s="18"/>
      <c r="M1473" s="18"/>
    </row>
    <row r="1474" spans="3:13">
      <c r="C1474" t="s">
        <v>120</v>
      </c>
      <c r="D1474">
        <v>2018</v>
      </c>
      <c r="E1474" t="s">
        <v>142</v>
      </c>
      <c r="F1474">
        <v>4415.28</v>
      </c>
      <c r="J1474" s="18"/>
      <c r="K1474" s="18"/>
      <c r="L1474" s="18"/>
      <c r="M1474" s="18"/>
    </row>
    <row r="1475" spans="3:13">
      <c r="C1475" t="s">
        <v>120</v>
      </c>
      <c r="D1475">
        <v>2018</v>
      </c>
      <c r="E1475" t="s">
        <v>143</v>
      </c>
      <c r="F1475">
        <v>3299.57</v>
      </c>
      <c r="J1475" s="18"/>
      <c r="K1475" s="18"/>
      <c r="L1475" s="18"/>
      <c r="M1475" s="18"/>
    </row>
    <row r="1476" spans="3:13">
      <c r="C1476" t="s">
        <v>120</v>
      </c>
      <c r="D1476">
        <v>2018</v>
      </c>
      <c r="E1476" t="s">
        <v>144</v>
      </c>
      <c r="F1476">
        <v>245.29</v>
      </c>
      <c r="J1476" s="18"/>
      <c r="K1476" s="18"/>
      <c r="L1476" s="18"/>
      <c r="M1476" s="18"/>
    </row>
    <row r="1477" spans="3:13">
      <c r="C1477" t="s">
        <v>120</v>
      </c>
      <c r="D1477">
        <v>2019</v>
      </c>
      <c r="E1477" t="s">
        <v>146</v>
      </c>
      <c r="F1477">
        <v>541.62</v>
      </c>
      <c r="J1477" s="18"/>
      <c r="K1477" s="18"/>
      <c r="L1477" s="18"/>
      <c r="M1477" s="18"/>
    </row>
    <row r="1478" spans="3:13">
      <c r="C1478" t="s">
        <v>120</v>
      </c>
      <c r="D1478">
        <v>2019</v>
      </c>
      <c r="E1478" t="s">
        <v>147</v>
      </c>
      <c r="F1478">
        <v>1080.23</v>
      </c>
      <c r="J1478" s="18"/>
      <c r="K1478" s="18"/>
      <c r="L1478" s="18"/>
      <c r="M1478" s="18"/>
    </row>
    <row r="1479" spans="3:13">
      <c r="C1479" t="s">
        <v>120</v>
      </c>
      <c r="D1479">
        <v>2019</v>
      </c>
      <c r="E1479" t="s">
        <v>145</v>
      </c>
      <c r="F1479">
        <v>820.22</v>
      </c>
      <c r="J1479" s="18"/>
      <c r="K1479" s="18"/>
      <c r="L1479" s="18"/>
      <c r="M1479" s="18"/>
    </row>
    <row r="1480" spans="3:13">
      <c r="C1480" t="s">
        <v>120</v>
      </c>
      <c r="D1480">
        <v>2019</v>
      </c>
      <c r="E1480" t="s">
        <v>141</v>
      </c>
      <c r="F1480">
        <v>3431.96</v>
      </c>
      <c r="J1480" s="18"/>
      <c r="K1480" s="18"/>
      <c r="L1480" s="18"/>
      <c r="M1480" s="18"/>
    </row>
    <row r="1481" spans="3:13">
      <c r="C1481" t="s">
        <v>120</v>
      </c>
      <c r="D1481">
        <v>2019</v>
      </c>
      <c r="E1481" t="s">
        <v>142</v>
      </c>
      <c r="F1481">
        <v>4305.43</v>
      </c>
      <c r="J1481" s="18"/>
      <c r="K1481" s="18"/>
      <c r="L1481" s="18"/>
      <c r="M1481" s="18"/>
    </row>
    <row r="1482" spans="3:13">
      <c r="C1482" t="s">
        <v>120</v>
      </c>
      <c r="D1482">
        <v>2019</v>
      </c>
      <c r="E1482" t="s">
        <v>143</v>
      </c>
      <c r="F1482">
        <v>3314.06</v>
      </c>
      <c r="J1482" s="18"/>
      <c r="K1482" s="18"/>
      <c r="L1482" s="18"/>
      <c r="M1482" s="18"/>
    </row>
    <row r="1483" spans="3:13">
      <c r="C1483" t="s">
        <v>120</v>
      </c>
      <c r="D1483">
        <v>2019</v>
      </c>
      <c r="E1483" t="s">
        <v>144</v>
      </c>
      <c r="F1483">
        <v>298.25</v>
      </c>
      <c r="J1483" s="18"/>
      <c r="K1483" s="18"/>
      <c r="L1483" s="18"/>
      <c r="M1483" s="18"/>
    </row>
    <row r="1484" spans="3:13">
      <c r="C1484" t="s">
        <v>120</v>
      </c>
      <c r="D1484">
        <v>2020</v>
      </c>
      <c r="E1484" t="s">
        <v>146</v>
      </c>
      <c r="F1484">
        <v>539.08000000000004</v>
      </c>
      <c r="J1484" s="18"/>
      <c r="K1484" s="18"/>
      <c r="L1484" s="18"/>
      <c r="M1484" s="18"/>
    </row>
    <row r="1485" spans="3:13">
      <c r="C1485" t="s">
        <v>120</v>
      </c>
      <c r="D1485">
        <v>2020</v>
      </c>
      <c r="E1485" t="s">
        <v>147</v>
      </c>
      <c r="F1485">
        <v>1076.6300000000001</v>
      </c>
      <c r="J1485" s="18"/>
      <c r="K1485" s="18"/>
      <c r="L1485" s="18"/>
      <c r="M1485" s="18"/>
    </row>
    <row r="1486" spans="3:13">
      <c r="C1486" t="s">
        <v>120</v>
      </c>
      <c r="D1486">
        <v>2020</v>
      </c>
      <c r="E1486" t="s">
        <v>145</v>
      </c>
      <c r="F1486">
        <v>783.27</v>
      </c>
      <c r="J1486" s="18"/>
      <c r="K1486" s="18"/>
      <c r="L1486" s="18"/>
      <c r="M1486" s="18"/>
    </row>
    <row r="1487" spans="3:13">
      <c r="C1487" t="s">
        <v>120</v>
      </c>
      <c r="D1487">
        <v>2020</v>
      </c>
      <c r="E1487" t="s">
        <v>141</v>
      </c>
      <c r="F1487">
        <v>3300.85</v>
      </c>
      <c r="J1487" s="18"/>
      <c r="K1487" s="18"/>
      <c r="L1487" s="18"/>
      <c r="M1487" s="18"/>
    </row>
    <row r="1488" spans="3:13">
      <c r="C1488" t="s">
        <v>120</v>
      </c>
      <c r="D1488">
        <v>2020</v>
      </c>
      <c r="E1488" t="s">
        <v>142</v>
      </c>
      <c r="F1488">
        <v>4006.6</v>
      </c>
      <c r="J1488" s="18"/>
      <c r="K1488" s="18"/>
      <c r="L1488" s="18"/>
      <c r="M1488" s="18"/>
    </row>
    <row r="1489" spans="3:13">
      <c r="C1489" t="s">
        <v>120</v>
      </c>
      <c r="D1489">
        <v>2020</v>
      </c>
      <c r="E1489" t="s">
        <v>143</v>
      </c>
      <c r="F1489">
        <v>3251.51</v>
      </c>
      <c r="J1489" s="18"/>
      <c r="K1489" s="18"/>
      <c r="L1489" s="18"/>
      <c r="M1489" s="18"/>
    </row>
    <row r="1490" spans="3:13">
      <c r="C1490" t="s">
        <v>120</v>
      </c>
      <c r="D1490">
        <v>2020</v>
      </c>
      <c r="E1490" t="s">
        <v>144</v>
      </c>
      <c r="F1490">
        <v>261.33</v>
      </c>
      <c r="J1490" s="18"/>
      <c r="K1490" s="18"/>
      <c r="L1490" s="18"/>
      <c r="M1490" s="18"/>
    </row>
    <row r="1491" spans="3:13">
      <c r="C1491" t="s">
        <v>120</v>
      </c>
      <c r="D1491">
        <v>2021</v>
      </c>
      <c r="E1491" t="s">
        <v>146</v>
      </c>
      <c r="F1491">
        <v>539.70000000000005</v>
      </c>
      <c r="J1491" s="18"/>
      <c r="K1491" s="18"/>
      <c r="L1491" s="18"/>
      <c r="M1491" s="18"/>
    </row>
    <row r="1492" spans="3:13">
      <c r="C1492" t="s">
        <v>120</v>
      </c>
      <c r="D1492">
        <v>2021</v>
      </c>
      <c r="E1492" t="s">
        <v>147</v>
      </c>
      <c r="F1492">
        <v>1075.8800000000001</v>
      </c>
      <c r="J1492" s="18"/>
      <c r="K1492" s="18"/>
      <c r="L1492" s="18"/>
      <c r="M1492" s="18"/>
    </row>
    <row r="1493" spans="3:13">
      <c r="C1493" t="s">
        <v>120</v>
      </c>
      <c r="D1493">
        <v>2021</v>
      </c>
      <c r="E1493" t="s">
        <v>145</v>
      </c>
      <c r="F1493">
        <v>821.34</v>
      </c>
      <c r="J1493" s="18"/>
      <c r="K1493" s="18"/>
      <c r="L1493" s="18"/>
      <c r="M1493" s="18"/>
    </row>
    <row r="1494" spans="3:13">
      <c r="C1494" t="s">
        <v>120</v>
      </c>
      <c r="D1494">
        <v>2021</v>
      </c>
      <c r="E1494" t="s">
        <v>141</v>
      </c>
      <c r="F1494">
        <v>3364.35</v>
      </c>
      <c r="J1494" s="18"/>
      <c r="K1494" s="18"/>
      <c r="L1494" s="18"/>
      <c r="M1494" s="18"/>
    </row>
    <row r="1495" spans="3:13">
      <c r="C1495" t="s">
        <v>120</v>
      </c>
      <c r="D1495">
        <v>2021</v>
      </c>
      <c r="E1495" t="s">
        <v>142</v>
      </c>
      <c r="F1495">
        <v>4331.59</v>
      </c>
      <c r="J1495" s="18"/>
      <c r="K1495" s="18"/>
      <c r="L1495" s="18"/>
      <c r="M1495" s="18"/>
    </row>
    <row r="1496" spans="3:13">
      <c r="C1496" t="s">
        <v>120</v>
      </c>
      <c r="D1496">
        <v>2021</v>
      </c>
      <c r="E1496" t="s">
        <v>143</v>
      </c>
      <c r="F1496">
        <v>3254.38</v>
      </c>
      <c r="J1496" s="18"/>
      <c r="K1496" s="18"/>
      <c r="L1496" s="18"/>
      <c r="M1496" s="18"/>
    </row>
    <row r="1497" spans="3:13">
      <c r="C1497" t="s">
        <v>120</v>
      </c>
      <c r="D1497">
        <v>2021</v>
      </c>
      <c r="E1497" t="s">
        <v>144</v>
      </c>
      <c r="F1497">
        <v>297.64999999999998</v>
      </c>
      <c r="J1497" s="18"/>
      <c r="K1497" s="18"/>
      <c r="L1497" s="18"/>
      <c r="M1497" s="18"/>
    </row>
    <row r="1498" spans="3:13">
      <c r="C1498" t="s">
        <v>120</v>
      </c>
      <c r="D1498">
        <v>2022</v>
      </c>
      <c r="E1498" t="s">
        <v>146</v>
      </c>
      <c r="F1498">
        <v>539.41</v>
      </c>
      <c r="J1498" s="18"/>
      <c r="K1498" s="18"/>
      <c r="L1498" s="18"/>
      <c r="M1498" s="18"/>
    </row>
    <row r="1499" spans="3:13">
      <c r="C1499" t="s">
        <v>120</v>
      </c>
      <c r="D1499">
        <v>2022</v>
      </c>
      <c r="E1499" t="s">
        <v>147</v>
      </c>
      <c r="F1499">
        <v>1072.7</v>
      </c>
      <c r="J1499" s="18"/>
      <c r="K1499" s="18"/>
      <c r="L1499" s="18"/>
      <c r="M1499" s="18"/>
    </row>
    <row r="1500" spans="3:13">
      <c r="C1500" t="s">
        <v>120</v>
      </c>
      <c r="D1500">
        <v>2022</v>
      </c>
      <c r="E1500" t="s">
        <v>145</v>
      </c>
      <c r="F1500">
        <v>838.89</v>
      </c>
      <c r="J1500" s="18"/>
      <c r="K1500" s="18"/>
      <c r="L1500" s="18"/>
      <c r="M1500" s="18"/>
    </row>
    <row r="1501" spans="3:13">
      <c r="C1501" t="s">
        <v>120</v>
      </c>
      <c r="D1501">
        <v>2022</v>
      </c>
      <c r="E1501" t="s">
        <v>141</v>
      </c>
      <c r="F1501">
        <v>3466.68</v>
      </c>
      <c r="J1501" s="18"/>
      <c r="K1501" s="18"/>
      <c r="L1501" s="18"/>
      <c r="M1501" s="18"/>
    </row>
    <row r="1502" spans="3:13">
      <c r="C1502" t="s">
        <v>120</v>
      </c>
      <c r="D1502">
        <v>2022</v>
      </c>
      <c r="E1502" t="s">
        <v>142</v>
      </c>
      <c r="F1502">
        <v>4392.22</v>
      </c>
      <c r="J1502" s="18"/>
      <c r="K1502" s="18"/>
      <c r="L1502" s="18"/>
      <c r="M1502" s="18"/>
    </row>
    <row r="1503" spans="3:13">
      <c r="C1503" t="s">
        <v>120</v>
      </c>
      <c r="D1503">
        <v>2022</v>
      </c>
      <c r="E1503" t="s">
        <v>143</v>
      </c>
      <c r="F1503">
        <v>3285.08</v>
      </c>
      <c r="J1503" s="18"/>
      <c r="K1503" s="18"/>
      <c r="L1503" s="18"/>
      <c r="M1503" s="18"/>
    </row>
    <row r="1504" spans="3:13">
      <c r="C1504" t="s">
        <v>120</v>
      </c>
      <c r="D1504">
        <v>2022</v>
      </c>
      <c r="E1504" t="s">
        <v>144</v>
      </c>
      <c r="F1504">
        <v>326.93</v>
      </c>
      <c r="J1504" s="18"/>
      <c r="K1504" s="18"/>
      <c r="L1504" s="18"/>
      <c r="M1504" s="18"/>
    </row>
    <row r="1505" spans="3:13">
      <c r="C1505" t="s">
        <v>120</v>
      </c>
      <c r="D1505">
        <v>2023</v>
      </c>
      <c r="E1505" t="s">
        <v>146</v>
      </c>
      <c r="F1505">
        <v>538.38</v>
      </c>
      <c r="J1505" s="18"/>
      <c r="K1505" s="18"/>
      <c r="L1505" s="18"/>
      <c r="M1505" s="18"/>
    </row>
    <row r="1506" spans="3:13">
      <c r="C1506" t="s">
        <v>120</v>
      </c>
      <c r="D1506">
        <v>2023</v>
      </c>
      <c r="E1506" t="s">
        <v>147</v>
      </c>
      <c r="F1506">
        <v>1068.9000000000001</v>
      </c>
      <c r="J1506" s="18"/>
      <c r="K1506" s="18"/>
      <c r="L1506" s="18"/>
      <c r="M1506" s="18"/>
    </row>
    <row r="1507" spans="3:13">
      <c r="C1507" t="s">
        <v>120</v>
      </c>
      <c r="D1507">
        <v>2023</v>
      </c>
      <c r="E1507" t="s">
        <v>145</v>
      </c>
      <c r="F1507">
        <v>850.21</v>
      </c>
      <c r="J1507" s="18"/>
      <c r="K1507" s="18"/>
      <c r="L1507" s="18"/>
      <c r="M1507" s="18"/>
    </row>
    <row r="1508" spans="3:13">
      <c r="C1508" t="s">
        <v>120</v>
      </c>
      <c r="D1508">
        <v>2023</v>
      </c>
      <c r="E1508" t="s">
        <v>141</v>
      </c>
      <c r="F1508">
        <v>3517.39</v>
      </c>
      <c r="J1508" s="18"/>
      <c r="K1508" s="18"/>
      <c r="L1508" s="18"/>
      <c r="M1508" s="18"/>
    </row>
    <row r="1509" spans="3:13">
      <c r="C1509" t="s">
        <v>120</v>
      </c>
      <c r="D1509">
        <v>2023</v>
      </c>
      <c r="E1509" t="s">
        <v>142</v>
      </c>
      <c r="F1509">
        <v>4444.96</v>
      </c>
      <c r="J1509" s="18"/>
      <c r="K1509" s="18"/>
      <c r="L1509" s="18"/>
      <c r="M1509" s="18"/>
    </row>
    <row r="1510" spans="3:13">
      <c r="C1510" t="s">
        <v>120</v>
      </c>
      <c r="D1510">
        <v>2023</v>
      </c>
      <c r="E1510" t="s">
        <v>143</v>
      </c>
      <c r="F1510">
        <v>3301.04</v>
      </c>
      <c r="J1510" s="18"/>
      <c r="K1510" s="18"/>
      <c r="L1510" s="18"/>
      <c r="M1510" s="18"/>
    </row>
    <row r="1511" spans="3:13">
      <c r="C1511" t="s">
        <v>120</v>
      </c>
      <c r="D1511">
        <v>2023</v>
      </c>
      <c r="E1511" t="s">
        <v>144</v>
      </c>
      <c r="F1511">
        <v>353.62</v>
      </c>
      <c r="J1511" s="18"/>
      <c r="K1511" s="18"/>
      <c r="L1511" s="18"/>
      <c r="M1511" s="18"/>
    </row>
    <row r="1512" spans="3:13">
      <c r="C1512" t="s">
        <v>120</v>
      </c>
      <c r="D1512">
        <v>2024</v>
      </c>
      <c r="E1512" t="s">
        <v>146</v>
      </c>
      <c r="F1512">
        <v>537.29999999999995</v>
      </c>
      <c r="J1512" s="18"/>
      <c r="K1512" s="18"/>
      <c r="L1512" s="18"/>
      <c r="M1512" s="18"/>
    </row>
    <row r="1513" spans="3:13">
      <c r="C1513" t="s">
        <v>120</v>
      </c>
      <c r="D1513">
        <v>2024</v>
      </c>
      <c r="E1513" t="s">
        <v>147</v>
      </c>
      <c r="F1513">
        <v>1065.51</v>
      </c>
      <c r="J1513" s="18"/>
      <c r="K1513" s="18"/>
      <c r="L1513" s="18"/>
      <c r="M1513" s="18"/>
    </row>
    <row r="1514" spans="3:13">
      <c r="C1514" t="s">
        <v>120</v>
      </c>
      <c r="D1514">
        <v>2024</v>
      </c>
      <c r="E1514" t="s">
        <v>145</v>
      </c>
      <c r="F1514">
        <v>856.09</v>
      </c>
      <c r="J1514" s="18"/>
      <c r="K1514" s="18"/>
      <c r="L1514" s="18"/>
      <c r="M1514" s="18"/>
    </row>
    <row r="1515" spans="3:13">
      <c r="C1515" t="s">
        <v>120</v>
      </c>
      <c r="D1515">
        <v>2024</v>
      </c>
      <c r="E1515" t="s">
        <v>141</v>
      </c>
      <c r="F1515">
        <v>3552.99</v>
      </c>
      <c r="J1515" s="18"/>
      <c r="K1515" s="18"/>
      <c r="L1515" s="18"/>
      <c r="M1515" s="18"/>
    </row>
    <row r="1516" spans="3:13">
      <c r="C1516" t="s">
        <v>120</v>
      </c>
      <c r="D1516">
        <v>2024</v>
      </c>
      <c r="E1516" t="s">
        <v>142</v>
      </c>
      <c r="F1516">
        <v>4459.13</v>
      </c>
      <c r="J1516" s="18"/>
      <c r="K1516" s="18"/>
      <c r="L1516" s="18"/>
      <c r="M1516" s="18"/>
    </row>
    <row r="1517" spans="3:13">
      <c r="C1517" t="s">
        <v>120</v>
      </c>
      <c r="D1517">
        <v>2024</v>
      </c>
      <c r="E1517" t="s">
        <v>143</v>
      </c>
      <c r="F1517">
        <v>3315.26</v>
      </c>
      <c r="J1517" s="18"/>
      <c r="K1517" s="18"/>
      <c r="L1517" s="18"/>
      <c r="M1517" s="18"/>
    </row>
    <row r="1518" spans="3:13">
      <c r="C1518" t="s">
        <v>120</v>
      </c>
      <c r="D1518">
        <v>2024</v>
      </c>
      <c r="E1518" t="s">
        <v>144</v>
      </c>
      <c r="F1518">
        <v>379.33</v>
      </c>
      <c r="J1518" s="18"/>
      <c r="K1518" s="18"/>
      <c r="L1518" s="18"/>
      <c r="M1518" s="18"/>
    </row>
    <row r="1519" spans="3:13">
      <c r="C1519" t="s">
        <v>120</v>
      </c>
      <c r="D1519">
        <v>2025</v>
      </c>
      <c r="E1519" t="s">
        <v>146</v>
      </c>
      <c r="F1519">
        <v>536.37</v>
      </c>
      <c r="J1519" s="18"/>
      <c r="K1519" s="18"/>
      <c r="L1519" s="18"/>
      <c r="M1519" s="18"/>
    </row>
    <row r="1520" spans="3:13">
      <c r="C1520" t="s">
        <v>120</v>
      </c>
      <c r="D1520">
        <v>2025</v>
      </c>
      <c r="E1520" t="s">
        <v>147</v>
      </c>
      <c r="F1520">
        <v>1062.5999999999999</v>
      </c>
      <c r="J1520" s="18"/>
      <c r="K1520" s="18"/>
      <c r="L1520" s="18"/>
      <c r="M1520" s="18"/>
    </row>
    <row r="1521" spans="3:13">
      <c r="C1521" t="s">
        <v>120</v>
      </c>
      <c r="D1521">
        <v>2025</v>
      </c>
      <c r="E1521" t="s">
        <v>145</v>
      </c>
      <c r="F1521">
        <v>860.04</v>
      </c>
      <c r="J1521" s="18"/>
      <c r="K1521" s="18"/>
      <c r="L1521" s="18"/>
      <c r="M1521" s="18"/>
    </row>
    <row r="1522" spans="3:13">
      <c r="C1522" t="s">
        <v>120</v>
      </c>
      <c r="D1522">
        <v>2025</v>
      </c>
      <c r="E1522" t="s">
        <v>141</v>
      </c>
      <c r="F1522">
        <v>3584.91</v>
      </c>
      <c r="J1522" s="18"/>
      <c r="K1522" s="18"/>
      <c r="L1522" s="18"/>
      <c r="M1522" s="18"/>
    </row>
    <row r="1523" spans="3:13">
      <c r="C1523" t="s">
        <v>120</v>
      </c>
      <c r="D1523">
        <v>2025</v>
      </c>
      <c r="E1523" t="s">
        <v>142</v>
      </c>
      <c r="F1523">
        <v>4486.0200000000004</v>
      </c>
      <c r="J1523" s="18"/>
      <c r="K1523" s="18"/>
      <c r="L1523" s="18"/>
      <c r="M1523" s="18"/>
    </row>
    <row r="1524" spans="3:13">
      <c r="C1524" t="s">
        <v>120</v>
      </c>
      <c r="D1524">
        <v>2025</v>
      </c>
      <c r="E1524" t="s">
        <v>143</v>
      </c>
      <c r="F1524">
        <v>3326.24</v>
      </c>
      <c r="J1524" s="18"/>
      <c r="K1524" s="18"/>
      <c r="L1524" s="18"/>
      <c r="M1524" s="18"/>
    </row>
    <row r="1525" spans="3:13">
      <c r="C1525" t="s">
        <v>120</v>
      </c>
      <c r="D1525">
        <v>2025</v>
      </c>
      <c r="E1525" t="s">
        <v>144</v>
      </c>
      <c r="F1525">
        <v>409.04</v>
      </c>
      <c r="J1525" s="18"/>
      <c r="K1525" s="18"/>
      <c r="L1525" s="18"/>
      <c r="M1525" s="18"/>
    </row>
    <row r="1526" spans="3:13">
      <c r="C1526" t="s">
        <v>120</v>
      </c>
      <c r="D1526">
        <v>2026</v>
      </c>
      <c r="E1526" t="s">
        <v>146</v>
      </c>
      <c r="F1526">
        <v>535.72</v>
      </c>
      <c r="J1526" s="18"/>
      <c r="K1526" s="18"/>
      <c r="L1526" s="18"/>
      <c r="M1526" s="18"/>
    </row>
    <row r="1527" spans="3:13">
      <c r="C1527" t="s">
        <v>120</v>
      </c>
      <c r="D1527">
        <v>2026</v>
      </c>
      <c r="E1527" t="s">
        <v>147</v>
      </c>
      <c r="F1527">
        <v>1060.43</v>
      </c>
      <c r="J1527" s="18"/>
      <c r="K1527" s="18"/>
      <c r="L1527" s="18"/>
      <c r="M1527" s="18"/>
    </row>
    <row r="1528" spans="3:13">
      <c r="C1528" t="s">
        <v>120</v>
      </c>
      <c r="D1528">
        <v>2026</v>
      </c>
      <c r="E1528" t="s">
        <v>145</v>
      </c>
      <c r="F1528">
        <v>863.79</v>
      </c>
      <c r="J1528" s="18"/>
      <c r="K1528" s="18"/>
      <c r="L1528" s="18"/>
      <c r="M1528" s="18"/>
    </row>
    <row r="1529" spans="3:13">
      <c r="C1529" t="s">
        <v>120</v>
      </c>
      <c r="D1529">
        <v>2026</v>
      </c>
      <c r="E1529" t="s">
        <v>141</v>
      </c>
      <c r="F1529">
        <v>3635.49</v>
      </c>
      <c r="J1529" s="18"/>
      <c r="K1529" s="18"/>
      <c r="L1529" s="18"/>
      <c r="M1529" s="18"/>
    </row>
    <row r="1530" spans="3:13">
      <c r="C1530" t="s">
        <v>120</v>
      </c>
      <c r="D1530">
        <v>2026</v>
      </c>
      <c r="E1530" t="s">
        <v>142</v>
      </c>
      <c r="F1530">
        <v>4495.6499999999996</v>
      </c>
      <c r="J1530" s="18"/>
      <c r="K1530" s="18"/>
      <c r="L1530" s="18"/>
      <c r="M1530" s="18"/>
    </row>
    <row r="1531" spans="3:13">
      <c r="C1531" t="s">
        <v>120</v>
      </c>
      <c r="D1531">
        <v>2026</v>
      </c>
      <c r="E1531" t="s">
        <v>143</v>
      </c>
      <c r="F1531">
        <v>3353.15</v>
      </c>
      <c r="J1531" s="18"/>
      <c r="K1531" s="18"/>
      <c r="L1531" s="18"/>
      <c r="M1531" s="18"/>
    </row>
    <row r="1532" spans="3:13">
      <c r="C1532" t="s">
        <v>120</v>
      </c>
      <c r="D1532">
        <v>2026</v>
      </c>
      <c r="E1532" t="s">
        <v>144</v>
      </c>
      <c r="F1532">
        <v>450.11</v>
      </c>
      <c r="J1532" s="18"/>
      <c r="K1532" s="18"/>
      <c r="L1532" s="18"/>
      <c r="M1532" s="18"/>
    </row>
    <row r="1533" spans="3:13">
      <c r="C1533" t="s">
        <v>120</v>
      </c>
      <c r="D1533">
        <v>2027</v>
      </c>
      <c r="E1533" t="s">
        <v>146</v>
      </c>
      <c r="F1533">
        <v>535.15</v>
      </c>
      <c r="J1533" s="18"/>
      <c r="K1533" s="18"/>
      <c r="L1533" s="18"/>
      <c r="M1533" s="18"/>
    </row>
    <row r="1534" spans="3:13">
      <c r="C1534" t="s">
        <v>120</v>
      </c>
      <c r="D1534">
        <v>2027</v>
      </c>
      <c r="E1534" t="s">
        <v>147</v>
      </c>
      <c r="F1534">
        <v>1058.51</v>
      </c>
      <c r="J1534" s="18"/>
      <c r="K1534" s="18"/>
      <c r="L1534" s="18"/>
      <c r="M1534" s="18"/>
    </row>
    <row r="1535" spans="3:13">
      <c r="C1535" t="s">
        <v>120</v>
      </c>
      <c r="D1535">
        <v>2027</v>
      </c>
      <c r="E1535" t="s">
        <v>145</v>
      </c>
      <c r="F1535">
        <v>866.87</v>
      </c>
      <c r="J1535" s="18"/>
      <c r="K1535" s="18"/>
      <c r="L1535" s="18"/>
      <c r="M1535" s="18"/>
    </row>
    <row r="1536" spans="3:13">
      <c r="C1536" t="s">
        <v>120</v>
      </c>
      <c r="D1536">
        <v>2027</v>
      </c>
      <c r="E1536" t="s">
        <v>141</v>
      </c>
      <c r="F1536">
        <v>3685.67</v>
      </c>
      <c r="J1536" s="18"/>
      <c r="K1536" s="18"/>
      <c r="L1536" s="18"/>
      <c r="M1536" s="18"/>
    </row>
    <row r="1537" spans="3:13">
      <c r="C1537" t="s">
        <v>120</v>
      </c>
      <c r="D1537">
        <v>2027</v>
      </c>
      <c r="E1537" t="s">
        <v>142</v>
      </c>
      <c r="F1537">
        <v>4518.1099999999997</v>
      </c>
      <c r="J1537" s="18"/>
      <c r="K1537" s="18"/>
      <c r="L1537" s="18"/>
      <c r="M1537" s="18"/>
    </row>
    <row r="1538" spans="3:13">
      <c r="C1538" t="s">
        <v>120</v>
      </c>
      <c r="D1538">
        <v>2027</v>
      </c>
      <c r="E1538" t="s">
        <v>143</v>
      </c>
      <c r="F1538">
        <v>3380.29</v>
      </c>
      <c r="J1538" s="18"/>
      <c r="K1538" s="18"/>
      <c r="L1538" s="18"/>
      <c r="M1538" s="18"/>
    </row>
    <row r="1539" spans="3:13">
      <c r="C1539" t="s">
        <v>120</v>
      </c>
      <c r="D1539">
        <v>2027</v>
      </c>
      <c r="E1539" t="s">
        <v>144</v>
      </c>
      <c r="F1539">
        <v>498.23</v>
      </c>
      <c r="J1539" s="18"/>
      <c r="K1539" s="18"/>
      <c r="L1539" s="18"/>
      <c r="M1539" s="18"/>
    </row>
    <row r="1540" spans="3:13">
      <c r="C1540" t="s">
        <v>120</v>
      </c>
      <c r="D1540">
        <v>2028</v>
      </c>
      <c r="E1540" t="s">
        <v>146</v>
      </c>
      <c r="F1540">
        <v>534.66</v>
      </c>
      <c r="J1540" s="18"/>
      <c r="K1540" s="18"/>
      <c r="L1540" s="18"/>
      <c r="M1540" s="18"/>
    </row>
    <row r="1541" spans="3:13">
      <c r="C1541" t="s">
        <v>120</v>
      </c>
      <c r="D1541">
        <v>2028</v>
      </c>
      <c r="E1541" t="s">
        <v>147</v>
      </c>
      <c r="F1541">
        <v>1056.79</v>
      </c>
      <c r="J1541" s="18"/>
      <c r="K1541" s="18"/>
      <c r="L1541" s="18"/>
      <c r="M1541" s="18"/>
    </row>
    <row r="1542" spans="3:13">
      <c r="C1542" t="s">
        <v>120</v>
      </c>
      <c r="D1542">
        <v>2028</v>
      </c>
      <c r="E1542" t="s">
        <v>145</v>
      </c>
      <c r="F1542">
        <v>870.31</v>
      </c>
      <c r="J1542" s="18"/>
      <c r="K1542" s="18"/>
      <c r="L1542" s="18"/>
      <c r="M1542" s="18"/>
    </row>
    <row r="1543" spans="3:13">
      <c r="C1543" t="s">
        <v>120</v>
      </c>
      <c r="D1543">
        <v>2028</v>
      </c>
      <c r="E1543" t="s">
        <v>141</v>
      </c>
      <c r="F1543">
        <v>3736.39</v>
      </c>
      <c r="J1543" s="18"/>
      <c r="K1543" s="18"/>
      <c r="L1543" s="18"/>
      <c r="M1543" s="18"/>
    </row>
    <row r="1544" spans="3:13">
      <c r="C1544" t="s">
        <v>120</v>
      </c>
      <c r="D1544">
        <v>2028</v>
      </c>
      <c r="E1544" t="s">
        <v>142</v>
      </c>
      <c r="F1544">
        <v>4525.87</v>
      </c>
      <c r="J1544" s="18"/>
      <c r="K1544" s="18"/>
      <c r="L1544" s="18"/>
      <c r="M1544" s="18"/>
    </row>
    <row r="1545" spans="3:13">
      <c r="C1545" t="s">
        <v>120</v>
      </c>
      <c r="D1545">
        <v>2028</v>
      </c>
      <c r="E1545" t="s">
        <v>143</v>
      </c>
      <c r="F1545">
        <v>3406.73</v>
      </c>
      <c r="J1545" s="18"/>
      <c r="K1545" s="18"/>
      <c r="L1545" s="18"/>
      <c r="M1545" s="18"/>
    </row>
    <row r="1546" spans="3:13">
      <c r="C1546" t="s">
        <v>120</v>
      </c>
      <c r="D1546">
        <v>2028</v>
      </c>
      <c r="E1546" t="s">
        <v>144</v>
      </c>
      <c r="F1546">
        <v>551.41</v>
      </c>
      <c r="J1546" s="18"/>
      <c r="K1546" s="18"/>
      <c r="L1546" s="18"/>
      <c r="M1546" s="18"/>
    </row>
    <row r="1547" spans="3:13">
      <c r="C1547" t="s">
        <v>120</v>
      </c>
      <c r="D1547">
        <v>2029</v>
      </c>
      <c r="E1547" t="s">
        <v>146</v>
      </c>
      <c r="F1547">
        <v>534.49</v>
      </c>
      <c r="J1547" s="18"/>
      <c r="K1547" s="18"/>
      <c r="L1547" s="18"/>
      <c r="M1547" s="18"/>
    </row>
    <row r="1548" spans="3:13">
      <c r="C1548" t="s">
        <v>120</v>
      </c>
      <c r="D1548">
        <v>2029</v>
      </c>
      <c r="E1548" t="s">
        <v>147</v>
      </c>
      <c r="F1548">
        <v>1055.95</v>
      </c>
      <c r="J1548" s="18"/>
      <c r="K1548" s="18"/>
      <c r="L1548" s="18"/>
      <c r="M1548" s="18"/>
    </row>
    <row r="1549" spans="3:13">
      <c r="C1549" t="s">
        <v>120</v>
      </c>
      <c r="D1549">
        <v>2029</v>
      </c>
      <c r="E1549" t="s">
        <v>145</v>
      </c>
      <c r="F1549">
        <v>873.81</v>
      </c>
      <c r="J1549" s="18"/>
      <c r="K1549" s="18"/>
      <c r="L1549" s="18"/>
      <c r="M1549" s="18"/>
    </row>
    <row r="1550" spans="3:13">
      <c r="C1550" t="s">
        <v>120</v>
      </c>
      <c r="D1550">
        <v>2029</v>
      </c>
      <c r="E1550" t="s">
        <v>141</v>
      </c>
      <c r="F1550">
        <v>3786.88</v>
      </c>
      <c r="J1550" s="18"/>
      <c r="K1550" s="18"/>
      <c r="L1550" s="18"/>
      <c r="M1550" s="18"/>
    </row>
    <row r="1551" spans="3:13">
      <c r="C1551" t="s">
        <v>120</v>
      </c>
      <c r="D1551">
        <v>2029</v>
      </c>
      <c r="E1551" t="s">
        <v>142</v>
      </c>
      <c r="F1551">
        <v>4552.33</v>
      </c>
      <c r="J1551" s="18"/>
      <c r="K1551" s="18"/>
      <c r="L1551" s="18"/>
      <c r="M1551" s="18"/>
    </row>
    <row r="1552" spans="3:13">
      <c r="C1552" t="s">
        <v>120</v>
      </c>
      <c r="D1552">
        <v>2029</v>
      </c>
      <c r="E1552" t="s">
        <v>143</v>
      </c>
      <c r="F1552">
        <v>3435.24</v>
      </c>
      <c r="J1552" s="18"/>
      <c r="K1552" s="18"/>
      <c r="L1552" s="18"/>
      <c r="M1552" s="18"/>
    </row>
    <row r="1553" spans="3:13">
      <c r="C1553" t="s">
        <v>120</v>
      </c>
      <c r="D1553">
        <v>2029</v>
      </c>
      <c r="E1553" t="s">
        <v>144</v>
      </c>
      <c r="F1553">
        <v>610.91999999999996</v>
      </c>
      <c r="J1553" s="18"/>
      <c r="K1553" s="18"/>
      <c r="L1553" s="18"/>
      <c r="M1553" s="18"/>
    </row>
    <row r="1554" spans="3:13">
      <c r="C1554" t="s">
        <v>120</v>
      </c>
      <c r="D1554">
        <v>2030</v>
      </c>
      <c r="E1554" t="s">
        <v>146</v>
      </c>
      <c r="F1554">
        <v>534.27</v>
      </c>
      <c r="J1554" s="18"/>
      <c r="K1554" s="18"/>
      <c r="L1554" s="18"/>
      <c r="M1554" s="18"/>
    </row>
    <row r="1555" spans="3:13">
      <c r="C1555" t="s">
        <v>120</v>
      </c>
      <c r="D1555">
        <v>2030</v>
      </c>
      <c r="E1555" t="s">
        <v>147</v>
      </c>
      <c r="F1555">
        <v>1054.97</v>
      </c>
      <c r="J1555" s="18"/>
      <c r="K1555" s="18"/>
      <c r="L1555" s="18"/>
      <c r="M1555" s="18"/>
    </row>
    <row r="1556" spans="3:13">
      <c r="C1556" t="s">
        <v>120</v>
      </c>
      <c r="D1556">
        <v>2030</v>
      </c>
      <c r="E1556" t="s">
        <v>145</v>
      </c>
      <c r="F1556">
        <v>878.38</v>
      </c>
      <c r="J1556" s="18"/>
      <c r="K1556" s="18"/>
      <c r="L1556" s="18"/>
      <c r="M1556" s="18"/>
    </row>
    <row r="1557" spans="3:13">
      <c r="C1557" t="s">
        <v>120</v>
      </c>
      <c r="D1557">
        <v>2030</v>
      </c>
      <c r="E1557" t="s">
        <v>141</v>
      </c>
      <c r="F1557">
        <v>3837.5</v>
      </c>
      <c r="J1557" s="18"/>
      <c r="K1557" s="18"/>
      <c r="L1557" s="18"/>
      <c r="M1557" s="18"/>
    </row>
    <row r="1558" spans="3:13">
      <c r="C1558" t="s">
        <v>120</v>
      </c>
      <c r="D1558">
        <v>2030</v>
      </c>
      <c r="E1558" t="s">
        <v>142</v>
      </c>
      <c r="F1558">
        <v>4574.1099999999997</v>
      </c>
      <c r="J1558" s="18"/>
      <c r="K1558" s="18"/>
      <c r="L1558" s="18"/>
      <c r="M1558" s="18"/>
    </row>
    <row r="1559" spans="3:13">
      <c r="C1559" t="s">
        <v>120</v>
      </c>
      <c r="D1559">
        <v>2030</v>
      </c>
      <c r="E1559" t="s">
        <v>143</v>
      </c>
      <c r="F1559">
        <v>3464.97</v>
      </c>
      <c r="J1559" s="18"/>
      <c r="K1559" s="18"/>
      <c r="L1559" s="18"/>
      <c r="M1559" s="18"/>
    </row>
    <row r="1560" spans="3:13">
      <c r="C1560" t="s">
        <v>120</v>
      </c>
      <c r="D1560">
        <v>2030</v>
      </c>
      <c r="E1560" t="s">
        <v>144</v>
      </c>
      <c r="F1560">
        <v>679.98</v>
      </c>
      <c r="J1560" s="18"/>
      <c r="K1560" s="18"/>
      <c r="L1560" s="18"/>
      <c r="M1560" s="18"/>
    </row>
    <row r="1561" spans="3:13">
      <c r="C1561" t="s">
        <v>120</v>
      </c>
      <c r="D1561">
        <v>2031</v>
      </c>
      <c r="E1561" t="s">
        <v>146</v>
      </c>
      <c r="F1561">
        <v>533.57000000000005</v>
      </c>
      <c r="J1561" s="18"/>
      <c r="K1561" s="18"/>
      <c r="L1561" s="18"/>
      <c r="M1561" s="18"/>
    </row>
    <row r="1562" spans="3:13">
      <c r="C1562" t="s">
        <v>120</v>
      </c>
      <c r="D1562">
        <v>2031</v>
      </c>
      <c r="E1562" t="s">
        <v>147</v>
      </c>
      <c r="F1562">
        <v>1052.77</v>
      </c>
      <c r="J1562" s="18"/>
      <c r="K1562" s="18"/>
      <c r="L1562" s="18"/>
      <c r="M1562" s="18"/>
    </row>
    <row r="1563" spans="3:13">
      <c r="C1563" t="s">
        <v>120</v>
      </c>
      <c r="D1563">
        <v>2031</v>
      </c>
      <c r="E1563" t="s">
        <v>145</v>
      </c>
      <c r="F1563">
        <v>883.44</v>
      </c>
      <c r="J1563" s="18"/>
      <c r="K1563" s="18"/>
      <c r="L1563" s="18"/>
      <c r="M1563" s="18"/>
    </row>
    <row r="1564" spans="3:13">
      <c r="C1564" t="s">
        <v>120</v>
      </c>
      <c r="D1564">
        <v>2031</v>
      </c>
      <c r="E1564" t="s">
        <v>141</v>
      </c>
      <c r="F1564">
        <v>3865.48</v>
      </c>
      <c r="J1564" s="18"/>
      <c r="K1564" s="18"/>
      <c r="L1564" s="18"/>
      <c r="M1564" s="18"/>
    </row>
    <row r="1565" spans="3:13">
      <c r="C1565" t="s">
        <v>120</v>
      </c>
      <c r="D1565">
        <v>2031</v>
      </c>
      <c r="E1565" t="s">
        <v>142</v>
      </c>
      <c r="F1565">
        <v>4609.8900000000003</v>
      </c>
      <c r="J1565" s="18"/>
      <c r="K1565" s="18"/>
      <c r="L1565" s="18"/>
      <c r="M1565" s="18"/>
    </row>
    <row r="1566" spans="3:13">
      <c r="C1566" t="s">
        <v>120</v>
      </c>
      <c r="D1566">
        <v>2031</v>
      </c>
      <c r="E1566" t="s">
        <v>143</v>
      </c>
      <c r="F1566">
        <v>3473.52</v>
      </c>
      <c r="J1566" s="18"/>
      <c r="K1566" s="18"/>
      <c r="L1566" s="18"/>
      <c r="M1566" s="18"/>
    </row>
    <row r="1567" spans="3:13">
      <c r="C1567" t="s">
        <v>120</v>
      </c>
      <c r="D1567">
        <v>2031</v>
      </c>
      <c r="E1567" t="s">
        <v>144</v>
      </c>
      <c r="F1567">
        <v>754.53</v>
      </c>
      <c r="J1567" s="18"/>
      <c r="K1567" s="18"/>
      <c r="L1567" s="18"/>
      <c r="M1567" s="18"/>
    </row>
    <row r="1568" spans="3:13">
      <c r="C1568" t="s">
        <v>120</v>
      </c>
      <c r="D1568">
        <v>2032</v>
      </c>
      <c r="E1568" t="s">
        <v>146</v>
      </c>
      <c r="F1568">
        <v>532.78</v>
      </c>
      <c r="J1568" s="18"/>
      <c r="K1568" s="18"/>
      <c r="L1568" s="18"/>
      <c r="M1568" s="18"/>
    </row>
    <row r="1569" spans="3:13">
      <c r="C1569" t="s">
        <v>120</v>
      </c>
      <c r="D1569">
        <v>2032</v>
      </c>
      <c r="E1569" t="s">
        <v>147</v>
      </c>
      <c r="F1569">
        <v>1050.3499999999999</v>
      </c>
      <c r="J1569" s="18"/>
      <c r="K1569" s="18"/>
      <c r="L1569" s="18"/>
      <c r="M1569" s="18"/>
    </row>
    <row r="1570" spans="3:13">
      <c r="C1570" t="s">
        <v>120</v>
      </c>
      <c r="D1570">
        <v>2032</v>
      </c>
      <c r="E1570" t="s">
        <v>145</v>
      </c>
      <c r="F1570">
        <v>888.46</v>
      </c>
      <c r="J1570" s="18"/>
      <c r="K1570" s="18"/>
      <c r="L1570" s="18"/>
      <c r="M1570" s="18"/>
    </row>
    <row r="1571" spans="3:13">
      <c r="C1571" t="s">
        <v>120</v>
      </c>
      <c r="D1571">
        <v>2032</v>
      </c>
      <c r="E1571" t="s">
        <v>141</v>
      </c>
      <c r="F1571">
        <v>3893.24</v>
      </c>
      <c r="J1571" s="18"/>
      <c r="K1571" s="18"/>
      <c r="L1571" s="18"/>
      <c r="M1571" s="18"/>
    </row>
    <row r="1572" spans="3:13">
      <c r="C1572" t="s">
        <v>120</v>
      </c>
      <c r="D1572">
        <v>2032</v>
      </c>
      <c r="E1572" t="s">
        <v>142</v>
      </c>
      <c r="F1572">
        <v>4629.12</v>
      </c>
      <c r="J1572" s="18"/>
      <c r="K1572" s="18"/>
      <c r="L1572" s="18"/>
      <c r="M1572" s="18"/>
    </row>
    <row r="1573" spans="3:13">
      <c r="C1573" t="s">
        <v>120</v>
      </c>
      <c r="D1573">
        <v>2032</v>
      </c>
      <c r="E1573" t="s">
        <v>143</v>
      </c>
      <c r="F1573">
        <v>3480.36</v>
      </c>
      <c r="J1573" s="18"/>
      <c r="K1573" s="18"/>
      <c r="L1573" s="18"/>
      <c r="M1573" s="18"/>
    </row>
    <row r="1574" spans="3:13">
      <c r="C1574" t="s">
        <v>120</v>
      </c>
      <c r="D1574">
        <v>2032</v>
      </c>
      <c r="E1574" t="s">
        <v>144</v>
      </c>
      <c r="F1574">
        <v>835.54</v>
      </c>
      <c r="J1574" s="18"/>
      <c r="K1574" s="18"/>
      <c r="L1574" s="18"/>
      <c r="M1574" s="18"/>
    </row>
    <row r="1575" spans="3:13">
      <c r="C1575" t="s">
        <v>120</v>
      </c>
      <c r="D1575">
        <v>2033</v>
      </c>
      <c r="E1575" t="s">
        <v>146</v>
      </c>
      <c r="F1575">
        <v>531.91999999999996</v>
      </c>
      <c r="J1575" s="18"/>
      <c r="K1575" s="18"/>
      <c r="L1575" s="18"/>
      <c r="M1575" s="18"/>
    </row>
    <row r="1576" spans="3:13">
      <c r="C1576" t="s">
        <v>120</v>
      </c>
      <c r="D1576">
        <v>2033</v>
      </c>
      <c r="E1576" t="s">
        <v>147</v>
      </c>
      <c r="F1576">
        <v>1047.73</v>
      </c>
      <c r="J1576" s="18"/>
      <c r="K1576" s="18"/>
      <c r="L1576" s="18"/>
      <c r="M1576" s="18"/>
    </row>
    <row r="1577" spans="3:13">
      <c r="C1577" t="s">
        <v>120</v>
      </c>
      <c r="D1577">
        <v>2033</v>
      </c>
      <c r="E1577" t="s">
        <v>145</v>
      </c>
      <c r="F1577">
        <v>893.02</v>
      </c>
      <c r="J1577" s="18"/>
      <c r="K1577" s="18"/>
      <c r="L1577" s="18"/>
      <c r="M1577" s="18"/>
    </row>
    <row r="1578" spans="3:13">
      <c r="C1578" t="s">
        <v>120</v>
      </c>
      <c r="D1578">
        <v>2033</v>
      </c>
      <c r="E1578" t="s">
        <v>141</v>
      </c>
      <c r="F1578">
        <v>3921.38</v>
      </c>
      <c r="J1578" s="18"/>
      <c r="K1578" s="18"/>
      <c r="L1578" s="18"/>
      <c r="M1578" s="18"/>
    </row>
    <row r="1579" spans="3:13">
      <c r="C1579" t="s">
        <v>120</v>
      </c>
      <c r="D1579">
        <v>2033</v>
      </c>
      <c r="E1579" t="s">
        <v>142</v>
      </c>
      <c r="F1579">
        <v>4675.99</v>
      </c>
      <c r="J1579" s="18"/>
      <c r="K1579" s="18"/>
      <c r="L1579" s="18"/>
      <c r="M1579" s="18"/>
    </row>
    <row r="1580" spans="3:13">
      <c r="C1580" t="s">
        <v>120</v>
      </c>
      <c r="D1580">
        <v>2033</v>
      </c>
      <c r="E1580" t="s">
        <v>143</v>
      </c>
      <c r="F1580">
        <v>3487.83</v>
      </c>
      <c r="J1580" s="18"/>
      <c r="K1580" s="18"/>
      <c r="L1580" s="18"/>
      <c r="M1580" s="18"/>
    </row>
    <row r="1581" spans="3:13">
      <c r="C1581" t="s">
        <v>120</v>
      </c>
      <c r="D1581">
        <v>2033</v>
      </c>
      <c r="E1581" t="s">
        <v>144</v>
      </c>
      <c r="F1581">
        <v>924.32</v>
      </c>
      <c r="J1581" s="18"/>
      <c r="K1581" s="18"/>
      <c r="L1581" s="18"/>
      <c r="M1581" s="18"/>
    </row>
    <row r="1582" spans="3:13">
      <c r="C1582" t="s">
        <v>120</v>
      </c>
      <c r="D1582">
        <v>2034</v>
      </c>
      <c r="E1582" t="s">
        <v>146</v>
      </c>
      <c r="F1582">
        <v>531.20000000000005</v>
      </c>
      <c r="J1582" s="18"/>
      <c r="K1582" s="18"/>
      <c r="L1582" s="18"/>
      <c r="M1582" s="18"/>
    </row>
    <row r="1583" spans="3:13">
      <c r="C1583" t="s">
        <v>120</v>
      </c>
      <c r="D1583">
        <v>2034</v>
      </c>
      <c r="E1583" t="s">
        <v>147</v>
      </c>
      <c r="F1583">
        <v>1045.47</v>
      </c>
      <c r="J1583" s="18"/>
      <c r="K1583" s="18"/>
      <c r="L1583" s="18"/>
      <c r="M1583" s="18"/>
    </row>
    <row r="1584" spans="3:13">
      <c r="C1584" t="s">
        <v>120</v>
      </c>
      <c r="D1584">
        <v>2034</v>
      </c>
      <c r="E1584" t="s">
        <v>145</v>
      </c>
      <c r="F1584">
        <v>898.41</v>
      </c>
      <c r="J1584" s="18"/>
      <c r="K1584" s="18"/>
      <c r="L1584" s="18"/>
      <c r="M1584" s="18"/>
    </row>
    <row r="1585" spans="3:13">
      <c r="C1585" t="s">
        <v>120</v>
      </c>
      <c r="D1585">
        <v>2034</v>
      </c>
      <c r="E1585" t="s">
        <v>141</v>
      </c>
      <c r="F1585">
        <v>3950.03</v>
      </c>
      <c r="J1585" s="18"/>
      <c r="K1585" s="18"/>
      <c r="L1585" s="18"/>
      <c r="M1585" s="18"/>
    </row>
    <row r="1586" spans="3:13">
      <c r="C1586" t="s">
        <v>120</v>
      </c>
      <c r="D1586">
        <v>2034</v>
      </c>
      <c r="E1586" t="s">
        <v>142</v>
      </c>
      <c r="F1586">
        <v>4692.4399999999996</v>
      </c>
      <c r="J1586" s="18"/>
      <c r="K1586" s="18"/>
      <c r="L1586" s="18"/>
      <c r="M1586" s="18"/>
    </row>
    <row r="1587" spans="3:13">
      <c r="C1587" t="s">
        <v>120</v>
      </c>
      <c r="D1587">
        <v>2034</v>
      </c>
      <c r="E1587" t="s">
        <v>143</v>
      </c>
      <c r="F1587">
        <v>3495.5</v>
      </c>
      <c r="J1587" s="18"/>
      <c r="K1587" s="18"/>
      <c r="L1587" s="18"/>
      <c r="M1587" s="18"/>
    </row>
    <row r="1588" spans="3:13">
      <c r="C1588" t="s">
        <v>120</v>
      </c>
      <c r="D1588">
        <v>2034</v>
      </c>
      <c r="E1588" t="s">
        <v>144</v>
      </c>
      <c r="F1588">
        <v>1020.91</v>
      </c>
      <c r="J1588" s="18"/>
      <c r="K1588" s="18"/>
      <c r="L1588" s="18"/>
      <c r="M1588" s="18"/>
    </row>
    <row r="1589" spans="3:13">
      <c r="C1589" t="s">
        <v>120</v>
      </c>
      <c r="D1589">
        <v>2035</v>
      </c>
      <c r="E1589" t="s">
        <v>146</v>
      </c>
      <c r="F1589">
        <v>530.54999999999995</v>
      </c>
      <c r="J1589" s="18"/>
      <c r="K1589" s="18"/>
      <c r="L1589" s="18"/>
      <c r="M1589" s="18"/>
    </row>
    <row r="1590" spans="3:13">
      <c r="C1590" t="s">
        <v>120</v>
      </c>
      <c r="D1590">
        <v>2035</v>
      </c>
      <c r="E1590" t="s">
        <v>147</v>
      </c>
      <c r="F1590">
        <v>1043.42</v>
      </c>
      <c r="J1590" s="18"/>
      <c r="K1590" s="18"/>
      <c r="L1590" s="18"/>
      <c r="M1590" s="18"/>
    </row>
    <row r="1591" spans="3:13">
      <c r="C1591" t="s">
        <v>120</v>
      </c>
      <c r="D1591">
        <v>2035</v>
      </c>
      <c r="E1591" t="s">
        <v>145</v>
      </c>
      <c r="F1591">
        <v>903.8</v>
      </c>
      <c r="J1591" s="18"/>
      <c r="K1591" s="18"/>
      <c r="L1591" s="18"/>
      <c r="M1591" s="18"/>
    </row>
    <row r="1592" spans="3:13">
      <c r="C1592" t="s">
        <v>120</v>
      </c>
      <c r="D1592">
        <v>2035</v>
      </c>
      <c r="E1592" t="s">
        <v>141</v>
      </c>
      <c r="F1592">
        <v>3978.92</v>
      </c>
      <c r="J1592" s="18"/>
      <c r="K1592" s="18"/>
      <c r="L1592" s="18"/>
      <c r="M1592" s="18"/>
    </row>
    <row r="1593" spans="3:13">
      <c r="C1593" t="s">
        <v>120</v>
      </c>
      <c r="D1593">
        <v>2035</v>
      </c>
      <c r="E1593" t="s">
        <v>142</v>
      </c>
      <c r="F1593">
        <v>4729.93</v>
      </c>
      <c r="J1593" s="18"/>
      <c r="K1593" s="18"/>
      <c r="L1593" s="18"/>
      <c r="M1593" s="18"/>
    </row>
    <row r="1594" spans="3:13">
      <c r="C1594" t="s">
        <v>120</v>
      </c>
      <c r="D1594">
        <v>2035</v>
      </c>
      <c r="E1594" t="s">
        <v>143</v>
      </c>
      <c r="F1594">
        <v>3504.04</v>
      </c>
      <c r="J1594" s="18"/>
      <c r="K1594" s="18"/>
      <c r="L1594" s="18"/>
      <c r="M1594" s="18"/>
    </row>
    <row r="1595" spans="3:13">
      <c r="C1595" t="s">
        <v>120</v>
      </c>
      <c r="D1595">
        <v>2035</v>
      </c>
      <c r="E1595" t="s">
        <v>144</v>
      </c>
      <c r="F1595">
        <v>1124.75</v>
      </c>
      <c r="J1595" s="18"/>
      <c r="K1595" s="18"/>
      <c r="L1595" s="18"/>
      <c r="M1595" s="18"/>
    </row>
    <row r="1596" spans="3:13">
      <c r="C1596" t="s">
        <v>120</v>
      </c>
      <c r="D1596">
        <v>2036</v>
      </c>
      <c r="E1596" t="s">
        <v>146</v>
      </c>
      <c r="F1596">
        <v>529.91999999999996</v>
      </c>
      <c r="J1596" s="18"/>
      <c r="K1596" s="18"/>
      <c r="L1596" s="18"/>
      <c r="M1596" s="18"/>
    </row>
    <row r="1597" spans="3:13">
      <c r="C1597" t="s">
        <v>120</v>
      </c>
      <c r="D1597">
        <v>2036</v>
      </c>
      <c r="E1597" t="s">
        <v>147</v>
      </c>
      <c r="F1597">
        <v>1041.4100000000001</v>
      </c>
      <c r="J1597" s="18"/>
      <c r="K1597" s="18"/>
      <c r="L1597" s="18"/>
      <c r="M1597" s="18"/>
    </row>
    <row r="1598" spans="3:13">
      <c r="C1598" t="s">
        <v>120</v>
      </c>
      <c r="D1598">
        <v>2036</v>
      </c>
      <c r="E1598" t="s">
        <v>145</v>
      </c>
      <c r="F1598">
        <v>909.37</v>
      </c>
      <c r="J1598" s="18"/>
      <c r="K1598" s="18"/>
      <c r="L1598" s="18"/>
      <c r="M1598" s="18"/>
    </row>
    <row r="1599" spans="3:13">
      <c r="C1599" t="s">
        <v>120</v>
      </c>
      <c r="D1599">
        <v>2036</v>
      </c>
      <c r="E1599" t="s">
        <v>141</v>
      </c>
      <c r="F1599">
        <v>3996.49</v>
      </c>
      <c r="J1599" s="18"/>
      <c r="K1599" s="18"/>
      <c r="L1599" s="18"/>
      <c r="M1599" s="18"/>
    </row>
    <row r="1600" spans="3:13">
      <c r="C1600" t="s">
        <v>120</v>
      </c>
      <c r="D1600">
        <v>2036</v>
      </c>
      <c r="E1600" t="s">
        <v>142</v>
      </c>
      <c r="F1600">
        <v>4761.18</v>
      </c>
      <c r="J1600" s="18"/>
      <c r="K1600" s="18"/>
      <c r="L1600" s="18"/>
      <c r="M1600" s="18"/>
    </row>
    <row r="1601" spans="3:13">
      <c r="C1601" t="s">
        <v>120</v>
      </c>
      <c r="D1601">
        <v>2036</v>
      </c>
      <c r="E1601" t="s">
        <v>143</v>
      </c>
      <c r="F1601">
        <v>3502.65</v>
      </c>
      <c r="J1601" s="18"/>
      <c r="K1601" s="18"/>
      <c r="L1601" s="18"/>
      <c r="M1601" s="18"/>
    </row>
    <row r="1602" spans="3:13">
      <c r="C1602" t="s">
        <v>120</v>
      </c>
      <c r="D1602">
        <v>2036</v>
      </c>
      <c r="E1602" t="s">
        <v>144</v>
      </c>
      <c r="F1602">
        <v>1223.9100000000001</v>
      </c>
      <c r="J1602" s="18"/>
      <c r="K1602" s="18"/>
      <c r="L1602" s="18"/>
      <c r="M1602" s="18"/>
    </row>
    <row r="1603" spans="3:13">
      <c r="C1603" t="s">
        <v>120</v>
      </c>
      <c r="D1603">
        <v>2037</v>
      </c>
      <c r="E1603" t="s">
        <v>146</v>
      </c>
      <c r="F1603">
        <v>529.29</v>
      </c>
      <c r="J1603" s="18"/>
      <c r="K1603" s="18"/>
      <c r="L1603" s="18"/>
      <c r="M1603" s="18"/>
    </row>
    <row r="1604" spans="3:13">
      <c r="C1604" t="s">
        <v>120</v>
      </c>
      <c r="D1604">
        <v>2037</v>
      </c>
      <c r="E1604" t="s">
        <v>147</v>
      </c>
      <c r="F1604">
        <v>1039.3900000000001</v>
      </c>
      <c r="J1604" s="18"/>
      <c r="K1604" s="18"/>
      <c r="L1604" s="18"/>
      <c r="M1604" s="18"/>
    </row>
    <row r="1605" spans="3:13">
      <c r="C1605" t="s">
        <v>120</v>
      </c>
      <c r="D1605">
        <v>2037</v>
      </c>
      <c r="E1605" t="s">
        <v>145</v>
      </c>
      <c r="F1605">
        <v>915.06</v>
      </c>
      <c r="J1605" s="18"/>
      <c r="K1605" s="18"/>
      <c r="L1605" s="18"/>
      <c r="M1605" s="18"/>
    </row>
    <row r="1606" spans="3:13">
      <c r="C1606" t="s">
        <v>120</v>
      </c>
      <c r="D1606">
        <v>2037</v>
      </c>
      <c r="E1606" t="s">
        <v>141</v>
      </c>
      <c r="F1606">
        <v>4014.2</v>
      </c>
      <c r="J1606" s="18"/>
      <c r="K1606" s="18"/>
      <c r="L1606" s="18"/>
      <c r="M1606" s="18"/>
    </row>
    <row r="1607" spans="3:13">
      <c r="C1607" t="s">
        <v>120</v>
      </c>
      <c r="D1607">
        <v>2037</v>
      </c>
      <c r="E1607" t="s">
        <v>142</v>
      </c>
      <c r="F1607">
        <v>4797.08</v>
      </c>
      <c r="J1607" s="18"/>
      <c r="K1607" s="18"/>
      <c r="L1607" s="18"/>
      <c r="M1607" s="18"/>
    </row>
    <row r="1608" spans="3:13">
      <c r="C1608" t="s">
        <v>120</v>
      </c>
      <c r="D1608">
        <v>2037</v>
      </c>
      <c r="E1608" t="s">
        <v>143</v>
      </c>
      <c r="F1608">
        <v>3501.51</v>
      </c>
      <c r="J1608" s="18"/>
      <c r="K1608" s="18"/>
      <c r="L1608" s="18"/>
      <c r="M1608" s="18"/>
    </row>
    <row r="1609" spans="3:13">
      <c r="C1609" t="s">
        <v>120</v>
      </c>
      <c r="D1609">
        <v>2037</v>
      </c>
      <c r="E1609" t="s">
        <v>144</v>
      </c>
      <c r="F1609">
        <v>1324.82</v>
      </c>
      <c r="J1609" s="18"/>
      <c r="K1609" s="18"/>
      <c r="L1609" s="18"/>
      <c r="M1609" s="18"/>
    </row>
    <row r="1610" spans="3:13">
      <c r="C1610" t="s">
        <v>120</v>
      </c>
      <c r="D1610">
        <v>2038</v>
      </c>
      <c r="E1610" t="s">
        <v>146</v>
      </c>
      <c r="F1610">
        <v>528.66999999999996</v>
      </c>
      <c r="J1610" s="18"/>
      <c r="K1610" s="18"/>
      <c r="L1610" s="18"/>
      <c r="M1610" s="18"/>
    </row>
    <row r="1611" spans="3:13">
      <c r="C1611" t="s">
        <v>120</v>
      </c>
      <c r="D1611">
        <v>2038</v>
      </c>
      <c r="E1611" t="s">
        <v>147</v>
      </c>
      <c r="F1611">
        <v>1037.4100000000001</v>
      </c>
      <c r="J1611" s="18"/>
      <c r="K1611" s="18"/>
      <c r="L1611" s="18"/>
      <c r="M1611" s="18"/>
    </row>
    <row r="1612" spans="3:13">
      <c r="C1612" t="s">
        <v>120</v>
      </c>
      <c r="D1612">
        <v>2038</v>
      </c>
      <c r="E1612" t="s">
        <v>145</v>
      </c>
      <c r="F1612">
        <v>921.05</v>
      </c>
      <c r="J1612" s="18"/>
      <c r="K1612" s="18"/>
      <c r="L1612" s="18"/>
      <c r="M1612" s="18"/>
    </row>
    <row r="1613" spans="3:13">
      <c r="C1613" t="s">
        <v>120</v>
      </c>
      <c r="D1613">
        <v>2038</v>
      </c>
      <c r="E1613" t="s">
        <v>141</v>
      </c>
      <c r="F1613">
        <v>4032.27</v>
      </c>
      <c r="J1613" s="18"/>
      <c r="K1613" s="18"/>
      <c r="L1613" s="18"/>
      <c r="M1613" s="18"/>
    </row>
    <row r="1614" spans="3:13">
      <c r="C1614" t="s">
        <v>120</v>
      </c>
      <c r="D1614">
        <v>2038</v>
      </c>
      <c r="E1614" t="s">
        <v>142</v>
      </c>
      <c r="F1614">
        <v>4834.3999999999996</v>
      </c>
      <c r="J1614" s="18"/>
      <c r="K1614" s="18"/>
      <c r="L1614" s="18"/>
      <c r="M1614" s="18"/>
    </row>
    <row r="1615" spans="3:13">
      <c r="C1615" t="s">
        <v>120</v>
      </c>
      <c r="D1615">
        <v>2038</v>
      </c>
      <c r="E1615" t="s">
        <v>143</v>
      </c>
      <c r="F1615">
        <v>3500.82</v>
      </c>
      <c r="J1615" s="18"/>
      <c r="K1615" s="18"/>
      <c r="L1615" s="18"/>
      <c r="M1615" s="18"/>
    </row>
    <row r="1616" spans="3:13">
      <c r="C1616" t="s">
        <v>120</v>
      </c>
      <c r="D1616">
        <v>2038</v>
      </c>
      <c r="E1616" t="s">
        <v>144</v>
      </c>
      <c r="F1616">
        <v>1427.64</v>
      </c>
      <c r="J1616" s="18"/>
      <c r="K1616" s="18"/>
      <c r="L1616" s="18"/>
      <c r="M1616" s="18"/>
    </row>
    <row r="1617" spans="3:13">
      <c r="C1617" t="s">
        <v>120</v>
      </c>
      <c r="D1617">
        <v>2039</v>
      </c>
      <c r="E1617" t="s">
        <v>146</v>
      </c>
      <c r="F1617">
        <v>528.03</v>
      </c>
      <c r="J1617" s="18"/>
      <c r="K1617" s="18"/>
      <c r="L1617" s="18"/>
      <c r="M1617" s="18"/>
    </row>
    <row r="1618" spans="3:13">
      <c r="C1618" t="s">
        <v>120</v>
      </c>
      <c r="D1618">
        <v>2039</v>
      </c>
      <c r="E1618" t="s">
        <v>147</v>
      </c>
      <c r="F1618">
        <v>1035.3599999999999</v>
      </c>
      <c r="J1618" s="18"/>
      <c r="K1618" s="18"/>
      <c r="L1618" s="18"/>
      <c r="M1618" s="18"/>
    </row>
    <row r="1619" spans="3:13">
      <c r="C1619" t="s">
        <v>120</v>
      </c>
      <c r="D1619">
        <v>2039</v>
      </c>
      <c r="E1619" t="s">
        <v>145</v>
      </c>
      <c r="F1619">
        <v>927.65</v>
      </c>
      <c r="J1619" s="18"/>
      <c r="K1619" s="18"/>
      <c r="L1619" s="18"/>
      <c r="M1619" s="18"/>
    </row>
    <row r="1620" spans="3:13">
      <c r="C1620" t="s">
        <v>120</v>
      </c>
      <c r="D1620">
        <v>2039</v>
      </c>
      <c r="E1620" t="s">
        <v>141</v>
      </c>
      <c r="F1620">
        <v>4050.91</v>
      </c>
      <c r="J1620" s="18"/>
      <c r="K1620" s="18"/>
      <c r="L1620" s="18"/>
      <c r="M1620" s="18"/>
    </row>
    <row r="1621" spans="3:13">
      <c r="C1621" t="s">
        <v>120</v>
      </c>
      <c r="D1621">
        <v>2039</v>
      </c>
      <c r="E1621" t="s">
        <v>142</v>
      </c>
      <c r="F1621">
        <v>4869.22</v>
      </c>
      <c r="J1621" s="18"/>
      <c r="K1621" s="18"/>
      <c r="L1621" s="18"/>
      <c r="M1621" s="18"/>
    </row>
    <row r="1622" spans="3:13">
      <c r="C1622" t="s">
        <v>120</v>
      </c>
      <c r="D1622">
        <v>2039</v>
      </c>
      <c r="E1622" t="s">
        <v>143</v>
      </c>
      <c r="F1622">
        <v>3501.6</v>
      </c>
      <c r="J1622" s="18"/>
      <c r="K1622" s="18"/>
      <c r="L1622" s="18"/>
      <c r="M1622" s="18"/>
    </row>
    <row r="1623" spans="3:13">
      <c r="C1623" t="s">
        <v>120</v>
      </c>
      <c r="D1623">
        <v>2039</v>
      </c>
      <c r="E1623" t="s">
        <v>144</v>
      </c>
      <c r="F1623">
        <v>1530.94</v>
      </c>
      <c r="J1623" s="18"/>
      <c r="K1623" s="18"/>
      <c r="L1623" s="18"/>
      <c r="M1623" s="18"/>
    </row>
    <row r="1624" spans="3:13">
      <c r="C1624" t="s">
        <v>120</v>
      </c>
      <c r="D1624">
        <v>2040</v>
      </c>
      <c r="E1624" t="s">
        <v>146</v>
      </c>
      <c r="F1624">
        <v>527.5</v>
      </c>
      <c r="J1624" s="18"/>
      <c r="K1624" s="18"/>
      <c r="L1624" s="18"/>
      <c r="M1624" s="18"/>
    </row>
    <row r="1625" spans="3:13">
      <c r="C1625" t="s">
        <v>120</v>
      </c>
      <c r="D1625">
        <v>2040</v>
      </c>
      <c r="E1625" t="s">
        <v>147</v>
      </c>
      <c r="F1625">
        <v>1033.5999999999999</v>
      </c>
      <c r="J1625" s="18"/>
      <c r="K1625" s="18"/>
      <c r="L1625" s="18"/>
      <c r="M1625" s="18"/>
    </row>
    <row r="1626" spans="3:13">
      <c r="C1626" t="s">
        <v>120</v>
      </c>
      <c r="D1626">
        <v>2040</v>
      </c>
      <c r="E1626" t="s">
        <v>145</v>
      </c>
      <c r="F1626">
        <v>934.45</v>
      </c>
      <c r="J1626" s="18"/>
      <c r="K1626" s="18"/>
      <c r="L1626" s="18"/>
      <c r="M1626" s="18"/>
    </row>
    <row r="1627" spans="3:13">
      <c r="C1627" t="s">
        <v>120</v>
      </c>
      <c r="D1627">
        <v>2040</v>
      </c>
      <c r="E1627" t="s">
        <v>141</v>
      </c>
      <c r="F1627">
        <v>4069.84</v>
      </c>
      <c r="J1627" s="18"/>
      <c r="K1627" s="18"/>
      <c r="L1627" s="18"/>
      <c r="M1627" s="18"/>
    </row>
    <row r="1628" spans="3:13">
      <c r="C1628" t="s">
        <v>120</v>
      </c>
      <c r="D1628">
        <v>2040</v>
      </c>
      <c r="E1628" t="s">
        <v>142</v>
      </c>
      <c r="F1628">
        <v>4902.71</v>
      </c>
      <c r="J1628" s="18"/>
      <c r="K1628" s="18"/>
      <c r="L1628" s="18"/>
      <c r="M1628" s="18"/>
    </row>
    <row r="1629" spans="3:13">
      <c r="C1629" t="s">
        <v>120</v>
      </c>
      <c r="D1629">
        <v>2040</v>
      </c>
      <c r="E1629" t="s">
        <v>143</v>
      </c>
      <c r="F1629">
        <v>3501.29</v>
      </c>
      <c r="J1629" s="18"/>
      <c r="K1629" s="18"/>
      <c r="L1629" s="18"/>
      <c r="M1629" s="18"/>
    </row>
    <row r="1630" spans="3:13">
      <c r="C1630" t="s">
        <v>120</v>
      </c>
      <c r="D1630">
        <v>2040</v>
      </c>
      <c r="E1630" t="s">
        <v>144</v>
      </c>
      <c r="F1630">
        <v>1635.38</v>
      </c>
      <c r="J1630" s="18"/>
      <c r="K1630" s="18"/>
      <c r="L1630" s="18"/>
      <c r="M1630" s="18"/>
    </row>
    <row r="1631" spans="3:13">
      <c r="C1631" t="s">
        <v>120</v>
      </c>
      <c r="D1631">
        <v>2041</v>
      </c>
      <c r="E1631" t="s">
        <v>146</v>
      </c>
      <c r="F1631">
        <v>527.07000000000005</v>
      </c>
      <c r="J1631" s="18"/>
      <c r="K1631" s="18"/>
      <c r="L1631" s="18"/>
      <c r="M1631" s="18"/>
    </row>
    <row r="1632" spans="3:13">
      <c r="C1632" t="s">
        <v>120</v>
      </c>
      <c r="D1632">
        <v>2041</v>
      </c>
      <c r="E1632" t="s">
        <v>147</v>
      </c>
      <c r="F1632">
        <v>1032.0899999999999</v>
      </c>
      <c r="J1632" s="18"/>
      <c r="K1632" s="18"/>
      <c r="L1632" s="18"/>
      <c r="M1632" s="18"/>
    </row>
    <row r="1633" spans="3:13">
      <c r="C1633" t="s">
        <v>120</v>
      </c>
      <c r="D1633">
        <v>2041</v>
      </c>
      <c r="E1633" t="s">
        <v>145</v>
      </c>
      <c r="F1633">
        <v>941.44</v>
      </c>
      <c r="J1633" s="18"/>
      <c r="K1633" s="18"/>
      <c r="L1633" s="18"/>
      <c r="M1633" s="18"/>
    </row>
    <row r="1634" spans="3:13">
      <c r="C1634" t="s">
        <v>120</v>
      </c>
      <c r="D1634">
        <v>2041</v>
      </c>
      <c r="E1634" t="s">
        <v>141</v>
      </c>
      <c r="F1634">
        <v>4093.16</v>
      </c>
      <c r="J1634" s="18"/>
      <c r="K1634" s="18"/>
      <c r="L1634" s="18"/>
      <c r="M1634" s="18"/>
    </row>
    <row r="1635" spans="3:13">
      <c r="C1635" t="s">
        <v>120</v>
      </c>
      <c r="D1635">
        <v>2041</v>
      </c>
      <c r="E1635" t="s">
        <v>142</v>
      </c>
      <c r="F1635">
        <v>4943.57</v>
      </c>
      <c r="J1635" s="18"/>
      <c r="K1635" s="18"/>
      <c r="L1635" s="18"/>
      <c r="M1635" s="18"/>
    </row>
    <row r="1636" spans="3:13">
      <c r="C1636" t="s">
        <v>120</v>
      </c>
      <c r="D1636">
        <v>2041</v>
      </c>
      <c r="E1636" t="s">
        <v>143</v>
      </c>
      <c r="F1636">
        <v>3505.86</v>
      </c>
      <c r="J1636" s="18"/>
      <c r="K1636" s="18"/>
      <c r="L1636" s="18"/>
      <c r="M1636" s="18"/>
    </row>
    <row r="1637" spans="3:13">
      <c r="C1637" t="s">
        <v>120</v>
      </c>
      <c r="D1637">
        <v>2041</v>
      </c>
      <c r="E1637" t="s">
        <v>144</v>
      </c>
      <c r="F1637">
        <v>1741.31</v>
      </c>
      <c r="J1637" s="18"/>
      <c r="K1637" s="18"/>
      <c r="L1637" s="18"/>
      <c r="M1637" s="18"/>
    </row>
    <row r="1638" spans="3:13">
      <c r="C1638" t="s">
        <v>120</v>
      </c>
      <c r="D1638">
        <v>2042</v>
      </c>
      <c r="E1638" t="s">
        <v>146</v>
      </c>
      <c r="F1638">
        <v>526.62</v>
      </c>
      <c r="J1638" s="18"/>
      <c r="K1638" s="18"/>
      <c r="L1638" s="18"/>
      <c r="M1638" s="18"/>
    </row>
    <row r="1639" spans="3:13">
      <c r="C1639" t="s">
        <v>120</v>
      </c>
      <c r="D1639">
        <v>2042</v>
      </c>
      <c r="E1639" t="s">
        <v>147</v>
      </c>
      <c r="F1639">
        <v>1030.53</v>
      </c>
      <c r="J1639" s="18"/>
      <c r="K1639" s="18"/>
      <c r="L1639" s="18"/>
      <c r="M1639" s="18"/>
    </row>
    <row r="1640" spans="3:13">
      <c r="C1640" t="s">
        <v>120</v>
      </c>
      <c r="D1640">
        <v>2042</v>
      </c>
      <c r="E1640" t="s">
        <v>145</v>
      </c>
      <c r="F1640">
        <v>948.6</v>
      </c>
      <c r="J1640" s="18"/>
      <c r="K1640" s="18"/>
      <c r="L1640" s="18"/>
      <c r="M1640" s="18"/>
    </row>
    <row r="1641" spans="3:13">
      <c r="C1641" t="s">
        <v>120</v>
      </c>
      <c r="D1641">
        <v>2042</v>
      </c>
      <c r="E1641" t="s">
        <v>141</v>
      </c>
      <c r="F1641">
        <v>4116.95</v>
      </c>
      <c r="J1641" s="18"/>
      <c r="K1641" s="18"/>
      <c r="L1641" s="18"/>
      <c r="M1641" s="18"/>
    </row>
    <row r="1642" spans="3:13">
      <c r="C1642" t="s">
        <v>120</v>
      </c>
      <c r="D1642">
        <v>2042</v>
      </c>
      <c r="E1642" t="s">
        <v>142</v>
      </c>
      <c r="F1642">
        <v>4980.84</v>
      </c>
      <c r="J1642" s="18"/>
      <c r="K1642" s="18"/>
      <c r="L1642" s="18"/>
      <c r="M1642" s="18"/>
    </row>
    <row r="1643" spans="3:13">
      <c r="C1643" t="s">
        <v>120</v>
      </c>
      <c r="D1643">
        <v>2042</v>
      </c>
      <c r="E1643" t="s">
        <v>143</v>
      </c>
      <c r="F1643">
        <v>3511.32</v>
      </c>
      <c r="J1643" s="18"/>
      <c r="K1643" s="18"/>
      <c r="L1643" s="18"/>
      <c r="M1643" s="18"/>
    </row>
    <row r="1644" spans="3:13">
      <c r="C1644" t="s">
        <v>120</v>
      </c>
      <c r="D1644">
        <v>2042</v>
      </c>
      <c r="E1644" t="s">
        <v>144</v>
      </c>
      <c r="F1644">
        <v>1845.34</v>
      </c>
      <c r="J1644" s="18"/>
      <c r="K1644" s="18"/>
      <c r="L1644" s="18"/>
      <c r="M1644" s="18"/>
    </row>
    <row r="1645" spans="3:13">
      <c r="C1645" t="s">
        <v>120</v>
      </c>
      <c r="D1645">
        <v>2043</v>
      </c>
      <c r="E1645" t="s">
        <v>146</v>
      </c>
      <c r="F1645">
        <v>526.16999999999996</v>
      </c>
      <c r="J1645" s="18"/>
      <c r="K1645" s="18"/>
      <c r="L1645" s="18"/>
      <c r="M1645" s="18"/>
    </row>
    <row r="1646" spans="3:13">
      <c r="C1646" t="s">
        <v>120</v>
      </c>
      <c r="D1646">
        <v>2043</v>
      </c>
      <c r="E1646" t="s">
        <v>147</v>
      </c>
      <c r="F1646">
        <v>1028.97</v>
      </c>
      <c r="J1646" s="18"/>
      <c r="K1646" s="18"/>
      <c r="L1646" s="18"/>
      <c r="M1646" s="18"/>
    </row>
    <row r="1647" spans="3:13">
      <c r="C1647" t="s">
        <v>120</v>
      </c>
      <c r="D1647">
        <v>2043</v>
      </c>
      <c r="E1647" t="s">
        <v>145</v>
      </c>
      <c r="F1647">
        <v>956.05</v>
      </c>
      <c r="J1647" s="18"/>
      <c r="K1647" s="18"/>
      <c r="L1647" s="18"/>
      <c r="M1647" s="18"/>
    </row>
    <row r="1648" spans="3:13">
      <c r="C1648" t="s">
        <v>120</v>
      </c>
      <c r="D1648">
        <v>2043</v>
      </c>
      <c r="E1648" t="s">
        <v>141</v>
      </c>
      <c r="F1648">
        <v>4140.9399999999996</v>
      </c>
      <c r="J1648" s="18"/>
      <c r="K1648" s="18"/>
      <c r="L1648" s="18"/>
      <c r="M1648" s="18"/>
    </row>
    <row r="1649" spans="3:13">
      <c r="C1649" t="s">
        <v>120</v>
      </c>
      <c r="D1649">
        <v>2043</v>
      </c>
      <c r="E1649" t="s">
        <v>142</v>
      </c>
      <c r="F1649">
        <v>5021.96</v>
      </c>
      <c r="J1649" s="18"/>
      <c r="K1649" s="18"/>
      <c r="L1649" s="18"/>
      <c r="M1649" s="18"/>
    </row>
    <row r="1650" spans="3:13">
      <c r="C1650" t="s">
        <v>120</v>
      </c>
      <c r="D1650">
        <v>2043</v>
      </c>
      <c r="E1650" t="s">
        <v>143</v>
      </c>
      <c r="F1650">
        <v>3516.48</v>
      </c>
      <c r="J1650" s="18"/>
      <c r="K1650" s="18"/>
      <c r="L1650" s="18"/>
      <c r="M1650" s="18"/>
    </row>
    <row r="1651" spans="3:13">
      <c r="C1651" t="s">
        <v>120</v>
      </c>
      <c r="D1651">
        <v>2043</v>
      </c>
      <c r="E1651" t="s">
        <v>144</v>
      </c>
      <c r="F1651">
        <v>1947.8</v>
      </c>
      <c r="J1651" s="18"/>
      <c r="K1651" s="18"/>
      <c r="L1651" s="18"/>
      <c r="M1651" s="18"/>
    </row>
    <row r="1652" spans="3:13">
      <c r="C1652" t="s">
        <v>120</v>
      </c>
      <c r="D1652">
        <v>2044</v>
      </c>
      <c r="E1652" t="s">
        <v>146</v>
      </c>
      <c r="F1652">
        <v>525.72</v>
      </c>
      <c r="J1652" s="18"/>
      <c r="K1652" s="18"/>
      <c r="L1652" s="18"/>
      <c r="M1652" s="18"/>
    </row>
    <row r="1653" spans="3:13">
      <c r="C1653" t="s">
        <v>120</v>
      </c>
      <c r="D1653">
        <v>2044</v>
      </c>
      <c r="E1653" t="s">
        <v>147</v>
      </c>
      <c r="F1653">
        <v>1027.42</v>
      </c>
      <c r="J1653" s="18"/>
      <c r="K1653" s="18"/>
      <c r="L1653" s="18"/>
      <c r="M1653" s="18"/>
    </row>
    <row r="1654" spans="3:13">
      <c r="C1654" t="s">
        <v>120</v>
      </c>
      <c r="D1654">
        <v>2044</v>
      </c>
      <c r="E1654" t="s">
        <v>145</v>
      </c>
      <c r="F1654">
        <v>963.45</v>
      </c>
      <c r="J1654" s="18"/>
      <c r="K1654" s="18"/>
      <c r="L1654" s="18"/>
      <c r="M1654" s="18"/>
    </row>
    <row r="1655" spans="3:13">
      <c r="C1655" t="s">
        <v>120</v>
      </c>
      <c r="D1655">
        <v>2044</v>
      </c>
      <c r="E1655" t="s">
        <v>141</v>
      </c>
      <c r="F1655">
        <v>4165.03</v>
      </c>
      <c r="J1655" s="18"/>
      <c r="K1655" s="18"/>
      <c r="L1655" s="18"/>
      <c r="M1655" s="18"/>
    </row>
    <row r="1656" spans="3:13">
      <c r="C1656" t="s">
        <v>120</v>
      </c>
      <c r="D1656">
        <v>2044</v>
      </c>
      <c r="E1656" t="s">
        <v>142</v>
      </c>
      <c r="F1656">
        <v>5061.28</v>
      </c>
      <c r="J1656" s="18"/>
      <c r="K1656" s="18"/>
      <c r="L1656" s="18"/>
      <c r="M1656" s="18"/>
    </row>
    <row r="1657" spans="3:13">
      <c r="C1657" t="s">
        <v>120</v>
      </c>
      <c r="D1657">
        <v>2044</v>
      </c>
      <c r="E1657" t="s">
        <v>143</v>
      </c>
      <c r="F1657">
        <v>3522.51</v>
      </c>
      <c r="J1657" s="18"/>
      <c r="K1657" s="18"/>
      <c r="L1657" s="18"/>
      <c r="M1657" s="18"/>
    </row>
    <row r="1658" spans="3:13">
      <c r="C1658" t="s">
        <v>120</v>
      </c>
      <c r="D1658">
        <v>2044</v>
      </c>
      <c r="E1658" t="s">
        <v>144</v>
      </c>
      <c r="F1658">
        <v>2046.19</v>
      </c>
      <c r="J1658" s="18"/>
      <c r="K1658" s="18"/>
      <c r="L1658" s="18"/>
      <c r="M1658" s="18"/>
    </row>
    <row r="1659" spans="3:13">
      <c r="C1659" t="s">
        <v>120</v>
      </c>
      <c r="D1659">
        <v>2045</v>
      </c>
      <c r="E1659" t="s">
        <v>146</v>
      </c>
      <c r="F1659">
        <v>525.29999999999995</v>
      </c>
      <c r="J1659" s="18"/>
      <c r="K1659" s="18"/>
      <c r="L1659" s="18"/>
      <c r="M1659" s="18"/>
    </row>
    <row r="1660" spans="3:13">
      <c r="C1660" t="s">
        <v>120</v>
      </c>
      <c r="D1660">
        <v>2045</v>
      </c>
      <c r="E1660" t="s">
        <v>147</v>
      </c>
      <c r="F1660">
        <v>1025.94</v>
      </c>
      <c r="J1660" s="18"/>
      <c r="K1660" s="18"/>
      <c r="L1660" s="18"/>
      <c r="M1660" s="18"/>
    </row>
    <row r="1661" spans="3:13">
      <c r="C1661" t="s">
        <v>120</v>
      </c>
      <c r="D1661">
        <v>2045</v>
      </c>
      <c r="E1661" t="s">
        <v>145</v>
      </c>
      <c r="F1661">
        <v>971.38</v>
      </c>
      <c r="J1661" s="18"/>
      <c r="K1661" s="18"/>
      <c r="L1661" s="18"/>
      <c r="M1661" s="18"/>
    </row>
    <row r="1662" spans="3:13">
      <c r="C1662" t="s">
        <v>120</v>
      </c>
      <c r="D1662">
        <v>2045</v>
      </c>
      <c r="E1662" t="s">
        <v>141</v>
      </c>
      <c r="F1662">
        <v>4189.55</v>
      </c>
      <c r="J1662" s="18"/>
      <c r="K1662" s="18"/>
      <c r="L1662" s="18"/>
      <c r="M1662" s="18"/>
    </row>
    <row r="1663" spans="3:13">
      <c r="C1663" t="s">
        <v>120</v>
      </c>
      <c r="D1663">
        <v>2045</v>
      </c>
      <c r="E1663" t="s">
        <v>142</v>
      </c>
      <c r="F1663">
        <v>5098.03</v>
      </c>
      <c r="J1663" s="18"/>
      <c r="K1663" s="18"/>
      <c r="L1663" s="18"/>
      <c r="M1663" s="18"/>
    </row>
    <row r="1664" spans="3:13">
      <c r="C1664" t="s">
        <v>120</v>
      </c>
      <c r="D1664">
        <v>2045</v>
      </c>
      <c r="E1664" t="s">
        <v>143</v>
      </c>
      <c r="F1664">
        <v>3529.97</v>
      </c>
      <c r="J1664" s="18"/>
      <c r="K1664" s="18"/>
      <c r="L1664" s="18"/>
      <c r="M1664" s="18"/>
    </row>
    <row r="1665" spans="3:13">
      <c r="C1665" t="s">
        <v>120</v>
      </c>
      <c r="D1665">
        <v>2045</v>
      </c>
      <c r="E1665" t="s">
        <v>144</v>
      </c>
      <c r="F1665">
        <v>2139.37</v>
      </c>
      <c r="J1665" s="18"/>
      <c r="K1665" s="18"/>
      <c r="L1665" s="18"/>
      <c r="M1665" s="18"/>
    </row>
    <row r="1666" spans="3:13">
      <c r="C1666" t="s">
        <v>120</v>
      </c>
      <c r="D1666">
        <v>2046</v>
      </c>
      <c r="E1666" t="s">
        <v>146</v>
      </c>
      <c r="F1666">
        <v>524.84</v>
      </c>
      <c r="J1666" s="18"/>
      <c r="K1666" s="18"/>
      <c r="L1666" s="18"/>
      <c r="M1666" s="18"/>
    </row>
    <row r="1667" spans="3:13">
      <c r="C1667" t="s">
        <v>120</v>
      </c>
      <c r="D1667">
        <v>2046</v>
      </c>
      <c r="E1667" t="s">
        <v>147</v>
      </c>
      <c r="F1667">
        <v>1024.3699999999999</v>
      </c>
      <c r="J1667" s="18"/>
      <c r="K1667" s="18"/>
      <c r="L1667" s="18"/>
      <c r="M1667" s="18"/>
    </row>
    <row r="1668" spans="3:13">
      <c r="C1668" t="s">
        <v>120</v>
      </c>
      <c r="D1668">
        <v>2046</v>
      </c>
      <c r="E1668" t="s">
        <v>145</v>
      </c>
      <c r="F1668">
        <v>979.05</v>
      </c>
      <c r="J1668" s="18"/>
      <c r="K1668" s="18"/>
      <c r="L1668" s="18"/>
      <c r="M1668" s="18"/>
    </row>
    <row r="1669" spans="3:13">
      <c r="C1669" t="s">
        <v>120</v>
      </c>
      <c r="D1669">
        <v>2046</v>
      </c>
      <c r="E1669" t="s">
        <v>141</v>
      </c>
      <c r="F1669">
        <v>4218.38</v>
      </c>
      <c r="J1669" s="18"/>
      <c r="K1669" s="18"/>
      <c r="L1669" s="18"/>
      <c r="M1669" s="18"/>
    </row>
    <row r="1670" spans="3:13">
      <c r="C1670" t="s">
        <v>120</v>
      </c>
      <c r="D1670">
        <v>2046</v>
      </c>
      <c r="E1670" t="s">
        <v>142</v>
      </c>
      <c r="F1670">
        <v>5145.3900000000003</v>
      </c>
      <c r="J1670" s="18"/>
      <c r="K1670" s="18"/>
      <c r="L1670" s="18"/>
      <c r="M1670" s="18"/>
    </row>
    <row r="1671" spans="3:13">
      <c r="C1671" t="s">
        <v>120</v>
      </c>
      <c r="D1671">
        <v>2046</v>
      </c>
      <c r="E1671" t="s">
        <v>143</v>
      </c>
      <c r="F1671">
        <v>3539.28</v>
      </c>
      <c r="J1671" s="18"/>
      <c r="K1671" s="18"/>
      <c r="L1671" s="18"/>
      <c r="M1671" s="18"/>
    </row>
    <row r="1672" spans="3:13">
      <c r="C1672" t="s">
        <v>120</v>
      </c>
      <c r="D1672">
        <v>2046</v>
      </c>
      <c r="E1672" t="s">
        <v>144</v>
      </c>
      <c r="F1672">
        <v>2231.79</v>
      </c>
      <c r="J1672" s="18"/>
      <c r="K1672" s="18"/>
      <c r="L1672" s="18"/>
      <c r="M1672" s="18"/>
    </row>
    <row r="1673" spans="3:13">
      <c r="C1673" t="s">
        <v>120</v>
      </c>
      <c r="D1673">
        <v>2047</v>
      </c>
      <c r="E1673" t="s">
        <v>146</v>
      </c>
      <c r="F1673">
        <v>524.39</v>
      </c>
      <c r="J1673" s="18"/>
      <c r="K1673" s="18"/>
      <c r="L1673" s="18"/>
      <c r="M1673" s="18"/>
    </row>
    <row r="1674" spans="3:13">
      <c r="C1674" t="s">
        <v>120</v>
      </c>
      <c r="D1674">
        <v>2047</v>
      </c>
      <c r="E1674" t="s">
        <v>147</v>
      </c>
      <c r="F1674">
        <v>1022.83</v>
      </c>
      <c r="J1674" s="18"/>
      <c r="K1674" s="18"/>
      <c r="L1674" s="18"/>
      <c r="M1674" s="18"/>
    </row>
    <row r="1675" spans="3:13">
      <c r="C1675" t="s">
        <v>120</v>
      </c>
      <c r="D1675">
        <v>2047</v>
      </c>
      <c r="E1675" t="s">
        <v>145</v>
      </c>
      <c r="F1675">
        <v>987.25</v>
      </c>
      <c r="J1675" s="18"/>
      <c r="K1675" s="18"/>
      <c r="L1675" s="18"/>
      <c r="M1675" s="18"/>
    </row>
    <row r="1676" spans="3:13">
      <c r="C1676" t="s">
        <v>120</v>
      </c>
      <c r="D1676">
        <v>2047</v>
      </c>
      <c r="E1676" t="s">
        <v>141</v>
      </c>
      <c r="F1676">
        <v>4247.2</v>
      </c>
      <c r="J1676" s="18"/>
      <c r="K1676" s="18"/>
      <c r="L1676" s="18"/>
      <c r="M1676" s="18"/>
    </row>
    <row r="1677" spans="3:13">
      <c r="C1677" t="s">
        <v>120</v>
      </c>
      <c r="D1677">
        <v>2047</v>
      </c>
      <c r="E1677" t="s">
        <v>142</v>
      </c>
      <c r="F1677">
        <v>5181.76</v>
      </c>
      <c r="J1677" s="18"/>
      <c r="K1677" s="18"/>
      <c r="L1677" s="18"/>
      <c r="M1677" s="18"/>
    </row>
    <row r="1678" spans="3:13">
      <c r="C1678" t="s">
        <v>120</v>
      </c>
      <c r="D1678">
        <v>2047</v>
      </c>
      <c r="E1678" t="s">
        <v>143</v>
      </c>
      <c r="F1678">
        <v>3549.06</v>
      </c>
      <c r="J1678" s="18"/>
      <c r="K1678" s="18"/>
      <c r="L1678" s="18"/>
      <c r="M1678" s="18"/>
    </row>
    <row r="1679" spans="3:13">
      <c r="C1679" t="s">
        <v>120</v>
      </c>
      <c r="D1679">
        <v>2047</v>
      </c>
      <c r="E1679" t="s">
        <v>144</v>
      </c>
      <c r="F1679">
        <v>2321.0300000000002</v>
      </c>
      <c r="J1679" s="18"/>
      <c r="K1679" s="18"/>
      <c r="L1679" s="18"/>
      <c r="M1679" s="18"/>
    </row>
    <row r="1680" spans="3:13">
      <c r="C1680" t="s">
        <v>120</v>
      </c>
      <c r="D1680">
        <v>2048</v>
      </c>
      <c r="E1680" t="s">
        <v>146</v>
      </c>
      <c r="F1680">
        <v>524.05999999999995</v>
      </c>
      <c r="J1680" s="18"/>
      <c r="K1680" s="18"/>
      <c r="L1680" s="18"/>
      <c r="M1680" s="18"/>
    </row>
    <row r="1681" spans="3:13">
      <c r="C1681" t="s">
        <v>120</v>
      </c>
      <c r="D1681">
        <v>2048</v>
      </c>
      <c r="E1681" t="s">
        <v>147</v>
      </c>
      <c r="F1681">
        <v>1021.6</v>
      </c>
      <c r="J1681" s="18"/>
      <c r="K1681" s="18"/>
      <c r="L1681" s="18"/>
      <c r="M1681" s="18"/>
    </row>
    <row r="1682" spans="3:13">
      <c r="C1682" t="s">
        <v>120</v>
      </c>
      <c r="D1682">
        <v>2048</v>
      </c>
      <c r="E1682" t="s">
        <v>145</v>
      </c>
      <c r="F1682">
        <v>995.6</v>
      </c>
      <c r="J1682" s="18"/>
      <c r="K1682" s="18"/>
      <c r="L1682" s="18"/>
      <c r="M1682" s="18"/>
    </row>
    <row r="1683" spans="3:13">
      <c r="C1683" t="s">
        <v>120</v>
      </c>
      <c r="D1683">
        <v>2048</v>
      </c>
      <c r="E1683" t="s">
        <v>141</v>
      </c>
      <c r="F1683">
        <v>4276.6400000000003</v>
      </c>
      <c r="J1683" s="18"/>
      <c r="K1683" s="18"/>
      <c r="L1683" s="18"/>
      <c r="M1683" s="18"/>
    </row>
    <row r="1684" spans="3:13">
      <c r="C1684" t="s">
        <v>120</v>
      </c>
      <c r="D1684">
        <v>2048</v>
      </c>
      <c r="E1684" t="s">
        <v>142</v>
      </c>
      <c r="F1684">
        <v>5233.3</v>
      </c>
      <c r="J1684" s="18"/>
      <c r="K1684" s="18"/>
      <c r="L1684" s="18"/>
      <c r="M1684" s="18"/>
    </row>
    <row r="1685" spans="3:13">
      <c r="C1685" t="s">
        <v>120</v>
      </c>
      <c r="D1685">
        <v>2048</v>
      </c>
      <c r="E1685" t="s">
        <v>143</v>
      </c>
      <c r="F1685">
        <v>3559.82</v>
      </c>
      <c r="J1685" s="18"/>
      <c r="K1685" s="18"/>
      <c r="L1685" s="18"/>
      <c r="M1685" s="18"/>
    </row>
    <row r="1686" spans="3:13">
      <c r="C1686" t="s">
        <v>120</v>
      </c>
      <c r="D1686">
        <v>2048</v>
      </c>
      <c r="E1686" t="s">
        <v>144</v>
      </c>
      <c r="F1686">
        <v>2409.15</v>
      </c>
      <c r="J1686" s="18"/>
      <c r="K1686" s="18"/>
      <c r="L1686" s="18"/>
      <c r="M1686" s="18"/>
    </row>
    <row r="1687" spans="3:13">
      <c r="C1687" t="s">
        <v>120</v>
      </c>
      <c r="D1687">
        <v>2049</v>
      </c>
      <c r="E1687" t="s">
        <v>146</v>
      </c>
      <c r="F1687">
        <v>523.64</v>
      </c>
      <c r="J1687" s="18"/>
      <c r="K1687" s="18"/>
      <c r="L1687" s="18"/>
      <c r="M1687" s="18"/>
    </row>
    <row r="1688" spans="3:13">
      <c r="C1688" t="s">
        <v>120</v>
      </c>
      <c r="D1688">
        <v>2049</v>
      </c>
      <c r="E1688" t="s">
        <v>147</v>
      </c>
      <c r="F1688">
        <v>1020.12</v>
      </c>
      <c r="J1688" s="18"/>
      <c r="K1688" s="18"/>
      <c r="L1688" s="18"/>
      <c r="M1688" s="18"/>
    </row>
    <row r="1689" spans="3:13">
      <c r="C1689" t="s">
        <v>120</v>
      </c>
      <c r="D1689">
        <v>2049</v>
      </c>
      <c r="E1689" t="s">
        <v>145</v>
      </c>
      <c r="F1689">
        <v>1004.31</v>
      </c>
      <c r="J1689" s="18"/>
      <c r="K1689" s="18"/>
      <c r="L1689" s="18"/>
      <c r="M1689" s="18"/>
    </row>
    <row r="1690" spans="3:13">
      <c r="C1690" t="s">
        <v>120</v>
      </c>
      <c r="D1690">
        <v>2049</v>
      </c>
      <c r="E1690" t="s">
        <v>141</v>
      </c>
      <c r="F1690">
        <v>4306.7299999999996</v>
      </c>
      <c r="J1690" s="18"/>
      <c r="K1690" s="18"/>
      <c r="L1690" s="18"/>
      <c r="M1690" s="18"/>
    </row>
    <row r="1691" spans="3:13">
      <c r="C1691" t="s">
        <v>120</v>
      </c>
      <c r="D1691">
        <v>2049</v>
      </c>
      <c r="E1691" t="s">
        <v>142</v>
      </c>
      <c r="F1691">
        <v>5278.65</v>
      </c>
      <c r="J1691" s="18"/>
      <c r="K1691" s="18"/>
      <c r="L1691" s="18"/>
      <c r="M1691" s="18"/>
    </row>
    <row r="1692" spans="3:13">
      <c r="C1692" t="s">
        <v>120</v>
      </c>
      <c r="D1692">
        <v>2049</v>
      </c>
      <c r="E1692" t="s">
        <v>143</v>
      </c>
      <c r="F1692">
        <v>3571.17</v>
      </c>
      <c r="J1692" s="18"/>
      <c r="K1692" s="18"/>
      <c r="L1692" s="18"/>
      <c r="M1692" s="18"/>
    </row>
    <row r="1693" spans="3:13">
      <c r="C1693" t="s">
        <v>120</v>
      </c>
      <c r="D1693">
        <v>2049</v>
      </c>
      <c r="E1693" t="s">
        <v>144</v>
      </c>
      <c r="F1693">
        <v>2495.9299999999998</v>
      </c>
      <c r="J1693" s="18"/>
      <c r="K1693" s="18"/>
      <c r="L1693" s="18"/>
      <c r="M1693" s="18"/>
    </row>
    <row r="1694" spans="3:13">
      <c r="C1694" t="s">
        <v>120</v>
      </c>
      <c r="D1694">
        <v>2050</v>
      </c>
      <c r="E1694" t="s">
        <v>146</v>
      </c>
      <c r="F1694">
        <v>523.42999999999995</v>
      </c>
      <c r="J1694" s="18"/>
      <c r="K1694" s="18"/>
      <c r="L1694" s="18"/>
      <c r="M1694" s="18"/>
    </row>
    <row r="1695" spans="3:13">
      <c r="C1695" t="s">
        <v>120</v>
      </c>
      <c r="D1695">
        <v>2050</v>
      </c>
      <c r="E1695" t="s">
        <v>147</v>
      </c>
      <c r="F1695">
        <v>1019.18</v>
      </c>
      <c r="J1695" s="18"/>
      <c r="K1695" s="18"/>
      <c r="L1695" s="18"/>
      <c r="M1695" s="18"/>
    </row>
    <row r="1696" spans="3:13">
      <c r="C1696" t="s">
        <v>120</v>
      </c>
      <c r="D1696">
        <v>2050</v>
      </c>
      <c r="E1696" t="s">
        <v>145</v>
      </c>
      <c r="F1696">
        <v>1013.29</v>
      </c>
      <c r="J1696" s="18"/>
      <c r="K1696" s="18"/>
      <c r="L1696" s="18"/>
      <c r="M1696" s="18"/>
    </row>
    <row r="1697" spans="3:13">
      <c r="C1697" t="s">
        <v>120</v>
      </c>
      <c r="D1697">
        <v>2050</v>
      </c>
      <c r="E1697" t="s">
        <v>141</v>
      </c>
      <c r="F1697">
        <v>4337.25</v>
      </c>
      <c r="J1697" s="18"/>
      <c r="K1697" s="18"/>
      <c r="L1697" s="18"/>
      <c r="M1697" s="18"/>
    </row>
    <row r="1698" spans="3:13">
      <c r="C1698" t="s">
        <v>120</v>
      </c>
      <c r="D1698">
        <v>2050</v>
      </c>
      <c r="E1698" t="s">
        <v>142</v>
      </c>
      <c r="F1698">
        <v>5327.53</v>
      </c>
      <c r="J1698" s="18"/>
      <c r="K1698" s="18"/>
      <c r="L1698" s="18"/>
      <c r="M1698" s="18"/>
    </row>
    <row r="1699" spans="3:13">
      <c r="C1699" t="s">
        <v>120</v>
      </c>
      <c r="D1699">
        <v>2050</v>
      </c>
      <c r="E1699" t="s">
        <v>143</v>
      </c>
      <c r="F1699">
        <v>3582.87</v>
      </c>
      <c r="J1699" s="18"/>
      <c r="K1699" s="18"/>
      <c r="L1699" s="18"/>
      <c r="M1699" s="18"/>
    </row>
    <row r="1700" spans="3:13">
      <c r="C1700" t="s">
        <v>120</v>
      </c>
      <c r="D1700">
        <v>2050</v>
      </c>
      <c r="E1700" t="s">
        <v>144</v>
      </c>
      <c r="F1700">
        <v>2582.11</v>
      </c>
      <c r="J1700" s="18"/>
      <c r="K1700" s="18"/>
      <c r="L1700" s="18"/>
      <c r="M1700" s="18"/>
    </row>
    <row r="1701" spans="3:13">
      <c r="C1701" t="s">
        <v>121</v>
      </c>
      <c r="D1701">
        <v>2010</v>
      </c>
      <c r="E1701" t="s">
        <v>141</v>
      </c>
      <c r="F1701">
        <v>271.68</v>
      </c>
      <c r="J1701" s="18"/>
      <c r="K1701" s="18"/>
      <c r="L1701" s="18"/>
      <c r="M1701" s="18"/>
    </row>
    <row r="1702" spans="3:13">
      <c r="C1702" t="s">
        <v>121</v>
      </c>
      <c r="D1702">
        <v>2010</v>
      </c>
      <c r="E1702" t="s">
        <v>142</v>
      </c>
      <c r="F1702">
        <v>1512.51</v>
      </c>
      <c r="J1702" s="18"/>
      <c r="K1702" s="18"/>
      <c r="L1702" s="18"/>
      <c r="M1702" s="18"/>
    </row>
    <row r="1703" spans="3:13">
      <c r="C1703" t="s">
        <v>121</v>
      </c>
      <c r="D1703">
        <v>2010</v>
      </c>
      <c r="E1703" t="s">
        <v>143</v>
      </c>
      <c r="F1703">
        <v>643.80999999999995</v>
      </c>
      <c r="J1703" s="18"/>
      <c r="K1703" s="18"/>
      <c r="L1703" s="18"/>
      <c r="M1703" s="18"/>
    </row>
    <row r="1704" spans="3:13">
      <c r="C1704" t="s">
        <v>121</v>
      </c>
      <c r="D1704">
        <v>2010</v>
      </c>
      <c r="E1704" t="s">
        <v>144</v>
      </c>
      <c r="F1704">
        <v>54.27</v>
      </c>
      <c r="J1704" s="18"/>
      <c r="K1704" s="18"/>
      <c r="L1704" s="18"/>
      <c r="M1704" s="18"/>
    </row>
    <row r="1705" spans="3:13">
      <c r="C1705" t="s">
        <v>121</v>
      </c>
      <c r="D1705">
        <v>2011</v>
      </c>
      <c r="E1705" t="s">
        <v>141</v>
      </c>
      <c r="F1705">
        <v>273.52</v>
      </c>
      <c r="J1705" s="18"/>
      <c r="K1705" s="18"/>
      <c r="L1705" s="18"/>
      <c r="M1705" s="18"/>
    </row>
    <row r="1706" spans="3:13">
      <c r="C1706" t="s">
        <v>121</v>
      </c>
      <c r="D1706">
        <v>2011</v>
      </c>
      <c r="E1706" t="s">
        <v>142</v>
      </c>
      <c r="F1706">
        <v>1697.21</v>
      </c>
      <c r="J1706" s="18"/>
      <c r="K1706" s="18"/>
      <c r="L1706" s="18"/>
      <c r="M1706" s="18"/>
    </row>
    <row r="1707" spans="3:13">
      <c r="C1707" t="s">
        <v>121</v>
      </c>
      <c r="D1707">
        <v>2011</v>
      </c>
      <c r="E1707" t="s">
        <v>143</v>
      </c>
      <c r="F1707">
        <v>711.15</v>
      </c>
      <c r="J1707" s="18"/>
      <c r="K1707" s="18"/>
      <c r="L1707" s="18"/>
      <c r="M1707" s="18"/>
    </row>
    <row r="1708" spans="3:13">
      <c r="C1708" t="s">
        <v>121</v>
      </c>
      <c r="D1708">
        <v>2011</v>
      </c>
      <c r="E1708" t="s">
        <v>144</v>
      </c>
      <c r="F1708">
        <v>58.78</v>
      </c>
      <c r="J1708" s="18"/>
      <c r="K1708" s="18"/>
      <c r="L1708" s="18"/>
      <c r="M1708" s="18"/>
    </row>
    <row r="1709" spans="3:13">
      <c r="C1709" t="s">
        <v>121</v>
      </c>
      <c r="D1709">
        <v>2012</v>
      </c>
      <c r="E1709" t="s">
        <v>141</v>
      </c>
      <c r="F1709">
        <v>307.60000000000002</v>
      </c>
      <c r="J1709" s="18"/>
      <c r="K1709" s="18"/>
      <c r="L1709" s="18"/>
      <c r="M1709" s="18"/>
    </row>
    <row r="1710" spans="3:13">
      <c r="C1710" t="s">
        <v>121</v>
      </c>
      <c r="D1710">
        <v>2012</v>
      </c>
      <c r="E1710" t="s">
        <v>142</v>
      </c>
      <c r="F1710">
        <v>1756.29</v>
      </c>
      <c r="J1710" s="18"/>
      <c r="K1710" s="18"/>
      <c r="L1710" s="18"/>
      <c r="M1710" s="18"/>
    </row>
    <row r="1711" spans="3:13">
      <c r="C1711" t="s">
        <v>121</v>
      </c>
      <c r="D1711">
        <v>2012</v>
      </c>
      <c r="E1711" t="s">
        <v>143</v>
      </c>
      <c r="F1711">
        <v>764.91</v>
      </c>
      <c r="J1711" s="18"/>
      <c r="K1711" s="18"/>
      <c r="L1711" s="18"/>
      <c r="M1711" s="18"/>
    </row>
    <row r="1712" spans="3:13">
      <c r="C1712" t="s">
        <v>121</v>
      </c>
      <c r="D1712">
        <v>2012</v>
      </c>
      <c r="E1712" t="s">
        <v>144</v>
      </c>
      <c r="F1712">
        <v>58.12</v>
      </c>
      <c r="J1712" s="18"/>
      <c r="K1712" s="18"/>
      <c r="L1712" s="18"/>
      <c r="M1712" s="18"/>
    </row>
    <row r="1713" spans="3:13">
      <c r="C1713" t="s">
        <v>121</v>
      </c>
      <c r="D1713">
        <v>2013</v>
      </c>
      <c r="E1713" t="s">
        <v>141</v>
      </c>
      <c r="F1713">
        <v>330.64</v>
      </c>
      <c r="J1713" s="18"/>
      <c r="K1713" s="18"/>
      <c r="L1713" s="18"/>
      <c r="M1713" s="18"/>
    </row>
    <row r="1714" spans="3:13">
      <c r="C1714" t="s">
        <v>121</v>
      </c>
      <c r="D1714">
        <v>2013</v>
      </c>
      <c r="E1714" t="s">
        <v>142</v>
      </c>
      <c r="F1714">
        <v>1923.02</v>
      </c>
      <c r="J1714" s="18"/>
      <c r="K1714" s="18"/>
      <c r="L1714" s="18"/>
      <c r="M1714" s="18"/>
    </row>
    <row r="1715" spans="3:13">
      <c r="C1715" t="s">
        <v>121</v>
      </c>
      <c r="D1715">
        <v>2013</v>
      </c>
      <c r="E1715" t="s">
        <v>143</v>
      </c>
      <c r="F1715">
        <v>871.64</v>
      </c>
      <c r="J1715" s="18"/>
      <c r="K1715" s="18"/>
      <c r="L1715" s="18"/>
      <c r="M1715" s="18"/>
    </row>
    <row r="1716" spans="3:13">
      <c r="C1716" t="s">
        <v>121</v>
      </c>
      <c r="D1716">
        <v>2013</v>
      </c>
      <c r="E1716" t="s">
        <v>144</v>
      </c>
      <c r="F1716">
        <v>66.930000000000007</v>
      </c>
      <c r="J1716" s="18"/>
      <c r="K1716" s="18"/>
      <c r="L1716" s="18"/>
      <c r="M1716" s="18"/>
    </row>
    <row r="1717" spans="3:13">
      <c r="C1717" t="s">
        <v>121</v>
      </c>
      <c r="D1717">
        <v>2014</v>
      </c>
      <c r="E1717" t="s">
        <v>141</v>
      </c>
      <c r="F1717">
        <v>365.23</v>
      </c>
      <c r="J1717" s="18"/>
      <c r="K1717" s="18"/>
      <c r="L1717" s="18"/>
      <c r="M1717" s="18"/>
    </row>
    <row r="1718" spans="3:13">
      <c r="C1718" t="s">
        <v>121</v>
      </c>
      <c r="D1718">
        <v>2014</v>
      </c>
      <c r="E1718" t="s">
        <v>142</v>
      </c>
      <c r="F1718">
        <v>2109.37</v>
      </c>
      <c r="J1718" s="18"/>
      <c r="K1718" s="18"/>
      <c r="L1718" s="18"/>
      <c r="M1718" s="18"/>
    </row>
    <row r="1719" spans="3:13">
      <c r="C1719" t="s">
        <v>121</v>
      </c>
      <c r="D1719">
        <v>2014</v>
      </c>
      <c r="E1719" t="s">
        <v>143</v>
      </c>
      <c r="F1719">
        <v>965.15</v>
      </c>
      <c r="J1719" s="18"/>
      <c r="K1719" s="18"/>
      <c r="L1719" s="18"/>
      <c r="M1719" s="18"/>
    </row>
    <row r="1720" spans="3:13">
      <c r="C1720" t="s">
        <v>121</v>
      </c>
      <c r="D1720">
        <v>2014</v>
      </c>
      <c r="E1720" t="s">
        <v>144</v>
      </c>
      <c r="F1720">
        <v>69.81</v>
      </c>
      <c r="J1720" s="18"/>
      <c r="K1720" s="18"/>
      <c r="L1720" s="18"/>
      <c r="M1720" s="18"/>
    </row>
    <row r="1721" spans="3:13">
      <c r="C1721" t="s">
        <v>121</v>
      </c>
      <c r="D1721">
        <v>2015</v>
      </c>
      <c r="E1721" t="s">
        <v>141</v>
      </c>
      <c r="F1721">
        <v>405.14</v>
      </c>
      <c r="J1721" s="18"/>
      <c r="K1721" s="18"/>
      <c r="L1721" s="18"/>
      <c r="M1721" s="18"/>
    </row>
    <row r="1722" spans="3:13">
      <c r="C1722" t="s">
        <v>121</v>
      </c>
      <c r="D1722">
        <v>2015</v>
      </c>
      <c r="E1722" t="s">
        <v>142</v>
      </c>
      <c r="F1722">
        <v>2152.75</v>
      </c>
      <c r="J1722" s="18"/>
      <c r="K1722" s="18"/>
      <c r="L1722" s="18"/>
      <c r="M1722" s="18"/>
    </row>
    <row r="1723" spans="3:13">
      <c r="C1723" t="s">
        <v>121</v>
      </c>
      <c r="D1723">
        <v>2015</v>
      </c>
      <c r="E1723" t="s">
        <v>143</v>
      </c>
      <c r="F1723">
        <v>1071.3599999999999</v>
      </c>
      <c r="J1723" s="18"/>
      <c r="K1723" s="18"/>
      <c r="L1723" s="18"/>
      <c r="M1723" s="18"/>
    </row>
    <row r="1724" spans="3:13">
      <c r="C1724" t="s">
        <v>121</v>
      </c>
      <c r="D1724">
        <v>2015</v>
      </c>
      <c r="E1724" t="s">
        <v>144</v>
      </c>
      <c r="F1724">
        <v>72.34</v>
      </c>
      <c r="J1724" s="18"/>
      <c r="K1724" s="18"/>
      <c r="L1724" s="18"/>
      <c r="M1724" s="18"/>
    </row>
    <row r="1725" spans="3:13">
      <c r="C1725" t="s">
        <v>121</v>
      </c>
      <c r="D1725">
        <v>2016</v>
      </c>
      <c r="E1725" t="s">
        <v>141</v>
      </c>
      <c r="F1725">
        <v>457.7</v>
      </c>
      <c r="J1725" s="18"/>
      <c r="K1725" s="18"/>
      <c r="L1725" s="18"/>
      <c r="M1725" s="18"/>
    </row>
    <row r="1726" spans="3:13">
      <c r="C1726" t="s">
        <v>121</v>
      </c>
      <c r="D1726">
        <v>2016</v>
      </c>
      <c r="E1726" t="s">
        <v>142</v>
      </c>
      <c r="F1726">
        <v>2266.5700000000002</v>
      </c>
      <c r="J1726" s="18"/>
      <c r="K1726" s="18"/>
      <c r="L1726" s="18"/>
      <c r="M1726" s="18"/>
    </row>
    <row r="1727" spans="3:13">
      <c r="C1727" t="s">
        <v>121</v>
      </c>
      <c r="D1727">
        <v>2016</v>
      </c>
      <c r="E1727" t="s">
        <v>143</v>
      </c>
      <c r="F1727">
        <v>1192.04</v>
      </c>
      <c r="J1727" s="18"/>
      <c r="K1727" s="18"/>
      <c r="L1727" s="18"/>
      <c r="M1727" s="18"/>
    </row>
    <row r="1728" spans="3:13">
      <c r="C1728" t="s">
        <v>121</v>
      </c>
      <c r="D1728">
        <v>2016</v>
      </c>
      <c r="E1728" t="s">
        <v>144</v>
      </c>
      <c r="F1728">
        <v>69.349999999999994</v>
      </c>
      <c r="J1728" s="18"/>
      <c r="K1728" s="18"/>
      <c r="L1728" s="18"/>
      <c r="M1728" s="18"/>
    </row>
    <row r="1729" spans="3:13">
      <c r="C1729" t="s">
        <v>121</v>
      </c>
      <c r="D1729">
        <v>2017</v>
      </c>
      <c r="E1729" t="s">
        <v>141</v>
      </c>
      <c r="F1729">
        <v>463.38</v>
      </c>
      <c r="J1729" s="18"/>
      <c r="K1729" s="18"/>
      <c r="L1729" s="18"/>
      <c r="M1729" s="18"/>
    </row>
    <row r="1730" spans="3:13">
      <c r="C1730" t="s">
        <v>121</v>
      </c>
      <c r="D1730">
        <v>2017</v>
      </c>
      <c r="E1730" t="s">
        <v>142</v>
      </c>
      <c r="F1730">
        <v>2388.83</v>
      </c>
      <c r="J1730" s="18"/>
      <c r="K1730" s="18"/>
      <c r="L1730" s="18"/>
      <c r="M1730" s="18"/>
    </row>
    <row r="1731" spans="3:13">
      <c r="C1731" t="s">
        <v>121</v>
      </c>
      <c r="D1731">
        <v>2017</v>
      </c>
      <c r="E1731" t="s">
        <v>143</v>
      </c>
      <c r="F1731">
        <v>1253.8599999999999</v>
      </c>
      <c r="J1731" s="18"/>
      <c r="K1731" s="18"/>
      <c r="L1731" s="18"/>
      <c r="M1731" s="18"/>
    </row>
    <row r="1732" spans="3:13">
      <c r="C1732" t="s">
        <v>121</v>
      </c>
      <c r="D1732">
        <v>2017</v>
      </c>
      <c r="E1732" t="s">
        <v>144</v>
      </c>
      <c r="F1732">
        <v>76.650000000000006</v>
      </c>
      <c r="J1732" s="18"/>
      <c r="K1732" s="18"/>
      <c r="L1732" s="18"/>
      <c r="M1732" s="18"/>
    </row>
    <row r="1733" spans="3:13">
      <c r="C1733" t="s">
        <v>121</v>
      </c>
      <c r="D1733">
        <v>2018</v>
      </c>
      <c r="E1733" t="s">
        <v>141</v>
      </c>
      <c r="F1733">
        <v>470.24</v>
      </c>
      <c r="J1733" s="18"/>
      <c r="K1733" s="18"/>
      <c r="L1733" s="18"/>
      <c r="M1733" s="18"/>
    </row>
    <row r="1734" spans="3:13">
      <c r="C1734" t="s">
        <v>121</v>
      </c>
      <c r="D1734">
        <v>2018</v>
      </c>
      <c r="E1734" t="s">
        <v>142</v>
      </c>
      <c r="F1734">
        <v>2498.2399999999998</v>
      </c>
      <c r="J1734" s="18"/>
      <c r="K1734" s="18"/>
      <c r="L1734" s="18"/>
      <c r="M1734" s="18"/>
    </row>
    <row r="1735" spans="3:13">
      <c r="C1735" t="s">
        <v>121</v>
      </c>
      <c r="D1735">
        <v>2018</v>
      </c>
      <c r="E1735" t="s">
        <v>143</v>
      </c>
      <c r="F1735">
        <v>1311.75</v>
      </c>
      <c r="J1735" s="18"/>
      <c r="K1735" s="18"/>
      <c r="L1735" s="18"/>
      <c r="M1735" s="18"/>
    </row>
    <row r="1736" spans="3:13">
      <c r="C1736" t="s">
        <v>121</v>
      </c>
      <c r="D1736">
        <v>2018</v>
      </c>
      <c r="E1736" t="s">
        <v>144</v>
      </c>
      <c r="F1736">
        <v>77.459999999999994</v>
      </c>
      <c r="J1736" s="18"/>
      <c r="K1736" s="18"/>
      <c r="L1736" s="18"/>
      <c r="M1736" s="18"/>
    </row>
    <row r="1737" spans="3:13">
      <c r="C1737" t="s">
        <v>121</v>
      </c>
      <c r="D1737">
        <v>2019</v>
      </c>
      <c r="E1737" t="s">
        <v>141</v>
      </c>
      <c r="F1737">
        <v>491.79</v>
      </c>
      <c r="J1737" s="18"/>
      <c r="K1737" s="18"/>
      <c r="L1737" s="18"/>
      <c r="M1737" s="18"/>
    </row>
    <row r="1738" spans="3:13">
      <c r="C1738" t="s">
        <v>121</v>
      </c>
      <c r="D1738">
        <v>2019</v>
      </c>
      <c r="E1738" t="s">
        <v>142</v>
      </c>
      <c r="F1738">
        <v>2543.1999999999998</v>
      </c>
      <c r="J1738" s="18"/>
      <c r="K1738" s="18"/>
      <c r="L1738" s="18"/>
      <c r="M1738" s="18"/>
    </row>
    <row r="1739" spans="3:13">
      <c r="C1739" t="s">
        <v>121</v>
      </c>
      <c r="D1739">
        <v>2019</v>
      </c>
      <c r="E1739" t="s">
        <v>143</v>
      </c>
      <c r="F1739">
        <v>1359.4</v>
      </c>
      <c r="J1739" s="18"/>
      <c r="K1739" s="18"/>
      <c r="L1739" s="18"/>
      <c r="M1739" s="18"/>
    </row>
    <row r="1740" spans="3:13">
      <c r="C1740" t="s">
        <v>121</v>
      </c>
      <c r="D1740">
        <v>2019</v>
      </c>
      <c r="E1740" t="s">
        <v>144</v>
      </c>
      <c r="F1740">
        <v>104.46</v>
      </c>
      <c r="J1740" s="18"/>
      <c r="K1740" s="18"/>
      <c r="L1740" s="18"/>
      <c r="M1740" s="18"/>
    </row>
    <row r="1741" spans="3:13">
      <c r="C1741" t="s">
        <v>121</v>
      </c>
      <c r="D1741">
        <v>2020</v>
      </c>
      <c r="E1741" t="s">
        <v>141</v>
      </c>
      <c r="F1741">
        <v>463.94</v>
      </c>
      <c r="J1741" s="18"/>
      <c r="K1741" s="18"/>
      <c r="L1741" s="18"/>
      <c r="M1741" s="18"/>
    </row>
    <row r="1742" spans="3:13">
      <c r="C1742" t="s">
        <v>121</v>
      </c>
      <c r="D1742">
        <v>2020</v>
      </c>
      <c r="E1742" t="s">
        <v>142</v>
      </c>
      <c r="F1742">
        <v>2335.58</v>
      </c>
      <c r="J1742" s="18"/>
      <c r="K1742" s="18"/>
      <c r="L1742" s="18"/>
      <c r="M1742" s="18"/>
    </row>
    <row r="1743" spans="3:13">
      <c r="C1743" t="s">
        <v>121</v>
      </c>
      <c r="D1743">
        <v>2020</v>
      </c>
      <c r="E1743" t="s">
        <v>143</v>
      </c>
      <c r="F1743">
        <v>1277.06</v>
      </c>
      <c r="J1743" s="18"/>
      <c r="K1743" s="18"/>
      <c r="L1743" s="18"/>
      <c r="M1743" s="18"/>
    </row>
    <row r="1744" spans="3:13">
      <c r="C1744" t="s">
        <v>121</v>
      </c>
      <c r="D1744">
        <v>2020</v>
      </c>
      <c r="E1744" t="s">
        <v>144</v>
      </c>
      <c r="F1744">
        <v>98.81</v>
      </c>
      <c r="J1744" s="18"/>
      <c r="K1744" s="18"/>
      <c r="L1744" s="18"/>
      <c r="M1744" s="18"/>
    </row>
    <row r="1745" spans="3:13">
      <c r="C1745" t="s">
        <v>121</v>
      </c>
      <c r="D1745">
        <v>2021</v>
      </c>
      <c r="E1745" t="s">
        <v>141</v>
      </c>
      <c r="F1745">
        <v>496.75</v>
      </c>
      <c r="J1745" s="18"/>
      <c r="K1745" s="18"/>
      <c r="L1745" s="18"/>
      <c r="M1745" s="18"/>
    </row>
    <row r="1746" spans="3:13">
      <c r="C1746" t="s">
        <v>121</v>
      </c>
      <c r="D1746">
        <v>2021</v>
      </c>
      <c r="E1746" t="s">
        <v>142</v>
      </c>
      <c r="F1746">
        <v>2799.27</v>
      </c>
      <c r="J1746" s="18"/>
      <c r="K1746" s="18"/>
      <c r="L1746" s="18"/>
      <c r="M1746" s="18"/>
    </row>
    <row r="1747" spans="3:13">
      <c r="C1747" t="s">
        <v>121</v>
      </c>
      <c r="D1747">
        <v>2021</v>
      </c>
      <c r="E1747" t="s">
        <v>143</v>
      </c>
      <c r="F1747">
        <v>1429.11</v>
      </c>
      <c r="J1747" s="18"/>
      <c r="K1747" s="18"/>
      <c r="L1747" s="18"/>
      <c r="M1747" s="18"/>
    </row>
    <row r="1748" spans="3:13">
      <c r="C1748" t="s">
        <v>121</v>
      </c>
      <c r="D1748">
        <v>2021</v>
      </c>
      <c r="E1748" t="s">
        <v>144</v>
      </c>
      <c r="F1748">
        <v>109.07</v>
      </c>
      <c r="J1748" s="18"/>
      <c r="K1748" s="18"/>
      <c r="L1748" s="18"/>
      <c r="M1748" s="18"/>
    </row>
    <row r="1749" spans="3:13">
      <c r="C1749" t="s">
        <v>121</v>
      </c>
      <c r="D1749">
        <v>2022</v>
      </c>
      <c r="E1749" t="s">
        <v>141</v>
      </c>
      <c r="F1749">
        <v>520.13</v>
      </c>
      <c r="J1749" s="18"/>
      <c r="K1749" s="18"/>
      <c r="L1749" s="18"/>
      <c r="M1749" s="18"/>
    </row>
    <row r="1750" spans="3:13">
      <c r="C1750" t="s">
        <v>121</v>
      </c>
      <c r="D1750">
        <v>2022</v>
      </c>
      <c r="E1750" t="s">
        <v>142</v>
      </c>
      <c r="F1750">
        <v>2909.01</v>
      </c>
      <c r="J1750" s="18"/>
      <c r="K1750" s="18"/>
      <c r="L1750" s="18"/>
      <c r="M1750" s="18"/>
    </row>
    <row r="1751" spans="3:13">
      <c r="C1751" t="s">
        <v>121</v>
      </c>
      <c r="D1751">
        <v>2022</v>
      </c>
      <c r="E1751" t="s">
        <v>143</v>
      </c>
      <c r="F1751">
        <v>1511.17</v>
      </c>
      <c r="J1751" s="18"/>
      <c r="K1751" s="18"/>
      <c r="L1751" s="18"/>
      <c r="M1751" s="18"/>
    </row>
    <row r="1752" spans="3:13">
      <c r="C1752" t="s">
        <v>121</v>
      </c>
      <c r="D1752">
        <v>2022</v>
      </c>
      <c r="E1752" t="s">
        <v>144</v>
      </c>
      <c r="F1752">
        <v>114.76</v>
      </c>
      <c r="J1752" s="18"/>
      <c r="K1752" s="18"/>
      <c r="L1752" s="18"/>
      <c r="M1752" s="18"/>
    </row>
    <row r="1753" spans="3:13">
      <c r="C1753" t="s">
        <v>121</v>
      </c>
      <c r="D1753">
        <v>2023</v>
      </c>
      <c r="E1753" t="s">
        <v>141</v>
      </c>
      <c r="F1753">
        <v>550.41</v>
      </c>
      <c r="J1753" s="18"/>
      <c r="K1753" s="18"/>
      <c r="L1753" s="18"/>
      <c r="M1753" s="18"/>
    </row>
    <row r="1754" spans="3:13">
      <c r="C1754" t="s">
        <v>121</v>
      </c>
      <c r="D1754">
        <v>2023</v>
      </c>
      <c r="E1754" t="s">
        <v>142</v>
      </c>
      <c r="F1754">
        <v>3064.98</v>
      </c>
      <c r="J1754" s="18"/>
      <c r="K1754" s="18"/>
      <c r="L1754" s="18"/>
      <c r="M1754" s="18"/>
    </row>
    <row r="1755" spans="3:13">
      <c r="C1755" t="s">
        <v>121</v>
      </c>
      <c r="D1755">
        <v>2023</v>
      </c>
      <c r="E1755" t="s">
        <v>143</v>
      </c>
      <c r="F1755">
        <v>1603.22</v>
      </c>
      <c r="J1755" s="18"/>
      <c r="K1755" s="18"/>
      <c r="L1755" s="18"/>
      <c r="M1755" s="18"/>
    </row>
    <row r="1756" spans="3:13">
      <c r="C1756" t="s">
        <v>121</v>
      </c>
      <c r="D1756">
        <v>2023</v>
      </c>
      <c r="E1756" t="s">
        <v>144</v>
      </c>
      <c r="F1756">
        <v>121.1</v>
      </c>
      <c r="J1756" s="18"/>
      <c r="K1756" s="18"/>
      <c r="L1756" s="18"/>
      <c r="M1756" s="18"/>
    </row>
    <row r="1757" spans="3:13">
      <c r="C1757" t="s">
        <v>121</v>
      </c>
      <c r="D1757">
        <v>2024</v>
      </c>
      <c r="E1757" t="s">
        <v>141</v>
      </c>
      <c r="F1757">
        <v>584.83000000000004</v>
      </c>
      <c r="J1757" s="18"/>
      <c r="K1757" s="18"/>
      <c r="L1757" s="18"/>
      <c r="M1757" s="18"/>
    </row>
    <row r="1758" spans="3:13">
      <c r="C1758" t="s">
        <v>121</v>
      </c>
      <c r="D1758">
        <v>2024</v>
      </c>
      <c r="E1758" t="s">
        <v>142</v>
      </c>
      <c r="F1758">
        <v>3220.69</v>
      </c>
      <c r="J1758" s="18"/>
      <c r="K1758" s="18"/>
      <c r="L1758" s="18"/>
      <c r="M1758" s="18"/>
    </row>
    <row r="1759" spans="3:13">
      <c r="C1759" t="s">
        <v>121</v>
      </c>
      <c r="D1759">
        <v>2024</v>
      </c>
      <c r="E1759" t="s">
        <v>143</v>
      </c>
      <c r="F1759">
        <v>1707.68</v>
      </c>
      <c r="J1759" s="18"/>
      <c r="K1759" s="18"/>
      <c r="L1759" s="18"/>
      <c r="M1759" s="18"/>
    </row>
    <row r="1760" spans="3:13">
      <c r="C1760" t="s">
        <v>121</v>
      </c>
      <c r="D1760">
        <v>2024</v>
      </c>
      <c r="E1760" t="s">
        <v>144</v>
      </c>
      <c r="F1760">
        <v>128.65</v>
      </c>
      <c r="J1760" s="18"/>
      <c r="K1760" s="18"/>
      <c r="L1760" s="18"/>
      <c r="M1760" s="18"/>
    </row>
    <row r="1761" spans="3:13">
      <c r="C1761" t="s">
        <v>121</v>
      </c>
      <c r="D1761">
        <v>2025</v>
      </c>
      <c r="E1761" t="s">
        <v>141</v>
      </c>
      <c r="F1761">
        <v>620.6</v>
      </c>
      <c r="J1761" s="18"/>
      <c r="K1761" s="18"/>
      <c r="L1761" s="18"/>
      <c r="M1761" s="18"/>
    </row>
    <row r="1762" spans="3:13">
      <c r="C1762" t="s">
        <v>121</v>
      </c>
      <c r="D1762">
        <v>2025</v>
      </c>
      <c r="E1762" t="s">
        <v>142</v>
      </c>
      <c r="F1762">
        <v>3403.28</v>
      </c>
      <c r="J1762" s="18"/>
      <c r="K1762" s="18"/>
      <c r="L1762" s="18"/>
      <c r="M1762" s="18"/>
    </row>
    <row r="1763" spans="3:13">
      <c r="C1763" t="s">
        <v>121</v>
      </c>
      <c r="D1763">
        <v>2025</v>
      </c>
      <c r="E1763" t="s">
        <v>143</v>
      </c>
      <c r="F1763">
        <v>1818.85</v>
      </c>
      <c r="J1763" s="18"/>
      <c r="K1763" s="18"/>
      <c r="L1763" s="18"/>
      <c r="M1763" s="18"/>
    </row>
    <row r="1764" spans="3:13">
      <c r="C1764" t="s">
        <v>121</v>
      </c>
      <c r="D1764">
        <v>2025</v>
      </c>
      <c r="E1764" t="s">
        <v>144</v>
      </c>
      <c r="F1764">
        <v>136.63</v>
      </c>
      <c r="J1764" s="18"/>
      <c r="K1764" s="18"/>
      <c r="L1764" s="18"/>
      <c r="M1764" s="18"/>
    </row>
    <row r="1765" spans="3:13">
      <c r="C1765" t="s">
        <v>121</v>
      </c>
      <c r="D1765">
        <v>2026</v>
      </c>
      <c r="E1765" t="s">
        <v>141</v>
      </c>
      <c r="F1765">
        <v>660.7</v>
      </c>
      <c r="J1765" s="18"/>
      <c r="K1765" s="18"/>
      <c r="L1765" s="18"/>
      <c r="M1765" s="18"/>
    </row>
    <row r="1766" spans="3:13">
      <c r="C1766" t="s">
        <v>121</v>
      </c>
      <c r="D1766">
        <v>2026</v>
      </c>
      <c r="E1766" t="s">
        <v>142</v>
      </c>
      <c r="F1766">
        <v>3570.55</v>
      </c>
      <c r="J1766" s="18"/>
      <c r="K1766" s="18"/>
      <c r="L1766" s="18"/>
      <c r="M1766" s="18"/>
    </row>
    <row r="1767" spans="3:13">
      <c r="C1767" t="s">
        <v>121</v>
      </c>
      <c r="D1767">
        <v>2026</v>
      </c>
      <c r="E1767" t="s">
        <v>143</v>
      </c>
      <c r="F1767">
        <v>1958.92</v>
      </c>
      <c r="J1767" s="18"/>
      <c r="K1767" s="18"/>
      <c r="L1767" s="18"/>
      <c r="M1767" s="18"/>
    </row>
    <row r="1768" spans="3:13">
      <c r="C1768" t="s">
        <v>121</v>
      </c>
      <c r="D1768">
        <v>2026</v>
      </c>
      <c r="E1768" t="s">
        <v>144</v>
      </c>
      <c r="F1768">
        <v>144.18</v>
      </c>
      <c r="J1768" s="18"/>
      <c r="K1768" s="18"/>
      <c r="L1768" s="18"/>
      <c r="M1768" s="18"/>
    </row>
    <row r="1769" spans="3:13">
      <c r="C1769" t="s">
        <v>121</v>
      </c>
      <c r="D1769">
        <v>2027</v>
      </c>
      <c r="E1769" t="s">
        <v>141</v>
      </c>
      <c r="F1769">
        <v>702.28</v>
      </c>
      <c r="J1769" s="18"/>
      <c r="K1769" s="18"/>
      <c r="L1769" s="18"/>
      <c r="M1769" s="18"/>
    </row>
    <row r="1770" spans="3:13">
      <c r="C1770" t="s">
        <v>121</v>
      </c>
      <c r="D1770">
        <v>2027</v>
      </c>
      <c r="E1770" t="s">
        <v>142</v>
      </c>
      <c r="F1770">
        <v>3763.48</v>
      </c>
      <c r="J1770" s="18"/>
      <c r="K1770" s="18"/>
      <c r="L1770" s="18"/>
      <c r="M1770" s="18"/>
    </row>
    <row r="1771" spans="3:13">
      <c r="C1771" t="s">
        <v>121</v>
      </c>
      <c r="D1771">
        <v>2027</v>
      </c>
      <c r="E1771" t="s">
        <v>143</v>
      </c>
      <c r="F1771">
        <v>2110.75</v>
      </c>
      <c r="J1771" s="18"/>
      <c r="K1771" s="18"/>
      <c r="L1771" s="18"/>
      <c r="M1771" s="18"/>
    </row>
    <row r="1772" spans="3:13">
      <c r="C1772" t="s">
        <v>121</v>
      </c>
      <c r="D1772">
        <v>2027</v>
      </c>
      <c r="E1772" t="s">
        <v>144</v>
      </c>
      <c r="F1772">
        <v>154.37</v>
      </c>
      <c r="J1772" s="18"/>
      <c r="K1772" s="18"/>
      <c r="L1772" s="18"/>
      <c r="M1772" s="18"/>
    </row>
    <row r="1773" spans="3:13">
      <c r="C1773" t="s">
        <v>121</v>
      </c>
      <c r="D1773">
        <v>2028</v>
      </c>
      <c r="E1773" t="s">
        <v>141</v>
      </c>
      <c r="F1773">
        <v>745.35</v>
      </c>
      <c r="J1773" s="18"/>
      <c r="K1773" s="18"/>
      <c r="L1773" s="18"/>
      <c r="M1773" s="18"/>
    </row>
    <row r="1774" spans="3:13">
      <c r="C1774" t="s">
        <v>121</v>
      </c>
      <c r="D1774">
        <v>2028</v>
      </c>
      <c r="E1774" t="s">
        <v>142</v>
      </c>
      <c r="F1774">
        <v>3947.84</v>
      </c>
      <c r="J1774" s="18"/>
      <c r="K1774" s="18"/>
      <c r="L1774" s="18"/>
      <c r="M1774" s="18"/>
    </row>
    <row r="1775" spans="3:13">
      <c r="C1775" t="s">
        <v>121</v>
      </c>
      <c r="D1775">
        <v>2028</v>
      </c>
      <c r="E1775" t="s">
        <v>143</v>
      </c>
      <c r="F1775">
        <v>2274.7399999999998</v>
      </c>
      <c r="J1775" s="18"/>
      <c r="K1775" s="18"/>
      <c r="L1775" s="18"/>
      <c r="M1775" s="18"/>
    </row>
    <row r="1776" spans="3:13">
      <c r="C1776" t="s">
        <v>121</v>
      </c>
      <c r="D1776">
        <v>2028</v>
      </c>
      <c r="E1776" t="s">
        <v>144</v>
      </c>
      <c r="F1776">
        <v>166.24</v>
      </c>
      <c r="J1776" s="18"/>
      <c r="K1776" s="18"/>
      <c r="L1776" s="18"/>
      <c r="M1776" s="18"/>
    </row>
    <row r="1777" spans="3:13">
      <c r="C1777" t="s">
        <v>121</v>
      </c>
      <c r="D1777">
        <v>2029</v>
      </c>
      <c r="E1777" t="s">
        <v>141</v>
      </c>
      <c r="F1777">
        <v>789.81</v>
      </c>
      <c r="J1777" s="18"/>
      <c r="K1777" s="18"/>
      <c r="L1777" s="18"/>
      <c r="M1777" s="18"/>
    </row>
    <row r="1778" spans="3:13">
      <c r="C1778" t="s">
        <v>121</v>
      </c>
      <c r="D1778">
        <v>2029</v>
      </c>
      <c r="E1778" t="s">
        <v>142</v>
      </c>
      <c r="F1778">
        <v>4161.3999999999996</v>
      </c>
      <c r="J1778" s="18"/>
      <c r="K1778" s="18"/>
      <c r="L1778" s="18"/>
      <c r="M1778" s="18"/>
    </row>
    <row r="1779" spans="3:13">
      <c r="C1779" t="s">
        <v>121</v>
      </c>
      <c r="D1779">
        <v>2029</v>
      </c>
      <c r="E1779" t="s">
        <v>143</v>
      </c>
      <c r="F1779">
        <v>2451.1</v>
      </c>
      <c r="J1779" s="18"/>
      <c r="K1779" s="18"/>
      <c r="L1779" s="18"/>
      <c r="M1779" s="18"/>
    </row>
    <row r="1780" spans="3:13">
      <c r="C1780" t="s">
        <v>121</v>
      </c>
      <c r="D1780">
        <v>2029</v>
      </c>
      <c r="E1780" t="s">
        <v>144</v>
      </c>
      <c r="F1780">
        <v>179.71</v>
      </c>
      <c r="J1780" s="18"/>
      <c r="K1780" s="18"/>
      <c r="L1780" s="18"/>
      <c r="M1780" s="18"/>
    </row>
    <row r="1781" spans="3:13">
      <c r="C1781" t="s">
        <v>121</v>
      </c>
      <c r="D1781">
        <v>2030</v>
      </c>
      <c r="E1781" t="s">
        <v>141</v>
      </c>
      <c r="F1781">
        <v>835.45</v>
      </c>
      <c r="J1781" s="18"/>
      <c r="K1781" s="18"/>
      <c r="L1781" s="18"/>
      <c r="M1781" s="18"/>
    </row>
    <row r="1782" spans="3:13">
      <c r="C1782" t="s">
        <v>121</v>
      </c>
      <c r="D1782">
        <v>2030</v>
      </c>
      <c r="E1782" t="s">
        <v>142</v>
      </c>
      <c r="F1782">
        <v>4364.5</v>
      </c>
      <c r="J1782" s="18"/>
      <c r="K1782" s="18"/>
      <c r="L1782" s="18"/>
      <c r="M1782" s="18"/>
    </row>
    <row r="1783" spans="3:13">
      <c r="C1783" t="s">
        <v>121</v>
      </c>
      <c r="D1783">
        <v>2030</v>
      </c>
      <c r="E1783" t="s">
        <v>143</v>
      </c>
      <c r="F1783">
        <v>2638.08</v>
      </c>
      <c r="J1783" s="18"/>
      <c r="K1783" s="18"/>
      <c r="L1783" s="18"/>
      <c r="M1783" s="18"/>
    </row>
    <row r="1784" spans="3:13">
      <c r="C1784" t="s">
        <v>121</v>
      </c>
      <c r="D1784">
        <v>2030</v>
      </c>
      <c r="E1784" t="s">
        <v>144</v>
      </c>
      <c r="F1784">
        <v>195.28</v>
      </c>
      <c r="J1784" s="18"/>
      <c r="K1784" s="18"/>
      <c r="L1784" s="18"/>
      <c r="M1784" s="18"/>
    </row>
    <row r="1785" spans="3:13">
      <c r="C1785" t="s">
        <v>121</v>
      </c>
      <c r="D1785">
        <v>2031</v>
      </c>
      <c r="E1785" t="s">
        <v>141</v>
      </c>
      <c r="F1785">
        <v>883.09</v>
      </c>
      <c r="J1785" s="18"/>
      <c r="K1785" s="18"/>
      <c r="L1785" s="18"/>
      <c r="M1785" s="18"/>
    </row>
    <row r="1786" spans="3:13">
      <c r="C1786" t="s">
        <v>121</v>
      </c>
      <c r="D1786">
        <v>2031</v>
      </c>
      <c r="E1786" t="s">
        <v>142</v>
      </c>
      <c r="F1786">
        <v>4585.5600000000004</v>
      </c>
      <c r="J1786" s="18"/>
      <c r="K1786" s="18"/>
      <c r="L1786" s="18"/>
      <c r="M1786" s="18"/>
    </row>
    <row r="1787" spans="3:13">
      <c r="C1787" t="s">
        <v>121</v>
      </c>
      <c r="D1787">
        <v>2031</v>
      </c>
      <c r="E1787" t="s">
        <v>143</v>
      </c>
      <c r="F1787">
        <v>2843.65</v>
      </c>
      <c r="J1787" s="18"/>
      <c r="K1787" s="18"/>
      <c r="L1787" s="18"/>
      <c r="M1787" s="18"/>
    </row>
    <row r="1788" spans="3:13">
      <c r="C1788" t="s">
        <v>121</v>
      </c>
      <c r="D1788">
        <v>2031</v>
      </c>
      <c r="E1788" t="s">
        <v>144</v>
      </c>
      <c r="F1788">
        <v>212.91</v>
      </c>
      <c r="J1788" s="18"/>
      <c r="K1788" s="18"/>
      <c r="L1788" s="18"/>
      <c r="M1788" s="18"/>
    </row>
    <row r="1789" spans="3:13">
      <c r="C1789" t="s">
        <v>121</v>
      </c>
      <c r="D1789">
        <v>2032</v>
      </c>
      <c r="E1789" t="s">
        <v>141</v>
      </c>
      <c r="F1789">
        <v>930.52</v>
      </c>
      <c r="J1789" s="18"/>
      <c r="K1789" s="18"/>
      <c r="L1789" s="18"/>
      <c r="M1789" s="18"/>
    </row>
    <row r="1790" spans="3:13">
      <c r="C1790" t="s">
        <v>121</v>
      </c>
      <c r="D1790">
        <v>2032</v>
      </c>
      <c r="E1790" t="s">
        <v>142</v>
      </c>
      <c r="F1790">
        <v>4766.24</v>
      </c>
      <c r="J1790" s="18"/>
      <c r="K1790" s="18"/>
      <c r="L1790" s="18"/>
      <c r="M1790" s="18"/>
    </row>
    <row r="1791" spans="3:13">
      <c r="C1791" t="s">
        <v>121</v>
      </c>
      <c r="D1791">
        <v>2032</v>
      </c>
      <c r="E1791" t="s">
        <v>143</v>
      </c>
      <c r="F1791">
        <v>3057.39</v>
      </c>
      <c r="J1791" s="18"/>
      <c r="K1791" s="18"/>
      <c r="L1791" s="18"/>
      <c r="M1791" s="18"/>
    </row>
    <row r="1792" spans="3:13">
      <c r="C1792" t="s">
        <v>121</v>
      </c>
      <c r="D1792">
        <v>2032</v>
      </c>
      <c r="E1792" t="s">
        <v>144</v>
      </c>
      <c r="F1792">
        <v>233.97</v>
      </c>
      <c r="J1792" s="18"/>
      <c r="K1792" s="18"/>
      <c r="L1792" s="18"/>
      <c r="M1792" s="18"/>
    </row>
    <row r="1793" spans="3:13">
      <c r="C1793" t="s">
        <v>121</v>
      </c>
      <c r="D1793">
        <v>2033</v>
      </c>
      <c r="E1793" t="s">
        <v>141</v>
      </c>
      <c r="F1793">
        <v>978.15</v>
      </c>
      <c r="J1793" s="18"/>
      <c r="K1793" s="18"/>
      <c r="L1793" s="18"/>
      <c r="M1793" s="18"/>
    </row>
    <row r="1794" spans="3:13">
      <c r="C1794" t="s">
        <v>121</v>
      </c>
      <c r="D1794">
        <v>2033</v>
      </c>
      <c r="E1794" t="s">
        <v>142</v>
      </c>
      <c r="F1794">
        <v>4984.82</v>
      </c>
      <c r="J1794" s="18"/>
      <c r="K1794" s="18"/>
      <c r="L1794" s="18"/>
      <c r="M1794" s="18"/>
    </row>
    <row r="1795" spans="3:13">
      <c r="C1795" t="s">
        <v>121</v>
      </c>
      <c r="D1795">
        <v>2033</v>
      </c>
      <c r="E1795" t="s">
        <v>143</v>
      </c>
      <c r="F1795">
        <v>3281.41</v>
      </c>
      <c r="J1795" s="18"/>
      <c r="K1795" s="18"/>
      <c r="L1795" s="18"/>
      <c r="M1795" s="18"/>
    </row>
    <row r="1796" spans="3:13">
      <c r="C1796" t="s">
        <v>121</v>
      </c>
      <c r="D1796">
        <v>2033</v>
      </c>
      <c r="E1796" t="s">
        <v>144</v>
      </c>
      <c r="F1796">
        <v>258.63</v>
      </c>
      <c r="J1796" s="18"/>
      <c r="K1796" s="18"/>
      <c r="L1796" s="18"/>
      <c r="M1796" s="18"/>
    </row>
    <row r="1797" spans="3:13">
      <c r="C1797" t="s">
        <v>121</v>
      </c>
      <c r="D1797">
        <v>2034</v>
      </c>
      <c r="E1797" t="s">
        <v>141</v>
      </c>
      <c r="F1797">
        <v>1025.83</v>
      </c>
      <c r="J1797" s="18"/>
      <c r="K1797" s="18"/>
      <c r="L1797" s="18"/>
      <c r="M1797" s="18"/>
    </row>
    <row r="1798" spans="3:13">
      <c r="C1798" t="s">
        <v>121</v>
      </c>
      <c r="D1798">
        <v>2034</v>
      </c>
      <c r="E1798" t="s">
        <v>142</v>
      </c>
      <c r="F1798">
        <v>5153.2700000000004</v>
      </c>
      <c r="J1798" s="18"/>
      <c r="K1798" s="18"/>
      <c r="L1798" s="18"/>
      <c r="M1798" s="18"/>
    </row>
    <row r="1799" spans="3:13">
      <c r="C1799" t="s">
        <v>121</v>
      </c>
      <c r="D1799">
        <v>2034</v>
      </c>
      <c r="E1799" t="s">
        <v>143</v>
      </c>
      <c r="F1799">
        <v>3515.41</v>
      </c>
      <c r="J1799" s="18"/>
      <c r="K1799" s="18"/>
      <c r="L1799" s="18"/>
      <c r="M1799" s="18"/>
    </row>
    <row r="1800" spans="3:13">
      <c r="C1800" t="s">
        <v>121</v>
      </c>
      <c r="D1800">
        <v>2034</v>
      </c>
      <c r="E1800" t="s">
        <v>144</v>
      </c>
      <c r="F1800">
        <v>287.95</v>
      </c>
      <c r="J1800" s="18"/>
      <c r="K1800" s="18"/>
      <c r="L1800" s="18"/>
      <c r="M1800" s="18"/>
    </row>
    <row r="1801" spans="3:13">
      <c r="C1801" t="s">
        <v>121</v>
      </c>
      <c r="D1801">
        <v>2035</v>
      </c>
      <c r="E1801" t="s">
        <v>141</v>
      </c>
      <c r="F1801">
        <v>1074.04</v>
      </c>
      <c r="J1801" s="18"/>
      <c r="K1801" s="18"/>
      <c r="L1801" s="18"/>
      <c r="M1801" s="18"/>
    </row>
    <row r="1802" spans="3:13">
      <c r="C1802" t="s">
        <v>121</v>
      </c>
      <c r="D1802">
        <v>2035</v>
      </c>
      <c r="E1802" t="s">
        <v>142</v>
      </c>
      <c r="F1802">
        <v>5332.36</v>
      </c>
      <c r="J1802" s="18"/>
      <c r="K1802" s="18"/>
      <c r="L1802" s="18"/>
      <c r="M1802" s="18"/>
    </row>
    <row r="1803" spans="3:13">
      <c r="C1803" t="s">
        <v>121</v>
      </c>
      <c r="D1803">
        <v>2035</v>
      </c>
      <c r="E1803" t="s">
        <v>143</v>
      </c>
      <c r="F1803">
        <v>3762.88</v>
      </c>
      <c r="J1803" s="18"/>
      <c r="K1803" s="18"/>
      <c r="L1803" s="18"/>
      <c r="M1803" s="18"/>
    </row>
    <row r="1804" spans="3:13">
      <c r="C1804" t="s">
        <v>121</v>
      </c>
      <c r="D1804">
        <v>2035</v>
      </c>
      <c r="E1804" t="s">
        <v>144</v>
      </c>
      <c r="F1804">
        <v>323.87</v>
      </c>
      <c r="J1804" s="18"/>
      <c r="K1804" s="18"/>
      <c r="L1804" s="18"/>
      <c r="M1804" s="18"/>
    </row>
    <row r="1805" spans="3:13">
      <c r="C1805" t="s">
        <v>121</v>
      </c>
      <c r="D1805">
        <v>2036</v>
      </c>
      <c r="E1805" t="s">
        <v>141</v>
      </c>
      <c r="F1805">
        <v>1117.75</v>
      </c>
      <c r="J1805" s="18"/>
      <c r="K1805" s="18"/>
      <c r="L1805" s="18"/>
      <c r="M1805" s="18"/>
    </row>
    <row r="1806" spans="3:13">
      <c r="C1806" t="s">
        <v>121</v>
      </c>
      <c r="D1806">
        <v>2036</v>
      </c>
      <c r="E1806" t="s">
        <v>142</v>
      </c>
      <c r="F1806">
        <v>5524.46</v>
      </c>
      <c r="J1806" s="18"/>
      <c r="K1806" s="18"/>
      <c r="L1806" s="18"/>
      <c r="M1806" s="18"/>
    </row>
    <row r="1807" spans="3:13">
      <c r="C1807" t="s">
        <v>121</v>
      </c>
      <c r="D1807">
        <v>2036</v>
      </c>
      <c r="E1807" t="s">
        <v>143</v>
      </c>
      <c r="F1807">
        <v>3960.66</v>
      </c>
      <c r="J1807" s="18"/>
      <c r="K1807" s="18"/>
      <c r="L1807" s="18"/>
      <c r="M1807" s="18"/>
    </row>
    <row r="1808" spans="3:13">
      <c r="C1808" t="s">
        <v>121</v>
      </c>
      <c r="D1808">
        <v>2036</v>
      </c>
      <c r="E1808" t="s">
        <v>144</v>
      </c>
      <c r="F1808">
        <v>358.79</v>
      </c>
      <c r="J1808" s="18"/>
      <c r="K1808" s="18"/>
      <c r="L1808" s="18"/>
      <c r="M1808" s="18"/>
    </row>
    <row r="1809" spans="3:13">
      <c r="C1809" t="s">
        <v>121</v>
      </c>
      <c r="D1809">
        <v>2037</v>
      </c>
      <c r="E1809" t="s">
        <v>141</v>
      </c>
      <c r="F1809">
        <v>1162.08</v>
      </c>
      <c r="J1809" s="18"/>
      <c r="K1809" s="18"/>
      <c r="L1809" s="18"/>
      <c r="M1809" s="18"/>
    </row>
    <row r="1810" spans="3:13">
      <c r="C1810" t="s">
        <v>121</v>
      </c>
      <c r="D1810">
        <v>2037</v>
      </c>
      <c r="E1810" t="s">
        <v>142</v>
      </c>
      <c r="F1810">
        <v>5698.35</v>
      </c>
      <c r="J1810" s="18"/>
      <c r="K1810" s="18"/>
      <c r="L1810" s="18"/>
      <c r="M1810" s="18"/>
    </row>
    <row r="1811" spans="3:13">
      <c r="C1811" t="s">
        <v>121</v>
      </c>
      <c r="D1811">
        <v>2037</v>
      </c>
      <c r="E1811" t="s">
        <v>143</v>
      </c>
      <c r="F1811">
        <v>4164.8900000000003</v>
      </c>
      <c r="J1811" s="18"/>
      <c r="K1811" s="18"/>
      <c r="L1811" s="18"/>
      <c r="M1811" s="18"/>
    </row>
    <row r="1812" spans="3:13">
      <c r="C1812" t="s">
        <v>121</v>
      </c>
      <c r="D1812">
        <v>2037</v>
      </c>
      <c r="E1812" t="s">
        <v>144</v>
      </c>
      <c r="F1812">
        <v>394.92</v>
      </c>
      <c r="J1812" s="18"/>
      <c r="K1812" s="18"/>
      <c r="L1812" s="18"/>
      <c r="M1812" s="18"/>
    </row>
    <row r="1813" spans="3:13">
      <c r="C1813" t="s">
        <v>121</v>
      </c>
      <c r="D1813">
        <v>2038</v>
      </c>
      <c r="E1813" t="s">
        <v>141</v>
      </c>
      <c r="F1813">
        <v>1206.96</v>
      </c>
      <c r="J1813" s="18"/>
      <c r="K1813" s="18"/>
      <c r="L1813" s="18"/>
      <c r="M1813" s="18"/>
    </row>
    <row r="1814" spans="3:13">
      <c r="C1814" t="s">
        <v>121</v>
      </c>
      <c r="D1814">
        <v>2038</v>
      </c>
      <c r="E1814" t="s">
        <v>142</v>
      </c>
      <c r="F1814">
        <v>5889.75</v>
      </c>
      <c r="J1814" s="18"/>
      <c r="K1814" s="18"/>
      <c r="L1814" s="18"/>
      <c r="M1814" s="18"/>
    </row>
    <row r="1815" spans="3:13">
      <c r="C1815" t="s">
        <v>121</v>
      </c>
      <c r="D1815">
        <v>2038</v>
      </c>
      <c r="E1815" t="s">
        <v>143</v>
      </c>
      <c r="F1815">
        <v>4377.1400000000003</v>
      </c>
      <c r="J1815" s="18"/>
      <c r="K1815" s="18"/>
      <c r="L1815" s="18"/>
      <c r="M1815" s="18"/>
    </row>
    <row r="1816" spans="3:13">
      <c r="C1816" t="s">
        <v>121</v>
      </c>
      <c r="D1816">
        <v>2038</v>
      </c>
      <c r="E1816" t="s">
        <v>144</v>
      </c>
      <c r="F1816">
        <v>434.73</v>
      </c>
      <c r="J1816" s="18"/>
      <c r="K1816" s="18"/>
      <c r="L1816" s="18"/>
      <c r="M1816" s="18"/>
    </row>
    <row r="1817" spans="3:13">
      <c r="C1817" t="s">
        <v>121</v>
      </c>
      <c r="D1817">
        <v>2039</v>
      </c>
      <c r="E1817" t="s">
        <v>141</v>
      </c>
      <c r="F1817">
        <v>1252.51</v>
      </c>
      <c r="J1817" s="18"/>
      <c r="K1817" s="18"/>
      <c r="L1817" s="18"/>
      <c r="M1817" s="18"/>
    </row>
    <row r="1818" spans="3:13">
      <c r="C1818" t="s">
        <v>121</v>
      </c>
      <c r="D1818">
        <v>2039</v>
      </c>
      <c r="E1818" t="s">
        <v>142</v>
      </c>
      <c r="F1818">
        <v>6066.99</v>
      </c>
      <c r="J1818" s="18"/>
      <c r="K1818" s="18"/>
      <c r="L1818" s="18"/>
      <c r="M1818" s="18"/>
    </row>
    <row r="1819" spans="3:13">
      <c r="C1819" t="s">
        <v>121</v>
      </c>
      <c r="D1819">
        <v>2039</v>
      </c>
      <c r="E1819" t="s">
        <v>143</v>
      </c>
      <c r="F1819">
        <v>4599.75</v>
      </c>
      <c r="J1819" s="18"/>
      <c r="K1819" s="18"/>
      <c r="L1819" s="18"/>
      <c r="M1819" s="18"/>
    </row>
    <row r="1820" spans="3:13">
      <c r="C1820" t="s">
        <v>121</v>
      </c>
      <c r="D1820">
        <v>2039</v>
      </c>
      <c r="E1820" t="s">
        <v>144</v>
      </c>
      <c r="F1820">
        <v>479.1</v>
      </c>
      <c r="J1820" s="18"/>
      <c r="K1820" s="18"/>
      <c r="L1820" s="18"/>
      <c r="M1820" s="18"/>
    </row>
    <row r="1821" spans="3:13">
      <c r="C1821" t="s">
        <v>121</v>
      </c>
      <c r="D1821">
        <v>2040</v>
      </c>
      <c r="E1821" t="s">
        <v>141</v>
      </c>
      <c r="F1821">
        <v>1298.28</v>
      </c>
      <c r="J1821" s="18"/>
      <c r="K1821" s="18"/>
      <c r="L1821" s="18"/>
      <c r="M1821" s="18"/>
    </row>
    <row r="1822" spans="3:13">
      <c r="C1822" t="s">
        <v>121</v>
      </c>
      <c r="D1822">
        <v>2040</v>
      </c>
      <c r="E1822" t="s">
        <v>142</v>
      </c>
      <c r="F1822">
        <v>6253.02</v>
      </c>
      <c r="J1822" s="18"/>
      <c r="K1822" s="18"/>
      <c r="L1822" s="18"/>
      <c r="M1822" s="18"/>
    </row>
    <row r="1823" spans="3:13">
      <c r="C1823" t="s">
        <v>121</v>
      </c>
      <c r="D1823">
        <v>2040</v>
      </c>
      <c r="E1823" t="s">
        <v>143</v>
      </c>
      <c r="F1823">
        <v>4826.38</v>
      </c>
      <c r="J1823" s="18"/>
      <c r="K1823" s="18"/>
      <c r="L1823" s="18"/>
      <c r="M1823" s="18"/>
    </row>
    <row r="1824" spans="3:13">
      <c r="C1824" t="s">
        <v>121</v>
      </c>
      <c r="D1824">
        <v>2040</v>
      </c>
      <c r="E1824" t="s">
        <v>144</v>
      </c>
      <c r="F1824">
        <v>527.12</v>
      </c>
      <c r="J1824" s="18"/>
      <c r="K1824" s="18"/>
      <c r="L1824" s="18"/>
      <c r="M1824" s="18"/>
    </row>
    <row r="1825" spans="3:13">
      <c r="C1825" t="s">
        <v>121</v>
      </c>
      <c r="D1825">
        <v>2041</v>
      </c>
      <c r="E1825" t="s">
        <v>141</v>
      </c>
      <c r="F1825">
        <v>1345.4</v>
      </c>
      <c r="J1825" s="18"/>
      <c r="K1825" s="18"/>
      <c r="L1825" s="18"/>
      <c r="M1825" s="18"/>
    </row>
    <row r="1826" spans="3:13">
      <c r="C1826" t="s">
        <v>121</v>
      </c>
      <c r="D1826">
        <v>2041</v>
      </c>
      <c r="E1826" t="s">
        <v>142</v>
      </c>
      <c r="F1826">
        <v>6440.35</v>
      </c>
      <c r="J1826" s="18"/>
      <c r="K1826" s="18"/>
      <c r="L1826" s="18"/>
      <c r="M1826" s="18"/>
    </row>
    <row r="1827" spans="3:13">
      <c r="C1827" t="s">
        <v>121</v>
      </c>
      <c r="D1827">
        <v>2041</v>
      </c>
      <c r="E1827" t="s">
        <v>143</v>
      </c>
      <c r="F1827">
        <v>5073.1499999999996</v>
      </c>
      <c r="J1827" s="18"/>
      <c r="K1827" s="18"/>
      <c r="L1827" s="18"/>
      <c r="M1827" s="18"/>
    </row>
    <row r="1828" spans="3:13">
      <c r="C1828" t="s">
        <v>121</v>
      </c>
      <c r="D1828">
        <v>2041</v>
      </c>
      <c r="E1828" t="s">
        <v>144</v>
      </c>
      <c r="F1828">
        <v>579.4</v>
      </c>
      <c r="J1828" s="18"/>
      <c r="K1828" s="18"/>
      <c r="L1828" s="18"/>
      <c r="M1828" s="18"/>
    </row>
    <row r="1829" spans="3:13">
      <c r="C1829" t="s">
        <v>121</v>
      </c>
      <c r="D1829">
        <v>2042</v>
      </c>
      <c r="E1829" t="s">
        <v>141</v>
      </c>
      <c r="F1829">
        <v>1392.95</v>
      </c>
      <c r="J1829" s="18"/>
      <c r="K1829" s="18"/>
      <c r="L1829" s="18"/>
      <c r="M1829" s="18"/>
    </row>
    <row r="1830" spans="3:13">
      <c r="C1830" t="s">
        <v>121</v>
      </c>
      <c r="D1830">
        <v>2042</v>
      </c>
      <c r="E1830" t="s">
        <v>142</v>
      </c>
      <c r="F1830">
        <v>6624.61</v>
      </c>
      <c r="J1830" s="18"/>
      <c r="K1830" s="18"/>
      <c r="L1830" s="18"/>
      <c r="M1830" s="18"/>
    </row>
    <row r="1831" spans="3:13">
      <c r="C1831" t="s">
        <v>121</v>
      </c>
      <c r="D1831">
        <v>2042</v>
      </c>
      <c r="E1831" t="s">
        <v>143</v>
      </c>
      <c r="F1831">
        <v>5330.54</v>
      </c>
      <c r="J1831" s="18"/>
      <c r="K1831" s="18"/>
      <c r="L1831" s="18"/>
      <c r="M1831" s="18"/>
    </row>
    <row r="1832" spans="3:13">
      <c r="C1832" t="s">
        <v>121</v>
      </c>
      <c r="D1832">
        <v>2042</v>
      </c>
      <c r="E1832" t="s">
        <v>144</v>
      </c>
      <c r="F1832">
        <v>633.87</v>
      </c>
      <c r="J1832" s="18"/>
      <c r="K1832" s="18"/>
      <c r="L1832" s="18"/>
      <c r="M1832" s="18"/>
    </row>
    <row r="1833" spans="3:13">
      <c r="C1833" t="s">
        <v>121</v>
      </c>
      <c r="D1833">
        <v>2043</v>
      </c>
      <c r="E1833" t="s">
        <v>141</v>
      </c>
      <c r="F1833">
        <v>1441.11</v>
      </c>
      <c r="J1833" s="18"/>
      <c r="K1833" s="18"/>
      <c r="L1833" s="18"/>
      <c r="M1833" s="18"/>
    </row>
    <row r="1834" spans="3:13">
      <c r="C1834" t="s">
        <v>121</v>
      </c>
      <c r="D1834">
        <v>2043</v>
      </c>
      <c r="E1834" t="s">
        <v>142</v>
      </c>
      <c r="F1834">
        <v>6805.69</v>
      </c>
      <c r="J1834" s="18"/>
      <c r="K1834" s="18"/>
      <c r="L1834" s="18"/>
      <c r="M1834" s="18"/>
    </row>
    <row r="1835" spans="3:13">
      <c r="C1835" t="s">
        <v>121</v>
      </c>
      <c r="D1835">
        <v>2043</v>
      </c>
      <c r="E1835" t="s">
        <v>143</v>
      </c>
      <c r="F1835">
        <v>5597.54</v>
      </c>
      <c r="J1835" s="18"/>
      <c r="K1835" s="18"/>
      <c r="L1835" s="18"/>
      <c r="M1835" s="18"/>
    </row>
    <row r="1836" spans="3:13">
      <c r="C1836" t="s">
        <v>121</v>
      </c>
      <c r="D1836">
        <v>2043</v>
      </c>
      <c r="E1836" t="s">
        <v>144</v>
      </c>
      <c r="F1836">
        <v>692.49</v>
      </c>
      <c r="J1836" s="18"/>
      <c r="K1836" s="18"/>
      <c r="L1836" s="18"/>
      <c r="M1836" s="18"/>
    </row>
    <row r="1837" spans="3:13">
      <c r="C1837" t="s">
        <v>121</v>
      </c>
      <c r="D1837">
        <v>2044</v>
      </c>
      <c r="E1837" t="s">
        <v>141</v>
      </c>
      <c r="F1837">
        <v>1490.03</v>
      </c>
      <c r="J1837" s="18"/>
      <c r="K1837" s="18"/>
      <c r="L1837" s="18"/>
      <c r="M1837" s="18"/>
    </row>
    <row r="1838" spans="3:13">
      <c r="C1838" t="s">
        <v>121</v>
      </c>
      <c r="D1838">
        <v>2044</v>
      </c>
      <c r="E1838" t="s">
        <v>142</v>
      </c>
      <c r="F1838">
        <v>6984.33</v>
      </c>
      <c r="J1838" s="18"/>
      <c r="K1838" s="18"/>
      <c r="L1838" s="18"/>
      <c r="M1838" s="18"/>
    </row>
    <row r="1839" spans="3:13">
      <c r="C1839" t="s">
        <v>121</v>
      </c>
      <c r="D1839">
        <v>2044</v>
      </c>
      <c r="E1839" t="s">
        <v>143</v>
      </c>
      <c r="F1839">
        <v>5878.21</v>
      </c>
      <c r="J1839" s="18"/>
      <c r="K1839" s="18"/>
      <c r="L1839" s="18"/>
      <c r="M1839" s="18"/>
    </row>
    <row r="1840" spans="3:13">
      <c r="C1840" t="s">
        <v>121</v>
      </c>
      <c r="D1840">
        <v>2044</v>
      </c>
      <c r="E1840" t="s">
        <v>144</v>
      </c>
      <c r="F1840">
        <v>756.47</v>
      </c>
      <c r="J1840" s="18"/>
      <c r="K1840" s="18"/>
      <c r="L1840" s="18"/>
      <c r="M1840" s="18"/>
    </row>
    <row r="1841" spans="3:13">
      <c r="C1841" t="s">
        <v>121</v>
      </c>
      <c r="D1841">
        <v>2045</v>
      </c>
      <c r="E1841" t="s">
        <v>141</v>
      </c>
      <c r="F1841">
        <v>1539.57</v>
      </c>
      <c r="J1841" s="18"/>
      <c r="K1841" s="18"/>
      <c r="L1841" s="18"/>
      <c r="M1841" s="18"/>
    </row>
    <row r="1842" spans="3:13">
      <c r="C1842" t="s">
        <v>121</v>
      </c>
      <c r="D1842">
        <v>2045</v>
      </c>
      <c r="E1842" t="s">
        <v>142</v>
      </c>
      <c r="F1842">
        <v>7147.26</v>
      </c>
      <c r="J1842" s="18"/>
      <c r="K1842" s="18"/>
      <c r="L1842" s="18"/>
      <c r="M1842" s="18"/>
    </row>
    <row r="1843" spans="3:13">
      <c r="C1843" t="s">
        <v>121</v>
      </c>
      <c r="D1843">
        <v>2045</v>
      </c>
      <c r="E1843" t="s">
        <v>143</v>
      </c>
      <c r="F1843">
        <v>6171.68</v>
      </c>
      <c r="J1843" s="18"/>
      <c r="K1843" s="18"/>
      <c r="L1843" s="18"/>
      <c r="M1843" s="18"/>
    </row>
    <row r="1844" spans="3:13">
      <c r="C1844" t="s">
        <v>121</v>
      </c>
      <c r="D1844">
        <v>2045</v>
      </c>
      <c r="E1844" t="s">
        <v>144</v>
      </c>
      <c r="F1844">
        <v>825.29</v>
      </c>
      <c r="J1844" s="18"/>
      <c r="K1844" s="18"/>
      <c r="L1844" s="18"/>
      <c r="M1844" s="18"/>
    </row>
    <row r="1845" spans="3:13">
      <c r="C1845" t="s">
        <v>121</v>
      </c>
      <c r="D1845">
        <v>2046</v>
      </c>
      <c r="E1845" t="s">
        <v>141</v>
      </c>
      <c r="F1845">
        <v>1586.77</v>
      </c>
      <c r="J1845" s="18"/>
      <c r="K1845" s="18"/>
      <c r="L1845" s="18"/>
      <c r="M1845" s="18"/>
    </row>
    <row r="1846" spans="3:13">
      <c r="C1846" t="s">
        <v>121</v>
      </c>
      <c r="D1846">
        <v>2046</v>
      </c>
      <c r="E1846" t="s">
        <v>142</v>
      </c>
      <c r="F1846">
        <v>7329.18</v>
      </c>
      <c r="J1846" s="18"/>
      <c r="K1846" s="18"/>
      <c r="L1846" s="18"/>
      <c r="M1846" s="18"/>
    </row>
    <row r="1847" spans="3:13">
      <c r="C1847" t="s">
        <v>121</v>
      </c>
      <c r="D1847">
        <v>2046</v>
      </c>
      <c r="E1847" t="s">
        <v>143</v>
      </c>
      <c r="F1847">
        <v>6429.97</v>
      </c>
      <c r="J1847" s="18"/>
      <c r="K1847" s="18"/>
      <c r="L1847" s="18"/>
      <c r="M1847" s="18"/>
    </row>
    <row r="1848" spans="3:13">
      <c r="C1848" t="s">
        <v>121</v>
      </c>
      <c r="D1848">
        <v>2046</v>
      </c>
      <c r="E1848" t="s">
        <v>144</v>
      </c>
      <c r="F1848">
        <v>899.34</v>
      </c>
      <c r="J1848" s="18"/>
      <c r="K1848" s="18"/>
      <c r="L1848" s="18"/>
      <c r="M1848" s="18"/>
    </row>
    <row r="1849" spans="3:13">
      <c r="C1849" t="s">
        <v>121</v>
      </c>
      <c r="D1849">
        <v>2047</v>
      </c>
      <c r="E1849" t="s">
        <v>141</v>
      </c>
      <c r="F1849">
        <v>1634.15</v>
      </c>
      <c r="J1849" s="18"/>
      <c r="K1849" s="18"/>
      <c r="L1849" s="18"/>
      <c r="M1849" s="18"/>
    </row>
    <row r="1850" spans="3:13">
      <c r="C1850" t="s">
        <v>121</v>
      </c>
      <c r="D1850">
        <v>2047</v>
      </c>
      <c r="E1850" t="s">
        <v>142</v>
      </c>
      <c r="F1850">
        <v>7480.58</v>
      </c>
      <c r="J1850" s="18"/>
      <c r="K1850" s="18"/>
      <c r="L1850" s="18"/>
      <c r="M1850" s="18"/>
    </row>
    <row r="1851" spans="3:13">
      <c r="C1851" t="s">
        <v>121</v>
      </c>
      <c r="D1851">
        <v>2047</v>
      </c>
      <c r="E1851" t="s">
        <v>143</v>
      </c>
      <c r="F1851">
        <v>6695.44</v>
      </c>
      <c r="J1851" s="18"/>
      <c r="K1851" s="18"/>
      <c r="L1851" s="18"/>
      <c r="M1851" s="18"/>
    </row>
    <row r="1852" spans="3:13">
      <c r="C1852" t="s">
        <v>121</v>
      </c>
      <c r="D1852">
        <v>2047</v>
      </c>
      <c r="E1852" t="s">
        <v>144</v>
      </c>
      <c r="F1852">
        <v>977.94</v>
      </c>
      <c r="J1852" s="18"/>
      <c r="K1852" s="18"/>
      <c r="L1852" s="18"/>
      <c r="M1852" s="18"/>
    </row>
    <row r="1853" spans="3:13">
      <c r="C1853" t="s">
        <v>121</v>
      </c>
      <c r="D1853">
        <v>2048</v>
      </c>
      <c r="E1853" t="s">
        <v>141</v>
      </c>
      <c r="F1853">
        <v>1681.62</v>
      </c>
      <c r="J1853" s="18"/>
      <c r="K1853" s="18"/>
      <c r="L1853" s="18"/>
      <c r="M1853" s="18"/>
    </row>
    <row r="1854" spans="3:13">
      <c r="C1854" t="s">
        <v>121</v>
      </c>
      <c r="D1854">
        <v>2048</v>
      </c>
      <c r="E1854" t="s">
        <v>142</v>
      </c>
      <c r="F1854">
        <v>7654.82</v>
      </c>
      <c r="J1854" s="18"/>
      <c r="K1854" s="18"/>
      <c r="L1854" s="18"/>
      <c r="M1854" s="18"/>
    </row>
    <row r="1855" spans="3:13">
      <c r="C1855" t="s">
        <v>121</v>
      </c>
      <c r="D1855">
        <v>2048</v>
      </c>
      <c r="E1855" t="s">
        <v>143</v>
      </c>
      <c r="F1855">
        <v>6968.7</v>
      </c>
      <c r="J1855" s="18"/>
      <c r="K1855" s="18"/>
      <c r="L1855" s="18"/>
      <c r="M1855" s="18"/>
    </row>
    <row r="1856" spans="3:13">
      <c r="C1856" t="s">
        <v>121</v>
      </c>
      <c r="D1856">
        <v>2048</v>
      </c>
      <c r="E1856" t="s">
        <v>144</v>
      </c>
      <c r="F1856">
        <v>1060.27</v>
      </c>
      <c r="J1856" s="18"/>
      <c r="K1856" s="18"/>
      <c r="L1856" s="18"/>
      <c r="M1856" s="18"/>
    </row>
    <row r="1857" spans="3:13">
      <c r="C1857" t="s">
        <v>121</v>
      </c>
      <c r="D1857">
        <v>2049</v>
      </c>
      <c r="E1857" t="s">
        <v>141</v>
      </c>
      <c r="F1857">
        <v>1729.18</v>
      </c>
      <c r="J1857" s="18"/>
      <c r="K1857" s="18"/>
      <c r="L1857" s="18"/>
      <c r="M1857" s="18"/>
    </row>
    <row r="1858" spans="3:13">
      <c r="C1858" t="s">
        <v>121</v>
      </c>
      <c r="D1858">
        <v>2049</v>
      </c>
      <c r="E1858" t="s">
        <v>142</v>
      </c>
      <c r="F1858">
        <v>7798.95</v>
      </c>
      <c r="J1858" s="18"/>
      <c r="K1858" s="18"/>
      <c r="L1858" s="18"/>
      <c r="M1858" s="18"/>
    </row>
    <row r="1859" spans="3:13">
      <c r="C1859" t="s">
        <v>121</v>
      </c>
      <c r="D1859">
        <v>2049</v>
      </c>
      <c r="E1859" t="s">
        <v>143</v>
      </c>
      <c r="F1859">
        <v>7246.76</v>
      </c>
      <c r="J1859" s="18"/>
      <c r="K1859" s="18"/>
      <c r="L1859" s="18"/>
      <c r="M1859" s="18"/>
    </row>
    <row r="1860" spans="3:13">
      <c r="C1860" t="s">
        <v>121</v>
      </c>
      <c r="D1860">
        <v>2049</v>
      </c>
      <c r="E1860" t="s">
        <v>144</v>
      </c>
      <c r="F1860">
        <v>1145.8599999999999</v>
      </c>
      <c r="J1860" s="18"/>
      <c r="K1860" s="18"/>
      <c r="L1860" s="18"/>
      <c r="M1860" s="18"/>
    </row>
    <row r="1861" spans="3:13">
      <c r="C1861" t="s">
        <v>121</v>
      </c>
      <c r="D1861">
        <v>2050</v>
      </c>
      <c r="E1861" t="s">
        <v>141</v>
      </c>
      <c r="F1861">
        <v>1776.12</v>
      </c>
      <c r="J1861" s="18"/>
      <c r="K1861" s="18"/>
      <c r="L1861" s="18"/>
      <c r="M1861" s="18"/>
    </row>
    <row r="1862" spans="3:13">
      <c r="C1862" t="s">
        <v>121</v>
      </c>
      <c r="D1862">
        <v>2050</v>
      </c>
      <c r="E1862" t="s">
        <v>142</v>
      </c>
      <c r="F1862">
        <v>7955.65</v>
      </c>
      <c r="J1862" s="18"/>
      <c r="K1862" s="18"/>
      <c r="L1862" s="18"/>
      <c r="M1862" s="18"/>
    </row>
    <row r="1863" spans="3:13">
      <c r="C1863" t="s">
        <v>121</v>
      </c>
      <c r="D1863">
        <v>2050</v>
      </c>
      <c r="E1863" t="s">
        <v>143</v>
      </c>
      <c r="F1863">
        <v>7529.13</v>
      </c>
      <c r="J1863" s="18"/>
      <c r="K1863" s="18"/>
      <c r="L1863" s="18"/>
      <c r="M1863" s="18"/>
    </row>
    <row r="1864" spans="3:13">
      <c r="C1864" t="s">
        <v>121</v>
      </c>
      <c r="D1864">
        <v>2050</v>
      </c>
      <c r="E1864" t="s">
        <v>144</v>
      </c>
      <c r="F1864">
        <v>1233.9000000000001</v>
      </c>
      <c r="J1864" s="18"/>
      <c r="K1864" s="18"/>
      <c r="L1864" s="18"/>
      <c r="M1864" s="18"/>
    </row>
    <row r="1865" spans="3:13">
      <c r="C1865" t="s">
        <v>122</v>
      </c>
      <c r="D1865">
        <v>2010</v>
      </c>
      <c r="E1865" t="s">
        <v>141</v>
      </c>
      <c r="F1865">
        <v>1351.47</v>
      </c>
      <c r="J1865" s="18"/>
      <c r="K1865" s="18"/>
      <c r="L1865" s="18"/>
      <c r="M1865" s="18"/>
    </row>
    <row r="1866" spans="3:13">
      <c r="C1866" t="s">
        <v>122</v>
      </c>
      <c r="D1866">
        <v>2010</v>
      </c>
      <c r="E1866" t="s">
        <v>142</v>
      </c>
      <c r="F1866">
        <v>993.15</v>
      </c>
      <c r="J1866" s="18"/>
      <c r="K1866" s="18"/>
      <c r="L1866" s="18"/>
      <c r="M1866" s="18"/>
    </row>
    <row r="1867" spans="3:13">
      <c r="C1867" t="s">
        <v>122</v>
      </c>
      <c r="D1867">
        <v>2010</v>
      </c>
      <c r="E1867" t="s">
        <v>143</v>
      </c>
      <c r="F1867">
        <v>1203.4000000000001</v>
      </c>
      <c r="J1867" s="18"/>
      <c r="K1867" s="18"/>
      <c r="L1867" s="18"/>
      <c r="M1867" s="18"/>
    </row>
    <row r="1868" spans="3:13">
      <c r="C1868" t="s">
        <v>122</v>
      </c>
      <c r="D1868">
        <v>2010</v>
      </c>
      <c r="E1868" t="s">
        <v>144</v>
      </c>
      <c r="F1868">
        <v>73.36</v>
      </c>
      <c r="J1868" s="18"/>
      <c r="K1868" s="18"/>
      <c r="L1868" s="18"/>
      <c r="M1868" s="18"/>
    </row>
    <row r="1869" spans="3:13">
      <c r="C1869" t="s">
        <v>122</v>
      </c>
      <c r="D1869">
        <v>2011</v>
      </c>
      <c r="E1869" t="s">
        <v>141</v>
      </c>
      <c r="F1869">
        <v>1401.75</v>
      </c>
      <c r="J1869" s="18"/>
      <c r="K1869" s="18"/>
      <c r="L1869" s="18"/>
      <c r="M1869" s="18"/>
    </row>
    <row r="1870" spans="3:13">
      <c r="C1870" t="s">
        <v>122</v>
      </c>
      <c r="D1870">
        <v>2011</v>
      </c>
      <c r="E1870" t="s">
        <v>142</v>
      </c>
      <c r="F1870">
        <v>922.83</v>
      </c>
      <c r="J1870" s="18"/>
      <c r="K1870" s="18"/>
      <c r="L1870" s="18"/>
      <c r="M1870" s="18"/>
    </row>
    <row r="1871" spans="3:13">
      <c r="C1871" t="s">
        <v>122</v>
      </c>
      <c r="D1871">
        <v>2011</v>
      </c>
      <c r="E1871" t="s">
        <v>143</v>
      </c>
      <c r="F1871">
        <v>1205.47</v>
      </c>
      <c r="J1871" s="18"/>
      <c r="K1871" s="18"/>
      <c r="L1871" s="18"/>
      <c r="M1871" s="18"/>
    </row>
    <row r="1872" spans="3:13">
      <c r="C1872" t="s">
        <v>122</v>
      </c>
      <c r="D1872">
        <v>2011</v>
      </c>
      <c r="E1872" t="s">
        <v>144</v>
      </c>
      <c r="F1872">
        <v>75.31</v>
      </c>
      <c r="J1872" s="18"/>
      <c r="K1872" s="18"/>
      <c r="L1872" s="18"/>
      <c r="M1872" s="18"/>
    </row>
    <row r="1873" spans="3:13">
      <c r="C1873" t="s">
        <v>122</v>
      </c>
      <c r="D1873">
        <v>2012</v>
      </c>
      <c r="E1873" t="s">
        <v>141</v>
      </c>
      <c r="F1873">
        <v>1289.3399999999999</v>
      </c>
      <c r="J1873" s="18"/>
      <c r="K1873" s="18"/>
      <c r="L1873" s="18"/>
      <c r="M1873" s="18"/>
    </row>
    <row r="1874" spans="3:13">
      <c r="C1874" t="s">
        <v>122</v>
      </c>
      <c r="D1874">
        <v>2012</v>
      </c>
      <c r="E1874" t="s">
        <v>142</v>
      </c>
      <c r="F1874">
        <v>858.21</v>
      </c>
      <c r="J1874" s="18"/>
      <c r="K1874" s="18"/>
      <c r="L1874" s="18"/>
      <c r="M1874" s="18"/>
    </row>
    <row r="1875" spans="3:13">
      <c r="C1875" t="s">
        <v>122</v>
      </c>
      <c r="D1875">
        <v>2012</v>
      </c>
      <c r="E1875" t="s">
        <v>143</v>
      </c>
      <c r="F1875">
        <v>1159.8599999999999</v>
      </c>
      <c r="J1875" s="18"/>
      <c r="K1875" s="18"/>
      <c r="L1875" s="18"/>
      <c r="M1875" s="18"/>
    </row>
    <row r="1876" spans="3:13">
      <c r="C1876" t="s">
        <v>122</v>
      </c>
      <c r="D1876">
        <v>2012</v>
      </c>
      <c r="E1876" t="s">
        <v>144</v>
      </c>
      <c r="F1876">
        <v>70.819999999999993</v>
      </c>
      <c r="J1876" s="18"/>
      <c r="K1876" s="18"/>
      <c r="L1876" s="18"/>
      <c r="M1876" s="18"/>
    </row>
    <row r="1877" spans="3:13">
      <c r="C1877" t="s">
        <v>122</v>
      </c>
      <c r="D1877">
        <v>2013</v>
      </c>
      <c r="E1877" t="s">
        <v>141</v>
      </c>
      <c r="F1877">
        <v>1327.23</v>
      </c>
      <c r="J1877" s="18"/>
      <c r="K1877" s="18"/>
      <c r="L1877" s="18"/>
      <c r="M1877" s="18"/>
    </row>
    <row r="1878" spans="3:13">
      <c r="C1878" t="s">
        <v>122</v>
      </c>
      <c r="D1878">
        <v>2013</v>
      </c>
      <c r="E1878" t="s">
        <v>142</v>
      </c>
      <c r="F1878">
        <v>837.17</v>
      </c>
      <c r="J1878" s="18"/>
      <c r="K1878" s="18"/>
      <c r="L1878" s="18"/>
      <c r="M1878" s="18"/>
    </row>
    <row r="1879" spans="3:13">
      <c r="C1879" t="s">
        <v>122</v>
      </c>
      <c r="D1879">
        <v>2013</v>
      </c>
      <c r="E1879" t="s">
        <v>143</v>
      </c>
      <c r="F1879">
        <v>1163.69</v>
      </c>
      <c r="J1879" s="18"/>
      <c r="K1879" s="18"/>
      <c r="L1879" s="18"/>
      <c r="M1879" s="18"/>
    </row>
    <row r="1880" spans="3:13">
      <c r="C1880" t="s">
        <v>122</v>
      </c>
      <c r="D1880">
        <v>2013</v>
      </c>
      <c r="E1880" t="s">
        <v>144</v>
      </c>
      <c r="F1880">
        <v>72.69</v>
      </c>
      <c r="J1880" s="18"/>
      <c r="K1880" s="18"/>
      <c r="L1880" s="18"/>
      <c r="M1880" s="18"/>
    </row>
    <row r="1881" spans="3:13">
      <c r="C1881" t="s">
        <v>122</v>
      </c>
      <c r="D1881">
        <v>2014</v>
      </c>
      <c r="E1881" t="s">
        <v>141</v>
      </c>
      <c r="F1881">
        <v>1351.09</v>
      </c>
      <c r="J1881" s="18"/>
      <c r="K1881" s="18"/>
      <c r="L1881" s="18"/>
      <c r="M1881" s="18"/>
    </row>
    <row r="1882" spans="3:13">
      <c r="C1882" t="s">
        <v>122</v>
      </c>
      <c r="D1882">
        <v>2014</v>
      </c>
      <c r="E1882" t="s">
        <v>142</v>
      </c>
      <c r="F1882">
        <v>775.26</v>
      </c>
      <c r="J1882" s="18"/>
      <c r="K1882" s="18"/>
      <c r="L1882" s="18"/>
      <c r="M1882" s="18"/>
    </row>
    <row r="1883" spans="3:13">
      <c r="C1883" t="s">
        <v>122</v>
      </c>
      <c r="D1883">
        <v>2014</v>
      </c>
      <c r="E1883" t="s">
        <v>143</v>
      </c>
      <c r="F1883">
        <v>1120.4000000000001</v>
      </c>
      <c r="J1883" s="18"/>
      <c r="K1883" s="18"/>
      <c r="L1883" s="18"/>
      <c r="M1883" s="18"/>
    </row>
    <row r="1884" spans="3:13">
      <c r="C1884" t="s">
        <v>122</v>
      </c>
      <c r="D1884">
        <v>2014</v>
      </c>
      <c r="E1884" t="s">
        <v>144</v>
      </c>
      <c r="F1884">
        <v>72.83</v>
      </c>
      <c r="J1884" s="18"/>
      <c r="K1884" s="18"/>
      <c r="L1884" s="18"/>
      <c r="M1884" s="18"/>
    </row>
    <row r="1885" spans="3:13">
      <c r="C1885" t="s">
        <v>122</v>
      </c>
      <c r="D1885">
        <v>2015</v>
      </c>
      <c r="E1885" t="s">
        <v>141</v>
      </c>
      <c r="F1885">
        <v>1350.27</v>
      </c>
      <c r="J1885" s="18"/>
      <c r="K1885" s="18"/>
      <c r="L1885" s="18"/>
      <c r="M1885" s="18"/>
    </row>
    <row r="1886" spans="3:13">
      <c r="C1886" t="s">
        <v>122</v>
      </c>
      <c r="D1886">
        <v>2015</v>
      </c>
      <c r="E1886" t="s">
        <v>142</v>
      </c>
      <c r="F1886">
        <v>689.59</v>
      </c>
      <c r="J1886" s="18"/>
      <c r="K1886" s="18"/>
      <c r="L1886" s="18"/>
      <c r="M1886" s="18"/>
    </row>
    <row r="1887" spans="3:13">
      <c r="C1887" t="s">
        <v>122</v>
      </c>
      <c r="D1887">
        <v>2015</v>
      </c>
      <c r="E1887" t="s">
        <v>143</v>
      </c>
      <c r="F1887">
        <v>1143.19</v>
      </c>
      <c r="J1887" s="18"/>
      <c r="K1887" s="18"/>
      <c r="L1887" s="18"/>
      <c r="M1887" s="18"/>
    </row>
    <row r="1888" spans="3:13">
      <c r="C1888" t="s">
        <v>122</v>
      </c>
      <c r="D1888">
        <v>2015</v>
      </c>
      <c r="E1888" t="s">
        <v>144</v>
      </c>
      <c r="F1888">
        <v>74.94</v>
      </c>
      <c r="J1888" s="18"/>
      <c r="K1888" s="18"/>
      <c r="L1888" s="18"/>
      <c r="M1888" s="18"/>
    </row>
    <row r="1889" spans="3:13">
      <c r="C1889" t="s">
        <v>122</v>
      </c>
      <c r="D1889">
        <v>2016</v>
      </c>
      <c r="E1889" t="s">
        <v>141</v>
      </c>
      <c r="F1889">
        <v>1213.47</v>
      </c>
      <c r="J1889" s="18"/>
      <c r="K1889" s="18"/>
      <c r="L1889" s="18"/>
      <c r="M1889" s="18"/>
    </row>
    <row r="1890" spans="3:13">
      <c r="C1890" t="s">
        <v>122</v>
      </c>
      <c r="D1890">
        <v>2016</v>
      </c>
      <c r="E1890" t="s">
        <v>142</v>
      </c>
      <c r="F1890">
        <v>936.63</v>
      </c>
      <c r="J1890" s="18"/>
      <c r="K1890" s="18"/>
      <c r="L1890" s="18"/>
      <c r="M1890" s="18"/>
    </row>
    <row r="1891" spans="3:13">
      <c r="C1891" t="s">
        <v>122</v>
      </c>
      <c r="D1891">
        <v>2016</v>
      </c>
      <c r="E1891" t="s">
        <v>143</v>
      </c>
      <c r="F1891">
        <v>1015.14</v>
      </c>
      <c r="J1891" s="18"/>
      <c r="K1891" s="18"/>
      <c r="L1891" s="18"/>
      <c r="M1891" s="18"/>
    </row>
    <row r="1892" spans="3:13">
      <c r="C1892" t="s">
        <v>122</v>
      </c>
      <c r="D1892">
        <v>2016</v>
      </c>
      <c r="E1892" t="s">
        <v>144</v>
      </c>
      <c r="F1892">
        <v>66.319999999999993</v>
      </c>
      <c r="J1892" s="18"/>
      <c r="K1892" s="18"/>
      <c r="L1892" s="18"/>
      <c r="M1892" s="18"/>
    </row>
    <row r="1893" spans="3:13">
      <c r="C1893" t="s">
        <v>122</v>
      </c>
      <c r="D1893">
        <v>2017</v>
      </c>
      <c r="E1893" t="s">
        <v>141</v>
      </c>
      <c r="F1893">
        <v>1216.6600000000001</v>
      </c>
      <c r="J1893" s="18"/>
      <c r="K1893" s="18"/>
      <c r="L1893" s="18"/>
      <c r="M1893" s="18"/>
    </row>
    <row r="1894" spans="3:13">
      <c r="C1894" t="s">
        <v>122</v>
      </c>
      <c r="D1894">
        <v>2017</v>
      </c>
      <c r="E1894" t="s">
        <v>142</v>
      </c>
      <c r="F1894">
        <v>929.78</v>
      </c>
      <c r="J1894" s="18"/>
      <c r="K1894" s="18"/>
      <c r="L1894" s="18"/>
      <c r="M1894" s="18"/>
    </row>
    <row r="1895" spans="3:13">
      <c r="C1895" t="s">
        <v>122</v>
      </c>
      <c r="D1895">
        <v>2017</v>
      </c>
      <c r="E1895" t="s">
        <v>143</v>
      </c>
      <c r="F1895">
        <v>1025.73</v>
      </c>
      <c r="J1895" s="18"/>
      <c r="K1895" s="18"/>
      <c r="L1895" s="18"/>
      <c r="M1895" s="18"/>
    </row>
    <row r="1896" spans="3:13">
      <c r="C1896" t="s">
        <v>122</v>
      </c>
      <c r="D1896">
        <v>2017</v>
      </c>
      <c r="E1896" t="s">
        <v>144</v>
      </c>
      <c r="F1896">
        <v>65.52</v>
      </c>
      <c r="J1896" s="18"/>
      <c r="K1896" s="18"/>
      <c r="L1896" s="18"/>
      <c r="M1896" s="18"/>
    </row>
    <row r="1897" spans="3:13">
      <c r="C1897" t="s">
        <v>122</v>
      </c>
      <c r="D1897">
        <v>2018</v>
      </c>
      <c r="E1897" t="s">
        <v>141</v>
      </c>
      <c r="F1897">
        <v>1230.6600000000001</v>
      </c>
      <c r="J1897" s="18"/>
      <c r="K1897" s="18"/>
      <c r="L1897" s="18"/>
      <c r="M1897" s="18"/>
    </row>
    <row r="1898" spans="3:13">
      <c r="C1898" t="s">
        <v>122</v>
      </c>
      <c r="D1898">
        <v>2018</v>
      </c>
      <c r="E1898" t="s">
        <v>142</v>
      </c>
      <c r="F1898">
        <v>905.5</v>
      </c>
      <c r="J1898" s="18"/>
      <c r="K1898" s="18"/>
      <c r="L1898" s="18"/>
      <c r="M1898" s="18"/>
    </row>
    <row r="1899" spans="3:13">
      <c r="C1899" t="s">
        <v>122</v>
      </c>
      <c r="D1899">
        <v>2018</v>
      </c>
      <c r="E1899" t="s">
        <v>143</v>
      </c>
      <c r="F1899">
        <v>1003.24</v>
      </c>
      <c r="J1899" s="18"/>
      <c r="K1899" s="18"/>
      <c r="L1899" s="18"/>
      <c r="M1899" s="18"/>
    </row>
    <row r="1900" spans="3:13">
      <c r="C1900" t="s">
        <v>122</v>
      </c>
      <c r="D1900">
        <v>2018</v>
      </c>
      <c r="E1900" t="s">
        <v>144</v>
      </c>
      <c r="F1900">
        <v>67.17</v>
      </c>
      <c r="J1900" s="18"/>
      <c r="K1900" s="18"/>
      <c r="L1900" s="18"/>
      <c r="M1900" s="18"/>
    </row>
    <row r="1901" spans="3:13">
      <c r="C1901" t="s">
        <v>122</v>
      </c>
      <c r="D1901">
        <v>2019</v>
      </c>
      <c r="E1901" t="s">
        <v>141</v>
      </c>
      <c r="F1901">
        <v>1228.0899999999999</v>
      </c>
      <c r="J1901" s="18"/>
      <c r="K1901" s="18"/>
      <c r="L1901" s="18"/>
      <c r="M1901" s="18"/>
    </row>
    <row r="1902" spans="3:13">
      <c r="C1902" t="s">
        <v>122</v>
      </c>
      <c r="D1902">
        <v>2019</v>
      </c>
      <c r="E1902" t="s">
        <v>142</v>
      </c>
      <c r="F1902">
        <v>889.67</v>
      </c>
      <c r="J1902" s="18"/>
      <c r="K1902" s="18"/>
      <c r="L1902" s="18"/>
      <c r="M1902" s="18"/>
    </row>
    <row r="1903" spans="3:13">
      <c r="C1903" t="s">
        <v>122</v>
      </c>
      <c r="D1903">
        <v>2019</v>
      </c>
      <c r="E1903" t="s">
        <v>143</v>
      </c>
      <c r="F1903">
        <v>1008.01</v>
      </c>
      <c r="J1903" s="18"/>
      <c r="K1903" s="18"/>
      <c r="L1903" s="18"/>
      <c r="M1903" s="18"/>
    </row>
    <row r="1904" spans="3:13">
      <c r="C1904" t="s">
        <v>122</v>
      </c>
      <c r="D1904">
        <v>2019</v>
      </c>
      <c r="E1904" t="s">
        <v>144</v>
      </c>
      <c r="F1904">
        <v>102.1</v>
      </c>
      <c r="J1904" s="18"/>
      <c r="K1904" s="18"/>
      <c r="L1904" s="18"/>
      <c r="M1904" s="18"/>
    </row>
    <row r="1905" spans="3:13">
      <c r="C1905" t="s">
        <v>122</v>
      </c>
      <c r="D1905">
        <v>2020</v>
      </c>
      <c r="E1905" t="s">
        <v>146</v>
      </c>
      <c r="F1905">
        <v>0.54</v>
      </c>
      <c r="J1905" s="18"/>
      <c r="K1905" s="18"/>
      <c r="L1905" s="18"/>
      <c r="M1905" s="18"/>
    </row>
    <row r="1906" spans="3:13">
      <c r="C1906" t="s">
        <v>122</v>
      </c>
      <c r="D1906">
        <v>2020</v>
      </c>
      <c r="E1906" t="s">
        <v>147</v>
      </c>
      <c r="F1906">
        <v>0.03</v>
      </c>
      <c r="J1906" s="18"/>
      <c r="K1906" s="18"/>
      <c r="L1906" s="18"/>
      <c r="M1906" s="18"/>
    </row>
    <row r="1907" spans="3:13">
      <c r="C1907" t="s">
        <v>122</v>
      </c>
      <c r="D1907">
        <v>2020</v>
      </c>
      <c r="E1907" t="s">
        <v>141</v>
      </c>
      <c r="F1907">
        <v>1208.43</v>
      </c>
      <c r="J1907" s="18"/>
      <c r="K1907" s="18"/>
      <c r="L1907" s="18"/>
      <c r="M1907" s="18"/>
    </row>
    <row r="1908" spans="3:13">
      <c r="C1908" t="s">
        <v>122</v>
      </c>
      <c r="D1908">
        <v>2020</v>
      </c>
      <c r="E1908" t="s">
        <v>142</v>
      </c>
      <c r="F1908">
        <v>803.78</v>
      </c>
      <c r="J1908" s="18"/>
      <c r="K1908" s="18"/>
      <c r="L1908" s="18"/>
      <c r="M1908" s="18"/>
    </row>
    <row r="1909" spans="3:13">
      <c r="C1909" t="s">
        <v>122</v>
      </c>
      <c r="D1909">
        <v>2020</v>
      </c>
      <c r="E1909" t="s">
        <v>143</v>
      </c>
      <c r="F1909">
        <v>1017.28</v>
      </c>
      <c r="J1909" s="18"/>
      <c r="K1909" s="18"/>
      <c r="L1909" s="18"/>
      <c r="M1909" s="18"/>
    </row>
    <row r="1910" spans="3:13">
      <c r="C1910" t="s">
        <v>122</v>
      </c>
      <c r="D1910">
        <v>2020</v>
      </c>
      <c r="E1910" t="s">
        <v>144</v>
      </c>
      <c r="F1910">
        <v>78.69</v>
      </c>
      <c r="J1910" s="18"/>
      <c r="K1910" s="18"/>
      <c r="L1910" s="18"/>
      <c r="M1910" s="18"/>
    </row>
    <row r="1911" spans="3:13">
      <c r="C1911" t="s">
        <v>122</v>
      </c>
      <c r="D1911">
        <v>2021</v>
      </c>
      <c r="E1911" t="s">
        <v>146</v>
      </c>
      <c r="F1911">
        <v>0.18</v>
      </c>
      <c r="J1911" s="18"/>
      <c r="K1911" s="18"/>
      <c r="L1911" s="18"/>
      <c r="M1911" s="18"/>
    </row>
    <row r="1912" spans="3:13">
      <c r="C1912" t="s">
        <v>122</v>
      </c>
      <c r="D1912">
        <v>2021</v>
      </c>
      <c r="E1912" t="s">
        <v>147</v>
      </c>
      <c r="F1912">
        <v>0.01</v>
      </c>
      <c r="J1912" s="18"/>
      <c r="K1912" s="18"/>
      <c r="L1912" s="18"/>
      <c r="M1912" s="18"/>
    </row>
    <row r="1913" spans="3:13">
      <c r="C1913" t="s">
        <v>122</v>
      </c>
      <c r="D1913">
        <v>2021</v>
      </c>
      <c r="E1913" t="s">
        <v>141</v>
      </c>
      <c r="F1913">
        <v>1219.0899999999999</v>
      </c>
      <c r="J1913" s="18"/>
      <c r="K1913" s="18"/>
      <c r="L1913" s="18"/>
      <c r="M1913" s="18"/>
    </row>
    <row r="1914" spans="3:13">
      <c r="C1914" t="s">
        <v>122</v>
      </c>
      <c r="D1914">
        <v>2021</v>
      </c>
      <c r="E1914" t="s">
        <v>142</v>
      </c>
      <c r="F1914">
        <v>870.84</v>
      </c>
      <c r="J1914" s="18"/>
      <c r="K1914" s="18"/>
      <c r="L1914" s="18"/>
      <c r="M1914" s="18"/>
    </row>
    <row r="1915" spans="3:13">
      <c r="C1915" t="s">
        <v>122</v>
      </c>
      <c r="D1915">
        <v>2021</v>
      </c>
      <c r="E1915" t="s">
        <v>143</v>
      </c>
      <c r="F1915">
        <v>999.93</v>
      </c>
      <c r="J1915" s="18"/>
      <c r="K1915" s="18"/>
      <c r="L1915" s="18"/>
      <c r="M1915" s="18"/>
    </row>
    <row r="1916" spans="3:13">
      <c r="C1916" t="s">
        <v>122</v>
      </c>
      <c r="D1916">
        <v>2021</v>
      </c>
      <c r="E1916" t="s">
        <v>144</v>
      </c>
      <c r="F1916">
        <v>95.45</v>
      </c>
      <c r="J1916" s="18"/>
      <c r="K1916" s="18"/>
      <c r="L1916" s="18"/>
      <c r="M1916" s="18"/>
    </row>
    <row r="1917" spans="3:13">
      <c r="C1917" t="s">
        <v>122</v>
      </c>
      <c r="D1917">
        <v>2022</v>
      </c>
      <c r="E1917" t="s">
        <v>146</v>
      </c>
      <c r="F1917">
        <v>0.05</v>
      </c>
      <c r="J1917" s="18"/>
      <c r="K1917" s="18"/>
      <c r="L1917" s="18"/>
      <c r="M1917" s="18"/>
    </row>
    <row r="1918" spans="3:13">
      <c r="C1918" t="s">
        <v>122</v>
      </c>
      <c r="D1918">
        <v>2022</v>
      </c>
      <c r="E1918" t="s">
        <v>147</v>
      </c>
      <c r="F1918">
        <v>0</v>
      </c>
      <c r="J1918" s="18"/>
      <c r="K1918" s="18"/>
      <c r="L1918" s="18"/>
      <c r="M1918" s="18"/>
    </row>
    <row r="1919" spans="3:13">
      <c r="C1919" t="s">
        <v>122</v>
      </c>
      <c r="D1919">
        <v>2022</v>
      </c>
      <c r="E1919" t="s">
        <v>141</v>
      </c>
      <c r="F1919">
        <v>1232.74</v>
      </c>
      <c r="J1919" s="18"/>
      <c r="K1919" s="18"/>
      <c r="L1919" s="18"/>
      <c r="M1919" s="18"/>
    </row>
    <row r="1920" spans="3:13">
      <c r="C1920" t="s">
        <v>122</v>
      </c>
      <c r="D1920">
        <v>2022</v>
      </c>
      <c r="E1920" t="s">
        <v>142</v>
      </c>
      <c r="F1920">
        <v>894.36</v>
      </c>
      <c r="J1920" s="18"/>
      <c r="K1920" s="18"/>
      <c r="L1920" s="18"/>
      <c r="M1920" s="18"/>
    </row>
    <row r="1921" spans="3:13">
      <c r="C1921" t="s">
        <v>122</v>
      </c>
      <c r="D1921">
        <v>2022</v>
      </c>
      <c r="E1921" t="s">
        <v>143</v>
      </c>
      <c r="F1921">
        <v>998.81</v>
      </c>
      <c r="J1921" s="18"/>
      <c r="K1921" s="18"/>
      <c r="L1921" s="18"/>
      <c r="M1921" s="18"/>
    </row>
    <row r="1922" spans="3:13">
      <c r="C1922" t="s">
        <v>122</v>
      </c>
      <c r="D1922">
        <v>2022</v>
      </c>
      <c r="E1922" t="s">
        <v>144</v>
      </c>
      <c r="F1922">
        <v>109.1</v>
      </c>
      <c r="J1922" s="18"/>
      <c r="K1922" s="18"/>
      <c r="L1922" s="18"/>
      <c r="M1922" s="18"/>
    </row>
    <row r="1923" spans="3:13">
      <c r="C1923" t="s">
        <v>122</v>
      </c>
      <c r="D1923">
        <v>2023</v>
      </c>
      <c r="E1923" t="s">
        <v>146</v>
      </c>
      <c r="F1923">
        <v>7.0000000000000007E-2</v>
      </c>
      <c r="J1923" s="18"/>
      <c r="K1923" s="18"/>
      <c r="L1923" s="18"/>
      <c r="M1923" s="18"/>
    </row>
    <row r="1924" spans="3:13">
      <c r="C1924" t="s">
        <v>122</v>
      </c>
      <c r="D1924">
        <v>2023</v>
      </c>
      <c r="E1924" t="s">
        <v>147</v>
      </c>
      <c r="F1924">
        <v>0</v>
      </c>
      <c r="J1924" s="18"/>
      <c r="K1924" s="18"/>
      <c r="L1924" s="18"/>
      <c r="M1924" s="18"/>
    </row>
    <row r="1925" spans="3:13">
      <c r="C1925" t="s">
        <v>122</v>
      </c>
      <c r="D1925">
        <v>2023</v>
      </c>
      <c r="E1925" t="s">
        <v>141</v>
      </c>
      <c r="F1925">
        <v>1241.5899999999999</v>
      </c>
      <c r="J1925" s="18"/>
      <c r="K1925" s="18"/>
      <c r="L1925" s="18"/>
      <c r="M1925" s="18"/>
    </row>
    <row r="1926" spans="3:13">
      <c r="C1926" t="s">
        <v>122</v>
      </c>
      <c r="D1926">
        <v>2023</v>
      </c>
      <c r="E1926" t="s">
        <v>142</v>
      </c>
      <c r="F1926">
        <v>906.78</v>
      </c>
      <c r="J1926" s="18"/>
      <c r="K1926" s="18"/>
      <c r="L1926" s="18"/>
      <c r="M1926" s="18"/>
    </row>
    <row r="1927" spans="3:13">
      <c r="C1927" t="s">
        <v>122</v>
      </c>
      <c r="D1927">
        <v>2023</v>
      </c>
      <c r="E1927" t="s">
        <v>143</v>
      </c>
      <c r="F1927">
        <v>1000.6</v>
      </c>
      <c r="J1927" s="18"/>
      <c r="K1927" s="18"/>
      <c r="L1927" s="18"/>
      <c r="M1927" s="18"/>
    </row>
    <row r="1928" spans="3:13">
      <c r="C1928" t="s">
        <v>122</v>
      </c>
      <c r="D1928">
        <v>2023</v>
      </c>
      <c r="E1928" t="s">
        <v>144</v>
      </c>
      <c r="F1928">
        <v>113.89</v>
      </c>
      <c r="J1928" s="18"/>
      <c r="K1928" s="18"/>
      <c r="L1928" s="18"/>
      <c r="M1928" s="18"/>
    </row>
    <row r="1929" spans="3:13">
      <c r="C1929" t="s">
        <v>122</v>
      </c>
      <c r="D1929">
        <v>2024</v>
      </c>
      <c r="E1929" t="s">
        <v>146</v>
      </c>
      <c r="F1929">
        <v>0.13</v>
      </c>
      <c r="J1929" s="18"/>
      <c r="K1929" s="18"/>
      <c r="L1929" s="18"/>
      <c r="M1929" s="18"/>
    </row>
    <row r="1930" spans="3:13">
      <c r="C1930" t="s">
        <v>122</v>
      </c>
      <c r="D1930">
        <v>2024</v>
      </c>
      <c r="E1930" t="s">
        <v>147</v>
      </c>
      <c r="F1930">
        <v>0.01</v>
      </c>
      <c r="J1930" s="18"/>
      <c r="K1930" s="18"/>
      <c r="L1930" s="18"/>
      <c r="M1930" s="18"/>
    </row>
    <row r="1931" spans="3:13">
      <c r="C1931" t="s">
        <v>122</v>
      </c>
      <c r="D1931">
        <v>2024</v>
      </c>
      <c r="E1931" t="s">
        <v>141</v>
      </c>
      <c r="F1931">
        <v>1248.8599999999999</v>
      </c>
      <c r="J1931" s="18"/>
      <c r="K1931" s="18"/>
      <c r="L1931" s="18"/>
      <c r="M1931" s="18"/>
    </row>
    <row r="1932" spans="3:13">
      <c r="C1932" t="s">
        <v>122</v>
      </c>
      <c r="D1932">
        <v>2024</v>
      </c>
      <c r="E1932" t="s">
        <v>142</v>
      </c>
      <c r="F1932">
        <v>913.14</v>
      </c>
      <c r="J1932" s="18"/>
      <c r="K1932" s="18"/>
      <c r="L1932" s="18"/>
      <c r="M1932" s="18"/>
    </row>
    <row r="1933" spans="3:13">
      <c r="C1933" t="s">
        <v>122</v>
      </c>
      <c r="D1933">
        <v>2024</v>
      </c>
      <c r="E1933" t="s">
        <v>143</v>
      </c>
      <c r="F1933">
        <v>1003.56</v>
      </c>
      <c r="J1933" s="18"/>
      <c r="K1933" s="18"/>
      <c r="L1933" s="18"/>
      <c r="M1933" s="18"/>
    </row>
    <row r="1934" spans="3:13">
      <c r="C1934" t="s">
        <v>122</v>
      </c>
      <c r="D1934">
        <v>2024</v>
      </c>
      <c r="E1934" t="s">
        <v>144</v>
      </c>
      <c r="F1934">
        <v>115.73</v>
      </c>
      <c r="J1934" s="18"/>
      <c r="K1934" s="18"/>
      <c r="L1934" s="18"/>
      <c r="M1934" s="18"/>
    </row>
    <row r="1935" spans="3:13">
      <c r="C1935" t="s">
        <v>122</v>
      </c>
      <c r="D1935">
        <v>2025</v>
      </c>
      <c r="E1935" t="s">
        <v>146</v>
      </c>
      <c r="F1935">
        <v>0.15</v>
      </c>
      <c r="J1935" s="18"/>
      <c r="K1935" s="18"/>
      <c r="L1935" s="18"/>
      <c r="M1935" s="18"/>
    </row>
    <row r="1936" spans="3:13">
      <c r="C1936" t="s">
        <v>122</v>
      </c>
      <c r="D1936">
        <v>2025</v>
      </c>
      <c r="E1936" t="s">
        <v>147</v>
      </c>
      <c r="F1936">
        <v>0.01</v>
      </c>
      <c r="J1936" s="18"/>
      <c r="K1936" s="18"/>
      <c r="L1936" s="18"/>
      <c r="M1936" s="18"/>
    </row>
    <row r="1937" spans="3:13">
      <c r="C1937" t="s">
        <v>122</v>
      </c>
      <c r="D1937">
        <v>2025</v>
      </c>
      <c r="E1937" t="s">
        <v>141</v>
      </c>
      <c r="F1937">
        <v>1255.02</v>
      </c>
      <c r="J1937" s="18"/>
      <c r="K1937" s="18"/>
      <c r="L1937" s="18"/>
      <c r="M1937" s="18"/>
    </row>
    <row r="1938" spans="3:13">
      <c r="C1938" t="s">
        <v>122</v>
      </c>
      <c r="D1938">
        <v>2025</v>
      </c>
      <c r="E1938" t="s">
        <v>142</v>
      </c>
      <c r="F1938">
        <v>919.75</v>
      </c>
      <c r="J1938" s="18"/>
      <c r="K1938" s="18"/>
      <c r="L1938" s="18"/>
      <c r="M1938" s="18"/>
    </row>
    <row r="1939" spans="3:13">
      <c r="C1939" t="s">
        <v>122</v>
      </c>
      <c r="D1939">
        <v>2025</v>
      </c>
      <c r="E1939" t="s">
        <v>143</v>
      </c>
      <c r="F1939">
        <v>1006.79</v>
      </c>
      <c r="J1939" s="18"/>
      <c r="K1939" s="18"/>
      <c r="L1939" s="18"/>
      <c r="M1939" s="18"/>
    </row>
    <row r="1940" spans="3:13">
      <c r="C1940" t="s">
        <v>122</v>
      </c>
      <c r="D1940">
        <v>2025</v>
      </c>
      <c r="E1940" t="s">
        <v>144</v>
      </c>
      <c r="F1940">
        <v>117.37</v>
      </c>
      <c r="J1940" s="18"/>
      <c r="K1940" s="18"/>
      <c r="L1940" s="18"/>
      <c r="M1940" s="18"/>
    </row>
    <row r="1941" spans="3:13">
      <c r="C1941" t="s">
        <v>122</v>
      </c>
      <c r="D1941">
        <v>2026</v>
      </c>
      <c r="E1941" t="s">
        <v>146</v>
      </c>
      <c r="F1941">
        <v>0.19</v>
      </c>
      <c r="J1941" s="18"/>
      <c r="K1941" s="18"/>
      <c r="L1941" s="18"/>
      <c r="M1941" s="18"/>
    </row>
    <row r="1942" spans="3:13">
      <c r="C1942" t="s">
        <v>122</v>
      </c>
      <c r="D1942">
        <v>2026</v>
      </c>
      <c r="E1942" t="s">
        <v>147</v>
      </c>
      <c r="F1942">
        <v>0.01</v>
      </c>
      <c r="J1942" s="18"/>
      <c r="K1942" s="18"/>
      <c r="L1942" s="18"/>
      <c r="M1942" s="18"/>
    </row>
    <row r="1943" spans="3:13">
      <c r="C1943" t="s">
        <v>122</v>
      </c>
      <c r="D1943">
        <v>2026</v>
      </c>
      <c r="E1943" t="s">
        <v>141</v>
      </c>
      <c r="F1943">
        <v>1260.51</v>
      </c>
      <c r="J1943" s="18"/>
      <c r="K1943" s="18"/>
      <c r="L1943" s="18"/>
      <c r="M1943" s="18"/>
    </row>
    <row r="1944" spans="3:13">
      <c r="C1944" t="s">
        <v>122</v>
      </c>
      <c r="D1944">
        <v>2026</v>
      </c>
      <c r="E1944" t="s">
        <v>142</v>
      </c>
      <c r="F1944">
        <v>922.99</v>
      </c>
      <c r="J1944" s="18"/>
      <c r="K1944" s="18"/>
      <c r="L1944" s="18"/>
      <c r="M1944" s="18"/>
    </row>
    <row r="1945" spans="3:13">
      <c r="C1945" t="s">
        <v>122</v>
      </c>
      <c r="D1945">
        <v>2026</v>
      </c>
      <c r="E1945" t="s">
        <v>143</v>
      </c>
      <c r="F1945">
        <v>1010.49</v>
      </c>
      <c r="J1945" s="18"/>
      <c r="K1945" s="18"/>
      <c r="L1945" s="18"/>
      <c r="M1945" s="18"/>
    </row>
    <row r="1946" spans="3:13">
      <c r="C1946" t="s">
        <v>122</v>
      </c>
      <c r="D1946">
        <v>2026</v>
      </c>
      <c r="E1946" t="s">
        <v>144</v>
      </c>
      <c r="F1946">
        <v>118.68</v>
      </c>
      <c r="J1946" s="18"/>
      <c r="K1946" s="18"/>
      <c r="L1946" s="18"/>
      <c r="M1946" s="18"/>
    </row>
    <row r="1947" spans="3:13">
      <c r="C1947" t="s">
        <v>122</v>
      </c>
      <c r="D1947">
        <v>2027</v>
      </c>
      <c r="E1947" t="s">
        <v>146</v>
      </c>
      <c r="F1947">
        <v>0.22</v>
      </c>
      <c r="J1947" s="18"/>
      <c r="K1947" s="18"/>
      <c r="L1947" s="18"/>
      <c r="M1947" s="18"/>
    </row>
    <row r="1948" spans="3:13">
      <c r="C1948" t="s">
        <v>122</v>
      </c>
      <c r="D1948">
        <v>2027</v>
      </c>
      <c r="E1948" t="s">
        <v>147</v>
      </c>
      <c r="F1948">
        <v>0.01</v>
      </c>
      <c r="J1948" s="18"/>
      <c r="K1948" s="18"/>
      <c r="L1948" s="18"/>
      <c r="M1948" s="18"/>
    </row>
    <row r="1949" spans="3:13">
      <c r="C1949" t="s">
        <v>122</v>
      </c>
      <c r="D1949">
        <v>2027</v>
      </c>
      <c r="E1949" t="s">
        <v>141</v>
      </c>
      <c r="F1949">
        <v>1265.02</v>
      </c>
      <c r="J1949" s="18"/>
      <c r="K1949" s="18"/>
      <c r="L1949" s="18"/>
      <c r="M1949" s="18"/>
    </row>
    <row r="1950" spans="3:13">
      <c r="C1950" t="s">
        <v>122</v>
      </c>
      <c r="D1950">
        <v>2027</v>
      </c>
      <c r="E1950" t="s">
        <v>142</v>
      </c>
      <c r="F1950">
        <v>925.49</v>
      </c>
      <c r="J1950" s="18"/>
      <c r="K1950" s="18"/>
      <c r="L1950" s="18"/>
      <c r="M1950" s="18"/>
    </row>
    <row r="1951" spans="3:13">
      <c r="C1951" t="s">
        <v>122</v>
      </c>
      <c r="D1951">
        <v>2027</v>
      </c>
      <c r="E1951" t="s">
        <v>143</v>
      </c>
      <c r="F1951">
        <v>1014.11</v>
      </c>
      <c r="J1951" s="18"/>
      <c r="K1951" s="18"/>
      <c r="L1951" s="18"/>
      <c r="M1951" s="18"/>
    </row>
    <row r="1952" spans="3:13">
      <c r="C1952" t="s">
        <v>122</v>
      </c>
      <c r="D1952">
        <v>2027</v>
      </c>
      <c r="E1952" t="s">
        <v>144</v>
      </c>
      <c r="F1952">
        <v>120.63</v>
      </c>
      <c r="J1952" s="18"/>
      <c r="K1952" s="18"/>
      <c r="L1952" s="18"/>
      <c r="M1952" s="18"/>
    </row>
    <row r="1953" spans="3:13">
      <c r="C1953" t="s">
        <v>122</v>
      </c>
      <c r="D1953">
        <v>2028</v>
      </c>
      <c r="E1953" t="s">
        <v>146</v>
      </c>
      <c r="F1953">
        <v>0.25</v>
      </c>
      <c r="J1953" s="18"/>
      <c r="K1953" s="18"/>
      <c r="L1953" s="18"/>
      <c r="M1953" s="18"/>
    </row>
    <row r="1954" spans="3:13">
      <c r="C1954" t="s">
        <v>122</v>
      </c>
      <c r="D1954">
        <v>2028</v>
      </c>
      <c r="E1954" t="s">
        <v>147</v>
      </c>
      <c r="F1954">
        <v>0.01</v>
      </c>
      <c r="J1954" s="18"/>
      <c r="K1954" s="18"/>
      <c r="L1954" s="18"/>
      <c r="M1954" s="18"/>
    </row>
    <row r="1955" spans="3:13">
      <c r="C1955" t="s">
        <v>122</v>
      </c>
      <c r="D1955">
        <v>2028</v>
      </c>
      <c r="E1955" t="s">
        <v>141</v>
      </c>
      <c r="F1955">
        <v>1268.58</v>
      </c>
      <c r="J1955" s="18"/>
      <c r="K1955" s="18"/>
      <c r="L1955" s="18"/>
      <c r="M1955" s="18"/>
    </row>
    <row r="1956" spans="3:13">
      <c r="C1956" t="s">
        <v>122</v>
      </c>
      <c r="D1956">
        <v>2028</v>
      </c>
      <c r="E1956" t="s">
        <v>142</v>
      </c>
      <c r="F1956">
        <v>925.17</v>
      </c>
      <c r="J1956" s="18"/>
      <c r="K1956" s="18"/>
      <c r="L1956" s="18"/>
      <c r="M1956" s="18"/>
    </row>
    <row r="1957" spans="3:13">
      <c r="C1957" t="s">
        <v>122</v>
      </c>
      <c r="D1957">
        <v>2028</v>
      </c>
      <c r="E1957" t="s">
        <v>143</v>
      </c>
      <c r="F1957">
        <v>1017.29</v>
      </c>
      <c r="J1957" s="18"/>
      <c r="K1957" s="18"/>
      <c r="L1957" s="18"/>
      <c r="M1957" s="18"/>
    </row>
    <row r="1958" spans="3:13">
      <c r="C1958" t="s">
        <v>122</v>
      </c>
      <c r="D1958">
        <v>2028</v>
      </c>
      <c r="E1958" t="s">
        <v>144</v>
      </c>
      <c r="F1958">
        <v>123.15</v>
      </c>
      <c r="J1958" s="18"/>
      <c r="K1958" s="18"/>
      <c r="L1958" s="18"/>
      <c r="M1958" s="18"/>
    </row>
    <row r="1959" spans="3:13">
      <c r="C1959" t="s">
        <v>122</v>
      </c>
      <c r="D1959">
        <v>2029</v>
      </c>
      <c r="E1959" t="s">
        <v>146</v>
      </c>
      <c r="F1959">
        <v>0.27</v>
      </c>
      <c r="J1959" s="18"/>
      <c r="K1959" s="18"/>
      <c r="L1959" s="18"/>
      <c r="M1959" s="18"/>
    </row>
    <row r="1960" spans="3:13">
      <c r="C1960" t="s">
        <v>122</v>
      </c>
      <c r="D1960">
        <v>2029</v>
      </c>
      <c r="E1960" t="s">
        <v>147</v>
      </c>
      <c r="F1960">
        <v>0.01</v>
      </c>
      <c r="J1960" s="18"/>
      <c r="K1960" s="18"/>
      <c r="L1960" s="18"/>
      <c r="M1960" s="18"/>
    </row>
    <row r="1961" spans="3:13">
      <c r="C1961" t="s">
        <v>122</v>
      </c>
      <c r="D1961">
        <v>2029</v>
      </c>
      <c r="E1961" t="s">
        <v>141</v>
      </c>
      <c r="F1961">
        <v>1271.21</v>
      </c>
      <c r="J1961" s="18"/>
      <c r="K1961" s="18"/>
      <c r="L1961" s="18"/>
      <c r="M1961" s="18"/>
    </row>
    <row r="1962" spans="3:13">
      <c r="C1962" t="s">
        <v>122</v>
      </c>
      <c r="D1962">
        <v>2029</v>
      </c>
      <c r="E1962" t="s">
        <v>142</v>
      </c>
      <c r="F1962">
        <v>925.64</v>
      </c>
      <c r="J1962" s="18"/>
      <c r="K1962" s="18"/>
      <c r="L1962" s="18"/>
      <c r="M1962" s="18"/>
    </row>
    <row r="1963" spans="3:13">
      <c r="C1963" t="s">
        <v>122</v>
      </c>
      <c r="D1963">
        <v>2029</v>
      </c>
      <c r="E1963" t="s">
        <v>143</v>
      </c>
      <c r="F1963">
        <v>1020.01</v>
      </c>
      <c r="J1963" s="18"/>
      <c r="K1963" s="18"/>
      <c r="L1963" s="18"/>
      <c r="M1963" s="18"/>
    </row>
    <row r="1964" spans="3:13">
      <c r="C1964" t="s">
        <v>122</v>
      </c>
      <c r="D1964">
        <v>2029</v>
      </c>
      <c r="E1964" t="s">
        <v>144</v>
      </c>
      <c r="F1964">
        <v>126.29</v>
      </c>
      <c r="J1964" s="18"/>
      <c r="K1964" s="18"/>
      <c r="L1964" s="18"/>
      <c r="M1964" s="18"/>
    </row>
    <row r="1965" spans="3:13">
      <c r="C1965" t="s">
        <v>122</v>
      </c>
      <c r="D1965">
        <v>2030</v>
      </c>
      <c r="E1965" t="s">
        <v>146</v>
      </c>
      <c r="F1965">
        <v>0.28000000000000003</v>
      </c>
      <c r="J1965" s="18"/>
      <c r="K1965" s="18"/>
      <c r="L1965" s="18"/>
      <c r="M1965" s="18"/>
    </row>
    <row r="1966" spans="3:13">
      <c r="C1966" t="s">
        <v>122</v>
      </c>
      <c r="D1966">
        <v>2030</v>
      </c>
      <c r="E1966" t="s">
        <v>147</v>
      </c>
      <c r="F1966">
        <v>0.01</v>
      </c>
      <c r="J1966" s="18"/>
      <c r="K1966" s="18"/>
      <c r="L1966" s="18"/>
      <c r="M1966" s="18"/>
    </row>
    <row r="1967" spans="3:13">
      <c r="C1967" t="s">
        <v>122</v>
      </c>
      <c r="D1967">
        <v>2030</v>
      </c>
      <c r="E1967" t="s">
        <v>141</v>
      </c>
      <c r="F1967">
        <v>1272.99</v>
      </c>
      <c r="J1967" s="18"/>
      <c r="K1967" s="18"/>
      <c r="L1967" s="18"/>
      <c r="M1967" s="18"/>
    </row>
    <row r="1968" spans="3:13">
      <c r="C1968" t="s">
        <v>122</v>
      </c>
      <c r="D1968">
        <v>2030</v>
      </c>
      <c r="E1968" t="s">
        <v>142</v>
      </c>
      <c r="F1968">
        <v>923.63</v>
      </c>
      <c r="J1968" s="18"/>
      <c r="K1968" s="18"/>
      <c r="L1968" s="18"/>
      <c r="M1968" s="18"/>
    </row>
    <row r="1969" spans="3:13">
      <c r="C1969" t="s">
        <v>122</v>
      </c>
      <c r="D1969">
        <v>2030</v>
      </c>
      <c r="E1969" t="s">
        <v>143</v>
      </c>
      <c r="F1969">
        <v>1022.21</v>
      </c>
      <c r="J1969" s="18"/>
      <c r="K1969" s="18"/>
      <c r="L1969" s="18"/>
      <c r="M1969" s="18"/>
    </row>
    <row r="1970" spans="3:13">
      <c r="C1970" t="s">
        <v>122</v>
      </c>
      <c r="D1970">
        <v>2030</v>
      </c>
      <c r="E1970" t="s">
        <v>144</v>
      </c>
      <c r="F1970">
        <v>130.04</v>
      </c>
      <c r="J1970" s="18"/>
      <c r="K1970" s="18"/>
      <c r="L1970" s="18"/>
      <c r="M1970" s="18"/>
    </row>
    <row r="1971" spans="3:13">
      <c r="C1971" t="s">
        <v>122</v>
      </c>
      <c r="D1971">
        <v>2031</v>
      </c>
      <c r="E1971" t="s">
        <v>146</v>
      </c>
      <c r="F1971">
        <v>0.31</v>
      </c>
      <c r="J1971" s="18"/>
      <c r="K1971" s="18"/>
      <c r="L1971" s="18"/>
      <c r="M1971" s="18"/>
    </row>
    <row r="1972" spans="3:13">
      <c r="C1972" t="s">
        <v>122</v>
      </c>
      <c r="D1972">
        <v>2031</v>
      </c>
      <c r="E1972" t="s">
        <v>147</v>
      </c>
      <c r="F1972">
        <v>0.02</v>
      </c>
      <c r="J1972" s="18"/>
      <c r="K1972" s="18"/>
      <c r="L1972" s="18"/>
      <c r="M1972" s="18"/>
    </row>
    <row r="1973" spans="3:13">
      <c r="C1973" t="s">
        <v>122</v>
      </c>
      <c r="D1973">
        <v>2031</v>
      </c>
      <c r="E1973" t="s">
        <v>141</v>
      </c>
      <c r="F1973">
        <v>1274.68</v>
      </c>
      <c r="J1973" s="18"/>
      <c r="K1973" s="18"/>
      <c r="L1973" s="18"/>
      <c r="M1973" s="18"/>
    </row>
    <row r="1974" spans="3:13">
      <c r="C1974" t="s">
        <v>122</v>
      </c>
      <c r="D1974">
        <v>2031</v>
      </c>
      <c r="E1974" t="s">
        <v>142</v>
      </c>
      <c r="F1974">
        <v>922.76</v>
      </c>
      <c r="J1974" s="18"/>
      <c r="K1974" s="18"/>
      <c r="L1974" s="18"/>
      <c r="M1974" s="18"/>
    </row>
    <row r="1975" spans="3:13">
      <c r="C1975" t="s">
        <v>122</v>
      </c>
      <c r="D1975">
        <v>2031</v>
      </c>
      <c r="E1975" t="s">
        <v>143</v>
      </c>
      <c r="F1975">
        <v>1024.54</v>
      </c>
      <c r="J1975" s="18"/>
      <c r="K1975" s="18"/>
      <c r="L1975" s="18"/>
      <c r="M1975" s="18"/>
    </row>
    <row r="1976" spans="3:13">
      <c r="C1976" t="s">
        <v>122</v>
      </c>
      <c r="D1976">
        <v>2031</v>
      </c>
      <c r="E1976" t="s">
        <v>144</v>
      </c>
      <c r="F1976">
        <v>132.57</v>
      </c>
      <c r="J1976" s="18"/>
      <c r="K1976" s="18"/>
      <c r="L1976" s="18"/>
      <c r="M1976" s="18"/>
    </row>
    <row r="1977" spans="3:13">
      <c r="C1977" t="s">
        <v>122</v>
      </c>
      <c r="D1977">
        <v>2032</v>
      </c>
      <c r="E1977" t="s">
        <v>146</v>
      </c>
      <c r="F1977">
        <v>0.34</v>
      </c>
      <c r="J1977" s="18"/>
      <c r="K1977" s="18"/>
      <c r="L1977" s="18"/>
      <c r="M1977" s="18"/>
    </row>
    <row r="1978" spans="3:13">
      <c r="C1978" t="s">
        <v>122</v>
      </c>
      <c r="D1978">
        <v>2032</v>
      </c>
      <c r="E1978" t="s">
        <v>147</v>
      </c>
      <c r="F1978">
        <v>0.02</v>
      </c>
      <c r="J1978" s="18"/>
      <c r="K1978" s="18"/>
      <c r="L1978" s="18"/>
      <c r="M1978" s="18"/>
    </row>
    <row r="1979" spans="3:13">
      <c r="C1979" t="s">
        <v>122</v>
      </c>
      <c r="D1979">
        <v>2032</v>
      </c>
      <c r="E1979" t="s">
        <v>141</v>
      </c>
      <c r="F1979">
        <v>1276.07</v>
      </c>
      <c r="J1979" s="18"/>
      <c r="K1979" s="18"/>
      <c r="L1979" s="18"/>
      <c r="M1979" s="18"/>
    </row>
    <row r="1980" spans="3:13">
      <c r="C1980" t="s">
        <v>122</v>
      </c>
      <c r="D1980">
        <v>2032</v>
      </c>
      <c r="E1980" t="s">
        <v>142</v>
      </c>
      <c r="F1980">
        <v>919.78</v>
      </c>
      <c r="J1980" s="18"/>
      <c r="K1980" s="18"/>
      <c r="L1980" s="18"/>
      <c r="M1980" s="18"/>
    </row>
    <row r="1981" spans="3:13">
      <c r="C1981" t="s">
        <v>122</v>
      </c>
      <c r="D1981">
        <v>2032</v>
      </c>
      <c r="E1981" t="s">
        <v>143</v>
      </c>
      <c r="F1981">
        <v>1026.78</v>
      </c>
      <c r="J1981" s="18"/>
      <c r="K1981" s="18"/>
      <c r="L1981" s="18"/>
      <c r="M1981" s="18"/>
    </row>
    <row r="1982" spans="3:13">
      <c r="C1982" t="s">
        <v>122</v>
      </c>
      <c r="D1982">
        <v>2032</v>
      </c>
      <c r="E1982" t="s">
        <v>144</v>
      </c>
      <c r="F1982">
        <v>135.56</v>
      </c>
      <c r="J1982" s="18"/>
      <c r="K1982" s="18"/>
      <c r="L1982" s="18"/>
      <c r="M1982" s="18"/>
    </row>
    <row r="1983" spans="3:13">
      <c r="C1983" t="s">
        <v>122</v>
      </c>
      <c r="D1983">
        <v>2033</v>
      </c>
      <c r="E1983" t="s">
        <v>146</v>
      </c>
      <c r="F1983">
        <v>0.37</v>
      </c>
      <c r="J1983" s="18"/>
      <c r="K1983" s="18"/>
      <c r="L1983" s="18"/>
      <c r="M1983" s="18"/>
    </row>
    <row r="1984" spans="3:13">
      <c r="C1984" t="s">
        <v>122</v>
      </c>
      <c r="D1984">
        <v>2033</v>
      </c>
      <c r="E1984" t="s">
        <v>147</v>
      </c>
      <c r="F1984">
        <v>0.02</v>
      </c>
      <c r="J1984" s="18"/>
      <c r="K1984" s="18"/>
      <c r="L1984" s="18"/>
      <c r="M1984" s="18"/>
    </row>
    <row r="1985" spans="3:13">
      <c r="C1985" t="s">
        <v>122</v>
      </c>
      <c r="D1985">
        <v>2033</v>
      </c>
      <c r="E1985" t="s">
        <v>141</v>
      </c>
      <c r="F1985">
        <v>1277.49</v>
      </c>
      <c r="J1985" s="18"/>
      <c r="K1985" s="18"/>
      <c r="L1985" s="18"/>
      <c r="M1985" s="18"/>
    </row>
    <row r="1986" spans="3:13">
      <c r="C1986" t="s">
        <v>122</v>
      </c>
      <c r="D1986">
        <v>2033</v>
      </c>
      <c r="E1986" t="s">
        <v>142</v>
      </c>
      <c r="F1986">
        <v>919.04</v>
      </c>
      <c r="J1986" s="18"/>
      <c r="K1986" s="18"/>
      <c r="L1986" s="18"/>
      <c r="M1986" s="18"/>
    </row>
    <row r="1987" spans="3:13">
      <c r="C1987" t="s">
        <v>122</v>
      </c>
      <c r="D1987">
        <v>2033</v>
      </c>
      <c r="E1987" t="s">
        <v>143</v>
      </c>
      <c r="F1987">
        <v>1029.19</v>
      </c>
      <c r="J1987" s="18"/>
      <c r="K1987" s="18"/>
      <c r="L1987" s="18"/>
      <c r="M1987" s="18"/>
    </row>
    <row r="1988" spans="3:13">
      <c r="C1988" t="s">
        <v>122</v>
      </c>
      <c r="D1988">
        <v>2033</v>
      </c>
      <c r="E1988" t="s">
        <v>144</v>
      </c>
      <c r="F1988">
        <v>137.65</v>
      </c>
      <c r="J1988" s="18"/>
      <c r="K1988" s="18"/>
      <c r="L1988" s="18"/>
      <c r="M1988" s="18"/>
    </row>
    <row r="1989" spans="3:13">
      <c r="C1989" t="s">
        <v>122</v>
      </c>
      <c r="D1989">
        <v>2034</v>
      </c>
      <c r="E1989" t="s">
        <v>146</v>
      </c>
      <c r="F1989">
        <v>0.4</v>
      </c>
      <c r="J1989" s="18"/>
      <c r="K1989" s="18"/>
      <c r="L1989" s="18"/>
      <c r="M1989" s="18"/>
    </row>
    <row r="1990" spans="3:13">
      <c r="C1990" t="s">
        <v>122</v>
      </c>
      <c r="D1990">
        <v>2034</v>
      </c>
      <c r="E1990" t="s">
        <v>147</v>
      </c>
      <c r="F1990">
        <v>0.02</v>
      </c>
      <c r="J1990" s="18"/>
      <c r="K1990" s="18"/>
      <c r="L1990" s="18"/>
      <c r="M1990" s="18"/>
    </row>
    <row r="1991" spans="3:13">
      <c r="C1991" t="s">
        <v>122</v>
      </c>
      <c r="D1991">
        <v>2034</v>
      </c>
      <c r="E1991" t="s">
        <v>141</v>
      </c>
      <c r="F1991">
        <v>1278.9000000000001</v>
      </c>
      <c r="J1991" s="18"/>
      <c r="K1991" s="18"/>
      <c r="L1991" s="18"/>
      <c r="M1991" s="18"/>
    </row>
    <row r="1992" spans="3:13">
      <c r="C1992" t="s">
        <v>122</v>
      </c>
      <c r="D1992">
        <v>2034</v>
      </c>
      <c r="E1992" t="s">
        <v>142</v>
      </c>
      <c r="F1992">
        <v>915.65</v>
      </c>
      <c r="J1992" s="18"/>
      <c r="K1992" s="18"/>
      <c r="L1992" s="18"/>
      <c r="M1992" s="18"/>
    </row>
    <row r="1993" spans="3:13">
      <c r="C1993" t="s">
        <v>122</v>
      </c>
      <c r="D1993">
        <v>2034</v>
      </c>
      <c r="E1993" t="s">
        <v>143</v>
      </c>
      <c r="F1993">
        <v>1031.6500000000001</v>
      </c>
      <c r="J1993" s="18"/>
      <c r="K1993" s="18"/>
      <c r="L1993" s="18"/>
      <c r="M1993" s="18"/>
    </row>
    <row r="1994" spans="3:13">
      <c r="C1994" t="s">
        <v>122</v>
      </c>
      <c r="D1994">
        <v>2034</v>
      </c>
      <c r="E1994" t="s">
        <v>144</v>
      </c>
      <c r="F1994">
        <v>140.08000000000001</v>
      </c>
      <c r="J1994" s="18"/>
      <c r="K1994" s="18"/>
      <c r="L1994" s="18"/>
      <c r="M1994" s="18"/>
    </row>
    <row r="1995" spans="3:13">
      <c r="C1995" t="s">
        <v>122</v>
      </c>
      <c r="D1995">
        <v>2035</v>
      </c>
      <c r="E1995" t="s">
        <v>146</v>
      </c>
      <c r="F1995">
        <v>0.44</v>
      </c>
      <c r="J1995" s="18"/>
      <c r="K1995" s="18"/>
      <c r="L1995" s="18"/>
      <c r="M1995" s="18"/>
    </row>
    <row r="1996" spans="3:13">
      <c r="C1996" t="s">
        <v>122</v>
      </c>
      <c r="D1996">
        <v>2035</v>
      </c>
      <c r="E1996" t="s">
        <v>147</v>
      </c>
      <c r="F1996">
        <v>0.02</v>
      </c>
      <c r="J1996" s="18"/>
      <c r="K1996" s="18"/>
      <c r="L1996" s="18"/>
      <c r="M1996" s="18"/>
    </row>
    <row r="1997" spans="3:13">
      <c r="C1997" t="s">
        <v>122</v>
      </c>
      <c r="D1997">
        <v>2035</v>
      </c>
      <c r="E1997" t="s">
        <v>141</v>
      </c>
      <c r="F1997">
        <v>1280.3</v>
      </c>
      <c r="J1997" s="18"/>
      <c r="K1997" s="18"/>
      <c r="L1997" s="18"/>
      <c r="M1997" s="18"/>
    </row>
    <row r="1998" spans="3:13">
      <c r="C1998" t="s">
        <v>122</v>
      </c>
      <c r="D1998">
        <v>2035</v>
      </c>
      <c r="E1998" t="s">
        <v>142</v>
      </c>
      <c r="F1998">
        <v>913.93</v>
      </c>
      <c r="J1998" s="18"/>
      <c r="K1998" s="18"/>
      <c r="L1998" s="18"/>
      <c r="M1998" s="18"/>
    </row>
    <row r="1999" spans="3:13">
      <c r="C1999" t="s">
        <v>122</v>
      </c>
      <c r="D1999">
        <v>2035</v>
      </c>
      <c r="E1999" t="s">
        <v>143</v>
      </c>
      <c r="F1999">
        <v>1034.22</v>
      </c>
      <c r="J1999" s="18"/>
      <c r="K1999" s="18"/>
      <c r="L1999" s="18"/>
      <c r="M1999" s="18"/>
    </row>
    <row r="2000" spans="3:13">
      <c r="C2000" t="s">
        <v>122</v>
      </c>
      <c r="D2000">
        <v>2035</v>
      </c>
      <c r="E2000" t="s">
        <v>144</v>
      </c>
      <c r="F2000">
        <v>142.85</v>
      </c>
      <c r="J2000" s="18"/>
      <c r="K2000" s="18"/>
      <c r="L2000" s="18"/>
      <c r="M2000" s="18"/>
    </row>
    <row r="2001" spans="3:13">
      <c r="C2001" t="s">
        <v>122</v>
      </c>
      <c r="D2001">
        <v>2036</v>
      </c>
      <c r="E2001" t="s">
        <v>146</v>
      </c>
      <c r="F2001">
        <v>0.47</v>
      </c>
      <c r="J2001" s="18"/>
      <c r="K2001" s="18"/>
      <c r="L2001" s="18"/>
      <c r="M2001" s="18"/>
    </row>
    <row r="2002" spans="3:13">
      <c r="C2002" t="s">
        <v>122</v>
      </c>
      <c r="D2002">
        <v>2036</v>
      </c>
      <c r="E2002" t="s">
        <v>147</v>
      </c>
      <c r="F2002">
        <v>0.02</v>
      </c>
      <c r="J2002" s="18"/>
      <c r="K2002" s="18"/>
      <c r="L2002" s="18"/>
      <c r="M2002" s="18"/>
    </row>
    <row r="2003" spans="3:13">
      <c r="C2003" t="s">
        <v>122</v>
      </c>
      <c r="D2003">
        <v>2036</v>
      </c>
      <c r="E2003" t="s">
        <v>141</v>
      </c>
      <c r="F2003">
        <v>1281.08</v>
      </c>
      <c r="J2003" s="18"/>
      <c r="K2003" s="18"/>
      <c r="L2003" s="18"/>
      <c r="M2003" s="18"/>
    </row>
    <row r="2004" spans="3:13">
      <c r="C2004" t="s">
        <v>122</v>
      </c>
      <c r="D2004">
        <v>2036</v>
      </c>
      <c r="E2004" t="s">
        <v>142</v>
      </c>
      <c r="F2004">
        <v>911.09</v>
      </c>
      <c r="J2004" s="18"/>
      <c r="K2004" s="18"/>
      <c r="L2004" s="18"/>
      <c r="M2004" s="18"/>
    </row>
    <row r="2005" spans="3:13">
      <c r="C2005" t="s">
        <v>122</v>
      </c>
      <c r="D2005">
        <v>2036</v>
      </c>
      <c r="E2005" t="s">
        <v>143</v>
      </c>
      <c r="F2005">
        <v>1036.3900000000001</v>
      </c>
      <c r="J2005" s="18"/>
      <c r="K2005" s="18"/>
      <c r="L2005" s="18"/>
      <c r="M2005" s="18"/>
    </row>
    <row r="2006" spans="3:13">
      <c r="C2006" t="s">
        <v>122</v>
      </c>
      <c r="D2006">
        <v>2036</v>
      </c>
      <c r="E2006" t="s">
        <v>144</v>
      </c>
      <c r="F2006">
        <v>143.85</v>
      </c>
      <c r="J2006" s="18"/>
      <c r="K2006" s="18"/>
      <c r="L2006" s="18"/>
      <c r="M2006" s="18"/>
    </row>
    <row r="2007" spans="3:13">
      <c r="C2007" t="s">
        <v>122</v>
      </c>
      <c r="D2007">
        <v>2037</v>
      </c>
      <c r="E2007" t="s">
        <v>146</v>
      </c>
      <c r="F2007">
        <v>0.49</v>
      </c>
      <c r="J2007" s="18"/>
      <c r="K2007" s="18"/>
      <c r="L2007" s="18"/>
      <c r="M2007" s="18"/>
    </row>
    <row r="2008" spans="3:13">
      <c r="C2008" t="s">
        <v>122</v>
      </c>
      <c r="D2008">
        <v>2037</v>
      </c>
      <c r="E2008" t="s">
        <v>147</v>
      </c>
      <c r="F2008">
        <v>0.03</v>
      </c>
      <c r="J2008" s="18"/>
      <c r="K2008" s="18"/>
      <c r="L2008" s="18"/>
      <c r="M2008" s="18"/>
    </row>
    <row r="2009" spans="3:13">
      <c r="C2009" t="s">
        <v>122</v>
      </c>
      <c r="D2009">
        <v>2037</v>
      </c>
      <c r="E2009" t="s">
        <v>141</v>
      </c>
      <c r="F2009">
        <v>1281.83</v>
      </c>
      <c r="J2009" s="18"/>
      <c r="K2009" s="18"/>
      <c r="L2009" s="18"/>
      <c r="M2009" s="18"/>
    </row>
    <row r="2010" spans="3:13">
      <c r="C2010" t="s">
        <v>122</v>
      </c>
      <c r="D2010">
        <v>2037</v>
      </c>
      <c r="E2010" t="s">
        <v>142</v>
      </c>
      <c r="F2010">
        <v>909.05</v>
      </c>
      <c r="J2010" s="18"/>
      <c r="K2010" s="18"/>
      <c r="L2010" s="18"/>
      <c r="M2010" s="18"/>
    </row>
    <row r="2011" spans="3:13">
      <c r="C2011" t="s">
        <v>122</v>
      </c>
      <c r="D2011">
        <v>2037</v>
      </c>
      <c r="E2011" t="s">
        <v>143</v>
      </c>
      <c r="F2011">
        <v>1038.52</v>
      </c>
      <c r="J2011" s="18"/>
      <c r="K2011" s="18"/>
      <c r="L2011" s="18"/>
      <c r="M2011" s="18"/>
    </row>
    <row r="2012" spans="3:13">
      <c r="C2012" t="s">
        <v>122</v>
      </c>
      <c r="D2012">
        <v>2037</v>
      </c>
      <c r="E2012" t="s">
        <v>144</v>
      </c>
      <c r="F2012">
        <v>144.85</v>
      </c>
      <c r="J2012" s="18"/>
      <c r="K2012" s="18"/>
      <c r="L2012" s="18"/>
      <c r="M2012" s="18"/>
    </row>
    <row r="2013" spans="3:13">
      <c r="C2013" t="s">
        <v>122</v>
      </c>
      <c r="D2013">
        <v>2038</v>
      </c>
      <c r="E2013" t="s">
        <v>146</v>
      </c>
      <c r="F2013">
        <v>0.53</v>
      </c>
      <c r="J2013" s="18"/>
      <c r="K2013" s="18"/>
      <c r="L2013" s="18"/>
      <c r="M2013" s="18"/>
    </row>
    <row r="2014" spans="3:13">
      <c r="C2014" t="s">
        <v>122</v>
      </c>
      <c r="D2014">
        <v>2038</v>
      </c>
      <c r="E2014" t="s">
        <v>147</v>
      </c>
      <c r="F2014">
        <v>0.03</v>
      </c>
      <c r="J2014" s="18"/>
      <c r="K2014" s="18"/>
      <c r="L2014" s="18"/>
      <c r="M2014" s="18"/>
    </row>
    <row r="2015" spans="3:13">
      <c r="C2015" t="s">
        <v>122</v>
      </c>
      <c r="D2015">
        <v>2038</v>
      </c>
      <c r="E2015" t="s">
        <v>141</v>
      </c>
      <c r="F2015">
        <v>1282.6199999999999</v>
      </c>
      <c r="J2015" s="18"/>
      <c r="K2015" s="18"/>
      <c r="L2015" s="18"/>
      <c r="M2015" s="18"/>
    </row>
    <row r="2016" spans="3:13">
      <c r="C2016" t="s">
        <v>122</v>
      </c>
      <c r="D2016">
        <v>2038</v>
      </c>
      <c r="E2016" t="s">
        <v>142</v>
      </c>
      <c r="F2016">
        <v>907.68</v>
      </c>
      <c r="J2016" s="18"/>
      <c r="K2016" s="18"/>
      <c r="L2016" s="18"/>
      <c r="M2016" s="18"/>
    </row>
    <row r="2017" spans="3:13">
      <c r="C2017" t="s">
        <v>122</v>
      </c>
      <c r="D2017">
        <v>2038</v>
      </c>
      <c r="E2017" t="s">
        <v>143</v>
      </c>
      <c r="F2017">
        <v>1040.6500000000001</v>
      </c>
      <c r="J2017" s="18"/>
      <c r="K2017" s="18"/>
      <c r="L2017" s="18"/>
      <c r="M2017" s="18"/>
    </row>
    <row r="2018" spans="3:13">
      <c r="C2018" t="s">
        <v>122</v>
      </c>
      <c r="D2018">
        <v>2038</v>
      </c>
      <c r="E2018" t="s">
        <v>144</v>
      </c>
      <c r="F2018">
        <v>145.76</v>
      </c>
      <c r="J2018" s="18"/>
      <c r="K2018" s="18"/>
      <c r="L2018" s="18"/>
      <c r="M2018" s="18"/>
    </row>
    <row r="2019" spans="3:13">
      <c r="C2019" t="s">
        <v>122</v>
      </c>
      <c r="D2019">
        <v>2039</v>
      </c>
      <c r="E2019" t="s">
        <v>146</v>
      </c>
      <c r="F2019">
        <v>0.56999999999999995</v>
      </c>
      <c r="J2019" s="18"/>
      <c r="K2019" s="18"/>
      <c r="L2019" s="18"/>
      <c r="M2019" s="18"/>
    </row>
    <row r="2020" spans="3:13">
      <c r="C2020" t="s">
        <v>122</v>
      </c>
      <c r="D2020">
        <v>2039</v>
      </c>
      <c r="E2020" t="s">
        <v>147</v>
      </c>
      <c r="F2020">
        <v>0.03</v>
      </c>
      <c r="J2020" s="18"/>
      <c r="K2020" s="18"/>
      <c r="L2020" s="18"/>
      <c r="M2020" s="18"/>
    </row>
    <row r="2021" spans="3:13">
      <c r="C2021" t="s">
        <v>122</v>
      </c>
      <c r="D2021">
        <v>2039</v>
      </c>
      <c r="E2021" t="s">
        <v>141</v>
      </c>
      <c r="F2021">
        <v>1283.49</v>
      </c>
      <c r="J2021" s="18"/>
      <c r="K2021" s="18"/>
      <c r="L2021" s="18"/>
      <c r="M2021" s="18"/>
    </row>
    <row r="2022" spans="3:13">
      <c r="C2022" t="s">
        <v>122</v>
      </c>
      <c r="D2022">
        <v>2039</v>
      </c>
      <c r="E2022" t="s">
        <v>142</v>
      </c>
      <c r="F2022">
        <v>906.99</v>
      </c>
      <c r="J2022" s="18"/>
      <c r="K2022" s="18"/>
      <c r="L2022" s="18"/>
      <c r="M2022" s="18"/>
    </row>
    <row r="2023" spans="3:13">
      <c r="C2023" t="s">
        <v>122</v>
      </c>
      <c r="D2023">
        <v>2039</v>
      </c>
      <c r="E2023" t="s">
        <v>143</v>
      </c>
      <c r="F2023">
        <v>1042.96</v>
      </c>
      <c r="J2023" s="18"/>
      <c r="K2023" s="18"/>
      <c r="L2023" s="18"/>
      <c r="M2023" s="18"/>
    </row>
    <row r="2024" spans="3:13">
      <c r="C2024" t="s">
        <v>122</v>
      </c>
      <c r="D2024">
        <v>2039</v>
      </c>
      <c r="E2024" t="s">
        <v>144</v>
      </c>
      <c r="F2024">
        <v>146.61000000000001</v>
      </c>
      <c r="J2024" s="18"/>
      <c r="K2024" s="18"/>
      <c r="L2024" s="18"/>
      <c r="M2024" s="18"/>
    </row>
    <row r="2025" spans="3:13">
      <c r="C2025" t="s">
        <v>122</v>
      </c>
      <c r="D2025">
        <v>2040</v>
      </c>
      <c r="E2025" t="s">
        <v>146</v>
      </c>
      <c r="F2025">
        <v>0.61</v>
      </c>
      <c r="J2025" s="18"/>
      <c r="K2025" s="18"/>
      <c r="L2025" s="18"/>
      <c r="M2025" s="18"/>
    </row>
    <row r="2026" spans="3:13">
      <c r="C2026" t="s">
        <v>122</v>
      </c>
      <c r="D2026">
        <v>2040</v>
      </c>
      <c r="E2026" t="s">
        <v>147</v>
      </c>
      <c r="F2026">
        <v>0.03</v>
      </c>
      <c r="J2026" s="18"/>
      <c r="K2026" s="18"/>
      <c r="L2026" s="18"/>
      <c r="M2026" s="18"/>
    </row>
    <row r="2027" spans="3:13">
      <c r="C2027" t="s">
        <v>122</v>
      </c>
      <c r="D2027">
        <v>2040</v>
      </c>
      <c r="E2027" t="s">
        <v>141</v>
      </c>
      <c r="F2027">
        <v>1284.3</v>
      </c>
      <c r="J2027" s="18"/>
      <c r="K2027" s="18"/>
      <c r="L2027" s="18"/>
      <c r="M2027" s="18"/>
    </row>
    <row r="2028" spans="3:13">
      <c r="C2028" t="s">
        <v>122</v>
      </c>
      <c r="D2028">
        <v>2040</v>
      </c>
      <c r="E2028" t="s">
        <v>142</v>
      </c>
      <c r="F2028">
        <v>906.45</v>
      </c>
      <c r="J2028" s="18"/>
      <c r="K2028" s="18"/>
      <c r="L2028" s="18"/>
      <c r="M2028" s="18"/>
    </row>
    <row r="2029" spans="3:13">
      <c r="C2029" t="s">
        <v>122</v>
      </c>
      <c r="D2029">
        <v>2040</v>
      </c>
      <c r="E2029" t="s">
        <v>143</v>
      </c>
      <c r="F2029">
        <v>1045.05</v>
      </c>
      <c r="J2029" s="18"/>
      <c r="K2029" s="18"/>
      <c r="L2029" s="18"/>
      <c r="M2029" s="18"/>
    </row>
    <row r="2030" spans="3:13">
      <c r="C2030" t="s">
        <v>122</v>
      </c>
      <c r="D2030">
        <v>2040</v>
      </c>
      <c r="E2030" t="s">
        <v>144</v>
      </c>
      <c r="F2030">
        <v>147.24</v>
      </c>
      <c r="J2030" s="18"/>
      <c r="K2030" s="18"/>
      <c r="L2030" s="18"/>
      <c r="M2030" s="18"/>
    </row>
    <row r="2031" spans="3:13">
      <c r="C2031" t="s">
        <v>122</v>
      </c>
      <c r="D2031">
        <v>2041</v>
      </c>
      <c r="E2031" t="s">
        <v>146</v>
      </c>
      <c r="F2031">
        <v>0.66</v>
      </c>
      <c r="J2031" s="18"/>
      <c r="K2031" s="18"/>
      <c r="L2031" s="18"/>
      <c r="M2031" s="18"/>
    </row>
    <row r="2032" spans="3:13">
      <c r="C2032" t="s">
        <v>122</v>
      </c>
      <c r="D2032">
        <v>2041</v>
      </c>
      <c r="E2032" t="s">
        <v>147</v>
      </c>
      <c r="F2032">
        <v>0.03</v>
      </c>
      <c r="J2032" s="18"/>
      <c r="K2032" s="18"/>
      <c r="L2032" s="18"/>
      <c r="M2032" s="18"/>
    </row>
    <row r="2033" spans="3:13">
      <c r="C2033" t="s">
        <v>122</v>
      </c>
      <c r="D2033">
        <v>2041</v>
      </c>
      <c r="E2033" t="s">
        <v>141</v>
      </c>
      <c r="F2033">
        <v>1282.1300000000001</v>
      </c>
      <c r="J2033" s="18"/>
      <c r="K2033" s="18"/>
      <c r="L2033" s="18"/>
      <c r="M2033" s="18"/>
    </row>
    <row r="2034" spans="3:13">
      <c r="C2034" t="s">
        <v>122</v>
      </c>
      <c r="D2034">
        <v>2041</v>
      </c>
      <c r="E2034" t="s">
        <v>142</v>
      </c>
      <c r="F2034">
        <v>906.61</v>
      </c>
      <c r="J2034" s="18"/>
      <c r="K2034" s="18"/>
      <c r="L2034" s="18"/>
      <c r="M2034" s="18"/>
    </row>
    <row r="2035" spans="3:13">
      <c r="C2035" t="s">
        <v>122</v>
      </c>
      <c r="D2035">
        <v>2041</v>
      </c>
      <c r="E2035" t="s">
        <v>143</v>
      </c>
      <c r="F2035">
        <v>1045.1099999999999</v>
      </c>
      <c r="J2035" s="18"/>
      <c r="K2035" s="18"/>
      <c r="L2035" s="18"/>
      <c r="M2035" s="18"/>
    </row>
    <row r="2036" spans="3:13">
      <c r="C2036" t="s">
        <v>122</v>
      </c>
      <c r="D2036">
        <v>2041</v>
      </c>
      <c r="E2036" t="s">
        <v>144</v>
      </c>
      <c r="F2036">
        <v>148.56</v>
      </c>
      <c r="J2036" s="18"/>
      <c r="K2036" s="18"/>
      <c r="L2036" s="18"/>
      <c r="M2036" s="18"/>
    </row>
    <row r="2037" spans="3:13">
      <c r="C2037" t="s">
        <v>122</v>
      </c>
      <c r="D2037">
        <v>2042</v>
      </c>
      <c r="E2037" t="s">
        <v>146</v>
      </c>
      <c r="F2037">
        <v>0.7</v>
      </c>
      <c r="J2037" s="18"/>
      <c r="K2037" s="18"/>
      <c r="L2037" s="18"/>
      <c r="M2037" s="18"/>
    </row>
    <row r="2038" spans="3:13">
      <c r="C2038" t="s">
        <v>122</v>
      </c>
      <c r="D2038">
        <v>2042</v>
      </c>
      <c r="E2038" t="s">
        <v>147</v>
      </c>
      <c r="F2038">
        <v>0.04</v>
      </c>
      <c r="J2038" s="18"/>
      <c r="K2038" s="18"/>
      <c r="L2038" s="18"/>
      <c r="M2038" s="18"/>
    </row>
    <row r="2039" spans="3:13">
      <c r="C2039" t="s">
        <v>122</v>
      </c>
      <c r="D2039">
        <v>2042</v>
      </c>
      <c r="E2039" t="s">
        <v>141</v>
      </c>
      <c r="F2039">
        <v>1280.02</v>
      </c>
      <c r="J2039" s="18"/>
      <c r="K2039" s="18"/>
      <c r="L2039" s="18"/>
      <c r="M2039" s="18"/>
    </row>
    <row r="2040" spans="3:13">
      <c r="C2040" t="s">
        <v>122</v>
      </c>
      <c r="D2040">
        <v>2042</v>
      </c>
      <c r="E2040" t="s">
        <v>142</v>
      </c>
      <c r="F2040">
        <v>906.32</v>
      </c>
      <c r="J2040" s="18"/>
      <c r="K2040" s="18"/>
      <c r="L2040" s="18"/>
      <c r="M2040" s="18"/>
    </row>
    <row r="2041" spans="3:13">
      <c r="C2041" t="s">
        <v>122</v>
      </c>
      <c r="D2041">
        <v>2042</v>
      </c>
      <c r="E2041" t="s">
        <v>143</v>
      </c>
      <c r="F2041">
        <v>1045.26</v>
      </c>
      <c r="J2041" s="18"/>
      <c r="K2041" s="18"/>
      <c r="L2041" s="18"/>
      <c r="M2041" s="18"/>
    </row>
    <row r="2042" spans="3:13">
      <c r="C2042" t="s">
        <v>122</v>
      </c>
      <c r="D2042">
        <v>2042</v>
      </c>
      <c r="E2042" t="s">
        <v>144</v>
      </c>
      <c r="F2042">
        <v>149.66999999999999</v>
      </c>
      <c r="J2042" s="18"/>
      <c r="K2042" s="18"/>
      <c r="L2042" s="18"/>
      <c r="M2042" s="18"/>
    </row>
    <row r="2043" spans="3:13">
      <c r="C2043" t="s">
        <v>122</v>
      </c>
      <c r="D2043">
        <v>2043</v>
      </c>
      <c r="E2043" t="s">
        <v>146</v>
      </c>
      <c r="F2043">
        <v>0.74</v>
      </c>
      <c r="J2043" s="18"/>
      <c r="K2043" s="18"/>
      <c r="L2043" s="18"/>
      <c r="M2043" s="18"/>
    </row>
    <row r="2044" spans="3:13">
      <c r="C2044" t="s">
        <v>122</v>
      </c>
      <c r="D2044">
        <v>2043</v>
      </c>
      <c r="E2044" t="s">
        <v>147</v>
      </c>
      <c r="F2044">
        <v>0.04</v>
      </c>
      <c r="J2044" s="18"/>
      <c r="K2044" s="18"/>
      <c r="L2044" s="18"/>
      <c r="M2044" s="18"/>
    </row>
    <row r="2045" spans="3:13">
      <c r="C2045" t="s">
        <v>122</v>
      </c>
      <c r="D2045">
        <v>2043</v>
      </c>
      <c r="E2045" t="s">
        <v>141</v>
      </c>
      <c r="F2045">
        <v>1277.8699999999999</v>
      </c>
      <c r="J2045" s="18"/>
      <c r="K2045" s="18"/>
      <c r="L2045" s="18"/>
      <c r="M2045" s="18"/>
    </row>
    <row r="2046" spans="3:13">
      <c r="C2046" t="s">
        <v>122</v>
      </c>
      <c r="D2046">
        <v>2043</v>
      </c>
      <c r="E2046" t="s">
        <v>142</v>
      </c>
      <c r="F2046">
        <v>905.92</v>
      </c>
      <c r="J2046" s="18"/>
      <c r="K2046" s="18"/>
      <c r="L2046" s="18"/>
      <c r="M2046" s="18"/>
    </row>
    <row r="2047" spans="3:13">
      <c r="C2047" t="s">
        <v>122</v>
      </c>
      <c r="D2047">
        <v>2043</v>
      </c>
      <c r="E2047" t="s">
        <v>143</v>
      </c>
      <c r="F2047">
        <v>1045.3399999999999</v>
      </c>
      <c r="J2047" s="18"/>
      <c r="K2047" s="18"/>
      <c r="L2047" s="18"/>
      <c r="M2047" s="18"/>
    </row>
    <row r="2048" spans="3:13">
      <c r="C2048" t="s">
        <v>122</v>
      </c>
      <c r="D2048">
        <v>2043</v>
      </c>
      <c r="E2048" t="s">
        <v>144</v>
      </c>
      <c r="F2048">
        <v>150.84</v>
      </c>
      <c r="J2048" s="18"/>
      <c r="K2048" s="18"/>
      <c r="L2048" s="18"/>
      <c r="M2048" s="18"/>
    </row>
    <row r="2049" spans="3:13">
      <c r="C2049" t="s">
        <v>122</v>
      </c>
      <c r="D2049">
        <v>2044</v>
      </c>
      <c r="E2049" t="s">
        <v>146</v>
      </c>
      <c r="F2049">
        <v>0.77</v>
      </c>
      <c r="J2049" s="18"/>
      <c r="K2049" s="18"/>
      <c r="L2049" s="18"/>
      <c r="M2049" s="18"/>
    </row>
    <row r="2050" spans="3:13">
      <c r="C2050" t="s">
        <v>122</v>
      </c>
      <c r="D2050">
        <v>2044</v>
      </c>
      <c r="E2050" t="s">
        <v>147</v>
      </c>
      <c r="F2050">
        <v>0.04</v>
      </c>
      <c r="J2050" s="18"/>
      <c r="K2050" s="18"/>
      <c r="L2050" s="18"/>
      <c r="M2050" s="18"/>
    </row>
    <row r="2051" spans="3:13">
      <c r="C2051" t="s">
        <v>122</v>
      </c>
      <c r="D2051">
        <v>2044</v>
      </c>
      <c r="E2051" t="s">
        <v>141</v>
      </c>
      <c r="F2051">
        <v>1275.79</v>
      </c>
      <c r="J2051" s="18"/>
      <c r="K2051" s="18"/>
      <c r="L2051" s="18"/>
      <c r="M2051" s="18"/>
    </row>
    <row r="2052" spans="3:13">
      <c r="C2052" t="s">
        <v>122</v>
      </c>
      <c r="D2052">
        <v>2044</v>
      </c>
      <c r="E2052" t="s">
        <v>142</v>
      </c>
      <c r="F2052">
        <v>905.18</v>
      </c>
      <c r="J2052" s="18"/>
      <c r="K2052" s="18"/>
      <c r="L2052" s="18"/>
      <c r="M2052" s="18"/>
    </row>
    <row r="2053" spans="3:13">
      <c r="C2053" t="s">
        <v>122</v>
      </c>
      <c r="D2053">
        <v>2044</v>
      </c>
      <c r="E2053" t="s">
        <v>143</v>
      </c>
      <c r="F2053">
        <v>1045.54</v>
      </c>
      <c r="J2053" s="18"/>
      <c r="K2053" s="18"/>
      <c r="L2053" s="18"/>
      <c r="M2053" s="18"/>
    </row>
    <row r="2054" spans="3:13">
      <c r="C2054" t="s">
        <v>122</v>
      </c>
      <c r="D2054">
        <v>2044</v>
      </c>
      <c r="E2054" t="s">
        <v>144</v>
      </c>
      <c r="F2054">
        <v>151.9</v>
      </c>
      <c r="J2054" s="18"/>
      <c r="K2054" s="18"/>
      <c r="L2054" s="18"/>
      <c r="M2054" s="18"/>
    </row>
    <row r="2055" spans="3:13">
      <c r="C2055" t="s">
        <v>122</v>
      </c>
      <c r="D2055">
        <v>2045</v>
      </c>
      <c r="E2055" t="s">
        <v>146</v>
      </c>
      <c r="F2055">
        <v>0.79</v>
      </c>
      <c r="J2055" s="18"/>
      <c r="K2055" s="18"/>
      <c r="L2055" s="18"/>
      <c r="M2055" s="18"/>
    </row>
    <row r="2056" spans="3:13">
      <c r="C2056" t="s">
        <v>122</v>
      </c>
      <c r="D2056">
        <v>2045</v>
      </c>
      <c r="E2056" t="s">
        <v>147</v>
      </c>
      <c r="F2056">
        <v>0.04</v>
      </c>
      <c r="J2056" s="18"/>
      <c r="K2056" s="18"/>
      <c r="L2056" s="18"/>
      <c r="M2056" s="18"/>
    </row>
    <row r="2057" spans="3:13">
      <c r="C2057" t="s">
        <v>122</v>
      </c>
      <c r="D2057">
        <v>2045</v>
      </c>
      <c r="E2057" t="s">
        <v>141</v>
      </c>
      <c r="F2057">
        <v>1273.8599999999999</v>
      </c>
      <c r="J2057" s="18"/>
      <c r="K2057" s="18"/>
      <c r="L2057" s="18"/>
      <c r="M2057" s="18"/>
    </row>
    <row r="2058" spans="3:13">
      <c r="C2058" t="s">
        <v>122</v>
      </c>
      <c r="D2058">
        <v>2045</v>
      </c>
      <c r="E2058" t="s">
        <v>142</v>
      </c>
      <c r="F2058">
        <v>904.19</v>
      </c>
      <c r="J2058" s="18"/>
      <c r="K2058" s="18"/>
      <c r="L2058" s="18"/>
      <c r="M2058" s="18"/>
    </row>
    <row r="2059" spans="3:13">
      <c r="C2059" t="s">
        <v>122</v>
      </c>
      <c r="D2059">
        <v>2045</v>
      </c>
      <c r="E2059" t="s">
        <v>143</v>
      </c>
      <c r="F2059">
        <v>1045.98</v>
      </c>
      <c r="J2059" s="18"/>
      <c r="K2059" s="18"/>
      <c r="L2059" s="18"/>
      <c r="M2059" s="18"/>
    </row>
    <row r="2060" spans="3:13">
      <c r="C2060" t="s">
        <v>122</v>
      </c>
      <c r="D2060">
        <v>2045</v>
      </c>
      <c r="E2060" t="s">
        <v>144</v>
      </c>
      <c r="F2060">
        <v>152.78</v>
      </c>
      <c r="J2060" s="18"/>
      <c r="K2060" s="18"/>
      <c r="L2060" s="18"/>
      <c r="M2060" s="18"/>
    </row>
    <row r="2061" spans="3:13">
      <c r="C2061" t="s">
        <v>122</v>
      </c>
      <c r="D2061">
        <v>2046</v>
      </c>
      <c r="E2061" t="s">
        <v>146</v>
      </c>
      <c r="F2061">
        <v>0.82</v>
      </c>
      <c r="J2061" s="18"/>
      <c r="K2061" s="18"/>
      <c r="L2061" s="18"/>
      <c r="M2061" s="18"/>
    </row>
    <row r="2062" spans="3:13">
      <c r="C2062" t="s">
        <v>122</v>
      </c>
      <c r="D2062">
        <v>2046</v>
      </c>
      <c r="E2062" t="s">
        <v>147</v>
      </c>
      <c r="F2062">
        <v>0.04</v>
      </c>
      <c r="J2062" s="18"/>
      <c r="K2062" s="18"/>
      <c r="L2062" s="18"/>
      <c r="M2062" s="18"/>
    </row>
    <row r="2063" spans="3:13">
      <c r="C2063" t="s">
        <v>122</v>
      </c>
      <c r="D2063">
        <v>2046</v>
      </c>
      <c r="E2063" t="s">
        <v>141</v>
      </c>
      <c r="F2063">
        <v>1275.45</v>
      </c>
      <c r="J2063" s="18"/>
      <c r="K2063" s="18"/>
      <c r="L2063" s="18"/>
      <c r="M2063" s="18"/>
    </row>
    <row r="2064" spans="3:13">
      <c r="C2064" t="s">
        <v>122</v>
      </c>
      <c r="D2064">
        <v>2046</v>
      </c>
      <c r="E2064" t="s">
        <v>142</v>
      </c>
      <c r="F2064">
        <v>904.39</v>
      </c>
      <c r="J2064" s="18"/>
      <c r="K2064" s="18"/>
      <c r="L2064" s="18"/>
      <c r="M2064" s="18"/>
    </row>
    <row r="2065" spans="3:13">
      <c r="C2065" t="s">
        <v>122</v>
      </c>
      <c r="D2065">
        <v>2046</v>
      </c>
      <c r="E2065" t="s">
        <v>143</v>
      </c>
      <c r="F2065">
        <v>1048.78</v>
      </c>
      <c r="J2065" s="18"/>
      <c r="K2065" s="18"/>
      <c r="L2065" s="18"/>
      <c r="M2065" s="18"/>
    </row>
    <row r="2066" spans="3:13">
      <c r="C2066" t="s">
        <v>122</v>
      </c>
      <c r="D2066">
        <v>2046</v>
      </c>
      <c r="E2066" t="s">
        <v>144</v>
      </c>
      <c r="F2066">
        <v>154.19</v>
      </c>
      <c r="J2066" s="18"/>
      <c r="K2066" s="18"/>
      <c r="L2066" s="18"/>
      <c r="M2066" s="18"/>
    </row>
    <row r="2067" spans="3:13">
      <c r="C2067" t="s">
        <v>122</v>
      </c>
      <c r="D2067">
        <v>2047</v>
      </c>
      <c r="E2067" t="s">
        <v>146</v>
      </c>
      <c r="F2067">
        <v>0.84</v>
      </c>
      <c r="J2067" s="18"/>
      <c r="K2067" s="18"/>
      <c r="L2067" s="18"/>
      <c r="M2067" s="18"/>
    </row>
    <row r="2068" spans="3:13">
      <c r="C2068" t="s">
        <v>122</v>
      </c>
      <c r="D2068">
        <v>2047</v>
      </c>
      <c r="E2068" t="s">
        <v>147</v>
      </c>
      <c r="F2068">
        <v>0.04</v>
      </c>
      <c r="J2068" s="18"/>
      <c r="K2068" s="18"/>
      <c r="L2068" s="18"/>
      <c r="M2068" s="18"/>
    </row>
    <row r="2069" spans="3:13">
      <c r="C2069" t="s">
        <v>122</v>
      </c>
      <c r="D2069">
        <v>2047</v>
      </c>
      <c r="E2069" t="s">
        <v>141</v>
      </c>
      <c r="F2069">
        <v>1277.2</v>
      </c>
      <c r="J2069" s="18"/>
      <c r="K2069" s="18"/>
      <c r="L2069" s="18"/>
      <c r="M2069" s="18"/>
    </row>
    <row r="2070" spans="3:13">
      <c r="C2070" t="s">
        <v>122</v>
      </c>
      <c r="D2070">
        <v>2047</v>
      </c>
      <c r="E2070" t="s">
        <v>142</v>
      </c>
      <c r="F2070">
        <v>903.09</v>
      </c>
      <c r="J2070" s="18"/>
      <c r="K2070" s="18"/>
      <c r="L2070" s="18"/>
      <c r="M2070" s="18"/>
    </row>
    <row r="2071" spans="3:13">
      <c r="C2071" t="s">
        <v>122</v>
      </c>
      <c r="D2071">
        <v>2047</v>
      </c>
      <c r="E2071" t="s">
        <v>143</v>
      </c>
      <c r="F2071">
        <v>1051.68</v>
      </c>
      <c r="J2071" s="18"/>
      <c r="K2071" s="18"/>
      <c r="L2071" s="18"/>
      <c r="M2071" s="18"/>
    </row>
    <row r="2072" spans="3:13">
      <c r="C2072" t="s">
        <v>122</v>
      </c>
      <c r="D2072">
        <v>2047</v>
      </c>
      <c r="E2072" t="s">
        <v>144</v>
      </c>
      <c r="F2072">
        <v>155.31</v>
      </c>
      <c r="J2072" s="18"/>
      <c r="K2072" s="18"/>
      <c r="L2072" s="18"/>
      <c r="M2072" s="18"/>
    </row>
    <row r="2073" spans="3:13">
      <c r="C2073" t="s">
        <v>122</v>
      </c>
      <c r="D2073">
        <v>2048</v>
      </c>
      <c r="E2073" t="s">
        <v>146</v>
      </c>
      <c r="F2073">
        <v>0.86</v>
      </c>
      <c r="J2073" s="18"/>
      <c r="K2073" s="18"/>
      <c r="L2073" s="18"/>
      <c r="M2073" s="18"/>
    </row>
    <row r="2074" spans="3:13">
      <c r="C2074" t="s">
        <v>122</v>
      </c>
      <c r="D2074">
        <v>2048</v>
      </c>
      <c r="E2074" t="s">
        <v>147</v>
      </c>
      <c r="F2074">
        <v>0.04</v>
      </c>
      <c r="J2074" s="18"/>
      <c r="K2074" s="18"/>
      <c r="L2074" s="18"/>
      <c r="M2074" s="18"/>
    </row>
    <row r="2075" spans="3:13">
      <c r="C2075" t="s">
        <v>122</v>
      </c>
      <c r="D2075">
        <v>2048</v>
      </c>
      <c r="E2075" t="s">
        <v>141</v>
      </c>
      <c r="F2075">
        <v>1279.18</v>
      </c>
      <c r="J2075" s="18"/>
      <c r="K2075" s="18"/>
      <c r="L2075" s="18"/>
      <c r="M2075" s="18"/>
    </row>
    <row r="2076" spans="3:13">
      <c r="C2076" t="s">
        <v>122</v>
      </c>
      <c r="D2076">
        <v>2048</v>
      </c>
      <c r="E2076" t="s">
        <v>142</v>
      </c>
      <c r="F2076">
        <v>903.7</v>
      </c>
      <c r="J2076" s="18"/>
      <c r="K2076" s="18"/>
      <c r="L2076" s="18"/>
      <c r="M2076" s="18"/>
    </row>
    <row r="2077" spans="3:13">
      <c r="C2077" t="s">
        <v>122</v>
      </c>
      <c r="D2077">
        <v>2048</v>
      </c>
      <c r="E2077" t="s">
        <v>143</v>
      </c>
      <c r="F2077">
        <v>1054.78</v>
      </c>
      <c r="J2077" s="18"/>
      <c r="K2077" s="18"/>
      <c r="L2077" s="18"/>
      <c r="M2077" s="18"/>
    </row>
    <row r="2078" spans="3:13">
      <c r="C2078" t="s">
        <v>122</v>
      </c>
      <c r="D2078">
        <v>2048</v>
      </c>
      <c r="E2078" t="s">
        <v>144</v>
      </c>
      <c r="F2078">
        <v>156.47999999999999</v>
      </c>
      <c r="J2078" s="18"/>
      <c r="K2078" s="18"/>
      <c r="L2078" s="18"/>
      <c r="M2078" s="18"/>
    </row>
    <row r="2079" spans="3:13">
      <c r="C2079" t="s">
        <v>122</v>
      </c>
      <c r="D2079">
        <v>2049</v>
      </c>
      <c r="E2079" t="s">
        <v>146</v>
      </c>
      <c r="F2079">
        <v>0.86</v>
      </c>
      <c r="J2079" s="18"/>
      <c r="K2079" s="18"/>
      <c r="L2079" s="18"/>
      <c r="M2079" s="18"/>
    </row>
    <row r="2080" spans="3:13">
      <c r="C2080" t="s">
        <v>122</v>
      </c>
      <c r="D2080">
        <v>2049</v>
      </c>
      <c r="E2080" t="s">
        <v>147</v>
      </c>
      <c r="F2080">
        <v>0.05</v>
      </c>
      <c r="J2080" s="18"/>
      <c r="K2080" s="18"/>
      <c r="L2080" s="18"/>
      <c r="M2080" s="18"/>
    </row>
    <row r="2081" spans="3:13">
      <c r="C2081" t="s">
        <v>122</v>
      </c>
      <c r="D2081">
        <v>2049</v>
      </c>
      <c r="E2081" t="s">
        <v>141</v>
      </c>
      <c r="F2081">
        <v>1281.3499999999999</v>
      </c>
      <c r="J2081" s="18"/>
      <c r="K2081" s="18"/>
      <c r="L2081" s="18"/>
      <c r="M2081" s="18"/>
    </row>
    <row r="2082" spans="3:13">
      <c r="C2082" t="s">
        <v>122</v>
      </c>
      <c r="D2082">
        <v>2049</v>
      </c>
      <c r="E2082" t="s">
        <v>142</v>
      </c>
      <c r="F2082">
        <v>902.91</v>
      </c>
      <c r="J2082" s="18"/>
      <c r="K2082" s="18"/>
      <c r="L2082" s="18"/>
      <c r="M2082" s="18"/>
    </row>
    <row r="2083" spans="3:13">
      <c r="C2083" t="s">
        <v>122</v>
      </c>
      <c r="D2083">
        <v>2049</v>
      </c>
      <c r="E2083" t="s">
        <v>143</v>
      </c>
      <c r="F2083">
        <v>1058.05</v>
      </c>
      <c r="J2083" s="18"/>
      <c r="K2083" s="18"/>
      <c r="L2083" s="18"/>
      <c r="M2083" s="18"/>
    </row>
    <row r="2084" spans="3:13">
      <c r="C2084" t="s">
        <v>122</v>
      </c>
      <c r="D2084">
        <v>2049</v>
      </c>
      <c r="E2084" t="s">
        <v>144</v>
      </c>
      <c r="F2084">
        <v>157.54</v>
      </c>
      <c r="J2084" s="18"/>
      <c r="K2084" s="18"/>
      <c r="L2084" s="18"/>
      <c r="M2084" s="18"/>
    </row>
    <row r="2085" spans="3:13">
      <c r="C2085" t="s">
        <v>122</v>
      </c>
      <c r="D2085">
        <v>2050</v>
      </c>
      <c r="E2085" t="s">
        <v>146</v>
      </c>
      <c r="F2085">
        <v>0.88</v>
      </c>
      <c r="J2085" s="18"/>
      <c r="K2085" s="18"/>
      <c r="L2085" s="18"/>
      <c r="M2085" s="18"/>
    </row>
    <row r="2086" spans="3:13">
      <c r="C2086" t="s">
        <v>122</v>
      </c>
      <c r="D2086">
        <v>2050</v>
      </c>
      <c r="E2086" t="s">
        <v>147</v>
      </c>
      <c r="F2086">
        <v>0.05</v>
      </c>
      <c r="J2086" s="18"/>
      <c r="K2086" s="18"/>
      <c r="L2086" s="18"/>
      <c r="M2086" s="18"/>
    </row>
    <row r="2087" spans="3:13">
      <c r="C2087" t="s">
        <v>122</v>
      </c>
      <c r="D2087">
        <v>2050</v>
      </c>
      <c r="E2087" t="s">
        <v>141</v>
      </c>
      <c r="F2087">
        <v>1283.68</v>
      </c>
      <c r="J2087" s="18"/>
      <c r="K2087" s="18"/>
      <c r="L2087" s="18"/>
      <c r="M2087" s="18"/>
    </row>
    <row r="2088" spans="3:13">
      <c r="C2088" t="s">
        <v>122</v>
      </c>
      <c r="D2088">
        <v>2050</v>
      </c>
      <c r="E2088" t="s">
        <v>142</v>
      </c>
      <c r="F2088">
        <v>903.34</v>
      </c>
      <c r="J2088" s="18"/>
      <c r="K2088" s="18"/>
      <c r="L2088" s="18"/>
      <c r="M2088" s="18"/>
    </row>
    <row r="2089" spans="3:13">
      <c r="C2089" t="s">
        <v>122</v>
      </c>
      <c r="D2089">
        <v>2050</v>
      </c>
      <c r="E2089" t="s">
        <v>143</v>
      </c>
      <c r="F2089">
        <v>1061.48</v>
      </c>
      <c r="J2089" s="18"/>
      <c r="K2089" s="18"/>
      <c r="L2089" s="18"/>
      <c r="M2089" s="18"/>
    </row>
    <row r="2090" spans="3:13">
      <c r="C2090" t="s">
        <v>122</v>
      </c>
      <c r="D2090">
        <v>2050</v>
      </c>
      <c r="E2090" t="s">
        <v>144</v>
      </c>
      <c r="F2090">
        <v>158.66999999999999</v>
      </c>
      <c r="J2090" s="18"/>
      <c r="K2090" s="18"/>
      <c r="L2090" s="18"/>
      <c r="M2090" s="18"/>
    </row>
    <row r="2091" spans="3:13">
      <c r="C2091" t="s">
        <v>123</v>
      </c>
      <c r="D2091">
        <v>2010</v>
      </c>
      <c r="E2091" t="s">
        <v>141</v>
      </c>
      <c r="F2091">
        <v>621.41</v>
      </c>
      <c r="J2091" s="18"/>
      <c r="K2091" s="18"/>
      <c r="L2091" s="18"/>
      <c r="M2091" s="18"/>
    </row>
    <row r="2092" spans="3:13">
      <c r="C2092" t="s">
        <v>123</v>
      </c>
      <c r="D2092">
        <v>2010</v>
      </c>
      <c r="E2092" t="s">
        <v>142</v>
      </c>
      <c r="F2092">
        <v>520.48</v>
      </c>
      <c r="J2092" s="18"/>
      <c r="K2092" s="18"/>
      <c r="L2092" s="18"/>
      <c r="M2092" s="18"/>
    </row>
    <row r="2093" spans="3:13">
      <c r="C2093" t="s">
        <v>123</v>
      </c>
      <c r="D2093">
        <v>2010</v>
      </c>
      <c r="E2093" t="s">
        <v>143</v>
      </c>
      <c r="F2093">
        <v>1192.1500000000001</v>
      </c>
      <c r="J2093" s="18"/>
      <c r="K2093" s="18"/>
      <c r="L2093" s="18"/>
      <c r="M2093" s="18"/>
    </row>
    <row r="2094" spans="3:13">
      <c r="C2094" t="s">
        <v>123</v>
      </c>
      <c r="D2094">
        <v>2010</v>
      </c>
      <c r="E2094" t="s">
        <v>144</v>
      </c>
      <c r="F2094">
        <v>1.22</v>
      </c>
      <c r="J2094" s="18"/>
      <c r="K2094" s="18"/>
      <c r="L2094" s="18"/>
      <c r="M2094" s="18"/>
    </row>
    <row r="2095" spans="3:13">
      <c r="C2095" t="s">
        <v>123</v>
      </c>
      <c r="D2095">
        <v>2011</v>
      </c>
      <c r="E2095" t="s">
        <v>141</v>
      </c>
      <c r="F2095">
        <v>630.92999999999995</v>
      </c>
      <c r="J2095" s="18"/>
      <c r="K2095" s="18"/>
      <c r="L2095" s="18"/>
      <c r="M2095" s="18"/>
    </row>
    <row r="2096" spans="3:13">
      <c r="C2096" t="s">
        <v>123</v>
      </c>
      <c r="D2096">
        <v>2011</v>
      </c>
      <c r="E2096" t="s">
        <v>142</v>
      </c>
      <c r="F2096">
        <v>581.76</v>
      </c>
      <c r="J2096" s="18"/>
      <c r="K2096" s="18"/>
      <c r="L2096" s="18"/>
      <c r="M2096" s="18"/>
    </row>
    <row r="2097" spans="3:13">
      <c r="C2097" t="s">
        <v>123</v>
      </c>
      <c r="D2097">
        <v>2011</v>
      </c>
      <c r="E2097" t="s">
        <v>143</v>
      </c>
      <c r="F2097">
        <v>1189.17</v>
      </c>
      <c r="J2097" s="18"/>
      <c r="K2097" s="18"/>
      <c r="L2097" s="18"/>
      <c r="M2097" s="18"/>
    </row>
    <row r="2098" spans="3:13">
      <c r="C2098" t="s">
        <v>123</v>
      </c>
      <c r="D2098">
        <v>2011</v>
      </c>
      <c r="E2098" t="s">
        <v>144</v>
      </c>
      <c r="F2098">
        <v>1.45</v>
      </c>
      <c r="J2098" s="18"/>
      <c r="K2098" s="18"/>
      <c r="L2098" s="18"/>
      <c r="M2098" s="18"/>
    </row>
    <row r="2099" spans="3:13">
      <c r="C2099" t="s">
        <v>123</v>
      </c>
      <c r="D2099">
        <v>2012</v>
      </c>
      <c r="E2099" t="s">
        <v>141</v>
      </c>
      <c r="F2099">
        <v>770.11</v>
      </c>
      <c r="J2099" s="18"/>
      <c r="K2099" s="18"/>
      <c r="L2099" s="18"/>
      <c r="M2099" s="18"/>
    </row>
    <row r="2100" spans="3:13">
      <c r="C2100" t="s">
        <v>123</v>
      </c>
      <c r="D2100">
        <v>2012</v>
      </c>
      <c r="E2100" t="s">
        <v>142</v>
      </c>
      <c r="F2100">
        <v>546.54999999999995</v>
      </c>
      <c r="J2100" s="18"/>
      <c r="K2100" s="18"/>
      <c r="L2100" s="18"/>
      <c r="M2100" s="18"/>
    </row>
    <row r="2101" spans="3:13">
      <c r="C2101" t="s">
        <v>123</v>
      </c>
      <c r="D2101">
        <v>2012</v>
      </c>
      <c r="E2101" t="s">
        <v>143</v>
      </c>
      <c r="F2101">
        <v>1273.48</v>
      </c>
      <c r="J2101" s="18"/>
      <c r="K2101" s="18"/>
      <c r="L2101" s="18"/>
      <c r="M2101" s="18"/>
    </row>
    <row r="2102" spans="3:13">
      <c r="C2102" t="s">
        <v>123</v>
      </c>
      <c r="D2102">
        <v>2012</v>
      </c>
      <c r="E2102" t="s">
        <v>144</v>
      </c>
      <c r="F2102">
        <v>1.55</v>
      </c>
      <c r="J2102" s="18"/>
      <c r="K2102" s="18"/>
      <c r="L2102" s="18"/>
      <c r="M2102" s="18"/>
    </row>
    <row r="2103" spans="3:13">
      <c r="C2103" t="s">
        <v>123</v>
      </c>
      <c r="D2103">
        <v>2013</v>
      </c>
      <c r="E2103" t="s">
        <v>141</v>
      </c>
      <c r="F2103">
        <v>787.59</v>
      </c>
      <c r="J2103" s="18"/>
      <c r="K2103" s="18"/>
      <c r="L2103" s="18"/>
      <c r="M2103" s="18"/>
    </row>
    <row r="2104" spans="3:13">
      <c r="C2104" t="s">
        <v>123</v>
      </c>
      <c r="D2104">
        <v>2013</v>
      </c>
      <c r="E2104" t="s">
        <v>142</v>
      </c>
      <c r="F2104">
        <v>588.08000000000004</v>
      </c>
      <c r="J2104" s="18"/>
      <c r="K2104" s="18"/>
      <c r="L2104" s="18"/>
      <c r="M2104" s="18"/>
    </row>
    <row r="2105" spans="3:13">
      <c r="C2105" t="s">
        <v>123</v>
      </c>
      <c r="D2105">
        <v>2013</v>
      </c>
      <c r="E2105" t="s">
        <v>143</v>
      </c>
      <c r="F2105">
        <v>1327.19</v>
      </c>
      <c r="J2105" s="18"/>
      <c r="K2105" s="18"/>
      <c r="L2105" s="18"/>
      <c r="M2105" s="18"/>
    </row>
    <row r="2106" spans="3:13">
      <c r="C2106" t="s">
        <v>123</v>
      </c>
      <c r="D2106">
        <v>2013</v>
      </c>
      <c r="E2106" t="s">
        <v>144</v>
      </c>
      <c r="F2106">
        <v>1.2</v>
      </c>
      <c r="J2106" s="18"/>
      <c r="K2106" s="18"/>
      <c r="L2106" s="18"/>
      <c r="M2106" s="18"/>
    </row>
    <row r="2107" spans="3:13">
      <c r="C2107" t="s">
        <v>123</v>
      </c>
      <c r="D2107">
        <v>2014</v>
      </c>
      <c r="E2107" t="s">
        <v>141</v>
      </c>
      <c r="F2107">
        <v>877.21</v>
      </c>
      <c r="J2107" s="18"/>
      <c r="K2107" s="18"/>
      <c r="L2107" s="18"/>
      <c r="M2107" s="18"/>
    </row>
    <row r="2108" spans="3:13">
      <c r="C2108" t="s">
        <v>123</v>
      </c>
      <c r="D2108">
        <v>2014</v>
      </c>
      <c r="E2108" t="s">
        <v>142</v>
      </c>
      <c r="F2108">
        <v>630.87</v>
      </c>
      <c r="J2108" s="18"/>
      <c r="K2108" s="18"/>
      <c r="L2108" s="18"/>
      <c r="M2108" s="18"/>
    </row>
    <row r="2109" spans="3:13">
      <c r="C2109" t="s">
        <v>123</v>
      </c>
      <c r="D2109">
        <v>2014</v>
      </c>
      <c r="E2109" t="s">
        <v>143</v>
      </c>
      <c r="F2109">
        <v>1392.19</v>
      </c>
      <c r="J2109" s="18"/>
      <c r="K2109" s="18"/>
      <c r="L2109" s="18"/>
      <c r="M2109" s="18"/>
    </row>
    <row r="2110" spans="3:13">
      <c r="C2110" t="s">
        <v>123</v>
      </c>
      <c r="D2110">
        <v>2014</v>
      </c>
      <c r="E2110" t="s">
        <v>144</v>
      </c>
      <c r="F2110">
        <v>1.48</v>
      </c>
      <c r="J2110" s="18"/>
      <c r="K2110" s="18"/>
      <c r="L2110" s="18"/>
      <c r="M2110" s="18"/>
    </row>
    <row r="2111" spans="3:13">
      <c r="C2111" t="s">
        <v>123</v>
      </c>
      <c r="D2111">
        <v>2015</v>
      </c>
      <c r="E2111" t="s">
        <v>141</v>
      </c>
      <c r="F2111">
        <v>1021.28</v>
      </c>
      <c r="J2111" s="18"/>
      <c r="K2111" s="18"/>
      <c r="L2111" s="18"/>
      <c r="M2111" s="18"/>
    </row>
    <row r="2112" spans="3:13">
      <c r="C2112" t="s">
        <v>123</v>
      </c>
      <c r="D2112">
        <v>2015</v>
      </c>
      <c r="E2112" t="s">
        <v>142</v>
      </c>
      <c r="F2112">
        <v>436.42</v>
      </c>
      <c r="J2112" s="18"/>
      <c r="K2112" s="18"/>
      <c r="L2112" s="18"/>
      <c r="M2112" s="18"/>
    </row>
    <row r="2113" spans="3:13">
      <c r="C2113" t="s">
        <v>123</v>
      </c>
      <c r="D2113">
        <v>2015</v>
      </c>
      <c r="E2113" t="s">
        <v>143</v>
      </c>
      <c r="F2113">
        <v>1565.87</v>
      </c>
      <c r="J2113" s="18"/>
      <c r="K2113" s="18"/>
      <c r="L2113" s="18"/>
      <c r="M2113" s="18"/>
    </row>
    <row r="2114" spans="3:13">
      <c r="C2114" t="s">
        <v>123</v>
      </c>
      <c r="D2114">
        <v>2015</v>
      </c>
      <c r="E2114" t="s">
        <v>144</v>
      </c>
      <c r="F2114">
        <v>2.38</v>
      </c>
      <c r="J2114" s="18"/>
      <c r="K2114" s="18"/>
      <c r="L2114" s="18"/>
      <c r="M2114" s="18"/>
    </row>
    <row r="2115" spans="3:13">
      <c r="C2115" t="s">
        <v>123</v>
      </c>
      <c r="D2115">
        <v>2016</v>
      </c>
      <c r="E2115" t="s">
        <v>141</v>
      </c>
      <c r="F2115">
        <v>1036.4100000000001</v>
      </c>
      <c r="J2115" s="18"/>
      <c r="K2115" s="18"/>
      <c r="L2115" s="18"/>
      <c r="M2115" s="18"/>
    </row>
    <row r="2116" spans="3:13">
      <c r="C2116" t="s">
        <v>123</v>
      </c>
      <c r="D2116">
        <v>2016</v>
      </c>
      <c r="E2116" t="s">
        <v>142</v>
      </c>
      <c r="F2116">
        <v>500.4</v>
      </c>
      <c r="J2116" s="18"/>
      <c r="K2116" s="18"/>
      <c r="L2116" s="18"/>
      <c r="M2116" s="18"/>
    </row>
    <row r="2117" spans="3:13">
      <c r="C2117" t="s">
        <v>123</v>
      </c>
      <c r="D2117">
        <v>2016</v>
      </c>
      <c r="E2117" t="s">
        <v>143</v>
      </c>
      <c r="F2117">
        <v>1579.35</v>
      </c>
      <c r="J2117" s="18"/>
      <c r="K2117" s="18"/>
      <c r="L2117" s="18"/>
      <c r="M2117" s="18"/>
    </row>
    <row r="2118" spans="3:13">
      <c r="C2118" t="s">
        <v>123</v>
      </c>
      <c r="D2118">
        <v>2016</v>
      </c>
      <c r="E2118" t="s">
        <v>144</v>
      </c>
      <c r="F2118">
        <v>1.86</v>
      </c>
      <c r="J2118" s="18"/>
      <c r="K2118" s="18"/>
      <c r="L2118" s="18"/>
      <c r="M2118" s="18"/>
    </row>
    <row r="2119" spans="3:13">
      <c r="C2119" t="s">
        <v>123</v>
      </c>
      <c r="D2119">
        <v>2017</v>
      </c>
      <c r="E2119" t="s">
        <v>141</v>
      </c>
      <c r="F2119">
        <v>1072.97</v>
      </c>
      <c r="J2119" s="18"/>
      <c r="K2119" s="18"/>
      <c r="L2119" s="18"/>
      <c r="M2119" s="18"/>
    </row>
    <row r="2120" spans="3:13">
      <c r="C2120" t="s">
        <v>123</v>
      </c>
      <c r="D2120">
        <v>2017</v>
      </c>
      <c r="E2120" t="s">
        <v>142</v>
      </c>
      <c r="F2120">
        <v>516.17999999999995</v>
      </c>
      <c r="J2120" s="18"/>
      <c r="K2120" s="18"/>
      <c r="L2120" s="18"/>
      <c r="M2120" s="18"/>
    </row>
    <row r="2121" spans="3:13">
      <c r="C2121" t="s">
        <v>123</v>
      </c>
      <c r="D2121">
        <v>2017</v>
      </c>
      <c r="E2121" t="s">
        <v>143</v>
      </c>
      <c r="F2121">
        <v>1644.84</v>
      </c>
      <c r="J2121" s="18"/>
      <c r="K2121" s="18"/>
      <c r="L2121" s="18"/>
      <c r="M2121" s="18"/>
    </row>
    <row r="2122" spans="3:13">
      <c r="C2122" t="s">
        <v>123</v>
      </c>
      <c r="D2122">
        <v>2017</v>
      </c>
      <c r="E2122" t="s">
        <v>144</v>
      </c>
      <c r="F2122">
        <v>2.0699999999999998</v>
      </c>
      <c r="J2122" s="18"/>
      <c r="K2122" s="18"/>
      <c r="L2122" s="18"/>
      <c r="M2122" s="18"/>
    </row>
    <row r="2123" spans="3:13">
      <c r="C2123" t="s">
        <v>123</v>
      </c>
      <c r="D2123">
        <v>2018</v>
      </c>
      <c r="E2123" t="s">
        <v>141</v>
      </c>
      <c r="F2123">
        <v>1123.3499999999999</v>
      </c>
      <c r="J2123" s="18"/>
      <c r="K2123" s="18"/>
      <c r="L2123" s="18"/>
      <c r="M2123" s="18"/>
    </row>
    <row r="2124" spans="3:13">
      <c r="C2124" t="s">
        <v>123</v>
      </c>
      <c r="D2124">
        <v>2018</v>
      </c>
      <c r="E2124" t="s">
        <v>142</v>
      </c>
      <c r="F2124">
        <v>494.33</v>
      </c>
      <c r="J2124" s="18"/>
      <c r="K2124" s="18"/>
      <c r="L2124" s="18"/>
      <c r="M2124" s="18"/>
    </row>
    <row r="2125" spans="3:13">
      <c r="C2125" t="s">
        <v>123</v>
      </c>
      <c r="D2125">
        <v>2018</v>
      </c>
      <c r="E2125" t="s">
        <v>143</v>
      </c>
      <c r="F2125">
        <v>1655.39</v>
      </c>
      <c r="J2125" s="18"/>
      <c r="K2125" s="18"/>
      <c r="L2125" s="18"/>
      <c r="M2125" s="18"/>
    </row>
    <row r="2126" spans="3:13">
      <c r="C2126" t="s">
        <v>123</v>
      </c>
      <c r="D2126">
        <v>2018</v>
      </c>
      <c r="E2126" t="s">
        <v>144</v>
      </c>
      <c r="F2126">
        <v>2.09</v>
      </c>
      <c r="J2126" s="18"/>
      <c r="K2126" s="18"/>
      <c r="L2126" s="18"/>
      <c r="M2126" s="18"/>
    </row>
    <row r="2127" spans="3:13">
      <c r="C2127" t="s">
        <v>123</v>
      </c>
      <c r="D2127">
        <v>2019</v>
      </c>
      <c r="E2127" t="s">
        <v>141</v>
      </c>
      <c r="F2127">
        <v>1139.27</v>
      </c>
      <c r="J2127" s="18"/>
      <c r="K2127" s="18"/>
      <c r="L2127" s="18"/>
      <c r="M2127" s="18"/>
    </row>
    <row r="2128" spans="3:13">
      <c r="C2128" t="s">
        <v>123</v>
      </c>
      <c r="D2128">
        <v>2019</v>
      </c>
      <c r="E2128" t="s">
        <v>142</v>
      </c>
      <c r="F2128">
        <v>506.06</v>
      </c>
      <c r="J2128" s="18"/>
      <c r="K2128" s="18"/>
      <c r="L2128" s="18"/>
      <c r="M2128" s="18"/>
    </row>
    <row r="2129" spans="3:13">
      <c r="C2129" t="s">
        <v>123</v>
      </c>
      <c r="D2129">
        <v>2019</v>
      </c>
      <c r="E2129" t="s">
        <v>143</v>
      </c>
      <c r="F2129">
        <v>1715.28</v>
      </c>
      <c r="J2129" s="18"/>
      <c r="K2129" s="18"/>
      <c r="L2129" s="18"/>
      <c r="M2129" s="18"/>
    </row>
    <row r="2130" spans="3:13">
      <c r="C2130" t="s">
        <v>123</v>
      </c>
      <c r="D2130">
        <v>2019</v>
      </c>
      <c r="E2130" t="s">
        <v>144</v>
      </c>
      <c r="F2130">
        <v>5.66</v>
      </c>
      <c r="J2130" s="18"/>
      <c r="K2130" s="18"/>
      <c r="L2130" s="18"/>
      <c r="M2130" s="18"/>
    </row>
    <row r="2131" spans="3:13">
      <c r="C2131" t="s">
        <v>123</v>
      </c>
      <c r="D2131">
        <v>2020</v>
      </c>
      <c r="E2131" t="s">
        <v>141</v>
      </c>
      <c r="F2131">
        <v>1096.3499999999999</v>
      </c>
      <c r="J2131" s="18"/>
      <c r="K2131" s="18"/>
      <c r="L2131" s="18"/>
      <c r="M2131" s="18"/>
    </row>
    <row r="2132" spans="3:13">
      <c r="C2132" t="s">
        <v>123</v>
      </c>
      <c r="D2132">
        <v>2020</v>
      </c>
      <c r="E2132" t="s">
        <v>142</v>
      </c>
      <c r="F2132">
        <v>493.57</v>
      </c>
      <c r="J2132" s="18"/>
      <c r="K2132" s="18"/>
      <c r="L2132" s="18"/>
      <c r="M2132" s="18"/>
    </row>
    <row r="2133" spans="3:13">
      <c r="C2133" t="s">
        <v>123</v>
      </c>
      <c r="D2133">
        <v>2020</v>
      </c>
      <c r="E2133" t="s">
        <v>143</v>
      </c>
      <c r="F2133">
        <v>1668.71</v>
      </c>
      <c r="J2133" s="18"/>
      <c r="K2133" s="18"/>
      <c r="L2133" s="18"/>
      <c r="M2133" s="18"/>
    </row>
    <row r="2134" spans="3:13">
      <c r="C2134" t="s">
        <v>123</v>
      </c>
      <c r="D2134">
        <v>2020</v>
      </c>
      <c r="E2134" t="s">
        <v>144</v>
      </c>
      <c r="F2134">
        <v>4.92</v>
      </c>
      <c r="J2134" s="18"/>
      <c r="K2134" s="18"/>
      <c r="L2134" s="18"/>
      <c r="M2134" s="18"/>
    </row>
    <row r="2135" spans="3:13">
      <c r="C2135" t="s">
        <v>123</v>
      </c>
      <c r="D2135">
        <v>2021</v>
      </c>
      <c r="E2135" t="s">
        <v>141</v>
      </c>
      <c r="F2135">
        <v>1122.77</v>
      </c>
      <c r="J2135" s="18"/>
      <c r="K2135" s="18"/>
      <c r="L2135" s="18"/>
      <c r="M2135" s="18"/>
    </row>
    <row r="2136" spans="3:13">
      <c r="C2136" t="s">
        <v>123</v>
      </c>
      <c r="D2136">
        <v>2021</v>
      </c>
      <c r="E2136" t="s">
        <v>142</v>
      </c>
      <c r="F2136">
        <v>505.53</v>
      </c>
      <c r="J2136" s="18"/>
      <c r="K2136" s="18"/>
      <c r="L2136" s="18"/>
      <c r="M2136" s="18"/>
    </row>
    <row r="2137" spans="3:13">
      <c r="C2137" t="s">
        <v>123</v>
      </c>
      <c r="D2137">
        <v>2021</v>
      </c>
      <c r="E2137" t="s">
        <v>143</v>
      </c>
      <c r="F2137">
        <v>1676.91</v>
      </c>
      <c r="J2137" s="18"/>
      <c r="K2137" s="18"/>
      <c r="L2137" s="18"/>
      <c r="M2137" s="18"/>
    </row>
    <row r="2138" spans="3:13">
      <c r="C2138" t="s">
        <v>123</v>
      </c>
      <c r="D2138">
        <v>2021</v>
      </c>
      <c r="E2138" t="s">
        <v>144</v>
      </c>
      <c r="F2138">
        <v>5.89</v>
      </c>
      <c r="J2138" s="18"/>
      <c r="K2138" s="18"/>
      <c r="L2138" s="18"/>
      <c r="M2138" s="18"/>
    </row>
    <row r="2139" spans="3:13">
      <c r="C2139" t="s">
        <v>123</v>
      </c>
      <c r="D2139">
        <v>2022</v>
      </c>
      <c r="E2139" t="s">
        <v>141</v>
      </c>
      <c r="F2139">
        <v>1171.51</v>
      </c>
      <c r="J2139" s="18"/>
      <c r="K2139" s="18"/>
      <c r="L2139" s="18"/>
      <c r="M2139" s="18"/>
    </row>
    <row r="2140" spans="3:13">
      <c r="C2140" t="s">
        <v>123</v>
      </c>
      <c r="D2140">
        <v>2022</v>
      </c>
      <c r="E2140" t="s">
        <v>142</v>
      </c>
      <c r="F2140">
        <v>512.84</v>
      </c>
      <c r="J2140" s="18"/>
      <c r="K2140" s="18"/>
      <c r="L2140" s="18"/>
      <c r="M2140" s="18"/>
    </row>
    <row r="2141" spans="3:13">
      <c r="C2141" t="s">
        <v>123</v>
      </c>
      <c r="D2141">
        <v>2022</v>
      </c>
      <c r="E2141" t="s">
        <v>143</v>
      </c>
      <c r="F2141">
        <v>1708</v>
      </c>
      <c r="J2141" s="18"/>
      <c r="K2141" s="18"/>
      <c r="L2141" s="18"/>
      <c r="M2141" s="18"/>
    </row>
    <row r="2142" spans="3:13">
      <c r="C2142" t="s">
        <v>123</v>
      </c>
      <c r="D2142">
        <v>2022</v>
      </c>
      <c r="E2142" t="s">
        <v>144</v>
      </c>
      <c r="F2142">
        <v>6.15</v>
      </c>
      <c r="J2142" s="18"/>
      <c r="K2142" s="18"/>
      <c r="L2142" s="18"/>
      <c r="M2142" s="18"/>
    </row>
    <row r="2143" spans="3:13">
      <c r="C2143" t="s">
        <v>123</v>
      </c>
      <c r="D2143">
        <v>2023</v>
      </c>
      <c r="E2143" t="s">
        <v>141</v>
      </c>
      <c r="F2143">
        <v>1220.3599999999999</v>
      </c>
      <c r="J2143" s="18"/>
      <c r="K2143" s="18"/>
      <c r="L2143" s="18"/>
      <c r="M2143" s="18"/>
    </row>
    <row r="2144" spans="3:13">
      <c r="C2144" t="s">
        <v>123</v>
      </c>
      <c r="D2144">
        <v>2023</v>
      </c>
      <c r="E2144" t="s">
        <v>142</v>
      </c>
      <c r="F2144">
        <v>517.86</v>
      </c>
      <c r="J2144" s="18"/>
      <c r="K2144" s="18"/>
      <c r="L2144" s="18"/>
      <c r="M2144" s="18"/>
    </row>
    <row r="2145" spans="3:13">
      <c r="C2145" t="s">
        <v>123</v>
      </c>
      <c r="D2145">
        <v>2023</v>
      </c>
      <c r="E2145" t="s">
        <v>143</v>
      </c>
      <c r="F2145">
        <v>1738.03</v>
      </c>
      <c r="J2145" s="18"/>
      <c r="K2145" s="18"/>
      <c r="L2145" s="18"/>
      <c r="M2145" s="18"/>
    </row>
    <row r="2146" spans="3:13">
      <c r="C2146" t="s">
        <v>123</v>
      </c>
      <c r="D2146">
        <v>2023</v>
      </c>
      <c r="E2146" t="s">
        <v>144</v>
      </c>
      <c r="F2146">
        <v>6.1</v>
      </c>
      <c r="J2146" s="18"/>
      <c r="K2146" s="18"/>
      <c r="L2146" s="18"/>
      <c r="M2146" s="18"/>
    </row>
    <row r="2147" spans="3:13">
      <c r="C2147" t="s">
        <v>123</v>
      </c>
      <c r="D2147">
        <v>2024</v>
      </c>
      <c r="E2147" t="s">
        <v>141</v>
      </c>
      <c r="F2147">
        <v>1260.23</v>
      </c>
      <c r="J2147" s="18"/>
      <c r="K2147" s="18"/>
      <c r="L2147" s="18"/>
      <c r="M2147" s="18"/>
    </row>
    <row r="2148" spans="3:13">
      <c r="C2148" t="s">
        <v>123</v>
      </c>
      <c r="D2148">
        <v>2024</v>
      </c>
      <c r="E2148" t="s">
        <v>142</v>
      </c>
      <c r="F2148">
        <v>521.34</v>
      </c>
      <c r="J2148" s="18"/>
      <c r="K2148" s="18"/>
      <c r="L2148" s="18"/>
      <c r="M2148" s="18"/>
    </row>
    <row r="2149" spans="3:13">
      <c r="C2149" t="s">
        <v>123</v>
      </c>
      <c r="D2149">
        <v>2024</v>
      </c>
      <c r="E2149" t="s">
        <v>143</v>
      </c>
      <c r="F2149">
        <v>1787.81</v>
      </c>
      <c r="J2149" s="18"/>
      <c r="K2149" s="18"/>
      <c r="L2149" s="18"/>
      <c r="M2149" s="18"/>
    </row>
    <row r="2150" spans="3:13">
      <c r="C2150" t="s">
        <v>123</v>
      </c>
      <c r="D2150">
        <v>2024</v>
      </c>
      <c r="E2150" t="s">
        <v>144</v>
      </c>
      <c r="F2150">
        <v>5.75</v>
      </c>
      <c r="J2150" s="18"/>
      <c r="K2150" s="18"/>
      <c r="L2150" s="18"/>
      <c r="M2150" s="18"/>
    </row>
    <row r="2151" spans="3:13">
      <c r="C2151" t="s">
        <v>123</v>
      </c>
      <c r="D2151">
        <v>2025</v>
      </c>
      <c r="E2151" t="s">
        <v>141</v>
      </c>
      <c r="F2151">
        <v>1294.25</v>
      </c>
      <c r="J2151" s="18"/>
      <c r="K2151" s="18"/>
      <c r="L2151" s="18"/>
      <c r="M2151" s="18"/>
    </row>
    <row r="2152" spans="3:13">
      <c r="C2152" t="s">
        <v>123</v>
      </c>
      <c r="D2152">
        <v>2025</v>
      </c>
      <c r="E2152" t="s">
        <v>142</v>
      </c>
      <c r="F2152">
        <v>524.16999999999996</v>
      </c>
      <c r="J2152" s="18"/>
      <c r="K2152" s="18"/>
      <c r="L2152" s="18"/>
      <c r="M2152" s="18"/>
    </row>
    <row r="2153" spans="3:13">
      <c r="C2153" t="s">
        <v>123</v>
      </c>
      <c r="D2153">
        <v>2025</v>
      </c>
      <c r="E2153" t="s">
        <v>143</v>
      </c>
      <c r="F2153">
        <v>1828.21</v>
      </c>
      <c r="J2153" s="18"/>
      <c r="K2153" s="18"/>
      <c r="L2153" s="18"/>
      <c r="M2153" s="18"/>
    </row>
    <row r="2154" spans="3:13">
      <c r="C2154" t="s">
        <v>123</v>
      </c>
      <c r="D2154">
        <v>2025</v>
      </c>
      <c r="E2154" t="s">
        <v>144</v>
      </c>
      <c r="F2154">
        <v>5.22</v>
      </c>
      <c r="J2154" s="18"/>
      <c r="K2154" s="18"/>
      <c r="L2154" s="18"/>
      <c r="M2154" s="18"/>
    </row>
    <row r="2155" spans="3:13">
      <c r="C2155" t="s">
        <v>123</v>
      </c>
      <c r="D2155">
        <v>2026</v>
      </c>
      <c r="E2155" t="s">
        <v>141</v>
      </c>
      <c r="F2155">
        <v>1310.58</v>
      </c>
      <c r="J2155" s="18"/>
      <c r="K2155" s="18"/>
      <c r="L2155" s="18"/>
      <c r="M2155" s="18"/>
    </row>
    <row r="2156" spans="3:13">
      <c r="C2156" t="s">
        <v>123</v>
      </c>
      <c r="D2156">
        <v>2026</v>
      </c>
      <c r="E2156" t="s">
        <v>142</v>
      </c>
      <c r="F2156">
        <v>525.29999999999995</v>
      </c>
      <c r="J2156" s="18"/>
      <c r="K2156" s="18"/>
      <c r="L2156" s="18"/>
      <c r="M2156" s="18"/>
    </row>
    <row r="2157" spans="3:13">
      <c r="C2157" t="s">
        <v>123</v>
      </c>
      <c r="D2157">
        <v>2026</v>
      </c>
      <c r="E2157" t="s">
        <v>143</v>
      </c>
      <c r="F2157">
        <v>1845.18</v>
      </c>
      <c r="J2157" s="18"/>
      <c r="K2157" s="18"/>
      <c r="L2157" s="18"/>
      <c r="M2157" s="18"/>
    </row>
    <row r="2158" spans="3:13">
      <c r="C2158" t="s">
        <v>123</v>
      </c>
      <c r="D2158">
        <v>2026</v>
      </c>
      <c r="E2158" t="s">
        <v>144</v>
      </c>
      <c r="F2158">
        <v>5.29</v>
      </c>
      <c r="J2158" s="18"/>
      <c r="K2158" s="18"/>
      <c r="L2158" s="18"/>
      <c r="M2158" s="18"/>
    </row>
    <row r="2159" spans="3:13">
      <c r="C2159" t="s">
        <v>123</v>
      </c>
      <c r="D2159">
        <v>2027</v>
      </c>
      <c r="E2159" t="s">
        <v>141</v>
      </c>
      <c r="F2159">
        <v>1325.04</v>
      </c>
      <c r="J2159" s="18"/>
      <c r="K2159" s="18"/>
      <c r="L2159" s="18"/>
      <c r="M2159" s="18"/>
    </row>
    <row r="2160" spans="3:13">
      <c r="C2160" t="s">
        <v>123</v>
      </c>
      <c r="D2160">
        <v>2027</v>
      </c>
      <c r="E2160" t="s">
        <v>142</v>
      </c>
      <c r="F2160">
        <v>525.66999999999996</v>
      </c>
      <c r="J2160" s="18"/>
      <c r="K2160" s="18"/>
      <c r="L2160" s="18"/>
      <c r="M2160" s="18"/>
    </row>
    <row r="2161" spans="3:13">
      <c r="C2161" t="s">
        <v>123</v>
      </c>
      <c r="D2161">
        <v>2027</v>
      </c>
      <c r="E2161" t="s">
        <v>143</v>
      </c>
      <c r="F2161">
        <v>1860.69</v>
      </c>
      <c r="J2161" s="18"/>
      <c r="K2161" s="18"/>
      <c r="L2161" s="18"/>
      <c r="M2161" s="18"/>
    </row>
    <row r="2162" spans="3:13">
      <c r="C2162" t="s">
        <v>123</v>
      </c>
      <c r="D2162">
        <v>2027</v>
      </c>
      <c r="E2162" t="s">
        <v>144</v>
      </c>
      <c r="F2162">
        <v>5.28</v>
      </c>
      <c r="J2162" s="18"/>
      <c r="K2162" s="18"/>
      <c r="L2162" s="18"/>
      <c r="M2162" s="18"/>
    </row>
    <row r="2163" spans="3:13">
      <c r="C2163" t="s">
        <v>123</v>
      </c>
      <c r="D2163">
        <v>2028</v>
      </c>
      <c r="E2163" t="s">
        <v>141</v>
      </c>
      <c r="F2163">
        <v>1339.91</v>
      </c>
      <c r="J2163" s="18"/>
      <c r="K2163" s="18"/>
      <c r="L2163" s="18"/>
      <c r="M2163" s="18"/>
    </row>
    <row r="2164" spans="3:13">
      <c r="C2164" t="s">
        <v>123</v>
      </c>
      <c r="D2164">
        <v>2028</v>
      </c>
      <c r="E2164" t="s">
        <v>142</v>
      </c>
      <c r="F2164">
        <v>526.87</v>
      </c>
      <c r="J2164" s="18"/>
      <c r="K2164" s="18"/>
      <c r="L2164" s="18"/>
      <c r="M2164" s="18"/>
    </row>
    <row r="2165" spans="3:13">
      <c r="C2165" t="s">
        <v>123</v>
      </c>
      <c r="D2165">
        <v>2028</v>
      </c>
      <c r="E2165" t="s">
        <v>143</v>
      </c>
      <c r="F2165">
        <v>1875.31</v>
      </c>
      <c r="J2165" s="18"/>
      <c r="K2165" s="18"/>
      <c r="L2165" s="18"/>
      <c r="M2165" s="18"/>
    </row>
    <row r="2166" spans="3:13">
      <c r="C2166" t="s">
        <v>123</v>
      </c>
      <c r="D2166">
        <v>2028</v>
      </c>
      <c r="E2166" t="s">
        <v>144</v>
      </c>
      <c r="F2166">
        <v>5.23</v>
      </c>
      <c r="J2166" s="18"/>
      <c r="K2166" s="18"/>
      <c r="L2166" s="18"/>
      <c r="M2166" s="18"/>
    </row>
    <row r="2167" spans="3:13">
      <c r="C2167" t="s">
        <v>123</v>
      </c>
      <c r="D2167">
        <v>2029</v>
      </c>
      <c r="E2167" t="s">
        <v>141</v>
      </c>
      <c r="F2167">
        <v>1353.86</v>
      </c>
      <c r="J2167" s="18"/>
      <c r="K2167" s="18"/>
      <c r="L2167" s="18"/>
      <c r="M2167" s="18"/>
    </row>
    <row r="2168" spans="3:13">
      <c r="C2168" t="s">
        <v>123</v>
      </c>
      <c r="D2168">
        <v>2029</v>
      </c>
      <c r="E2168" t="s">
        <v>142</v>
      </c>
      <c r="F2168">
        <v>527.9</v>
      </c>
      <c r="J2168" s="18"/>
      <c r="K2168" s="18"/>
      <c r="L2168" s="18"/>
      <c r="M2168" s="18"/>
    </row>
    <row r="2169" spans="3:13">
      <c r="C2169" t="s">
        <v>123</v>
      </c>
      <c r="D2169">
        <v>2029</v>
      </c>
      <c r="E2169" t="s">
        <v>143</v>
      </c>
      <c r="F2169">
        <v>1888.86</v>
      </c>
      <c r="J2169" s="18"/>
      <c r="K2169" s="18"/>
      <c r="L2169" s="18"/>
      <c r="M2169" s="18"/>
    </row>
    <row r="2170" spans="3:13">
      <c r="C2170" t="s">
        <v>123</v>
      </c>
      <c r="D2170">
        <v>2029</v>
      </c>
      <c r="E2170" t="s">
        <v>144</v>
      </c>
      <c r="F2170">
        <v>5.12</v>
      </c>
      <c r="J2170" s="18"/>
      <c r="K2170" s="18"/>
      <c r="L2170" s="18"/>
      <c r="M2170" s="18"/>
    </row>
    <row r="2171" spans="3:13">
      <c r="C2171" t="s">
        <v>123</v>
      </c>
      <c r="D2171">
        <v>2030</v>
      </c>
      <c r="E2171" t="s">
        <v>141</v>
      </c>
      <c r="F2171">
        <v>1367.91</v>
      </c>
      <c r="J2171" s="18"/>
      <c r="K2171" s="18"/>
      <c r="L2171" s="18"/>
      <c r="M2171" s="18"/>
    </row>
    <row r="2172" spans="3:13">
      <c r="C2172" t="s">
        <v>123</v>
      </c>
      <c r="D2172">
        <v>2030</v>
      </c>
      <c r="E2172" t="s">
        <v>142</v>
      </c>
      <c r="F2172">
        <v>529.32000000000005</v>
      </c>
      <c r="J2172" s="18"/>
      <c r="K2172" s="18"/>
      <c r="L2172" s="18"/>
      <c r="M2172" s="18"/>
    </row>
    <row r="2173" spans="3:13">
      <c r="C2173" t="s">
        <v>123</v>
      </c>
      <c r="D2173">
        <v>2030</v>
      </c>
      <c r="E2173" t="s">
        <v>143</v>
      </c>
      <c r="F2173">
        <v>1901.7</v>
      </c>
      <c r="J2173" s="18"/>
      <c r="K2173" s="18"/>
      <c r="L2173" s="18"/>
      <c r="M2173" s="18"/>
    </row>
    <row r="2174" spans="3:13">
      <c r="C2174" t="s">
        <v>123</v>
      </c>
      <c r="D2174">
        <v>2030</v>
      </c>
      <c r="E2174" t="s">
        <v>144</v>
      </c>
      <c r="F2174">
        <v>5</v>
      </c>
      <c r="J2174" s="18"/>
      <c r="K2174" s="18"/>
      <c r="L2174" s="18"/>
      <c r="M2174" s="18"/>
    </row>
    <row r="2175" spans="3:13">
      <c r="C2175" t="s">
        <v>123</v>
      </c>
      <c r="D2175">
        <v>2031</v>
      </c>
      <c r="E2175" t="s">
        <v>141</v>
      </c>
      <c r="F2175">
        <v>1385.3</v>
      </c>
      <c r="J2175" s="18"/>
      <c r="K2175" s="18"/>
      <c r="L2175" s="18"/>
      <c r="M2175" s="18"/>
    </row>
    <row r="2176" spans="3:13">
      <c r="C2176" t="s">
        <v>123</v>
      </c>
      <c r="D2176">
        <v>2031</v>
      </c>
      <c r="E2176" t="s">
        <v>142</v>
      </c>
      <c r="F2176">
        <v>531.57000000000005</v>
      </c>
      <c r="J2176" s="18"/>
      <c r="K2176" s="18"/>
      <c r="L2176" s="18"/>
      <c r="M2176" s="18"/>
    </row>
    <row r="2177" spans="3:13">
      <c r="C2177" t="s">
        <v>123</v>
      </c>
      <c r="D2177">
        <v>2031</v>
      </c>
      <c r="E2177" t="s">
        <v>143</v>
      </c>
      <c r="F2177">
        <v>1919.72</v>
      </c>
      <c r="J2177" s="18"/>
      <c r="K2177" s="18"/>
      <c r="L2177" s="18"/>
      <c r="M2177" s="18"/>
    </row>
    <row r="2178" spans="3:13">
      <c r="C2178" t="s">
        <v>123</v>
      </c>
      <c r="D2178">
        <v>2031</v>
      </c>
      <c r="E2178" t="s">
        <v>144</v>
      </c>
      <c r="F2178">
        <v>4.88</v>
      </c>
      <c r="J2178" s="18"/>
      <c r="K2178" s="18"/>
      <c r="L2178" s="18"/>
      <c r="M2178" s="18"/>
    </row>
    <row r="2179" spans="3:13">
      <c r="C2179" t="s">
        <v>123</v>
      </c>
      <c r="D2179">
        <v>2032</v>
      </c>
      <c r="E2179" t="s">
        <v>141</v>
      </c>
      <c r="F2179">
        <v>1402.08</v>
      </c>
      <c r="J2179" s="18"/>
      <c r="K2179" s="18"/>
      <c r="L2179" s="18"/>
      <c r="M2179" s="18"/>
    </row>
    <row r="2180" spans="3:13">
      <c r="C2180" t="s">
        <v>123</v>
      </c>
      <c r="D2180">
        <v>2032</v>
      </c>
      <c r="E2180" t="s">
        <v>142</v>
      </c>
      <c r="F2180">
        <v>532.66999999999996</v>
      </c>
      <c r="J2180" s="18"/>
      <c r="K2180" s="18"/>
      <c r="L2180" s="18"/>
      <c r="M2180" s="18"/>
    </row>
    <row r="2181" spans="3:13">
      <c r="C2181" t="s">
        <v>123</v>
      </c>
      <c r="D2181">
        <v>2032</v>
      </c>
      <c r="E2181" t="s">
        <v>143</v>
      </c>
      <c r="F2181">
        <v>1937.69</v>
      </c>
      <c r="J2181" s="18"/>
      <c r="K2181" s="18"/>
      <c r="L2181" s="18"/>
      <c r="M2181" s="18"/>
    </row>
    <row r="2182" spans="3:13">
      <c r="C2182" t="s">
        <v>123</v>
      </c>
      <c r="D2182">
        <v>2032</v>
      </c>
      <c r="E2182" t="s">
        <v>144</v>
      </c>
      <c r="F2182">
        <v>4.75</v>
      </c>
      <c r="J2182" s="18"/>
      <c r="K2182" s="18"/>
      <c r="L2182" s="18"/>
      <c r="M2182" s="18"/>
    </row>
    <row r="2183" spans="3:13">
      <c r="C2183" t="s">
        <v>123</v>
      </c>
      <c r="D2183">
        <v>2033</v>
      </c>
      <c r="E2183" t="s">
        <v>141</v>
      </c>
      <c r="F2183">
        <v>1417.53</v>
      </c>
      <c r="J2183" s="18"/>
      <c r="K2183" s="18"/>
      <c r="L2183" s="18"/>
      <c r="M2183" s="18"/>
    </row>
    <row r="2184" spans="3:13">
      <c r="C2184" t="s">
        <v>123</v>
      </c>
      <c r="D2184">
        <v>2033</v>
      </c>
      <c r="E2184" t="s">
        <v>142</v>
      </c>
      <c r="F2184">
        <v>533.99</v>
      </c>
      <c r="J2184" s="18"/>
      <c r="K2184" s="18"/>
      <c r="L2184" s="18"/>
      <c r="M2184" s="18"/>
    </row>
    <row r="2185" spans="3:13">
      <c r="C2185" t="s">
        <v>123</v>
      </c>
      <c r="D2185">
        <v>2033</v>
      </c>
      <c r="E2185" t="s">
        <v>143</v>
      </c>
      <c r="F2185">
        <v>1954.64</v>
      </c>
      <c r="J2185" s="18"/>
      <c r="K2185" s="18"/>
      <c r="L2185" s="18"/>
      <c r="M2185" s="18"/>
    </row>
    <row r="2186" spans="3:13">
      <c r="C2186" t="s">
        <v>123</v>
      </c>
      <c r="D2186">
        <v>2033</v>
      </c>
      <c r="E2186" t="s">
        <v>144</v>
      </c>
      <c r="F2186">
        <v>4.59</v>
      </c>
      <c r="J2186" s="18"/>
      <c r="K2186" s="18"/>
      <c r="L2186" s="18"/>
      <c r="M2186" s="18"/>
    </row>
    <row r="2187" spans="3:13">
      <c r="C2187" t="s">
        <v>123</v>
      </c>
      <c r="D2187">
        <v>2034</v>
      </c>
      <c r="E2187" t="s">
        <v>141</v>
      </c>
      <c r="F2187">
        <v>1432.8</v>
      </c>
      <c r="J2187" s="18"/>
      <c r="K2187" s="18"/>
      <c r="L2187" s="18"/>
      <c r="M2187" s="18"/>
    </row>
    <row r="2188" spans="3:13">
      <c r="C2188" t="s">
        <v>123</v>
      </c>
      <c r="D2188">
        <v>2034</v>
      </c>
      <c r="E2188" t="s">
        <v>142</v>
      </c>
      <c r="F2188">
        <v>535.51</v>
      </c>
      <c r="J2188" s="18"/>
      <c r="K2188" s="18"/>
      <c r="L2188" s="18"/>
      <c r="M2188" s="18"/>
    </row>
    <row r="2189" spans="3:13">
      <c r="C2189" t="s">
        <v>123</v>
      </c>
      <c r="D2189">
        <v>2034</v>
      </c>
      <c r="E2189" t="s">
        <v>143</v>
      </c>
      <c r="F2189">
        <v>1971.45</v>
      </c>
      <c r="J2189" s="18"/>
      <c r="K2189" s="18"/>
      <c r="L2189" s="18"/>
      <c r="M2189" s="18"/>
    </row>
    <row r="2190" spans="3:13">
      <c r="C2190" t="s">
        <v>123</v>
      </c>
      <c r="D2190">
        <v>2034</v>
      </c>
      <c r="E2190" t="s">
        <v>144</v>
      </c>
      <c r="F2190">
        <v>4.41</v>
      </c>
      <c r="J2190" s="18"/>
      <c r="K2190" s="18"/>
      <c r="L2190" s="18"/>
      <c r="M2190" s="18"/>
    </row>
    <row r="2191" spans="3:13">
      <c r="C2191" t="s">
        <v>123</v>
      </c>
      <c r="D2191">
        <v>2035</v>
      </c>
      <c r="E2191" t="s">
        <v>141</v>
      </c>
      <c r="F2191">
        <v>1447.04</v>
      </c>
      <c r="J2191" s="18"/>
      <c r="K2191" s="18"/>
      <c r="L2191" s="18"/>
      <c r="M2191" s="18"/>
    </row>
    <row r="2192" spans="3:13">
      <c r="C2192" t="s">
        <v>123</v>
      </c>
      <c r="D2192">
        <v>2035</v>
      </c>
      <c r="E2192" t="s">
        <v>142</v>
      </c>
      <c r="F2192">
        <v>537.29</v>
      </c>
      <c r="J2192" s="18"/>
      <c r="K2192" s="18"/>
      <c r="L2192" s="18"/>
      <c r="M2192" s="18"/>
    </row>
    <row r="2193" spans="3:13">
      <c r="C2193" t="s">
        <v>123</v>
      </c>
      <c r="D2193">
        <v>2035</v>
      </c>
      <c r="E2193" t="s">
        <v>143</v>
      </c>
      <c r="F2193">
        <v>1987.78</v>
      </c>
      <c r="J2193" s="18"/>
      <c r="K2193" s="18"/>
      <c r="L2193" s="18"/>
      <c r="M2193" s="18"/>
    </row>
    <row r="2194" spans="3:13">
      <c r="C2194" t="s">
        <v>123</v>
      </c>
      <c r="D2194">
        <v>2035</v>
      </c>
      <c r="E2194" t="s">
        <v>144</v>
      </c>
      <c r="F2194">
        <v>4.21</v>
      </c>
      <c r="J2194" s="18"/>
      <c r="K2194" s="18"/>
      <c r="L2194" s="18"/>
      <c r="M2194" s="18"/>
    </row>
    <row r="2195" spans="3:13">
      <c r="C2195" t="s">
        <v>123</v>
      </c>
      <c r="D2195">
        <v>2036</v>
      </c>
      <c r="E2195" t="s">
        <v>141</v>
      </c>
      <c r="F2195">
        <v>1481.79</v>
      </c>
      <c r="J2195" s="18"/>
      <c r="K2195" s="18"/>
      <c r="L2195" s="18"/>
      <c r="M2195" s="18"/>
    </row>
    <row r="2196" spans="3:13">
      <c r="C2196" t="s">
        <v>123</v>
      </c>
      <c r="D2196">
        <v>2036</v>
      </c>
      <c r="E2196" t="s">
        <v>142</v>
      </c>
      <c r="F2196">
        <v>539.52</v>
      </c>
      <c r="J2196" s="18"/>
      <c r="K2196" s="18"/>
      <c r="L2196" s="18"/>
      <c r="M2196" s="18"/>
    </row>
    <row r="2197" spans="3:13">
      <c r="C2197" t="s">
        <v>123</v>
      </c>
      <c r="D2197">
        <v>2036</v>
      </c>
      <c r="E2197" t="s">
        <v>143</v>
      </c>
      <c r="F2197">
        <v>2032.55</v>
      </c>
      <c r="J2197" s="18"/>
      <c r="K2197" s="18"/>
      <c r="L2197" s="18"/>
      <c r="M2197" s="18"/>
    </row>
    <row r="2198" spans="3:13">
      <c r="C2198" t="s">
        <v>123</v>
      </c>
      <c r="D2198">
        <v>2036</v>
      </c>
      <c r="E2198" t="s">
        <v>144</v>
      </c>
      <c r="F2198">
        <v>4.0599999999999996</v>
      </c>
      <c r="J2198" s="18"/>
      <c r="K2198" s="18"/>
      <c r="L2198" s="18"/>
      <c r="M2198" s="18"/>
    </row>
    <row r="2199" spans="3:13">
      <c r="C2199" t="s">
        <v>123</v>
      </c>
      <c r="D2199">
        <v>2037</v>
      </c>
      <c r="E2199" t="s">
        <v>141</v>
      </c>
      <c r="F2199">
        <v>1517.35</v>
      </c>
      <c r="J2199" s="18"/>
      <c r="K2199" s="18"/>
      <c r="L2199" s="18"/>
      <c r="M2199" s="18"/>
    </row>
    <row r="2200" spans="3:13">
      <c r="C2200" t="s">
        <v>123</v>
      </c>
      <c r="D2200">
        <v>2037</v>
      </c>
      <c r="E2200" t="s">
        <v>142</v>
      </c>
      <c r="F2200">
        <v>541.39</v>
      </c>
      <c r="J2200" s="18"/>
      <c r="K2200" s="18"/>
      <c r="L2200" s="18"/>
      <c r="M2200" s="18"/>
    </row>
    <row r="2201" spans="3:13">
      <c r="C2201" t="s">
        <v>123</v>
      </c>
      <c r="D2201">
        <v>2037</v>
      </c>
      <c r="E2201" t="s">
        <v>143</v>
      </c>
      <c r="F2201">
        <v>2078.21</v>
      </c>
      <c r="J2201" s="18"/>
      <c r="K2201" s="18"/>
      <c r="L2201" s="18"/>
      <c r="M2201" s="18"/>
    </row>
    <row r="2202" spans="3:13">
      <c r="C2202" t="s">
        <v>123</v>
      </c>
      <c r="D2202">
        <v>2037</v>
      </c>
      <c r="E2202" t="s">
        <v>144</v>
      </c>
      <c r="F2202">
        <v>3.89</v>
      </c>
      <c r="J2202" s="18"/>
      <c r="K2202" s="18"/>
      <c r="L2202" s="18"/>
      <c r="M2202" s="18"/>
    </row>
    <row r="2203" spans="3:13">
      <c r="C2203" t="s">
        <v>123</v>
      </c>
      <c r="D2203">
        <v>2038</v>
      </c>
      <c r="E2203" t="s">
        <v>141</v>
      </c>
      <c r="F2203">
        <v>1553.38</v>
      </c>
      <c r="J2203" s="18"/>
      <c r="K2203" s="18"/>
      <c r="L2203" s="18"/>
      <c r="M2203" s="18"/>
    </row>
    <row r="2204" spans="3:13">
      <c r="C2204" t="s">
        <v>123</v>
      </c>
      <c r="D2204">
        <v>2038</v>
      </c>
      <c r="E2204" t="s">
        <v>142</v>
      </c>
      <c r="F2204">
        <v>543.36</v>
      </c>
      <c r="J2204" s="18"/>
      <c r="K2204" s="18"/>
      <c r="L2204" s="18"/>
      <c r="M2204" s="18"/>
    </row>
    <row r="2205" spans="3:13">
      <c r="C2205" t="s">
        <v>123</v>
      </c>
      <c r="D2205">
        <v>2038</v>
      </c>
      <c r="E2205" t="s">
        <v>143</v>
      </c>
      <c r="F2205">
        <v>2124.59</v>
      </c>
      <c r="J2205" s="18"/>
      <c r="K2205" s="18"/>
      <c r="L2205" s="18"/>
      <c r="M2205" s="18"/>
    </row>
    <row r="2206" spans="3:13">
      <c r="C2206" t="s">
        <v>123</v>
      </c>
      <c r="D2206">
        <v>2038</v>
      </c>
      <c r="E2206" t="s">
        <v>144</v>
      </c>
      <c r="F2206">
        <v>3.73</v>
      </c>
      <c r="J2206" s="18"/>
      <c r="K2206" s="18"/>
      <c r="L2206" s="18"/>
      <c r="M2206" s="18"/>
    </row>
    <row r="2207" spans="3:13">
      <c r="C2207" t="s">
        <v>123</v>
      </c>
      <c r="D2207">
        <v>2039</v>
      </c>
      <c r="E2207" t="s">
        <v>141</v>
      </c>
      <c r="F2207">
        <v>1589.15</v>
      </c>
      <c r="J2207" s="18"/>
      <c r="K2207" s="18"/>
      <c r="L2207" s="18"/>
      <c r="M2207" s="18"/>
    </row>
    <row r="2208" spans="3:13">
      <c r="C2208" t="s">
        <v>123</v>
      </c>
      <c r="D2208">
        <v>2039</v>
      </c>
      <c r="E2208" t="s">
        <v>142</v>
      </c>
      <c r="F2208">
        <v>545.15</v>
      </c>
      <c r="J2208" s="18"/>
      <c r="K2208" s="18"/>
      <c r="L2208" s="18"/>
      <c r="M2208" s="18"/>
    </row>
    <row r="2209" spans="3:13">
      <c r="C2209" t="s">
        <v>123</v>
      </c>
      <c r="D2209">
        <v>2039</v>
      </c>
      <c r="E2209" t="s">
        <v>143</v>
      </c>
      <c r="F2209">
        <v>2170.85</v>
      </c>
      <c r="J2209" s="18"/>
      <c r="K2209" s="18"/>
      <c r="L2209" s="18"/>
      <c r="M2209" s="18"/>
    </row>
    <row r="2210" spans="3:13">
      <c r="C2210" t="s">
        <v>123</v>
      </c>
      <c r="D2210">
        <v>2039</v>
      </c>
      <c r="E2210" t="s">
        <v>144</v>
      </c>
      <c r="F2210">
        <v>3.57</v>
      </c>
      <c r="J2210" s="18"/>
      <c r="K2210" s="18"/>
      <c r="L2210" s="18"/>
      <c r="M2210" s="18"/>
    </row>
    <row r="2211" spans="3:13">
      <c r="C2211" t="s">
        <v>123</v>
      </c>
      <c r="D2211">
        <v>2040</v>
      </c>
      <c r="E2211" t="s">
        <v>141</v>
      </c>
      <c r="F2211">
        <v>1627.61</v>
      </c>
      <c r="J2211" s="18"/>
      <c r="K2211" s="18"/>
      <c r="L2211" s="18"/>
      <c r="M2211" s="18"/>
    </row>
    <row r="2212" spans="3:13">
      <c r="C2212" t="s">
        <v>123</v>
      </c>
      <c r="D2212">
        <v>2040</v>
      </c>
      <c r="E2212" t="s">
        <v>142</v>
      </c>
      <c r="F2212">
        <v>546.89</v>
      </c>
      <c r="J2212" s="18"/>
      <c r="K2212" s="18"/>
      <c r="L2212" s="18"/>
      <c r="M2212" s="18"/>
    </row>
    <row r="2213" spans="3:13">
      <c r="C2213" t="s">
        <v>123</v>
      </c>
      <c r="D2213">
        <v>2040</v>
      </c>
      <c r="E2213" t="s">
        <v>143</v>
      </c>
      <c r="F2213">
        <v>2219.13</v>
      </c>
      <c r="J2213" s="18"/>
      <c r="K2213" s="18"/>
      <c r="L2213" s="18"/>
      <c r="M2213" s="18"/>
    </row>
    <row r="2214" spans="3:13">
      <c r="C2214" t="s">
        <v>123</v>
      </c>
      <c r="D2214">
        <v>2040</v>
      </c>
      <c r="E2214" t="s">
        <v>144</v>
      </c>
      <c r="F2214">
        <v>3.39</v>
      </c>
      <c r="J2214" s="18"/>
      <c r="K2214" s="18"/>
      <c r="L2214" s="18"/>
      <c r="M2214" s="18"/>
    </row>
    <row r="2215" spans="3:13">
      <c r="C2215" t="s">
        <v>123</v>
      </c>
      <c r="D2215">
        <v>2041</v>
      </c>
      <c r="E2215" t="s">
        <v>141</v>
      </c>
      <c r="F2215">
        <v>1655.05</v>
      </c>
      <c r="J2215" s="18"/>
      <c r="K2215" s="18"/>
      <c r="L2215" s="18"/>
      <c r="M2215" s="18"/>
    </row>
    <row r="2216" spans="3:13">
      <c r="C2216" t="s">
        <v>123</v>
      </c>
      <c r="D2216">
        <v>2041</v>
      </c>
      <c r="E2216" t="s">
        <v>142</v>
      </c>
      <c r="F2216">
        <v>548.65</v>
      </c>
      <c r="J2216" s="18"/>
      <c r="K2216" s="18"/>
      <c r="L2216" s="18"/>
      <c r="M2216" s="18"/>
    </row>
    <row r="2217" spans="3:13">
      <c r="C2217" t="s">
        <v>123</v>
      </c>
      <c r="D2217">
        <v>2041</v>
      </c>
      <c r="E2217" t="s">
        <v>143</v>
      </c>
      <c r="F2217">
        <v>2254.17</v>
      </c>
      <c r="J2217" s="18"/>
      <c r="K2217" s="18"/>
      <c r="L2217" s="18"/>
      <c r="M2217" s="18"/>
    </row>
    <row r="2218" spans="3:13">
      <c r="C2218" t="s">
        <v>123</v>
      </c>
      <c r="D2218">
        <v>2041</v>
      </c>
      <c r="E2218" t="s">
        <v>144</v>
      </c>
      <c r="F2218">
        <v>3.25</v>
      </c>
      <c r="J2218" s="18"/>
      <c r="K2218" s="18"/>
      <c r="L2218" s="18"/>
      <c r="M2218" s="18"/>
    </row>
    <row r="2219" spans="3:13">
      <c r="C2219" t="s">
        <v>123</v>
      </c>
      <c r="D2219">
        <v>2042</v>
      </c>
      <c r="E2219" t="s">
        <v>141</v>
      </c>
      <c r="F2219">
        <v>1681.28</v>
      </c>
      <c r="J2219" s="18"/>
      <c r="K2219" s="18"/>
      <c r="L2219" s="18"/>
      <c r="M2219" s="18"/>
    </row>
    <row r="2220" spans="3:13">
      <c r="C2220" t="s">
        <v>123</v>
      </c>
      <c r="D2220">
        <v>2042</v>
      </c>
      <c r="E2220" t="s">
        <v>142</v>
      </c>
      <c r="F2220">
        <v>550.23</v>
      </c>
      <c r="J2220" s="18"/>
      <c r="K2220" s="18"/>
      <c r="L2220" s="18"/>
      <c r="M2220" s="18"/>
    </row>
    <row r="2221" spans="3:13">
      <c r="C2221" t="s">
        <v>123</v>
      </c>
      <c r="D2221">
        <v>2042</v>
      </c>
      <c r="E2221" t="s">
        <v>143</v>
      </c>
      <c r="F2221">
        <v>2288.44</v>
      </c>
      <c r="J2221" s="18"/>
      <c r="K2221" s="18"/>
      <c r="L2221" s="18"/>
      <c r="M2221" s="18"/>
    </row>
    <row r="2222" spans="3:13">
      <c r="C2222" t="s">
        <v>123</v>
      </c>
      <c r="D2222">
        <v>2042</v>
      </c>
      <c r="E2222" t="s">
        <v>144</v>
      </c>
      <c r="F2222">
        <v>3.1</v>
      </c>
      <c r="J2222" s="18"/>
      <c r="K2222" s="18"/>
      <c r="L2222" s="18"/>
      <c r="M2222" s="18"/>
    </row>
    <row r="2223" spans="3:13">
      <c r="C2223" t="s">
        <v>123</v>
      </c>
      <c r="D2223">
        <v>2043</v>
      </c>
      <c r="E2223" t="s">
        <v>141</v>
      </c>
      <c r="F2223">
        <v>1708.33</v>
      </c>
      <c r="J2223" s="18"/>
      <c r="K2223" s="18"/>
      <c r="L2223" s="18"/>
      <c r="M2223" s="18"/>
    </row>
    <row r="2224" spans="3:13">
      <c r="C2224" t="s">
        <v>123</v>
      </c>
      <c r="D2224">
        <v>2043</v>
      </c>
      <c r="E2224" t="s">
        <v>142</v>
      </c>
      <c r="F2224">
        <v>551.83000000000004</v>
      </c>
      <c r="J2224" s="18"/>
      <c r="K2224" s="18"/>
      <c r="L2224" s="18"/>
      <c r="M2224" s="18"/>
    </row>
    <row r="2225" spans="3:13">
      <c r="C2225" t="s">
        <v>123</v>
      </c>
      <c r="D2225">
        <v>2043</v>
      </c>
      <c r="E2225" t="s">
        <v>143</v>
      </c>
      <c r="F2225">
        <v>2323.12</v>
      </c>
      <c r="J2225" s="18"/>
      <c r="K2225" s="18"/>
      <c r="L2225" s="18"/>
      <c r="M2225" s="18"/>
    </row>
    <row r="2226" spans="3:13">
      <c r="C2226" t="s">
        <v>123</v>
      </c>
      <c r="D2226">
        <v>2043</v>
      </c>
      <c r="E2226" t="s">
        <v>144</v>
      </c>
      <c r="F2226">
        <v>2.96</v>
      </c>
      <c r="J2226" s="18"/>
      <c r="K2226" s="18"/>
      <c r="L2226" s="18"/>
      <c r="M2226" s="18"/>
    </row>
    <row r="2227" spans="3:13">
      <c r="C2227" t="s">
        <v>123</v>
      </c>
      <c r="D2227">
        <v>2044</v>
      </c>
      <c r="E2227" t="s">
        <v>141</v>
      </c>
      <c r="F2227">
        <v>1734.33</v>
      </c>
      <c r="J2227" s="18"/>
      <c r="K2227" s="18"/>
      <c r="L2227" s="18"/>
      <c r="M2227" s="18"/>
    </row>
    <row r="2228" spans="3:13">
      <c r="C2228" t="s">
        <v>123</v>
      </c>
      <c r="D2228">
        <v>2044</v>
      </c>
      <c r="E2228" t="s">
        <v>142</v>
      </c>
      <c r="F2228">
        <v>554.01</v>
      </c>
      <c r="J2228" s="18"/>
      <c r="K2228" s="18"/>
      <c r="L2228" s="18"/>
      <c r="M2228" s="18"/>
    </row>
    <row r="2229" spans="3:13">
      <c r="C2229" t="s">
        <v>123</v>
      </c>
      <c r="D2229">
        <v>2044</v>
      </c>
      <c r="E2229" t="s">
        <v>143</v>
      </c>
      <c r="F2229">
        <v>2357.11</v>
      </c>
      <c r="J2229" s="18"/>
      <c r="K2229" s="18"/>
      <c r="L2229" s="18"/>
      <c r="M2229" s="18"/>
    </row>
    <row r="2230" spans="3:13">
      <c r="C2230" t="s">
        <v>123</v>
      </c>
      <c r="D2230">
        <v>2044</v>
      </c>
      <c r="E2230" t="s">
        <v>144</v>
      </c>
      <c r="F2230">
        <v>2.81</v>
      </c>
      <c r="J2230" s="18"/>
      <c r="K2230" s="18"/>
      <c r="L2230" s="18"/>
      <c r="M2230" s="18"/>
    </row>
    <row r="2231" spans="3:13">
      <c r="C2231" t="s">
        <v>123</v>
      </c>
      <c r="D2231">
        <v>2045</v>
      </c>
      <c r="E2231" t="s">
        <v>141</v>
      </c>
      <c r="F2231">
        <v>1758.52</v>
      </c>
      <c r="J2231" s="18"/>
      <c r="K2231" s="18"/>
      <c r="L2231" s="18"/>
      <c r="M2231" s="18"/>
    </row>
    <row r="2232" spans="3:13">
      <c r="C2232" t="s">
        <v>123</v>
      </c>
      <c r="D2232">
        <v>2045</v>
      </c>
      <c r="E2232" t="s">
        <v>142</v>
      </c>
      <c r="F2232">
        <v>556.13</v>
      </c>
      <c r="J2232" s="18"/>
      <c r="K2232" s="18"/>
      <c r="L2232" s="18"/>
      <c r="M2232" s="18"/>
    </row>
    <row r="2233" spans="3:13">
      <c r="C2233" t="s">
        <v>123</v>
      </c>
      <c r="D2233">
        <v>2045</v>
      </c>
      <c r="E2233" t="s">
        <v>143</v>
      </c>
      <c r="F2233">
        <v>2389.5</v>
      </c>
      <c r="J2233" s="18"/>
      <c r="K2233" s="18"/>
      <c r="L2233" s="18"/>
      <c r="M2233" s="18"/>
    </row>
    <row r="2234" spans="3:13">
      <c r="C2234" t="s">
        <v>123</v>
      </c>
      <c r="D2234">
        <v>2045</v>
      </c>
      <c r="E2234" t="s">
        <v>144</v>
      </c>
      <c r="F2234">
        <v>2.66</v>
      </c>
      <c r="J2234" s="18"/>
      <c r="K2234" s="18"/>
      <c r="L2234" s="18"/>
      <c r="M2234" s="18"/>
    </row>
    <row r="2235" spans="3:13">
      <c r="C2235" t="s">
        <v>123</v>
      </c>
      <c r="D2235">
        <v>2046</v>
      </c>
      <c r="E2235" t="s">
        <v>141</v>
      </c>
      <c r="F2235">
        <v>1786</v>
      </c>
      <c r="J2235" s="18"/>
      <c r="K2235" s="18"/>
      <c r="L2235" s="18"/>
      <c r="M2235" s="18"/>
    </row>
    <row r="2236" spans="3:13">
      <c r="C2236" t="s">
        <v>123</v>
      </c>
      <c r="D2236">
        <v>2046</v>
      </c>
      <c r="E2236" t="s">
        <v>142</v>
      </c>
      <c r="F2236">
        <v>558.16999999999996</v>
      </c>
      <c r="J2236" s="18"/>
      <c r="K2236" s="18"/>
      <c r="L2236" s="18"/>
      <c r="M2236" s="18"/>
    </row>
    <row r="2237" spans="3:13">
      <c r="C2237" t="s">
        <v>123</v>
      </c>
      <c r="D2237">
        <v>2046</v>
      </c>
      <c r="E2237" t="s">
        <v>143</v>
      </c>
      <c r="F2237">
        <v>2425.7800000000002</v>
      </c>
      <c r="J2237" s="18"/>
      <c r="K2237" s="18"/>
      <c r="L2237" s="18"/>
      <c r="M2237" s="18"/>
    </row>
    <row r="2238" spans="3:13">
      <c r="C2238" t="s">
        <v>123</v>
      </c>
      <c r="D2238">
        <v>2046</v>
      </c>
      <c r="E2238" t="s">
        <v>144</v>
      </c>
      <c r="F2238">
        <v>2.5299999999999998</v>
      </c>
      <c r="J2238" s="18"/>
      <c r="K2238" s="18"/>
      <c r="L2238" s="18"/>
      <c r="M2238" s="18"/>
    </row>
    <row r="2239" spans="3:13">
      <c r="C2239" t="s">
        <v>123</v>
      </c>
      <c r="D2239">
        <v>2047</v>
      </c>
      <c r="E2239" t="s">
        <v>141</v>
      </c>
      <c r="F2239">
        <v>1813.54</v>
      </c>
      <c r="J2239" s="18"/>
      <c r="K2239" s="18"/>
      <c r="L2239" s="18"/>
      <c r="M2239" s="18"/>
    </row>
    <row r="2240" spans="3:13">
      <c r="C2240" t="s">
        <v>123</v>
      </c>
      <c r="D2240">
        <v>2047</v>
      </c>
      <c r="E2240" t="s">
        <v>142</v>
      </c>
      <c r="F2240">
        <v>560.16</v>
      </c>
      <c r="J2240" s="18"/>
      <c r="K2240" s="18"/>
      <c r="L2240" s="18"/>
      <c r="M2240" s="18"/>
    </row>
    <row r="2241" spans="3:13">
      <c r="C2241" t="s">
        <v>123</v>
      </c>
      <c r="D2241">
        <v>2047</v>
      </c>
      <c r="E2241" t="s">
        <v>143</v>
      </c>
      <c r="F2241">
        <v>2461.8000000000002</v>
      </c>
      <c r="J2241" s="18"/>
      <c r="K2241" s="18"/>
      <c r="L2241" s="18"/>
      <c r="M2241" s="18"/>
    </row>
    <row r="2242" spans="3:13">
      <c r="C2242" t="s">
        <v>123</v>
      </c>
      <c r="D2242">
        <v>2047</v>
      </c>
      <c r="E2242" t="s">
        <v>144</v>
      </c>
      <c r="F2242">
        <v>2.41</v>
      </c>
      <c r="J2242" s="18"/>
      <c r="K2242" s="18"/>
      <c r="L2242" s="18"/>
      <c r="M2242" s="18"/>
    </row>
    <row r="2243" spans="3:13">
      <c r="C2243" t="s">
        <v>123</v>
      </c>
      <c r="D2243">
        <v>2048</v>
      </c>
      <c r="E2243" t="s">
        <v>141</v>
      </c>
      <c r="F2243">
        <v>1839.98</v>
      </c>
      <c r="J2243" s="18"/>
      <c r="K2243" s="18"/>
      <c r="L2243" s="18"/>
      <c r="M2243" s="18"/>
    </row>
    <row r="2244" spans="3:13">
      <c r="C2244" t="s">
        <v>123</v>
      </c>
      <c r="D2244">
        <v>2048</v>
      </c>
      <c r="E2244" t="s">
        <v>142</v>
      </c>
      <c r="F2244">
        <v>561.97</v>
      </c>
      <c r="J2244" s="18"/>
      <c r="K2244" s="18"/>
      <c r="L2244" s="18"/>
      <c r="M2244" s="18"/>
    </row>
    <row r="2245" spans="3:13">
      <c r="C2245" t="s">
        <v>123</v>
      </c>
      <c r="D2245">
        <v>2048</v>
      </c>
      <c r="E2245" t="s">
        <v>143</v>
      </c>
      <c r="F2245">
        <v>2496.62</v>
      </c>
      <c r="J2245" s="18"/>
      <c r="K2245" s="18"/>
      <c r="L2245" s="18"/>
      <c r="M2245" s="18"/>
    </row>
    <row r="2246" spans="3:13">
      <c r="C2246" t="s">
        <v>123</v>
      </c>
      <c r="D2246">
        <v>2048</v>
      </c>
      <c r="E2246" t="s">
        <v>144</v>
      </c>
      <c r="F2246">
        <v>2.2799999999999998</v>
      </c>
      <c r="J2246" s="18"/>
      <c r="K2246" s="18"/>
      <c r="L2246" s="18"/>
      <c r="M2246" s="18"/>
    </row>
    <row r="2247" spans="3:13">
      <c r="C2247" t="s">
        <v>123</v>
      </c>
      <c r="D2247">
        <v>2049</v>
      </c>
      <c r="E2247" t="s">
        <v>141</v>
      </c>
      <c r="F2247">
        <v>1866.19</v>
      </c>
      <c r="J2247" s="18"/>
      <c r="K2247" s="18"/>
      <c r="L2247" s="18"/>
      <c r="M2247" s="18"/>
    </row>
    <row r="2248" spans="3:13">
      <c r="C2248" t="s">
        <v>123</v>
      </c>
      <c r="D2248">
        <v>2049</v>
      </c>
      <c r="E2248" t="s">
        <v>142</v>
      </c>
      <c r="F2248">
        <v>563.55999999999995</v>
      </c>
      <c r="J2248" s="18"/>
      <c r="K2248" s="18"/>
      <c r="L2248" s="18"/>
      <c r="M2248" s="18"/>
    </row>
    <row r="2249" spans="3:13">
      <c r="C2249" t="s">
        <v>123</v>
      </c>
      <c r="D2249">
        <v>2049</v>
      </c>
      <c r="E2249" t="s">
        <v>143</v>
      </c>
      <c r="F2249">
        <v>2531.19</v>
      </c>
      <c r="J2249" s="18"/>
      <c r="K2249" s="18"/>
      <c r="L2249" s="18"/>
      <c r="M2249" s="18"/>
    </row>
    <row r="2250" spans="3:13">
      <c r="C2250" t="s">
        <v>123</v>
      </c>
      <c r="D2250">
        <v>2049</v>
      </c>
      <c r="E2250" t="s">
        <v>144</v>
      </c>
      <c r="F2250">
        <v>2.16</v>
      </c>
      <c r="J2250" s="18"/>
      <c r="K2250" s="18"/>
      <c r="L2250" s="18"/>
      <c r="M2250" s="18"/>
    </row>
    <row r="2251" spans="3:13">
      <c r="C2251" t="s">
        <v>123</v>
      </c>
      <c r="D2251">
        <v>2050</v>
      </c>
      <c r="E2251" t="s">
        <v>141</v>
      </c>
      <c r="F2251">
        <v>1888.32</v>
      </c>
      <c r="J2251" s="18"/>
      <c r="K2251" s="18"/>
      <c r="L2251" s="18"/>
      <c r="M2251" s="18"/>
    </row>
    <row r="2252" spans="3:13">
      <c r="C2252" t="s">
        <v>123</v>
      </c>
      <c r="D2252">
        <v>2050</v>
      </c>
      <c r="E2252" t="s">
        <v>142</v>
      </c>
      <c r="F2252">
        <v>564.98</v>
      </c>
      <c r="J2252" s="18"/>
      <c r="K2252" s="18"/>
      <c r="L2252" s="18"/>
      <c r="M2252" s="18"/>
    </row>
    <row r="2253" spans="3:13">
      <c r="C2253" t="s">
        <v>123</v>
      </c>
      <c r="D2253">
        <v>2050</v>
      </c>
      <c r="E2253" t="s">
        <v>143</v>
      </c>
      <c r="F2253">
        <v>2565.5300000000002</v>
      </c>
      <c r="J2253" s="18"/>
      <c r="K2253" s="18"/>
      <c r="L2253" s="18"/>
      <c r="M2253" s="18"/>
    </row>
    <row r="2254" spans="3:13">
      <c r="C2254" t="s">
        <v>123</v>
      </c>
      <c r="D2254">
        <v>2050</v>
      </c>
      <c r="E2254" t="s">
        <v>144</v>
      </c>
      <c r="F2254">
        <v>2.0299999999999998</v>
      </c>
      <c r="J2254" s="18"/>
      <c r="K2254" s="18"/>
      <c r="L2254" s="18"/>
      <c r="M2254" s="18"/>
    </row>
    <row r="2255" spans="3:13">
      <c r="C2255" t="s">
        <v>50</v>
      </c>
      <c r="D2255">
        <v>2010</v>
      </c>
      <c r="E2255" t="s">
        <v>141</v>
      </c>
      <c r="F2255">
        <v>142.62</v>
      </c>
      <c r="J2255" s="18"/>
      <c r="K2255" s="18"/>
      <c r="L2255" s="18"/>
      <c r="M2255" s="18"/>
    </row>
    <row r="2256" spans="3:13">
      <c r="C2256" t="s">
        <v>50</v>
      </c>
      <c r="D2256">
        <v>2010</v>
      </c>
      <c r="E2256" t="s">
        <v>142</v>
      </c>
      <c r="F2256">
        <v>719.17</v>
      </c>
      <c r="J2256" s="18"/>
      <c r="K2256" s="18"/>
      <c r="L2256" s="18"/>
      <c r="M2256" s="18"/>
    </row>
    <row r="2257" spans="3:13">
      <c r="C2257" t="s">
        <v>50</v>
      </c>
      <c r="D2257">
        <v>2010</v>
      </c>
      <c r="E2257" t="s">
        <v>143</v>
      </c>
      <c r="F2257">
        <v>278.64999999999998</v>
      </c>
      <c r="J2257" s="18"/>
      <c r="K2257" s="18"/>
      <c r="L2257" s="18"/>
      <c r="M2257" s="18"/>
    </row>
    <row r="2258" spans="3:13">
      <c r="C2258" t="s">
        <v>50</v>
      </c>
      <c r="D2258">
        <v>2010</v>
      </c>
      <c r="E2258" t="s">
        <v>144</v>
      </c>
      <c r="F2258">
        <v>7.76</v>
      </c>
      <c r="J2258" s="18"/>
      <c r="K2258" s="18"/>
      <c r="L2258" s="18"/>
      <c r="M2258" s="18"/>
    </row>
    <row r="2259" spans="3:13">
      <c r="C2259" t="s">
        <v>50</v>
      </c>
      <c r="D2259">
        <v>2011</v>
      </c>
      <c r="E2259" t="s">
        <v>141</v>
      </c>
      <c r="F2259">
        <v>145.75</v>
      </c>
      <c r="J2259" s="18"/>
      <c r="K2259" s="18"/>
      <c r="L2259" s="18"/>
      <c r="M2259" s="18"/>
    </row>
    <row r="2260" spans="3:13">
      <c r="C2260" t="s">
        <v>50</v>
      </c>
      <c r="D2260">
        <v>2011</v>
      </c>
      <c r="E2260" t="s">
        <v>142</v>
      </c>
      <c r="F2260">
        <v>813.86</v>
      </c>
      <c r="J2260" s="18"/>
      <c r="K2260" s="18"/>
      <c r="L2260" s="18"/>
      <c r="M2260" s="18"/>
    </row>
    <row r="2261" spans="3:13">
      <c r="C2261" t="s">
        <v>50</v>
      </c>
      <c r="D2261">
        <v>2011</v>
      </c>
      <c r="E2261" t="s">
        <v>143</v>
      </c>
      <c r="F2261">
        <v>288.27</v>
      </c>
      <c r="J2261" s="18"/>
      <c r="K2261" s="18"/>
      <c r="L2261" s="18"/>
      <c r="M2261" s="18"/>
    </row>
    <row r="2262" spans="3:13">
      <c r="C2262" t="s">
        <v>50</v>
      </c>
      <c r="D2262">
        <v>2011</v>
      </c>
      <c r="E2262" t="s">
        <v>144</v>
      </c>
      <c r="F2262">
        <v>7.49</v>
      </c>
      <c r="J2262" s="18"/>
      <c r="K2262" s="18"/>
      <c r="L2262" s="18"/>
      <c r="M2262" s="18"/>
    </row>
    <row r="2263" spans="3:13">
      <c r="C2263" t="s">
        <v>50</v>
      </c>
      <c r="D2263">
        <v>2012</v>
      </c>
      <c r="E2263" t="s">
        <v>141</v>
      </c>
      <c r="F2263">
        <v>148.02000000000001</v>
      </c>
      <c r="J2263" s="18"/>
      <c r="K2263" s="18"/>
      <c r="L2263" s="18"/>
      <c r="M2263" s="18"/>
    </row>
    <row r="2264" spans="3:13">
      <c r="C2264" t="s">
        <v>50</v>
      </c>
      <c r="D2264">
        <v>2012</v>
      </c>
      <c r="E2264" t="s">
        <v>142</v>
      </c>
      <c r="F2264">
        <v>851.93</v>
      </c>
      <c r="J2264" s="18"/>
      <c r="K2264" s="18"/>
      <c r="L2264" s="18"/>
      <c r="M2264" s="18"/>
    </row>
    <row r="2265" spans="3:13">
      <c r="C2265" t="s">
        <v>50</v>
      </c>
      <c r="D2265">
        <v>2012</v>
      </c>
      <c r="E2265" t="s">
        <v>143</v>
      </c>
      <c r="F2265">
        <v>291.29000000000002</v>
      </c>
      <c r="J2265" s="18"/>
      <c r="K2265" s="18"/>
      <c r="L2265" s="18"/>
      <c r="M2265" s="18"/>
    </row>
    <row r="2266" spans="3:13">
      <c r="C2266" t="s">
        <v>50</v>
      </c>
      <c r="D2266">
        <v>2012</v>
      </c>
      <c r="E2266" t="s">
        <v>144</v>
      </c>
      <c r="F2266">
        <v>7.63</v>
      </c>
      <c r="J2266" s="18"/>
      <c r="K2266" s="18"/>
      <c r="L2266" s="18"/>
      <c r="M2266" s="18"/>
    </row>
    <row r="2267" spans="3:13">
      <c r="C2267" t="s">
        <v>50</v>
      </c>
      <c r="D2267">
        <v>2013</v>
      </c>
      <c r="E2267" t="s">
        <v>141</v>
      </c>
      <c r="F2267">
        <v>167.59</v>
      </c>
      <c r="J2267" s="18"/>
      <c r="K2267" s="18"/>
      <c r="L2267" s="18"/>
      <c r="M2267" s="18"/>
    </row>
    <row r="2268" spans="3:13">
      <c r="C2268" t="s">
        <v>50</v>
      </c>
      <c r="D2268">
        <v>2013</v>
      </c>
      <c r="E2268" t="s">
        <v>142</v>
      </c>
      <c r="F2268">
        <v>815.08</v>
      </c>
      <c r="J2268" s="18"/>
      <c r="K2268" s="18"/>
      <c r="L2268" s="18"/>
      <c r="M2268" s="18"/>
    </row>
    <row r="2269" spans="3:13">
      <c r="C2269" t="s">
        <v>50</v>
      </c>
      <c r="D2269">
        <v>2013</v>
      </c>
      <c r="E2269" t="s">
        <v>143</v>
      </c>
      <c r="F2269">
        <v>312.48</v>
      </c>
      <c r="J2269" s="18"/>
      <c r="K2269" s="18"/>
      <c r="L2269" s="18"/>
      <c r="M2269" s="18"/>
    </row>
    <row r="2270" spans="3:13">
      <c r="C2270" t="s">
        <v>50</v>
      </c>
      <c r="D2270">
        <v>2013</v>
      </c>
      <c r="E2270" t="s">
        <v>144</v>
      </c>
      <c r="F2270">
        <v>8.2200000000000006</v>
      </c>
      <c r="J2270" s="18"/>
      <c r="K2270" s="18"/>
      <c r="L2270" s="18"/>
      <c r="M2270" s="18"/>
    </row>
    <row r="2271" spans="3:13">
      <c r="C2271" t="s">
        <v>50</v>
      </c>
      <c r="D2271">
        <v>2014</v>
      </c>
      <c r="E2271" t="s">
        <v>141</v>
      </c>
      <c r="F2271">
        <v>168.31</v>
      </c>
      <c r="J2271" s="18"/>
      <c r="K2271" s="18"/>
      <c r="L2271" s="18"/>
      <c r="M2271" s="18"/>
    </row>
    <row r="2272" spans="3:13">
      <c r="C2272" t="s">
        <v>50</v>
      </c>
      <c r="D2272">
        <v>2014</v>
      </c>
      <c r="E2272" t="s">
        <v>142</v>
      </c>
      <c r="F2272">
        <v>805.24</v>
      </c>
      <c r="J2272" s="18"/>
      <c r="K2272" s="18"/>
      <c r="L2272" s="18"/>
      <c r="M2272" s="18"/>
    </row>
    <row r="2273" spans="3:13">
      <c r="C2273" t="s">
        <v>50</v>
      </c>
      <c r="D2273">
        <v>2014</v>
      </c>
      <c r="E2273" t="s">
        <v>143</v>
      </c>
      <c r="F2273">
        <v>319.97000000000003</v>
      </c>
      <c r="J2273" s="18"/>
      <c r="K2273" s="18"/>
      <c r="L2273" s="18"/>
      <c r="M2273" s="18"/>
    </row>
    <row r="2274" spans="3:13">
      <c r="C2274" t="s">
        <v>50</v>
      </c>
      <c r="D2274">
        <v>2014</v>
      </c>
      <c r="E2274" t="s">
        <v>144</v>
      </c>
      <c r="F2274">
        <v>10.15</v>
      </c>
      <c r="J2274" s="18"/>
      <c r="K2274" s="18"/>
      <c r="L2274" s="18"/>
      <c r="M2274" s="18"/>
    </row>
    <row r="2275" spans="3:13">
      <c r="C2275" t="s">
        <v>50</v>
      </c>
      <c r="D2275">
        <v>2015</v>
      </c>
      <c r="E2275" t="s">
        <v>141</v>
      </c>
      <c r="F2275">
        <v>184.15</v>
      </c>
      <c r="J2275" s="18"/>
      <c r="K2275" s="18"/>
      <c r="L2275" s="18"/>
      <c r="M2275" s="18"/>
    </row>
    <row r="2276" spans="3:13">
      <c r="C2276" t="s">
        <v>50</v>
      </c>
      <c r="D2276">
        <v>2015</v>
      </c>
      <c r="E2276" t="s">
        <v>142</v>
      </c>
      <c r="F2276">
        <v>825.83</v>
      </c>
      <c r="J2276" s="18"/>
      <c r="K2276" s="18"/>
      <c r="L2276" s="18"/>
      <c r="M2276" s="18"/>
    </row>
    <row r="2277" spans="3:13">
      <c r="C2277" t="s">
        <v>50</v>
      </c>
      <c r="D2277">
        <v>2015</v>
      </c>
      <c r="E2277" t="s">
        <v>143</v>
      </c>
      <c r="F2277">
        <v>350.67</v>
      </c>
      <c r="J2277" s="18"/>
      <c r="K2277" s="18"/>
      <c r="L2277" s="18"/>
      <c r="M2277" s="18"/>
    </row>
    <row r="2278" spans="3:13">
      <c r="C2278" t="s">
        <v>50</v>
      </c>
      <c r="D2278">
        <v>2015</v>
      </c>
      <c r="E2278" t="s">
        <v>144</v>
      </c>
      <c r="F2278">
        <v>11.5</v>
      </c>
      <c r="J2278" s="18"/>
      <c r="K2278" s="18"/>
      <c r="L2278" s="18"/>
      <c r="M2278" s="18"/>
    </row>
    <row r="2279" spans="3:13">
      <c r="C2279" t="s">
        <v>50</v>
      </c>
      <c r="D2279">
        <v>2016</v>
      </c>
      <c r="E2279" t="s">
        <v>141</v>
      </c>
      <c r="F2279">
        <v>186.23</v>
      </c>
      <c r="J2279" s="18"/>
      <c r="K2279" s="18"/>
      <c r="L2279" s="18"/>
      <c r="M2279" s="18"/>
    </row>
    <row r="2280" spans="3:13">
      <c r="C2280" t="s">
        <v>50</v>
      </c>
      <c r="D2280">
        <v>2016</v>
      </c>
      <c r="E2280" t="s">
        <v>142</v>
      </c>
      <c r="F2280">
        <v>854.68</v>
      </c>
      <c r="J2280" s="18"/>
      <c r="K2280" s="18"/>
      <c r="L2280" s="18"/>
      <c r="M2280" s="18"/>
    </row>
    <row r="2281" spans="3:13">
      <c r="C2281" t="s">
        <v>50</v>
      </c>
      <c r="D2281">
        <v>2016</v>
      </c>
      <c r="E2281" t="s">
        <v>143</v>
      </c>
      <c r="F2281">
        <v>376.63</v>
      </c>
      <c r="J2281" s="18"/>
      <c r="K2281" s="18"/>
      <c r="L2281" s="18"/>
      <c r="M2281" s="18"/>
    </row>
    <row r="2282" spans="3:13">
      <c r="C2282" t="s">
        <v>50</v>
      </c>
      <c r="D2282">
        <v>2016</v>
      </c>
      <c r="E2282" t="s">
        <v>144</v>
      </c>
      <c r="F2282">
        <v>11.05</v>
      </c>
      <c r="J2282" s="18"/>
      <c r="K2282" s="18"/>
      <c r="L2282" s="18"/>
      <c r="M2282" s="18"/>
    </row>
    <row r="2283" spans="3:13">
      <c r="C2283" t="s">
        <v>50</v>
      </c>
      <c r="D2283">
        <v>2017</v>
      </c>
      <c r="E2283" t="s">
        <v>141</v>
      </c>
      <c r="F2283">
        <v>199.46</v>
      </c>
      <c r="J2283" s="18"/>
      <c r="K2283" s="18"/>
      <c r="L2283" s="18"/>
      <c r="M2283" s="18"/>
    </row>
    <row r="2284" spans="3:13">
      <c r="C2284" t="s">
        <v>50</v>
      </c>
      <c r="D2284">
        <v>2017</v>
      </c>
      <c r="E2284" t="s">
        <v>142</v>
      </c>
      <c r="F2284">
        <v>831.28</v>
      </c>
      <c r="J2284" s="18"/>
      <c r="K2284" s="18"/>
      <c r="L2284" s="18"/>
      <c r="M2284" s="18"/>
    </row>
    <row r="2285" spans="3:13">
      <c r="C2285" t="s">
        <v>50</v>
      </c>
      <c r="D2285">
        <v>2017</v>
      </c>
      <c r="E2285" t="s">
        <v>143</v>
      </c>
      <c r="F2285">
        <v>392</v>
      </c>
      <c r="J2285" s="18"/>
      <c r="K2285" s="18"/>
      <c r="L2285" s="18"/>
      <c r="M2285" s="18"/>
    </row>
    <row r="2286" spans="3:13">
      <c r="C2286" t="s">
        <v>50</v>
      </c>
      <c r="D2286">
        <v>2017</v>
      </c>
      <c r="E2286" t="s">
        <v>144</v>
      </c>
      <c r="F2286">
        <v>11.19</v>
      </c>
      <c r="J2286" s="18"/>
      <c r="K2286" s="18"/>
      <c r="L2286" s="18"/>
      <c r="M2286" s="18"/>
    </row>
    <row r="2287" spans="3:13">
      <c r="C2287" t="s">
        <v>50</v>
      </c>
      <c r="D2287">
        <v>2018</v>
      </c>
      <c r="E2287" t="s">
        <v>141</v>
      </c>
      <c r="F2287">
        <v>202.38</v>
      </c>
      <c r="J2287" s="18"/>
      <c r="K2287" s="18"/>
      <c r="L2287" s="18"/>
      <c r="M2287" s="18"/>
    </row>
    <row r="2288" spans="3:13">
      <c r="C2288" t="s">
        <v>50</v>
      </c>
      <c r="D2288">
        <v>2018</v>
      </c>
      <c r="E2288" t="s">
        <v>142</v>
      </c>
      <c r="F2288">
        <v>843.35</v>
      </c>
      <c r="J2288" s="18"/>
      <c r="K2288" s="18"/>
      <c r="L2288" s="18"/>
      <c r="M2288" s="18"/>
    </row>
    <row r="2289" spans="3:13">
      <c r="C2289" t="s">
        <v>50</v>
      </c>
      <c r="D2289">
        <v>2018</v>
      </c>
      <c r="E2289" t="s">
        <v>143</v>
      </c>
      <c r="F2289">
        <v>418</v>
      </c>
      <c r="J2289" s="18"/>
      <c r="K2289" s="18"/>
      <c r="L2289" s="18"/>
      <c r="M2289" s="18"/>
    </row>
    <row r="2290" spans="3:13">
      <c r="C2290" t="s">
        <v>50</v>
      </c>
      <c r="D2290">
        <v>2018</v>
      </c>
      <c r="E2290" t="s">
        <v>144</v>
      </c>
      <c r="F2290">
        <v>12.11</v>
      </c>
      <c r="J2290" s="18"/>
      <c r="K2290" s="18"/>
      <c r="L2290" s="18"/>
      <c r="M2290" s="18"/>
    </row>
    <row r="2291" spans="3:13">
      <c r="C2291" t="s">
        <v>50</v>
      </c>
      <c r="D2291">
        <v>2019</v>
      </c>
      <c r="E2291" t="s">
        <v>141</v>
      </c>
      <c r="F2291">
        <v>206.1</v>
      </c>
      <c r="J2291" s="18"/>
      <c r="K2291" s="18"/>
      <c r="L2291" s="18"/>
      <c r="M2291" s="18"/>
    </row>
    <row r="2292" spans="3:13">
      <c r="C2292" t="s">
        <v>50</v>
      </c>
      <c r="D2292">
        <v>2019</v>
      </c>
      <c r="E2292" t="s">
        <v>142</v>
      </c>
      <c r="F2292">
        <v>821.23</v>
      </c>
      <c r="J2292" s="18"/>
      <c r="K2292" s="18"/>
      <c r="L2292" s="18"/>
      <c r="M2292" s="18"/>
    </row>
    <row r="2293" spans="3:13">
      <c r="C2293" t="s">
        <v>50</v>
      </c>
      <c r="D2293">
        <v>2019</v>
      </c>
      <c r="E2293" t="s">
        <v>143</v>
      </c>
      <c r="F2293">
        <v>431.35</v>
      </c>
      <c r="J2293" s="18"/>
      <c r="K2293" s="18"/>
      <c r="L2293" s="18"/>
      <c r="M2293" s="18"/>
    </row>
    <row r="2294" spans="3:13">
      <c r="C2294" t="s">
        <v>50</v>
      </c>
      <c r="D2294">
        <v>2019</v>
      </c>
      <c r="E2294" t="s">
        <v>144</v>
      </c>
      <c r="F2294">
        <v>0.78</v>
      </c>
      <c r="J2294" s="18"/>
      <c r="K2294" s="18"/>
      <c r="L2294" s="18"/>
      <c r="M2294" s="18"/>
    </row>
    <row r="2295" spans="3:13">
      <c r="C2295" t="s">
        <v>50</v>
      </c>
      <c r="D2295">
        <v>2020</v>
      </c>
      <c r="E2295" t="s">
        <v>141</v>
      </c>
      <c r="F2295">
        <v>193.39</v>
      </c>
      <c r="J2295" s="18"/>
      <c r="K2295" s="18"/>
      <c r="L2295" s="18"/>
      <c r="M2295" s="18"/>
    </row>
    <row r="2296" spans="3:13">
      <c r="C2296" t="s">
        <v>50</v>
      </c>
      <c r="D2296">
        <v>2020</v>
      </c>
      <c r="E2296" t="s">
        <v>142</v>
      </c>
      <c r="F2296">
        <v>707</v>
      </c>
      <c r="J2296" s="18"/>
      <c r="K2296" s="18"/>
      <c r="L2296" s="18"/>
      <c r="M2296" s="18"/>
    </row>
    <row r="2297" spans="3:13">
      <c r="C2297" t="s">
        <v>50</v>
      </c>
      <c r="D2297">
        <v>2020</v>
      </c>
      <c r="E2297" t="s">
        <v>143</v>
      </c>
      <c r="F2297">
        <v>426.17</v>
      </c>
      <c r="J2297" s="18"/>
      <c r="K2297" s="18"/>
      <c r="L2297" s="18"/>
      <c r="M2297" s="18"/>
    </row>
    <row r="2298" spans="3:13">
      <c r="C2298" t="s">
        <v>50</v>
      </c>
      <c r="D2298">
        <v>2020</v>
      </c>
      <c r="E2298" t="s">
        <v>144</v>
      </c>
      <c r="F2298">
        <v>0.44</v>
      </c>
      <c r="J2298" s="18"/>
      <c r="K2298" s="18"/>
      <c r="L2298" s="18"/>
      <c r="M2298" s="18"/>
    </row>
    <row r="2299" spans="3:13">
      <c r="C2299" t="s">
        <v>50</v>
      </c>
      <c r="D2299">
        <v>2021</v>
      </c>
      <c r="E2299" t="s">
        <v>141</v>
      </c>
      <c r="F2299">
        <v>205.63</v>
      </c>
      <c r="J2299" s="18"/>
      <c r="K2299" s="18"/>
      <c r="L2299" s="18"/>
      <c r="M2299" s="18"/>
    </row>
    <row r="2300" spans="3:13">
      <c r="C2300" t="s">
        <v>50</v>
      </c>
      <c r="D2300">
        <v>2021</v>
      </c>
      <c r="E2300" t="s">
        <v>142</v>
      </c>
      <c r="F2300">
        <v>768.21</v>
      </c>
      <c r="J2300" s="18"/>
      <c r="K2300" s="18"/>
      <c r="L2300" s="18"/>
      <c r="M2300" s="18"/>
    </row>
    <row r="2301" spans="3:13">
      <c r="C2301" t="s">
        <v>50</v>
      </c>
      <c r="D2301">
        <v>2021</v>
      </c>
      <c r="E2301" t="s">
        <v>143</v>
      </c>
      <c r="F2301">
        <v>428.85</v>
      </c>
      <c r="J2301" s="18"/>
      <c r="K2301" s="18"/>
      <c r="L2301" s="18"/>
      <c r="M2301" s="18"/>
    </row>
    <row r="2302" spans="3:13">
      <c r="C2302" t="s">
        <v>50</v>
      </c>
      <c r="D2302">
        <v>2021</v>
      </c>
      <c r="E2302" t="s">
        <v>144</v>
      </c>
      <c r="F2302">
        <v>0.56999999999999995</v>
      </c>
      <c r="J2302" s="18"/>
      <c r="K2302" s="18"/>
      <c r="L2302" s="18"/>
      <c r="M2302" s="18"/>
    </row>
    <row r="2303" spans="3:13">
      <c r="C2303" t="s">
        <v>50</v>
      </c>
      <c r="D2303">
        <v>2022</v>
      </c>
      <c r="E2303" t="s">
        <v>141</v>
      </c>
      <c r="F2303">
        <v>213.97</v>
      </c>
      <c r="J2303" s="18"/>
      <c r="K2303" s="18"/>
      <c r="L2303" s="18"/>
      <c r="M2303" s="18"/>
    </row>
    <row r="2304" spans="3:13">
      <c r="C2304" t="s">
        <v>50</v>
      </c>
      <c r="D2304">
        <v>2022</v>
      </c>
      <c r="E2304" t="s">
        <v>142</v>
      </c>
      <c r="F2304">
        <v>791.77</v>
      </c>
      <c r="J2304" s="18"/>
      <c r="K2304" s="18"/>
      <c r="L2304" s="18"/>
      <c r="M2304" s="18"/>
    </row>
    <row r="2305" spans="3:13">
      <c r="C2305" t="s">
        <v>50</v>
      </c>
      <c r="D2305">
        <v>2022</v>
      </c>
      <c r="E2305" t="s">
        <v>143</v>
      </c>
      <c r="F2305">
        <v>435.91</v>
      </c>
      <c r="J2305" s="18"/>
      <c r="K2305" s="18"/>
      <c r="L2305" s="18"/>
      <c r="M2305" s="18"/>
    </row>
    <row r="2306" spans="3:13">
      <c r="C2306" t="s">
        <v>50</v>
      </c>
      <c r="D2306">
        <v>2022</v>
      </c>
      <c r="E2306" t="s">
        <v>144</v>
      </c>
      <c r="F2306">
        <v>0.65</v>
      </c>
      <c r="J2306" s="18"/>
      <c r="K2306" s="18"/>
      <c r="L2306" s="18"/>
      <c r="M2306" s="18"/>
    </row>
    <row r="2307" spans="3:13">
      <c r="C2307" t="s">
        <v>50</v>
      </c>
      <c r="D2307">
        <v>2023</v>
      </c>
      <c r="E2307" t="s">
        <v>141</v>
      </c>
      <c r="F2307">
        <v>220.59</v>
      </c>
      <c r="J2307" s="18"/>
      <c r="K2307" s="18"/>
      <c r="L2307" s="18"/>
      <c r="M2307" s="18"/>
    </row>
    <row r="2308" spans="3:13">
      <c r="C2308" t="s">
        <v>50</v>
      </c>
      <c r="D2308">
        <v>2023</v>
      </c>
      <c r="E2308" t="s">
        <v>142</v>
      </c>
      <c r="F2308">
        <v>812</v>
      </c>
      <c r="J2308" s="18"/>
      <c r="K2308" s="18"/>
      <c r="L2308" s="18"/>
      <c r="M2308" s="18"/>
    </row>
    <row r="2309" spans="3:13">
      <c r="C2309" t="s">
        <v>50</v>
      </c>
      <c r="D2309">
        <v>2023</v>
      </c>
      <c r="E2309" t="s">
        <v>143</v>
      </c>
      <c r="F2309">
        <v>443.55</v>
      </c>
      <c r="J2309" s="18"/>
      <c r="K2309" s="18"/>
      <c r="L2309" s="18"/>
      <c r="M2309" s="18"/>
    </row>
    <row r="2310" spans="3:13">
      <c r="C2310" t="s">
        <v>50</v>
      </c>
      <c r="D2310">
        <v>2023</v>
      </c>
      <c r="E2310" t="s">
        <v>144</v>
      </c>
      <c r="F2310">
        <v>0.8</v>
      </c>
      <c r="J2310" s="18"/>
      <c r="K2310" s="18"/>
      <c r="L2310" s="18"/>
      <c r="M2310" s="18"/>
    </row>
    <row r="2311" spans="3:13">
      <c r="C2311" t="s">
        <v>50</v>
      </c>
      <c r="D2311">
        <v>2024</v>
      </c>
      <c r="E2311" t="s">
        <v>141</v>
      </c>
      <c r="F2311">
        <v>226.26</v>
      </c>
      <c r="J2311" s="18"/>
      <c r="K2311" s="18"/>
      <c r="L2311" s="18"/>
      <c r="M2311" s="18"/>
    </row>
    <row r="2312" spans="3:13">
      <c r="C2312" t="s">
        <v>50</v>
      </c>
      <c r="D2312">
        <v>2024</v>
      </c>
      <c r="E2312" t="s">
        <v>142</v>
      </c>
      <c r="F2312">
        <v>827.54</v>
      </c>
      <c r="J2312" s="18"/>
      <c r="K2312" s="18"/>
      <c r="L2312" s="18"/>
      <c r="M2312" s="18"/>
    </row>
    <row r="2313" spans="3:13">
      <c r="C2313" t="s">
        <v>50</v>
      </c>
      <c r="D2313">
        <v>2024</v>
      </c>
      <c r="E2313" t="s">
        <v>143</v>
      </c>
      <c r="F2313">
        <v>450.31</v>
      </c>
      <c r="J2313" s="18"/>
      <c r="K2313" s="18"/>
      <c r="L2313" s="18"/>
      <c r="M2313" s="18"/>
    </row>
    <row r="2314" spans="3:13">
      <c r="C2314" t="s">
        <v>50</v>
      </c>
      <c r="D2314">
        <v>2024</v>
      </c>
      <c r="E2314" t="s">
        <v>144</v>
      </c>
      <c r="F2314">
        <v>0.89</v>
      </c>
      <c r="J2314" s="18"/>
      <c r="K2314" s="18"/>
      <c r="L2314" s="18"/>
      <c r="M2314" s="18"/>
    </row>
    <row r="2315" spans="3:13">
      <c r="C2315" t="s">
        <v>50</v>
      </c>
      <c r="D2315">
        <v>2025</v>
      </c>
      <c r="E2315" t="s">
        <v>141</v>
      </c>
      <c r="F2315">
        <v>231.99</v>
      </c>
      <c r="J2315" s="18"/>
      <c r="K2315" s="18"/>
      <c r="L2315" s="18"/>
      <c r="M2315" s="18"/>
    </row>
    <row r="2316" spans="3:13">
      <c r="C2316" t="s">
        <v>50</v>
      </c>
      <c r="D2316">
        <v>2025</v>
      </c>
      <c r="E2316" t="s">
        <v>142</v>
      </c>
      <c r="F2316">
        <v>842.65</v>
      </c>
      <c r="J2316" s="18"/>
      <c r="K2316" s="18"/>
      <c r="L2316" s="18"/>
      <c r="M2316" s="18"/>
    </row>
    <row r="2317" spans="3:13">
      <c r="C2317" t="s">
        <v>50</v>
      </c>
      <c r="D2317">
        <v>2025</v>
      </c>
      <c r="E2317" t="s">
        <v>143</v>
      </c>
      <c r="F2317">
        <v>457.24</v>
      </c>
      <c r="J2317" s="18"/>
      <c r="K2317" s="18"/>
      <c r="L2317" s="18"/>
      <c r="M2317" s="18"/>
    </row>
    <row r="2318" spans="3:13">
      <c r="C2318" t="s">
        <v>50</v>
      </c>
      <c r="D2318">
        <v>2025</v>
      </c>
      <c r="E2318" t="s">
        <v>144</v>
      </c>
      <c r="F2318">
        <v>0.99</v>
      </c>
      <c r="J2318" s="18"/>
      <c r="K2318" s="18"/>
      <c r="L2318" s="18"/>
      <c r="M2318" s="18"/>
    </row>
    <row r="2319" spans="3:13">
      <c r="C2319" t="s">
        <v>50</v>
      </c>
      <c r="D2319">
        <v>2026</v>
      </c>
      <c r="E2319" t="s">
        <v>141</v>
      </c>
      <c r="F2319">
        <v>238.83</v>
      </c>
      <c r="J2319" s="18"/>
      <c r="K2319" s="18"/>
      <c r="L2319" s="18"/>
      <c r="M2319" s="18"/>
    </row>
    <row r="2320" spans="3:13">
      <c r="C2320" t="s">
        <v>50</v>
      </c>
      <c r="D2320">
        <v>2026</v>
      </c>
      <c r="E2320" t="s">
        <v>142</v>
      </c>
      <c r="F2320">
        <v>857.91</v>
      </c>
      <c r="J2320" s="18"/>
      <c r="K2320" s="18"/>
      <c r="L2320" s="18"/>
      <c r="M2320" s="18"/>
    </row>
    <row r="2321" spans="3:13">
      <c r="C2321" t="s">
        <v>50</v>
      </c>
      <c r="D2321">
        <v>2026</v>
      </c>
      <c r="E2321" t="s">
        <v>143</v>
      </c>
      <c r="F2321">
        <v>467.17</v>
      </c>
      <c r="J2321" s="18"/>
      <c r="K2321" s="18"/>
      <c r="L2321" s="18"/>
      <c r="M2321" s="18"/>
    </row>
    <row r="2322" spans="3:13">
      <c r="C2322" t="s">
        <v>50</v>
      </c>
      <c r="D2322">
        <v>2026</v>
      </c>
      <c r="E2322" t="s">
        <v>144</v>
      </c>
      <c r="F2322">
        <v>1.1599999999999999</v>
      </c>
      <c r="J2322" s="18"/>
      <c r="K2322" s="18"/>
      <c r="L2322" s="18"/>
      <c r="M2322" s="18"/>
    </row>
    <row r="2323" spans="3:13">
      <c r="C2323" t="s">
        <v>50</v>
      </c>
      <c r="D2323">
        <v>2027</v>
      </c>
      <c r="E2323" t="s">
        <v>141</v>
      </c>
      <c r="F2323">
        <v>245.59</v>
      </c>
      <c r="J2323" s="18"/>
      <c r="K2323" s="18"/>
      <c r="L2323" s="18"/>
      <c r="M2323" s="18"/>
    </row>
    <row r="2324" spans="3:13">
      <c r="C2324" t="s">
        <v>50</v>
      </c>
      <c r="D2324">
        <v>2027</v>
      </c>
      <c r="E2324" t="s">
        <v>142</v>
      </c>
      <c r="F2324">
        <v>872.46</v>
      </c>
      <c r="J2324" s="18"/>
      <c r="K2324" s="18"/>
      <c r="L2324" s="18"/>
      <c r="M2324" s="18"/>
    </row>
    <row r="2325" spans="3:13">
      <c r="C2325" t="s">
        <v>50</v>
      </c>
      <c r="D2325">
        <v>2027</v>
      </c>
      <c r="E2325" t="s">
        <v>143</v>
      </c>
      <c r="F2325">
        <v>477.39</v>
      </c>
      <c r="J2325" s="18"/>
      <c r="K2325" s="18"/>
      <c r="L2325" s="18"/>
      <c r="M2325" s="18"/>
    </row>
    <row r="2326" spans="3:13">
      <c r="C2326" t="s">
        <v>50</v>
      </c>
      <c r="D2326">
        <v>2027</v>
      </c>
      <c r="E2326" t="s">
        <v>144</v>
      </c>
      <c r="F2326">
        <v>1.34</v>
      </c>
      <c r="J2326" s="18"/>
      <c r="K2326" s="18"/>
      <c r="L2326" s="18"/>
      <c r="M2326" s="18"/>
    </row>
    <row r="2327" spans="3:13">
      <c r="C2327" t="s">
        <v>50</v>
      </c>
      <c r="D2327">
        <v>2028</v>
      </c>
      <c r="E2327" t="s">
        <v>141</v>
      </c>
      <c r="F2327">
        <v>252.44</v>
      </c>
      <c r="J2327" s="18"/>
      <c r="K2327" s="18"/>
      <c r="L2327" s="18"/>
      <c r="M2327" s="18"/>
    </row>
    <row r="2328" spans="3:13">
      <c r="C2328" t="s">
        <v>50</v>
      </c>
      <c r="D2328">
        <v>2028</v>
      </c>
      <c r="E2328" t="s">
        <v>142</v>
      </c>
      <c r="F2328">
        <v>885.95</v>
      </c>
      <c r="J2328" s="18"/>
      <c r="K2328" s="18"/>
      <c r="L2328" s="18"/>
      <c r="M2328" s="18"/>
    </row>
    <row r="2329" spans="3:13">
      <c r="C2329" t="s">
        <v>50</v>
      </c>
      <c r="D2329">
        <v>2028</v>
      </c>
      <c r="E2329" t="s">
        <v>143</v>
      </c>
      <c r="F2329">
        <v>487.81</v>
      </c>
      <c r="J2329" s="18"/>
      <c r="K2329" s="18"/>
      <c r="L2329" s="18"/>
      <c r="M2329" s="18"/>
    </row>
    <row r="2330" spans="3:13">
      <c r="C2330" t="s">
        <v>50</v>
      </c>
      <c r="D2330">
        <v>2028</v>
      </c>
      <c r="E2330" t="s">
        <v>144</v>
      </c>
      <c r="F2330">
        <v>1.54</v>
      </c>
      <c r="J2330" s="18"/>
      <c r="K2330" s="18"/>
      <c r="L2330" s="18"/>
      <c r="M2330" s="18"/>
    </row>
    <row r="2331" spans="3:13">
      <c r="C2331" t="s">
        <v>50</v>
      </c>
      <c r="D2331">
        <v>2029</v>
      </c>
      <c r="E2331" t="s">
        <v>141</v>
      </c>
      <c r="F2331">
        <v>259.45</v>
      </c>
      <c r="J2331" s="18"/>
      <c r="K2331" s="18"/>
      <c r="L2331" s="18"/>
      <c r="M2331" s="18"/>
    </row>
    <row r="2332" spans="3:13">
      <c r="C2332" t="s">
        <v>50</v>
      </c>
      <c r="D2332">
        <v>2029</v>
      </c>
      <c r="E2332" t="s">
        <v>142</v>
      </c>
      <c r="F2332">
        <v>898.74</v>
      </c>
      <c r="J2332" s="18"/>
      <c r="K2332" s="18"/>
      <c r="L2332" s="18"/>
      <c r="M2332" s="18"/>
    </row>
    <row r="2333" spans="3:13">
      <c r="C2333" t="s">
        <v>50</v>
      </c>
      <c r="D2333">
        <v>2029</v>
      </c>
      <c r="E2333" t="s">
        <v>143</v>
      </c>
      <c r="F2333">
        <v>498.63</v>
      </c>
      <c r="J2333" s="18"/>
      <c r="K2333" s="18"/>
      <c r="L2333" s="18"/>
      <c r="M2333" s="18"/>
    </row>
    <row r="2334" spans="3:13">
      <c r="C2334" t="s">
        <v>50</v>
      </c>
      <c r="D2334">
        <v>2029</v>
      </c>
      <c r="E2334" t="s">
        <v>144</v>
      </c>
      <c r="F2334">
        <v>1.77</v>
      </c>
      <c r="J2334" s="18"/>
      <c r="K2334" s="18"/>
      <c r="L2334" s="18"/>
      <c r="M2334" s="18"/>
    </row>
    <row r="2335" spans="3:13">
      <c r="C2335" t="s">
        <v>50</v>
      </c>
      <c r="D2335">
        <v>2030</v>
      </c>
      <c r="E2335" t="s">
        <v>141</v>
      </c>
      <c r="F2335">
        <v>266.69</v>
      </c>
      <c r="J2335" s="18"/>
      <c r="K2335" s="18"/>
      <c r="L2335" s="18"/>
      <c r="M2335" s="18"/>
    </row>
    <row r="2336" spans="3:13">
      <c r="C2336" t="s">
        <v>50</v>
      </c>
      <c r="D2336">
        <v>2030</v>
      </c>
      <c r="E2336" t="s">
        <v>142</v>
      </c>
      <c r="F2336">
        <v>913.1</v>
      </c>
      <c r="J2336" s="18"/>
      <c r="K2336" s="18"/>
      <c r="L2336" s="18"/>
      <c r="M2336" s="18"/>
    </row>
    <row r="2337" spans="3:13">
      <c r="C2337" t="s">
        <v>50</v>
      </c>
      <c r="D2337">
        <v>2030</v>
      </c>
      <c r="E2337" t="s">
        <v>143</v>
      </c>
      <c r="F2337">
        <v>509.94</v>
      </c>
      <c r="J2337" s="18"/>
      <c r="K2337" s="18"/>
      <c r="L2337" s="18"/>
      <c r="M2337" s="18"/>
    </row>
    <row r="2338" spans="3:13">
      <c r="C2338" t="s">
        <v>50</v>
      </c>
      <c r="D2338">
        <v>2030</v>
      </c>
      <c r="E2338" t="s">
        <v>144</v>
      </c>
      <c r="F2338">
        <v>2.0499999999999998</v>
      </c>
      <c r="J2338" s="18"/>
      <c r="K2338" s="18"/>
      <c r="L2338" s="18"/>
      <c r="M2338" s="18"/>
    </row>
    <row r="2339" spans="3:13">
      <c r="C2339" t="s">
        <v>50</v>
      </c>
      <c r="D2339">
        <v>2031</v>
      </c>
      <c r="E2339" t="s">
        <v>141</v>
      </c>
      <c r="F2339">
        <v>274.01</v>
      </c>
      <c r="J2339" s="18"/>
      <c r="K2339" s="18"/>
      <c r="L2339" s="18"/>
      <c r="M2339" s="18"/>
    </row>
    <row r="2340" spans="3:13">
      <c r="C2340" t="s">
        <v>50</v>
      </c>
      <c r="D2340">
        <v>2031</v>
      </c>
      <c r="E2340" t="s">
        <v>142</v>
      </c>
      <c r="F2340">
        <v>929.05</v>
      </c>
      <c r="J2340" s="18"/>
      <c r="K2340" s="18"/>
      <c r="L2340" s="18"/>
      <c r="M2340" s="18"/>
    </row>
    <row r="2341" spans="3:13">
      <c r="C2341" t="s">
        <v>50</v>
      </c>
      <c r="D2341">
        <v>2031</v>
      </c>
      <c r="E2341" t="s">
        <v>143</v>
      </c>
      <c r="F2341">
        <v>520.77</v>
      </c>
      <c r="J2341" s="18"/>
      <c r="K2341" s="18"/>
      <c r="L2341" s="18"/>
      <c r="M2341" s="18"/>
    </row>
    <row r="2342" spans="3:13">
      <c r="C2342" t="s">
        <v>50</v>
      </c>
      <c r="D2342">
        <v>2031</v>
      </c>
      <c r="E2342" t="s">
        <v>144</v>
      </c>
      <c r="F2342">
        <v>2.4</v>
      </c>
      <c r="J2342" s="18"/>
      <c r="K2342" s="18"/>
      <c r="L2342" s="18"/>
      <c r="M2342" s="18"/>
    </row>
    <row r="2343" spans="3:13">
      <c r="C2343" t="s">
        <v>50</v>
      </c>
      <c r="D2343">
        <v>2032</v>
      </c>
      <c r="E2343" t="s">
        <v>141</v>
      </c>
      <c r="F2343">
        <v>281.62</v>
      </c>
      <c r="J2343" s="18"/>
      <c r="K2343" s="18"/>
      <c r="L2343" s="18"/>
      <c r="M2343" s="18"/>
    </row>
    <row r="2344" spans="3:13">
      <c r="C2344" t="s">
        <v>50</v>
      </c>
      <c r="D2344">
        <v>2032</v>
      </c>
      <c r="E2344" t="s">
        <v>142</v>
      </c>
      <c r="F2344">
        <v>944.55</v>
      </c>
      <c r="J2344" s="18"/>
      <c r="K2344" s="18"/>
      <c r="L2344" s="18"/>
      <c r="M2344" s="18"/>
    </row>
    <row r="2345" spans="3:13">
      <c r="C2345" t="s">
        <v>50</v>
      </c>
      <c r="D2345">
        <v>2032</v>
      </c>
      <c r="E2345" t="s">
        <v>143</v>
      </c>
      <c r="F2345">
        <v>531.70000000000005</v>
      </c>
      <c r="J2345" s="18"/>
      <c r="K2345" s="18"/>
      <c r="L2345" s="18"/>
      <c r="M2345" s="18"/>
    </row>
    <row r="2346" spans="3:13">
      <c r="C2346" t="s">
        <v>50</v>
      </c>
      <c r="D2346">
        <v>2032</v>
      </c>
      <c r="E2346" t="s">
        <v>144</v>
      </c>
      <c r="F2346">
        <v>2.83</v>
      </c>
      <c r="J2346" s="18"/>
      <c r="K2346" s="18"/>
      <c r="L2346" s="18"/>
      <c r="M2346" s="18"/>
    </row>
    <row r="2347" spans="3:13">
      <c r="C2347" t="s">
        <v>50</v>
      </c>
      <c r="D2347">
        <v>2033</v>
      </c>
      <c r="E2347" t="s">
        <v>141</v>
      </c>
      <c r="F2347">
        <v>289.35000000000002</v>
      </c>
      <c r="J2347" s="18"/>
      <c r="K2347" s="18"/>
      <c r="L2347" s="18"/>
      <c r="M2347" s="18"/>
    </row>
    <row r="2348" spans="3:13">
      <c r="C2348" t="s">
        <v>50</v>
      </c>
      <c r="D2348">
        <v>2033</v>
      </c>
      <c r="E2348" t="s">
        <v>142</v>
      </c>
      <c r="F2348">
        <v>961.55</v>
      </c>
      <c r="J2348" s="18"/>
      <c r="K2348" s="18"/>
      <c r="L2348" s="18"/>
      <c r="M2348" s="18"/>
    </row>
    <row r="2349" spans="3:13">
      <c r="C2349" t="s">
        <v>50</v>
      </c>
      <c r="D2349">
        <v>2033</v>
      </c>
      <c r="E2349" t="s">
        <v>143</v>
      </c>
      <c r="F2349">
        <v>543.03</v>
      </c>
      <c r="J2349" s="18"/>
      <c r="K2349" s="18"/>
      <c r="L2349" s="18"/>
      <c r="M2349" s="18"/>
    </row>
    <row r="2350" spans="3:13">
      <c r="C2350" t="s">
        <v>50</v>
      </c>
      <c r="D2350">
        <v>2033</v>
      </c>
      <c r="E2350" t="s">
        <v>144</v>
      </c>
      <c r="F2350">
        <v>3.43</v>
      </c>
      <c r="J2350" s="18"/>
      <c r="K2350" s="18"/>
      <c r="L2350" s="18"/>
      <c r="M2350" s="18"/>
    </row>
    <row r="2351" spans="3:13">
      <c r="C2351" t="s">
        <v>50</v>
      </c>
      <c r="D2351">
        <v>2034</v>
      </c>
      <c r="E2351" t="s">
        <v>141</v>
      </c>
      <c r="F2351">
        <v>297.31</v>
      </c>
      <c r="J2351" s="18"/>
      <c r="K2351" s="18"/>
      <c r="L2351" s="18"/>
      <c r="M2351" s="18"/>
    </row>
    <row r="2352" spans="3:13">
      <c r="C2352" t="s">
        <v>50</v>
      </c>
      <c r="D2352">
        <v>2034</v>
      </c>
      <c r="E2352" t="s">
        <v>142</v>
      </c>
      <c r="F2352">
        <v>976.6</v>
      </c>
      <c r="J2352" s="18"/>
      <c r="K2352" s="18"/>
      <c r="L2352" s="18"/>
      <c r="M2352" s="18"/>
    </row>
    <row r="2353" spans="3:13">
      <c r="C2353" t="s">
        <v>50</v>
      </c>
      <c r="D2353">
        <v>2034</v>
      </c>
      <c r="E2353" t="s">
        <v>143</v>
      </c>
      <c r="F2353">
        <v>554.67999999999995</v>
      </c>
      <c r="J2353" s="18"/>
      <c r="K2353" s="18"/>
      <c r="L2353" s="18"/>
      <c r="M2353" s="18"/>
    </row>
    <row r="2354" spans="3:13">
      <c r="C2354" t="s">
        <v>50</v>
      </c>
      <c r="D2354">
        <v>2034</v>
      </c>
      <c r="E2354" t="s">
        <v>144</v>
      </c>
      <c r="F2354">
        <v>4.13</v>
      </c>
      <c r="J2354" s="18"/>
      <c r="K2354" s="18"/>
      <c r="L2354" s="18"/>
      <c r="M2354" s="18"/>
    </row>
    <row r="2355" spans="3:13">
      <c r="C2355" t="s">
        <v>50</v>
      </c>
      <c r="D2355">
        <v>2035</v>
      </c>
      <c r="E2355" t="s">
        <v>141</v>
      </c>
      <c r="F2355">
        <v>305.37</v>
      </c>
      <c r="J2355" s="18"/>
      <c r="K2355" s="18"/>
      <c r="L2355" s="18"/>
      <c r="M2355" s="18"/>
    </row>
    <row r="2356" spans="3:13">
      <c r="C2356" t="s">
        <v>50</v>
      </c>
      <c r="D2356">
        <v>2035</v>
      </c>
      <c r="E2356" t="s">
        <v>142</v>
      </c>
      <c r="F2356">
        <v>994.88</v>
      </c>
      <c r="J2356" s="18"/>
      <c r="K2356" s="18"/>
      <c r="L2356" s="18"/>
      <c r="M2356" s="18"/>
    </row>
    <row r="2357" spans="3:13">
      <c r="C2357" t="s">
        <v>50</v>
      </c>
      <c r="D2357">
        <v>2035</v>
      </c>
      <c r="E2357" t="s">
        <v>143</v>
      </c>
      <c r="F2357">
        <v>566.54</v>
      </c>
      <c r="J2357" s="18"/>
      <c r="K2357" s="18"/>
      <c r="L2357" s="18"/>
      <c r="M2357" s="18"/>
    </row>
    <row r="2358" spans="3:13">
      <c r="C2358" t="s">
        <v>50</v>
      </c>
      <c r="D2358">
        <v>2035</v>
      </c>
      <c r="E2358" t="s">
        <v>144</v>
      </c>
      <c r="F2358">
        <v>4.88</v>
      </c>
      <c r="J2358" s="18"/>
      <c r="K2358" s="18"/>
      <c r="L2358" s="18"/>
      <c r="M2358" s="18"/>
    </row>
    <row r="2359" spans="3:13">
      <c r="C2359" t="s">
        <v>50</v>
      </c>
      <c r="D2359">
        <v>2036</v>
      </c>
      <c r="E2359" t="s">
        <v>141</v>
      </c>
      <c r="F2359">
        <v>312.26</v>
      </c>
      <c r="J2359" s="18"/>
      <c r="K2359" s="18"/>
      <c r="L2359" s="18"/>
      <c r="M2359" s="18"/>
    </row>
    <row r="2360" spans="3:13">
      <c r="C2360" t="s">
        <v>50</v>
      </c>
      <c r="D2360">
        <v>2036</v>
      </c>
      <c r="E2360" t="s">
        <v>142</v>
      </c>
      <c r="F2360">
        <v>1008.7</v>
      </c>
      <c r="J2360" s="18"/>
      <c r="K2360" s="18"/>
      <c r="L2360" s="18"/>
      <c r="M2360" s="18"/>
    </row>
    <row r="2361" spans="3:13">
      <c r="C2361" t="s">
        <v>50</v>
      </c>
      <c r="D2361">
        <v>2036</v>
      </c>
      <c r="E2361" t="s">
        <v>143</v>
      </c>
      <c r="F2361">
        <v>575.98</v>
      </c>
      <c r="J2361" s="18"/>
      <c r="K2361" s="18"/>
      <c r="L2361" s="18"/>
      <c r="M2361" s="18"/>
    </row>
    <row r="2362" spans="3:13">
      <c r="C2362" t="s">
        <v>50</v>
      </c>
      <c r="D2362">
        <v>2036</v>
      </c>
      <c r="E2362" t="s">
        <v>144</v>
      </c>
      <c r="F2362">
        <v>5.72</v>
      </c>
      <c r="J2362" s="18"/>
      <c r="K2362" s="18"/>
      <c r="L2362" s="18"/>
      <c r="M2362" s="18"/>
    </row>
    <row r="2363" spans="3:13">
      <c r="C2363" t="s">
        <v>50</v>
      </c>
      <c r="D2363">
        <v>2037</v>
      </c>
      <c r="E2363" t="s">
        <v>141</v>
      </c>
      <c r="F2363">
        <v>319.19</v>
      </c>
      <c r="J2363" s="18"/>
      <c r="K2363" s="18"/>
      <c r="L2363" s="18"/>
      <c r="M2363" s="18"/>
    </row>
    <row r="2364" spans="3:13">
      <c r="C2364" t="s">
        <v>50</v>
      </c>
      <c r="D2364">
        <v>2037</v>
      </c>
      <c r="E2364" t="s">
        <v>142</v>
      </c>
      <c r="F2364">
        <v>1026.6500000000001</v>
      </c>
      <c r="J2364" s="18"/>
      <c r="K2364" s="18"/>
      <c r="L2364" s="18"/>
      <c r="M2364" s="18"/>
    </row>
    <row r="2365" spans="3:13">
      <c r="C2365" t="s">
        <v>50</v>
      </c>
      <c r="D2365">
        <v>2037</v>
      </c>
      <c r="E2365" t="s">
        <v>143</v>
      </c>
      <c r="F2365">
        <v>585.5</v>
      </c>
      <c r="J2365" s="18"/>
      <c r="K2365" s="18"/>
      <c r="L2365" s="18"/>
      <c r="M2365" s="18"/>
    </row>
    <row r="2366" spans="3:13">
      <c r="C2366" t="s">
        <v>50</v>
      </c>
      <c r="D2366">
        <v>2037</v>
      </c>
      <c r="E2366" t="s">
        <v>144</v>
      </c>
      <c r="F2366">
        <v>6.66</v>
      </c>
      <c r="J2366" s="18"/>
      <c r="K2366" s="18"/>
      <c r="L2366" s="18"/>
      <c r="M2366" s="18"/>
    </row>
    <row r="2367" spans="3:13">
      <c r="C2367" t="s">
        <v>50</v>
      </c>
      <c r="D2367">
        <v>2038</v>
      </c>
      <c r="E2367" t="s">
        <v>141</v>
      </c>
      <c r="F2367">
        <v>326.24</v>
      </c>
      <c r="J2367" s="18"/>
      <c r="K2367" s="18"/>
      <c r="L2367" s="18"/>
      <c r="M2367" s="18"/>
    </row>
    <row r="2368" spans="3:13">
      <c r="C2368" t="s">
        <v>50</v>
      </c>
      <c r="D2368">
        <v>2038</v>
      </c>
      <c r="E2368" t="s">
        <v>142</v>
      </c>
      <c r="F2368">
        <v>1043</v>
      </c>
      <c r="J2368" s="18"/>
      <c r="K2368" s="18"/>
      <c r="L2368" s="18"/>
      <c r="M2368" s="18"/>
    </row>
    <row r="2369" spans="3:13">
      <c r="C2369" t="s">
        <v>50</v>
      </c>
      <c r="D2369">
        <v>2038</v>
      </c>
      <c r="E2369" t="s">
        <v>143</v>
      </c>
      <c r="F2369">
        <v>595.19000000000005</v>
      </c>
      <c r="J2369" s="18"/>
      <c r="K2369" s="18"/>
      <c r="L2369" s="18"/>
      <c r="M2369" s="18"/>
    </row>
    <row r="2370" spans="3:13">
      <c r="C2370" t="s">
        <v>50</v>
      </c>
      <c r="D2370">
        <v>2038</v>
      </c>
      <c r="E2370" t="s">
        <v>144</v>
      </c>
      <c r="F2370">
        <v>7.76</v>
      </c>
      <c r="J2370" s="18"/>
      <c r="K2370" s="18"/>
      <c r="L2370" s="18"/>
      <c r="M2370" s="18"/>
    </row>
    <row r="2371" spans="3:13">
      <c r="C2371" t="s">
        <v>50</v>
      </c>
      <c r="D2371">
        <v>2039</v>
      </c>
      <c r="E2371" t="s">
        <v>141</v>
      </c>
      <c r="F2371">
        <v>333.4</v>
      </c>
      <c r="J2371" s="18"/>
      <c r="K2371" s="18"/>
      <c r="L2371" s="18"/>
      <c r="M2371" s="18"/>
    </row>
    <row r="2372" spans="3:13">
      <c r="C2372" t="s">
        <v>50</v>
      </c>
      <c r="D2372">
        <v>2039</v>
      </c>
      <c r="E2372" t="s">
        <v>142</v>
      </c>
      <c r="F2372">
        <v>1060.05</v>
      </c>
      <c r="J2372" s="18"/>
      <c r="K2372" s="18"/>
      <c r="L2372" s="18"/>
      <c r="M2372" s="18"/>
    </row>
    <row r="2373" spans="3:13">
      <c r="C2373" t="s">
        <v>50</v>
      </c>
      <c r="D2373">
        <v>2039</v>
      </c>
      <c r="E2373" t="s">
        <v>143</v>
      </c>
      <c r="F2373">
        <v>605.1</v>
      </c>
      <c r="J2373" s="18"/>
      <c r="K2373" s="18"/>
      <c r="L2373" s="18"/>
      <c r="M2373" s="18"/>
    </row>
    <row r="2374" spans="3:13">
      <c r="C2374" t="s">
        <v>50</v>
      </c>
      <c r="D2374">
        <v>2039</v>
      </c>
      <c r="E2374" t="s">
        <v>144</v>
      </c>
      <c r="F2374">
        <v>8.9600000000000009</v>
      </c>
      <c r="J2374" s="18"/>
      <c r="K2374" s="18"/>
      <c r="L2374" s="18"/>
      <c r="M2374" s="18"/>
    </row>
    <row r="2375" spans="3:13">
      <c r="C2375" t="s">
        <v>50</v>
      </c>
      <c r="D2375">
        <v>2040</v>
      </c>
      <c r="E2375" t="s">
        <v>141</v>
      </c>
      <c r="F2375">
        <v>340.61</v>
      </c>
      <c r="J2375" s="18"/>
      <c r="K2375" s="18"/>
      <c r="L2375" s="18"/>
      <c r="M2375" s="18"/>
    </row>
    <row r="2376" spans="3:13">
      <c r="C2376" t="s">
        <v>50</v>
      </c>
      <c r="D2376">
        <v>2040</v>
      </c>
      <c r="E2376" t="s">
        <v>142</v>
      </c>
      <c r="F2376">
        <v>1075.46</v>
      </c>
      <c r="J2376" s="18"/>
      <c r="K2376" s="18"/>
      <c r="L2376" s="18"/>
      <c r="M2376" s="18"/>
    </row>
    <row r="2377" spans="3:13">
      <c r="C2377" t="s">
        <v>50</v>
      </c>
      <c r="D2377">
        <v>2040</v>
      </c>
      <c r="E2377" t="s">
        <v>143</v>
      </c>
      <c r="F2377">
        <v>614.84</v>
      </c>
      <c r="J2377" s="18"/>
      <c r="K2377" s="18"/>
      <c r="L2377" s="18"/>
      <c r="M2377" s="18"/>
    </row>
    <row r="2378" spans="3:13">
      <c r="C2378" t="s">
        <v>50</v>
      </c>
      <c r="D2378">
        <v>2040</v>
      </c>
      <c r="E2378" t="s">
        <v>144</v>
      </c>
      <c r="F2378">
        <v>10.3</v>
      </c>
      <c r="J2378" s="18"/>
      <c r="K2378" s="18"/>
      <c r="L2378" s="18"/>
      <c r="M2378" s="18"/>
    </row>
    <row r="2379" spans="3:13">
      <c r="C2379" t="s">
        <v>50</v>
      </c>
      <c r="D2379">
        <v>2041</v>
      </c>
      <c r="E2379" t="s">
        <v>141</v>
      </c>
      <c r="F2379">
        <v>348.28</v>
      </c>
      <c r="J2379" s="18"/>
      <c r="K2379" s="18"/>
      <c r="L2379" s="18"/>
      <c r="M2379" s="18"/>
    </row>
    <row r="2380" spans="3:13">
      <c r="C2380" t="s">
        <v>50</v>
      </c>
      <c r="D2380">
        <v>2041</v>
      </c>
      <c r="E2380" t="s">
        <v>142</v>
      </c>
      <c r="F2380">
        <v>1092.3599999999999</v>
      </c>
      <c r="J2380" s="18"/>
      <c r="K2380" s="18"/>
      <c r="L2380" s="18"/>
      <c r="M2380" s="18"/>
    </row>
    <row r="2381" spans="3:13">
      <c r="C2381" t="s">
        <v>50</v>
      </c>
      <c r="D2381">
        <v>2041</v>
      </c>
      <c r="E2381" t="s">
        <v>143</v>
      </c>
      <c r="F2381">
        <v>626.13</v>
      </c>
      <c r="J2381" s="18"/>
      <c r="K2381" s="18"/>
      <c r="L2381" s="18"/>
      <c r="M2381" s="18"/>
    </row>
    <row r="2382" spans="3:13">
      <c r="C2382" t="s">
        <v>50</v>
      </c>
      <c r="D2382">
        <v>2041</v>
      </c>
      <c r="E2382" t="s">
        <v>144</v>
      </c>
      <c r="F2382">
        <v>11.72</v>
      </c>
      <c r="J2382" s="18"/>
      <c r="K2382" s="18"/>
      <c r="L2382" s="18"/>
      <c r="M2382" s="18"/>
    </row>
    <row r="2383" spans="3:13">
      <c r="C2383" t="s">
        <v>50</v>
      </c>
      <c r="D2383">
        <v>2042</v>
      </c>
      <c r="E2383" t="s">
        <v>141</v>
      </c>
      <c r="F2383">
        <v>356.09</v>
      </c>
      <c r="J2383" s="18"/>
      <c r="K2383" s="18"/>
      <c r="L2383" s="18"/>
      <c r="M2383" s="18"/>
    </row>
    <row r="2384" spans="3:13">
      <c r="C2384" t="s">
        <v>50</v>
      </c>
      <c r="D2384">
        <v>2042</v>
      </c>
      <c r="E2384" t="s">
        <v>142</v>
      </c>
      <c r="F2384">
        <v>1108.5</v>
      </c>
      <c r="J2384" s="18"/>
      <c r="K2384" s="18"/>
      <c r="L2384" s="18"/>
      <c r="M2384" s="18"/>
    </row>
    <row r="2385" spans="3:13">
      <c r="C2385" t="s">
        <v>50</v>
      </c>
      <c r="D2385">
        <v>2042</v>
      </c>
      <c r="E2385" t="s">
        <v>143</v>
      </c>
      <c r="F2385">
        <v>637.72</v>
      </c>
      <c r="J2385" s="18"/>
      <c r="K2385" s="18"/>
      <c r="L2385" s="18"/>
      <c r="M2385" s="18"/>
    </row>
    <row r="2386" spans="3:13">
      <c r="C2386" t="s">
        <v>50</v>
      </c>
      <c r="D2386">
        <v>2042</v>
      </c>
      <c r="E2386" t="s">
        <v>144</v>
      </c>
      <c r="F2386">
        <v>13.2</v>
      </c>
      <c r="J2386" s="18"/>
      <c r="K2386" s="18"/>
      <c r="L2386" s="18"/>
      <c r="M2386" s="18"/>
    </row>
    <row r="2387" spans="3:13">
      <c r="C2387" t="s">
        <v>50</v>
      </c>
      <c r="D2387">
        <v>2043</v>
      </c>
      <c r="E2387" t="s">
        <v>141</v>
      </c>
      <c r="F2387">
        <v>363.98</v>
      </c>
      <c r="J2387" s="18"/>
      <c r="K2387" s="18"/>
      <c r="L2387" s="18"/>
      <c r="M2387" s="18"/>
    </row>
    <row r="2388" spans="3:13">
      <c r="C2388" t="s">
        <v>50</v>
      </c>
      <c r="D2388">
        <v>2043</v>
      </c>
      <c r="E2388" t="s">
        <v>142</v>
      </c>
      <c r="F2388">
        <v>1124.49</v>
      </c>
      <c r="J2388" s="18"/>
      <c r="K2388" s="18"/>
      <c r="L2388" s="18"/>
      <c r="M2388" s="18"/>
    </row>
    <row r="2389" spans="3:13">
      <c r="C2389" t="s">
        <v>50</v>
      </c>
      <c r="D2389">
        <v>2043</v>
      </c>
      <c r="E2389" t="s">
        <v>143</v>
      </c>
      <c r="F2389">
        <v>649.29999999999995</v>
      </c>
      <c r="J2389" s="18"/>
      <c r="K2389" s="18"/>
      <c r="L2389" s="18"/>
      <c r="M2389" s="18"/>
    </row>
    <row r="2390" spans="3:13">
      <c r="C2390" t="s">
        <v>50</v>
      </c>
      <c r="D2390">
        <v>2043</v>
      </c>
      <c r="E2390" t="s">
        <v>144</v>
      </c>
      <c r="F2390">
        <v>14.1</v>
      </c>
      <c r="J2390" s="18"/>
      <c r="K2390" s="18"/>
      <c r="L2390" s="18"/>
      <c r="M2390" s="18"/>
    </row>
    <row r="2391" spans="3:13">
      <c r="C2391" t="s">
        <v>50</v>
      </c>
      <c r="D2391">
        <v>2044</v>
      </c>
      <c r="E2391" t="s">
        <v>141</v>
      </c>
      <c r="F2391">
        <v>371.74</v>
      </c>
      <c r="J2391" s="18"/>
      <c r="K2391" s="18"/>
      <c r="L2391" s="18"/>
      <c r="M2391" s="18"/>
    </row>
    <row r="2392" spans="3:13">
      <c r="C2392" t="s">
        <v>50</v>
      </c>
      <c r="D2392">
        <v>2044</v>
      </c>
      <c r="E2392" t="s">
        <v>142</v>
      </c>
      <c r="F2392">
        <v>1140</v>
      </c>
      <c r="J2392" s="18"/>
      <c r="K2392" s="18"/>
      <c r="L2392" s="18"/>
      <c r="M2392" s="18"/>
    </row>
    <row r="2393" spans="3:13">
      <c r="C2393" t="s">
        <v>50</v>
      </c>
      <c r="D2393">
        <v>2044</v>
      </c>
      <c r="E2393" t="s">
        <v>143</v>
      </c>
      <c r="F2393">
        <v>660.59</v>
      </c>
      <c r="J2393" s="18"/>
      <c r="K2393" s="18"/>
      <c r="L2393" s="18"/>
      <c r="M2393" s="18"/>
    </row>
    <row r="2394" spans="3:13">
      <c r="C2394" t="s">
        <v>50</v>
      </c>
      <c r="D2394">
        <v>2044</v>
      </c>
      <c r="E2394" t="s">
        <v>144</v>
      </c>
      <c r="F2394">
        <v>15.02</v>
      </c>
      <c r="J2394" s="18"/>
      <c r="K2394" s="18"/>
      <c r="L2394" s="18"/>
      <c r="M2394" s="18"/>
    </row>
    <row r="2395" spans="3:13">
      <c r="C2395" t="s">
        <v>50</v>
      </c>
      <c r="D2395">
        <v>2045</v>
      </c>
      <c r="E2395" t="s">
        <v>141</v>
      </c>
      <c r="F2395">
        <v>379.86</v>
      </c>
      <c r="J2395" s="18"/>
      <c r="K2395" s="18"/>
      <c r="L2395" s="18"/>
      <c r="M2395" s="18"/>
    </row>
    <row r="2396" spans="3:13">
      <c r="C2396" t="s">
        <v>50</v>
      </c>
      <c r="D2396">
        <v>2045</v>
      </c>
      <c r="E2396" t="s">
        <v>142</v>
      </c>
      <c r="F2396">
        <v>1155.68</v>
      </c>
      <c r="J2396" s="18"/>
      <c r="K2396" s="18"/>
      <c r="L2396" s="18"/>
      <c r="M2396" s="18"/>
    </row>
    <row r="2397" spans="3:13">
      <c r="C2397" t="s">
        <v>50</v>
      </c>
      <c r="D2397">
        <v>2045</v>
      </c>
      <c r="E2397" t="s">
        <v>143</v>
      </c>
      <c r="F2397">
        <v>672.88</v>
      </c>
      <c r="J2397" s="18"/>
      <c r="K2397" s="18"/>
      <c r="L2397" s="18"/>
      <c r="M2397" s="18"/>
    </row>
    <row r="2398" spans="3:13">
      <c r="C2398" t="s">
        <v>50</v>
      </c>
      <c r="D2398">
        <v>2045</v>
      </c>
      <c r="E2398" t="s">
        <v>144</v>
      </c>
      <c r="F2398">
        <v>15.97</v>
      </c>
      <c r="J2398" s="18"/>
      <c r="K2398" s="18"/>
      <c r="L2398" s="18"/>
      <c r="M2398" s="18"/>
    </row>
    <row r="2399" spans="3:13">
      <c r="C2399" t="s">
        <v>50</v>
      </c>
      <c r="D2399">
        <v>2046</v>
      </c>
      <c r="E2399" t="s">
        <v>141</v>
      </c>
      <c r="F2399">
        <v>386.94</v>
      </c>
      <c r="J2399" s="18"/>
      <c r="K2399" s="18"/>
      <c r="L2399" s="18"/>
      <c r="M2399" s="18"/>
    </row>
    <row r="2400" spans="3:13">
      <c r="C2400" t="s">
        <v>50</v>
      </c>
      <c r="D2400">
        <v>2046</v>
      </c>
      <c r="E2400" t="s">
        <v>142</v>
      </c>
      <c r="F2400">
        <v>1170.6500000000001</v>
      </c>
      <c r="J2400" s="18"/>
      <c r="K2400" s="18"/>
      <c r="L2400" s="18"/>
      <c r="M2400" s="18"/>
    </row>
    <row r="2401" spans="3:13">
      <c r="C2401" t="s">
        <v>50</v>
      </c>
      <c r="D2401">
        <v>2046</v>
      </c>
      <c r="E2401" t="s">
        <v>143</v>
      </c>
      <c r="F2401">
        <v>683.13</v>
      </c>
      <c r="J2401" s="18"/>
      <c r="K2401" s="18"/>
      <c r="L2401" s="18"/>
      <c r="M2401" s="18"/>
    </row>
    <row r="2402" spans="3:13">
      <c r="C2402" t="s">
        <v>50</v>
      </c>
      <c r="D2402">
        <v>2046</v>
      </c>
      <c r="E2402" t="s">
        <v>144</v>
      </c>
      <c r="F2402">
        <v>16.940000000000001</v>
      </c>
      <c r="J2402" s="18"/>
      <c r="K2402" s="18"/>
      <c r="L2402" s="18"/>
      <c r="M2402" s="18"/>
    </row>
    <row r="2403" spans="3:13">
      <c r="C2403" t="s">
        <v>50</v>
      </c>
      <c r="D2403">
        <v>2047</v>
      </c>
      <c r="E2403" t="s">
        <v>141</v>
      </c>
      <c r="F2403">
        <v>394.02</v>
      </c>
      <c r="J2403" s="18"/>
      <c r="K2403" s="18"/>
      <c r="L2403" s="18"/>
      <c r="M2403" s="18"/>
    </row>
    <row r="2404" spans="3:13">
      <c r="C2404" t="s">
        <v>50</v>
      </c>
      <c r="D2404">
        <v>2047</v>
      </c>
      <c r="E2404" t="s">
        <v>142</v>
      </c>
      <c r="F2404">
        <v>1185.95</v>
      </c>
      <c r="J2404" s="18"/>
      <c r="K2404" s="18"/>
      <c r="L2404" s="18"/>
      <c r="M2404" s="18"/>
    </row>
    <row r="2405" spans="3:13">
      <c r="C2405" t="s">
        <v>50</v>
      </c>
      <c r="D2405">
        <v>2047</v>
      </c>
      <c r="E2405" t="s">
        <v>143</v>
      </c>
      <c r="F2405">
        <v>693.51</v>
      </c>
      <c r="J2405" s="18"/>
      <c r="K2405" s="18"/>
      <c r="L2405" s="18"/>
      <c r="M2405" s="18"/>
    </row>
    <row r="2406" spans="3:13">
      <c r="C2406" t="s">
        <v>50</v>
      </c>
      <c r="D2406">
        <v>2047</v>
      </c>
      <c r="E2406" t="s">
        <v>144</v>
      </c>
      <c r="F2406">
        <v>17.91</v>
      </c>
      <c r="J2406" s="18"/>
      <c r="K2406" s="18"/>
      <c r="L2406" s="18"/>
      <c r="M2406" s="18"/>
    </row>
    <row r="2407" spans="3:13">
      <c r="C2407" t="s">
        <v>50</v>
      </c>
      <c r="D2407">
        <v>2048</v>
      </c>
      <c r="E2407" t="s">
        <v>141</v>
      </c>
      <c r="F2407">
        <v>401.15</v>
      </c>
      <c r="J2407" s="18"/>
      <c r="K2407" s="18"/>
      <c r="L2407" s="18"/>
      <c r="M2407" s="18"/>
    </row>
    <row r="2408" spans="3:13">
      <c r="C2408" t="s">
        <v>50</v>
      </c>
      <c r="D2408">
        <v>2048</v>
      </c>
      <c r="E2408" t="s">
        <v>142</v>
      </c>
      <c r="F2408">
        <v>1201.5899999999999</v>
      </c>
      <c r="J2408" s="18"/>
      <c r="K2408" s="18"/>
      <c r="L2408" s="18"/>
      <c r="M2408" s="18"/>
    </row>
    <row r="2409" spans="3:13">
      <c r="C2409" t="s">
        <v>50</v>
      </c>
      <c r="D2409">
        <v>2048</v>
      </c>
      <c r="E2409" t="s">
        <v>143</v>
      </c>
      <c r="F2409">
        <v>704.04</v>
      </c>
      <c r="J2409" s="18"/>
      <c r="K2409" s="18"/>
      <c r="L2409" s="18"/>
      <c r="M2409" s="18"/>
    </row>
    <row r="2410" spans="3:13">
      <c r="C2410" t="s">
        <v>50</v>
      </c>
      <c r="D2410">
        <v>2048</v>
      </c>
      <c r="E2410" t="s">
        <v>144</v>
      </c>
      <c r="F2410">
        <v>18.88</v>
      </c>
      <c r="J2410" s="18"/>
      <c r="K2410" s="18"/>
      <c r="L2410" s="18"/>
      <c r="M2410" s="18"/>
    </row>
    <row r="2411" spans="3:13">
      <c r="C2411" t="s">
        <v>50</v>
      </c>
      <c r="D2411">
        <v>2049</v>
      </c>
      <c r="E2411" t="s">
        <v>141</v>
      </c>
      <c r="F2411">
        <v>408.3</v>
      </c>
      <c r="J2411" s="18"/>
      <c r="K2411" s="18"/>
      <c r="L2411" s="18"/>
      <c r="M2411" s="18"/>
    </row>
    <row r="2412" spans="3:13">
      <c r="C2412" t="s">
        <v>50</v>
      </c>
      <c r="D2412">
        <v>2049</v>
      </c>
      <c r="E2412" t="s">
        <v>142</v>
      </c>
      <c r="F2412">
        <v>1218.57</v>
      </c>
      <c r="J2412" s="18"/>
      <c r="K2412" s="18"/>
      <c r="L2412" s="18"/>
      <c r="M2412" s="18"/>
    </row>
    <row r="2413" spans="3:13">
      <c r="C2413" t="s">
        <v>50</v>
      </c>
      <c r="D2413">
        <v>2049</v>
      </c>
      <c r="E2413" t="s">
        <v>143</v>
      </c>
      <c r="F2413">
        <v>714.39</v>
      </c>
      <c r="J2413" s="18"/>
      <c r="K2413" s="18"/>
      <c r="L2413" s="18"/>
      <c r="M2413" s="18"/>
    </row>
    <row r="2414" spans="3:13">
      <c r="C2414" t="s">
        <v>50</v>
      </c>
      <c r="D2414">
        <v>2049</v>
      </c>
      <c r="E2414" t="s">
        <v>144</v>
      </c>
      <c r="F2414">
        <v>19.809999999999999</v>
      </c>
      <c r="J2414" s="18"/>
      <c r="K2414" s="18"/>
      <c r="L2414" s="18"/>
      <c r="M2414" s="18"/>
    </row>
    <row r="2415" spans="3:13">
      <c r="C2415" t="s">
        <v>50</v>
      </c>
      <c r="D2415">
        <v>2050</v>
      </c>
      <c r="E2415" t="s">
        <v>141</v>
      </c>
      <c r="F2415">
        <v>415.38</v>
      </c>
      <c r="J2415" s="18"/>
      <c r="K2415" s="18"/>
      <c r="L2415" s="18"/>
      <c r="M2415" s="18"/>
    </row>
    <row r="2416" spans="3:13">
      <c r="C2416" t="s">
        <v>50</v>
      </c>
      <c r="D2416">
        <v>2050</v>
      </c>
      <c r="E2416" t="s">
        <v>142</v>
      </c>
      <c r="F2416">
        <v>1233.21</v>
      </c>
      <c r="J2416" s="18"/>
      <c r="K2416" s="18"/>
      <c r="L2416" s="18"/>
      <c r="M2416" s="18"/>
    </row>
    <row r="2417" spans="3:13">
      <c r="C2417" t="s">
        <v>50</v>
      </c>
      <c r="D2417">
        <v>2050</v>
      </c>
      <c r="E2417" t="s">
        <v>143</v>
      </c>
      <c r="F2417">
        <v>724.55</v>
      </c>
      <c r="J2417" s="18"/>
      <c r="K2417" s="18"/>
      <c r="L2417" s="18"/>
      <c r="M2417" s="18"/>
    </row>
    <row r="2418" spans="3:13">
      <c r="C2418" t="s">
        <v>50</v>
      </c>
      <c r="D2418">
        <v>2050</v>
      </c>
      <c r="E2418" t="s">
        <v>144</v>
      </c>
      <c r="F2418">
        <v>20.71</v>
      </c>
      <c r="J2418" s="18"/>
      <c r="K2418" s="18"/>
      <c r="L2418" s="18"/>
      <c r="M2418" s="18"/>
    </row>
    <row r="2419" spans="3:13">
      <c r="C2419" t="s">
        <v>124</v>
      </c>
      <c r="D2419">
        <v>2010</v>
      </c>
      <c r="E2419" t="s">
        <v>141</v>
      </c>
      <c r="F2419">
        <v>909.78</v>
      </c>
      <c r="J2419" s="18"/>
      <c r="K2419" s="18"/>
      <c r="L2419" s="18"/>
      <c r="M2419" s="18"/>
    </row>
    <row r="2420" spans="3:13">
      <c r="C2420" t="s">
        <v>124</v>
      </c>
      <c r="D2420">
        <v>2010</v>
      </c>
      <c r="E2420" t="s">
        <v>142</v>
      </c>
      <c r="F2420">
        <v>1483.59</v>
      </c>
      <c r="J2420" s="18"/>
      <c r="K2420" s="18"/>
      <c r="L2420" s="18"/>
      <c r="M2420" s="18"/>
    </row>
    <row r="2421" spans="3:13">
      <c r="C2421" t="s">
        <v>124</v>
      </c>
      <c r="D2421">
        <v>2010</v>
      </c>
      <c r="E2421" t="s">
        <v>143</v>
      </c>
      <c r="F2421">
        <v>1070.52</v>
      </c>
      <c r="J2421" s="18"/>
      <c r="K2421" s="18"/>
      <c r="L2421" s="18"/>
      <c r="M2421" s="18"/>
    </row>
    <row r="2422" spans="3:13">
      <c r="C2422" t="s">
        <v>124</v>
      </c>
      <c r="D2422">
        <v>2010</v>
      </c>
      <c r="E2422" t="s">
        <v>144</v>
      </c>
      <c r="F2422">
        <v>13.83</v>
      </c>
      <c r="J2422" s="18"/>
      <c r="K2422" s="18"/>
      <c r="L2422" s="18"/>
      <c r="M2422" s="18"/>
    </row>
    <row r="2423" spans="3:13">
      <c r="C2423" t="s">
        <v>124</v>
      </c>
      <c r="D2423">
        <v>2011</v>
      </c>
      <c r="E2423" t="s">
        <v>141</v>
      </c>
      <c r="F2423">
        <v>930.78</v>
      </c>
      <c r="J2423" s="18"/>
      <c r="K2423" s="18"/>
      <c r="L2423" s="18"/>
      <c r="M2423" s="18"/>
    </row>
    <row r="2424" spans="3:13">
      <c r="C2424" t="s">
        <v>124</v>
      </c>
      <c r="D2424">
        <v>2011</v>
      </c>
      <c r="E2424" t="s">
        <v>142</v>
      </c>
      <c r="F2424">
        <v>1529.05</v>
      </c>
      <c r="J2424" s="18"/>
      <c r="K2424" s="18"/>
      <c r="L2424" s="18"/>
      <c r="M2424" s="18"/>
    </row>
    <row r="2425" spans="3:13">
      <c r="C2425" t="s">
        <v>124</v>
      </c>
      <c r="D2425">
        <v>2011</v>
      </c>
      <c r="E2425" t="s">
        <v>143</v>
      </c>
      <c r="F2425">
        <v>1112.69</v>
      </c>
      <c r="J2425" s="18"/>
      <c r="K2425" s="18"/>
      <c r="L2425" s="18"/>
      <c r="M2425" s="18"/>
    </row>
    <row r="2426" spans="3:13">
      <c r="C2426" t="s">
        <v>124</v>
      </c>
      <c r="D2426">
        <v>2011</v>
      </c>
      <c r="E2426" t="s">
        <v>144</v>
      </c>
      <c r="F2426">
        <v>14.62</v>
      </c>
      <c r="J2426" s="18"/>
      <c r="K2426" s="18"/>
      <c r="L2426" s="18"/>
      <c r="M2426" s="18"/>
    </row>
    <row r="2427" spans="3:13">
      <c r="C2427" t="s">
        <v>124</v>
      </c>
      <c r="D2427">
        <v>2012</v>
      </c>
      <c r="E2427" t="s">
        <v>141</v>
      </c>
      <c r="F2427">
        <v>988.42</v>
      </c>
      <c r="J2427" s="18"/>
      <c r="K2427" s="18"/>
      <c r="L2427" s="18"/>
      <c r="M2427" s="18"/>
    </row>
    <row r="2428" spans="3:13">
      <c r="C2428" t="s">
        <v>124</v>
      </c>
      <c r="D2428">
        <v>2012</v>
      </c>
      <c r="E2428" t="s">
        <v>142</v>
      </c>
      <c r="F2428">
        <v>1588.34</v>
      </c>
      <c r="J2428" s="18"/>
      <c r="K2428" s="18"/>
      <c r="L2428" s="18"/>
      <c r="M2428" s="18"/>
    </row>
    <row r="2429" spans="3:13">
      <c r="C2429" t="s">
        <v>124</v>
      </c>
      <c r="D2429">
        <v>2012</v>
      </c>
      <c r="E2429" t="s">
        <v>143</v>
      </c>
      <c r="F2429">
        <v>1192.25</v>
      </c>
      <c r="J2429" s="18"/>
      <c r="K2429" s="18"/>
      <c r="L2429" s="18"/>
      <c r="M2429" s="18"/>
    </row>
    <row r="2430" spans="3:13">
      <c r="C2430" t="s">
        <v>124</v>
      </c>
      <c r="D2430">
        <v>2012</v>
      </c>
      <c r="E2430" t="s">
        <v>144</v>
      </c>
      <c r="F2430">
        <v>15.31</v>
      </c>
      <c r="J2430" s="18"/>
      <c r="K2430" s="18"/>
      <c r="L2430" s="18"/>
      <c r="M2430" s="18"/>
    </row>
    <row r="2431" spans="3:13">
      <c r="C2431" t="s">
        <v>124</v>
      </c>
      <c r="D2431">
        <v>2013</v>
      </c>
      <c r="E2431" t="s">
        <v>141</v>
      </c>
      <c r="F2431">
        <v>1032.06</v>
      </c>
      <c r="J2431" s="18"/>
      <c r="K2431" s="18"/>
      <c r="L2431" s="18"/>
      <c r="M2431" s="18"/>
    </row>
    <row r="2432" spans="3:13">
      <c r="C2432" t="s">
        <v>124</v>
      </c>
      <c r="D2432">
        <v>2013</v>
      </c>
      <c r="E2432" t="s">
        <v>142</v>
      </c>
      <c r="F2432">
        <v>1635.07</v>
      </c>
      <c r="J2432" s="18"/>
      <c r="K2432" s="18"/>
      <c r="L2432" s="18"/>
      <c r="M2432" s="18"/>
    </row>
    <row r="2433" spans="3:13">
      <c r="C2433" t="s">
        <v>124</v>
      </c>
      <c r="D2433">
        <v>2013</v>
      </c>
      <c r="E2433" t="s">
        <v>143</v>
      </c>
      <c r="F2433">
        <v>1272.49</v>
      </c>
      <c r="J2433" s="18"/>
      <c r="K2433" s="18"/>
      <c r="L2433" s="18"/>
      <c r="M2433" s="18"/>
    </row>
    <row r="2434" spans="3:13">
      <c r="C2434" t="s">
        <v>124</v>
      </c>
      <c r="D2434">
        <v>2013</v>
      </c>
      <c r="E2434" t="s">
        <v>144</v>
      </c>
      <c r="F2434">
        <v>16</v>
      </c>
      <c r="J2434" s="18"/>
      <c r="K2434" s="18"/>
      <c r="L2434" s="18"/>
      <c r="M2434" s="18"/>
    </row>
    <row r="2435" spans="3:13">
      <c r="C2435" t="s">
        <v>124</v>
      </c>
      <c r="D2435">
        <v>2014</v>
      </c>
      <c r="E2435" t="s">
        <v>141</v>
      </c>
      <c r="F2435">
        <v>996.94</v>
      </c>
      <c r="J2435" s="18"/>
      <c r="K2435" s="18"/>
      <c r="L2435" s="18"/>
      <c r="M2435" s="18"/>
    </row>
    <row r="2436" spans="3:13">
      <c r="C2436" t="s">
        <v>124</v>
      </c>
      <c r="D2436">
        <v>2014</v>
      </c>
      <c r="E2436" t="s">
        <v>142</v>
      </c>
      <c r="F2436">
        <v>1753.09</v>
      </c>
      <c r="J2436" s="18"/>
      <c r="K2436" s="18"/>
      <c r="L2436" s="18"/>
      <c r="M2436" s="18"/>
    </row>
    <row r="2437" spans="3:13">
      <c r="C2437" t="s">
        <v>124</v>
      </c>
      <c r="D2437">
        <v>2014</v>
      </c>
      <c r="E2437" t="s">
        <v>143</v>
      </c>
      <c r="F2437">
        <v>1353.28</v>
      </c>
      <c r="J2437" s="18"/>
      <c r="K2437" s="18"/>
      <c r="L2437" s="18"/>
      <c r="M2437" s="18"/>
    </row>
    <row r="2438" spans="3:13">
      <c r="C2438" t="s">
        <v>124</v>
      </c>
      <c r="D2438">
        <v>2014</v>
      </c>
      <c r="E2438" t="s">
        <v>144</v>
      </c>
      <c r="F2438">
        <v>16.260000000000002</v>
      </c>
      <c r="J2438" s="18"/>
      <c r="K2438" s="18"/>
      <c r="L2438" s="18"/>
      <c r="M2438" s="18"/>
    </row>
    <row r="2439" spans="3:13">
      <c r="C2439" t="s">
        <v>124</v>
      </c>
      <c r="D2439">
        <v>2015</v>
      </c>
      <c r="E2439" t="s">
        <v>141</v>
      </c>
      <c r="F2439">
        <v>1037.26</v>
      </c>
      <c r="J2439" s="18"/>
      <c r="K2439" s="18"/>
      <c r="L2439" s="18"/>
      <c r="M2439" s="18"/>
    </row>
    <row r="2440" spans="3:13">
      <c r="C2440" t="s">
        <v>124</v>
      </c>
      <c r="D2440">
        <v>2015</v>
      </c>
      <c r="E2440" t="s">
        <v>142</v>
      </c>
      <c r="F2440">
        <v>1802.9</v>
      </c>
      <c r="J2440" s="18"/>
      <c r="K2440" s="18"/>
      <c r="L2440" s="18"/>
      <c r="M2440" s="18"/>
    </row>
    <row r="2441" spans="3:13">
      <c r="C2441" t="s">
        <v>124</v>
      </c>
      <c r="D2441">
        <v>2015</v>
      </c>
      <c r="E2441" t="s">
        <v>143</v>
      </c>
      <c r="F2441">
        <v>1447.03</v>
      </c>
      <c r="J2441" s="18"/>
      <c r="K2441" s="18"/>
      <c r="L2441" s="18"/>
      <c r="M2441" s="18"/>
    </row>
    <row r="2442" spans="3:13">
      <c r="C2442" t="s">
        <v>124</v>
      </c>
      <c r="D2442">
        <v>2015</v>
      </c>
      <c r="E2442" t="s">
        <v>144</v>
      </c>
      <c r="F2442">
        <v>16.66</v>
      </c>
      <c r="J2442" s="18"/>
      <c r="K2442" s="18"/>
      <c r="L2442" s="18"/>
      <c r="M2442" s="18"/>
    </row>
    <row r="2443" spans="3:13">
      <c r="C2443" t="s">
        <v>124</v>
      </c>
      <c r="D2443">
        <v>2016</v>
      </c>
      <c r="E2443" t="s">
        <v>141</v>
      </c>
      <c r="F2443">
        <v>1110.75</v>
      </c>
      <c r="J2443" s="18"/>
      <c r="K2443" s="18"/>
      <c r="L2443" s="18"/>
      <c r="M2443" s="18"/>
    </row>
    <row r="2444" spans="3:13">
      <c r="C2444" t="s">
        <v>124</v>
      </c>
      <c r="D2444">
        <v>2016</v>
      </c>
      <c r="E2444" t="s">
        <v>142</v>
      </c>
      <c r="F2444">
        <v>1887.94</v>
      </c>
      <c r="J2444" s="18"/>
      <c r="K2444" s="18"/>
      <c r="L2444" s="18"/>
      <c r="M2444" s="18"/>
    </row>
    <row r="2445" spans="3:13">
      <c r="C2445" t="s">
        <v>124</v>
      </c>
      <c r="D2445">
        <v>2016</v>
      </c>
      <c r="E2445" t="s">
        <v>143</v>
      </c>
      <c r="F2445">
        <v>1580.09</v>
      </c>
      <c r="J2445" s="18"/>
      <c r="K2445" s="18"/>
      <c r="L2445" s="18"/>
      <c r="M2445" s="18"/>
    </row>
    <row r="2446" spans="3:13">
      <c r="C2446" t="s">
        <v>124</v>
      </c>
      <c r="D2446">
        <v>2016</v>
      </c>
      <c r="E2446" t="s">
        <v>144</v>
      </c>
      <c r="F2446">
        <v>18.010000000000002</v>
      </c>
      <c r="J2446" s="18"/>
      <c r="K2446" s="18"/>
      <c r="L2446" s="18"/>
      <c r="M2446" s="18"/>
    </row>
    <row r="2447" spans="3:13">
      <c r="C2447" t="s">
        <v>124</v>
      </c>
      <c r="D2447">
        <v>2017</v>
      </c>
      <c r="E2447" t="s">
        <v>141</v>
      </c>
      <c r="F2447">
        <v>1142.27</v>
      </c>
      <c r="J2447" s="18"/>
      <c r="K2447" s="18"/>
      <c r="L2447" s="18"/>
      <c r="M2447" s="18"/>
    </row>
    <row r="2448" spans="3:13">
      <c r="C2448" t="s">
        <v>124</v>
      </c>
      <c r="D2448">
        <v>2017</v>
      </c>
      <c r="E2448" t="s">
        <v>142</v>
      </c>
      <c r="F2448">
        <v>1984.66</v>
      </c>
      <c r="J2448" s="18"/>
      <c r="K2448" s="18"/>
      <c r="L2448" s="18"/>
      <c r="M2448" s="18"/>
    </row>
    <row r="2449" spans="3:13">
      <c r="C2449" t="s">
        <v>124</v>
      </c>
      <c r="D2449">
        <v>2017</v>
      </c>
      <c r="E2449" t="s">
        <v>143</v>
      </c>
      <c r="F2449">
        <v>1654.16</v>
      </c>
      <c r="J2449" s="18"/>
      <c r="K2449" s="18"/>
      <c r="L2449" s="18"/>
      <c r="M2449" s="18"/>
    </row>
    <row r="2450" spans="3:13">
      <c r="C2450" t="s">
        <v>124</v>
      </c>
      <c r="D2450">
        <v>2017</v>
      </c>
      <c r="E2450" t="s">
        <v>144</v>
      </c>
      <c r="F2450">
        <v>19.68</v>
      </c>
      <c r="J2450" s="18"/>
      <c r="K2450" s="18"/>
      <c r="L2450" s="18"/>
      <c r="M2450" s="18"/>
    </row>
    <row r="2451" spans="3:13">
      <c r="C2451" t="s">
        <v>124</v>
      </c>
      <c r="D2451">
        <v>2018</v>
      </c>
      <c r="E2451" t="s">
        <v>141</v>
      </c>
      <c r="F2451">
        <v>1287.8499999999999</v>
      </c>
      <c r="J2451" s="18"/>
      <c r="K2451" s="18"/>
      <c r="L2451" s="18"/>
      <c r="M2451" s="18"/>
    </row>
    <row r="2452" spans="3:13">
      <c r="C2452" t="s">
        <v>124</v>
      </c>
      <c r="D2452">
        <v>2018</v>
      </c>
      <c r="E2452" t="s">
        <v>142</v>
      </c>
      <c r="F2452">
        <v>2061.0300000000002</v>
      </c>
      <c r="J2452" s="18"/>
      <c r="K2452" s="18"/>
      <c r="L2452" s="18"/>
      <c r="M2452" s="18"/>
    </row>
    <row r="2453" spans="3:13">
      <c r="C2453" t="s">
        <v>124</v>
      </c>
      <c r="D2453">
        <v>2018</v>
      </c>
      <c r="E2453" t="s">
        <v>143</v>
      </c>
      <c r="F2453">
        <v>1793.75</v>
      </c>
      <c r="J2453" s="18"/>
      <c r="K2453" s="18"/>
      <c r="L2453" s="18"/>
      <c r="M2453" s="18"/>
    </row>
    <row r="2454" spans="3:13">
      <c r="C2454" t="s">
        <v>124</v>
      </c>
      <c r="D2454">
        <v>2018</v>
      </c>
      <c r="E2454" t="s">
        <v>144</v>
      </c>
      <c r="F2454">
        <v>22.02</v>
      </c>
      <c r="J2454" s="18"/>
      <c r="K2454" s="18"/>
      <c r="L2454" s="18"/>
      <c r="M2454" s="18"/>
    </row>
    <row r="2455" spans="3:13">
      <c r="C2455" t="s">
        <v>124</v>
      </c>
      <c r="D2455">
        <v>2019</v>
      </c>
      <c r="E2455" t="s">
        <v>146</v>
      </c>
      <c r="F2455">
        <v>37.770000000000003</v>
      </c>
      <c r="J2455" s="18"/>
      <c r="K2455" s="18"/>
      <c r="L2455" s="18"/>
      <c r="M2455" s="18"/>
    </row>
    <row r="2456" spans="3:13">
      <c r="C2456" t="s">
        <v>124</v>
      </c>
      <c r="D2456">
        <v>2019</v>
      </c>
      <c r="E2456" t="s">
        <v>147</v>
      </c>
      <c r="F2456">
        <v>47.7</v>
      </c>
      <c r="J2456" s="18"/>
      <c r="K2456" s="18"/>
      <c r="L2456" s="18"/>
      <c r="M2456" s="18"/>
    </row>
    <row r="2457" spans="3:13">
      <c r="C2457" t="s">
        <v>124</v>
      </c>
      <c r="D2457">
        <v>2019</v>
      </c>
      <c r="E2457" t="s">
        <v>145</v>
      </c>
      <c r="F2457">
        <v>257.24</v>
      </c>
      <c r="J2457" s="18"/>
      <c r="K2457" s="18"/>
      <c r="L2457" s="18"/>
      <c r="M2457" s="18"/>
    </row>
    <row r="2458" spans="3:13">
      <c r="C2458" t="s">
        <v>124</v>
      </c>
      <c r="D2458">
        <v>2019</v>
      </c>
      <c r="E2458" t="s">
        <v>141</v>
      </c>
      <c r="F2458">
        <v>1328.36</v>
      </c>
      <c r="J2458" s="18"/>
      <c r="K2458" s="18"/>
      <c r="L2458" s="18"/>
      <c r="M2458" s="18"/>
    </row>
    <row r="2459" spans="3:13">
      <c r="C2459" t="s">
        <v>124</v>
      </c>
      <c r="D2459">
        <v>2019</v>
      </c>
      <c r="E2459" t="s">
        <v>142</v>
      </c>
      <c r="F2459">
        <v>2097.84</v>
      </c>
      <c r="J2459" s="18"/>
      <c r="K2459" s="18"/>
      <c r="L2459" s="18"/>
      <c r="M2459" s="18"/>
    </row>
    <row r="2460" spans="3:13">
      <c r="C2460" t="s">
        <v>124</v>
      </c>
      <c r="D2460">
        <v>2019</v>
      </c>
      <c r="E2460" t="s">
        <v>143</v>
      </c>
      <c r="F2460">
        <v>1824.13</v>
      </c>
      <c r="J2460" s="18"/>
      <c r="K2460" s="18"/>
      <c r="L2460" s="18"/>
      <c r="M2460" s="18"/>
    </row>
    <row r="2461" spans="3:13">
      <c r="C2461" t="s">
        <v>124</v>
      </c>
      <c r="D2461">
        <v>2019</v>
      </c>
      <c r="E2461" t="s">
        <v>144</v>
      </c>
      <c r="F2461">
        <v>8.65</v>
      </c>
      <c r="J2461" s="18"/>
      <c r="K2461" s="18"/>
      <c r="L2461" s="18"/>
      <c r="M2461" s="18"/>
    </row>
    <row r="2462" spans="3:13">
      <c r="C2462" t="s">
        <v>124</v>
      </c>
      <c r="D2462">
        <v>2020</v>
      </c>
      <c r="E2462" t="s">
        <v>146</v>
      </c>
      <c r="F2462">
        <v>37.700000000000003</v>
      </c>
      <c r="J2462" s="18"/>
      <c r="K2462" s="18"/>
      <c r="L2462" s="18"/>
      <c r="M2462" s="18"/>
    </row>
    <row r="2463" spans="3:13">
      <c r="C2463" t="s">
        <v>124</v>
      </c>
      <c r="D2463">
        <v>2020</v>
      </c>
      <c r="E2463" t="s">
        <v>147</v>
      </c>
      <c r="F2463">
        <v>47.61</v>
      </c>
      <c r="J2463" s="18"/>
      <c r="K2463" s="18"/>
      <c r="L2463" s="18"/>
      <c r="M2463" s="18"/>
    </row>
    <row r="2464" spans="3:13">
      <c r="C2464" t="s">
        <v>124</v>
      </c>
      <c r="D2464">
        <v>2020</v>
      </c>
      <c r="E2464" t="s">
        <v>145</v>
      </c>
      <c r="F2464">
        <v>254.21</v>
      </c>
      <c r="J2464" s="18"/>
      <c r="K2464" s="18"/>
      <c r="L2464" s="18"/>
      <c r="M2464" s="18"/>
    </row>
    <row r="2465" spans="3:13">
      <c r="C2465" t="s">
        <v>124</v>
      </c>
      <c r="D2465">
        <v>2020</v>
      </c>
      <c r="E2465" t="s">
        <v>141</v>
      </c>
      <c r="F2465">
        <v>1285.4000000000001</v>
      </c>
      <c r="J2465" s="18"/>
      <c r="K2465" s="18"/>
      <c r="L2465" s="18"/>
      <c r="M2465" s="18"/>
    </row>
    <row r="2466" spans="3:13">
      <c r="C2466" t="s">
        <v>124</v>
      </c>
      <c r="D2466">
        <v>2020</v>
      </c>
      <c r="E2466" t="s">
        <v>142</v>
      </c>
      <c r="F2466">
        <v>2040.93</v>
      </c>
      <c r="J2466" s="18"/>
      <c r="K2466" s="18"/>
      <c r="L2466" s="18"/>
      <c r="M2466" s="18"/>
    </row>
    <row r="2467" spans="3:13">
      <c r="C2467" t="s">
        <v>124</v>
      </c>
      <c r="D2467">
        <v>2020</v>
      </c>
      <c r="E2467" t="s">
        <v>143</v>
      </c>
      <c r="F2467">
        <v>1783.41</v>
      </c>
      <c r="J2467" s="18"/>
      <c r="K2467" s="18"/>
      <c r="L2467" s="18"/>
      <c r="M2467" s="18"/>
    </row>
    <row r="2468" spans="3:13">
      <c r="C2468" t="s">
        <v>124</v>
      </c>
      <c r="D2468">
        <v>2020</v>
      </c>
      <c r="E2468" t="s">
        <v>144</v>
      </c>
      <c r="F2468">
        <v>6.93</v>
      </c>
      <c r="J2468" s="18"/>
      <c r="K2468" s="18"/>
      <c r="L2468" s="18"/>
      <c r="M2468" s="18"/>
    </row>
    <row r="2469" spans="3:13">
      <c r="C2469" t="s">
        <v>124</v>
      </c>
      <c r="D2469">
        <v>2021</v>
      </c>
      <c r="E2469" t="s">
        <v>146</v>
      </c>
      <c r="F2469">
        <v>37.799999999999997</v>
      </c>
      <c r="J2469" s="18"/>
      <c r="K2469" s="18"/>
      <c r="L2469" s="18"/>
      <c r="M2469" s="18"/>
    </row>
    <row r="2470" spans="3:13">
      <c r="C2470" t="s">
        <v>124</v>
      </c>
      <c r="D2470">
        <v>2021</v>
      </c>
      <c r="E2470" t="s">
        <v>147</v>
      </c>
      <c r="F2470">
        <v>47.67</v>
      </c>
      <c r="J2470" s="18"/>
      <c r="K2470" s="18"/>
      <c r="L2470" s="18"/>
      <c r="M2470" s="18"/>
    </row>
    <row r="2471" spans="3:13">
      <c r="C2471" t="s">
        <v>124</v>
      </c>
      <c r="D2471">
        <v>2021</v>
      </c>
      <c r="E2471" t="s">
        <v>145</v>
      </c>
      <c r="F2471">
        <v>265.85000000000002</v>
      </c>
      <c r="J2471" s="18"/>
      <c r="K2471" s="18"/>
      <c r="L2471" s="18"/>
      <c r="M2471" s="18"/>
    </row>
    <row r="2472" spans="3:13">
      <c r="C2472" t="s">
        <v>124</v>
      </c>
      <c r="D2472">
        <v>2021</v>
      </c>
      <c r="E2472" t="s">
        <v>141</v>
      </c>
      <c r="F2472">
        <v>1327.82</v>
      </c>
      <c r="J2472" s="18"/>
      <c r="K2472" s="18"/>
      <c r="L2472" s="18"/>
      <c r="M2472" s="18"/>
    </row>
    <row r="2473" spans="3:13">
      <c r="C2473" t="s">
        <v>124</v>
      </c>
      <c r="D2473">
        <v>2021</v>
      </c>
      <c r="E2473" t="s">
        <v>142</v>
      </c>
      <c r="F2473">
        <v>2242.5700000000002</v>
      </c>
      <c r="J2473" s="18"/>
      <c r="K2473" s="18"/>
      <c r="L2473" s="18"/>
      <c r="M2473" s="18"/>
    </row>
    <row r="2474" spans="3:13">
      <c r="C2474" t="s">
        <v>124</v>
      </c>
      <c r="D2474">
        <v>2021</v>
      </c>
      <c r="E2474" t="s">
        <v>143</v>
      </c>
      <c r="F2474">
        <v>1830.28</v>
      </c>
      <c r="J2474" s="18"/>
      <c r="K2474" s="18"/>
      <c r="L2474" s="18"/>
      <c r="M2474" s="18"/>
    </row>
    <row r="2475" spans="3:13">
      <c r="C2475" t="s">
        <v>124</v>
      </c>
      <c r="D2475">
        <v>2021</v>
      </c>
      <c r="E2475" t="s">
        <v>144</v>
      </c>
      <c r="F2475">
        <v>7.74</v>
      </c>
      <c r="J2475" s="18"/>
      <c r="K2475" s="18"/>
      <c r="L2475" s="18"/>
      <c r="M2475" s="18"/>
    </row>
    <row r="2476" spans="3:13">
      <c r="C2476" t="s">
        <v>124</v>
      </c>
      <c r="D2476">
        <v>2022</v>
      </c>
      <c r="E2476" t="s">
        <v>146</v>
      </c>
      <c r="F2476">
        <v>37.93</v>
      </c>
      <c r="J2476" s="18"/>
      <c r="K2476" s="18"/>
      <c r="L2476" s="18"/>
      <c r="M2476" s="18"/>
    </row>
    <row r="2477" spans="3:13">
      <c r="C2477" t="s">
        <v>124</v>
      </c>
      <c r="D2477">
        <v>2022</v>
      </c>
      <c r="E2477" t="s">
        <v>147</v>
      </c>
      <c r="F2477">
        <v>47.77</v>
      </c>
      <c r="J2477" s="18"/>
      <c r="K2477" s="18"/>
      <c r="L2477" s="18"/>
      <c r="M2477" s="18"/>
    </row>
    <row r="2478" spans="3:13">
      <c r="C2478" t="s">
        <v>124</v>
      </c>
      <c r="D2478">
        <v>2022</v>
      </c>
      <c r="E2478" t="s">
        <v>145</v>
      </c>
      <c r="F2478">
        <v>274.69</v>
      </c>
      <c r="J2478" s="18"/>
      <c r="K2478" s="18"/>
      <c r="L2478" s="18"/>
      <c r="M2478" s="18"/>
    </row>
    <row r="2479" spans="3:13">
      <c r="C2479" t="s">
        <v>124</v>
      </c>
      <c r="D2479">
        <v>2022</v>
      </c>
      <c r="E2479" t="s">
        <v>141</v>
      </c>
      <c r="F2479">
        <v>1389.22</v>
      </c>
      <c r="J2479" s="18"/>
      <c r="K2479" s="18"/>
      <c r="L2479" s="18"/>
      <c r="M2479" s="18"/>
    </row>
    <row r="2480" spans="3:13">
      <c r="C2480" t="s">
        <v>124</v>
      </c>
      <c r="D2480">
        <v>2022</v>
      </c>
      <c r="E2480" t="s">
        <v>142</v>
      </c>
      <c r="F2480">
        <v>2294.89</v>
      </c>
      <c r="J2480" s="18"/>
      <c r="K2480" s="18"/>
      <c r="L2480" s="18"/>
      <c r="M2480" s="18"/>
    </row>
    <row r="2481" spans="3:13">
      <c r="C2481" t="s">
        <v>124</v>
      </c>
      <c r="D2481">
        <v>2022</v>
      </c>
      <c r="E2481" t="s">
        <v>143</v>
      </c>
      <c r="F2481">
        <v>1911.19</v>
      </c>
      <c r="J2481" s="18"/>
      <c r="K2481" s="18"/>
      <c r="L2481" s="18"/>
      <c r="M2481" s="18"/>
    </row>
    <row r="2482" spans="3:13">
      <c r="C2482" t="s">
        <v>124</v>
      </c>
      <c r="D2482">
        <v>2022</v>
      </c>
      <c r="E2482" t="s">
        <v>144</v>
      </c>
      <c r="F2482">
        <v>8.07</v>
      </c>
      <c r="J2482" s="18"/>
      <c r="K2482" s="18"/>
      <c r="L2482" s="18"/>
      <c r="M2482" s="18"/>
    </row>
    <row r="2483" spans="3:13">
      <c r="C2483" t="s">
        <v>124</v>
      </c>
      <c r="D2483">
        <v>2023</v>
      </c>
      <c r="E2483" t="s">
        <v>146</v>
      </c>
      <c r="F2483">
        <v>38.04</v>
      </c>
      <c r="J2483" s="18"/>
      <c r="K2483" s="18"/>
      <c r="L2483" s="18"/>
      <c r="M2483" s="18"/>
    </row>
    <row r="2484" spans="3:13">
      <c r="C2484" t="s">
        <v>124</v>
      </c>
      <c r="D2484">
        <v>2023</v>
      </c>
      <c r="E2484" t="s">
        <v>147</v>
      </c>
      <c r="F2484">
        <v>47.84</v>
      </c>
      <c r="J2484" s="18"/>
      <c r="K2484" s="18"/>
      <c r="L2484" s="18"/>
      <c r="M2484" s="18"/>
    </row>
    <row r="2485" spans="3:13">
      <c r="C2485" t="s">
        <v>124</v>
      </c>
      <c r="D2485">
        <v>2023</v>
      </c>
      <c r="E2485" t="s">
        <v>145</v>
      </c>
      <c r="F2485">
        <v>282.97000000000003</v>
      </c>
      <c r="J2485" s="18"/>
      <c r="K2485" s="18"/>
      <c r="L2485" s="18"/>
      <c r="M2485" s="18"/>
    </row>
    <row r="2486" spans="3:13">
      <c r="C2486" t="s">
        <v>124</v>
      </c>
      <c r="D2486">
        <v>2023</v>
      </c>
      <c r="E2486" t="s">
        <v>141</v>
      </c>
      <c r="F2486">
        <v>1439.81</v>
      </c>
      <c r="J2486" s="18"/>
      <c r="K2486" s="18"/>
      <c r="L2486" s="18"/>
      <c r="M2486" s="18"/>
    </row>
    <row r="2487" spans="3:13">
      <c r="C2487" t="s">
        <v>124</v>
      </c>
      <c r="D2487">
        <v>2023</v>
      </c>
      <c r="E2487" t="s">
        <v>142</v>
      </c>
      <c r="F2487">
        <v>2367.1</v>
      </c>
      <c r="J2487" s="18"/>
      <c r="K2487" s="18"/>
      <c r="L2487" s="18"/>
      <c r="M2487" s="18"/>
    </row>
    <row r="2488" spans="3:13">
      <c r="C2488" t="s">
        <v>124</v>
      </c>
      <c r="D2488">
        <v>2023</v>
      </c>
      <c r="E2488" t="s">
        <v>143</v>
      </c>
      <c r="F2488">
        <v>1978.46</v>
      </c>
      <c r="J2488" s="18"/>
      <c r="K2488" s="18"/>
      <c r="L2488" s="18"/>
      <c r="M2488" s="18"/>
    </row>
    <row r="2489" spans="3:13">
      <c r="C2489" t="s">
        <v>124</v>
      </c>
      <c r="D2489">
        <v>2023</v>
      </c>
      <c r="E2489" t="s">
        <v>144</v>
      </c>
      <c r="F2489">
        <v>8.15</v>
      </c>
      <c r="J2489" s="18"/>
      <c r="K2489" s="18"/>
      <c r="L2489" s="18"/>
      <c r="M2489" s="18"/>
    </row>
    <row r="2490" spans="3:13">
      <c r="C2490" t="s">
        <v>124</v>
      </c>
      <c r="D2490">
        <v>2024</v>
      </c>
      <c r="E2490" t="s">
        <v>146</v>
      </c>
      <c r="F2490">
        <v>38.14</v>
      </c>
      <c r="J2490" s="18"/>
      <c r="K2490" s="18"/>
      <c r="L2490" s="18"/>
      <c r="M2490" s="18"/>
    </row>
    <row r="2491" spans="3:13">
      <c r="C2491" t="s">
        <v>124</v>
      </c>
      <c r="D2491">
        <v>2024</v>
      </c>
      <c r="E2491" t="s">
        <v>147</v>
      </c>
      <c r="F2491">
        <v>47.91</v>
      </c>
      <c r="J2491" s="18"/>
      <c r="K2491" s="18"/>
      <c r="L2491" s="18"/>
      <c r="M2491" s="18"/>
    </row>
    <row r="2492" spans="3:13">
      <c r="C2492" t="s">
        <v>124</v>
      </c>
      <c r="D2492">
        <v>2024</v>
      </c>
      <c r="E2492" t="s">
        <v>145</v>
      </c>
      <c r="F2492">
        <v>290.44</v>
      </c>
      <c r="J2492" s="18"/>
      <c r="K2492" s="18"/>
      <c r="L2492" s="18"/>
      <c r="M2492" s="18"/>
    </row>
    <row r="2493" spans="3:13">
      <c r="C2493" t="s">
        <v>124</v>
      </c>
      <c r="D2493">
        <v>2024</v>
      </c>
      <c r="E2493" t="s">
        <v>141</v>
      </c>
      <c r="F2493">
        <v>1488.11</v>
      </c>
      <c r="J2493" s="18"/>
      <c r="K2493" s="18"/>
      <c r="L2493" s="18"/>
      <c r="M2493" s="18"/>
    </row>
    <row r="2494" spans="3:13">
      <c r="C2494" t="s">
        <v>124</v>
      </c>
      <c r="D2494">
        <v>2024</v>
      </c>
      <c r="E2494" t="s">
        <v>142</v>
      </c>
      <c r="F2494">
        <v>2425.96</v>
      </c>
      <c r="J2494" s="18"/>
      <c r="K2494" s="18"/>
      <c r="L2494" s="18"/>
      <c r="M2494" s="18"/>
    </row>
    <row r="2495" spans="3:13">
      <c r="C2495" t="s">
        <v>124</v>
      </c>
      <c r="D2495">
        <v>2024</v>
      </c>
      <c r="E2495" t="s">
        <v>143</v>
      </c>
      <c r="F2495">
        <v>2040.17</v>
      </c>
      <c r="J2495" s="18"/>
      <c r="K2495" s="18"/>
      <c r="L2495" s="18"/>
      <c r="M2495" s="18"/>
    </row>
    <row r="2496" spans="3:13">
      <c r="C2496" t="s">
        <v>124</v>
      </c>
      <c r="D2496">
        <v>2024</v>
      </c>
      <c r="E2496" t="s">
        <v>144</v>
      </c>
      <c r="F2496">
        <v>8.23</v>
      </c>
      <c r="J2496" s="18"/>
      <c r="K2496" s="18"/>
      <c r="L2496" s="18"/>
      <c r="M2496" s="18"/>
    </row>
    <row r="2497" spans="3:13">
      <c r="C2497" t="s">
        <v>124</v>
      </c>
      <c r="D2497">
        <v>2025</v>
      </c>
      <c r="E2497" t="s">
        <v>146</v>
      </c>
      <c r="F2497">
        <v>38.24</v>
      </c>
      <c r="J2497" s="18"/>
      <c r="K2497" s="18"/>
      <c r="L2497" s="18"/>
      <c r="M2497" s="18"/>
    </row>
    <row r="2498" spans="3:13">
      <c r="C2498" t="s">
        <v>124</v>
      </c>
      <c r="D2498">
        <v>2025</v>
      </c>
      <c r="E2498" t="s">
        <v>147</v>
      </c>
      <c r="F2498">
        <v>47.97</v>
      </c>
      <c r="J2498" s="18"/>
      <c r="K2498" s="18"/>
      <c r="L2498" s="18"/>
      <c r="M2498" s="18"/>
    </row>
    <row r="2499" spans="3:13">
      <c r="C2499" t="s">
        <v>124</v>
      </c>
      <c r="D2499">
        <v>2025</v>
      </c>
      <c r="E2499" t="s">
        <v>145</v>
      </c>
      <c r="F2499">
        <v>297.86</v>
      </c>
      <c r="J2499" s="18"/>
      <c r="K2499" s="18"/>
      <c r="L2499" s="18"/>
      <c r="M2499" s="18"/>
    </row>
    <row r="2500" spans="3:13">
      <c r="C2500" t="s">
        <v>124</v>
      </c>
      <c r="D2500">
        <v>2025</v>
      </c>
      <c r="E2500" t="s">
        <v>141</v>
      </c>
      <c r="F2500">
        <v>1536.58</v>
      </c>
      <c r="J2500" s="18"/>
      <c r="K2500" s="18"/>
      <c r="L2500" s="18"/>
      <c r="M2500" s="18"/>
    </row>
    <row r="2501" spans="3:13">
      <c r="C2501" t="s">
        <v>124</v>
      </c>
      <c r="D2501">
        <v>2025</v>
      </c>
      <c r="E2501" t="s">
        <v>142</v>
      </c>
      <c r="F2501">
        <v>2508.38</v>
      </c>
      <c r="J2501" s="18"/>
      <c r="K2501" s="18"/>
      <c r="L2501" s="18"/>
      <c r="M2501" s="18"/>
    </row>
    <row r="2502" spans="3:13">
      <c r="C2502" t="s">
        <v>124</v>
      </c>
      <c r="D2502">
        <v>2025</v>
      </c>
      <c r="E2502" t="s">
        <v>143</v>
      </c>
      <c r="F2502">
        <v>2101.15</v>
      </c>
      <c r="J2502" s="18"/>
      <c r="K2502" s="18"/>
      <c r="L2502" s="18"/>
      <c r="M2502" s="18"/>
    </row>
    <row r="2503" spans="3:13">
      <c r="C2503" t="s">
        <v>124</v>
      </c>
      <c r="D2503">
        <v>2025</v>
      </c>
      <c r="E2503" t="s">
        <v>144</v>
      </c>
      <c r="F2503">
        <v>8.36</v>
      </c>
      <c r="J2503" s="18"/>
      <c r="K2503" s="18"/>
      <c r="L2503" s="18"/>
      <c r="M2503" s="18"/>
    </row>
    <row r="2504" spans="3:13">
      <c r="C2504" t="s">
        <v>124</v>
      </c>
      <c r="D2504">
        <v>2026</v>
      </c>
      <c r="E2504" t="s">
        <v>146</v>
      </c>
      <c r="F2504">
        <v>38.340000000000003</v>
      </c>
      <c r="J2504" s="18"/>
      <c r="K2504" s="18"/>
      <c r="L2504" s="18"/>
      <c r="M2504" s="18"/>
    </row>
    <row r="2505" spans="3:13">
      <c r="C2505" t="s">
        <v>124</v>
      </c>
      <c r="D2505">
        <v>2026</v>
      </c>
      <c r="E2505" t="s">
        <v>147</v>
      </c>
      <c r="F2505">
        <v>48.04</v>
      </c>
      <c r="J2505" s="18"/>
      <c r="K2505" s="18"/>
      <c r="L2505" s="18"/>
      <c r="M2505" s="18"/>
    </row>
    <row r="2506" spans="3:13">
      <c r="C2506" t="s">
        <v>124</v>
      </c>
      <c r="D2506">
        <v>2026</v>
      </c>
      <c r="E2506" t="s">
        <v>145</v>
      </c>
      <c r="F2506">
        <v>304.79000000000002</v>
      </c>
      <c r="J2506" s="18"/>
      <c r="K2506" s="18"/>
      <c r="L2506" s="18"/>
      <c r="M2506" s="18"/>
    </row>
    <row r="2507" spans="3:13">
      <c r="C2507" t="s">
        <v>124</v>
      </c>
      <c r="D2507">
        <v>2026</v>
      </c>
      <c r="E2507" t="s">
        <v>141</v>
      </c>
      <c r="F2507">
        <v>1589.11</v>
      </c>
      <c r="J2507" s="18"/>
      <c r="K2507" s="18"/>
      <c r="L2507" s="18"/>
      <c r="M2507" s="18"/>
    </row>
    <row r="2508" spans="3:13">
      <c r="C2508" t="s">
        <v>124</v>
      </c>
      <c r="D2508">
        <v>2026</v>
      </c>
      <c r="E2508" t="s">
        <v>142</v>
      </c>
      <c r="F2508">
        <v>2565.75</v>
      </c>
      <c r="J2508" s="18"/>
      <c r="K2508" s="18"/>
      <c r="L2508" s="18"/>
      <c r="M2508" s="18"/>
    </row>
    <row r="2509" spans="3:13">
      <c r="C2509" t="s">
        <v>124</v>
      </c>
      <c r="D2509">
        <v>2026</v>
      </c>
      <c r="E2509" t="s">
        <v>143</v>
      </c>
      <c r="F2509">
        <v>2165.41</v>
      </c>
      <c r="J2509" s="18"/>
      <c r="K2509" s="18"/>
      <c r="L2509" s="18"/>
      <c r="M2509" s="18"/>
    </row>
    <row r="2510" spans="3:13">
      <c r="C2510" t="s">
        <v>124</v>
      </c>
      <c r="D2510">
        <v>2026</v>
      </c>
      <c r="E2510" t="s">
        <v>144</v>
      </c>
      <c r="F2510">
        <v>8.6300000000000008</v>
      </c>
      <c r="J2510" s="18"/>
      <c r="K2510" s="18"/>
      <c r="L2510" s="18"/>
      <c r="M2510" s="18"/>
    </row>
    <row r="2511" spans="3:13">
      <c r="C2511" t="s">
        <v>124</v>
      </c>
      <c r="D2511">
        <v>2027</v>
      </c>
      <c r="E2511" t="s">
        <v>146</v>
      </c>
      <c r="F2511">
        <v>38.44</v>
      </c>
      <c r="J2511" s="18"/>
      <c r="K2511" s="18"/>
      <c r="L2511" s="18"/>
      <c r="M2511" s="18"/>
    </row>
    <row r="2512" spans="3:13">
      <c r="C2512" t="s">
        <v>124</v>
      </c>
      <c r="D2512">
        <v>2027</v>
      </c>
      <c r="E2512" t="s">
        <v>147</v>
      </c>
      <c r="F2512">
        <v>48.09</v>
      </c>
      <c r="J2512" s="18"/>
      <c r="K2512" s="18"/>
      <c r="L2512" s="18"/>
      <c r="M2512" s="18"/>
    </row>
    <row r="2513" spans="3:13">
      <c r="C2513" t="s">
        <v>124</v>
      </c>
      <c r="D2513">
        <v>2027</v>
      </c>
      <c r="E2513" t="s">
        <v>145</v>
      </c>
      <c r="F2513">
        <v>311.92</v>
      </c>
      <c r="J2513" s="18"/>
      <c r="K2513" s="18"/>
      <c r="L2513" s="18"/>
      <c r="M2513" s="18"/>
    </row>
    <row r="2514" spans="3:13">
      <c r="C2514" t="s">
        <v>124</v>
      </c>
      <c r="D2514">
        <v>2027</v>
      </c>
      <c r="E2514" t="s">
        <v>141</v>
      </c>
      <c r="F2514">
        <v>1642.51</v>
      </c>
      <c r="J2514" s="18"/>
      <c r="K2514" s="18"/>
      <c r="L2514" s="18"/>
      <c r="M2514" s="18"/>
    </row>
    <row r="2515" spans="3:13">
      <c r="C2515" t="s">
        <v>124</v>
      </c>
      <c r="D2515">
        <v>2027</v>
      </c>
      <c r="E2515" t="s">
        <v>142</v>
      </c>
      <c r="F2515">
        <v>2640.82</v>
      </c>
      <c r="J2515" s="18"/>
      <c r="K2515" s="18"/>
      <c r="L2515" s="18"/>
      <c r="M2515" s="18"/>
    </row>
    <row r="2516" spans="3:13">
      <c r="C2516" t="s">
        <v>124</v>
      </c>
      <c r="D2516">
        <v>2027</v>
      </c>
      <c r="E2516" t="s">
        <v>143</v>
      </c>
      <c r="F2516">
        <v>2229.6999999999998</v>
      </c>
      <c r="J2516" s="18"/>
      <c r="K2516" s="18"/>
      <c r="L2516" s="18"/>
      <c r="M2516" s="18"/>
    </row>
    <row r="2517" spans="3:13">
      <c r="C2517" t="s">
        <v>124</v>
      </c>
      <c r="D2517">
        <v>2027</v>
      </c>
      <c r="E2517" t="s">
        <v>144</v>
      </c>
      <c r="F2517">
        <v>9.01</v>
      </c>
      <c r="J2517" s="18"/>
      <c r="K2517" s="18"/>
      <c r="L2517" s="18"/>
      <c r="M2517" s="18"/>
    </row>
    <row r="2518" spans="3:13">
      <c r="C2518" t="s">
        <v>124</v>
      </c>
      <c r="D2518">
        <v>2028</v>
      </c>
      <c r="E2518" t="s">
        <v>146</v>
      </c>
      <c r="F2518">
        <v>38.53</v>
      </c>
      <c r="J2518" s="18"/>
      <c r="K2518" s="18"/>
      <c r="L2518" s="18"/>
      <c r="M2518" s="18"/>
    </row>
    <row r="2519" spans="3:13">
      <c r="C2519" t="s">
        <v>124</v>
      </c>
      <c r="D2519">
        <v>2028</v>
      </c>
      <c r="E2519" t="s">
        <v>147</v>
      </c>
      <c r="F2519">
        <v>48.15</v>
      </c>
      <c r="J2519" s="18"/>
      <c r="K2519" s="18"/>
      <c r="L2519" s="18"/>
      <c r="M2519" s="18"/>
    </row>
    <row r="2520" spans="3:13">
      <c r="C2520" t="s">
        <v>124</v>
      </c>
      <c r="D2520">
        <v>2028</v>
      </c>
      <c r="E2520" t="s">
        <v>145</v>
      </c>
      <c r="F2520">
        <v>319.33</v>
      </c>
      <c r="J2520" s="18"/>
      <c r="K2520" s="18"/>
      <c r="L2520" s="18"/>
      <c r="M2520" s="18"/>
    </row>
    <row r="2521" spans="3:13">
      <c r="C2521" t="s">
        <v>124</v>
      </c>
      <c r="D2521">
        <v>2028</v>
      </c>
      <c r="E2521" t="s">
        <v>141</v>
      </c>
      <c r="F2521">
        <v>1695.55</v>
      </c>
      <c r="J2521" s="18"/>
      <c r="K2521" s="18"/>
      <c r="L2521" s="18"/>
      <c r="M2521" s="18"/>
    </row>
    <row r="2522" spans="3:13">
      <c r="C2522" t="s">
        <v>124</v>
      </c>
      <c r="D2522">
        <v>2028</v>
      </c>
      <c r="E2522" t="s">
        <v>142</v>
      </c>
      <c r="F2522">
        <v>2706.41</v>
      </c>
      <c r="J2522" s="18"/>
      <c r="K2522" s="18"/>
      <c r="L2522" s="18"/>
      <c r="M2522" s="18"/>
    </row>
    <row r="2523" spans="3:13">
      <c r="C2523" t="s">
        <v>124</v>
      </c>
      <c r="D2523">
        <v>2028</v>
      </c>
      <c r="E2523" t="s">
        <v>143</v>
      </c>
      <c r="F2523">
        <v>2292.48</v>
      </c>
      <c r="J2523" s="18"/>
      <c r="K2523" s="18"/>
      <c r="L2523" s="18"/>
      <c r="M2523" s="18"/>
    </row>
    <row r="2524" spans="3:13">
      <c r="C2524" t="s">
        <v>124</v>
      </c>
      <c r="D2524">
        <v>2028</v>
      </c>
      <c r="E2524" t="s">
        <v>144</v>
      </c>
      <c r="F2524">
        <v>9.49</v>
      </c>
      <c r="J2524" s="18"/>
      <c r="K2524" s="18"/>
      <c r="L2524" s="18"/>
      <c r="M2524" s="18"/>
    </row>
    <row r="2525" spans="3:13">
      <c r="C2525" t="s">
        <v>124</v>
      </c>
      <c r="D2525">
        <v>2029</v>
      </c>
      <c r="E2525" t="s">
        <v>146</v>
      </c>
      <c r="F2525">
        <v>38.619999999999997</v>
      </c>
      <c r="J2525" s="18"/>
      <c r="K2525" s="18"/>
      <c r="L2525" s="18"/>
      <c r="M2525" s="18"/>
    </row>
    <row r="2526" spans="3:13">
      <c r="C2526" t="s">
        <v>124</v>
      </c>
      <c r="D2526">
        <v>2029</v>
      </c>
      <c r="E2526" t="s">
        <v>147</v>
      </c>
      <c r="F2526">
        <v>48.2</v>
      </c>
      <c r="J2526" s="18"/>
      <c r="K2526" s="18"/>
      <c r="L2526" s="18"/>
      <c r="M2526" s="18"/>
    </row>
    <row r="2527" spans="3:13">
      <c r="C2527" t="s">
        <v>124</v>
      </c>
      <c r="D2527">
        <v>2029</v>
      </c>
      <c r="E2527" t="s">
        <v>145</v>
      </c>
      <c r="F2527">
        <v>326.93</v>
      </c>
      <c r="J2527" s="18"/>
      <c r="K2527" s="18"/>
      <c r="L2527" s="18"/>
      <c r="M2527" s="18"/>
    </row>
    <row r="2528" spans="3:13">
      <c r="C2528" t="s">
        <v>124</v>
      </c>
      <c r="D2528">
        <v>2029</v>
      </c>
      <c r="E2528" t="s">
        <v>141</v>
      </c>
      <c r="F2528">
        <v>1747.67</v>
      </c>
      <c r="J2528" s="18"/>
      <c r="K2528" s="18"/>
      <c r="L2528" s="18"/>
      <c r="M2528" s="18"/>
    </row>
    <row r="2529" spans="3:13">
      <c r="C2529" t="s">
        <v>124</v>
      </c>
      <c r="D2529">
        <v>2029</v>
      </c>
      <c r="E2529" t="s">
        <v>142</v>
      </c>
      <c r="F2529">
        <v>2788.09</v>
      </c>
      <c r="J2529" s="18"/>
      <c r="K2529" s="18"/>
      <c r="L2529" s="18"/>
      <c r="M2529" s="18"/>
    </row>
    <row r="2530" spans="3:13">
      <c r="C2530" t="s">
        <v>124</v>
      </c>
      <c r="D2530">
        <v>2029</v>
      </c>
      <c r="E2530" t="s">
        <v>143</v>
      </c>
      <c r="F2530">
        <v>2357.0100000000002</v>
      </c>
      <c r="J2530" s="18"/>
      <c r="K2530" s="18"/>
      <c r="L2530" s="18"/>
      <c r="M2530" s="18"/>
    </row>
    <row r="2531" spans="3:13">
      <c r="C2531" t="s">
        <v>124</v>
      </c>
      <c r="D2531">
        <v>2029</v>
      </c>
      <c r="E2531" t="s">
        <v>144</v>
      </c>
      <c r="F2531">
        <v>10.1</v>
      </c>
      <c r="J2531" s="18"/>
      <c r="K2531" s="18"/>
      <c r="L2531" s="18"/>
      <c r="M2531" s="18"/>
    </row>
    <row r="2532" spans="3:13">
      <c r="C2532" t="s">
        <v>124</v>
      </c>
      <c r="D2532">
        <v>2030</v>
      </c>
      <c r="E2532" t="s">
        <v>146</v>
      </c>
      <c r="F2532">
        <v>38.71</v>
      </c>
      <c r="J2532" s="18"/>
      <c r="K2532" s="18"/>
      <c r="L2532" s="18"/>
      <c r="M2532" s="18"/>
    </row>
    <row r="2533" spans="3:13">
      <c r="C2533" t="s">
        <v>124</v>
      </c>
      <c r="D2533">
        <v>2030</v>
      </c>
      <c r="E2533" t="s">
        <v>147</v>
      </c>
      <c r="F2533">
        <v>48.26</v>
      </c>
      <c r="J2533" s="18"/>
      <c r="K2533" s="18"/>
      <c r="L2533" s="18"/>
      <c r="M2533" s="18"/>
    </row>
    <row r="2534" spans="3:13">
      <c r="C2534" t="s">
        <v>124</v>
      </c>
      <c r="D2534">
        <v>2030</v>
      </c>
      <c r="E2534" t="s">
        <v>145</v>
      </c>
      <c r="F2534">
        <v>334.74</v>
      </c>
      <c r="J2534" s="18"/>
      <c r="K2534" s="18"/>
      <c r="L2534" s="18"/>
      <c r="M2534" s="18"/>
    </row>
    <row r="2535" spans="3:13">
      <c r="C2535" t="s">
        <v>124</v>
      </c>
      <c r="D2535">
        <v>2030</v>
      </c>
      <c r="E2535" t="s">
        <v>141</v>
      </c>
      <c r="F2535">
        <v>1799.48</v>
      </c>
      <c r="J2535" s="18"/>
      <c r="K2535" s="18"/>
      <c r="L2535" s="18"/>
      <c r="M2535" s="18"/>
    </row>
    <row r="2536" spans="3:13">
      <c r="C2536" t="s">
        <v>124</v>
      </c>
      <c r="D2536">
        <v>2030</v>
      </c>
      <c r="E2536" t="s">
        <v>142</v>
      </c>
      <c r="F2536">
        <v>2858.8</v>
      </c>
      <c r="J2536" s="18"/>
      <c r="K2536" s="18"/>
      <c r="L2536" s="18"/>
      <c r="M2536" s="18"/>
    </row>
    <row r="2537" spans="3:13">
      <c r="C2537" t="s">
        <v>124</v>
      </c>
      <c r="D2537">
        <v>2030</v>
      </c>
      <c r="E2537" t="s">
        <v>143</v>
      </c>
      <c r="F2537">
        <v>2421.7600000000002</v>
      </c>
      <c r="J2537" s="18"/>
      <c r="K2537" s="18"/>
      <c r="L2537" s="18"/>
      <c r="M2537" s="18"/>
    </row>
    <row r="2538" spans="3:13">
      <c r="C2538" t="s">
        <v>124</v>
      </c>
      <c r="D2538">
        <v>2030</v>
      </c>
      <c r="E2538" t="s">
        <v>144</v>
      </c>
      <c r="F2538">
        <v>10.82</v>
      </c>
      <c r="J2538" s="18"/>
      <c r="K2538" s="18"/>
      <c r="L2538" s="18"/>
      <c r="M2538" s="18"/>
    </row>
    <row r="2539" spans="3:13">
      <c r="C2539" t="s">
        <v>124</v>
      </c>
      <c r="D2539">
        <v>2031</v>
      </c>
      <c r="E2539" t="s">
        <v>146</v>
      </c>
      <c r="F2539">
        <v>38.799999999999997</v>
      </c>
      <c r="J2539" s="18"/>
      <c r="K2539" s="18"/>
      <c r="L2539" s="18"/>
      <c r="M2539" s="18"/>
    </row>
    <row r="2540" spans="3:13">
      <c r="C2540" t="s">
        <v>124</v>
      </c>
      <c r="D2540">
        <v>2031</v>
      </c>
      <c r="E2540" t="s">
        <v>147</v>
      </c>
      <c r="F2540">
        <v>48.31</v>
      </c>
      <c r="J2540" s="18"/>
      <c r="K2540" s="18"/>
      <c r="L2540" s="18"/>
      <c r="M2540" s="18"/>
    </row>
    <row r="2541" spans="3:13">
      <c r="C2541" t="s">
        <v>124</v>
      </c>
      <c r="D2541">
        <v>2031</v>
      </c>
      <c r="E2541" t="s">
        <v>145</v>
      </c>
      <c r="F2541">
        <v>343.02</v>
      </c>
      <c r="J2541" s="18"/>
      <c r="K2541" s="18"/>
      <c r="L2541" s="18"/>
      <c r="M2541" s="18"/>
    </row>
    <row r="2542" spans="3:13">
      <c r="C2542" t="s">
        <v>124</v>
      </c>
      <c r="D2542">
        <v>2031</v>
      </c>
      <c r="E2542" t="s">
        <v>141</v>
      </c>
      <c r="F2542">
        <v>1840.47</v>
      </c>
      <c r="J2542" s="18"/>
      <c r="K2542" s="18"/>
      <c r="L2542" s="18"/>
      <c r="M2542" s="18"/>
    </row>
    <row r="2543" spans="3:13">
      <c r="C2543" t="s">
        <v>124</v>
      </c>
      <c r="D2543">
        <v>2031</v>
      </c>
      <c r="E2543" t="s">
        <v>142</v>
      </c>
      <c r="F2543">
        <v>2946</v>
      </c>
      <c r="J2543" s="18"/>
      <c r="K2543" s="18"/>
      <c r="L2543" s="18"/>
      <c r="M2543" s="18"/>
    </row>
    <row r="2544" spans="3:13">
      <c r="C2544" t="s">
        <v>124</v>
      </c>
      <c r="D2544">
        <v>2031</v>
      </c>
      <c r="E2544" t="s">
        <v>143</v>
      </c>
      <c r="F2544">
        <v>2474.0300000000002</v>
      </c>
      <c r="J2544" s="18"/>
      <c r="K2544" s="18"/>
      <c r="L2544" s="18"/>
      <c r="M2544" s="18"/>
    </row>
    <row r="2545" spans="3:13">
      <c r="C2545" t="s">
        <v>124</v>
      </c>
      <c r="D2545">
        <v>2031</v>
      </c>
      <c r="E2545" t="s">
        <v>144</v>
      </c>
      <c r="F2545">
        <v>11.73</v>
      </c>
      <c r="J2545" s="18"/>
      <c r="K2545" s="18"/>
      <c r="L2545" s="18"/>
      <c r="M2545" s="18"/>
    </row>
    <row r="2546" spans="3:13">
      <c r="C2546" t="s">
        <v>124</v>
      </c>
      <c r="D2546">
        <v>2032</v>
      </c>
      <c r="E2546" t="s">
        <v>146</v>
      </c>
      <c r="F2546">
        <v>38.880000000000003</v>
      </c>
      <c r="J2546" s="18"/>
      <c r="K2546" s="18"/>
      <c r="L2546" s="18"/>
      <c r="M2546" s="18"/>
    </row>
    <row r="2547" spans="3:13">
      <c r="C2547" t="s">
        <v>124</v>
      </c>
      <c r="D2547">
        <v>2032</v>
      </c>
      <c r="E2547" t="s">
        <v>147</v>
      </c>
      <c r="F2547">
        <v>48.36</v>
      </c>
      <c r="J2547" s="18"/>
      <c r="K2547" s="18"/>
      <c r="L2547" s="18"/>
      <c r="M2547" s="18"/>
    </row>
    <row r="2548" spans="3:13">
      <c r="C2548" t="s">
        <v>124</v>
      </c>
      <c r="D2548">
        <v>2032</v>
      </c>
      <c r="E2548" t="s">
        <v>145</v>
      </c>
      <c r="F2548">
        <v>351.17</v>
      </c>
      <c r="J2548" s="18"/>
      <c r="K2548" s="18"/>
      <c r="L2548" s="18"/>
      <c r="M2548" s="18"/>
    </row>
    <row r="2549" spans="3:13">
      <c r="C2549" t="s">
        <v>124</v>
      </c>
      <c r="D2549">
        <v>2032</v>
      </c>
      <c r="E2549" t="s">
        <v>141</v>
      </c>
      <c r="F2549">
        <v>1881.01</v>
      </c>
      <c r="J2549" s="18"/>
      <c r="K2549" s="18"/>
      <c r="L2549" s="18"/>
      <c r="M2549" s="18"/>
    </row>
    <row r="2550" spans="3:13">
      <c r="C2550" t="s">
        <v>124</v>
      </c>
      <c r="D2550">
        <v>2032</v>
      </c>
      <c r="E2550" t="s">
        <v>142</v>
      </c>
      <c r="F2550">
        <v>3015.74</v>
      </c>
      <c r="J2550" s="18"/>
      <c r="K2550" s="18"/>
      <c r="L2550" s="18"/>
      <c r="M2550" s="18"/>
    </row>
    <row r="2551" spans="3:13">
      <c r="C2551" t="s">
        <v>124</v>
      </c>
      <c r="D2551">
        <v>2032</v>
      </c>
      <c r="E2551" t="s">
        <v>143</v>
      </c>
      <c r="F2551">
        <v>2525.73</v>
      </c>
      <c r="J2551" s="18"/>
      <c r="K2551" s="18"/>
      <c r="L2551" s="18"/>
      <c r="M2551" s="18"/>
    </row>
    <row r="2552" spans="3:13">
      <c r="C2552" t="s">
        <v>124</v>
      </c>
      <c r="D2552">
        <v>2032</v>
      </c>
      <c r="E2552" t="s">
        <v>144</v>
      </c>
      <c r="F2552">
        <v>12.88</v>
      </c>
      <c r="J2552" s="18"/>
      <c r="K2552" s="18"/>
      <c r="L2552" s="18"/>
      <c r="M2552" s="18"/>
    </row>
    <row r="2553" spans="3:13">
      <c r="C2553" t="s">
        <v>124</v>
      </c>
      <c r="D2553">
        <v>2033</v>
      </c>
      <c r="E2553" t="s">
        <v>146</v>
      </c>
      <c r="F2553">
        <v>38.97</v>
      </c>
      <c r="J2553" s="18"/>
      <c r="K2553" s="18"/>
      <c r="L2553" s="18"/>
      <c r="M2553" s="18"/>
    </row>
    <row r="2554" spans="3:13">
      <c r="C2554" t="s">
        <v>124</v>
      </c>
      <c r="D2554">
        <v>2033</v>
      </c>
      <c r="E2554" t="s">
        <v>147</v>
      </c>
      <c r="F2554">
        <v>48.41</v>
      </c>
      <c r="J2554" s="18"/>
      <c r="K2554" s="18"/>
      <c r="L2554" s="18"/>
      <c r="M2554" s="18"/>
    </row>
    <row r="2555" spans="3:13">
      <c r="C2555" t="s">
        <v>124</v>
      </c>
      <c r="D2555">
        <v>2033</v>
      </c>
      <c r="E2555" t="s">
        <v>145</v>
      </c>
      <c r="F2555">
        <v>359.2</v>
      </c>
      <c r="J2555" s="18"/>
      <c r="K2555" s="18"/>
      <c r="L2555" s="18"/>
      <c r="M2555" s="18"/>
    </row>
    <row r="2556" spans="3:13">
      <c r="C2556" t="s">
        <v>124</v>
      </c>
      <c r="D2556">
        <v>2033</v>
      </c>
      <c r="E2556" t="s">
        <v>141</v>
      </c>
      <c r="F2556">
        <v>1921.42</v>
      </c>
      <c r="J2556" s="18"/>
      <c r="K2556" s="18"/>
      <c r="L2556" s="18"/>
      <c r="M2556" s="18"/>
    </row>
    <row r="2557" spans="3:13">
      <c r="C2557" t="s">
        <v>124</v>
      </c>
      <c r="D2557">
        <v>2033</v>
      </c>
      <c r="E2557" t="s">
        <v>142</v>
      </c>
      <c r="F2557">
        <v>3114.26</v>
      </c>
      <c r="J2557" s="18"/>
      <c r="K2557" s="18"/>
      <c r="L2557" s="18"/>
      <c r="M2557" s="18"/>
    </row>
    <row r="2558" spans="3:13">
      <c r="C2558" t="s">
        <v>124</v>
      </c>
      <c r="D2558">
        <v>2033</v>
      </c>
      <c r="E2558" t="s">
        <v>143</v>
      </c>
      <c r="F2558">
        <v>2579.13</v>
      </c>
      <c r="J2558" s="18"/>
      <c r="K2558" s="18"/>
      <c r="L2558" s="18"/>
      <c r="M2558" s="18"/>
    </row>
    <row r="2559" spans="3:13">
      <c r="C2559" t="s">
        <v>124</v>
      </c>
      <c r="D2559">
        <v>2033</v>
      </c>
      <c r="E2559" t="s">
        <v>144</v>
      </c>
      <c r="F2559">
        <v>14.29</v>
      </c>
      <c r="J2559" s="18"/>
      <c r="K2559" s="18"/>
      <c r="L2559" s="18"/>
      <c r="M2559" s="18"/>
    </row>
    <row r="2560" spans="3:13">
      <c r="C2560" t="s">
        <v>124</v>
      </c>
      <c r="D2560">
        <v>2034</v>
      </c>
      <c r="E2560" t="s">
        <v>146</v>
      </c>
      <c r="F2560">
        <v>39.049999999999997</v>
      </c>
      <c r="J2560" s="18"/>
      <c r="K2560" s="18"/>
      <c r="L2560" s="18"/>
      <c r="M2560" s="18"/>
    </row>
    <row r="2561" spans="3:13">
      <c r="C2561" t="s">
        <v>124</v>
      </c>
      <c r="D2561">
        <v>2034</v>
      </c>
      <c r="E2561" t="s">
        <v>147</v>
      </c>
      <c r="F2561">
        <v>48.46</v>
      </c>
      <c r="J2561" s="18"/>
      <c r="K2561" s="18"/>
      <c r="L2561" s="18"/>
      <c r="M2561" s="18"/>
    </row>
    <row r="2562" spans="3:13">
      <c r="C2562" t="s">
        <v>124</v>
      </c>
      <c r="D2562">
        <v>2034</v>
      </c>
      <c r="E2562" t="s">
        <v>145</v>
      </c>
      <c r="F2562">
        <v>367.25</v>
      </c>
      <c r="J2562" s="18"/>
      <c r="K2562" s="18"/>
      <c r="L2562" s="18"/>
      <c r="M2562" s="18"/>
    </row>
    <row r="2563" spans="3:13">
      <c r="C2563" t="s">
        <v>124</v>
      </c>
      <c r="D2563">
        <v>2034</v>
      </c>
      <c r="E2563" t="s">
        <v>141</v>
      </c>
      <c r="F2563">
        <v>1961.9</v>
      </c>
      <c r="J2563" s="18"/>
      <c r="K2563" s="18"/>
      <c r="L2563" s="18"/>
      <c r="M2563" s="18"/>
    </row>
    <row r="2564" spans="3:13">
      <c r="C2564" t="s">
        <v>124</v>
      </c>
      <c r="D2564">
        <v>2034</v>
      </c>
      <c r="E2564" t="s">
        <v>142</v>
      </c>
      <c r="F2564">
        <v>3187.66</v>
      </c>
      <c r="J2564" s="18"/>
      <c r="K2564" s="18"/>
      <c r="L2564" s="18"/>
      <c r="M2564" s="18"/>
    </row>
    <row r="2565" spans="3:13">
      <c r="C2565" t="s">
        <v>124</v>
      </c>
      <c r="D2565">
        <v>2034</v>
      </c>
      <c r="E2565" t="s">
        <v>143</v>
      </c>
      <c r="F2565">
        <v>2632.35</v>
      </c>
      <c r="J2565" s="18"/>
      <c r="K2565" s="18"/>
      <c r="L2565" s="18"/>
      <c r="M2565" s="18"/>
    </row>
    <row r="2566" spans="3:13">
      <c r="C2566" t="s">
        <v>124</v>
      </c>
      <c r="D2566">
        <v>2034</v>
      </c>
      <c r="E2566" t="s">
        <v>144</v>
      </c>
      <c r="F2566">
        <v>15.93</v>
      </c>
      <c r="J2566" s="18"/>
      <c r="K2566" s="18"/>
      <c r="L2566" s="18"/>
      <c r="M2566" s="18"/>
    </row>
    <row r="2567" spans="3:13">
      <c r="C2567" t="s">
        <v>124</v>
      </c>
      <c r="D2567">
        <v>2035</v>
      </c>
      <c r="E2567" t="s">
        <v>146</v>
      </c>
      <c r="F2567">
        <v>39.130000000000003</v>
      </c>
      <c r="J2567" s="18"/>
      <c r="K2567" s="18"/>
      <c r="L2567" s="18"/>
      <c r="M2567" s="18"/>
    </row>
    <row r="2568" spans="3:13">
      <c r="C2568" t="s">
        <v>124</v>
      </c>
      <c r="D2568">
        <v>2035</v>
      </c>
      <c r="E2568" t="s">
        <v>147</v>
      </c>
      <c r="F2568">
        <v>48.51</v>
      </c>
      <c r="J2568" s="18"/>
      <c r="K2568" s="18"/>
      <c r="L2568" s="18"/>
      <c r="M2568" s="18"/>
    </row>
    <row r="2569" spans="3:13">
      <c r="C2569" t="s">
        <v>124</v>
      </c>
      <c r="D2569">
        <v>2035</v>
      </c>
      <c r="E2569" t="s">
        <v>145</v>
      </c>
      <c r="F2569">
        <v>375.21</v>
      </c>
      <c r="J2569" s="18"/>
      <c r="K2569" s="18"/>
      <c r="L2569" s="18"/>
      <c r="M2569" s="18"/>
    </row>
    <row r="2570" spans="3:13">
      <c r="C2570" t="s">
        <v>124</v>
      </c>
      <c r="D2570">
        <v>2035</v>
      </c>
      <c r="E2570" t="s">
        <v>141</v>
      </c>
      <c r="F2570">
        <v>2002.59</v>
      </c>
      <c r="J2570" s="18"/>
      <c r="K2570" s="18"/>
      <c r="L2570" s="18"/>
      <c r="M2570" s="18"/>
    </row>
    <row r="2571" spans="3:13">
      <c r="C2571" t="s">
        <v>124</v>
      </c>
      <c r="D2571">
        <v>2035</v>
      </c>
      <c r="E2571" t="s">
        <v>142</v>
      </c>
      <c r="F2571">
        <v>3267.02</v>
      </c>
      <c r="J2571" s="18"/>
      <c r="K2571" s="18"/>
      <c r="L2571" s="18"/>
      <c r="M2571" s="18"/>
    </row>
    <row r="2572" spans="3:13">
      <c r="C2572" t="s">
        <v>124</v>
      </c>
      <c r="D2572">
        <v>2035</v>
      </c>
      <c r="E2572" t="s">
        <v>143</v>
      </c>
      <c r="F2572">
        <v>2686.23</v>
      </c>
      <c r="J2572" s="18"/>
      <c r="K2572" s="18"/>
      <c r="L2572" s="18"/>
      <c r="M2572" s="18"/>
    </row>
    <row r="2573" spans="3:13">
      <c r="C2573" t="s">
        <v>124</v>
      </c>
      <c r="D2573">
        <v>2035</v>
      </c>
      <c r="E2573" t="s">
        <v>144</v>
      </c>
      <c r="F2573">
        <v>17.77</v>
      </c>
      <c r="J2573" s="18"/>
      <c r="K2573" s="18"/>
      <c r="L2573" s="18"/>
      <c r="M2573" s="18"/>
    </row>
    <row r="2574" spans="3:13">
      <c r="C2574" t="s">
        <v>124</v>
      </c>
      <c r="D2574">
        <v>2036</v>
      </c>
      <c r="E2574" t="s">
        <v>146</v>
      </c>
      <c r="F2574">
        <v>39.21</v>
      </c>
      <c r="J2574" s="18"/>
      <c r="K2574" s="18"/>
      <c r="L2574" s="18"/>
      <c r="M2574" s="18"/>
    </row>
    <row r="2575" spans="3:13">
      <c r="C2575" t="s">
        <v>124</v>
      </c>
      <c r="D2575">
        <v>2036</v>
      </c>
      <c r="E2575" t="s">
        <v>147</v>
      </c>
      <c r="F2575">
        <v>48.56</v>
      </c>
      <c r="J2575" s="18"/>
      <c r="K2575" s="18"/>
      <c r="L2575" s="18"/>
      <c r="M2575" s="18"/>
    </row>
    <row r="2576" spans="3:13">
      <c r="C2576" t="s">
        <v>124</v>
      </c>
      <c r="D2576">
        <v>2036</v>
      </c>
      <c r="E2576" t="s">
        <v>145</v>
      </c>
      <c r="F2576">
        <v>382.99</v>
      </c>
      <c r="J2576" s="18"/>
      <c r="K2576" s="18"/>
      <c r="L2576" s="18"/>
      <c r="M2576" s="18"/>
    </row>
    <row r="2577" spans="3:13">
      <c r="C2577" t="s">
        <v>124</v>
      </c>
      <c r="D2577">
        <v>2036</v>
      </c>
      <c r="E2577" t="s">
        <v>141</v>
      </c>
      <c r="F2577">
        <v>2058.16</v>
      </c>
      <c r="J2577" s="18"/>
      <c r="K2577" s="18"/>
      <c r="L2577" s="18"/>
      <c r="M2577" s="18"/>
    </row>
    <row r="2578" spans="3:13">
      <c r="C2578" t="s">
        <v>124</v>
      </c>
      <c r="D2578">
        <v>2036</v>
      </c>
      <c r="E2578" t="s">
        <v>142</v>
      </c>
      <c r="F2578">
        <v>3358.56</v>
      </c>
      <c r="J2578" s="18"/>
      <c r="K2578" s="18"/>
      <c r="L2578" s="18"/>
      <c r="M2578" s="18"/>
    </row>
    <row r="2579" spans="3:13">
      <c r="C2579" t="s">
        <v>124</v>
      </c>
      <c r="D2579">
        <v>2036</v>
      </c>
      <c r="E2579" t="s">
        <v>143</v>
      </c>
      <c r="F2579">
        <v>2759.97</v>
      </c>
      <c r="J2579" s="18"/>
      <c r="K2579" s="18"/>
      <c r="L2579" s="18"/>
      <c r="M2579" s="18"/>
    </row>
    <row r="2580" spans="3:13">
      <c r="C2580" t="s">
        <v>124</v>
      </c>
      <c r="D2580">
        <v>2036</v>
      </c>
      <c r="E2580" t="s">
        <v>144</v>
      </c>
      <c r="F2580">
        <v>19.989999999999998</v>
      </c>
      <c r="J2580" s="18"/>
      <c r="K2580" s="18"/>
      <c r="L2580" s="18"/>
      <c r="M2580" s="18"/>
    </row>
    <row r="2581" spans="3:13">
      <c r="C2581" t="s">
        <v>124</v>
      </c>
      <c r="D2581">
        <v>2037</v>
      </c>
      <c r="E2581" t="s">
        <v>146</v>
      </c>
      <c r="F2581">
        <v>39.29</v>
      </c>
      <c r="J2581" s="18"/>
      <c r="K2581" s="18"/>
      <c r="L2581" s="18"/>
      <c r="M2581" s="18"/>
    </row>
    <row r="2582" spans="3:13">
      <c r="C2582" t="s">
        <v>124</v>
      </c>
      <c r="D2582">
        <v>2037</v>
      </c>
      <c r="E2582" t="s">
        <v>147</v>
      </c>
      <c r="F2582">
        <v>48.61</v>
      </c>
      <c r="J2582" s="18"/>
      <c r="K2582" s="18"/>
      <c r="L2582" s="18"/>
      <c r="M2582" s="18"/>
    </row>
    <row r="2583" spans="3:13">
      <c r="C2583" t="s">
        <v>124</v>
      </c>
      <c r="D2583">
        <v>2037</v>
      </c>
      <c r="E2583" t="s">
        <v>145</v>
      </c>
      <c r="F2583">
        <v>390.76</v>
      </c>
      <c r="J2583" s="18"/>
      <c r="K2583" s="18"/>
      <c r="L2583" s="18"/>
      <c r="M2583" s="18"/>
    </row>
    <row r="2584" spans="3:13">
      <c r="C2584" t="s">
        <v>124</v>
      </c>
      <c r="D2584">
        <v>2037</v>
      </c>
      <c r="E2584" t="s">
        <v>141</v>
      </c>
      <c r="F2584">
        <v>2114.15</v>
      </c>
      <c r="J2584" s="18"/>
      <c r="K2584" s="18"/>
      <c r="L2584" s="18"/>
      <c r="M2584" s="18"/>
    </row>
    <row r="2585" spans="3:13">
      <c r="C2585" t="s">
        <v>124</v>
      </c>
      <c r="D2585">
        <v>2037</v>
      </c>
      <c r="E2585" t="s">
        <v>142</v>
      </c>
      <c r="F2585">
        <v>3432.74</v>
      </c>
      <c r="J2585" s="18"/>
      <c r="K2585" s="18"/>
      <c r="L2585" s="18"/>
      <c r="M2585" s="18"/>
    </row>
    <row r="2586" spans="3:13">
      <c r="C2586" t="s">
        <v>124</v>
      </c>
      <c r="D2586">
        <v>2037</v>
      </c>
      <c r="E2586" t="s">
        <v>143</v>
      </c>
      <c r="F2586">
        <v>2834.63</v>
      </c>
      <c r="J2586" s="18"/>
      <c r="K2586" s="18"/>
      <c r="L2586" s="18"/>
      <c r="M2586" s="18"/>
    </row>
    <row r="2587" spans="3:13">
      <c r="C2587" t="s">
        <v>124</v>
      </c>
      <c r="D2587">
        <v>2037</v>
      </c>
      <c r="E2587" t="s">
        <v>144</v>
      </c>
      <c r="F2587">
        <v>22.38</v>
      </c>
      <c r="J2587" s="18"/>
      <c r="K2587" s="18"/>
      <c r="L2587" s="18"/>
      <c r="M2587" s="18"/>
    </row>
    <row r="2588" spans="3:13">
      <c r="C2588" t="s">
        <v>124</v>
      </c>
      <c r="D2588">
        <v>2038</v>
      </c>
      <c r="E2588" t="s">
        <v>146</v>
      </c>
      <c r="F2588">
        <v>39.369999999999997</v>
      </c>
      <c r="J2588" s="18"/>
      <c r="K2588" s="18"/>
      <c r="L2588" s="18"/>
      <c r="M2588" s="18"/>
    </row>
    <row r="2589" spans="3:13">
      <c r="C2589" t="s">
        <v>124</v>
      </c>
      <c r="D2589">
        <v>2038</v>
      </c>
      <c r="E2589" t="s">
        <v>147</v>
      </c>
      <c r="F2589">
        <v>48.66</v>
      </c>
      <c r="J2589" s="18"/>
      <c r="K2589" s="18"/>
      <c r="L2589" s="18"/>
      <c r="M2589" s="18"/>
    </row>
    <row r="2590" spans="3:13">
      <c r="C2590" t="s">
        <v>124</v>
      </c>
      <c r="D2590">
        <v>2038</v>
      </c>
      <c r="E2590" t="s">
        <v>145</v>
      </c>
      <c r="F2590">
        <v>398.64</v>
      </c>
      <c r="J2590" s="18"/>
      <c r="K2590" s="18"/>
      <c r="L2590" s="18"/>
      <c r="M2590" s="18"/>
    </row>
    <row r="2591" spans="3:13">
      <c r="C2591" t="s">
        <v>124</v>
      </c>
      <c r="D2591">
        <v>2038</v>
      </c>
      <c r="E2591" t="s">
        <v>141</v>
      </c>
      <c r="F2591">
        <v>2171.37</v>
      </c>
      <c r="J2591" s="18"/>
      <c r="K2591" s="18"/>
      <c r="L2591" s="18"/>
      <c r="M2591" s="18"/>
    </row>
    <row r="2592" spans="3:13">
      <c r="C2592" t="s">
        <v>124</v>
      </c>
      <c r="D2592">
        <v>2038</v>
      </c>
      <c r="E2592" t="s">
        <v>142</v>
      </c>
      <c r="F2592">
        <v>3516.3</v>
      </c>
      <c r="J2592" s="18"/>
      <c r="K2592" s="18"/>
      <c r="L2592" s="18"/>
      <c r="M2592" s="18"/>
    </row>
    <row r="2593" spans="3:13">
      <c r="C2593" t="s">
        <v>124</v>
      </c>
      <c r="D2593">
        <v>2038</v>
      </c>
      <c r="E2593" t="s">
        <v>143</v>
      </c>
      <c r="F2593">
        <v>2911.72</v>
      </c>
      <c r="J2593" s="18"/>
      <c r="K2593" s="18"/>
      <c r="L2593" s="18"/>
      <c r="M2593" s="18"/>
    </row>
    <row r="2594" spans="3:13">
      <c r="C2594" t="s">
        <v>124</v>
      </c>
      <c r="D2594">
        <v>2038</v>
      </c>
      <c r="E2594" t="s">
        <v>144</v>
      </c>
      <c r="F2594">
        <v>24.97</v>
      </c>
      <c r="J2594" s="18"/>
      <c r="K2594" s="18"/>
      <c r="L2594" s="18"/>
      <c r="M2594" s="18"/>
    </row>
    <row r="2595" spans="3:13">
      <c r="C2595" t="s">
        <v>124</v>
      </c>
      <c r="D2595">
        <v>2039</v>
      </c>
      <c r="E2595" t="s">
        <v>146</v>
      </c>
      <c r="F2595">
        <v>39.450000000000003</v>
      </c>
      <c r="J2595" s="18"/>
      <c r="K2595" s="18"/>
      <c r="L2595" s="18"/>
      <c r="M2595" s="18"/>
    </row>
    <row r="2596" spans="3:13">
      <c r="C2596" t="s">
        <v>124</v>
      </c>
      <c r="D2596">
        <v>2039</v>
      </c>
      <c r="E2596" t="s">
        <v>147</v>
      </c>
      <c r="F2596">
        <v>48.71</v>
      </c>
      <c r="J2596" s="18"/>
      <c r="K2596" s="18"/>
      <c r="L2596" s="18"/>
      <c r="M2596" s="18"/>
    </row>
    <row r="2597" spans="3:13">
      <c r="C2597" t="s">
        <v>124</v>
      </c>
      <c r="D2597">
        <v>2039</v>
      </c>
      <c r="E2597" t="s">
        <v>145</v>
      </c>
      <c r="F2597">
        <v>406.55</v>
      </c>
      <c r="J2597" s="18"/>
      <c r="K2597" s="18"/>
      <c r="L2597" s="18"/>
      <c r="M2597" s="18"/>
    </row>
    <row r="2598" spans="3:13">
      <c r="C2598" t="s">
        <v>124</v>
      </c>
      <c r="D2598">
        <v>2039</v>
      </c>
      <c r="E2598" t="s">
        <v>141</v>
      </c>
      <c r="F2598">
        <v>2229.46</v>
      </c>
      <c r="J2598" s="18"/>
      <c r="K2598" s="18"/>
      <c r="L2598" s="18"/>
      <c r="M2598" s="18"/>
    </row>
    <row r="2599" spans="3:13">
      <c r="C2599" t="s">
        <v>124</v>
      </c>
      <c r="D2599">
        <v>2039</v>
      </c>
      <c r="E2599" t="s">
        <v>142</v>
      </c>
      <c r="F2599">
        <v>3595.23</v>
      </c>
      <c r="J2599" s="18"/>
      <c r="K2599" s="18"/>
      <c r="L2599" s="18"/>
      <c r="M2599" s="18"/>
    </row>
    <row r="2600" spans="3:13">
      <c r="C2600" t="s">
        <v>124</v>
      </c>
      <c r="D2600">
        <v>2039</v>
      </c>
      <c r="E2600" t="s">
        <v>143</v>
      </c>
      <c r="F2600">
        <v>2990.44</v>
      </c>
      <c r="J2600" s="18"/>
      <c r="K2600" s="18"/>
      <c r="L2600" s="18"/>
      <c r="M2600" s="18"/>
    </row>
    <row r="2601" spans="3:13">
      <c r="C2601" t="s">
        <v>124</v>
      </c>
      <c r="D2601">
        <v>2039</v>
      </c>
      <c r="E2601" t="s">
        <v>144</v>
      </c>
      <c r="F2601">
        <v>27.88</v>
      </c>
      <c r="J2601" s="18"/>
      <c r="K2601" s="18"/>
      <c r="L2601" s="18"/>
      <c r="M2601" s="18"/>
    </row>
    <row r="2602" spans="3:13">
      <c r="C2602" t="s">
        <v>124</v>
      </c>
      <c r="D2602">
        <v>2040</v>
      </c>
      <c r="E2602" t="s">
        <v>146</v>
      </c>
      <c r="F2602">
        <v>39.53</v>
      </c>
      <c r="J2602" s="18"/>
      <c r="K2602" s="18"/>
      <c r="L2602" s="18"/>
      <c r="M2602" s="18"/>
    </row>
    <row r="2603" spans="3:13">
      <c r="C2603" t="s">
        <v>124</v>
      </c>
      <c r="D2603">
        <v>2040</v>
      </c>
      <c r="E2603" t="s">
        <v>147</v>
      </c>
      <c r="F2603">
        <v>48.75</v>
      </c>
      <c r="J2603" s="18"/>
      <c r="K2603" s="18"/>
      <c r="L2603" s="18"/>
      <c r="M2603" s="18"/>
    </row>
    <row r="2604" spans="3:13">
      <c r="C2604" t="s">
        <v>124</v>
      </c>
      <c r="D2604">
        <v>2040</v>
      </c>
      <c r="E2604" t="s">
        <v>145</v>
      </c>
      <c r="F2604">
        <v>414.29</v>
      </c>
      <c r="J2604" s="18"/>
      <c r="K2604" s="18"/>
      <c r="L2604" s="18"/>
      <c r="M2604" s="18"/>
    </row>
    <row r="2605" spans="3:13">
      <c r="C2605" t="s">
        <v>124</v>
      </c>
      <c r="D2605">
        <v>2040</v>
      </c>
      <c r="E2605" t="s">
        <v>141</v>
      </c>
      <c r="F2605">
        <v>2288.4299999999998</v>
      </c>
      <c r="J2605" s="18"/>
      <c r="K2605" s="18"/>
      <c r="L2605" s="18"/>
      <c r="M2605" s="18"/>
    </row>
    <row r="2606" spans="3:13">
      <c r="C2606" t="s">
        <v>124</v>
      </c>
      <c r="D2606">
        <v>2040</v>
      </c>
      <c r="E2606" t="s">
        <v>142</v>
      </c>
      <c r="F2606">
        <v>3677.25</v>
      </c>
      <c r="J2606" s="18"/>
      <c r="K2606" s="18"/>
      <c r="L2606" s="18"/>
      <c r="M2606" s="18"/>
    </row>
    <row r="2607" spans="3:13">
      <c r="C2607" t="s">
        <v>124</v>
      </c>
      <c r="D2607">
        <v>2040</v>
      </c>
      <c r="E2607" t="s">
        <v>143</v>
      </c>
      <c r="F2607">
        <v>3069.01</v>
      </c>
      <c r="J2607" s="18"/>
      <c r="K2607" s="18"/>
      <c r="L2607" s="18"/>
      <c r="M2607" s="18"/>
    </row>
    <row r="2608" spans="3:13">
      <c r="C2608" t="s">
        <v>124</v>
      </c>
      <c r="D2608">
        <v>2040</v>
      </c>
      <c r="E2608" t="s">
        <v>144</v>
      </c>
      <c r="F2608">
        <v>31.07</v>
      </c>
      <c r="J2608" s="18"/>
      <c r="K2608" s="18"/>
      <c r="L2608" s="18"/>
      <c r="M2608" s="18"/>
    </row>
    <row r="2609" spans="3:13">
      <c r="C2609" t="s">
        <v>124</v>
      </c>
      <c r="D2609">
        <v>2041</v>
      </c>
      <c r="E2609" t="s">
        <v>146</v>
      </c>
      <c r="F2609">
        <v>39.6</v>
      </c>
      <c r="J2609" s="18"/>
      <c r="K2609" s="18"/>
      <c r="L2609" s="18"/>
      <c r="M2609" s="18"/>
    </row>
    <row r="2610" spans="3:13">
      <c r="C2610" t="s">
        <v>124</v>
      </c>
      <c r="D2610">
        <v>2041</v>
      </c>
      <c r="E2610" t="s">
        <v>147</v>
      </c>
      <c r="F2610">
        <v>48.8</v>
      </c>
      <c r="J2610" s="18"/>
      <c r="K2610" s="18"/>
      <c r="L2610" s="18"/>
      <c r="M2610" s="18"/>
    </row>
    <row r="2611" spans="3:13">
      <c r="C2611" t="s">
        <v>124</v>
      </c>
      <c r="D2611">
        <v>2041</v>
      </c>
      <c r="E2611" t="s">
        <v>145</v>
      </c>
      <c r="F2611">
        <v>421.78</v>
      </c>
      <c r="J2611" s="18"/>
      <c r="K2611" s="18"/>
      <c r="L2611" s="18"/>
      <c r="M2611" s="18"/>
    </row>
    <row r="2612" spans="3:13">
      <c r="C2612" t="s">
        <v>124</v>
      </c>
      <c r="D2612">
        <v>2041</v>
      </c>
      <c r="E2612" t="s">
        <v>141</v>
      </c>
      <c r="F2612">
        <v>2340.36</v>
      </c>
      <c r="J2612" s="18"/>
      <c r="K2612" s="18"/>
      <c r="L2612" s="18"/>
      <c r="M2612" s="18"/>
    </row>
    <row r="2613" spans="3:13">
      <c r="C2613" t="s">
        <v>124</v>
      </c>
      <c r="D2613">
        <v>2041</v>
      </c>
      <c r="E2613" t="s">
        <v>142</v>
      </c>
      <c r="F2613">
        <v>3758.17</v>
      </c>
      <c r="J2613" s="18"/>
      <c r="K2613" s="18"/>
      <c r="L2613" s="18"/>
      <c r="M2613" s="18"/>
    </row>
    <row r="2614" spans="3:13">
      <c r="C2614" t="s">
        <v>124</v>
      </c>
      <c r="D2614">
        <v>2041</v>
      </c>
      <c r="E2614" t="s">
        <v>143</v>
      </c>
      <c r="F2614">
        <v>3140.81</v>
      </c>
      <c r="J2614" s="18"/>
      <c r="K2614" s="18"/>
      <c r="L2614" s="18"/>
      <c r="M2614" s="18"/>
    </row>
    <row r="2615" spans="3:13">
      <c r="C2615" t="s">
        <v>124</v>
      </c>
      <c r="D2615">
        <v>2041</v>
      </c>
      <c r="E2615" t="s">
        <v>144</v>
      </c>
      <c r="F2615">
        <v>34.61</v>
      </c>
      <c r="J2615" s="18"/>
      <c r="K2615" s="18"/>
      <c r="L2615" s="18"/>
      <c r="M2615" s="18"/>
    </row>
    <row r="2616" spans="3:13">
      <c r="C2616" t="s">
        <v>124</v>
      </c>
      <c r="D2616">
        <v>2042</v>
      </c>
      <c r="E2616" t="s">
        <v>146</v>
      </c>
      <c r="F2616">
        <v>39.68</v>
      </c>
      <c r="J2616" s="18"/>
      <c r="K2616" s="18"/>
      <c r="L2616" s="18"/>
      <c r="M2616" s="18"/>
    </row>
    <row r="2617" spans="3:13">
      <c r="C2617" t="s">
        <v>124</v>
      </c>
      <c r="D2617">
        <v>2042</v>
      </c>
      <c r="E2617" t="s">
        <v>147</v>
      </c>
      <c r="F2617">
        <v>48.85</v>
      </c>
      <c r="J2617" s="18"/>
      <c r="K2617" s="18"/>
      <c r="L2617" s="18"/>
      <c r="M2617" s="18"/>
    </row>
    <row r="2618" spans="3:13">
      <c r="C2618" t="s">
        <v>124</v>
      </c>
      <c r="D2618">
        <v>2042</v>
      </c>
      <c r="E2618" t="s">
        <v>145</v>
      </c>
      <c r="F2618">
        <v>429.12</v>
      </c>
      <c r="J2618" s="18"/>
      <c r="K2618" s="18"/>
      <c r="L2618" s="18"/>
      <c r="M2618" s="18"/>
    </row>
    <row r="2619" spans="3:13">
      <c r="C2619" t="s">
        <v>124</v>
      </c>
      <c r="D2619">
        <v>2042</v>
      </c>
      <c r="E2619" t="s">
        <v>141</v>
      </c>
      <c r="F2619">
        <v>2392.19</v>
      </c>
      <c r="J2619" s="18"/>
      <c r="K2619" s="18"/>
      <c r="L2619" s="18"/>
      <c r="M2619" s="18"/>
    </row>
    <row r="2620" spans="3:13">
      <c r="C2620" t="s">
        <v>124</v>
      </c>
      <c r="D2620">
        <v>2042</v>
      </c>
      <c r="E2620" t="s">
        <v>142</v>
      </c>
      <c r="F2620">
        <v>3836.85</v>
      </c>
      <c r="J2620" s="18"/>
      <c r="K2620" s="18"/>
      <c r="L2620" s="18"/>
      <c r="M2620" s="18"/>
    </row>
    <row r="2621" spans="3:13">
      <c r="C2621" t="s">
        <v>124</v>
      </c>
      <c r="D2621">
        <v>2042</v>
      </c>
      <c r="E2621" t="s">
        <v>143</v>
      </c>
      <c r="F2621">
        <v>3213.51</v>
      </c>
      <c r="J2621" s="18"/>
      <c r="K2621" s="18"/>
      <c r="L2621" s="18"/>
      <c r="M2621" s="18"/>
    </row>
    <row r="2622" spans="3:13">
      <c r="C2622" t="s">
        <v>124</v>
      </c>
      <c r="D2622">
        <v>2042</v>
      </c>
      <c r="E2622" t="s">
        <v>144</v>
      </c>
      <c r="F2622">
        <v>38.380000000000003</v>
      </c>
      <c r="J2622" s="18"/>
      <c r="K2622" s="18"/>
      <c r="L2622" s="18"/>
      <c r="M2622" s="18"/>
    </row>
    <row r="2623" spans="3:13">
      <c r="C2623" t="s">
        <v>124</v>
      </c>
      <c r="D2623">
        <v>2043</v>
      </c>
      <c r="E2623" t="s">
        <v>146</v>
      </c>
      <c r="F2623">
        <v>39.75</v>
      </c>
      <c r="J2623" s="18"/>
      <c r="K2623" s="18"/>
      <c r="L2623" s="18"/>
      <c r="M2623" s="18"/>
    </row>
    <row r="2624" spans="3:13">
      <c r="C2624" t="s">
        <v>124</v>
      </c>
      <c r="D2624">
        <v>2043</v>
      </c>
      <c r="E2624" t="s">
        <v>147</v>
      </c>
      <c r="F2624">
        <v>48.89</v>
      </c>
      <c r="J2624" s="18"/>
      <c r="K2624" s="18"/>
      <c r="L2624" s="18"/>
      <c r="M2624" s="18"/>
    </row>
    <row r="2625" spans="3:13">
      <c r="C2625" t="s">
        <v>124</v>
      </c>
      <c r="D2625">
        <v>2043</v>
      </c>
      <c r="E2625" t="s">
        <v>145</v>
      </c>
      <c r="F2625">
        <v>436.46</v>
      </c>
      <c r="J2625" s="18"/>
      <c r="K2625" s="18"/>
      <c r="L2625" s="18"/>
      <c r="M2625" s="18"/>
    </row>
    <row r="2626" spans="3:13">
      <c r="C2626" t="s">
        <v>124</v>
      </c>
      <c r="D2626">
        <v>2043</v>
      </c>
      <c r="E2626" t="s">
        <v>141</v>
      </c>
      <c r="F2626">
        <v>2444.1799999999998</v>
      </c>
      <c r="J2626" s="18"/>
      <c r="K2626" s="18"/>
      <c r="L2626" s="18"/>
      <c r="M2626" s="18"/>
    </row>
    <row r="2627" spans="3:13">
      <c r="C2627" t="s">
        <v>124</v>
      </c>
      <c r="D2627">
        <v>2043</v>
      </c>
      <c r="E2627" t="s">
        <v>142</v>
      </c>
      <c r="F2627">
        <v>3915.59</v>
      </c>
      <c r="J2627" s="18"/>
      <c r="K2627" s="18"/>
      <c r="L2627" s="18"/>
      <c r="M2627" s="18"/>
    </row>
    <row r="2628" spans="3:13">
      <c r="C2628" t="s">
        <v>124</v>
      </c>
      <c r="D2628">
        <v>2043</v>
      </c>
      <c r="E2628" t="s">
        <v>143</v>
      </c>
      <c r="F2628">
        <v>3287.48</v>
      </c>
      <c r="J2628" s="18"/>
      <c r="K2628" s="18"/>
      <c r="L2628" s="18"/>
      <c r="M2628" s="18"/>
    </row>
    <row r="2629" spans="3:13">
      <c r="C2629" t="s">
        <v>124</v>
      </c>
      <c r="D2629">
        <v>2043</v>
      </c>
      <c r="E2629" t="s">
        <v>144</v>
      </c>
      <c r="F2629">
        <v>42.51</v>
      </c>
      <c r="J2629" s="18"/>
      <c r="K2629" s="18"/>
      <c r="L2629" s="18"/>
      <c r="M2629" s="18"/>
    </row>
    <row r="2630" spans="3:13">
      <c r="C2630" t="s">
        <v>124</v>
      </c>
      <c r="D2630">
        <v>2044</v>
      </c>
      <c r="E2630" t="s">
        <v>146</v>
      </c>
      <c r="F2630">
        <v>39.82</v>
      </c>
      <c r="J2630" s="18"/>
      <c r="K2630" s="18"/>
      <c r="L2630" s="18"/>
      <c r="M2630" s="18"/>
    </row>
    <row r="2631" spans="3:13">
      <c r="C2631" t="s">
        <v>124</v>
      </c>
      <c r="D2631">
        <v>2044</v>
      </c>
      <c r="E2631" t="s">
        <v>147</v>
      </c>
      <c r="F2631">
        <v>48.94</v>
      </c>
    </row>
    <row r="2632" spans="3:13">
      <c r="C2632" t="s">
        <v>124</v>
      </c>
      <c r="D2632">
        <v>2044</v>
      </c>
      <c r="E2632" t="s">
        <v>145</v>
      </c>
      <c r="F2632">
        <v>443.69</v>
      </c>
    </row>
    <row r="2633" spans="3:13">
      <c r="C2633" t="s">
        <v>124</v>
      </c>
      <c r="D2633">
        <v>2044</v>
      </c>
      <c r="E2633" t="s">
        <v>141</v>
      </c>
      <c r="F2633">
        <v>2496.1</v>
      </c>
    </row>
    <row r="2634" spans="3:13">
      <c r="C2634" t="s">
        <v>124</v>
      </c>
      <c r="D2634">
        <v>2044</v>
      </c>
      <c r="E2634" t="s">
        <v>142</v>
      </c>
      <c r="F2634">
        <v>3997.08</v>
      </c>
    </row>
    <row r="2635" spans="3:13">
      <c r="C2635" t="s">
        <v>124</v>
      </c>
      <c r="D2635">
        <v>2044</v>
      </c>
      <c r="E2635" t="s">
        <v>143</v>
      </c>
      <c r="F2635">
        <v>3362.2</v>
      </c>
    </row>
    <row r="2636" spans="3:13">
      <c r="C2636" t="s">
        <v>124</v>
      </c>
      <c r="D2636">
        <v>2044</v>
      </c>
      <c r="E2636" t="s">
        <v>144</v>
      </c>
      <c r="F2636">
        <v>46.87</v>
      </c>
    </row>
    <row r="2637" spans="3:13">
      <c r="C2637" t="s">
        <v>124</v>
      </c>
      <c r="D2637">
        <v>2045</v>
      </c>
      <c r="E2637" t="s">
        <v>146</v>
      </c>
      <c r="F2637">
        <v>39.89</v>
      </c>
    </row>
    <row r="2638" spans="3:13">
      <c r="C2638" t="s">
        <v>124</v>
      </c>
      <c r="D2638">
        <v>2045</v>
      </c>
      <c r="E2638" t="s">
        <v>147</v>
      </c>
      <c r="F2638">
        <v>48.98</v>
      </c>
    </row>
    <row r="2639" spans="3:13">
      <c r="C2639" t="s">
        <v>124</v>
      </c>
      <c r="D2639">
        <v>2045</v>
      </c>
      <c r="E2639" t="s">
        <v>145</v>
      </c>
      <c r="F2639">
        <v>450.76</v>
      </c>
    </row>
    <row r="2640" spans="3:13">
      <c r="C2640" t="s">
        <v>124</v>
      </c>
      <c r="D2640">
        <v>2045</v>
      </c>
      <c r="E2640" t="s">
        <v>141</v>
      </c>
      <c r="F2640">
        <v>2548.15</v>
      </c>
    </row>
    <row r="2641" spans="3:6">
      <c r="C2641" t="s">
        <v>124</v>
      </c>
      <c r="D2641">
        <v>2045</v>
      </c>
      <c r="E2641" t="s">
        <v>142</v>
      </c>
      <c r="F2641">
        <v>4072.65</v>
      </c>
    </row>
    <row r="2642" spans="3:6">
      <c r="C2642" t="s">
        <v>124</v>
      </c>
      <c r="D2642">
        <v>2045</v>
      </c>
      <c r="E2642" t="s">
        <v>143</v>
      </c>
      <c r="F2642">
        <v>3437.98</v>
      </c>
    </row>
    <row r="2643" spans="3:6">
      <c r="C2643" t="s">
        <v>124</v>
      </c>
      <c r="D2643">
        <v>2045</v>
      </c>
      <c r="E2643" t="s">
        <v>144</v>
      </c>
      <c r="F2643">
        <v>51.43</v>
      </c>
    </row>
    <row r="2644" spans="3:6">
      <c r="C2644" t="s">
        <v>124</v>
      </c>
      <c r="D2644">
        <v>2046</v>
      </c>
      <c r="E2644" t="s">
        <v>146</v>
      </c>
      <c r="F2644">
        <v>39.96</v>
      </c>
    </row>
    <row r="2645" spans="3:6">
      <c r="C2645" t="s">
        <v>124</v>
      </c>
      <c r="D2645">
        <v>2046</v>
      </c>
      <c r="E2645" t="s">
        <v>147</v>
      </c>
      <c r="F2645">
        <v>49.02</v>
      </c>
    </row>
    <row r="2646" spans="3:6">
      <c r="C2646" t="s">
        <v>124</v>
      </c>
      <c r="D2646">
        <v>2046</v>
      </c>
      <c r="E2646" t="s">
        <v>145</v>
      </c>
      <c r="F2646">
        <v>457.67</v>
      </c>
    </row>
    <row r="2647" spans="3:6">
      <c r="C2647" t="s">
        <v>124</v>
      </c>
      <c r="D2647">
        <v>2046</v>
      </c>
      <c r="E2647" t="s">
        <v>141</v>
      </c>
      <c r="F2647">
        <v>2597.79</v>
      </c>
    </row>
    <row r="2648" spans="3:6">
      <c r="C2648" t="s">
        <v>124</v>
      </c>
      <c r="D2648">
        <v>2046</v>
      </c>
      <c r="E2648" t="s">
        <v>142</v>
      </c>
      <c r="F2648">
        <v>4139.92</v>
      </c>
    </row>
    <row r="2649" spans="3:6">
      <c r="C2649" t="s">
        <v>124</v>
      </c>
      <c r="D2649">
        <v>2046</v>
      </c>
      <c r="E2649" t="s">
        <v>143</v>
      </c>
      <c r="F2649">
        <v>3512.4</v>
      </c>
    </row>
    <row r="2650" spans="3:6">
      <c r="C2650" t="s">
        <v>124</v>
      </c>
      <c r="D2650">
        <v>2046</v>
      </c>
      <c r="E2650" t="s">
        <v>144</v>
      </c>
      <c r="F2650">
        <v>56.13</v>
      </c>
    </row>
    <row r="2651" spans="3:6">
      <c r="C2651" t="s">
        <v>124</v>
      </c>
      <c r="D2651">
        <v>2047</v>
      </c>
      <c r="E2651" t="s">
        <v>146</v>
      </c>
      <c r="F2651">
        <v>40.03</v>
      </c>
    </row>
    <row r="2652" spans="3:6">
      <c r="C2652" t="s">
        <v>124</v>
      </c>
      <c r="D2652">
        <v>2047</v>
      </c>
      <c r="E2652" t="s">
        <v>147</v>
      </c>
      <c r="F2652">
        <v>49.07</v>
      </c>
    </row>
    <row r="2653" spans="3:6">
      <c r="C2653" t="s">
        <v>124</v>
      </c>
      <c r="D2653">
        <v>2047</v>
      </c>
      <c r="E2653" t="s">
        <v>145</v>
      </c>
      <c r="F2653">
        <v>464.39</v>
      </c>
    </row>
    <row r="2654" spans="3:6">
      <c r="C2654" t="s">
        <v>124</v>
      </c>
      <c r="D2654">
        <v>2047</v>
      </c>
      <c r="E2654" t="s">
        <v>141</v>
      </c>
      <c r="F2654">
        <v>2646.79</v>
      </c>
    </row>
    <row r="2655" spans="3:6">
      <c r="C2655" t="s">
        <v>124</v>
      </c>
      <c r="D2655">
        <v>2047</v>
      </c>
      <c r="E2655" t="s">
        <v>142</v>
      </c>
      <c r="F2655">
        <v>4232.5600000000004</v>
      </c>
    </row>
    <row r="2656" spans="3:6">
      <c r="C2656" t="s">
        <v>124</v>
      </c>
      <c r="D2656">
        <v>2047</v>
      </c>
      <c r="E2656" t="s">
        <v>143</v>
      </c>
      <c r="F2656">
        <v>3586.93</v>
      </c>
    </row>
    <row r="2657" spans="3:6">
      <c r="C2657" t="s">
        <v>124</v>
      </c>
      <c r="D2657">
        <v>2047</v>
      </c>
      <c r="E2657" t="s">
        <v>144</v>
      </c>
      <c r="F2657">
        <v>60.92</v>
      </c>
    </row>
    <row r="2658" spans="3:6">
      <c r="C2658" t="s">
        <v>124</v>
      </c>
      <c r="D2658">
        <v>2048</v>
      </c>
      <c r="E2658" t="s">
        <v>146</v>
      </c>
      <c r="F2658">
        <v>40.1</v>
      </c>
    </row>
    <row r="2659" spans="3:6">
      <c r="C2659" t="s">
        <v>124</v>
      </c>
      <c r="D2659">
        <v>2048</v>
      </c>
      <c r="E2659" t="s">
        <v>147</v>
      </c>
      <c r="F2659">
        <v>49.11</v>
      </c>
    </row>
    <row r="2660" spans="3:6">
      <c r="C2660" t="s">
        <v>124</v>
      </c>
      <c r="D2660">
        <v>2048</v>
      </c>
      <c r="E2660" t="s">
        <v>145</v>
      </c>
      <c r="F2660">
        <v>470.98</v>
      </c>
    </row>
    <row r="2661" spans="3:6">
      <c r="C2661" t="s">
        <v>124</v>
      </c>
      <c r="D2661">
        <v>2048</v>
      </c>
      <c r="E2661" t="s">
        <v>141</v>
      </c>
      <c r="F2661">
        <v>2695.79</v>
      </c>
    </row>
    <row r="2662" spans="3:6">
      <c r="C2662" t="s">
        <v>124</v>
      </c>
      <c r="D2662">
        <v>2048</v>
      </c>
      <c r="E2662" t="s">
        <v>142</v>
      </c>
      <c r="F2662">
        <v>4297.6899999999996</v>
      </c>
    </row>
    <row r="2663" spans="3:6">
      <c r="C2663" t="s">
        <v>124</v>
      </c>
      <c r="D2663">
        <v>2048</v>
      </c>
      <c r="E2663" t="s">
        <v>143</v>
      </c>
      <c r="F2663">
        <v>3662.29</v>
      </c>
    </row>
    <row r="2664" spans="3:6">
      <c r="C2664" t="s">
        <v>124</v>
      </c>
      <c r="D2664">
        <v>2048</v>
      </c>
      <c r="E2664" t="s">
        <v>144</v>
      </c>
      <c r="F2664">
        <v>65.88</v>
      </c>
    </row>
    <row r="2665" spans="3:6">
      <c r="C2665" t="s">
        <v>124</v>
      </c>
      <c r="D2665">
        <v>2049</v>
      </c>
      <c r="E2665" t="s">
        <v>146</v>
      </c>
      <c r="F2665">
        <v>40.159999999999997</v>
      </c>
    </row>
    <row r="2666" spans="3:6">
      <c r="C2666" t="s">
        <v>124</v>
      </c>
      <c r="D2666">
        <v>2049</v>
      </c>
      <c r="E2666" t="s">
        <v>147</v>
      </c>
      <c r="F2666">
        <v>49.15</v>
      </c>
    </row>
    <row r="2667" spans="3:6">
      <c r="C2667" t="s">
        <v>124</v>
      </c>
      <c r="D2667">
        <v>2049</v>
      </c>
      <c r="E2667" t="s">
        <v>145</v>
      </c>
      <c r="F2667">
        <v>477.52</v>
      </c>
    </row>
    <row r="2668" spans="3:6">
      <c r="C2668" t="s">
        <v>124</v>
      </c>
      <c r="D2668">
        <v>2049</v>
      </c>
      <c r="E2668" t="s">
        <v>141</v>
      </c>
      <c r="F2668">
        <v>2745.08</v>
      </c>
    </row>
    <row r="2669" spans="3:6">
      <c r="C2669" t="s">
        <v>124</v>
      </c>
      <c r="D2669">
        <v>2049</v>
      </c>
      <c r="E2669" t="s">
        <v>142</v>
      </c>
      <c r="F2669">
        <v>4369.79</v>
      </c>
    </row>
    <row r="2670" spans="3:6">
      <c r="C2670" t="s">
        <v>124</v>
      </c>
      <c r="D2670">
        <v>2049</v>
      </c>
      <c r="E2670" t="s">
        <v>143</v>
      </c>
      <c r="F2670">
        <v>3738.55</v>
      </c>
    </row>
    <row r="2671" spans="3:6">
      <c r="C2671" t="s">
        <v>124</v>
      </c>
      <c r="D2671">
        <v>2049</v>
      </c>
      <c r="E2671" t="s">
        <v>144</v>
      </c>
      <c r="F2671">
        <v>70.87</v>
      </c>
    </row>
    <row r="2672" spans="3:6">
      <c r="C2672" t="s">
        <v>124</v>
      </c>
      <c r="D2672">
        <v>2050</v>
      </c>
      <c r="E2672" t="s">
        <v>146</v>
      </c>
      <c r="F2672">
        <v>40.229999999999997</v>
      </c>
    </row>
    <row r="2673" spans="3:6">
      <c r="C2673" t="s">
        <v>124</v>
      </c>
      <c r="D2673">
        <v>2050</v>
      </c>
      <c r="E2673" t="s">
        <v>147</v>
      </c>
      <c r="F2673">
        <v>49.19</v>
      </c>
    </row>
    <row r="2674" spans="3:6">
      <c r="C2674" t="s">
        <v>124</v>
      </c>
      <c r="D2674">
        <v>2050</v>
      </c>
      <c r="E2674" t="s">
        <v>145</v>
      </c>
      <c r="F2674">
        <v>484.05</v>
      </c>
    </row>
    <row r="2675" spans="3:6">
      <c r="C2675" t="s">
        <v>124</v>
      </c>
      <c r="D2675">
        <v>2050</v>
      </c>
      <c r="E2675" t="s">
        <v>141</v>
      </c>
      <c r="F2675">
        <v>2794.9</v>
      </c>
    </row>
    <row r="2676" spans="3:6">
      <c r="C2676" t="s">
        <v>124</v>
      </c>
      <c r="D2676">
        <v>2050</v>
      </c>
      <c r="E2676" t="s">
        <v>142</v>
      </c>
      <c r="F2676">
        <v>4431.4799999999996</v>
      </c>
    </row>
    <row r="2677" spans="3:6">
      <c r="C2677" t="s">
        <v>124</v>
      </c>
      <c r="D2677">
        <v>2050</v>
      </c>
      <c r="E2677" t="s">
        <v>143</v>
      </c>
      <c r="F2677">
        <v>3816.08</v>
      </c>
    </row>
    <row r="2678" spans="3:6">
      <c r="C2678" t="s">
        <v>124</v>
      </c>
      <c r="D2678">
        <v>2050</v>
      </c>
      <c r="E2678" t="s">
        <v>144</v>
      </c>
      <c r="F2678">
        <v>75.97</v>
      </c>
    </row>
    <row r="2679" spans="3:6">
      <c r="C2679" t="s">
        <v>105</v>
      </c>
      <c r="D2679">
        <v>2010</v>
      </c>
      <c r="E2679" t="s">
        <v>141</v>
      </c>
      <c r="F2679">
        <v>576.54999999999995</v>
      </c>
    </row>
    <row r="2680" spans="3:6">
      <c r="C2680" t="s">
        <v>105</v>
      </c>
      <c r="D2680">
        <v>2010</v>
      </c>
      <c r="E2680" t="s">
        <v>142</v>
      </c>
      <c r="F2680">
        <v>1618.81</v>
      </c>
    </row>
    <row r="2681" spans="3:6">
      <c r="C2681" t="s">
        <v>105</v>
      </c>
      <c r="D2681">
        <v>2010</v>
      </c>
      <c r="E2681" t="s">
        <v>143</v>
      </c>
      <c r="F2681">
        <v>442.76</v>
      </c>
    </row>
    <row r="2682" spans="3:6">
      <c r="C2682" t="s">
        <v>105</v>
      </c>
      <c r="D2682">
        <v>2010</v>
      </c>
      <c r="E2682" t="s">
        <v>144</v>
      </c>
      <c r="F2682">
        <v>291.14</v>
      </c>
    </row>
    <row r="2683" spans="3:6">
      <c r="C2683" t="s">
        <v>105</v>
      </c>
      <c r="D2683">
        <v>2011</v>
      </c>
      <c r="E2683" t="s">
        <v>141</v>
      </c>
      <c r="F2683">
        <v>553.19000000000005</v>
      </c>
    </row>
    <row r="2684" spans="3:6">
      <c r="C2684" t="s">
        <v>105</v>
      </c>
      <c r="D2684">
        <v>2011</v>
      </c>
      <c r="E2684" t="s">
        <v>142</v>
      </c>
      <c r="F2684">
        <v>1665.04</v>
      </c>
    </row>
    <row r="2685" spans="3:6">
      <c r="C2685" t="s">
        <v>105</v>
      </c>
      <c r="D2685">
        <v>2011</v>
      </c>
      <c r="E2685" t="s">
        <v>143</v>
      </c>
      <c r="F2685">
        <v>453.56</v>
      </c>
    </row>
    <row r="2686" spans="3:6">
      <c r="C2686" t="s">
        <v>105</v>
      </c>
      <c r="D2686">
        <v>2011</v>
      </c>
      <c r="E2686" t="s">
        <v>144</v>
      </c>
      <c r="F2686">
        <v>313.11</v>
      </c>
    </row>
    <row r="2687" spans="3:6">
      <c r="C2687" t="s">
        <v>105</v>
      </c>
      <c r="D2687">
        <v>2012</v>
      </c>
      <c r="E2687" t="s">
        <v>141</v>
      </c>
      <c r="F2687">
        <v>559.58000000000004</v>
      </c>
    </row>
    <row r="2688" spans="3:6">
      <c r="C2688" t="s">
        <v>105</v>
      </c>
      <c r="D2688">
        <v>2012</v>
      </c>
      <c r="E2688" t="s">
        <v>142</v>
      </c>
      <c r="F2688">
        <v>1698.96</v>
      </c>
    </row>
    <row r="2689" spans="3:6">
      <c r="C2689" t="s">
        <v>105</v>
      </c>
      <c r="D2689">
        <v>2012</v>
      </c>
      <c r="E2689" t="s">
        <v>143</v>
      </c>
      <c r="F2689">
        <v>457.01</v>
      </c>
    </row>
    <row r="2690" spans="3:6">
      <c r="C2690" t="s">
        <v>105</v>
      </c>
      <c r="D2690">
        <v>2012</v>
      </c>
      <c r="E2690" t="s">
        <v>144</v>
      </c>
      <c r="F2690">
        <v>318.22000000000003</v>
      </c>
    </row>
    <row r="2691" spans="3:6">
      <c r="C2691" t="s">
        <v>105</v>
      </c>
      <c r="D2691">
        <v>2013</v>
      </c>
      <c r="E2691" t="s">
        <v>141</v>
      </c>
      <c r="F2691">
        <v>557.41999999999996</v>
      </c>
    </row>
    <row r="2692" spans="3:6">
      <c r="C2692" t="s">
        <v>105</v>
      </c>
      <c r="D2692">
        <v>2013</v>
      </c>
      <c r="E2692" t="s">
        <v>142</v>
      </c>
      <c r="F2692">
        <v>1655.44</v>
      </c>
    </row>
    <row r="2693" spans="3:6">
      <c r="C2693" t="s">
        <v>105</v>
      </c>
      <c r="D2693">
        <v>2013</v>
      </c>
      <c r="E2693" t="s">
        <v>143</v>
      </c>
      <c r="F2693">
        <v>481.4</v>
      </c>
    </row>
    <row r="2694" spans="3:6">
      <c r="C2694" t="s">
        <v>105</v>
      </c>
      <c r="D2694">
        <v>2013</v>
      </c>
      <c r="E2694" t="s">
        <v>144</v>
      </c>
      <c r="F2694">
        <v>312.07</v>
      </c>
    </row>
    <row r="2695" spans="3:6">
      <c r="C2695" t="s">
        <v>105</v>
      </c>
      <c r="D2695">
        <v>2014</v>
      </c>
      <c r="E2695" t="s">
        <v>141</v>
      </c>
      <c r="F2695">
        <v>523.76</v>
      </c>
    </row>
    <row r="2696" spans="3:6">
      <c r="C2696" t="s">
        <v>105</v>
      </c>
      <c r="D2696">
        <v>2014</v>
      </c>
      <c r="E2696" t="s">
        <v>142</v>
      </c>
      <c r="F2696">
        <v>1701.56</v>
      </c>
    </row>
    <row r="2697" spans="3:6">
      <c r="C2697" t="s">
        <v>105</v>
      </c>
      <c r="D2697">
        <v>2014</v>
      </c>
      <c r="E2697" t="s">
        <v>143</v>
      </c>
      <c r="F2697">
        <v>503.57</v>
      </c>
    </row>
    <row r="2698" spans="3:6">
      <c r="C2698" t="s">
        <v>105</v>
      </c>
      <c r="D2698">
        <v>2014</v>
      </c>
      <c r="E2698" t="s">
        <v>144</v>
      </c>
      <c r="F2698">
        <v>311.49</v>
      </c>
    </row>
    <row r="2699" spans="3:6">
      <c r="C2699" t="s">
        <v>105</v>
      </c>
      <c r="D2699">
        <v>2015</v>
      </c>
      <c r="E2699" t="s">
        <v>141</v>
      </c>
      <c r="F2699">
        <v>538.41999999999996</v>
      </c>
    </row>
    <row r="2700" spans="3:6">
      <c r="C2700" t="s">
        <v>105</v>
      </c>
      <c r="D2700">
        <v>2015</v>
      </c>
      <c r="E2700" t="s">
        <v>142</v>
      </c>
      <c r="F2700">
        <v>1695.06</v>
      </c>
    </row>
    <row r="2701" spans="3:6">
      <c r="C2701" t="s">
        <v>105</v>
      </c>
      <c r="D2701">
        <v>2015</v>
      </c>
      <c r="E2701" t="s">
        <v>143</v>
      </c>
      <c r="F2701">
        <v>518.80999999999995</v>
      </c>
    </row>
    <row r="2702" spans="3:6">
      <c r="C2702" t="s">
        <v>105</v>
      </c>
      <c r="D2702">
        <v>2015</v>
      </c>
      <c r="E2702" t="s">
        <v>144</v>
      </c>
      <c r="F2702">
        <v>284.89999999999998</v>
      </c>
    </row>
    <row r="2703" spans="3:6">
      <c r="C2703" t="s">
        <v>105</v>
      </c>
      <c r="D2703">
        <v>2016</v>
      </c>
      <c r="E2703" t="s">
        <v>141</v>
      </c>
      <c r="F2703">
        <v>546.69000000000005</v>
      </c>
    </row>
    <row r="2704" spans="3:6">
      <c r="C2704" t="s">
        <v>105</v>
      </c>
      <c r="D2704">
        <v>2016</v>
      </c>
      <c r="E2704" t="s">
        <v>142</v>
      </c>
      <c r="F2704">
        <v>1711.51</v>
      </c>
    </row>
    <row r="2705" spans="3:6">
      <c r="C2705" t="s">
        <v>105</v>
      </c>
      <c r="D2705">
        <v>2016</v>
      </c>
      <c r="E2705" t="s">
        <v>143</v>
      </c>
      <c r="F2705">
        <v>558.14</v>
      </c>
    </row>
    <row r="2706" spans="3:6">
      <c r="C2706" t="s">
        <v>105</v>
      </c>
      <c r="D2706">
        <v>2016</v>
      </c>
      <c r="E2706" t="s">
        <v>144</v>
      </c>
      <c r="F2706">
        <v>287.12</v>
      </c>
    </row>
    <row r="2707" spans="3:6">
      <c r="C2707" t="s">
        <v>105</v>
      </c>
      <c r="D2707">
        <v>2017</v>
      </c>
      <c r="E2707" t="s">
        <v>141</v>
      </c>
      <c r="F2707">
        <v>554.29</v>
      </c>
    </row>
    <row r="2708" spans="3:6">
      <c r="C2708" t="s">
        <v>105</v>
      </c>
      <c r="D2708">
        <v>2017</v>
      </c>
      <c r="E2708" t="s">
        <v>142</v>
      </c>
      <c r="F2708">
        <v>1733.69</v>
      </c>
    </row>
    <row r="2709" spans="3:6">
      <c r="C2709" t="s">
        <v>105</v>
      </c>
      <c r="D2709">
        <v>2017</v>
      </c>
      <c r="E2709" t="s">
        <v>143</v>
      </c>
      <c r="F2709">
        <v>577.20000000000005</v>
      </c>
    </row>
    <row r="2710" spans="3:6">
      <c r="C2710" t="s">
        <v>105</v>
      </c>
      <c r="D2710">
        <v>2017</v>
      </c>
      <c r="E2710" t="s">
        <v>144</v>
      </c>
      <c r="F2710">
        <v>269</v>
      </c>
    </row>
    <row r="2711" spans="3:6">
      <c r="C2711" t="s">
        <v>105</v>
      </c>
      <c r="D2711">
        <v>2018</v>
      </c>
      <c r="E2711" t="s">
        <v>141</v>
      </c>
      <c r="F2711">
        <v>523.27</v>
      </c>
    </row>
    <row r="2712" spans="3:6">
      <c r="C2712" t="s">
        <v>105</v>
      </c>
      <c r="D2712">
        <v>2018</v>
      </c>
      <c r="E2712" t="s">
        <v>142</v>
      </c>
      <c r="F2712">
        <v>1793.44</v>
      </c>
    </row>
    <row r="2713" spans="3:6">
      <c r="C2713" t="s">
        <v>105</v>
      </c>
      <c r="D2713">
        <v>2018</v>
      </c>
      <c r="E2713" t="s">
        <v>143</v>
      </c>
      <c r="F2713">
        <v>571.86</v>
      </c>
    </row>
    <row r="2714" spans="3:6">
      <c r="C2714" t="s">
        <v>105</v>
      </c>
      <c r="D2714">
        <v>2018</v>
      </c>
      <c r="E2714" t="s">
        <v>144</v>
      </c>
      <c r="F2714">
        <v>282.01</v>
      </c>
    </row>
    <row r="2715" spans="3:6">
      <c r="C2715" t="s">
        <v>105</v>
      </c>
      <c r="D2715">
        <v>2019</v>
      </c>
      <c r="E2715" t="s">
        <v>146</v>
      </c>
      <c r="F2715">
        <v>478.85</v>
      </c>
    </row>
    <row r="2716" spans="3:6">
      <c r="C2716" t="s">
        <v>105</v>
      </c>
      <c r="D2716">
        <v>2019</v>
      </c>
      <c r="E2716" t="s">
        <v>147</v>
      </c>
      <c r="F2716">
        <v>1357.92</v>
      </c>
    </row>
    <row r="2717" spans="3:6">
      <c r="C2717" t="s">
        <v>105</v>
      </c>
      <c r="D2717">
        <v>2019</v>
      </c>
      <c r="E2717" t="s">
        <v>145</v>
      </c>
      <c r="F2717">
        <v>1366.31</v>
      </c>
    </row>
    <row r="2718" spans="3:6">
      <c r="C2718" t="s">
        <v>105</v>
      </c>
      <c r="D2718">
        <v>2019</v>
      </c>
      <c r="E2718" t="s">
        <v>141</v>
      </c>
      <c r="F2718">
        <v>529.41</v>
      </c>
    </row>
    <row r="2719" spans="3:6">
      <c r="C2719" t="s">
        <v>105</v>
      </c>
      <c r="D2719">
        <v>2019</v>
      </c>
      <c r="E2719" t="s">
        <v>142</v>
      </c>
      <c r="F2719">
        <v>1824.41</v>
      </c>
    </row>
    <row r="2720" spans="3:6">
      <c r="C2720" t="s">
        <v>105</v>
      </c>
      <c r="D2720">
        <v>2019</v>
      </c>
      <c r="E2720" t="s">
        <v>143</v>
      </c>
      <c r="F2720">
        <v>577.11</v>
      </c>
    </row>
    <row r="2721" spans="3:6">
      <c r="C2721" t="s">
        <v>105</v>
      </c>
      <c r="D2721">
        <v>2019</v>
      </c>
      <c r="E2721" t="s">
        <v>144</v>
      </c>
      <c r="F2721">
        <v>259.42</v>
      </c>
    </row>
    <row r="2722" spans="3:6">
      <c r="C2722" t="s">
        <v>105</v>
      </c>
      <c r="D2722">
        <v>2020</v>
      </c>
      <c r="E2722" t="s">
        <v>146</v>
      </c>
      <c r="F2722">
        <v>477.42</v>
      </c>
    </row>
    <row r="2723" spans="3:6">
      <c r="C2723" t="s">
        <v>105</v>
      </c>
      <c r="D2723">
        <v>2020</v>
      </c>
      <c r="E2723" t="s">
        <v>147</v>
      </c>
      <c r="F2723">
        <v>1354.85</v>
      </c>
    </row>
    <row r="2724" spans="3:6">
      <c r="C2724" t="s">
        <v>105</v>
      </c>
      <c r="D2724">
        <v>2020</v>
      </c>
      <c r="E2724" t="s">
        <v>145</v>
      </c>
      <c r="F2724">
        <v>1339.83</v>
      </c>
    </row>
    <row r="2725" spans="3:6">
      <c r="C2725" t="s">
        <v>105</v>
      </c>
      <c r="D2725">
        <v>2020</v>
      </c>
      <c r="E2725" t="s">
        <v>141</v>
      </c>
      <c r="F2725">
        <v>518.07000000000005</v>
      </c>
    </row>
    <row r="2726" spans="3:6">
      <c r="C2726" t="s">
        <v>105</v>
      </c>
      <c r="D2726">
        <v>2020</v>
      </c>
      <c r="E2726" t="s">
        <v>142</v>
      </c>
      <c r="F2726">
        <v>1765.04</v>
      </c>
    </row>
    <row r="2727" spans="3:6">
      <c r="C2727" t="s">
        <v>105</v>
      </c>
      <c r="D2727">
        <v>2020</v>
      </c>
      <c r="E2727" t="s">
        <v>143</v>
      </c>
      <c r="F2727">
        <v>567.96</v>
      </c>
    </row>
    <row r="2728" spans="3:6">
      <c r="C2728" t="s">
        <v>105</v>
      </c>
      <c r="D2728">
        <v>2020</v>
      </c>
      <c r="E2728" t="s">
        <v>144</v>
      </c>
      <c r="F2728">
        <v>237.47</v>
      </c>
    </row>
    <row r="2729" spans="3:6">
      <c r="C2729" t="s">
        <v>105</v>
      </c>
      <c r="D2729">
        <v>2021</v>
      </c>
      <c r="E2729" t="s">
        <v>146</v>
      </c>
      <c r="F2729">
        <v>489.49</v>
      </c>
    </row>
    <row r="2730" spans="3:6">
      <c r="C2730" t="s">
        <v>105</v>
      </c>
      <c r="D2730">
        <v>2021</v>
      </c>
      <c r="E2730" t="s">
        <v>147</v>
      </c>
      <c r="F2730">
        <v>1385.14</v>
      </c>
    </row>
    <row r="2731" spans="3:6">
      <c r="C2731" t="s">
        <v>105</v>
      </c>
      <c r="D2731">
        <v>2021</v>
      </c>
      <c r="E2731" t="s">
        <v>145</v>
      </c>
      <c r="F2731">
        <v>1496.22</v>
      </c>
    </row>
    <row r="2732" spans="3:6">
      <c r="C2732" t="s">
        <v>105</v>
      </c>
      <c r="D2732">
        <v>2021</v>
      </c>
      <c r="E2732" t="s">
        <v>141</v>
      </c>
      <c r="F2732">
        <v>543.91999999999996</v>
      </c>
    </row>
    <row r="2733" spans="3:6">
      <c r="C2733" t="s">
        <v>105</v>
      </c>
      <c r="D2733">
        <v>2021</v>
      </c>
      <c r="E2733" t="s">
        <v>142</v>
      </c>
      <c r="F2733">
        <v>1921.14</v>
      </c>
    </row>
    <row r="2734" spans="3:6">
      <c r="C2734" t="s">
        <v>105</v>
      </c>
      <c r="D2734">
        <v>2021</v>
      </c>
      <c r="E2734" t="s">
        <v>143</v>
      </c>
      <c r="F2734">
        <v>593.53</v>
      </c>
    </row>
    <row r="2735" spans="3:6">
      <c r="C2735" t="s">
        <v>105</v>
      </c>
      <c r="D2735">
        <v>2021</v>
      </c>
      <c r="E2735" t="s">
        <v>144</v>
      </c>
      <c r="F2735">
        <v>239.65</v>
      </c>
    </row>
    <row r="2736" spans="3:6">
      <c r="C2736" t="s">
        <v>105</v>
      </c>
      <c r="D2736">
        <v>2022</v>
      </c>
      <c r="E2736" t="s">
        <v>146</v>
      </c>
      <c r="F2736">
        <v>494.32</v>
      </c>
    </row>
    <row r="2737" spans="3:6">
      <c r="C2737" t="s">
        <v>105</v>
      </c>
      <c r="D2737">
        <v>2022</v>
      </c>
      <c r="E2737" t="s">
        <v>147</v>
      </c>
      <c r="F2737">
        <v>1396.28</v>
      </c>
    </row>
    <row r="2738" spans="3:6">
      <c r="C2738" t="s">
        <v>105</v>
      </c>
      <c r="D2738">
        <v>2022</v>
      </c>
      <c r="E2738" t="s">
        <v>145</v>
      </c>
      <c r="F2738">
        <v>1563.27</v>
      </c>
    </row>
    <row r="2739" spans="3:6">
      <c r="C2739" t="s">
        <v>105</v>
      </c>
      <c r="D2739">
        <v>2022</v>
      </c>
      <c r="E2739" t="s">
        <v>141</v>
      </c>
      <c r="F2739">
        <v>553.88</v>
      </c>
    </row>
    <row r="2740" spans="3:6">
      <c r="C2740" t="s">
        <v>105</v>
      </c>
      <c r="D2740">
        <v>2022</v>
      </c>
      <c r="E2740" t="s">
        <v>142</v>
      </c>
      <c r="F2740">
        <v>1977.67</v>
      </c>
    </row>
    <row r="2741" spans="3:6">
      <c r="C2741" t="s">
        <v>105</v>
      </c>
      <c r="D2741">
        <v>2022</v>
      </c>
      <c r="E2741" t="s">
        <v>143</v>
      </c>
      <c r="F2741">
        <v>606.78</v>
      </c>
    </row>
    <row r="2742" spans="3:6">
      <c r="C2742" t="s">
        <v>105</v>
      </c>
      <c r="D2742">
        <v>2022</v>
      </c>
      <c r="E2742" t="s">
        <v>144</v>
      </c>
      <c r="F2742">
        <v>244.74</v>
      </c>
    </row>
    <row r="2743" spans="3:6">
      <c r="C2743" t="s">
        <v>105</v>
      </c>
      <c r="D2743">
        <v>2023</v>
      </c>
      <c r="E2743" t="s">
        <v>146</v>
      </c>
      <c r="F2743">
        <v>497.38</v>
      </c>
    </row>
    <row r="2744" spans="3:6">
      <c r="C2744" t="s">
        <v>105</v>
      </c>
      <c r="D2744">
        <v>2023</v>
      </c>
      <c r="E2744" t="s">
        <v>147</v>
      </c>
      <c r="F2744">
        <v>1402.89</v>
      </c>
    </row>
    <row r="2745" spans="3:6">
      <c r="C2745" t="s">
        <v>105</v>
      </c>
      <c r="D2745">
        <v>2023</v>
      </c>
      <c r="E2745" t="s">
        <v>145</v>
      </c>
      <c r="F2745">
        <v>1620.65</v>
      </c>
    </row>
    <row r="2746" spans="3:6">
      <c r="C2746" t="s">
        <v>105</v>
      </c>
      <c r="D2746">
        <v>2023</v>
      </c>
      <c r="E2746" t="s">
        <v>141</v>
      </c>
      <c r="F2746">
        <v>559.58000000000004</v>
      </c>
    </row>
    <row r="2747" spans="3:6">
      <c r="C2747" t="s">
        <v>105</v>
      </c>
      <c r="D2747">
        <v>2023</v>
      </c>
      <c r="E2747" t="s">
        <v>142</v>
      </c>
      <c r="F2747">
        <v>2041.76</v>
      </c>
    </row>
    <row r="2748" spans="3:6">
      <c r="C2748" t="s">
        <v>105</v>
      </c>
      <c r="D2748">
        <v>2023</v>
      </c>
      <c r="E2748" t="s">
        <v>143</v>
      </c>
      <c r="F2748">
        <v>618.70000000000005</v>
      </c>
    </row>
    <row r="2749" spans="3:6">
      <c r="C2749" t="s">
        <v>105</v>
      </c>
      <c r="D2749">
        <v>2023</v>
      </c>
      <c r="E2749" t="s">
        <v>144</v>
      </c>
      <c r="F2749">
        <v>250.88</v>
      </c>
    </row>
    <row r="2750" spans="3:6">
      <c r="C2750" t="s">
        <v>105</v>
      </c>
      <c r="D2750">
        <v>2024</v>
      </c>
      <c r="E2750" t="s">
        <v>146</v>
      </c>
      <c r="F2750">
        <v>499.98</v>
      </c>
    </row>
    <row r="2751" spans="3:6">
      <c r="C2751" t="s">
        <v>105</v>
      </c>
      <c r="D2751">
        <v>2024</v>
      </c>
      <c r="E2751" t="s">
        <v>147</v>
      </c>
      <c r="F2751">
        <v>1408.03</v>
      </c>
    </row>
    <row r="2752" spans="3:6">
      <c r="C2752" t="s">
        <v>105</v>
      </c>
      <c r="D2752">
        <v>2024</v>
      </c>
      <c r="E2752" t="s">
        <v>145</v>
      </c>
      <c r="F2752">
        <v>1669.7</v>
      </c>
    </row>
    <row r="2753" spans="3:6">
      <c r="C2753" t="s">
        <v>105</v>
      </c>
      <c r="D2753">
        <v>2024</v>
      </c>
      <c r="E2753" t="s">
        <v>141</v>
      </c>
      <c r="F2753">
        <v>566.22</v>
      </c>
    </row>
    <row r="2754" spans="3:6">
      <c r="C2754" t="s">
        <v>105</v>
      </c>
      <c r="D2754">
        <v>2024</v>
      </c>
      <c r="E2754" t="s">
        <v>142</v>
      </c>
      <c r="F2754">
        <v>2093.08</v>
      </c>
    </row>
    <row r="2755" spans="3:6">
      <c r="C2755" t="s">
        <v>105</v>
      </c>
      <c r="D2755">
        <v>2024</v>
      </c>
      <c r="E2755" t="s">
        <v>143</v>
      </c>
      <c r="F2755">
        <v>630.16</v>
      </c>
    </row>
    <row r="2756" spans="3:6">
      <c r="C2756" t="s">
        <v>105</v>
      </c>
      <c r="D2756">
        <v>2024</v>
      </c>
      <c r="E2756" t="s">
        <v>144</v>
      </c>
      <c r="F2756">
        <v>254.41</v>
      </c>
    </row>
    <row r="2757" spans="3:6">
      <c r="C2757" t="s">
        <v>105</v>
      </c>
      <c r="D2757">
        <v>2025</v>
      </c>
      <c r="E2757" t="s">
        <v>146</v>
      </c>
      <c r="F2757">
        <v>501.46</v>
      </c>
    </row>
    <row r="2758" spans="3:6">
      <c r="C2758" t="s">
        <v>105</v>
      </c>
      <c r="D2758">
        <v>2025</v>
      </c>
      <c r="E2758" t="s">
        <v>147</v>
      </c>
      <c r="F2758">
        <v>1410.25</v>
      </c>
    </row>
    <row r="2759" spans="3:6">
      <c r="C2759" t="s">
        <v>105</v>
      </c>
      <c r="D2759">
        <v>2025</v>
      </c>
      <c r="E2759" t="s">
        <v>145</v>
      </c>
      <c r="F2759">
        <v>1703.32</v>
      </c>
    </row>
    <row r="2760" spans="3:6">
      <c r="C2760" t="s">
        <v>105</v>
      </c>
      <c r="D2760">
        <v>2025</v>
      </c>
      <c r="E2760" t="s">
        <v>141</v>
      </c>
      <c r="F2760">
        <v>571.77</v>
      </c>
    </row>
    <row r="2761" spans="3:6">
      <c r="C2761" t="s">
        <v>105</v>
      </c>
      <c r="D2761">
        <v>2025</v>
      </c>
      <c r="E2761" t="s">
        <v>142</v>
      </c>
      <c r="F2761">
        <v>2127.0100000000002</v>
      </c>
    </row>
    <row r="2762" spans="3:6">
      <c r="C2762" t="s">
        <v>105</v>
      </c>
      <c r="D2762">
        <v>2025</v>
      </c>
      <c r="E2762" t="s">
        <v>143</v>
      </c>
      <c r="F2762">
        <v>641.46</v>
      </c>
    </row>
    <row r="2763" spans="3:6">
      <c r="C2763" t="s">
        <v>105</v>
      </c>
      <c r="D2763">
        <v>2025</v>
      </c>
      <c r="E2763" t="s">
        <v>144</v>
      </c>
      <c r="F2763">
        <v>255.3</v>
      </c>
    </row>
    <row r="2764" spans="3:6">
      <c r="C2764" t="s">
        <v>105</v>
      </c>
      <c r="D2764">
        <v>2026</v>
      </c>
      <c r="E2764" t="s">
        <v>146</v>
      </c>
      <c r="F2764">
        <v>503</v>
      </c>
    </row>
    <row r="2765" spans="3:6">
      <c r="C2765" t="s">
        <v>105</v>
      </c>
      <c r="D2765">
        <v>2026</v>
      </c>
      <c r="E2765" t="s">
        <v>147</v>
      </c>
      <c r="F2765">
        <v>1413.55</v>
      </c>
    </row>
    <row r="2766" spans="3:6">
      <c r="C2766" t="s">
        <v>105</v>
      </c>
      <c r="D2766">
        <v>2026</v>
      </c>
      <c r="E2766" t="s">
        <v>145</v>
      </c>
      <c r="F2766">
        <v>1731.77</v>
      </c>
    </row>
    <row r="2767" spans="3:6">
      <c r="C2767" t="s">
        <v>105</v>
      </c>
      <c r="D2767">
        <v>2026</v>
      </c>
      <c r="E2767" t="s">
        <v>141</v>
      </c>
      <c r="F2767">
        <v>577.44000000000005</v>
      </c>
    </row>
    <row r="2768" spans="3:6">
      <c r="C2768" t="s">
        <v>105</v>
      </c>
      <c r="D2768">
        <v>2026</v>
      </c>
      <c r="E2768" t="s">
        <v>142</v>
      </c>
      <c r="F2768">
        <v>2148.9</v>
      </c>
    </row>
    <row r="2769" spans="3:6">
      <c r="C2769" t="s">
        <v>105</v>
      </c>
      <c r="D2769">
        <v>2026</v>
      </c>
      <c r="E2769" t="s">
        <v>143</v>
      </c>
      <c r="F2769">
        <v>654.13</v>
      </c>
    </row>
    <row r="2770" spans="3:6">
      <c r="C2770" t="s">
        <v>105</v>
      </c>
      <c r="D2770">
        <v>2026</v>
      </c>
      <c r="E2770" t="s">
        <v>144</v>
      </c>
      <c r="F2770">
        <v>254.84</v>
      </c>
    </row>
    <row r="2771" spans="3:6">
      <c r="C2771" t="s">
        <v>105</v>
      </c>
      <c r="D2771">
        <v>2027</v>
      </c>
      <c r="E2771" t="s">
        <v>146</v>
      </c>
      <c r="F2771">
        <v>504.09</v>
      </c>
    </row>
    <row r="2772" spans="3:6">
      <c r="C2772" t="s">
        <v>105</v>
      </c>
      <c r="D2772">
        <v>2027</v>
      </c>
      <c r="E2772" t="s">
        <v>147</v>
      </c>
      <c r="F2772">
        <v>1415.57</v>
      </c>
    </row>
    <row r="2773" spans="3:6">
      <c r="C2773" t="s">
        <v>105</v>
      </c>
      <c r="D2773">
        <v>2027</v>
      </c>
      <c r="E2773" t="s">
        <v>145</v>
      </c>
      <c r="F2773">
        <v>1757.77</v>
      </c>
    </row>
    <row r="2774" spans="3:6">
      <c r="C2774" t="s">
        <v>105</v>
      </c>
      <c r="D2774">
        <v>2027</v>
      </c>
      <c r="E2774" t="s">
        <v>141</v>
      </c>
      <c r="F2774">
        <v>582.87</v>
      </c>
    </row>
    <row r="2775" spans="3:6">
      <c r="C2775" t="s">
        <v>105</v>
      </c>
      <c r="D2775">
        <v>2027</v>
      </c>
      <c r="E2775" t="s">
        <v>142</v>
      </c>
      <c r="F2775">
        <v>2172.2399999999998</v>
      </c>
    </row>
    <row r="2776" spans="3:6">
      <c r="C2776" t="s">
        <v>105</v>
      </c>
      <c r="D2776">
        <v>2027</v>
      </c>
      <c r="E2776" t="s">
        <v>143</v>
      </c>
      <c r="F2776">
        <v>667.58</v>
      </c>
    </row>
    <row r="2777" spans="3:6">
      <c r="C2777" t="s">
        <v>105</v>
      </c>
      <c r="D2777">
        <v>2027</v>
      </c>
      <c r="E2777" t="s">
        <v>144</v>
      </c>
      <c r="F2777">
        <v>253.88</v>
      </c>
    </row>
    <row r="2778" spans="3:6">
      <c r="C2778" t="s">
        <v>105</v>
      </c>
      <c r="D2778">
        <v>2028</v>
      </c>
      <c r="E2778" t="s">
        <v>146</v>
      </c>
      <c r="F2778">
        <v>505.09</v>
      </c>
    </row>
    <row r="2779" spans="3:6">
      <c r="C2779" t="s">
        <v>105</v>
      </c>
      <c r="D2779">
        <v>2028</v>
      </c>
      <c r="E2779" t="s">
        <v>147</v>
      </c>
      <c r="F2779">
        <v>1417.56</v>
      </c>
    </row>
    <row r="2780" spans="3:6">
      <c r="C2780" t="s">
        <v>105</v>
      </c>
      <c r="D2780">
        <v>2028</v>
      </c>
      <c r="E2780" t="s">
        <v>145</v>
      </c>
      <c r="F2780">
        <v>1780.34</v>
      </c>
    </row>
    <row r="2781" spans="3:6">
      <c r="C2781" t="s">
        <v>105</v>
      </c>
      <c r="D2781">
        <v>2028</v>
      </c>
      <c r="E2781" t="s">
        <v>141</v>
      </c>
      <c r="F2781">
        <v>588.16999999999996</v>
      </c>
    </row>
    <row r="2782" spans="3:6">
      <c r="C2782" t="s">
        <v>105</v>
      </c>
      <c r="D2782">
        <v>2028</v>
      </c>
      <c r="E2782" t="s">
        <v>142</v>
      </c>
      <c r="F2782">
        <v>2187.69</v>
      </c>
    </row>
    <row r="2783" spans="3:6">
      <c r="C2783" t="s">
        <v>105</v>
      </c>
      <c r="D2783">
        <v>2028</v>
      </c>
      <c r="E2783" t="s">
        <v>143</v>
      </c>
      <c r="F2783">
        <v>681.97</v>
      </c>
    </row>
    <row r="2784" spans="3:6">
      <c r="C2784" t="s">
        <v>105</v>
      </c>
      <c r="D2784">
        <v>2028</v>
      </c>
      <c r="E2784" t="s">
        <v>144</v>
      </c>
      <c r="F2784">
        <v>252.96</v>
      </c>
    </row>
    <row r="2785" spans="3:6">
      <c r="C2785" t="s">
        <v>105</v>
      </c>
      <c r="D2785">
        <v>2029</v>
      </c>
      <c r="E2785" t="s">
        <v>146</v>
      </c>
      <c r="F2785">
        <v>506.15</v>
      </c>
    </row>
    <row r="2786" spans="3:6">
      <c r="C2786" t="s">
        <v>105</v>
      </c>
      <c r="D2786">
        <v>2029</v>
      </c>
      <c r="E2786" t="s">
        <v>147</v>
      </c>
      <c r="F2786">
        <v>1419.69</v>
      </c>
    </row>
    <row r="2787" spans="3:6">
      <c r="C2787" t="s">
        <v>105</v>
      </c>
      <c r="D2787">
        <v>2029</v>
      </c>
      <c r="E2787" t="s">
        <v>145</v>
      </c>
      <c r="F2787">
        <v>1802.06</v>
      </c>
    </row>
    <row r="2788" spans="3:6">
      <c r="C2788" t="s">
        <v>105</v>
      </c>
      <c r="D2788">
        <v>2029</v>
      </c>
      <c r="E2788" t="s">
        <v>141</v>
      </c>
      <c r="F2788">
        <v>594.16</v>
      </c>
    </row>
    <row r="2789" spans="3:6">
      <c r="C2789" t="s">
        <v>105</v>
      </c>
      <c r="D2789">
        <v>2029</v>
      </c>
      <c r="E2789" t="s">
        <v>142</v>
      </c>
      <c r="F2789">
        <v>2204.85</v>
      </c>
    </row>
    <row r="2790" spans="3:6">
      <c r="C2790" t="s">
        <v>105</v>
      </c>
      <c r="D2790">
        <v>2029</v>
      </c>
      <c r="E2790" t="s">
        <v>143</v>
      </c>
      <c r="F2790">
        <v>697.21</v>
      </c>
    </row>
    <row r="2791" spans="3:6">
      <c r="C2791" t="s">
        <v>105</v>
      </c>
      <c r="D2791">
        <v>2029</v>
      </c>
      <c r="E2791" t="s">
        <v>144</v>
      </c>
      <c r="F2791">
        <v>251.84</v>
      </c>
    </row>
    <row r="2792" spans="3:6">
      <c r="C2792" t="s">
        <v>105</v>
      </c>
      <c r="D2792">
        <v>2030</v>
      </c>
      <c r="E2792" t="s">
        <v>146</v>
      </c>
      <c r="F2792">
        <v>507.06</v>
      </c>
    </row>
    <row r="2793" spans="3:6">
      <c r="C2793" t="s">
        <v>105</v>
      </c>
      <c r="D2793">
        <v>2030</v>
      </c>
      <c r="E2793" t="s">
        <v>147</v>
      </c>
      <c r="F2793">
        <v>1421.01</v>
      </c>
    </row>
    <row r="2794" spans="3:6">
      <c r="C2794" t="s">
        <v>105</v>
      </c>
      <c r="D2794">
        <v>2030</v>
      </c>
      <c r="E2794" t="s">
        <v>145</v>
      </c>
      <c r="F2794">
        <v>1824.18</v>
      </c>
    </row>
    <row r="2795" spans="3:6">
      <c r="C2795" t="s">
        <v>105</v>
      </c>
      <c r="D2795">
        <v>2030</v>
      </c>
      <c r="E2795" t="s">
        <v>141</v>
      </c>
      <c r="F2795">
        <v>601.04</v>
      </c>
    </row>
    <row r="2796" spans="3:6">
      <c r="C2796" t="s">
        <v>105</v>
      </c>
      <c r="D2796">
        <v>2030</v>
      </c>
      <c r="E2796" t="s">
        <v>142</v>
      </c>
      <c r="F2796">
        <v>2223.39</v>
      </c>
    </row>
    <row r="2797" spans="3:6">
      <c r="C2797" t="s">
        <v>105</v>
      </c>
      <c r="D2797">
        <v>2030</v>
      </c>
      <c r="E2797" t="s">
        <v>143</v>
      </c>
      <c r="F2797">
        <v>711.96</v>
      </c>
    </row>
    <row r="2798" spans="3:6">
      <c r="C2798" t="s">
        <v>105</v>
      </c>
      <c r="D2798">
        <v>2030</v>
      </c>
      <c r="E2798" t="s">
        <v>144</v>
      </c>
      <c r="F2798">
        <v>250.48</v>
      </c>
    </row>
    <row r="2799" spans="3:6">
      <c r="C2799" t="s">
        <v>105</v>
      </c>
      <c r="D2799">
        <v>2031</v>
      </c>
      <c r="E2799" t="s">
        <v>146</v>
      </c>
      <c r="F2799">
        <v>507.59</v>
      </c>
    </row>
    <row r="2800" spans="3:6">
      <c r="C2800" t="s">
        <v>105</v>
      </c>
      <c r="D2800">
        <v>2031</v>
      </c>
      <c r="E2800" t="s">
        <v>147</v>
      </c>
      <c r="F2800">
        <v>1420.76</v>
      </c>
    </row>
    <row r="2801" spans="3:6">
      <c r="C2801" t="s">
        <v>105</v>
      </c>
      <c r="D2801">
        <v>2031</v>
      </c>
      <c r="E2801" t="s">
        <v>145</v>
      </c>
      <c r="F2801">
        <v>1847.57</v>
      </c>
    </row>
    <row r="2802" spans="3:6">
      <c r="C2802" t="s">
        <v>105</v>
      </c>
      <c r="D2802">
        <v>2031</v>
      </c>
      <c r="E2802" t="s">
        <v>141</v>
      </c>
      <c r="F2802">
        <v>604.51</v>
      </c>
    </row>
    <row r="2803" spans="3:6">
      <c r="C2803" t="s">
        <v>105</v>
      </c>
      <c r="D2803">
        <v>2031</v>
      </c>
      <c r="E2803" t="s">
        <v>142</v>
      </c>
      <c r="F2803">
        <v>2240.44</v>
      </c>
    </row>
    <row r="2804" spans="3:6">
      <c r="C2804" t="s">
        <v>105</v>
      </c>
      <c r="D2804">
        <v>2031</v>
      </c>
      <c r="E2804" t="s">
        <v>143</v>
      </c>
      <c r="F2804">
        <v>722.42</v>
      </c>
    </row>
    <row r="2805" spans="3:6">
      <c r="C2805" t="s">
        <v>105</v>
      </c>
      <c r="D2805">
        <v>2031</v>
      </c>
      <c r="E2805" t="s">
        <v>144</v>
      </c>
      <c r="F2805">
        <v>250</v>
      </c>
    </row>
    <row r="2806" spans="3:6">
      <c r="C2806" t="s">
        <v>105</v>
      </c>
      <c r="D2806">
        <v>2032</v>
      </c>
      <c r="E2806" t="s">
        <v>146</v>
      </c>
      <c r="F2806">
        <v>507.99</v>
      </c>
    </row>
    <row r="2807" spans="3:6">
      <c r="C2807" t="s">
        <v>105</v>
      </c>
      <c r="D2807">
        <v>2032</v>
      </c>
      <c r="E2807" t="s">
        <v>147</v>
      </c>
      <c r="F2807">
        <v>1420</v>
      </c>
    </row>
    <row r="2808" spans="3:6">
      <c r="C2808" t="s">
        <v>105</v>
      </c>
      <c r="D2808">
        <v>2032</v>
      </c>
      <c r="E2808" t="s">
        <v>145</v>
      </c>
      <c r="F2808">
        <v>1868.96</v>
      </c>
    </row>
    <row r="2809" spans="3:6">
      <c r="C2809" t="s">
        <v>105</v>
      </c>
      <c r="D2809">
        <v>2032</v>
      </c>
      <c r="E2809" t="s">
        <v>141</v>
      </c>
      <c r="F2809">
        <v>609.04999999999995</v>
      </c>
    </row>
    <row r="2810" spans="3:6">
      <c r="C2810" t="s">
        <v>105</v>
      </c>
      <c r="D2810">
        <v>2032</v>
      </c>
      <c r="E2810" t="s">
        <v>142</v>
      </c>
      <c r="F2810">
        <v>2255.7199999999998</v>
      </c>
    </row>
    <row r="2811" spans="3:6">
      <c r="C2811" t="s">
        <v>105</v>
      </c>
      <c r="D2811">
        <v>2032</v>
      </c>
      <c r="E2811" t="s">
        <v>143</v>
      </c>
      <c r="F2811">
        <v>733.77</v>
      </c>
    </row>
    <row r="2812" spans="3:6">
      <c r="C2812" t="s">
        <v>105</v>
      </c>
      <c r="D2812">
        <v>2032</v>
      </c>
      <c r="E2812" t="s">
        <v>144</v>
      </c>
      <c r="F2812">
        <v>248.16</v>
      </c>
    </row>
    <row r="2813" spans="3:6">
      <c r="C2813" t="s">
        <v>105</v>
      </c>
      <c r="D2813">
        <v>2033</v>
      </c>
      <c r="E2813" t="s">
        <v>146</v>
      </c>
      <c r="F2813">
        <v>508.26</v>
      </c>
    </row>
    <row r="2814" spans="3:6">
      <c r="C2814" t="s">
        <v>105</v>
      </c>
      <c r="D2814">
        <v>2033</v>
      </c>
      <c r="E2814" t="s">
        <v>147</v>
      </c>
      <c r="F2814">
        <v>1418.85</v>
      </c>
    </row>
    <row r="2815" spans="3:6">
      <c r="C2815" t="s">
        <v>105</v>
      </c>
      <c r="D2815">
        <v>2033</v>
      </c>
      <c r="E2815" t="s">
        <v>145</v>
      </c>
      <c r="F2815">
        <v>1887.82</v>
      </c>
    </row>
    <row r="2816" spans="3:6">
      <c r="C2816" t="s">
        <v>105</v>
      </c>
      <c r="D2816">
        <v>2033</v>
      </c>
      <c r="E2816" t="s">
        <v>141</v>
      </c>
      <c r="F2816">
        <v>613.85</v>
      </c>
    </row>
    <row r="2817" spans="3:6">
      <c r="C2817" t="s">
        <v>105</v>
      </c>
      <c r="D2817">
        <v>2033</v>
      </c>
      <c r="E2817" t="s">
        <v>142</v>
      </c>
      <c r="F2817">
        <v>2269.19</v>
      </c>
    </row>
    <row r="2818" spans="3:6">
      <c r="C2818" t="s">
        <v>105</v>
      </c>
      <c r="D2818">
        <v>2033</v>
      </c>
      <c r="E2818" t="s">
        <v>143</v>
      </c>
      <c r="F2818">
        <v>745.67</v>
      </c>
    </row>
    <row r="2819" spans="3:6">
      <c r="C2819" t="s">
        <v>105</v>
      </c>
      <c r="D2819">
        <v>2033</v>
      </c>
      <c r="E2819" t="s">
        <v>144</v>
      </c>
      <c r="F2819">
        <v>245.96</v>
      </c>
    </row>
    <row r="2820" spans="3:6">
      <c r="C2820" t="s">
        <v>105</v>
      </c>
      <c r="D2820">
        <v>2034</v>
      </c>
      <c r="E2820" t="s">
        <v>146</v>
      </c>
      <c r="F2820">
        <v>508.83</v>
      </c>
    </row>
    <row r="2821" spans="3:6">
      <c r="C2821" t="s">
        <v>105</v>
      </c>
      <c r="D2821">
        <v>2034</v>
      </c>
      <c r="E2821" t="s">
        <v>147</v>
      </c>
      <c r="F2821">
        <v>1418.81</v>
      </c>
    </row>
    <row r="2822" spans="3:6">
      <c r="C2822" t="s">
        <v>105</v>
      </c>
      <c r="D2822">
        <v>2034</v>
      </c>
      <c r="E2822" t="s">
        <v>145</v>
      </c>
      <c r="F2822">
        <v>1908.46</v>
      </c>
    </row>
    <row r="2823" spans="3:6">
      <c r="C2823" t="s">
        <v>105</v>
      </c>
      <c r="D2823">
        <v>2034</v>
      </c>
      <c r="E2823" t="s">
        <v>141</v>
      </c>
      <c r="F2823">
        <v>618.30999999999995</v>
      </c>
    </row>
    <row r="2824" spans="3:6">
      <c r="C2824" t="s">
        <v>105</v>
      </c>
      <c r="D2824">
        <v>2034</v>
      </c>
      <c r="E2824" t="s">
        <v>142</v>
      </c>
      <c r="F2824">
        <v>2281.2800000000002</v>
      </c>
    </row>
    <row r="2825" spans="3:6">
      <c r="C2825" t="s">
        <v>105</v>
      </c>
      <c r="D2825">
        <v>2034</v>
      </c>
      <c r="E2825" t="s">
        <v>143</v>
      </c>
      <c r="F2825">
        <v>757.53</v>
      </c>
    </row>
    <row r="2826" spans="3:6">
      <c r="C2826" t="s">
        <v>105</v>
      </c>
      <c r="D2826">
        <v>2034</v>
      </c>
      <c r="E2826" t="s">
        <v>144</v>
      </c>
      <c r="F2826">
        <v>243.58</v>
      </c>
    </row>
    <row r="2827" spans="3:6">
      <c r="C2827" t="s">
        <v>105</v>
      </c>
      <c r="D2827">
        <v>2035</v>
      </c>
      <c r="E2827" t="s">
        <v>146</v>
      </c>
      <c r="F2827">
        <v>509.51</v>
      </c>
    </row>
    <row r="2828" spans="3:6">
      <c r="C2828" t="s">
        <v>105</v>
      </c>
      <c r="D2828">
        <v>2035</v>
      </c>
      <c r="E2828" t="s">
        <v>147</v>
      </c>
      <c r="F2828">
        <v>1419.19</v>
      </c>
    </row>
    <row r="2829" spans="3:6">
      <c r="C2829" t="s">
        <v>105</v>
      </c>
      <c r="D2829">
        <v>2035</v>
      </c>
      <c r="E2829" t="s">
        <v>145</v>
      </c>
      <c r="F2829">
        <v>1929.67</v>
      </c>
    </row>
    <row r="2830" spans="3:6">
      <c r="C2830" t="s">
        <v>105</v>
      </c>
      <c r="D2830">
        <v>2035</v>
      </c>
      <c r="E2830" t="s">
        <v>141</v>
      </c>
      <c r="F2830">
        <v>622.32000000000005</v>
      </c>
    </row>
    <row r="2831" spans="3:6">
      <c r="C2831" t="s">
        <v>105</v>
      </c>
      <c r="D2831">
        <v>2035</v>
      </c>
      <c r="E2831" t="s">
        <v>142</v>
      </c>
      <c r="F2831">
        <v>2299.9299999999998</v>
      </c>
    </row>
    <row r="2832" spans="3:6">
      <c r="C2832" t="s">
        <v>105</v>
      </c>
      <c r="D2832">
        <v>2035</v>
      </c>
      <c r="E2832" t="s">
        <v>143</v>
      </c>
      <c r="F2832">
        <v>768.98</v>
      </c>
    </row>
    <row r="2833" spans="3:6">
      <c r="C2833" t="s">
        <v>105</v>
      </c>
      <c r="D2833">
        <v>2035</v>
      </c>
      <c r="E2833" t="s">
        <v>144</v>
      </c>
      <c r="F2833">
        <v>242.37</v>
      </c>
    </row>
    <row r="2834" spans="3:6">
      <c r="C2834" t="s">
        <v>105</v>
      </c>
      <c r="D2834">
        <v>2036</v>
      </c>
      <c r="E2834" t="s">
        <v>146</v>
      </c>
      <c r="F2834">
        <v>509.86</v>
      </c>
    </row>
    <row r="2835" spans="3:6">
      <c r="C2835" t="s">
        <v>105</v>
      </c>
      <c r="D2835">
        <v>2036</v>
      </c>
      <c r="E2835" t="s">
        <v>147</v>
      </c>
      <c r="F2835">
        <v>1418.57</v>
      </c>
    </row>
    <row r="2836" spans="3:6">
      <c r="C2836" t="s">
        <v>105</v>
      </c>
      <c r="D2836">
        <v>2036</v>
      </c>
      <c r="E2836" t="s">
        <v>145</v>
      </c>
      <c r="F2836">
        <v>1948.47</v>
      </c>
    </row>
    <row r="2837" spans="3:6">
      <c r="C2837" t="s">
        <v>105</v>
      </c>
      <c r="D2837">
        <v>2036</v>
      </c>
      <c r="E2837" t="s">
        <v>141</v>
      </c>
      <c r="F2837">
        <v>627.47</v>
      </c>
    </row>
    <row r="2838" spans="3:6">
      <c r="C2838" t="s">
        <v>105</v>
      </c>
      <c r="D2838">
        <v>2036</v>
      </c>
      <c r="E2838" t="s">
        <v>142</v>
      </c>
      <c r="F2838">
        <v>2315.21</v>
      </c>
    </row>
    <row r="2839" spans="3:6">
      <c r="C2839" t="s">
        <v>105</v>
      </c>
      <c r="D2839">
        <v>2036</v>
      </c>
      <c r="E2839" t="s">
        <v>143</v>
      </c>
      <c r="F2839">
        <v>781.59</v>
      </c>
    </row>
    <row r="2840" spans="3:6">
      <c r="C2840" t="s">
        <v>105</v>
      </c>
      <c r="D2840">
        <v>2036</v>
      </c>
      <c r="E2840" t="s">
        <v>144</v>
      </c>
      <c r="F2840">
        <v>239.71</v>
      </c>
    </row>
    <row r="2841" spans="3:6">
      <c r="C2841" t="s">
        <v>105</v>
      </c>
      <c r="D2841">
        <v>2037</v>
      </c>
      <c r="E2841" t="s">
        <v>146</v>
      </c>
      <c r="F2841">
        <v>509.94</v>
      </c>
    </row>
    <row r="2842" spans="3:6">
      <c r="C2842" t="s">
        <v>105</v>
      </c>
      <c r="D2842">
        <v>2037</v>
      </c>
      <c r="E2842" t="s">
        <v>147</v>
      </c>
      <c r="F2842">
        <v>1417.1</v>
      </c>
    </row>
    <row r="2843" spans="3:6">
      <c r="C2843" t="s">
        <v>105</v>
      </c>
      <c r="D2843">
        <v>2037</v>
      </c>
      <c r="E2843" t="s">
        <v>145</v>
      </c>
      <c r="F2843">
        <v>1965.23</v>
      </c>
    </row>
    <row r="2844" spans="3:6">
      <c r="C2844" t="s">
        <v>105</v>
      </c>
      <c r="D2844">
        <v>2037</v>
      </c>
      <c r="E2844" t="s">
        <v>141</v>
      </c>
      <c r="F2844">
        <v>632.38</v>
      </c>
    </row>
    <row r="2845" spans="3:6">
      <c r="C2845" t="s">
        <v>105</v>
      </c>
      <c r="D2845">
        <v>2037</v>
      </c>
      <c r="E2845" t="s">
        <v>142</v>
      </c>
      <c r="F2845">
        <v>2330.9</v>
      </c>
    </row>
    <row r="2846" spans="3:6">
      <c r="C2846" t="s">
        <v>105</v>
      </c>
      <c r="D2846">
        <v>2037</v>
      </c>
      <c r="E2846" t="s">
        <v>143</v>
      </c>
      <c r="F2846">
        <v>793.91</v>
      </c>
    </row>
    <row r="2847" spans="3:6">
      <c r="C2847" t="s">
        <v>105</v>
      </c>
      <c r="D2847">
        <v>2037</v>
      </c>
      <c r="E2847" t="s">
        <v>144</v>
      </c>
      <c r="F2847">
        <v>236.94</v>
      </c>
    </row>
    <row r="2848" spans="3:6">
      <c r="C2848" t="s">
        <v>105</v>
      </c>
      <c r="D2848">
        <v>2038</v>
      </c>
      <c r="E2848" t="s">
        <v>146</v>
      </c>
      <c r="F2848">
        <v>510.23</v>
      </c>
    </row>
    <row r="2849" spans="3:6">
      <c r="C2849" t="s">
        <v>105</v>
      </c>
      <c r="D2849">
        <v>2038</v>
      </c>
      <c r="E2849" t="s">
        <v>147</v>
      </c>
      <c r="F2849">
        <v>1416.42</v>
      </c>
    </row>
    <row r="2850" spans="3:6">
      <c r="C2850" t="s">
        <v>105</v>
      </c>
      <c r="D2850">
        <v>2038</v>
      </c>
      <c r="E2850" t="s">
        <v>145</v>
      </c>
      <c r="F2850">
        <v>1980.65</v>
      </c>
    </row>
    <row r="2851" spans="3:6">
      <c r="C2851" t="s">
        <v>105</v>
      </c>
      <c r="D2851">
        <v>2038</v>
      </c>
      <c r="E2851" t="s">
        <v>141</v>
      </c>
      <c r="F2851">
        <v>637.05999999999995</v>
      </c>
    </row>
    <row r="2852" spans="3:6">
      <c r="C2852" t="s">
        <v>105</v>
      </c>
      <c r="D2852">
        <v>2038</v>
      </c>
      <c r="E2852" t="s">
        <v>142</v>
      </c>
      <c r="F2852">
        <v>2342.19</v>
      </c>
    </row>
    <row r="2853" spans="3:6">
      <c r="C2853" t="s">
        <v>105</v>
      </c>
      <c r="D2853">
        <v>2038</v>
      </c>
      <c r="E2853" t="s">
        <v>143</v>
      </c>
      <c r="F2853">
        <v>805.86</v>
      </c>
    </row>
    <row r="2854" spans="3:6">
      <c r="C2854" t="s">
        <v>105</v>
      </c>
      <c r="D2854">
        <v>2038</v>
      </c>
      <c r="E2854" t="s">
        <v>144</v>
      </c>
      <c r="F2854">
        <v>235.48</v>
      </c>
    </row>
    <row r="2855" spans="3:6">
      <c r="C2855" t="s">
        <v>105</v>
      </c>
      <c r="D2855">
        <v>2039</v>
      </c>
      <c r="E2855" t="s">
        <v>146</v>
      </c>
      <c r="F2855">
        <v>510.17</v>
      </c>
    </row>
    <row r="2856" spans="3:6">
      <c r="C2856" t="s">
        <v>105</v>
      </c>
      <c r="D2856">
        <v>2039</v>
      </c>
      <c r="E2856" t="s">
        <v>147</v>
      </c>
      <c r="F2856">
        <v>1414.57</v>
      </c>
    </row>
    <row r="2857" spans="3:6">
      <c r="C2857" t="s">
        <v>105</v>
      </c>
      <c r="D2857">
        <v>2039</v>
      </c>
      <c r="E2857" t="s">
        <v>145</v>
      </c>
      <c r="F2857">
        <v>1994.88</v>
      </c>
    </row>
    <row r="2858" spans="3:6">
      <c r="C2858" t="s">
        <v>105</v>
      </c>
      <c r="D2858">
        <v>2039</v>
      </c>
      <c r="E2858" t="s">
        <v>141</v>
      </c>
      <c r="F2858">
        <v>641.54</v>
      </c>
    </row>
    <row r="2859" spans="3:6">
      <c r="C2859" t="s">
        <v>105</v>
      </c>
      <c r="D2859">
        <v>2039</v>
      </c>
      <c r="E2859" t="s">
        <v>142</v>
      </c>
      <c r="F2859">
        <v>2354.83</v>
      </c>
    </row>
    <row r="2860" spans="3:6">
      <c r="C2860" t="s">
        <v>105</v>
      </c>
      <c r="D2860">
        <v>2039</v>
      </c>
      <c r="E2860" t="s">
        <v>143</v>
      </c>
      <c r="F2860">
        <v>817.35</v>
      </c>
    </row>
    <row r="2861" spans="3:6">
      <c r="C2861" t="s">
        <v>105</v>
      </c>
      <c r="D2861">
        <v>2039</v>
      </c>
      <c r="E2861" t="s">
        <v>144</v>
      </c>
      <c r="F2861">
        <v>232.39</v>
      </c>
    </row>
    <row r="2862" spans="3:6">
      <c r="C2862" t="s">
        <v>105</v>
      </c>
      <c r="D2862">
        <v>2040</v>
      </c>
      <c r="E2862" t="s">
        <v>146</v>
      </c>
      <c r="F2862">
        <v>510.26</v>
      </c>
    </row>
    <row r="2863" spans="3:6">
      <c r="C2863" t="s">
        <v>105</v>
      </c>
      <c r="D2863">
        <v>2040</v>
      </c>
      <c r="E2863" t="s">
        <v>147</v>
      </c>
      <c r="F2863">
        <v>1413.35</v>
      </c>
    </row>
    <row r="2864" spans="3:6">
      <c r="C2864" t="s">
        <v>105</v>
      </c>
      <c r="D2864">
        <v>2040</v>
      </c>
      <c r="E2864" t="s">
        <v>145</v>
      </c>
      <c r="F2864">
        <v>2007.7</v>
      </c>
    </row>
    <row r="2865" spans="3:6">
      <c r="C2865" t="s">
        <v>105</v>
      </c>
      <c r="D2865">
        <v>2040</v>
      </c>
      <c r="E2865" t="s">
        <v>141</v>
      </c>
      <c r="F2865">
        <v>645.9</v>
      </c>
    </row>
    <row r="2866" spans="3:6">
      <c r="C2866" t="s">
        <v>105</v>
      </c>
      <c r="D2866">
        <v>2040</v>
      </c>
      <c r="E2866" t="s">
        <v>142</v>
      </c>
      <c r="F2866">
        <v>2363.27</v>
      </c>
    </row>
    <row r="2867" spans="3:6">
      <c r="C2867" t="s">
        <v>105</v>
      </c>
      <c r="D2867">
        <v>2040</v>
      </c>
      <c r="E2867" t="s">
        <v>143</v>
      </c>
      <c r="F2867">
        <v>829.01</v>
      </c>
    </row>
    <row r="2868" spans="3:6">
      <c r="C2868" t="s">
        <v>105</v>
      </c>
      <c r="D2868">
        <v>2040</v>
      </c>
      <c r="E2868" t="s">
        <v>144</v>
      </c>
      <c r="F2868">
        <v>230.88</v>
      </c>
    </row>
    <row r="2869" spans="3:6">
      <c r="C2869" t="s">
        <v>105</v>
      </c>
      <c r="D2869">
        <v>2041</v>
      </c>
      <c r="E2869" t="s">
        <v>146</v>
      </c>
      <c r="F2869">
        <v>510.45</v>
      </c>
    </row>
    <row r="2870" spans="3:6">
      <c r="C2870" t="s">
        <v>105</v>
      </c>
      <c r="D2870">
        <v>2041</v>
      </c>
      <c r="E2870" t="s">
        <v>147</v>
      </c>
      <c r="F2870">
        <v>1412.46</v>
      </c>
    </row>
    <row r="2871" spans="3:6">
      <c r="C2871" t="s">
        <v>105</v>
      </c>
      <c r="D2871">
        <v>2041</v>
      </c>
      <c r="E2871" t="s">
        <v>145</v>
      </c>
      <c r="F2871">
        <v>2020.89</v>
      </c>
    </row>
    <row r="2872" spans="3:6">
      <c r="C2872" t="s">
        <v>105</v>
      </c>
      <c r="D2872">
        <v>2041</v>
      </c>
      <c r="E2872" t="s">
        <v>141</v>
      </c>
      <c r="F2872">
        <v>648.63</v>
      </c>
    </row>
    <row r="2873" spans="3:6">
      <c r="C2873" t="s">
        <v>105</v>
      </c>
      <c r="D2873">
        <v>2041</v>
      </c>
      <c r="E2873" t="s">
        <v>142</v>
      </c>
      <c r="F2873">
        <v>2372.35</v>
      </c>
    </row>
    <row r="2874" spans="3:6">
      <c r="C2874" t="s">
        <v>105</v>
      </c>
      <c r="D2874">
        <v>2041</v>
      </c>
      <c r="E2874" t="s">
        <v>143</v>
      </c>
      <c r="F2874">
        <v>838.85</v>
      </c>
    </row>
    <row r="2875" spans="3:6">
      <c r="C2875" t="s">
        <v>105</v>
      </c>
      <c r="D2875">
        <v>2041</v>
      </c>
      <c r="E2875" t="s">
        <v>144</v>
      </c>
      <c r="F2875">
        <v>228.74</v>
      </c>
    </row>
    <row r="2876" spans="3:6">
      <c r="C2876" t="s">
        <v>105</v>
      </c>
      <c r="D2876">
        <v>2042</v>
      </c>
      <c r="E2876" t="s">
        <v>146</v>
      </c>
      <c r="F2876">
        <v>510.49</v>
      </c>
    </row>
    <row r="2877" spans="3:6">
      <c r="C2877" t="s">
        <v>105</v>
      </c>
      <c r="D2877">
        <v>2042</v>
      </c>
      <c r="E2877" t="s">
        <v>147</v>
      </c>
      <c r="F2877">
        <v>1411.12</v>
      </c>
    </row>
    <row r="2878" spans="3:6">
      <c r="C2878" t="s">
        <v>105</v>
      </c>
      <c r="D2878">
        <v>2042</v>
      </c>
      <c r="E2878" t="s">
        <v>145</v>
      </c>
      <c r="F2878">
        <v>2032.34</v>
      </c>
    </row>
    <row r="2879" spans="3:6">
      <c r="C2879" t="s">
        <v>105</v>
      </c>
      <c r="D2879">
        <v>2042</v>
      </c>
      <c r="E2879" t="s">
        <v>141</v>
      </c>
      <c r="F2879">
        <v>651.09</v>
      </c>
    </row>
    <row r="2880" spans="3:6">
      <c r="C2880" t="s">
        <v>105</v>
      </c>
      <c r="D2880">
        <v>2042</v>
      </c>
      <c r="E2880" t="s">
        <v>142</v>
      </c>
      <c r="F2880">
        <v>2381.14</v>
      </c>
    </row>
    <row r="2881" spans="3:6">
      <c r="C2881" t="s">
        <v>105</v>
      </c>
      <c r="D2881">
        <v>2042</v>
      </c>
      <c r="E2881" t="s">
        <v>143</v>
      </c>
      <c r="F2881">
        <v>848.25</v>
      </c>
    </row>
    <row r="2882" spans="3:6">
      <c r="C2882" t="s">
        <v>105</v>
      </c>
      <c r="D2882">
        <v>2042</v>
      </c>
      <c r="E2882" t="s">
        <v>144</v>
      </c>
      <c r="F2882">
        <v>226.45</v>
      </c>
    </row>
    <row r="2883" spans="3:6">
      <c r="C2883" t="s">
        <v>105</v>
      </c>
      <c r="D2883">
        <v>2043</v>
      </c>
      <c r="E2883" t="s">
        <v>146</v>
      </c>
      <c r="F2883">
        <v>510.35</v>
      </c>
    </row>
    <row r="2884" spans="3:6">
      <c r="C2884" t="s">
        <v>105</v>
      </c>
      <c r="D2884">
        <v>2043</v>
      </c>
      <c r="E2884" t="s">
        <v>147</v>
      </c>
      <c r="F2884">
        <v>1409.21</v>
      </c>
    </row>
    <row r="2885" spans="3:6">
      <c r="C2885" t="s">
        <v>105</v>
      </c>
      <c r="D2885">
        <v>2043</v>
      </c>
      <c r="E2885" t="s">
        <v>145</v>
      </c>
      <c r="F2885">
        <v>2042.99</v>
      </c>
    </row>
    <row r="2886" spans="3:6">
      <c r="C2886" t="s">
        <v>105</v>
      </c>
      <c r="D2886">
        <v>2043</v>
      </c>
      <c r="E2886" t="s">
        <v>141</v>
      </c>
      <c r="F2886">
        <v>653.39</v>
      </c>
    </row>
    <row r="2887" spans="3:6">
      <c r="C2887" t="s">
        <v>105</v>
      </c>
      <c r="D2887">
        <v>2043</v>
      </c>
      <c r="E2887" t="s">
        <v>142</v>
      </c>
      <c r="F2887">
        <v>2389.56</v>
      </c>
    </row>
    <row r="2888" spans="3:6">
      <c r="C2888" t="s">
        <v>105</v>
      </c>
      <c r="D2888">
        <v>2043</v>
      </c>
      <c r="E2888" t="s">
        <v>143</v>
      </c>
      <c r="F2888">
        <v>857.66</v>
      </c>
    </row>
    <row r="2889" spans="3:6">
      <c r="C2889" t="s">
        <v>105</v>
      </c>
      <c r="D2889">
        <v>2043</v>
      </c>
      <c r="E2889" t="s">
        <v>144</v>
      </c>
      <c r="F2889">
        <v>224.28</v>
      </c>
    </row>
    <row r="2890" spans="3:6">
      <c r="C2890" t="s">
        <v>105</v>
      </c>
      <c r="D2890">
        <v>2044</v>
      </c>
      <c r="E2890" t="s">
        <v>146</v>
      </c>
      <c r="F2890">
        <v>510.15</v>
      </c>
    </row>
    <row r="2891" spans="3:6">
      <c r="C2891" t="s">
        <v>105</v>
      </c>
      <c r="D2891">
        <v>2044</v>
      </c>
      <c r="E2891" t="s">
        <v>147</v>
      </c>
      <c r="F2891">
        <v>1407.14</v>
      </c>
    </row>
    <row r="2892" spans="3:6">
      <c r="C2892" t="s">
        <v>105</v>
      </c>
      <c r="D2892">
        <v>2044</v>
      </c>
      <c r="E2892" t="s">
        <v>145</v>
      </c>
      <c r="F2892">
        <v>2052.35</v>
      </c>
    </row>
    <row r="2893" spans="3:6">
      <c r="C2893" t="s">
        <v>105</v>
      </c>
      <c r="D2893">
        <v>2044</v>
      </c>
      <c r="E2893" t="s">
        <v>141</v>
      </c>
      <c r="F2893">
        <v>655.61</v>
      </c>
    </row>
    <row r="2894" spans="3:6">
      <c r="C2894" t="s">
        <v>105</v>
      </c>
      <c r="D2894">
        <v>2044</v>
      </c>
      <c r="E2894" t="s">
        <v>142</v>
      </c>
      <c r="F2894">
        <v>2396.12</v>
      </c>
    </row>
    <row r="2895" spans="3:6">
      <c r="C2895" t="s">
        <v>105</v>
      </c>
      <c r="D2895">
        <v>2044</v>
      </c>
      <c r="E2895" t="s">
        <v>143</v>
      </c>
      <c r="F2895">
        <v>866.9</v>
      </c>
    </row>
    <row r="2896" spans="3:6">
      <c r="C2896" t="s">
        <v>105</v>
      </c>
      <c r="D2896">
        <v>2044</v>
      </c>
      <c r="E2896" t="s">
        <v>144</v>
      </c>
      <c r="F2896">
        <v>222.05</v>
      </c>
    </row>
    <row r="2897" spans="3:6">
      <c r="C2897" t="s">
        <v>105</v>
      </c>
      <c r="D2897">
        <v>2045</v>
      </c>
      <c r="E2897" t="s">
        <v>146</v>
      </c>
      <c r="F2897">
        <v>509.83</v>
      </c>
    </row>
    <row r="2898" spans="3:6">
      <c r="C2898" t="s">
        <v>105</v>
      </c>
      <c r="D2898">
        <v>2045</v>
      </c>
      <c r="E2898" t="s">
        <v>147</v>
      </c>
      <c r="F2898">
        <v>1404.71</v>
      </c>
    </row>
    <row r="2899" spans="3:6">
      <c r="C2899" t="s">
        <v>105</v>
      </c>
      <c r="D2899">
        <v>2045</v>
      </c>
      <c r="E2899" t="s">
        <v>145</v>
      </c>
      <c r="F2899">
        <v>2061.5500000000002</v>
      </c>
    </row>
    <row r="2900" spans="3:6">
      <c r="C2900" t="s">
        <v>105</v>
      </c>
      <c r="D2900">
        <v>2045</v>
      </c>
      <c r="E2900" t="s">
        <v>141</v>
      </c>
      <c r="F2900">
        <v>657.61</v>
      </c>
    </row>
    <row r="2901" spans="3:6">
      <c r="C2901" t="s">
        <v>105</v>
      </c>
      <c r="D2901">
        <v>2045</v>
      </c>
      <c r="E2901" t="s">
        <v>142</v>
      </c>
      <c r="F2901">
        <v>2401.61</v>
      </c>
    </row>
    <row r="2902" spans="3:6">
      <c r="C2902" t="s">
        <v>105</v>
      </c>
      <c r="D2902">
        <v>2045</v>
      </c>
      <c r="E2902" t="s">
        <v>143</v>
      </c>
      <c r="F2902">
        <v>875.71</v>
      </c>
    </row>
    <row r="2903" spans="3:6">
      <c r="C2903" t="s">
        <v>105</v>
      </c>
      <c r="D2903">
        <v>2045</v>
      </c>
      <c r="E2903" t="s">
        <v>144</v>
      </c>
      <c r="F2903">
        <v>219.6</v>
      </c>
    </row>
    <row r="2904" spans="3:6">
      <c r="C2904" t="s">
        <v>105</v>
      </c>
      <c r="D2904">
        <v>2046</v>
      </c>
      <c r="E2904" t="s">
        <v>146</v>
      </c>
      <c r="F2904">
        <v>509.38</v>
      </c>
    </row>
    <row r="2905" spans="3:6">
      <c r="C2905" t="s">
        <v>105</v>
      </c>
      <c r="D2905">
        <v>2046</v>
      </c>
      <c r="E2905" t="s">
        <v>147</v>
      </c>
      <c r="F2905">
        <v>1401.94</v>
      </c>
    </row>
    <row r="2906" spans="3:6">
      <c r="C2906" t="s">
        <v>105</v>
      </c>
      <c r="D2906">
        <v>2046</v>
      </c>
      <c r="E2906" t="s">
        <v>145</v>
      </c>
      <c r="F2906">
        <v>2068.1</v>
      </c>
    </row>
    <row r="2907" spans="3:6">
      <c r="C2907" t="s">
        <v>105</v>
      </c>
      <c r="D2907">
        <v>2046</v>
      </c>
      <c r="E2907" t="s">
        <v>141</v>
      </c>
      <c r="F2907">
        <v>659.33</v>
      </c>
    </row>
    <row r="2908" spans="3:6">
      <c r="C2908" t="s">
        <v>105</v>
      </c>
      <c r="D2908">
        <v>2046</v>
      </c>
      <c r="E2908" t="s">
        <v>142</v>
      </c>
      <c r="F2908">
        <v>2406.4699999999998</v>
      </c>
    </row>
    <row r="2909" spans="3:6">
      <c r="C2909" t="s">
        <v>105</v>
      </c>
      <c r="D2909">
        <v>2046</v>
      </c>
      <c r="E2909" t="s">
        <v>143</v>
      </c>
      <c r="F2909">
        <v>884.64</v>
      </c>
    </row>
    <row r="2910" spans="3:6">
      <c r="C2910" t="s">
        <v>105</v>
      </c>
      <c r="D2910">
        <v>2046</v>
      </c>
      <c r="E2910" t="s">
        <v>144</v>
      </c>
      <c r="F2910">
        <v>217.32</v>
      </c>
    </row>
    <row r="2911" spans="3:6">
      <c r="C2911" t="s">
        <v>105</v>
      </c>
      <c r="D2911">
        <v>2047</v>
      </c>
      <c r="E2911" t="s">
        <v>146</v>
      </c>
      <c r="F2911">
        <v>508.79</v>
      </c>
    </row>
    <row r="2912" spans="3:6">
      <c r="C2912" t="s">
        <v>105</v>
      </c>
      <c r="D2912">
        <v>2047</v>
      </c>
      <c r="E2912" t="s">
        <v>147</v>
      </c>
      <c r="F2912">
        <v>1398.62</v>
      </c>
    </row>
    <row r="2913" spans="3:6">
      <c r="C2913" t="s">
        <v>105</v>
      </c>
      <c r="D2913">
        <v>2047</v>
      </c>
      <c r="E2913" t="s">
        <v>145</v>
      </c>
      <c r="F2913">
        <v>2075.77</v>
      </c>
    </row>
    <row r="2914" spans="3:6">
      <c r="C2914" t="s">
        <v>105</v>
      </c>
      <c r="D2914">
        <v>2047</v>
      </c>
      <c r="E2914" t="s">
        <v>141</v>
      </c>
      <c r="F2914">
        <v>661.09</v>
      </c>
    </row>
    <row r="2915" spans="3:6">
      <c r="C2915" t="s">
        <v>105</v>
      </c>
      <c r="D2915">
        <v>2047</v>
      </c>
      <c r="E2915" t="s">
        <v>142</v>
      </c>
      <c r="F2915">
        <v>2411.54</v>
      </c>
    </row>
    <row r="2916" spans="3:6">
      <c r="C2916" t="s">
        <v>105</v>
      </c>
      <c r="D2916">
        <v>2047</v>
      </c>
      <c r="E2916" t="s">
        <v>143</v>
      </c>
      <c r="F2916">
        <v>893.48</v>
      </c>
    </row>
    <row r="2917" spans="3:6">
      <c r="C2917" t="s">
        <v>105</v>
      </c>
      <c r="D2917">
        <v>2047</v>
      </c>
      <c r="E2917" t="s">
        <v>144</v>
      </c>
      <c r="F2917">
        <v>215.09</v>
      </c>
    </row>
    <row r="2918" spans="3:6">
      <c r="C2918" t="s">
        <v>105</v>
      </c>
      <c r="D2918">
        <v>2048</v>
      </c>
      <c r="E2918" t="s">
        <v>146</v>
      </c>
      <c r="F2918">
        <v>508.72</v>
      </c>
    </row>
    <row r="2919" spans="3:6">
      <c r="C2919" t="s">
        <v>105</v>
      </c>
      <c r="D2919">
        <v>2048</v>
      </c>
      <c r="E2919" t="s">
        <v>147</v>
      </c>
      <c r="F2919">
        <v>1397.24</v>
      </c>
    </row>
    <row r="2920" spans="3:6">
      <c r="C2920" t="s">
        <v>105</v>
      </c>
      <c r="D2920">
        <v>2048</v>
      </c>
      <c r="E2920" t="s">
        <v>145</v>
      </c>
      <c r="F2920">
        <v>2080.92</v>
      </c>
    </row>
    <row r="2921" spans="3:6">
      <c r="C2921" t="s">
        <v>105</v>
      </c>
      <c r="D2921">
        <v>2048</v>
      </c>
      <c r="E2921" t="s">
        <v>141</v>
      </c>
      <c r="F2921">
        <v>662.73</v>
      </c>
    </row>
    <row r="2922" spans="3:6">
      <c r="C2922" t="s">
        <v>105</v>
      </c>
      <c r="D2922">
        <v>2048</v>
      </c>
      <c r="E2922" t="s">
        <v>142</v>
      </c>
      <c r="F2922">
        <v>2410.9899999999998</v>
      </c>
    </row>
    <row r="2923" spans="3:6">
      <c r="C2923" t="s">
        <v>105</v>
      </c>
      <c r="D2923">
        <v>2048</v>
      </c>
      <c r="E2923" t="s">
        <v>143</v>
      </c>
      <c r="F2923">
        <v>901.95</v>
      </c>
    </row>
    <row r="2924" spans="3:6">
      <c r="C2924" t="s">
        <v>105</v>
      </c>
      <c r="D2924">
        <v>2048</v>
      </c>
      <c r="E2924" t="s">
        <v>144</v>
      </c>
      <c r="F2924">
        <v>212.73</v>
      </c>
    </row>
    <row r="2925" spans="3:6">
      <c r="C2925" t="s">
        <v>105</v>
      </c>
      <c r="D2925">
        <v>2049</v>
      </c>
      <c r="E2925" t="s">
        <v>146</v>
      </c>
      <c r="F2925">
        <v>507.93</v>
      </c>
    </row>
    <row r="2926" spans="3:6">
      <c r="C2926" t="s">
        <v>105</v>
      </c>
      <c r="D2926">
        <v>2049</v>
      </c>
      <c r="E2926" t="s">
        <v>147</v>
      </c>
      <c r="F2926">
        <v>1393.38</v>
      </c>
    </row>
    <row r="2927" spans="3:6">
      <c r="C2927" t="s">
        <v>105</v>
      </c>
      <c r="D2927">
        <v>2049</v>
      </c>
      <c r="E2927" t="s">
        <v>145</v>
      </c>
      <c r="F2927">
        <v>2084.9899999999998</v>
      </c>
    </row>
    <row r="2928" spans="3:6">
      <c r="C2928" t="s">
        <v>105</v>
      </c>
      <c r="D2928">
        <v>2049</v>
      </c>
      <c r="E2928" t="s">
        <v>141</v>
      </c>
      <c r="F2928">
        <v>664.25</v>
      </c>
    </row>
    <row r="2929" spans="3:6">
      <c r="C2929" t="s">
        <v>105</v>
      </c>
      <c r="D2929">
        <v>2049</v>
      </c>
      <c r="E2929" t="s">
        <v>142</v>
      </c>
      <c r="F2929">
        <v>2416.36</v>
      </c>
    </row>
    <row r="2930" spans="3:6">
      <c r="C2930" t="s">
        <v>105</v>
      </c>
      <c r="D2930">
        <v>2049</v>
      </c>
      <c r="E2930" t="s">
        <v>143</v>
      </c>
      <c r="F2930">
        <v>910.39</v>
      </c>
    </row>
    <row r="2931" spans="3:6">
      <c r="C2931" t="s">
        <v>105</v>
      </c>
      <c r="D2931">
        <v>2049</v>
      </c>
      <c r="E2931" t="s">
        <v>144</v>
      </c>
      <c r="F2931">
        <v>210.33</v>
      </c>
    </row>
    <row r="2932" spans="3:6">
      <c r="C2932" t="s">
        <v>105</v>
      </c>
      <c r="D2932">
        <v>2050</v>
      </c>
      <c r="E2932" t="s">
        <v>146</v>
      </c>
      <c r="F2932">
        <v>507.54</v>
      </c>
    </row>
    <row r="2933" spans="3:6">
      <c r="C2933" t="s">
        <v>105</v>
      </c>
      <c r="D2933">
        <v>2050</v>
      </c>
      <c r="E2933" t="s">
        <v>147</v>
      </c>
      <c r="F2933">
        <v>1390.99</v>
      </c>
    </row>
    <row r="2934" spans="3:6">
      <c r="C2934" t="s">
        <v>105</v>
      </c>
      <c r="D2934">
        <v>2050</v>
      </c>
      <c r="E2934" t="s">
        <v>145</v>
      </c>
      <c r="F2934">
        <v>2088.66</v>
      </c>
    </row>
    <row r="2935" spans="3:6">
      <c r="C2935" t="s">
        <v>105</v>
      </c>
      <c r="D2935">
        <v>2050</v>
      </c>
      <c r="E2935" t="s">
        <v>141</v>
      </c>
      <c r="F2935">
        <v>665.78</v>
      </c>
    </row>
    <row r="2936" spans="3:6">
      <c r="C2936" t="s">
        <v>105</v>
      </c>
      <c r="D2936">
        <v>2050</v>
      </c>
      <c r="E2936" t="s">
        <v>142</v>
      </c>
      <c r="F2936">
        <v>2415.23</v>
      </c>
    </row>
    <row r="2937" spans="3:6">
      <c r="C2937" t="s">
        <v>105</v>
      </c>
      <c r="D2937">
        <v>2050</v>
      </c>
      <c r="E2937" t="s">
        <v>143</v>
      </c>
      <c r="F2937">
        <v>918.96</v>
      </c>
    </row>
    <row r="2938" spans="3:6">
      <c r="C2938" t="s">
        <v>105</v>
      </c>
      <c r="D2938">
        <v>2050</v>
      </c>
      <c r="E2938" t="s">
        <v>144</v>
      </c>
      <c r="F2938">
        <v>207.98</v>
      </c>
    </row>
    <row r="2939" spans="3:6">
      <c r="C2939" t="s">
        <v>51</v>
      </c>
      <c r="D2939">
        <v>2010</v>
      </c>
      <c r="E2939" t="s">
        <v>141</v>
      </c>
      <c r="F2939">
        <v>506.42</v>
      </c>
    </row>
    <row r="2940" spans="3:6">
      <c r="C2940" t="s">
        <v>51</v>
      </c>
      <c r="D2940">
        <v>2010</v>
      </c>
      <c r="E2940" t="s">
        <v>142</v>
      </c>
      <c r="F2940">
        <v>818.81</v>
      </c>
    </row>
    <row r="2941" spans="3:6">
      <c r="C2941" t="s">
        <v>51</v>
      </c>
      <c r="D2941">
        <v>2010</v>
      </c>
      <c r="E2941" t="s">
        <v>143</v>
      </c>
      <c r="F2941">
        <v>210.15</v>
      </c>
    </row>
    <row r="2942" spans="3:6">
      <c r="C2942" t="s">
        <v>51</v>
      </c>
      <c r="D2942">
        <v>2010</v>
      </c>
      <c r="E2942" t="s">
        <v>144</v>
      </c>
      <c r="F2942">
        <v>7.5</v>
      </c>
    </row>
    <row r="2943" spans="3:6">
      <c r="C2943" t="s">
        <v>51</v>
      </c>
      <c r="D2943">
        <v>2011</v>
      </c>
      <c r="E2943" t="s">
        <v>141</v>
      </c>
      <c r="F2943">
        <v>513.97</v>
      </c>
    </row>
    <row r="2944" spans="3:6">
      <c r="C2944" t="s">
        <v>51</v>
      </c>
      <c r="D2944">
        <v>2011</v>
      </c>
      <c r="E2944" t="s">
        <v>142</v>
      </c>
      <c r="F2944">
        <v>886.12</v>
      </c>
    </row>
    <row r="2945" spans="3:6">
      <c r="C2945" t="s">
        <v>51</v>
      </c>
      <c r="D2945">
        <v>2011</v>
      </c>
      <c r="E2945" t="s">
        <v>143</v>
      </c>
      <c r="F2945">
        <v>212.12</v>
      </c>
    </row>
    <row r="2946" spans="3:6">
      <c r="C2946" t="s">
        <v>51</v>
      </c>
      <c r="D2946">
        <v>2011</v>
      </c>
      <c r="E2946" t="s">
        <v>144</v>
      </c>
      <c r="F2946">
        <v>7.7</v>
      </c>
    </row>
    <row r="2947" spans="3:6">
      <c r="C2947" t="s">
        <v>51</v>
      </c>
      <c r="D2947">
        <v>2012</v>
      </c>
      <c r="E2947" t="s">
        <v>141</v>
      </c>
      <c r="F2947">
        <v>522.41999999999996</v>
      </c>
    </row>
    <row r="2948" spans="3:6">
      <c r="C2948" t="s">
        <v>51</v>
      </c>
      <c r="D2948">
        <v>2012</v>
      </c>
      <c r="E2948" t="s">
        <v>142</v>
      </c>
      <c r="F2948">
        <v>905.24</v>
      </c>
    </row>
    <row r="2949" spans="3:6">
      <c r="C2949" t="s">
        <v>51</v>
      </c>
      <c r="D2949">
        <v>2012</v>
      </c>
      <c r="E2949" t="s">
        <v>143</v>
      </c>
      <c r="F2949">
        <v>218.81</v>
      </c>
    </row>
    <row r="2950" spans="3:6">
      <c r="C2950" t="s">
        <v>51</v>
      </c>
      <c r="D2950">
        <v>2012</v>
      </c>
      <c r="E2950" t="s">
        <v>144</v>
      </c>
      <c r="F2950">
        <v>7.69</v>
      </c>
    </row>
    <row r="2951" spans="3:6">
      <c r="C2951" t="s">
        <v>51</v>
      </c>
      <c r="D2951">
        <v>2013</v>
      </c>
      <c r="E2951" t="s">
        <v>141</v>
      </c>
      <c r="F2951">
        <v>517.5</v>
      </c>
    </row>
    <row r="2952" spans="3:6">
      <c r="C2952" t="s">
        <v>51</v>
      </c>
      <c r="D2952">
        <v>2013</v>
      </c>
      <c r="E2952" t="s">
        <v>142</v>
      </c>
      <c r="F2952">
        <v>929.85</v>
      </c>
    </row>
    <row r="2953" spans="3:6">
      <c r="C2953" t="s">
        <v>51</v>
      </c>
      <c r="D2953">
        <v>2013</v>
      </c>
      <c r="E2953" t="s">
        <v>143</v>
      </c>
      <c r="F2953">
        <v>217.56</v>
      </c>
    </row>
    <row r="2954" spans="3:6">
      <c r="C2954" t="s">
        <v>51</v>
      </c>
      <c r="D2954">
        <v>2013</v>
      </c>
      <c r="E2954" t="s">
        <v>144</v>
      </c>
      <c r="F2954">
        <v>7.36</v>
      </c>
    </row>
    <row r="2955" spans="3:6">
      <c r="C2955" t="s">
        <v>51</v>
      </c>
      <c r="D2955">
        <v>2014</v>
      </c>
      <c r="E2955" t="s">
        <v>141</v>
      </c>
      <c r="F2955">
        <v>516.89</v>
      </c>
    </row>
    <row r="2956" spans="3:6">
      <c r="C2956" t="s">
        <v>51</v>
      </c>
      <c r="D2956">
        <v>2014</v>
      </c>
      <c r="E2956" t="s">
        <v>142</v>
      </c>
      <c r="F2956">
        <v>955.38</v>
      </c>
    </row>
    <row r="2957" spans="3:6">
      <c r="C2957" t="s">
        <v>51</v>
      </c>
      <c r="D2957">
        <v>2014</v>
      </c>
      <c r="E2957" t="s">
        <v>143</v>
      </c>
      <c r="F2957">
        <v>218.7</v>
      </c>
    </row>
    <row r="2958" spans="3:6">
      <c r="C2958" t="s">
        <v>51</v>
      </c>
      <c r="D2958">
        <v>2014</v>
      </c>
      <c r="E2958" t="s">
        <v>144</v>
      </c>
      <c r="F2958">
        <v>6.95</v>
      </c>
    </row>
    <row r="2959" spans="3:6">
      <c r="C2959" t="s">
        <v>51</v>
      </c>
      <c r="D2959">
        <v>2015</v>
      </c>
      <c r="E2959" t="s">
        <v>141</v>
      </c>
      <c r="F2959">
        <v>519.35</v>
      </c>
    </row>
    <row r="2960" spans="3:6">
      <c r="C2960" t="s">
        <v>51</v>
      </c>
      <c r="D2960">
        <v>2015</v>
      </c>
      <c r="E2960" t="s">
        <v>142</v>
      </c>
      <c r="F2960">
        <v>966.56</v>
      </c>
    </row>
    <row r="2961" spans="3:6">
      <c r="C2961" t="s">
        <v>51</v>
      </c>
      <c r="D2961">
        <v>2015</v>
      </c>
      <c r="E2961" t="s">
        <v>143</v>
      </c>
      <c r="F2961">
        <v>217.59</v>
      </c>
    </row>
    <row r="2962" spans="3:6">
      <c r="C2962" t="s">
        <v>51</v>
      </c>
      <c r="D2962">
        <v>2015</v>
      </c>
      <c r="E2962" t="s">
        <v>144</v>
      </c>
      <c r="F2962">
        <v>7.58</v>
      </c>
    </row>
    <row r="2963" spans="3:6">
      <c r="C2963" t="s">
        <v>51</v>
      </c>
      <c r="D2963">
        <v>2016</v>
      </c>
      <c r="E2963" t="s">
        <v>141</v>
      </c>
      <c r="F2963">
        <v>552.27</v>
      </c>
    </row>
    <row r="2964" spans="3:6">
      <c r="C2964" t="s">
        <v>51</v>
      </c>
      <c r="D2964">
        <v>2016</v>
      </c>
      <c r="E2964" t="s">
        <v>142</v>
      </c>
      <c r="F2964">
        <v>949.51</v>
      </c>
    </row>
    <row r="2965" spans="3:6">
      <c r="C2965" t="s">
        <v>51</v>
      </c>
      <c r="D2965">
        <v>2016</v>
      </c>
      <c r="E2965" t="s">
        <v>143</v>
      </c>
      <c r="F2965">
        <v>231.02</v>
      </c>
    </row>
    <row r="2966" spans="3:6">
      <c r="C2966" t="s">
        <v>51</v>
      </c>
      <c r="D2966">
        <v>2016</v>
      </c>
      <c r="E2966" t="s">
        <v>144</v>
      </c>
      <c r="F2966">
        <v>9.02</v>
      </c>
    </row>
    <row r="2967" spans="3:6">
      <c r="C2967" t="s">
        <v>51</v>
      </c>
      <c r="D2967">
        <v>2017</v>
      </c>
      <c r="E2967" t="s">
        <v>141</v>
      </c>
      <c r="F2967">
        <v>543.29999999999995</v>
      </c>
    </row>
    <row r="2968" spans="3:6">
      <c r="C2968" t="s">
        <v>51</v>
      </c>
      <c r="D2968">
        <v>2017</v>
      </c>
      <c r="E2968" t="s">
        <v>142</v>
      </c>
      <c r="F2968">
        <v>978.31</v>
      </c>
    </row>
    <row r="2969" spans="3:6">
      <c r="C2969" t="s">
        <v>51</v>
      </c>
      <c r="D2969">
        <v>2017</v>
      </c>
      <c r="E2969" t="s">
        <v>143</v>
      </c>
      <c r="F2969">
        <v>221.23</v>
      </c>
    </row>
    <row r="2970" spans="3:6">
      <c r="C2970" t="s">
        <v>51</v>
      </c>
      <c r="D2970">
        <v>2017</v>
      </c>
      <c r="E2970" t="s">
        <v>144</v>
      </c>
      <c r="F2970">
        <v>9.51</v>
      </c>
    </row>
    <row r="2971" spans="3:6">
      <c r="C2971" t="s">
        <v>51</v>
      </c>
      <c r="D2971">
        <v>2018</v>
      </c>
      <c r="E2971" t="s">
        <v>141</v>
      </c>
      <c r="F2971">
        <v>565.82000000000005</v>
      </c>
    </row>
    <row r="2972" spans="3:6">
      <c r="C2972" t="s">
        <v>51</v>
      </c>
      <c r="D2972">
        <v>2018</v>
      </c>
      <c r="E2972" t="s">
        <v>142</v>
      </c>
      <c r="F2972">
        <v>1022.51</v>
      </c>
    </row>
    <row r="2973" spans="3:6">
      <c r="C2973" t="s">
        <v>51</v>
      </c>
      <c r="D2973">
        <v>2018</v>
      </c>
      <c r="E2973" t="s">
        <v>143</v>
      </c>
      <c r="F2973">
        <v>231.73</v>
      </c>
    </row>
    <row r="2974" spans="3:6">
      <c r="C2974" t="s">
        <v>51</v>
      </c>
      <c r="D2974">
        <v>2018</v>
      </c>
      <c r="E2974" t="s">
        <v>144</v>
      </c>
      <c r="F2974">
        <v>10.16</v>
      </c>
    </row>
    <row r="2975" spans="3:6">
      <c r="C2975" t="s">
        <v>51</v>
      </c>
      <c r="D2975">
        <v>2019</v>
      </c>
      <c r="E2975" t="s">
        <v>146</v>
      </c>
      <c r="F2975">
        <v>27.87</v>
      </c>
    </row>
    <row r="2976" spans="3:6">
      <c r="C2976" t="s">
        <v>51</v>
      </c>
      <c r="D2976">
        <v>2019</v>
      </c>
      <c r="E2976" t="s">
        <v>147</v>
      </c>
      <c r="F2976">
        <v>168.99</v>
      </c>
    </row>
    <row r="2977" spans="3:6">
      <c r="C2977" t="s">
        <v>51</v>
      </c>
      <c r="D2977">
        <v>2019</v>
      </c>
      <c r="E2977" t="s">
        <v>145</v>
      </c>
      <c r="F2977">
        <v>205.49</v>
      </c>
    </row>
    <row r="2978" spans="3:6">
      <c r="C2978" t="s">
        <v>51</v>
      </c>
      <c r="D2978">
        <v>2019</v>
      </c>
      <c r="E2978" t="s">
        <v>141</v>
      </c>
      <c r="F2978">
        <v>575.04999999999995</v>
      </c>
    </row>
    <row r="2979" spans="3:6">
      <c r="C2979" t="s">
        <v>51</v>
      </c>
      <c r="D2979">
        <v>2019</v>
      </c>
      <c r="E2979" t="s">
        <v>142</v>
      </c>
      <c r="F2979">
        <v>1024.5</v>
      </c>
    </row>
    <row r="2980" spans="3:6">
      <c r="C2980" t="s">
        <v>51</v>
      </c>
      <c r="D2980">
        <v>2019</v>
      </c>
      <c r="E2980" t="s">
        <v>143</v>
      </c>
      <c r="F2980">
        <v>233.73</v>
      </c>
    </row>
    <row r="2981" spans="3:6">
      <c r="C2981" t="s">
        <v>51</v>
      </c>
      <c r="D2981">
        <v>2019</v>
      </c>
      <c r="E2981" t="s">
        <v>144</v>
      </c>
      <c r="F2981">
        <v>40.130000000000003</v>
      </c>
    </row>
    <row r="2982" spans="3:6">
      <c r="C2982" t="s">
        <v>51</v>
      </c>
      <c r="D2982">
        <v>2020</v>
      </c>
      <c r="E2982" t="s">
        <v>146</v>
      </c>
      <c r="F2982">
        <v>27.73</v>
      </c>
    </row>
    <row r="2983" spans="3:6">
      <c r="C2983" t="s">
        <v>51</v>
      </c>
      <c r="D2983">
        <v>2020</v>
      </c>
      <c r="E2983" t="s">
        <v>147</v>
      </c>
      <c r="F2983">
        <v>167.92</v>
      </c>
    </row>
    <row r="2984" spans="3:6">
      <c r="C2984" t="s">
        <v>51</v>
      </c>
      <c r="D2984">
        <v>2020</v>
      </c>
      <c r="E2984" t="s">
        <v>145</v>
      </c>
      <c r="F2984">
        <v>192.42</v>
      </c>
    </row>
    <row r="2985" spans="3:6">
      <c r="C2985" t="s">
        <v>51</v>
      </c>
      <c r="D2985">
        <v>2020</v>
      </c>
      <c r="E2985" t="s">
        <v>141</v>
      </c>
      <c r="F2985">
        <v>570.80999999999995</v>
      </c>
    </row>
    <row r="2986" spans="3:6">
      <c r="C2986" t="s">
        <v>51</v>
      </c>
      <c r="D2986">
        <v>2020</v>
      </c>
      <c r="E2986" t="s">
        <v>142</v>
      </c>
      <c r="F2986">
        <v>995.77</v>
      </c>
    </row>
    <row r="2987" spans="3:6">
      <c r="C2987" t="s">
        <v>51</v>
      </c>
      <c r="D2987">
        <v>2020</v>
      </c>
      <c r="E2987" t="s">
        <v>143</v>
      </c>
      <c r="F2987">
        <v>233.56</v>
      </c>
    </row>
    <row r="2988" spans="3:6">
      <c r="C2988" t="s">
        <v>51</v>
      </c>
      <c r="D2988">
        <v>2020</v>
      </c>
      <c r="E2988" t="s">
        <v>144</v>
      </c>
      <c r="F2988">
        <v>39.04</v>
      </c>
    </row>
    <row r="2989" spans="3:6">
      <c r="C2989" t="s">
        <v>51</v>
      </c>
      <c r="D2989">
        <v>2021</v>
      </c>
      <c r="E2989" t="s">
        <v>146</v>
      </c>
      <c r="F2989">
        <v>27.52</v>
      </c>
    </row>
    <row r="2990" spans="3:6">
      <c r="C2990" t="s">
        <v>51</v>
      </c>
      <c r="D2990">
        <v>2021</v>
      </c>
      <c r="E2990" t="s">
        <v>147</v>
      </c>
      <c r="F2990">
        <v>166.15</v>
      </c>
    </row>
    <row r="2991" spans="3:6">
      <c r="C2991" t="s">
        <v>51</v>
      </c>
      <c r="D2991">
        <v>2021</v>
      </c>
      <c r="E2991" t="s">
        <v>145</v>
      </c>
      <c r="F2991">
        <v>196.45</v>
      </c>
    </row>
    <row r="2992" spans="3:6">
      <c r="C2992" t="s">
        <v>51</v>
      </c>
      <c r="D2992">
        <v>2021</v>
      </c>
      <c r="E2992" t="s">
        <v>141</v>
      </c>
      <c r="F2992">
        <v>577.23</v>
      </c>
    </row>
    <row r="2993" spans="3:6">
      <c r="C2993" t="s">
        <v>51</v>
      </c>
      <c r="D2993">
        <v>2021</v>
      </c>
      <c r="E2993" t="s">
        <v>142</v>
      </c>
      <c r="F2993">
        <v>1069.05</v>
      </c>
    </row>
    <row r="2994" spans="3:6">
      <c r="C2994" t="s">
        <v>51</v>
      </c>
      <c r="D2994">
        <v>2021</v>
      </c>
      <c r="E2994" t="s">
        <v>143</v>
      </c>
      <c r="F2994">
        <v>235.58</v>
      </c>
    </row>
    <row r="2995" spans="3:6">
      <c r="C2995" t="s">
        <v>51</v>
      </c>
      <c r="D2995">
        <v>2021</v>
      </c>
      <c r="E2995" t="s">
        <v>144</v>
      </c>
      <c r="F2995">
        <v>41.86</v>
      </c>
    </row>
    <row r="2996" spans="3:6">
      <c r="C2996" t="s">
        <v>51</v>
      </c>
      <c r="D2996">
        <v>2022</v>
      </c>
      <c r="E2996" t="s">
        <v>146</v>
      </c>
      <c r="F2996">
        <v>27.3</v>
      </c>
    </row>
    <row r="2997" spans="3:6">
      <c r="C2997" t="s">
        <v>51</v>
      </c>
      <c r="D2997">
        <v>2022</v>
      </c>
      <c r="E2997" t="s">
        <v>147</v>
      </c>
      <c r="F2997">
        <v>164.18</v>
      </c>
    </row>
    <row r="2998" spans="3:6">
      <c r="C2998" t="s">
        <v>51</v>
      </c>
      <c r="D2998">
        <v>2022</v>
      </c>
      <c r="E2998" t="s">
        <v>145</v>
      </c>
      <c r="F2998">
        <v>198.34</v>
      </c>
    </row>
    <row r="2999" spans="3:6">
      <c r="C2999" t="s">
        <v>51</v>
      </c>
      <c r="D2999">
        <v>2022</v>
      </c>
      <c r="E2999" t="s">
        <v>141</v>
      </c>
      <c r="F2999">
        <v>587.77</v>
      </c>
    </row>
    <row r="3000" spans="3:6">
      <c r="C3000" t="s">
        <v>51</v>
      </c>
      <c r="D3000">
        <v>2022</v>
      </c>
      <c r="E3000" t="s">
        <v>142</v>
      </c>
      <c r="F3000">
        <v>1081.77</v>
      </c>
    </row>
    <row r="3001" spans="3:6">
      <c r="C3001" t="s">
        <v>51</v>
      </c>
      <c r="D3001">
        <v>2022</v>
      </c>
      <c r="E3001" t="s">
        <v>143</v>
      </c>
      <c r="F3001">
        <v>236.53</v>
      </c>
    </row>
    <row r="3002" spans="3:6">
      <c r="C3002" t="s">
        <v>51</v>
      </c>
      <c r="D3002">
        <v>2022</v>
      </c>
      <c r="E3002" t="s">
        <v>144</v>
      </c>
      <c r="F3002">
        <v>43.53</v>
      </c>
    </row>
    <row r="3003" spans="3:6">
      <c r="C3003" t="s">
        <v>51</v>
      </c>
      <c r="D3003">
        <v>2023</v>
      </c>
      <c r="E3003" t="s">
        <v>146</v>
      </c>
      <c r="F3003">
        <v>27.08</v>
      </c>
    </row>
    <row r="3004" spans="3:6">
      <c r="C3004" t="s">
        <v>51</v>
      </c>
      <c r="D3004">
        <v>2023</v>
      </c>
      <c r="E3004" t="s">
        <v>147</v>
      </c>
      <c r="F3004">
        <v>162.18</v>
      </c>
    </row>
    <row r="3005" spans="3:6">
      <c r="C3005" t="s">
        <v>51</v>
      </c>
      <c r="D3005">
        <v>2023</v>
      </c>
      <c r="E3005" t="s">
        <v>145</v>
      </c>
      <c r="F3005">
        <v>200.05</v>
      </c>
    </row>
    <row r="3006" spans="3:6">
      <c r="C3006" t="s">
        <v>51</v>
      </c>
      <c r="D3006">
        <v>2023</v>
      </c>
      <c r="E3006" t="s">
        <v>141</v>
      </c>
      <c r="F3006">
        <v>596.98</v>
      </c>
    </row>
    <row r="3007" spans="3:6">
      <c r="C3007" t="s">
        <v>51</v>
      </c>
      <c r="D3007">
        <v>2023</v>
      </c>
      <c r="E3007" t="s">
        <v>142</v>
      </c>
      <c r="F3007">
        <v>1102.6600000000001</v>
      </c>
    </row>
    <row r="3008" spans="3:6">
      <c r="C3008" t="s">
        <v>51</v>
      </c>
      <c r="D3008">
        <v>2023</v>
      </c>
      <c r="E3008" t="s">
        <v>143</v>
      </c>
      <c r="F3008">
        <v>238.5</v>
      </c>
    </row>
    <row r="3009" spans="3:6">
      <c r="C3009" t="s">
        <v>51</v>
      </c>
      <c r="D3009">
        <v>2023</v>
      </c>
      <c r="E3009" t="s">
        <v>144</v>
      </c>
      <c r="F3009">
        <v>44.45</v>
      </c>
    </row>
    <row r="3010" spans="3:6">
      <c r="C3010" t="s">
        <v>51</v>
      </c>
      <c r="D3010">
        <v>2024</v>
      </c>
      <c r="E3010" t="s">
        <v>146</v>
      </c>
      <c r="F3010">
        <v>26.87</v>
      </c>
    </row>
    <row r="3011" spans="3:6">
      <c r="C3011" t="s">
        <v>51</v>
      </c>
      <c r="D3011">
        <v>2024</v>
      </c>
      <c r="E3011" t="s">
        <v>147</v>
      </c>
      <c r="F3011">
        <v>160.4</v>
      </c>
    </row>
    <row r="3012" spans="3:6">
      <c r="C3012" t="s">
        <v>51</v>
      </c>
      <c r="D3012">
        <v>2024</v>
      </c>
      <c r="E3012" t="s">
        <v>145</v>
      </c>
      <c r="F3012">
        <v>200.68</v>
      </c>
    </row>
    <row r="3013" spans="3:6">
      <c r="C3013" t="s">
        <v>51</v>
      </c>
      <c r="D3013">
        <v>2024</v>
      </c>
      <c r="E3013" t="s">
        <v>141</v>
      </c>
      <c r="F3013">
        <v>603.96</v>
      </c>
    </row>
    <row r="3014" spans="3:6">
      <c r="C3014" t="s">
        <v>51</v>
      </c>
      <c r="D3014">
        <v>2024</v>
      </c>
      <c r="E3014" t="s">
        <v>142</v>
      </c>
      <c r="F3014">
        <v>1114.23</v>
      </c>
    </row>
    <row r="3015" spans="3:6">
      <c r="C3015" t="s">
        <v>51</v>
      </c>
      <c r="D3015">
        <v>2024</v>
      </c>
      <c r="E3015" t="s">
        <v>143</v>
      </c>
      <c r="F3015">
        <v>240.9</v>
      </c>
    </row>
    <row r="3016" spans="3:6">
      <c r="C3016" t="s">
        <v>51</v>
      </c>
      <c r="D3016">
        <v>2024</v>
      </c>
      <c r="E3016" t="s">
        <v>144</v>
      </c>
      <c r="F3016">
        <v>45.13</v>
      </c>
    </row>
    <row r="3017" spans="3:6">
      <c r="C3017" t="s">
        <v>51</v>
      </c>
      <c r="D3017">
        <v>2025</v>
      </c>
      <c r="E3017" t="s">
        <v>146</v>
      </c>
      <c r="F3017">
        <v>26.67</v>
      </c>
    </row>
    <row r="3018" spans="3:6">
      <c r="C3018" t="s">
        <v>51</v>
      </c>
      <c r="D3018">
        <v>2025</v>
      </c>
      <c r="E3018" t="s">
        <v>147</v>
      </c>
      <c r="F3018">
        <v>158.77000000000001</v>
      </c>
    </row>
    <row r="3019" spans="3:6">
      <c r="C3019" t="s">
        <v>51</v>
      </c>
      <c r="D3019">
        <v>2025</v>
      </c>
      <c r="E3019" t="s">
        <v>145</v>
      </c>
      <c r="F3019">
        <v>201.35</v>
      </c>
    </row>
    <row r="3020" spans="3:6">
      <c r="C3020" t="s">
        <v>51</v>
      </c>
      <c r="D3020">
        <v>2025</v>
      </c>
      <c r="E3020" t="s">
        <v>141</v>
      </c>
      <c r="F3020">
        <v>610.37</v>
      </c>
    </row>
    <row r="3021" spans="3:6">
      <c r="C3021" t="s">
        <v>51</v>
      </c>
      <c r="D3021">
        <v>2025</v>
      </c>
      <c r="E3021" t="s">
        <v>142</v>
      </c>
      <c r="F3021">
        <v>1129.0999999999999</v>
      </c>
    </row>
    <row r="3022" spans="3:6">
      <c r="C3022" t="s">
        <v>51</v>
      </c>
      <c r="D3022">
        <v>2025</v>
      </c>
      <c r="E3022" t="s">
        <v>143</v>
      </c>
      <c r="F3022">
        <v>243.21</v>
      </c>
    </row>
    <row r="3023" spans="3:6">
      <c r="C3023" t="s">
        <v>51</v>
      </c>
      <c r="D3023">
        <v>2025</v>
      </c>
      <c r="E3023" t="s">
        <v>144</v>
      </c>
      <c r="F3023">
        <v>45.77</v>
      </c>
    </row>
    <row r="3024" spans="3:6">
      <c r="C3024" t="s">
        <v>51</v>
      </c>
      <c r="D3024">
        <v>2026</v>
      </c>
      <c r="E3024" t="s">
        <v>146</v>
      </c>
      <c r="F3024">
        <v>26.51</v>
      </c>
    </row>
    <row r="3025" spans="3:6">
      <c r="C3025" t="s">
        <v>51</v>
      </c>
      <c r="D3025">
        <v>2026</v>
      </c>
      <c r="E3025" t="s">
        <v>147</v>
      </c>
      <c r="F3025">
        <v>157.38</v>
      </c>
    </row>
    <row r="3026" spans="3:6">
      <c r="C3026" t="s">
        <v>51</v>
      </c>
      <c r="D3026">
        <v>2026</v>
      </c>
      <c r="E3026" t="s">
        <v>145</v>
      </c>
      <c r="F3026">
        <v>201.97</v>
      </c>
    </row>
    <row r="3027" spans="3:6">
      <c r="C3027" t="s">
        <v>51</v>
      </c>
      <c r="D3027">
        <v>2026</v>
      </c>
      <c r="E3027" t="s">
        <v>141</v>
      </c>
      <c r="F3027">
        <v>616.41999999999996</v>
      </c>
    </row>
    <row r="3028" spans="3:6">
      <c r="C3028" t="s">
        <v>51</v>
      </c>
      <c r="D3028">
        <v>2026</v>
      </c>
      <c r="E3028" t="s">
        <v>142</v>
      </c>
      <c r="F3028">
        <v>1137.8</v>
      </c>
    </row>
    <row r="3029" spans="3:6">
      <c r="C3029" t="s">
        <v>51</v>
      </c>
      <c r="D3029">
        <v>2026</v>
      </c>
      <c r="E3029" t="s">
        <v>143</v>
      </c>
      <c r="F3029">
        <v>245.57</v>
      </c>
    </row>
    <row r="3030" spans="3:6">
      <c r="C3030" t="s">
        <v>51</v>
      </c>
      <c r="D3030">
        <v>2026</v>
      </c>
      <c r="E3030" t="s">
        <v>144</v>
      </c>
      <c r="F3030">
        <v>46.8</v>
      </c>
    </row>
    <row r="3031" spans="3:6">
      <c r="C3031" t="s">
        <v>51</v>
      </c>
      <c r="D3031">
        <v>2027</v>
      </c>
      <c r="E3031" t="s">
        <v>146</v>
      </c>
      <c r="F3031">
        <v>26.37</v>
      </c>
    </row>
    <row r="3032" spans="3:6">
      <c r="C3032" t="s">
        <v>51</v>
      </c>
      <c r="D3032">
        <v>2027</v>
      </c>
      <c r="E3032" t="s">
        <v>147</v>
      </c>
      <c r="F3032">
        <v>156.26</v>
      </c>
    </row>
    <row r="3033" spans="3:6">
      <c r="C3033" t="s">
        <v>51</v>
      </c>
      <c r="D3033">
        <v>2027</v>
      </c>
      <c r="E3033" t="s">
        <v>145</v>
      </c>
      <c r="F3033">
        <v>202.74</v>
      </c>
    </row>
    <row r="3034" spans="3:6">
      <c r="C3034" t="s">
        <v>51</v>
      </c>
      <c r="D3034">
        <v>2027</v>
      </c>
      <c r="E3034" t="s">
        <v>141</v>
      </c>
      <c r="F3034">
        <v>622.04999999999995</v>
      </c>
    </row>
    <row r="3035" spans="3:6">
      <c r="C3035" t="s">
        <v>51</v>
      </c>
      <c r="D3035">
        <v>2027</v>
      </c>
      <c r="E3035" t="s">
        <v>142</v>
      </c>
      <c r="F3035">
        <v>1150.3900000000001</v>
      </c>
    </row>
    <row r="3036" spans="3:6">
      <c r="C3036" t="s">
        <v>51</v>
      </c>
      <c r="D3036">
        <v>2027</v>
      </c>
      <c r="E3036" t="s">
        <v>143</v>
      </c>
      <c r="F3036">
        <v>248.09</v>
      </c>
    </row>
    <row r="3037" spans="3:6">
      <c r="C3037" t="s">
        <v>51</v>
      </c>
      <c r="D3037">
        <v>2027</v>
      </c>
      <c r="E3037" t="s">
        <v>144</v>
      </c>
      <c r="F3037">
        <v>47.87</v>
      </c>
    </row>
    <row r="3038" spans="3:6">
      <c r="C3038" t="s">
        <v>51</v>
      </c>
      <c r="D3038">
        <v>2028</v>
      </c>
      <c r="E3038" t="s">
        <v>146</v>
      </c>
      <c r="F3038">
        <v>26.27</v>
      </c>
    </row>
    <row r="3039" spans="3:6">
      <c r="C3039" t="s">
        <v>51</v>
      </c>
      <c r="D3039">
        <v>2028</v>
      </c>
      <c r="E3039" t="s">
        <v>147</v>
      </c>
      <c r="F3039">
        <v>155.43</v>
      </c>
    </row>
    <row r="3040" spans="3:6">
      <c r="C3040" t="s">
        <v>51</v>
      </c>
      <c r="D3040">
        <v>2028</v>
      </c>
      <c r="E3040" t="s">
        <v>145</v>
      </c>
      <c r="F3040">
        <v>203.57</v>
      </c>
    </row>
    <row r="3041" spans="3:6">
      <c r="C3041" t="s">
        <v>51</v>
      </c>
      <c r="D3041">
        <v>2028</v>
      </c>
      <c r="E3041" t="s">
        <v>141</v>
      </c>
      <c r="F3041">
        <v>627.39</v>
      </c>
    </row>
    <row r="3042" spans="3:6">
      <c r="C3042" t="s">
        <v>51</v>
      </c>
      <c r="D3042">
        <v>2028</v>
      </c>
      <c r="E3042" t="s">
        <v>142</v>
      </c>
      <c r="F3042">
        <v>1158.57</v>
      </c>
    </row>
    <row r="3043" spans="3:6">
      <c r="C3043" t="s">
        <v>51</v>
      </c>
      <c r="D3043">
        <v>2028</v>
      </c>
      <c r="E3043" t="s">
        <v>143</v>
      </c>
      <c r="F3043">
        <v>250.63</v>
      </c>
    </row>
    <row r="3044" spans="3:6">
      <c r="C3044" t="s">
        <v>51</v>
      </c>
      <c r="D3044">
        <v>2028</v>
      </c>
      <c r="E3044" t="s">
        <v>144</v>
      </c>
      <c r="F3044">
        <v>48.96</v>
      </c>
    </row>
    <row r="3045" spans="3:6">
      <c r="C3045" t="s">
        <v>51</v>
      </c>
      <c r="D3045">
        <v>2029</v>
      </c>
      <c r="E3045" t="s">
        <v>146</v>
      </c>
      <c r="F3045">
        <v>26.18</v>
      </c>
    </row>
    <row r="3046" spans="3:6">
      <c r="C3046" t="s">
        <v>51</v>
      </c>
      <c r="D3046">
        <v>2029</v>
      </c>
      <c r="E3046" t="s">
        <v>147</v>
      </c>
      <c r="F3046">
        <v>154.68</v>
      </c>
    </row>
    <row r="3047" spans="3:6">
      <c r="C3047" t="s">
        <v>51</v>
      </c>
      <c r="D3047">
        <v>2029</v>
      </c>
      <c r="E3047" t="s">
        <v>145</v>
      </c>
      <c r="F3047">
        <v>204.33</v>
      </c>
    </row>
    <row r="3048" spans="3:6">
      <c r="C3048" t="s">
        <v>51</v>
      </c>
      <c r="D3048">
        <v>2029</v>
      </c>
      <c r="E3048" t="s">
        <v>141</v>
      </c>
      <c r="F3048">
        <v>632.54999999999995</v>
      </c>
    </row>
    <row r="3049" spans="3:6">
      <c r="C3049" t="s">
        <v>51</v>
      </c>
      <c r="D3049">
        <v>2029</v>
      </c>
      <c r="E3049" t="s">
        <v>142</v>
      </c>
      <c r="F3049">
        <v>1171.96</v>
      </c>
    </row>
    <row r="3050" spans="3:6">
      <c r="C3050" t="s">
        <v>51</v>
      </c>
      <c r="D3050">
        <v>2029</v>
      </c>
      <c r="E3050" t="s">
        <v>143</v>
      </c>
      <c r="F3050">
        <v>253.35</v>
      </c>
    </row>
    <row r="3051" spans="3:6">
      <c r="C3051" t="s">
        <v>51</v>
      </c>
      <c r="D3051">
        <v>2029</v>
      </c>
      <c r="E3051" t="s">
        <v>144</v>
      </c>
      <c r="F3051">
        <v>50.11</v>
      </c>
    </row>
    <row r="3052" spans="3:6">
      <c r="C3052" t="s">
        <v>51</v>
      </c>
      <c r="D3052">
        <v>2030</v>
      </c>
      <c r="E3052" t="s">
        <v>146</v>
      </c>
      <c r="F3052">
        <v>26.09</v>
      </c>
    </row>
    <row r="3053" spans="3:6">
      <c r="C3053" t="s">
        <v>51</v>
      </c>
      <c r="D3053">
        <v>2030</v>
      </c>
      <c r="E3053" t="s">
        <v>147</v>
      </c>
      <c r="F3053">
        <v>153.93</v>
      </c>
    </row>
    <row r="3054" spans="3:6">
      <c r="C3054" t="s">
        <v>51</v>
      </c>
      <c r="D3054">
        <v>2030</v>
      </c>
      <c r="E3054" t="s">
        <v>145</v>
      </c>
      <c r="F3054">
        <v>205.01</v>
      </c>
    </row>
    <row r="3055" spans="3:6">
      <c r="C3055" t="s">
        <v>51</v>
      </c>
      <c r="D3055">
        <v>2030</v>
      </c>
      <c r="E3055" t="s">
        <v>141</v>
      </c>
      <c r="F3055">
        <v>637.63</v>
      </c>
    </row>
    <row r="3056" spans="3:6">
      <c r="C3056" t="s">
        <v>51</v>
      </c>
      <c r="D3056">
        <v>2030</v>
      </c>
      <c r="E3056" t="s">
        <v>142</v>
      </c>
      <c r="F3056">
        <v>1180.97</v>
      </c>
    </row>
    <row r="3057" spans="3:6">
      <c r="C3057" t="s">
        <v>51</v>
      </c>
      <c r="D3057">
        <v>2030</v>
      </c>
      <c r="E3057" t="s">
        <v>143</v>
      </c>
      <c r="F3057">
        <v>256.10000000000002</v>
      </c>
    </row>
    <row r="3058" spans="3:6">
      <c r="C3058" t="s">
        <v>51</v>
      </c>
      <c r="D3058">
        <v>2030</v>
      </c>
      <c r="E3058" t="s">
        <v>144</v>
      </c>
      <c r="F3058">
        <v>51.22</v>
      </c>
    </row>
    <row r="3059" spans="3:6">
      <c r="C3059" t="s">
        <v>51</v>
      </c>
      <c r="D3059">
        <v>2031</v>
      </c>
      <c r="E3059" t="s">
        <v>146</v>
      </c>
      <c r="F3059">
        <v>26</v>
      </c>
    </row>
    <row r="3060" spans="3:6">
      <c r="C3060" t="s">
        <v>51</v>
      </c>
      <c r="D3060">
        <v>2031</v>
      </c>
      <c r="E3060" t="s">
        <v>147</v>
      </c>
      <c r="F3060">
        <v>153.16</v>
      </c>
    </row>
    <row r="3061" spans="3:6">
      <c r="C3061" t="s">
        <v>51</v>
      </c>
      <c r="D3061">
        <v>2031</v>
      </c>
      <c r="E3061" t="s">
        <v>145</v>
      </c>
      <c r="F3061">
        <v>205.52</v>
      </c>
    </row>
    <row r="3062" spans="3:6">
      <c r="C3062" t="s">
        <v>51</v>
      </c>
      <c r="D3062">
        <v>2031</v>
      </c>
      <c r="E3062" t="s">
        <v>141</v>
      </c>
      <c r="F3062">
        <v>641.23</v>
      </c>
    </row>
    <row r="3063" spans="3:6">
      <c r="C3063" t="s">
        <v>51</v>
      </c>
      <c r="D3063">
        <v>2031</v>
      </c>
      <c r="E3063" t="s">
        <v>142</v>
      </c>
      <c r="F3063">
        <v>1192.3</v>
      </c>
    </row>
    <row r="3064" spans="3:6">
      <c r="C3064" t="s">
        <v>51</v>
      </c>
      <c r="D3064">
        <v>2031</v>
      </c>
      <c r="E3064" t="s">
        <v>143</v>
      </c>
      <c r="F3064">
        <v>258.06</v>
      </c>
    </row>
    <row r="3065" spans="3:6">
      <c r="C3065" t="s">
        <v>51</v>
      </c>
      <c r="D3065">
        <v>2031</v>
      </c>
      <c r="E3065" t="s">
        <v>144</v>
      </c>
      <c r="F3065">
        <v>52.27</v>
      </c>
    </row>
    <row r="3066" spans="3:6">
      <c r="C3066" t="s">
        <v>51</v>
      </c>
      <c r="D3066">
        <v>2032</v>
      </c>
      <c r="E3066" t="s">
        <v>146</v>
      </c>
      <c r="F3066">
        <v>25.91</v>
      </c>
    </row>
    <row r="3067" spans="3:6">
      <c r="C3067" t="s">
        <v>51</v>
      </c>
      <c r="D3067">
        <v>2032</v>
      </c>
      <c r="E3067" t="s">
        <v>147</v>
      </c>
      <c r="F3067">
        <v>152.41</v>
      </c>
    </row>
    <row r="3068" spans="3:6">
      <c r="C3068" t="s">
        <v>51</v>
      </c>
      <c r="D3068">
        <v>2032</v>
      </c>
      <c r="E3068" t="s">
        <v>145</v>
      </c>
      <c r="F3068">
        <v>205.07</v>
      </c>
    </row>
    <row r="3069" spans="3:6">
      <c r="C3069" t="s">
        <v>51</v>
      </c>
      <c r="D3069">
        <v>2032</v>
      </c>
      <c r="E3069" t="s">
        <v>141</v>
      </c>
      <c r="F3069">
        <v>643.57000000000005</v>
      </c>
    </row>
    <row r="3070" spans="3:6">
      <c r="C3070" t="s">
        <v>51</v>
      </c>
      <c r="D3070">
        <v>2032</v>
      </c>
      <c r="E3070" t="s">
        <v>142</v>
      </c>
      <c r="F3070">
        <v>1195.04</v>
      </c>
    </row>
    <row r="3071" spans="3:6">
      <c r="C3071" t="s">
        <v>51</v>
      </c>
      <c r="D3071">
        <v>2032</v>
      </c>
      <c r="E3071" t="s">
        <v>143</v>
      </c>
      <c r="F3071">
        <v>259.36</v>
      </c>
    </row>
    <row r="3072" spans="3:6">
      <c r="C3072" t="s">
        <v>51</v>
      </c>
      <c r="D3072">
        <v>2032</v>
      </c>
      <c r="E3072" t="s">
        <v>144</v>
      </c>
      <c r="F3072">
        <v>53.33</v>
      </c>
    </row>
    <row r="3073" spans="3:6">
      <c r="C3073" t="s">
        <v>51</v>
      </c>
      <c r="D3073">
        <v>2033</v>
      </c>
      <c r="E3073" t="s">
        <v>146</v>
      </c>
      <c r="F3073">
        <v>25.82</v>
      </c>
    </row>
    <row r="3074" spans="3:6">
      <c r="C3074" t="s">
        <v>51</v>
      </c>
      <c r="D3074">
        <v>2033</v>
      </c>
      <c r="E3074" t="s">
        <v>147</v>
      </c>
      <c r="F3074">
        <v>151.69</v>
      </c>
    </row>
    <row r="3075" spans="3:6">
      <c r="C3075" t="s">
        <v>51</v>
      </c>
      <c r="D3075">
        <v>2033</v>
      </c>
      <c r="E3075" t="s">
        <v>145</v>
      </c>
      <c r="F3075">
        <v>204.64</v>
      </c>
    </row>
    <row r="3076" spans="3:6">
      <c r="C3076" t="s">
        <v>51</v>
      </c>
      <c r="D3076">
        <v>2033</v>
      </c>
      <c r="E3076" t="s">
        <v>141</v>
      </c>
      <c r="F3076">
        <v>645.74</v>
      </c>
    </row>
    <row r="3077" spans="3:6">
      <c r="C3077" t="s">
        <v>51</v>
      </c>
      <c r="D3077">
        <v>2033</v>
      </c>
      <c r="E3077" t="s">
        <v>142</v>
      </c>
      <c r="F3077">
        <v>1202.43</v>
      </c>
    </row>
    <row r="3078" spans="3:6">
      <c r="C3078" t="s">
        <v>51</v>
      </c>
      <c r="D3078">
        <v>2033</v>
      </c>
      <c r="E3078" t="s">
        <v>143</v>
      </c>
      <c r="F3078">
        <v>260.52999999999997</v>
      </c>
    </row>
    <row r="3079" spans="3:6">
      <c r="C3079" t="s">
        <v>51</v>
      </c>
      <c r="D3079">
        <v>2033</v>
      </c>
      <c r="E3079" t="s">
        <v>144</v>
      </c>
      <c r="F3079">
        <v>54.44</v>
      </c>
    </row>
    <row r="3080" spans="3:6">
      <c r="C3080" t="s">
        <v>51</v>
      </c>
      <c r="D3080">
        <v>2034</v>
      </c>
      <c r="E3080" t="s">
        <v>146</v>
      </c>
      <c r="F3080">
        <v>25.73</v>
      </c>
    </row>
    <row r="3081" spans="3:6">
      <c r="C3081" t="s">
        <v>51</v>
      </c>
      <c r="D3081">
        <v>2034</v>
      </c>
      <c r="E3081" t="s">
        <v>147</v>
      </c>
      <c r="F3081">
        <v>151</v>
      </c>
    </row>
    <row r="3082" spans="3:6">
      <c r="C3082" t="s">
        <v>51</v>
      </c>
      <c r="D3082">
        <v>2034</v>
      </c>
      <c r="E3082" t="s">
        <v>145</v>
      </c>
      <c r="F3082">
        <v>204.32</v>
      </c>
    </row>
    <row r="3083" spans="3:6">
      <c r="C3083" t="s">
        <v>51</v>
      </c>
      <c r="D3083">
        <v>2034</v>
      </c>
      <c r="E3083" t="s">
        <v>141</v>
      </c>
      <c r="F3083">
        <v>647.79999999999995</v>
      </c>
    </row>
    <row r="3084" spans="3:6">
      <c r="C3084" t="s">
        <v>51</v>
      </c>
      <c r="D3084">
        <v>2034</v>
      </c>
      <c r="E3084" t="s">
        <v>142</v>
      </c>
      <c r="F3084">
        <v>1202.5999999999999</v>
      </c>
    </row>
    <row r="3085" spans="3:6">
      <c r="C3085" t="s">
        <v>51</v>
      </c>
      <c r="D3085">
        <v>2034</v>
      </c>
      <c r="E3085" t="s">
        <v>143</v>
      </c>
      <c r="F3085">
        <v>261.64</v>
      </c>
    </row>
    <row r="3086" spans="3:6">
      <c r="C3086" t="s">
        <v>51</v>
      </c>
      <c r="D3086">
        <v>2034</v>
      </c>
      <c r="E3086" t="s">
        <v>144</v>
      </c>
      <c r="F3086">
        <v>55.57</v>
      </c>
    </row>
    <row r="3087" spans="3:6">
      <c r="C3087" t="s">
        <v>51</v>
      </c>
      <c r="D3087">
        <v>2035</v>
      </c>
      <c r="E3087" t="s">
        <v>146</v>
      </c>
      <c r="F3087">
        <v>25.65</v>
      </c>
    </row>
    <row r="3088" spans="3:6">
      <c r="C3088" t="s">
        <v>51</v>
      </c>
      <c r="D3088">
        <v>2035</v>
      </c>
      <c r="E3088" t="s">
        <v>147</v>
      </c>
      <c r="F3088">
        <v>150.35</v>
      </c>
    </row>
    <row r="3089" spans="3:6">
      <c r="C3089" t="s">
        <v>51</v>
      </c>
      <c r="D3089">
        <v>2035</v>
      </c>
      <c r="E3089" t="s">
        <v>145</v>
      </c>
      <c r="F3089">
        <v>204.04</v>
      </c>
    </row>
    <row r="3090" spans="3:6">
      <c r="C3090" t="s">
        <v>51</v>
      </c>
      <c r="D3090">
        <v>2035</v>
      </c>
      <c r="E3090" t="s">
        <v>141</v>
      </c>
      <c r="F3090">
        <v>649.74</v>
      </c>
    </row>
    <row r="3091" spans="3:6">
      <c r="C3091" t="s">
        <v>51</v>
      </c>
      <c r="D3091">
        <v>2035</v>
      </c>
      <c r="E3091" t="s">
        <v>142</v>
      </c>
      <c r="F3091">
        <v>1207.8399999999999</v>
      </c>
    </row>
    <row r="3092" spans="3:6">
      <c r="C3092" t="s">
        <v>51</v>
      </c>
      <c r="D3092">
        <v>2035</v>
      </c>
      <c r="E3092" t="s">
        <v>143</v>
      </c>
      <c r="F3092">
        <v>262.79000000000002</v>
      </c>
    </row>
    <row r="3093" spans="3:6">
      <c r="C3093" t="s">
        <v>51</v>
      </c>
      <c r="D3093">
        <v>2035</v>
      </c>
      <c r="E3093" t="s">
        <v>144</v>
      </c>
      <c r="F3093">
        <v>56.67</v>
      </c>
    </row>
    <row r="3094" spans="3:6">
      <c r="C3094" t="s">
        <v>51</v>
      </c>
      <c r="D3094">
        <v>2036</v>
      </c>
      <c r="E3094" t="s">
        <v>146</v>
      </c>
      <c r="F3094">
        <v>25.57</v>
      </c>
    </row>
    <row r="3095" spans="3:6">
      <c r="C3095" t="s">
        <v>51</v>
      </c>
      <c r="D3095">
        <v>2036</v>
      </c>
      <c r="E3095" t="s">
        <v>147</v>
      </c>
      <c r="F3095">
        <v>149.72999999999999</v>
      </c>
    </row>
    <row r="3096" spans="3:6">
      <c r="C3096" t="s">
        <v>51</v>
      </c>
      <c r="D3096">
        <v>2036</v>
      </c>
      <c r="E3096" t="s">
        <v>145</v>
      </c>
      <c r="F3096">
        <v>203.71</v>
      </c>
    </row>
    <row r="3097" spans="3:6">
      <c r="C3097" t="s">
        <v>51</v>
      </c>
      <c r="D3097">
        <v>2036</v>
      </c>
      <c r="E3097" t="s">
        <v>141</v>
      </c>
      <c r="F3097">
        <v>652.44000000000005</v>
      </c>
    </row>
    <row r="3098" spans="3:6">
      <c r="C3098" t="s">
        <v>51</v>
      </c>
      <c r="D3098">
        <v>2036</v>
      </c>
      <c r="E3098" t="s">
        <v>142</v>
      </c>
      <c r="F3098">
        <v>1210.5899999999999</v>
      </c>
    </row>
    <row r="3099" spans="3:6">
      <c r="C3099" t="s">
        <v>51</v>
      </c>
      <c r="D3099">
        <v>2036</v>
      </c>
      <c r="E3099" t="s">
        <v>143</v>
      </c>
      <c r="F3099">
        <v>264.51</v>
      </c>
    </row>
    <row r="3100" spans="3:6">
      <c r="C3100" t="s">
        <v>51</v>
      </c>
      <c r="D3100">
        <v>2036</v>
      </c>
      <c r="E3100" t="s">
        <v>144</v>
      </c>
      <c r="F3100">
        <v>57.62</v>
      </c>
    </row>
    <row r="3101" spans="3:6">
      <c r="C3101" t="s">
        <v>51</v>
      </c>
      <c r="D3101">
        <v>2037</v>
      </c>
      <c r="E3101" t="s">
        <v>146</v>
      </c>
      <c r="F3101">
        <v>25.5</v>
      </c>
    </row>
    <row r="3102" spans="3:6">
      <c r="C3102" t="s">
        <v>51</v>
      </c>
      <c r="D3102">
        <v>2037</v>
      </c>
      <c r="E3102" t="s">
        <v>147</v>
      </c>
      <c r="F3102">
        <v>149.13999999999999</v>
      </c>
    </row>
    <row r="3103" spans="3:6">
      <c r="C3103" t="s">
        <v>51</v>
      </c>
      <c r="D3103">
        <v>2037</v>
      </c>
      <c r="E3103" t="s">
        <v>145</v>
      </c>
      <c r="F3103">
        <v>203.23</v>
      </c>
    </row>
    <row r="3104" spans="3:6">
      <c r="C3104" t="s">
        <v>51</v>
      </c>
      <c r="D3104">
        <v>2037</v>
      </c>
      <c r="E3104" t="s">
        <v>141</v>
      </c>
      <c r="F3104">
        <v>654.79</v>
      </c>
    </row>
    <row r="3105" spans="3:6">
      <c r="C3105" t="s">
        <v>51</v>
      </c>
      <c r="D3105">
        <v>2037</v>
      </c>
      <c r="E3105" t="s">
        <v>142</v>
      </c>
      <c r="F3105">
        <v>1213.79</v>
      </c>
    </row>
    <row r="3106" spans="3:6">
      <c r="C3106" t="s">
        <v>51</v>
      </c>
      <c r="D3106">
        <v>2037</v>
      </c>
      <c r="E3106" t="s">
        <v>143</v>
      </c>
      <c r="F3106">
        <v>266.11</v>
      </c>
    </row>
    <row r="3107" spans="3:6">
      <c r="C3107" t="s">
        <v>51</v>
      </c>
      <c r="D3107">
        <v>2037</v>
      </c>
      <c r="E3107" t="s">
        <v>144</v>
      </c>
      <c r="F3107">
        <v>58.46</v>
      </c>
    </row>
    <row r="3108" spans="3:6">
      <c r="C3108" t="s">
        <v>51</v>
      </c>
      <c r="D3108">
        <v>2038</v>
      </c>
      <c r="E3108" t="s">
        <v>146</v>
      </c>
      <c r="F3108">
        <v>25.43</v>
      </c>
    </row>
    <row r="3109" spans="3:6">
      <c r="C3109" t="s">
        <v>51</v>
      </c>
      <c r="D3109">
        <v>2038</v>
      </c>
      <c r="E3109" t="s">
        <v>147</v>
      </c>
      <c r="F3109">
        <v>148.59</v>
      </c>
    </row>
    <row r="3110" spans="3:6">
      <c r="C3110" t="s">
        <v>51</v>
      </c>
      <c r="D3110">
        <v>2038</v>
      </c>
      <c r="E3110" t="s">
        <v>145</v>
      </c>
      <c r="F3110">
        <v>202.64</v>
      </c>
    </row>
    <row r="3111" spans="3:6">
      <c r="C3111" t="s">
        <v>51</v>
      </c>
      <c r="D3111">
        <v>2038</v>
      </c>
      <c r="E3111" t="s">
        <v>141</v>
      </c>
      <c r="F3111">
        <v>656.98</v>
      </c>
    </row>
    <row r="3112" spans="3:6">
      <c r="C3112" t="s">
        <v>51</v>
      </c>
      <c r="D3112">
        <v>2038</v>
      </c>
      <c r="E3112" t="s">
        <v>142</v>
      </c>
      <c r="F3112">
        <v>1216.44</v>
      </c>
    </row>
    <row r="3113" spans="3:6">
      <c r="C3113" t="s">
        <v>51</v>
      </c>
      <c r="D3113">
        <v>2038</v>
      </c>
      <c r="E3113" t="s">
        <v>143</v>
      </c>
      <c r="F3113">
        <v>267.62</v>
      </c>
    </row>
    <row r="3114" spans="3:6">
      <c r="C3114" t="s">
        <v>51</v>
      </c>
      <c r="D3114">
        <v>2038</v>
      </c>
      <c r="E3114" t="s">
        <v>144</v>
      </c>
      <c r="F3114">
        <v>59.31</v>
      </c>
    </row>
    <row r="3115" spans="3:6">
      <c r="C3115" t="s">
        <v>51</v>
      </c>
      <c r="D3115">
        <v>2039</v>
      </c>
      <c r="E3115" t="s">
        <v>146</v>
      </c>
      <c r="F3115">
        <v>25.36</v>
      </c>
    </row>
    <row r="3116" spans="3:6">
      <c r="C3116" t="s">
        <v>51</v>
      </c>
      <c r="D3116">
        <v>2039</v>
      </c>
      <c r="E3116" t="s">
        <v>147</v>
      </c>
      <c r="F3116">
        <v>148.05000000000001</v>
      </c>
    </row>
    <row r="3117" spans="3:6">
      <c r="C3117" t="s">
        <v>51</v>
      </c>
      <c r="D3117">
        <v>2039</v>
      </c>
      <c r="E3117" t="s">
        <v>145</v>
      </c>
      <c r="F3117">
        <v>202.13</v>
      </c>
    </row>
    <row r="3118" spans="3:6">
      <c r="C3118" t="s">
        <v>51</v>
      </c>
      <c r="D3118">
        <v>2039</v>
      </c>
      <c r="E3118" t="s">
        <v>141</v>
      </c>
      <c r="F3118">
        <v>659.23</v>
      </c>
    </row>
    <row r="3119" spans="3:6">
      <c r="C3119" t="s">
        <v>51</v>
      </c>
      <c r="D3119">
        <v>2039</v>
      </c>
      <c r="E3119" t="s">
        <v>142</v>
      </c>
      <c r="F3119">
        <v>1217.8900000000001</v>
      </c>
    </row>
    <row r="3120" spans="3:6">
      <c r="C3120" t="s">
        <v>51</v>
      </c>
      <c r="D3120">
        <v>2039</v>
      </c>
      <c r="E3120" t="s">
        <v>143</v>
      </c>
      <c r="F3120">
        <v>269.25</v>
      </c>
    </row>
    <row r="3121" spans="3:6">
      <c r="C3121" t="s">
        <v>51</v>
      </c>
      <c r="D3121">
        <v>2039</v>
      </c>
      <c r="E3121" t="s">
        <v>144</v>
      </c>
      <c r="F3121">
        <v>60.31</v>
      </c>
    </row>
    <row r="3122" spans="3:6">
      <c r="C3122" t="s">
        <v>51</v>
      </c>
      <c r="D3122">
        <v>2040</v>
      </c>
      <c r="E3122" t="s">
        <v>146</v>
      </c>
      <c r="F3122">
        <v>25.3</v>
      </c>
    </row>
    <row r="3123" spans="3:6">
      <c r="C3123" t="s">
        <v>51</v>
      </c>
      <c r="D3123">
        <v>2040</v>
      </c>
      <c r="E3123" t="s">
        <v>147</v>
      </c>
      <c r="F3123">
        <v>147.55000000000001</v>
      </c>
    </row>
    <row r="3124" spans="3:6">
      <c r="C3124" t="s">
        <v>51</v>
      </c>
      <c r="D3124">
        <v>2040</v>
      </c>
      <c r="E3124" t="s">
        <v>145</v>
      </c>
      <c r="F3124">
        <v>201.64</v>
      </c>
    </row>
    <row r="3125" spans="3:6">
      <c r="C3125" t="s">
        <v>51</v>
      </c>
      <c r="D3125">
        <v>2040</v>
      </c>
      <c r="E3125" t="s">
        <v>141</v>
      </c>
      <c r="F3125">
        <v>661.47</v>
      </c>
    </row>
    <row r="3126" spans="3:6">
      <c r="C3126" t="s">
        <v>51</v>
      </c>
      <c r="D3126">
        <v>2040</v>
      </c>
      <c r="E3126" t="s">
        <v>142</v>
      </c>
      <c r="F3126">
        <v>1219.72</v>
      </c>
    </row>
    <row r="3127" spans="3:6">
      <c r="C3127" t="s">
        <v>51</v>
      </c>
      <c r="D3127">
        <v>2040</v>
      </c>
      <c r="E3127" t="s">
        <v>143</v>
      </c>
      <c r="F3127">
        <v>270.75</v>
      </c>
    </row>
    <row r="3128" spans="3:6">
      <c r="C3128" t="s">
        <v>51</v>
      </c>
      <c r="D3128">
        <v>2040</v>
      </c>
      <c r="E3128" t="s">
        <v>144</v>
      </c>
      <c r="F3128">
        <v>60.99</v>
      </c>
    </row>
    <row r="3129" spans="3:6">
      <c r="C3129" t="s">
        <v>51</v>
      </c>
      <c r="D3129">
        <v>2041</v>
      </c>
      <c r="E3129" t="s">
        <v>146</v>
      </c>
      <c r="F3129">
        <v>25.24</v>
      </c>
    </row>
    <row r="3130" spans="3:6">
      <c r="C3130" t="s">
        <v>51</v>
      </c>
      <c r="D3130">
        <v>2041</v>
      </c>
      <c r="E3130" t="s">
        <v>147</v>
      </c>
      <c r="F3130">
        <v>147.09</v>
      </c>
    </row>
    <row r="3131" spans="3:6">
      <c r="C3131" t="s">
        <v>51</v>
      </c>
      <c r="D3131">
        <v>2041</v>
      </c>
      <c r="E3131" t="s">
        <v>145</v>
      </c>
      <c r="F3131">
        <v>201.36</v>
      </c>
    </row>
    <row r="3132" spans="3:6">
      <c r="C3132" t="s">
        <v>51</v>
      </c>
      <c r="D3132">
        <v>2041</v>
      </c>
      <c r="E3132" t="s">
        <v>141</v>
      </c>
      <c r="F3132">
        <v>663.85</v>
      </c>
    </row>
    <row r="3133" spans="3:6">
      <c r="C3133" t="s">
        <v>51</v>
      </c>
      <c r="D3133">
        <v>2041</v>
      </c>
      <c r="E3133" t="s">
        <v>142</v>
      </c>
      <c r="F3133">
        <v>1223.0999999999999</v>
      </c>
    </row>
    <row r="3134" spans="3:6">
      <c r="C3134" t="s">
        <v>51</v>
      </c>
      <c r="D3134">
        <v>2041</v>
      </c>
      <c r="E3134" t="s">
        <v>143</v>
      </c>
      <c r="F3134">
        <v>272.43</v>
      </c>
    </row>
    <row r="3135" spans="3:6">
      <c r="C3135" t="s">
        <v>51</v>
      </c>
      <c r="D3135">
        <v>2041</v>
      </c>
      <c r="E3135" t="s">
        <v>144</v>
      </c>
      <c r="F3135">
        <v>61.83</v>
      </c>
    </row>
    <row r="3136" spans="3:6">
      <c r="C3136" t="s">
        <v>51</v>
      </c>
      <c r="D3136">
        <v>2042</v>
      </c>
      <c r="E3136" t="s">
        <v>146</v>
      </c>
      <c r="F3136">
        <v>25.18</v>
      </c>
    </row>
    <row r="3137" spans="3:6">
      <c r="C3137" t="s">
        <v>51</v>
      </c>
      <c r="D3137">
        <v>2042</v>
      </c>
      <c r="E3137" t="s">
        <v>147</v>
      </c>
      <c r="F3137">
        <v>146.63999999999999</v>
      </c>
    </row>
    <row r="3138" spans="3:6">
      <c r="C3138" t="s">
        <v>51</v>
      </c>
      <c r="D3138">
        <v>2042</v>
      </c>
      <c r="E3138" t="s">
        <v>145</v>
      </c>
      <c r="F3138">
        <v>201.25</v>
      </c>
    </row>
    <row r="3139" spans="3:6">
      <c r="C3139" t="s">
        <v>51</v>
      </c>
      <c r="D3139">
        <v>2042</v>
      </c>
      <c r="E3139" t="s">
        <v>141</v>
      </c>
      <c r="F3139">
        <v>666.39</v>
      </c>
    </row>
    <row r="3140" spans="3:6">
      <c r="C3140" t="s">
        <v>51</v>
      </c>
      <c r="D3140">
        <v>2042</v>
      </c>
      <c r="E3140" t="s">
        <v>142</v>
      </c>
      <c r="F3140">
        <v>1226.31</v>
      </c>
    </row>
    <row r="3141" spans="3:6">
      <c r="C3141" t="s">
        <v>51</v>
      </c>
      <c r="D3141">
        <v>2042</v>
      </c>
      <c r="E3141" t="s">
        <v>143</v>
      </c>
      <c r="F3141">
        <v>274.35000000000002</v>
      </c>
    </row>
    <row r="3142" spans="3:6">
      <c r="C3142" t="s">
        <v>51</v>
      </c>
      <c r="D3142">
        <v>2042</v>
      </c>
      <c r="E3142" t="s">
        <v>144</v>
      </c>
      <c r="F3142">
        <v>62.65</v>
      </c>
    </row>
    <row r="3143" spans="3:6">
      <c r="C3143" t="s">
        <v>51</v>
      </c>
      <c r="D3143">
        <v>2043</v>
      </c>
      <c r="E3143" t="s">
        <v>146</v>
      </c>
      <c r="F3143">
        <v>25.13</v>
      </c>
    </row>
    <row r="3144" spans="3:6">
      <c r="C3144" t="s">
        <v>51</v>
      </c>
      <c r="D3144">
        <v>2043</v>
      </c>
      <c r="E3144" t="s">
        <v>147</v>
      </c>
      <c r="F3144">
        <v>146.22</v>
      </c>
    </row>
    <row r="3145" spans="3:6">
      <c r="C3145" t="s">
        <v>51</v>
      </c>
      <c r="D3145">
        <v>2043</v>
      </c>
      <c r="E3145" t="s">
        <v>145</v>
      </c>
      <c r="F3145">
        <v>201.16</v>
      </c>
    </row>
    <row r="3146" spans="3:6">
      <c r="C3146" t="s">
        <v>51</v>
      </c>
      <c r="D3146">
        <v>2043</v>
      </c>
      <c r="E3146" t="s">
        <v>141</v>
      </c>
      <c r="F3146">
        <v>668.9</v>
      </c>
    </row>
    <row r="3147" spans="3:6">
      <c r="C3147" t="s">
        <v>51</v>
      </c>
      <c r="D3147">
        <v>2043</v>
      </c>
      <c r="E3147" t="s">
        <v>142</v>
      </c>
      <c r="F3147">
        <v>1229.55</v>
      </c>
    </row>
    <row r="3148" spans="3:6">
      <c r="C3148" t="s">
        <v>51</v>
      </c>
      <c r="D3148">
        <v>2043</v>
      </c>
      <c r="E3148" t="s">
        <v>143</v>
      </c>
      <c r="F3148">
        <v>276.3</v>
      </c>
    </row>
    <row r="3149" spans="3:6">
      <c r="C3149" t="s">
        <v>51</v>
      </c>
      <c r="D3149">
        <v>2043</v>
      </c>
      <c r="E3149" t="s">
        <v>144</v>
      </c>
      <c r="F3149">
        <v>63.55</v>
      </c>
    </row>
    <row r="3150" spans="3:6">
      <c r="C3150" t="s">
        <v>51</v>
      </c>
      <c r="D3150">
        <v>2044</v>
      </c>
      <c r="E3150" t="s">
        <v>146</v>
      </c>
      <c r="F3150">
        <v>25.07</v>
      </c>
    </row>
    <row r="3151" spans="3:6">
      <c r="C3151" t="s">
        <v>51</v>
      </c>
      <c r="D3151">
        <v>2044</v>
      </c>
      <c r="E3151" t="s">
        <v>147</v>
      </c>
      <c r="F3151">
        <v>145.81</v>
      </c>
    </row>
    <row r="3152" spans="3:6">
      <c r="C3152" t="s">
        <v>51</v>
      </c>
      <c r="D3152">
        <v>2044</v>
      </c>
      <c r="E3152" t="s">
        <v>145</v>
      </c>
      <c r="F3152">
        <v>201.14</v>
      </c>
    </row>
    <row r="3153" spans="3:6">
      <c r="C3153" t="s">
        <v>51</v>
      </c>
      <c r="D3153">
        <v>2044</v>
      </c>
      <c r="E3153" t="s">
        <v>141</v>
      </c>
      <c r="F3153">
        <v>671.42</v>
      </c>
    </row>
    <row r="3154" spans="3:6">
      <c r="C3154" t="s">
        <v>51</v>
      </c>
      <c r="D3154">
        <v>2044</v>
      </c>
      <c r="E3154" t="s">
        <v>142</v>
      </c>
      <c r="F3154">
        <v>1233.28</v>
      </c>
    </row>
    <row r="3155" spans="3:6">
      <c r="C3155" t="s">
        <v>51</v>
      </c>
      <c r="D3155">
        <v>2044</v>
      </c>
      <c r="E3155" t="s">
        <v>143</v>
      </c>
      <c r="F3155">
        <v>278.42</v>
      </c>
    </row>
    <row r="3156" spans="3:6">
      <c r="C3156" t="s">
        <v>51</v>
      </c>
      <c r="D3156">
        <v>2044</v>
      </c>
      <c r="E3156" t="s">
        <v>144</v>
      </c>
      <c r="F3156">
        <v>64.42</v>
      </c>
    </row>
    <row r="3157" spans="3:6">
      <c r="C3157" t="s">
        <v>51</v>
      </c>
      <c r="D3157">
        <v>2045</v>
      </c>
      <c r="E3157" t="s">
        <v>146</v>
      </c>
      <c r="F3157">
        <v>25.02</v>
      </c>
    </row>
    <row r="3158" spans="3:6">
      <c r="C3158" t="s">
        <v>51</v>
      </c>
      <c r="D3158">
        <v>2045</v>
      </c>
      <c r="E3158" t="s">
        <v>147</v>
      </c>
      <c r="F3158">
        <v>145.44</v>
      </c>
    </row>
    <row r="3159" spans="3:6">
      <c r="C3159" t="s">
        <v>51</v>
      </c>
      <c r="D3159">
        <v>2045</v>
      </c>
      <c r="E3159" t="s">
        <v>145</v>
      </c>
      <c r="F3159">
        <v>201.11</v>
      </c>
    </row>
    <row r="3160" spans="3:6">
      <c r="C3160" t="s">
        <v>51</v>
      </c>
      <c r="D3160">
        <v>2045</v>
      </c>
      <c r="E3160" t="s">
        <v>141</v>
      </c>
      <c r="F3160">
        <v>673.91</v>
      </c>
    </row>
    <row r="3161" spans="3:6">
      <c r="C3161" t="s">
        <v>51</v>
      </c>
      <c r="D3161">
        <v>2045</v>
      </c>
      <c r="E3161" t="s">
        <v>142</v>
      </c>
      <c r="F3161">
        <v>1235.49</v>
      </c>
    </row>
    <row r="3162" spans="3:6">
      <c r="C3162" t="s">
        <v>51</v>
      </c>
      <c r="D3162">
        <v>2045</v>
      </c>
      <c r="E3162" t="s">
        <v>143</v>
      </c>
      <c r="F3162">
        <v>280.72000000000003</v>
      </c>
    </row>
    <row r="3163" spans="3:6">
      <c r="C3163" t="s">
        <v>51</v>
      </c>
      <c r="D3163">
        <v>2045</v>
      </c>
      <c r="E3163" t="s">
        <v>144</v>
      </c>
      <c r="F3163">
        <v>65.290000000000006</v>
      </c>
    </row>
    <row r="3164" spans="3:6">
      <c r="C3164" t="s">
        <v>51</v>
      </c>
      <c r="D3164">
        <v>2046</v>
      </c>
      <c r="E3164" t="s">
        <v>146</v>
      </c>
      <c r="F3164">
        <v>24.98</v>
      </c>
    </row>
    <row r="3165" spans="3:6">
      <c r="C3165" t="s">
        <v>51</v>
      </c>
      <c r="D3165">
        <v>2046</v>
      </c>
      <c r="E3165" t="s">
        <v>147</v>
      </c>
      <c r="F3165">
        <v>145.08000000000001</v>
      </c>
    </row>
    <row r="3166" spans="3:6">
      <c r="C3166" t="s">
        <v>51</v>
      </c>
      <c r="D3166">
        <v>2046</v>
      </c>
      <c r="E3166" t="s">
        <v>145</v>
      </c>
      <c r="F3166">
        <v>200.96</v>
      </c>
    </row>
    <row r="3167" spans="3:6">
      <c r="C3167" t="s">
        <v>51</v>
      </c>
      <c r="D3167">
        <v>2046</v>
      </c>
      <c r="E3167" t="s">
        <v>141</v>
      </c>
      <c r="F3167">
        <v>676.06</v>
      </c>
    </row>
    <row r="3168" spans="3:6">
      <c r="C3168" t="s">
        <v>51</v>
      </c>
      <c r="D3168">
        <v>2046</v>
      </c>
      <c r="E3168" t="s">
        <v>142</v>
      </c>
      <c r="F3168">
        <v>1239.71</v>
      </c>
    </row>
    <row r="3169" spans="3:6">
      <c r="C3169" t="s">
        <v>51</v>
      </c>
      <c r="D3169">
        <v>2046</v>
      </c>
      <c r="E3169" t="s">
        <v>143</v>
      </c>
      <c r="F3169">
        <v>282.79000000000002</v>
      </c>
    </row>
    <row r="3170" spans="3:6">
      <c r="C3170" t="s">
        <v>51</v>
      </c>
      <c r="D3170">
        <v>2046</v>
      </c>
      <c r="E3170" t="s">
        <v>144</v>
      </c>
      <c r="F3170">
        <v>66.12</v>
      </c>
    </row>
    <row r="3171" spans="3:6">
      <c r="C3171" t="s">
        <v>51</v>
      </c>
      <c r="D3171">
        <v>2047</v>
      </c>
      <c r="E3171" t="s">
        <v>146</v>
      </c>
      <c r="F3171">
        <v>24.93</v>
      </c>
    </row>
    <row r="3172" spans="3:6">
      <c r="C3172" t="s">
        <v>51</v>
      </c>
      <c r="D3172">
        <v>2047</v>
      </c>
      <c r="E3172" t="s">
        <v>147</v>
      </c>
      <c r="F3172">
        <v>144.75</v>
      </c>
    </row>
    <row r="3173" spans="3:6">
      <c r="C3173" t="s">
        <v>51</v>
      </c>
      <c r="D3173">
        <v>2047</v>
      </c>
      <c r="E3173" t="s">
        <v>145</v>
      </c>
      <c r="F3173">
        <v>200.75</v>
      </c>
    </row>
    <row r="3174" spans="3:6">
      <c r="C3174" t="s">
        <v>51</v>
      </c>
      <c r="D3174">
        <v>2047</v>
      </c>
      <c r="E3174" t="s">
        <v>141</v>
      </c>
      <c r="F3174">
        <v>678.05</v>
      </c>
    </row>
    <row r="3175" spans="3:6">
      <c r="C3175" t="s">
        <v>51</v>
      </c>
      <c r="D3175">
        <v>2047</v>
      </c>
      <c r="E3175" t="s">
        <v>142</v>
      </c>
      <c r="F3175">
        <v>1239.92</v>
      </c>
    </row>
    <row r="3176" spans="3:6">
      <c r="C3176" t="s">
        <v>51</v>
      </c>
      <c r="D3176">
        <v>2047</v>
      </c>
      <c r="E3176" t="s">
        <v>143</v>
      </c>
      <c r="F3176">
        <v>284.77999999999997</v>
      </c>
    </row>
    <row r="3177" spans="3:6">
      <c r="C3177" t="s">
        <v>51</v>
      </c>
      <c r="D3177">
        <v>2047</v>
      </c>
      <c r="E3177" t="s">
        <v>144</v>
      </c>
      <c r="F3177">
        <v>66.89</v>
      </c>
    </row>
    <row r="3178" spans="3:6">
      <c r="C3178" t="s">
        <v>51</v>
      </c>
      <c r="D3178">
        <v>2048</v>
      </c>
      <c r="E3178" t="s">
        <v>146</v>
      </c>
      <c r="F3178">
        <v>24.89</v>
      </c>
    </row>
    <row r="3179" spans="3:6">
      <c r="C3179" t="s">
        <v>51</v>
      </c>
      <c r="D3179">
        <v>2048</v>
      </c>
      <c r="E3179" t="s">
        <v>147</v>
      </c>
      <c r="F3179">
        <v>144.41999999999999</v>
      </c>
    </row>
    <row r="3180" spans="3:6">
      <c r="C3180" t="s">
        <v>51</v>
      </c>
      <c r="D3180">
        <v>2048</v>
      </c>
      <c r="E3180" t="s">
        <v>145</v>
      </c>
      <c r="F3180">
        <v>200.58</v>
      </c>
    </row>
    <row r="3181" spans="3:6">
      <c r="C3181" t="s">
        <v>51</v>
      </c>
      <c r="D3181">
        <v>2048</v>
      </c>
      <c r="E3181" t="s">
        <v>141</v>
      </c>
      <c r="F3181">
        <v>680.07</v>
      </c>
    </row>
    <row r="3182" spans="3:6">
      <c r="C3182" t="s">
        <v>51</v>
      </c>
      <c r="D3182">
        <v>2048</v>
      </c>
      <c r="E3182" t="s">
        <v>142</v>
      </c>
      <c r="F3182">
        <v>1244.81</v>
      </c>
    </row>
    <row r="3183" spans="3:6">
      <c r="C3183" t="s">
        <v>51</v>
      </c>
      <c r="D3183">
        <v>2048</v>
      </c>
      <c r="E3183" t="s">
        <v>143</v>
      </c>
      <c r="F3183">
        <v>286.91000000000003</v>
      </c>
    </row>
    <row r="3184" spans="3:6">
      <c r="C3184" t="s">
        <v>51</v>
      </c>
      <c r="D3184">
        <v>2048</v>
      </c>
      <c r="E3184" t="s">
        <v>144</v>
      </c>
      <c r="F3184">
        <v>67.66</v>
      </c>
    </row>
    <row r="3185" spans="3:6">
      <c r="C3185" t="s">
        <v>51</v>
      </c>
      <c r="D3185">
        <v>2049</v>
      </c>
      <c r="E3185" t="s">
        <v>146</v>
      </c>
      <c r="F3185">
        <v>24.85</v>
      </c>
    </row>
    <row r="3186" spans="3:6">
      <c r="C3186" t="s">
        <v>51</v>
      </c>
      <c r="D3186">
        <v>2049</v>
      </c>
      <c r="E3186" t="s">
        <v>147</v>
      </c>
      <c r="F3186">
        <v>144.13</v>
      </c>
    </row>
    <row r="3187" spans="3:6">
      <c r="C3187" t="s">
        <v>51</v>
      </c>
      <c r="D3187">
        <v>2049</v>
      </c>
      <c r="E3187" t="s">
        <v>145</v>
      </c>
      <c r="F3187">
        <v>200.44</v>
      </c>
    </row>
    <row r="3188" spans="3:6">
      <c r="C3188" t="s">
        <v>51</v>
      </c>
      <c r="D3188">
        <v>2049</v>
      </c>
      <c r="E3188" t="s">
        <v>141</v>
      </c>
      <c r="F3188">
        <v>682.12</v>
      </c>
    </row>
    <row r="3189" spans="3:6">
      <c r="C3189" t="s">
        <v>51</v>
      </c>
      <c r="D3189">
        <v>2049</v>
      </c>
      <c r="E3189" t="s">
        <v>142</v>
      </c>
      <c r="F3189">
        <v>1246.28</v>
      </c>
    </row>
    <row r="3190" spans="3:6">
      <c r="C3190" t="s">
        <v>51</v>
      </c>
      <c r="D3190">
        <v>2049</v>
      </c>
      <c r="E3190" t="s">
        <v>143</v>
      </c>
      <c r="F3190">
        <v>289.10000000000002</v>
      </c>
    </row>
    <row r="3191" spans="3:6">
      <c r="C3191" t="s">
        <v>51</v>
      </c>
      <c r="D3191">
        <v>2049</v>
      </c>
      <c r="E3191" t="s">
        <v>144</v>
      </c>
      <c r="F3191">
        <v>68.349999999999994</v>
      </c>
    </row>
    <row r="3192" spans="3:6">
      <c r="C3192" t="s">
        <v>51</v>
      </c>
      <c r="D3192">
        <v>2050</v>
      </c>
      <c r="E3192" t="s">
        <v>146</v>
      </c>
      <c r="F3192">
        <v>24.82</v>
      </c>
    </row>
    <row r="3193" spans="3:6">
      <c r="C3193" t="s">
        <v>51</v>
      </c>
      <c r="D3193">
        <v>2050</v>
      </c>
      <c r="E3193" t="s">
        <v>147</v>
      </c>
      <c r="F3193">
        <v>143.88999999999999</v>
      </c>
    </row>
    <row r="3194" spans="3:6">
      <c r="C3194" t="s">
        <v>51</v>
      </c>
      <c r="D3194">
        <v>2050</v>
      </c>
      <c r="E3194" t="s">
        <v>145</v>
      </c>
      <c r="F3194">
        <v>200.34</v>
      </c>
    </row>
    <row r="3195" spans="3:6">
      <c r="C3195" t="s">
        <v>51</v>
      </c>
      <c r="D3195">
        <v>2050</v>
      </c>
      <c r="E3195" t="s">
        <v>141</v>
      </c>
      <c r="F3195">
        <v>684.22</v>
      </c>
    </row>
    <row r="3196" spans="3:6">
      <c r="C3196" t="s">
        <v>51</v>
      </c>
      <c r="D3196">
        <v>2050</v>
      </c>
      <c r="E3196" t="s">
        <v>142</v>
      </c>
      <c r="F3196">
        <v>1250.3399999999999</v>
      </c>
    </row>
    <row r="3197" spans="3:6">
      <c r="C3197" t="s">
        <v>51</v>
      </c>
      <c r="D3197">
        <v>2050</v>
      </c>
      <c r="E3197" t="s">
        <v>143</v>
      </c>
      <c r="F3197">
        <v>291.42</v>
      </c>
    </row>
    <row r="3198" spans="3:6">
      <c r="C3198" t="s">
        <v>51</v>
      </c>
      <c r="D3198">
        <v>2050</v>
      </c>
      <c r="E3198" t="s">
        <v>144</v>
      </c>
      <c r="F3198">
        <v>69</v>
      </c>
    </row>
    <row r="3199" spans="3:6">
      <c r="C3199" t="s">
        <v>125</v>
      </c>
      <c r="D3199">
        <v>2010</v>
      </c>
      <c r="E3199" t="s">
        <v>141</v>
      </c>
      <c r="F3199">
        <v>249.8</v>
      </c>
    </row>
    <row r="3200" spans="3:6">
      <c r="C3200" t="s">
        <v>125</v>
      </c>
      <c r="D3200">
        <v>2010</v>
      </c>
      <c r="E3200" t="s">
        <v>142</v>
      </c>
      <c r="F3200">
        <v>989.98</v>
      </c>
    </row>
    <row r="3201" spans="3:6">
      <c r="C3201" t="s">
        <v>125</v>
      </c>
      <c r="D3201">
        <v>2010</v>
      </c>
      <c r="E3201" t="s">
        <v>143</v>
      </c>
      <c r="F3201">
        <v>463.86</v>
      </c>
    </row>
    <row r="3202" spans="3:6">
      <c r="C3202" t="s">
        <v>125</v>
      </c>
      <c r="D3202">
        <v>2010</v>
      </c>
      <c r="E3202" t="s">
        <v>144</v>
      </c>
      <c r="F3202">
        <v>62.49</v>
      </c>
    </row>
    <row r="3203" spans="3:6">
      <c r="C3203" t="s">
        <v>125</v>
      </c>
      <c r="D3203">
        <v>2011</v>
      </c>
      <c r="E3203" t="s">
        <v>141</v>
      </c>
      <c r="F3203">
        <v>283.04000000000002</v>
      </c>
    </row>
    <row r="3204" spans="3:6">
      <c r="C3204" t="s">
        <v>125</v>
      </c>
      <c r="D3204">
        <v>2011</v>
      </c>
      <c r="E3204" t="s">
        <v>142</v>
      </c>
      <c r="F3204">
        <v>996.52</v>
      </c>
    </row>
    <row r="3205" spans="3:6">
      <c r="C3205" t="s">
        <v>125</v>
      </c>
      <c r="D3205">
        <v>2011</v>
      </c>
      <c r="E3205" t="s">
        <v>143</v>
      </c>
      <c r="F3205">
        <v>476.58</v>
      </c>
    </row>
    <row r="3206" spans="3:6">
      <c r="C3206" t="s">
        <v>125</v>
      </c>
      <c r="D3206">
        <v>2011</v>
      </c>
      <c r="E3206" t="s">
        <v>144</v>
      </c>
      <c r="F3206">
        <v>68.59</v>
      </c>
    </row>
    <row r="3207" spans="3:6">
      <c r="C3207" t="s">
        <v>125</v>
      </c>
      <c r="D3207">
        <v>2012</v>
      </c>
      <c r="E3207" t="s">
        <v>141</v>
      </c>
      <c r="F3207">
        <v>279.85000000000002</v>
      </c>
    </row>
    <row r="3208" spans="3:6">
      <c r="C3208" t="s">
        <v>125</v>
      </c>
      <c r="D3208">
        <v>2012</v>
      </c>
      <c r="E3208" t="s">
        <v>142</v>
      </c>
      <c r="F3208">
        <v>1014.8</v>
      </c>
    </row>
    <row r="3209" spans="3:6">
      <c r="C3209" t="s">
        <v>125</v>
      </c>
      <c r="D3209">
        <v>2012</v>
      </c>
      <c r="E3209" t="s">
        <v>143</v>
      </c>
      <c r="F3209">
        <v>486.66</v>
      </c>
    </row>
    <row r="3210" spans="3:6">
      <c r="C3210" t="s">
        <v>125</v>
      </c>
      <c r="D3210">
        <v>2012</v>
      </c>
      <c r="E3210" t="s">
        <v>144</v>
      </c>
      <c r="F3210">
        <v>62.87</v>
      </c>
    </row>
    <row r="3211" spans="3:6">
      <c r="C3211" t="s">
        <v>125</v>
      </c>
      <c r="D3211">
        <v>2013</v>
      </c>
      <c r="E3211" t="s">
        <v>141</v>
      </c>
      <c r="F3211">
        <v>301.06</v>
      </c>
    </row>
    <row r="3212" spans="3:6">
      <c r="C3212" t="s">
        <v>125</v>
      </c>
      <c r="D3212">
        <v>2013</v>
      </c>
      <c r="E3212" t="s">
        <v>142</v>
      </c>
      <c r="F3212">
        <v>982.08</v>
      </c>
    </row>
    <row r="3213" spans="3:6">
      <c r="C3213" t="s">
        <v>125</v>
      </c>
      <c r="D3213">
        <v>2013</v>
      </c>
      <c r="E3213" t="s">
        <v>143</v>
      </c>
      <c r="F3213">
        <v>498.84</v>
      </c>
    </row>
    <row r="3214" spans="3:6">
      <c r="C3214" t="s">
        <v>125</v>
      </c>
      <c r="D3214">
        <v>2013</v>
      </c>
      <c r="E3214" t="s">
        <v>144</v>
      </c>
      <c r="F3214">
        <v>59.06</v>
      </c>
    </row>
    <row r="3215" spans="3:6">
      <c r="C3215" t="s">
        <v>125</v>
      </c>
      <c r="D3215">
        <v>2014</v>
      </c>
      <c r="E3215" t="s">
        <v>141</v>
      </c>
      <c r="F3215">
        <v>310.14999999999998</v>
      </c>
    </row>
    <row r="3216" spans="3:6">
      <c r="C3216" t="s">
        <v>125</v>
      </c>
      <c r="D3216">
        <v>2014</v>
      </c>
      <c r="E3216" t="s">
        <v>142</v>
      </c>
      <c r="F3216">
        <v>933.27</v>
      </c>
    </row>
    <row r="3217" spans="3:6">
      <c r="C3217" t="s">
        <v>125</v>
      </c>
      <c r="D3217">
        <v>2014</v>
      </c>
      <c r="E3217" t="s">
        <v>143</v>
      </c>
      <c r="F3217">
        <v>513.36</v>
      </c>
    </row>
    <row r="3218" spans="3:6">
      <c r="C3218" t="s">
        <v>125</v>
      </c>
      <c r="D3218">
        <v>2014</v>
      </c>
      <c r="E3218" t="s">
        <v>144</v>
      </c>
      <c r="F3218">
        <v>56.65</v>
      </c>
    </row>
    <row r="3219" spans="3:6">
      <c r="C3219" t="s">
        <v>125</v>
      </c>
      <c r="D3219">
        <v>2015</v>
      </c>
      <c r="E3219" t="s">
        <v>141</v>
      </c>
      <c r="F3219">
        <v>307.08</v>
      </c>
    </row>
    <row r="3220" spans="3:6">
      <c r="C3220" t="s">
        <v>125</v>
      </c>
      <c r="D3220">
        <v>2015</v>
      </c>
      <c r="E3220" t="s">
        <v>142</v>
      </c>
      <c r="F3220">
        <v>928.01</v>
      </c>
    </row>
    <row r="3221" spans="3:6">
      <c r="C3221" t="s">
        <v>125</v>
      </c>
      <c r="D3221">
        <v>2015</v>
      </c>
      <c r="E3221" t="s">
        <v>143</v>
      </c>
      <c r="F3221">
        <v>519.74</v>
      </c>
    </row>
    <row r="3222" spans="3:6">
      <c r="C3222" t="s">
        <v>125</v>
      </c>
      <c r="D3222">
        <v>2015</v>
      </c>
      <c r="E3222" t="s">
        <v>144</v>
      </c>
      <c r="F3222">
        <v>52.43</v>
      </c>
    </row>
    <row r="3223" spans="3:6">
      <c r="C3223" t="s">
        <v>125</v>
      </c>
      <c r="D3223">
        <v>2016</v>
      </c>
      <c r="E3223" t="s">
        <v>141</v>
      </c>
      <c r="F3223">
        <v>314.92</v>
      </c>
    </row>
    <row r="3224" spans="3:6">
      <c r="C3224" t="s">
        <v>125</v>
      </c>
      <c r="D3224">
        <v>2016</v>
      </c>
      <c r="E3224" t="s">
        <v>142</v>
      </c>
      <c r="F3224">
        <v>935.88</v>
      </c>
    </row>
    <row r="3225" spans="3:6">
      <c r="C3225" t="s">
        <v>125</v>
      </c>
      <c r="D3225">
        <v>2016</v>
      </c>
      <c r="E3225" t="s">
        <v>143</v>
      </c>
      <c r="F3225">
        <v>520.63</v>
      </c>
    </row>
    <row r="3226" spans="3:6">
      <c r="C3226" t="s">
        <v>125</v>
      </c>
      <c r="D3226">
        <v>2016</v>
      </c>
      <c r="E3226" t="s">
        <v>144</v>
      </c>
      <c r="F3226">
        <v>51.26</v>
      </c>
    </row>
    <row r="3227" spans="3:6">
      <c r="C3227" t="s">
        <v>125</v>
      </c>
      <c r="D3227">
        <v>2017</v>
      </c>
      <c r="E3227" t="s">
        <v>141</v>
      </c>
      <c r="F3227">
        <v>315.98</v>
      </c>
    </row>
    <row r="3228" spans="3:6">
      <c r="C3228" t="s">
        <v>125</v>
      </c>
      <c r="D3228">
        <v>2017</v>
      </c>
      <c r="E3228" t="s">
        <v>142</v>
      </c>
      <c r="F3228">
        <v>929.99</v>
      </c>
    </row>
    <row r="3229" spans="3:6">
      <c r="C3229" t="s">
        <v>125</v>
      </c>
      <c r="D3229">
        <v>2017</v>
      </c>
      <c r="E3229" t="s">
        <v>143</v>
      </c>
      <c r="F3229">
        <v>533.44000000000005</v>
      </c>
    </row>
    <row r="3230" spans="3:6">
      <c r="C3230" t="s">
        <v>125</v>
      </c>
      <c r="D3230">
        <v>2017</v>
      </c>
      <c r="E3230" t="s">
        <v>144</v>
      </c>
      <c r="F3230">
        <v>54.27</v>
      </c>
    </row>
    <row r="3231" spans="3:6">
      <c r="C3231" t="s">
        <v>125</v>
      </c>
      <c r="D3231">
        <v>2018</v>
      </c>
      <c r="E3231" t="s">
        <v>141</v>
      </c>
      <c r="F3231">
        <v>324.63</v>
      </c>
    </row>
    <row r="3232" spans="3:6">
      <c r="C3232" t="s">
        <v>125</v>
      </c>
      <c r="D3232">
        <v>2018</v>
      </c>
      <c r="E3232" t="s">
        <v>142</v>
      </c>
      <c r="F3232">
        <v>968.75</v>
      </c>
    </row>
    <row r="3233" spans="3:6">
      <c r="C3233" t="s">
        <v>125</v>
      </c>
      <c r="D3233">
        <v>2018</v>
      </c>
      <c r="E3233" t="s">
        <v>143</v>
      </c>
      <c r="F3233">
        <v>533.09</v>
      </c>
    </row>
    <row r="3234" spans="3:6">
      <c r="C3234" t="s">
        <v>125</v>
      </c>
      <c r="D3234">
        <v>2018</v>
      </c>
      <c r="E3234" t="s">
        <v>144</v>
      </c>
      <c r="F3234">
        <v>54.65</v>
      </c>
    </row>
    <row r="3235" spans="3:6">
      <c r="C3235" t="s">
        <v>125</v>
      </c>
      <c r="D3235">
        <v>2019</v>
      </c>
      <c r="E3235" t="s">
        <v>146</v>
      </c>
      <c r="F3235">
        <v>245.28</v>
      </c>
    </row>
    <row r="3236" spans="3:6">
      <c r="C3236" t="s">
        <v>125</v>
      </c>
      <c r="D3236">
        <v>2019</v>
      </c>
      <c r="E3236" t="s">
        <v>147</v>
      </c>
      <c r="F3236">
        <v>332.29</v>
      </c>
    </row>
    <row r="3237" spans="3:6">
      <c r="C3237" t="s">
        <v>125</v>
      </c>
      <c r="D3237">
        <v>2019</v>
      </c>
      <c r="E3237" t="s">
        <v>145</v>
      </c>
      <c r="F3237">
        <v>313.85000000000002</v>
      </c>
    </row>
    <row r="3238" spans="3:6">
      <c r="C3238" t="s">
        <v>125</v>
      </c>
      <c r="D3238">
        <v>2019</v>
      </c>
      <c r="E3238" t="s">
        <v>141</v>
      </c>
      <c r="F3238">
        <v>336.38</v>
      </c>
    </row>
    <row r="3239" spans="3:6">
      <c r="C3239" t="s">
        <v>125</v>
      </c>
      <c r="D3239">
        <v>2019</v>
      </c>
      <c r="E3239" t="s">
        <v>142</v>
      </c>
      <c r="F3239">
        <v>877.12</v>
      </c>
    </row>
    <row r="3240" spans="3:6">
      <c r="C3240" t="s">
        <v>125</v>
      </c>
      <c r="D3240">
        <v>2019</v>
      </c>
      <c r="E3240" t="s">
        <v>143</v>
      </c>
      <c r="F3240">
        <v>546.64</v>
      </c>
    </row>
    <row r="3241" spans="3:6">
      <c r="C3241" t="s">
        <v>125</v>
      </c>
      <c r="D3241">
        <v>2019</v>
      </c>
      <c r="E3241" t="s">
        <v>144</v>
      </c>
      <c r="F3241">
        <v>60.91</v>
      </c>
    </row>
    <row r="3242" spans="3:6">
      <c r="C3242" t="s">
        <v>125</v>
      </c>
      <c r="D3242">
        <v>2020</v>
      </c>
      <c r="E3242" t="s">
        <v>146</v>
      </c>
      <c r="F3242">
        <v>246.4</v>
      </c>
    </row>
    <row r="3243" spans="3:6">
      <c r="C3243" t="s">
        <v>125</v>
      </c>
      <c r="D3243">
        <v>2020</v>
      </c>
      <c r="E3243" t="s">
        <v>147</v>
      </c>
      <c r="F3243">
        <v>332.34</v>
      </c>
    </row>
    <row r="3244" spans="3:6">
      <c r="C3244" t="s">
        <v>125</v>
      </c>
      <c r="D3244">
        <v>2020</v>
      </c>
      <c r="E3244" t="s">
        <v>145</v>
      </c>
      <c r="F3244">
        <v>310.13</v>
      </c>
    </row>
    <row r="3245" spans="3:6">
      <c r="C3245" t="s">
        <v>125</v>
      </c>
      <c r="D3245">
        <v>2020</v>
      </c>
      <c r="E3245" t="s">
        <v>141</v>
      </c>
      <c r="F3245">
        <v>333.03</v>
      </c>
    </row>
    <row r="3246" spans="3:6">
      <c r="C3246" t="s">
        <v>125</v>
      </c>
      <c r="D3246">
        <v>2020</v>
      </c>
      <c r="E3246" t="s">
        <v>142</v>
      </c>
      <c r="F3246">
        <v>822.47</v>
      </c>
    </row>
    <row r="3247" spans="3:6">
      <c r="C3247" t="s">
        <v>125</v>
      </c>
      <c r="D3247">
        <v>2020</v>
      </c>
      <c r="E3247" t="s">
        <v>143</v>
      </c>
      <c r="F3247">
        <v>552.86</v>
      </c>
    </row>
    <row r="3248" spans="3:6">
      <c r="C3248" t="s">
        <v>125</v>
      </c>
      <c r="D3248">
        <v>2020</v>
      </c>
      <c r="E3248" t="s">
        <v>144</v>
      </c>
      <c r="F3248">
        <v>55.2</v>
      </c>
    </row>
    <row r="3249" spans="3:6">
      <c r="C3249" t="s">
        <v>125</v>
      </c>
      <c r="D3249">
        <v>2021</v>
      </c>
      <c r="E3249" t="s">
        <v>146</v>
      </c>
      <c r="F3249">
        <v>248.84</v>
      </c>
    </row>
    <row r="3250" spans="3:6">
      <c r="C3250" t="s">
        <v>125</v>
      </c>
      <c r="D3250">
        <v>2021</v>
      </c>
      <c r="E3250" t="s">
        <v>147</v>
      </c>
      <c r="F3250">
        <v>333.46</v>
      </c>
    </row>
    <row r="3251" spans="3:6">
      <c r="C3251" t="s">
        <v>125</v>
      </c>
      <c r="D3251">
        <v>2021</v>
      </c>
      <c r="E3251" t="s">
        <v>145</v>
      </c>
      <c r="F3251">
        <v>319.31</v>
      </c>
    </row>
    <row r="3252" spans="3:6">
      <c r="C3252" t="s">
        <v>125</v>
      </c>
      <c r="D3252">
        <v>2021</v>
      </c>
      <c r="E3252" t="s">
        <v>141</v>
      </c>
      <c r="F3252">
        <v>344.83</v>
      </c>
    </row>
    <row r="3253" spans="3:6">
      <c r="C3253" t="s">
        <v>125</v>
      </c>
      <c r="D3253">
        <v>2021</v>
      </c>
      <c r="E3253" t="s">
        <v>142</v>
      </c>
      <c r="F3253">
        <v>895.71</v>
      </c>
    </row>
    <row r="3254" spans="3:6">
      <c r="C3254" t="s">
        <v>125</v>
      </c>
      <c r="D3254">
        <v>2021</v>
      </c>
      <c r="E3254" t="s">
        <v>143</v>
      </c>
      <c r="F3254">
        <v>566.1</v>
      </c>
    </row>
    <row r="3255" spans="3:6">
      <c r="C3255" t="s">
        <v>125</v>
      </c>
      <c r="D3255">
        <v>2021</v>
      </c>
      <c r="E3255" t="s">
        <v>144</v>
      </c>
      <c r="F3255">
        <v>56.24</v>
      </c>
    </row>
    <row r="3256" spans="3:6">
      <c r="C3256" t="s">
        <v>125</v>
      </c>
      <c r="D3256">
        <v>2022</v>
      </c>
      <c r="E3256" t="s">
        <v>146</v>
      </c>
      <c r="F3256">
        <v>251.77</v>
      </c>
    </row>
    <row r="3257" spans="3:6">
      <c r="C3257" t="s">
        <v>125</v>
      </c>
      <c r="D3257">
        <v>2022</v>
      </c>
      <c r="E3257" t="s">
        <v>147</v>
      </c>
      <c r="F3257">
        <v>335.04</v>
      </c>
    </row>
    <row r="3258" spans="3:6">
      <c r="C3258" t="s">
        <v>125</v>
      </c>
      <c r="D3258">
        <v>2022</v>
      </c>
      <c r="E3258" t="s">
        <v>145</v>
      </c>
      <c r="F3258">
        <v>329.57</v>
      </c>
    </row>
    <row r="3259" spans="3:6">
      <c r="C3259" t="s">
        <v>125</v>
      </c>
      <c r="D3259">
        <v>2022</v>
      </c>
      <c r="E3259" t="s">
        <v>141</v>
      </c>
      <c r="F3259">
        <v>363.34</v>
      </c>
    </row>
    <row r="3260" spans="3:6">
      <c r="C3260" t="s">
        <v>125</v>
      </c>
      <c r="D3260">
        <v>2022</v>
      </c>
      <c r="E3260" t="s">
        <v>142</v>
      </c>
      <c r="F3260">
        <v>904.56</v>
      </c>
    </row>
    <row r="3261" spans="3:6">
      <c r="C3261" t="s">
        <v>125</v>
      </c>
      <c r="D3261">
        <v>2022</v>
      </c>
      <c r="E3261" t="s">
        <v>143</v>
      </c>
      <c r="F3261">
        <v>582.95000000000005</v>
      </c>
    </row>
    <row r="3262" spans="3:6">
      <c r="C3262" t="s">
        <v>125</v>
      </c>
      <c r="D3262">
        <v>2022</v>
      </c>
      <c r="E3262" t="s">
        <v>144</v>
      </c>
      <c r="F3262">
        <v>57.05</v>
      </c>
    </row>
    <row r="3263" spans="3:6">
      <c r="C3263" t="s">
        <v>125</v>
      </c>
      <c r="D3263">
        <v>2023</v>
      </c>
      <c r="E3263" t="s">
        <v>146</v>
      </c>
      <c r="F3263">
        <v>253.9</v>
      </c>
    </row>
    <row r="3264" spans="3:6">
      <c r="C3264" t="s">
        <v>125</v>
      </c>
      <c r="D3264">
        <v>2023</v>
      </c>
      <c r="E3264" t="s">
        <v>147</v>
      </c>
      <c r="F3264">
        <v>335.65</v>
      </c>
    </row>
    <row r="3265" spans="3:6">
      <c r="C3265" t="s">
        <v>125</v>
      </c>
      <c r="D3265">
        <v>2023</v>
      </c>
      <c r="E3265" t="s">
        <v>145</v>
      </c>
      <c r="F3265">
        <v>337.55</v>
      </c>
    </row>
    <row r="3266" spans="3:6">
      <c r="C3266" t="s">
        <v>125</v>
      </c>
      <c r="D3266">
        <v>2023</v>
      </c>
      <c r="E3266" t="s">
        <v>141</v>
      </c>
      <c r="F3266">
        <v>375.94</v>
      </c>
    </row>
    <row r="3267" spans="3:6">
      <c r="C3267" t="s">
        <v>125</v>
      </c>
      <c r="D3267">
        <v>2023</v>
      </c>
      <c r="E3267" t="s">
        <v>142</v>
      </c>
      <c r="F3267">
        <v>910.21</v>
      </c>
    </row>
    <row r="3268" spans="3:6">
      <c r="C3268" t="s">
        <v>125</v>
      </c>
      <c r="D3268">
        <v>2023</v>
      </c>
      <c r="E3268" t="s">
        <v>143</v>
      </c>
      <c r="F3268">
        <v>596.82000000000005</v>
      </c>
    </row>
    <row r="3269" spans="3:6">
      <c r="C3269" t="s">
        <v>125</v>
      </c>
      <c r="D3269">
        <v>2023</v>
      </c>
      <c r="E3269" t="s">
        <v>144</v>
      </c>
      <c r="F3269">
        <v>57.35</v>
      </c>
    </row>
    <row r="3270" spans="3:6">
      <c r="C3270" t="s">
        <v>125</v>
      </c>
      <c r="D3270">
        <v>2024</v>
      </c>
      <c r="E3270" t="s">
        <v>146</v>
      </c>
      <c r="F3270">
        <v>255.61</v>
      </c>
    </row>
    <row r="3271" spans="3:6">
      <c r="C3271" t="s">
        <v>125</v>
      </c>
      <c r="D3271">
        <v>2024</v>
      </c>
      <c r="E3271" t="s">
        <v>147</v>
      </c>
      <c r="F3271">
        <v>335.73</v>
      </c>
    </row>
    <row r="3272" spans="3:6">
      <c r="C3272" t="s">
        <v>125</v>
      </c>
      <c r="D3272">
        <v>2024</v>
      </c>
      <c r="E3272" t="s">
        <v>145</v>
      </c>
      <c r="F3272">
        <v>343.17</v>
      </c>
    </row>
    <row r="3273" spans="3:6">
      <c r="C3273" t="s">
        <v>125</v>
      </c>
      <c r="D3273">
        <v>2024</v>
      </c>
      <c r="E3273" t="s">
        <v>141</v>
      </c>
      <c r="F3273">
        <v>386.47</v>
      </c>
    </row>
    <row r="3274" spans="3:6">
      <c r="C3274" t="s">
        <v>125</v>
      </c>
      <c r="D3274">
        <v>2024</v>
      </c>
      <c r="E3274" t="s">
        <v>142</v>
      </c>
      <c r="F3274">
        <v>905.45</v>
      </c>
    </row>
    <row r="3275" spans="3:6">
      <c r="C3275" t="s">
        <v>125</v>
      </c>
      <c r="D3275">
        <v>2024</v>
      </c>
      <c r="E3275" t="s">
        <v>143</v>
      </c>
      <c r="F3275">
        <v>609.29</v>
      </c>
    </row>
    <row r="3276" spans="3:6">
      <c r="C3276" t="s">
        <v>125</v>
      </c>
      <c r="D3276">
        <v>2024</v>
      </c>
      <c r="E3276" t="s">
        <v>144</v>
      </c>
      <c r="F3276">
        <v>57.23</v>
      </c>
    </row>
    <row r="3277" spans="3:6">
      <c r="C3277" t="s">
        <v>125</v>
      </c>
      <c r="D3277">
        <v>2025</v>
      </c>
      <c r="E3277" t="s">
        <v>146</v>
      </c>
      <c r="F3277">
        <v>257.07</v>
      </c>
    </row>
    <row r="3278" spans="3:6">
      <c r="C3278" t="s">
        <v>125</v>
      </c>
      <c r="D3278">
        <v>2025</v>
      </c>
      <c r="E3278" t="s">
        <v>147</v>
      </c>
      <c r="F3278">
        <v>335.51</v>
      </c>
    </row>
    <row r="3279" spans="3:6">
      <c r="C3279" t="s">
        <v>125</v>
      </c>
      <c r="D3279">
        <v>2025</v>
      </c>
      <c r="E3279" t="s">
        <v>145</v>
      </c>
      <c r="F3279">
        <v>347.72</v>
      </c>
    </row>
    <row r="3280" spans="3:6">
      <c r="C3280" t="s">
        <v>125</v>
      </c>
      <c r="D3280">
        <v>2025</v>
      </c>
      <c r="E3280" t="s">
        <v>141</v>
      </c>
      <c r="F3280">
        <v>395.35</v>
      </c>
    </row>
    <row r="3281" spans="3:6">
      <c r="C3281" t="s">
        <v>125</v>
      </c>
      <c r="D3281">
        <v>2025</v>
      </c>
      <c r="E3281" t="s">
        <v>142</v>
      </c>
      <c r="F3281">
        <v>919.89</v>
      </c>
    </row>
    <row r="3282" spans="3:6">
      <c r="C3282" t="s">
        <v>125</v>
      </c>
      <c r="D3282">
        <v>2025</v>
      </c>
      <c r="E3282" t="s">
        <v>143</v>
      </c>
      <c r="F3282">
        <v>620.83000000000004</v>
      </c>
    </row>
    <row r="3283" spans="3:6">
      <c r="C3283" t="s">
        <v>125</v>
      </c>
      <c r="D3283">
        <v>2025</v>
      </c>
      <c r="E3283" t="s">
        <v>144</v>
      </c>
      <c r="F3283">
        <v>56.89</v>
      </c>
    </row>
    <row r="3284" spans="3:6">
      <c r="C3284" t="s">
        <v>125</v>
      </c>
      <c r="D3284">
        <v>2026</v>
      </c>
      <c r="E3284" t="s">
        <v>146</v>
      </c>
      <c r="F3284">
        <v>258.75</v>
      </c>
    </row>
    <row r="3285" spans="3:6">
      <c r="C3285" t="s">
        <v>125</v>
      </c>
      <c r="D3285">
        <v>2026</v>
      </c>
      <c r="E3285" t="s">
        <v>147</v>
      </c>
      <c r="F3285">
        <v>335.66</v>
      </c>
    </row>
    <row r="3286" spans="3:6">
      <c r="C3286" t="s">
        <v>125</v>
      </c>
      <c r="D3286">
        <v>2026</v>
      </c>
      <c r="E3286" t="s">
        <v>145</v>
      </c>
      <c r="F3286">
        <v>352.51</v>
      </c>
    </row>
    <row r="3287" spans="3:6">
      <c r="C3287" t="s">
        <v>125</v>
      </c>
      <c r="D3287">
        <v>2026</v>
      </c>
      <c r="E3287" t="s">
        <v>141</v>
      </c>
      <c r="F3287">
        <v>403.74</v>
      </c>
    </row>
    <row r="3288" spans="3:6">
      <c r="C3288" t="s">
        <v>125</v>
      </c>
      <c r="D3288">
        <v>2026</v>
      </c>
      <c r="E3288" t="s">
        <v>142</v>
      </c>
      <c r="F3288">
        <v>913.87</v>
      </c>
    </row>
    <row r="3289" spans="3:6">
      <c r="C3289" t="s">
        <v>125</v>
      </c>
      <c r="D3289">
        <v>2026</v>
      </c>
      <c r="E3289" t="s">
        <v>143</v>
      </c>
      <c r="F3289">
        <v>632.25</v>
      </c>
    </row>
    <row r="3290" spans="3:6">
      <c r="C3290" t="s">
        <v>125</v>
      </c>
      <c r="D3290">
        <v>2026</v>
      </c>
      <c r="E3290" t="s">
        <v>144</v>
      </c>
      <c r="F3290">
        <v>56.95</v>
      </c>
    </row>
    <row r="3291" spans="3:6">
      <c r="C3291" t="s">
        <v>125</v>
      </c>
      <c r="D3291">
        <v>2027</v>
      </c>
      <c r="E3291" t="s">
        <v>146</v>
      </c>
      <c r="F3291">
        <v>260.33999999999997</v>
      </c>
    </row>
    <row r="3292" spans="3:6">
      <c r="C3292" t="s">
        <v>125</v>
      </c>
      <c r="D3292">
        <v>2027</v>
      </c>
      <c r="E3292" t="s">
        <v>147</v>
      </c>
      <c r="F3292">
        <v>335.7</v>
      </c>
    </row>
    <row r="3293" spans="3:6">
      <c r="C3293" t="s">
        <v>125</v>
      </c>
      <c r="D3293">
        <v>2027</v>
      </c>
      <c r="E3293" t="s">
        <v>145</v>
      </c>
      <c r="F3293">
        <v>357.3</v>
      </c>
    </row>
    <row r="3294" spans="3:6">
      <c r="C3294" t="s">
        <v>125</v>
      </c>
      <c r="D3294">
        <v>2027</v>
      </c>
      <c r="E3294" t="s">
        <v>141</v>
      </c>
      <c r="F3294">
        <v>411.99</v>
      </c>
    </row>
    <row r="3295" spans="3:6">
      <c r="C3295" t="s">
        <v>125</v>
      </c>
      <c r="D3295">
        <v>2027</v>
      </c>
      <c r="E3295" t="s">
        <v>142</v>
      </c>
      <c r="F3295">
        <v>921.46</v>
      </c>
    </row>
    <row r="3296" spans="3:6">
      <c r="C3296" t="s">
        <v>125</v>
      </c>
      <c r="D3296">
        <v>2027</v>
      </c>
      <c r="E3296" t="s">
        <v>143</v>
      </c>
      <c r="F3296">
        <v>643.62</v>
      </c>
    </row>
    <row r="3297" spans="3:6">
      <c r="C3297" t="s">
        <v>125</v>
      </c>
      <c r="D3297">
        <v>2027</v>
      </c>
      <c r="E3297" t="s">
        <v>144</v>
      </c>
      <c r="F3297">
        <v>56.85</v>
      </c>
    </row>
    <row r="3298" spans="3:6">
      <c r="C3298" t="s">
        <v>125</v>
      </c>
      <c r="D3298">
        <v>2028</v>
      </c>
      <c r="E3298" t="s">
        <v>146</v>
      </c>
      <c r="F3298">
        <v>262.14999999999998</v>
      </c>
    </row>
    <row r="3299" spans="3:6">
      <c r="C3299" t="s">
        <v>125</v>
      </c>
      <c r="D3299">
        <v>2028</v>
      </c>
      <c r="E3299" t="s">
        <v>147</v>
      </c>
      <c r="F3299">
        <v>336.06</v>
      </c>
    </row>
    <row r="3300" spans="3:6">
      <c r="C3300" t="s">
        <v>125</v>
      </c>
      <c r="D3300">
        <v>2028</v>
      </c>
      <c r="E3300" t="s">
        <v>145</v>
      </c>
      <c r="F3300">
        <v>362.88</v>
      </c>
    </row>
    <row r="3301" spans="3:6">
      <c r="C3301" t="s">
        <v>125</v>
      </c>
      <c r="D3301">
        <v>2028</v>
      </c>
      <c r="E3301" t="s">
        <v>141</v>
      </c>
      <c r="F3301">
        <v>420.15</v>
      </c>
    </row>
    <row r="3302" spans="3:6">
      <c r="C3302" t="s">
        <v>125</v>
      </c>
      <c r="D3302">
        <v>2028</v>
      </c>
      <c r="E3302" t="s">
        <v>142</v>
      </c>
      <c r="F3302">
        <v>918.82</v>
      </c>
    </row>
    <row r="3303" spans="3:6">
      <c r="C3303" t="s">
        <v>125</v>
      </c>
      <c r="D3303">
        <v>2028</v>
      </c>
      <c r="E3303" t="s">
        <v>143</v>
      </c>
      <c r="F3303">
        <v>655.01</v>
      </c>
    </row>
    <row r="3304" spans="3:6">
      <c r="C3304" t="s">
        <v>125</v>
      </c>
      <c r="D3304">
        <v>2028</v>
      </c>
      <c r="E3304" t="s">
        <v>144</v>
      </c>
      <c r="F3304">
        <v>56.73</v>
      </c>
    </row>
    <row r="3305" spans="3:6">
      <c r="C3305" t="s">
        <v>125</v>
      </c>
      <c r="D3305">
        <v>2029</v>
      </c>
      <c r="E3305" t="s">
        <v>146</v>
      </c>
      <c r="F3305">
        <v>264.02999999999997</v>
      </c>
    </row>
    <row r="3306" spans="3:6">
      <c r="C3306" t="s">
        <v>125</v>
      </c>
      <c r="D3306">
        <v>2029</v>
      </c>
      <c r="E3306" t="s">
        <v>147</v>
      </c>
      <c r="F3306">
        <v>336.53</v>
      </c>
    </row>
    <row r="3307" spans="3:6">
      <c r="C3307" t="s">
        <v>125</v>
      </c>
      <c r="D3307">
        <v>2029</v>
      </c>
      <c r="E3307" t="s">
        <v>145</v>
      </c>
      <c r="F3307">
        <v>369.06</v>
      </c>
    </row>
    <row r="3308" spans="3:6">
      <c r="C3308" t="s">
        <v>125</v>
      </c>
      <c r="D3308">
        <v>2029</v>
      </c>
      <c r="E3308" t="s">
        <v>141</v>
      </c>
      <c r="F3308">
        <v>428.33</v>
      </c>
    </row>
    <row r="3309" spans="3:6">
      <c r="C3309" t="s">
        <v>125</v>
      </c>
      <c r="D3309">
        <v>2029</v>
      </c>
      <c r="E3309" t="s">
        <v>142</v>
      </c>
      <c r="F3309">
        <v>931.01</v>
      </c>
    </row>
    <row r="3310" spans="3:6">
      <c r="C3310" t="s">
        <v>125</v>
      </c>
      <c r="D3310">
        <v>2029</v>
      </c>
      <c r="E3310" t="s">
        <v>143</v>
      </c>
      <c r="F3310">
        <v>666.79</v>
      </c>
    </row>
    <row r="3311" spans="3:6">
      <c r="C3311" t="s">
        <v>125</v>
      </c>
      <c r="D3311">
        <v>2029</v>
      </c>
      <c r="E3311" t="s">
        <v>144</v>
      </c>
      <c r="F3311">
        <v>56.74</v>
      </c>
    </row>
    <row r="3312" spans="3:6">
      <c r="C3312" t="s">
        <v>125</v>
      </c>
      <c r="D3312">
        <v>2030</v>
      </c>
      <c r="E3312" t="s">
        <v>146</v>
      </c>
      <c r="F3312">
        <v>265.97000000000003</v>
      </c>
    </row>
    <row r="3313" spans="3:6">
      <c r="C3313" t="s">
        <v>125</v>
      </c>
      <c r="D3313">
        <v>2030</v>
      </c>
      <c r="E3313" t="s">
        <v>147</v>
      </c>
      <c r="F3313">
        <v>337.06</v>
      </c>
    </row>
    <row r="3314" spans="3:6">
      <c r="C3314" t="s">
        <v>125</v>
      </c>
      <c r="D3314">
        <v>2030</v>
      </c>
      <c r="E3314" t="s">
        <v>145</v>
      </c>
      <c r="F3314">
        <v>376.07</v>
      </c>
    </row>
    <row r="3315" spans="3:6">
      <c r="C3315" t="s">
        <v>125</v>
      </c>
      <c r="D3315">
        <v>2030</v>
      </c>
      <c r="E3315" t="s">
        <v>141</v>
      </c>
      <c r="F3315">
        <v>436.49</v>
      </c>
    </row>
    <row r="3316" spans="3:6">
      <c r="C3316" t="s">
        <v>125</v>
      </c>
      <c r="D3316">
        <v>2030</v>
      </c>
      <c r="E3316" t="s">
        <v>142</v>
      </c>
      <c r="F3316">
        <v>936.48</v>
      </c>
    </row>
    <row r="3317" spans="3:6">
      <c r="C3317" t="s">
        <v>125</v>
      </c>
      <c r="D3317">
        <v>2030</v>
      </c>
      <c r="E3317" t="s">
        <v>143</v>
      </c>
      <c r="F3317">
        <v>678.79</v>
      </c>
    </row>
    <row r="3318" spans="3:6">
      <c r="C3318" t="s">
        <v>125</v>
      </c>
      <c r="D3318">
        <v>2030</v>
      </c>
      <c r="E3318" t="s">
        <v>144</v>
      </c>
      <c r="F3318">
        <v>56.58</v>
      </c>
    </row>
    <row r="3319" spans="3:6">
      <c r="C3319" t="s">
        <v>125</v>
      </c>
      <c r="D3319">
        <v>2031</v>
      </c>
      <c r="E3319" t="s">
        <v>146</v>
      </c>
      <c r="F3319">
        <v>267.93</v>
      </c>
    </row>
    <row r="3320" spans="3:6">
      <c r="C3320" t="s">
        <v>125</v>
      </c>
      <c r="D3320">
        <v>2031</v>
      </c>
      <c r="E3320" t="s">
        <v>147</v>
      </c>
      <c r="F3320">
        <v>337.57</v>
      </c>
    </row>
    <row r="3321" spans="3:6">
      <c r="C3321" t="s">
        <v>125</v>
      </c>
      <c r="D3321">
        <v>2031</v>
      </c>
      <c r="E3321" t="s">
        <v>145</v>
      </c>
      <c r="F3321">
        <v>384.48</v>
      </c>
    </row>
    <row r="3322" spans="3:6">
      <c r="C3322" t="s">
        <v>125</v>
      </c>
      <c r="D3322">
        <v>2031</v>
      </c>
      <c r="E3322" t="s">
        <v>141</v>
      </c>
      <c r="F3322">
        <v>444.68</v>
      </c>
    </row>
    <row r="3323" spans="3:6">
      <c r="C3323" t="s">
        <v>125</v>
      </c>
      <c r="D3323">
        <v>2031</v>
      </c>
      <c r="E3323" t="s">
        <v>142</v>
      </c>
      <c r="F3323">
        <v>952.91</v>
      </c>
    </row>
    <row r="3324" spans="3:6">
      <c r="C3324" t="s">
        <v>125</v>
      </c>
      <c r="D3324">
        <v>2031</v>
      </c>
      <c r="E3324" t="s">
        <v>143</v>
      </c>
      <c r="F3324">
        <v>690.85</v>
      </c>
    </row>
    <row r="3325" spans="3:6">
      <c r="C3325" t="s">
        <v>125</v>
      </c>
      <c r="D3325">
        <v>2031</v>
      </c>
      <c r="E3325" t="s">
        <v>144</v>
      </c>
      <c r="F3325">
        <v>56.72</v>
      </c>
    </row>
    <row r="3326" spans="3:6">
      <c r="C3326" t="s">
        <v>125</v>
      </c>
      <c r="D3326">
        <v>2032</v>
      </c>
      <c r="E3326" t="s">
        <v>146</v>
      </c>
      <c r="F3326">
        <v>269.98</v>
      </c>
    </row>
    <row r="3327" spans="3:6">
      <c r="C3327" t="s">
        <v>125</v>
      </c>
      <c r="D3327">
        <v>2032</v>
      </c>
      <c r="E3327" t="s">
        <v>147</v>
      </c>
      <c r="F3327">
        <v>338.18</v>
      </c>
    </row>
    <row r="3328" spans="3:6">
      <c r="C3328" t="s">
        <v>125</v>
      </c>
      <c r="D3328">
        <v>2032</v>
      </c>
      <c r="E3328" t="s">
        <v>145</v>
      </c>
      <c r="F3328">
        <v>393.91</v>
      </c>
    </row>
    <row r="3329" spans="3:6">
      <c r="C3329" t="s">
        <v>125</v>
      </c>
      <c r="D3329">
        <v>2032</v>
      </c>
      <c r="E3329" t="s">
        <v>141</v>
      </c>
      <c r="F3329">
        <v>453.29</v>
      </c>
    </row>
    <row r="3330" spans="3:6">
      <c r="C3330" t="s">
        <v>125</v>
      </c>
      <c r="D3330">
        <v>2032</v>
      </c>
      <c r="E3330" t="s">
        <v>142</v>
      </c>
      <c r="F3330">
        <v>955.87</v>
      </c>
    </row>
    <row r="3331" spans="3:6">
      <c r="C3331" t="s">
        <v>125</v>
      </c>
      <c r="D3331">
        <v>2032</v>
      </c>
      <c r="E3331" t="s">
        <v>143</v>
      </c>
      <c r="F3331">
        <v>703.49</v>
      </c>
    </row>
    <row r="3332" spans="3:6">
      <c r="C3332" t="s">
        <v>125</v>
      </c>
      <c r="D3332">
        <v>2032</v>
      </c>
      <c r="E3332" t="s">
        <v>144</v>
      </c>
      <c r="F3332">
        <v>56.71</v>
      </c>
    </row>
    <row r="3333" spans="3:6">
      <c r="C3333" t="s">
        <v>125</v>
      </c>
      <c r="D3333">
        <v>2033</v>
      </c>
      <c r="E3333" t="s">
        <v>146</v>
      </c>
      <c r="F3333">
        <v>272.29000000000002</v>
      </c>
    </row>
    <row r="3334" spans="3:6">
      <c r="C3334" t="s">
        <v>125</v>
      </c>
      <c r="D3334">
        <v>2033</v>
      </c>
      <c r="E3334" t="s">
        <v>147</v>
      </c>
      <c r="F3334">
        <v>339.19</v>
      </c>
    </row>
    <row r="3335" spans="3:6">
      <c r="C3335" t="s">
        <v>125</v>
      </c>
      <c r="D3335">
        <v>2033</v>
      </c>
      <c r="E3335" t="s">
        <v>145</v>
      </c>
      <c r="F3335">
        <v>403.73</v>
      </c>
    </row>
    <row r="3336" spans="3:6">
      <c r="C3336" t="s">
        <v>125</v>
      </c>
      <c r="D3336">
        <v>2033</v>
      </c>
      <c r="E3336" t="s">
        <v>141</v>
      </c>
      <c r="F3336">
        <v>462.03</v>
      </c>
    </row>
    <row r="3337" spans="3:6">
      <c r="C3337" t="s">
        <v>125</v>
      </c>
      <c r="D3337">
        <v>2033</v>
      </c>
      <c r="E3337" t="s">
        <v>142</v>
      </c>
      <c r="F3337">
        <v>979.66</v>
      </c>
    </row>
    <row r="3338" spans="3:6">
      <c r="C3338" t="s">
        <v>125</v>
      </c>
      <c r="D3338">
        <v>2033</v>
      </c>
      <c r="E3338" t="s">
        <v>143</v>
      </c>
      <c r="F3338">
        <v>716.34</v>
      </c>
    </row>
    <row r="3339" spans="3:6">
      <c r="C3339" t="s">
        <v>125</v>
      </c>
      <c r="D3339">
        <v>2033</v>
      </c>
      <c r="E3339" t="s">
        <v>144</v>
      </c>
      <c r="F3339">
        <v>56.66</v>
      </c>
    </row>
    <row r="3340" spans="3:6">
      <c r="C3340" t="s">
        <v>125</v>
      </c>
      <c r="D3340">
        <v>2034</v>
      </c>
      <c r="E3340" t="s">
        <v>146</v>
      </c>
      <c r="F3340">
        <v>274.49</v>
      </c>
    </row>
    <row r="3341" spans="3:6">
      <c r="C3341" t="s">
        <v>125</v>
      </c>
      <c r="D3341">
        <v>2034</v>
      </c>
      <c r="E3341" t="s">
        <v>147</v>
      </c>
      <c r="F3341">
        <v>340</v>
      </c>
    </row>
    <row r="3342" spans="3:6">
      <c r="C3342" t="s">
        <v>125</v>
      </c>
      <c r="D3342">
        <v>2034</v>
      </c>
      <c r="E3342" t="s">
        <v>145</v>
      </c>
      <c r="F3342">
        <v>414.32</v>
      </c>
    </row>
    <row r="3343" spans="3:6">
      <c r="C3343" t="s">
        <v>125</v>
      </c>
      <c r="D3343">
        <v>2034</v>
      </c>
      <c r="E3343" t="s">
        <v>141</v>
      </c>
      <c r="F3343">
        <v>470.91</v>
      </c>
    </row>
    <row r="3344" spans="3:6">
      <c r="C3344" t="s">
        <v>125</v>
      </c>
      <c r="D3344">
        <v>2034</v>
      </c>
      <c r="E3344" t="s">
        <v>142</v>
      </c>
      <c r="F3344">
        <v>985.52</v>
      </c>
    </row>
    <row r="3345" spans="3:6">
      <c r="C3345" t="s">
        <v>125</v>
      </c>
      <c r="D3345">
        <v>2034</v>
      </c>
      <c r="E3345" t="s">
        <v>143</v>
      </c>
      <c r="F3345">
        <v>729.42</v>
      </c>
    </row>
    <row r="3346" spans="3:6">
      <c r="C3346" t="s">
        <v>125</v>
      </c>
      <c r="D3346">
        <v>2034</v>
      </c>
      <c r="E3346" t="s">
        <v>144</v>
      </c>
      <c r="F3346">
        <v>56.59</v>
      </c>
    </row>
    <row r="3347" spans="3:6">
      <c r="C3347" t="s">
        <v>125</v>
      </c>
      <c r="D3347">
        <v>2035</v>
      </c>
      <c r="E3347" t="s">
        <v>146</v>
      </c>
      <c r="F3347">
        <v>276.86</v>
      </c>
    </row>
    <row r="3348" spans="3:6">
      <c r="C3348" t="s">
        <v>125</v>
      </c>
      <c r="D3348">
        <v>2035</v>
      </c>
      <c r="E3348" t="s">
        <v>147</v>
      </c>
      <c r="F3348">
        <v>341.07</v>
      </c>
    </row>
    <row r="3349" spans="3:6">
      <c r="C3349" t="s">
        <v>125</v>
      </c>
      <c r="D3349">
        <v>2035</v>
      </c>
      <c r="E3349" t="s">
        <v>145</v>
      </c>
      <c r="F3349">
        <v>425.11</v>
      </c>
    </row>
    <row r="3350" spans="3:6">
      <c r="C3350" t="s">
        <v>125</v>
      </c>
      <c r="D3350">
        <v>2035</v>
      </c>
      <c r="E3350" t="s">
        <v>141</v>
      </c>
      <c r="F3350">
        <v>480.05</v>
      </c>
    </row>
    <row r="3351" spans="3:6">
      <c r="C3351" t="s">
        <v>125</v>
      </c>
      <c r="D3351">
        <v>2035</v>
      </c>
      <c r="E3351" t="s">
        <v>142</v>
      </c>
      <c r="F3351">
        <v>1002.84</v>
      </c>
    </row>
    <row r="3352" spans="3:6">
      <c r="C3352" t="s">
        <v>125</v>
      </c>
      <c r="D3352">
        <v>2035</v>
      </c>
      <c r="E3352" t="s">
        <v>143</v>
      </c>
      <c r="F3352">
        <v>743.08</v>
      </c>
    </row>
    <row r="3353" spans="3:6">
      <c r="C3353" t="s">
        <v>125</v>
      </c>
      <c r="D3353">
        <v>2035</v>
      </c>
      <c r="E3353" t="s">
        <v>144</v>
      </c>
      <c r="F3353">
        <v>56.5</v>
      </c>
    </row>
    <row r="3354" spans="3:6">
      <c r="C3354" t="s">
        <v>125</v>
      </c>
      <c r="D3354">
        <v>2036</v>
      </c>
      <c r="E3354" t="s">
        <v>146</v>
      </c>
      <c r="F3354">
        <v>279.18</v>
      </c>
    </row>
    <row r="3355" spans="3:6">
      <c r="C3355" t="s">
        <v>125</v>
      </c>
      <c r="D3355">
        <v>2036</v>
      </c>
      <c r="E3355" t="s">
        <v>147</v>
      </c>
      <c r="F3355">
        <v>342.08</v>
      </c>
    </row>
    <row r="3356" spans="3:6">
      <c r="C3356" t="s">
        <v>125</v>
      </c>
      <c r="D3356">
        <v>2036</v>
      </c>
      <c r="E3356" t="s">
        <v>145</v>
      </c>
      <c r="F3356">
        <v>436.48</v>
      </c>
    </row>
    <row r="3357" spans="3:6">
      <c r="C3357" t="s">
        <v>125</v>
      </c>
      <c r="D3357">
        <v>2036</v>
      </c>
      <c r="E3357" t="s">
        <v>141</v>
      </c>
      <c r="F3357">
        <v>488.68</v>
      </c>
    </row>
    <row r="3358" spans="3:6">
      <c r="C3358" t="s">
        <v>125</v>
      </c>
      <c r="D3358">
        <v>2036</v>
      </c>
      <c r="E3358" t="s">
        <v>142</v>
      </c>
      <c r="F3358">
        <v>1014.18</v>
      </c>
    </row>
    <row r="3359" spans="3:6">
      <c r="C3359" t="s">
        <v>125</v>
      </c>
      <c r="D3359">
        <v>2036</v>
      </c>
      <c r="E3359" t="s">
        <v>143</v>
      </c>
      <c r="F3359">
        <v>757.31</v>
      </c>
    </row>
    <row r="3360" spans="3:6">
      <c r="C3360" t="s">
        <v>125</v>
      </c>
      <c r="D3360">
        <v>2036</v>
      </c>
      <c r="E3360" t="s">
        <v>144</v>
      </c>
      <c r="F3360">
        <v>56.29</v>
      </c>
    </row>
    <row r="3361" spans="3:6">
      <c r="C3361" t="s">
        <v>125</v>
      </c>
      <c r="D3361">
        <v>2037</v>
      </c>
      <c r="E3361" t="s">
        <v>146</v>
      </c>
      <c r="F3361">
        <v>281.26</v>
      </c>
    </row>
    <row r="3362" spans="3:6">
      <c r="C3362" t="s">
        <v>125</v>
      </c>
      <c r="D3362">
        <v>2037</v>
      </c>
      <c r="E3362" t="s">
        <v>147</v>
      </c>
      <c r="F3362">
        <v>342.71</v>
      </c>
    </row>
    <row r="3363" spans="3:6">
      <c r="C3363" t="s">
        <v>125</v>
      </c>
      <c r="D3363">
        <v>2037</v>
      </c>
      <c r="E3363" t="s">
        <v>145</v>
      </c>
      <c r="F3363">
        <v>447.46</v>
      </c>
    </row>
    <row r="3364" spans="3:6">
      <c r="C3364" t="s">
        <v>125</v>
      </c>
      <c r="D3364">
        <v>2037</v>
      </c>
      <c r="E3364" t="s">
        <v>141</v>
      </c>
      <c r="F3364">
        <v>497.48</v>
      </c>
    </row>
    <row r="3365" spans="3:6">
      <c r="C3365" t="s">
        <v>125</v>
      </c>
      <c r="D3365">
        <v>2037</v>
      </c>
      <c r="E3365" t="s">
        <v>142</v>
      </c>
      <c r="F3365">
        <v>1033.1500000000001</v>
      </c>
    </row>
    <row r="3366" spans="3:6">
      <c r="C3366" t="s">
        <v>125</v>
      </c>
      <c r="D3366">
        <v>2037</v>
      </c>
      <c r="E3366" t="s">
        <v>143</v>
      </c>
      <c r="F3366">
        <v>771.44</v>
      </c>
    </row>
    <row r="3367" spans="3:6">
      <c r="C3367" t="s">
        <v>125</v>
      </c>
      <c r="D3367">
        <v>2037</v>
      </c>
      <c r="E3367" t="s">
        <v>144</v>
      </c>
      <c r="F3367">
        <v>56.24</v>
      </c>
    </row>
    <row r="3368" spans="3:6">
      <c r="C3368" t="s">
        <v>125</v>
      </c>
      <c r="D3368">
        <v>2038</v>
      </c>
      <c r="E3368" t="s">
        <v>146</v>
      </c>
      <c r="F3368">
        <v>283.35000000000002</v>
      </c>
    </row>
    <row r="3369" spans="3:6">
      <c r="C3369" t="s">
        <v>125</v>
      </c>
      <c r="D3369">
        <v>2038</v>
      </c>
      <c r="E3369" t="s">
        <v>147</v>
      </c>
      <c r="F3369">
        <v>343.37</v>
      </c>
    </row>
    <row r="3370" spans="3:6">
      <c r="C3370" t="s">
        <v>125</v>
      </c>
      <c r="D3370">
        <v>2038</v>
      </c>
      <c r="E3370" t="s">
        <v>145</v>
      </c>
      <c r="F3370">
        <v>458.31</v>
      </c>
    </row>
    <row r="3371" spans="3:6">
      <c r="C3371" t="s">
        <v>125</v>
      </c>
      <c r="D3371">
        <v>2038</v>
      </c>
      <c r="E3371" t="s">
        <v>141</v>
      </c>
      <c r="F3371">
        <v>506.35</v>
      </c>
    </row>
    <row r="3372" spans="3:6">
      <c r="C3372" t="s">
        <v>125</v>
      </c>
      <c r="D3372">
        <v>2038</v>
      </c>
      <c r="E3372" t="s">
        <v>142</v>
      </c>
      <c r="F3372">
        <v>1045.92</v>
      </c>
    </row>
    <row r="3373" spans="3:6">
      <c r="C3373" t="s">
        <v>125</v>
      </c>
      <c r="D3373">
        <v>2038</v>
      </c>
      <c r="E3373" t="s">
        <v>143</v>
      </c>
      <c r="F3373">
        <v>785.86</v>
      </c>
    </row>
    <row r="3374" spans="3:6">
      <c r="C3374" t="s">
        <v>125</v>
      </c>
      <c r="D3374">
        <v>2038</v>
      </c>
      <c r="E3374" t="s">
        <v>144</v>
      </c>
      <c r="F3374">
        <v>56.17</v>
      </c>
    </row>
    <row r="3375" spans="3:6">
      <c r="C3375" t="s">
        <v>125</v>
      </c>
      <c r="D3375">
        <v>2039</v>
      </c>
      <c r="E3375" t="s">
        <v>146</v>
      </c>
      <c r="F3375">
        <v>285.41000000000003</v>
      </c>
    </row>
    <row r="3376" spans="3:6">
      <c r="C3376" t="s">
        <v>125</v>
      </c>
      <c r="D3376">
        <v>2039</v>
      </c>
      <c r="E3376" t="s">
        <v>147</v>
      </c>
      <c r="F3376">
        <v>343.97</v>
      </c>
    </row>
    <row r="3377" spans="3:6">
      <c r="C3377" t="s">
        <v>125</v>
      </c>
      <c r="D3377">
        <v>2039</v>
      </c>
      <c r="E3377" t="s">
        <v>145</v>
      </c>
      <c r="F3377">
        <v>469.53</v>
      </c>
    </row>
    <row r="3378" spans="3:6">
      <c r="C3378" t="s">
        <v>125</v>
      </c>
      <c r="D3378">
        <v>2039</v>
      </c>
      <c r="E3378" t="s">
        <v>141</v>
      </c>
      <c r="F3378">
        <v>515.22</v>
      </c>
    </row>
    <row r="3379" spans="3:6">
      <c r="C3379" t="s">
        <v>125</v>
      </c>
      <c r="D3379">
        <v>2039</v>
      </c>
      <c r="E3379" t="s">
        <v>142</v>
      </c>
      <c r="F3379">
        <v>1063.24</v>
      </c>
    </row>
    <row r="3380" spans="3:6">
      <c r="C3380" t="s">
        <v>125</v>
      </c>
      <c r="D3380">
        <v>2039</v>
      </c>
      <c r="E3380" t="s">
        <v>143</v>
      </c>
      <c r="F3380">
        <v>800.73</v>
      </c>
    </row>
    <row r="3381" spans="3:6">
      <c r="C3381" t="s">
        <v>125</v>
      </c>
      <c r="D3381">
        <v>2039</v>
      </c>
      <c r="E3381" t="s">
        <v>144</v>
      </c>
      <c r="F3381">
        <v>56.02</v>
      </c>
    </row>
    <row r="3382" spans="3:6">
      <c r="C3382" t="s">
        <v>125</v>
      </c>
      <c r="D3382">
        <v>2040</v>
      </c>
      <c r="E3382" t="s">
        <v>146</v>
      </c>
      <c r="F3382">
        <v>287.60000000000002</v>
      </c>
    </row>
    <row r="3383" spans="3:6">
      <c r="C3383" t="s">
        <v>125</v>
      </c>
      <c r="D3383">
        <v>2040</v>
      </c>
      <c r="E3383" t="s">
        <v>147</v>
      </c>
      <c r="F3383">
        <v>344.76</v>
      </c>
    </row>
    <row r="3384" spans="3:6">
      <c r="C3384" t="s">
        <v>125</v>
      </c>
      <c r="D3384">
        <v>2040</v>
      </c>
      <c r="E3384" t="s">
        <v>145</v>
      </c>
      <c r="F3384">
        <v>481.11</v>
      </c>
    </row>
    <row r="3385" spans="3:6">
      <c r="C3385" t="s">
        <v>125</v>
      </c>
      <c r="D3385">
        <v>2040</v>
      </c>
      <c r="E3385" t="s">
        <v>141</v>
      </c>
      <c r="F3385">
        <v>524.07000000000005</v>
      </c>
    </row>
    <row r="3386" spans="3:6">
      <c r="C3386" t="s">
        <v>125</v>
      </c>
      <c r="D3386">
        <v>2040</v>
      </c>
      <c r="E3386" t="s">
        <v>142</v>
      </c>
      <c r="F3386">
        <v>1076.28</v>
      </c>
    </row>
    <row r="3387" spans="3:6">
      <c r="C3387" t="s">
        <v>125</v>
      </c>
      <c r="D3387">
        <v>2040</v>
      </c>
      <c r="E3387" t="s">
        <v>143</v>
      </c>
      <c r="F3387">
        <v>815.76</v>
      </c>
    </row>
    <row r="3388" spans="3:6">
      <c r="C3388" t="s">
        <v>125</v>
      </c>
      <c r="D3388">
        <v>2040</v>
      </c>
      <c r="E3388" t="s">
        <v>144</v>
      </c>
      <c r="F3388">
        <v>56.17</v>
      </c>
    </row>
    <row r="3389" spans="3:6">
      <c r="C3389" t="s">
        <v>125</v>
      </c>
      <c r="D3389">
        <v>2041</v>
      </c>
      <c r="E3389" t="s">
        <v>146</v>
      </c>
      <c r="F3389">
        <v>289.83999999999997</v>
      </c>
    </row>
    <row r="3390" spans="3:6">
      <c r="C3390" t="s">
        <v>125</v>
      </c>
      <c r="D3390">
        <v>2041</v>
      </c>
      <c r="E3390" t="s">
        <v>147</v>
      </c>
      <c r="F3390">
        <v>345.65</v>
      </c>
    </row>
    <row r="3391" spans="3:6">
      <c r="C3391" t="s">
        <v>125</v>
      </c>
      <c r="D3391">
        <v>2041</v>
      </c>
      <c r="E3391" t="s">
        <v>145</v>
      </c>
      <c r="F3391">
        <v>492.91</v>
      </c>
    </row>
    <row r="3392" spans="3:6">
      <c r="C3392" t="s">
        <v>125</v>
      </c>
      <c r="D3392">
        <v>2041</v>
      </c>
      <c r="E3392" t="s">
        <v>141</v>
      </c>
      <c r="F3392">
        <v>532.21</v>
      </c>
    </row>
    <row r="3393" spans="3:6">
      <c r="C3393" t="s">
        <v>125</v>
      </c>
      <c r="D3393">
        <v>2041</v>
      </c>
      <c r="E3393" t="s">
        <v>142</v>
      </c>
      <c r="F3393">
        <v>1090.25</v>
      </c>
    </row>
    <row r="3394" spans="3:6">
      <c r="C3394" t="s">
        <v>125</v>
      </c>
      <c r="D3394">
        <v>2041</v>
      </c>
      <c r="E3394" t="s">
        <v>143</v>
      </c>
      <c r="F3394">
        <v>830.58</v>
      </c>
    </row>
    <row r="3395" spans="3:6">
      <c r="C3395" t="s">
        <v>125</v>
      </c>
      <c r="D3395">
        <v>2041</v>
      </c>
      <c r="E3395" t="s">
        <v>144</v>
      </c>
      <c r="F3395">
        <v>56.2</v>
      </c>
    </row>
    <row r="3396" spans="3:6">
      <c r="C3396" t="s">
        <v>125</v>
      </c>
      <c r="D3396">
        <v>2042</v>
      </c>
      <c r="E3396" t="s">
        <v>146</v>
      </c>
      <c r="F3396">
        <v>292.05</v>
      </c>
    </row>
    <row r="3397" spans="3:6">
      <c r="C3397" t="s">
        <v>125</v>
      </c>
      <c r="D3397">
        <v>2042</v>
      </c>
      <c r="E3397" t="s">
        <v>147</v>
      </c>
      <c r="F3397">
        <v>346.5</v>
      </c>
    </row>
    <row r="3398" spans="3:6">
      <c r="C3398" t="s">
        <v>125</v>
      </c>
      <c r="D3398">
        <v>2042</v>
      </c>
      <c r="E3398" t="s">
        <v>145</v>
      </c>
      <c r="F3398">
        <v>504.4</v>
      </c>
    </row>
    <row r="3399" spans="3:6">
      <c r="C3399" t="s">
        <v>125</v>
      </c>
      <c r="D3399">
        <v>2042</v>
      </c>
      <c r="E3399" t="s">
        <v>141</v>
      </c>
      <c r="F3399">
        <v>540.37</v>
      </c>
    </row>
    <row r="3400" spans="3:6">
      <c r="C3400" t="s">
        <v>125</v>
      </c>
      <c r="D3400">
        <v>2042</v>
      </c>
      <c r="E3400" t="s">
        <v>142</v>
      </c>
      <c r="F3400">
        <v>1109.1099999999999</v>
      </c>
    </row>
    <row r="3401" spans="3:6">
      <c r="C3401" t="s">
        <v>125</v>
      </c>
      <c r="D3401">
        <v>2042</v>
      </c>
      <c r="E3401" t="s">
        <v>143</v>
      </c>
      <c r="F3401">
        <v>845.54</v>
      </c>
    </row>
    <row r="3402" spans="3:6">
      <c r="C3402" t="s">
        <v>125</v>
      </c>
      <c r="D3402">
        <v>2042</v>
      </c>
      <c r="E3402" t="s">
        <v>144</v>
      </c>
      <c r="F3402">
        <v>56.19</v>
      </c>
    </row>
    <row r="3403" spans="3:6">
      <c r="C3403" t="s">
        <v>125</v>
      </c>
      <c r="D3403">
        <v>2043</v>
      </c>
      <c r="E3403" t="s">
        <v>146</v>
      </c>
      <c r="F3403">
        <v>294.22000000000003</v>
      </c>
    </row>
    <row r="3404" spans="3:6">
      <c r="C3404" t="s">
        <v>125</v>
      </c>
      <c r="D3404">
        <v>2043</v>
      </c>
      <c r="E3404" t="s">
        <v>147</v>
      </c>
      <c r="F3404">
        <v>347.29</v>
      </c>
    </row>
    <row r="3405" spans="3:6">
      <c r="C3405" t="s">
        <v>125</v>
      </c>
      <c r="D3405">
        <v>2043</v>
      </c>
      <c r="E3405" t="s">
        <v>145</v>
      </c>
      <c r="F3405">
        <v>516</v>
      </c>
    </row>
    <row r="3406" spans="3:6">
      <c r="C3406" t="s">
        <v>125</v>
      </c>
      <c r="D3406">
        <v>2043</v>
      </c>
      <c r="E3406" t="s">
        <v>141</v>
      </c>
      <c r="F3406">
        <v>548.57000000000005</v>
      </c>
    </row>
    <row r="3407" spans="3:6">
      <c r="C3407" t="s">
        <v>125</v>
      </c>
      <c r="D3407">
        <v>2043</v>
      </c>
      <c r="E3407" t="s">
        <v>142</v>
      </c>
      <c r="F3407">
        <v>1125.95</v>
      </c>
    </row>
    <row r="3408" spans="3:6">
      <c r="C3408" t="s">
        <v>125</v>
      </c>
      <c r="D3408">
        <v>2043</v>
      </c>
      <c r="E3408" t="s">
        <v>143</v>
      </c>
      <c r="F3408">
        <v>860.81</v>
      </c>
    </row>
    <row r="3409" spans="3:6">
      <c r="C3409" t="s">
        <v>125</v>
      </c>
      <c r="D3409">
        <v>2043</v>
      </c>
      <c r="E3409" t="s">
        <v>144</v>
      </c>
      <c r="F3409">
        <v>56.19</v>
      </c>
    </row>
    <row r="3410" spans="3:6">
      <c r="C3410" t="s">
        <v>125</v>
      </c>
      <c r="D3410">
        <v>2044</v>
      </c>
      <c r="E3410" t="s">
        <v>146</v>
      </c>
      <c r="F3410">
        <v>296.42</v>
      </c>
    </row>
    <row r="3411" spans="3:6">
      <c r="C3411" t="s">
        <v>125</v>
      </c>
      <c r="D3411">
        <v>2044</v>
      </c>
      <c r="E3411" t="s">
        <v>147</v>
      </c>
      <c r="F3411">
        <v>348.11</v>
      </c>
    </row>
    <row r="3412" spans="3:6">
      <c r="C3412" t="s">
        <v>125</v>
      </c>
      <c r="D3412">
        <v>2044</v>
      </c>
      <c r="E3412" t="s">
        <v>145</v>
      </c>
      <c r="F3412">
        <v>527.92999999999995</v>
      </c>
    </row>
    <row r="3413" spans="3:6">
      <c r="C3413" t="s">
        <v>125</v>
      </c>
      <c r="D3413">
        <v>2044</v>
      </c>
      <c r="E3413" t="s">
        <v>141</v>
      </c>
      <c r="F3413">
        <v>556.86</v>
      </c>
    </row>
    <row r="3414" spans="3:6">
      <c r="C3414" t="s">
        <v>125</v>
      </c>
      <c r="D3414">
        <v>2044</v>
      </c>
      <c r="E3414" t="s">
        <v>142</v>
      </c>
      <c r="F3414">
        <v>1137.21</v>
      </c>
    </row>
    <row r="3415" spans="3:6">
      <c r="C3415" t="s">
        <v>125</v>
      </c>
      <c r="D3415">
        <v>2044</v>
      </c>
      <c r="E3415" t="s">
        <v>143</v>
      </c>
      <c r="F3415">
        <v>876.73</v>
      </c>
    </row>
    <row r="3416" spans="3:6">
      <c r="C3416" t="s">
        <v>125</v>
      </c>
      <c r="D3416">
        <v>2044</v>
      </c>
      <c r="E3416" t="s">
        <v>144</v>
      </c>
      <c r="F3416">
        <v>56.17</v>
      </c>
    </row>
    <row r="3417" spans="3:6">
      <c r="C3417" t="s">
        <v>125</v>
      </c>
      <c r="D3417">
        <v>2045</v>
      </c>
      <c r="E3417" t="s">
        <v>146</v>
      </c>
      <c r="F3417">
        <v>298.60000000000002</v>
      </c>
    </row>
    <row r="3418" spans="3:6">
      <c r="C3418" t="s">
        <v>125</v>
      </c>
      <c r="D3418">
        <v>2045</v>
      </c>
      <c r="E3418" t="s">
        <v>147</v>
      </c>
      <c r="F3418">
        <v>348.91</v>
      </c>
    </row>
    <row r="3419" spans="3:6">
      <c r="C3419" t="s">
        <v>125</v>
      </c>
      <c r="D3419">
        <v>2045</v>
      </c>
      <c r="E3419" t="s">
        <v>145</v>
      </c>
      <c r="F3419">
        <v>539.92999999999995</v>
      </c>
    </row>
    <row r="3420" spans="3:6">
      <c r="C3420" t="s">
        <v>125</v>
      </c>
      <c r="D3420">
        <v>2045</v>
      </c>
      <c r="E3420" t="s">
        <v>141</v>
      </c>
      <c r="F3420">
        <v>565.11</v>
      </c>
    </row>
    <row r="3421" spans="3:6">
      <c r="C3421" t="s">
        <v>125</v>
      </c>
      <c r="D3421">
        <v>2045</v>
      </c>
      <c r="E3421" t="s">
        <v>142</v>
      </c>
      <c r="F3421">
        <v>1153.1099999999999</v>
      </c>
    </row>
    <row r="3422" spans="3:6">
      <c r="C3422" t="s">
        <v>125</v>
      </c>
      <c r="D3422">
        <v>2045</v>
      </c>
      <c r="E3422" t="s">
        <v>143</v>
      </c>
      <c r="F3422">
        <v>893.25</v>
      </c>
    </row>
    <row r="3423" spans="3:6">
      <c r="C3423" t="s">
        <v>125</v>
      </c>
      <c r="D3423">
        <v>2045</v>
      </c>
      <c r="E3423" t="s">
        <v>144</v>
      </c>
      <c r="F3423">
        <v>56.11</v>
      </c>
    </row>
    <row r="3424" spans="3:6">
      <c r="C3424" t="s">
        <v>125</v>
      </c>
      <c r="D3424">
        <v>2046</v>
      </c>
      <c r="E3424" t="s">
        <v>146</v>
      </c>
      <c r="F3424">
        <v>300.76</v>
      </c>
    </row>
    <row r="3425" spans="3:6">
      <c r="C3425" t="s">
        <v>125</v>
      </c>
      <c r="D3425">
        <v>2046</v>
      </c>
      <c r="E3425" t="s">
        <v>147</v>
      </c>
      <c r="F3425">
        <v>349.7</v>
      </c>
    </row>
    <row r="3426" spans="3:6">
      <c r="C3426" t="s">
        <v>125</v>
      </c>
      <c r="D3426">
        <v>2046</v>
      </c>
      <c r="E3426" t="s">
        <v>145</v>
      </c>
      <c r="F3426">
        <v>552.27</v>
      </c>
    </row>
    <row r="3427" spans="3:6">
      <c r="C3427" t="s">
        <v>125</v>
      </c>
      <c r="D3427">
        <v>2046</v>
      </c>
      <c r="E3427" t="s">
        <v>141</v>
      </c>
      <c r="F3427">
        <v>572.25</v>
      </c>
    </row>
    <row r="3428" spans="3:6">
      <c r="C3428" t="s">
        <v>125</v>
      </c>
      <c r="D3428">
        <v>2046</v>
      </c>
      <c r="E3428" t="s">
        <v>142</v>
      </c>
      <c r="F3428">
        <v>1168.8599999999999</v>
      </c>
    </row>
    <row r="3429" spans="3:6">
      <c r="C3429" t="s">
        <v>125</v>
      </c>
      <c r="D3429">
        <v>2046</v>
      </c>
      <c r="E3429" t="s">
        <v>143</v>
      </c>
      <c r="F3429">
        <v>908.84</v>
      </c>
    </row>
    <row r="3430" spans="3:6">
      <c r="C3430" t="s">
        <v>125</v>
      </c>
      <c r="D3430">
        <v>2046</v>
      </c>
      <c r="E3430" t="s">
        <v>144</v>
      </c>
      <c r="F3430">
        <v>56.11</v>
      </c>
    </row>
    <row r="3431" spans="3:6">
      <c r="C3431" t="s">
        <v>125</v>
      </c>
      <c r="D3431">
        <v>2047</v>
      </c>
      <c r="E3431" t="s">
        <v>146</v>
      </c>
      <c r="F3431">
        <v>302.86</v>
      </c>
    </row>
    <row r="3432" spans="3:6">
      <c r="C3432" t="s">
        <v>125</v>
      </c>
      <c r="D3432">
        <v>2047</v>
      </c>
      <c r="E3432" t="s">
        <v>147</v>
      </c>
      <c r="F3432">
        <v>350.39</v>
      </c>
    </row>
    <row r="3433" spans="3:6">
      <c r="C3433" t="s">
        <v>125</v>
      </c>
      <c r="D3433">
        <v>2047</v>
      </c>
      <c r="E3433" t="s">
        <v>145</v>
      </c>
      <c r="F3433">
        <v>564.47</v>
      </c>
    </row>
    <row r="3434" spans="3:6">
      <c r="C3434" t="s">
        <v>125</v>
      </c>
      <c r="D3434">
        <v>2047</v>
      </c>
      <c r="E3434" t="s">
        <v>141</v>
      </c>
      <c r="F3434">
        <v>579.54999999999995</v>
      </c>
    </row>
    <row r="3435" spans="3:6">
      <c r="C3435" t="s">
        <v>125</v>
      </c>
      <c r="D3435">
        <v>2047</v>
      </c>
      <c r="E3435" t="s">
        <v>142</v>
      </c>
      <c r="F3435">
        <v>1182.28</v>
      </c>
    </row>
    <row r="3436" spans="3:6">
      <c r="C3436" t="s">
        <v>125</v>
      </c>
      <c r="D3436">
        <v>2047</v>
      </c>
      <c r="E3436" t="s">
        <v>143</v>
      </c>
      <c r="F3436">
        <v>924.99</v>
      </c>
    </row>
    <row r="3437" spans="3:6">
      <c r="C3437" t="s">
        <v>125</v>
      </c>
      <c r="D3437">
        <v>2047</v>
      </c>
      <c r="E3437" t="s">
        <v>144</v>
      </c>
      <c r="F3437">
        <v>56.08</v>
      </c>
    </row>
    <row r="3438" spans="3:6">
      <c r="C3438" t="s">
        <v>125</v>
      </c>
      <c r="D3438">
        <v>2048</v>
      </c>
      <c r="E3438" t="s">
        <v>146</v>
      </c>
      <c r="F3438">
        <v>305.17</v>
      </c>
    </row>
    <row r="3439" spans="3:6">
      <c r="C3439" t="s">
        <v>125</v>
      </c>
      <c r="D3439">
        <v>2048</v>
      </c>
      <c r="E3439" t="s">
        <v>147</v>
      </c>
      <c r="F3439">
        <v>351.39</v>
      </c>
    </row>
    <row r="3440" spans="3:6">
      <c r="C3440" t="s">
        <v>125</v>
      </c>
      <c r="D3440">
        <v>2048</v>
      </c>
      <c r="E3440" t="s">
        <v>145</v>
      </c>
      <c r="F3440">
        <v>576.97</v>
      </c>
    </row>
    <row r="3441" spans="3:6">
      <c r="C3441" t="s">
        <v>125</v>
      </c>
      <c r="D3441">
        <v>2048</v>
      </c>
      <c r="E3441" t="s">
        <v>141</v>
      </c>
      <c r="F3441">
        <v>586.76</v>
      </c>
    </row>
    <row r="3442" spans="3:6">
      <c r="C3442" t="s">
        <v>125</v>
      </c>
      <c r="D3442">
        <v>2048</v>
      </c>
      <c r="E3442" t="s">
        <v>142</v>
      </c>
      <c r="F3442">
        <v>1204.1600000000001</v>
      </c>
    </row>
    <row r="3443" spans="3:6">
      <c r="C3443" t="s">
        <v>125</v>
      </c>
      <c r="D3443">
        <v>2048</v>
      </c>
      <c r="E3443" t="s">
        <v>143</v>
      </c>
      <c r="F3443">
        <v>941.53</v>
      </c>
    </row>
    <row r="3444" spans="3:6">
      <c r="C3444" t="s">
        <v>125</v>
      </c>
      <c r="D3444">
        <v>2048</v>
      </c>
      <c r="E3444" t="s">
        <v>144</v>
      </c>
      <c r="F3444">
        <v>56.04</v>
      </c>
    </row>
    <row r="3445" spans="3:6">
      <c r="C3445" t="s">
        <v>125</v>
      </c>
      <c r="D3445">
        <v>2049</v>
      </c>
      <c r="E3445" t="s">
        <v>146</v>
      </c>
      <c r="F3445">
        <v>307.27</v>
      </c>
    </row>
    <row r="3446" spans="3:6">
      <c r="C3446" t="s">
        <v>125</v>
      </c>
      <c r="D3446">
        <v>2049</v>
      </c>
      <c r="E3446" t="s">
        <v>147</v>
      </c>
      <c r="F3446">
        <v>352.07</v>
      </c>
    </row>
    <row r="3447" spans="3:6">
      <c r="C3447" t="s">
        <v>125</v>
      </c>
      <c r="D3447">
        <v>2049</v>
      </c>
      <c r="E3447" t="s">
        <v>145</v>
      </c>
      <c r="F3447">
        <v>589.58000000000004</v>
      </c>
    </row>
    <row r="3448" spans="3:6">
      <c r="C3448" t="s">
        <v>125</v>
      </c>
      <c r="D3448">
        <v>2049</v>
      </c>
      <c r="E3448" t="s">
        <v>141</v>
      </c>
      <c r="F3448">
        <v>593.95000000000005</v>
      </c>
    </row>
    <row r="3449" spans="3:6">
      <c r="C3449" t="s">
        <v>125</v>
      </c>
      <c r="D3449">
        <v>2049</v>
      </c>
      <c r="E3449" t="s">
        <v>142</v>
      </c>
      <c r="F3449">
        <v>1215.19</v>
      </c>
    </row>
    <row r="3450" spans="3:6">
      <c r="C3450" t="s">
        <v>125</v>
      </c>
      <c r="D3450">
        <v>2049</v>
      </c>
      <c r="E3450" t="s">
        <v>143</v>
      </c>
      <c r="F3450">
        <v>958.43</v>
      </c>
    </row>
    <row r="3451" spans="3:6">
      <c r="C3451" t="s">
        <v>125</v>
      </c>
      <c r="D3451">
        <v>2049</v>
      </c>
      <c r="E3451" t="s">
        <v>144</v>
      </c>
      <c r="F3451">
        <v>55.99</v>
      </c>
    </row>
    <row r="3452" spans="3:6">
      <c r="C3452" t="s">
        <v>125</v>
      </c>
      <c r="D3452">
        <v>2050</v>
      </c>
      <c r="E3452" t="s">
        <v>146</v>
      </c>
      <c r="F3452">
        <v>309.52</v>
      </c>
    </row>
    <row r="3453" spans="3:6">
      <c r="C3453" t="s">
        <v>125</v>
      </c>
      <c r="D3453">
        <v>2050</v>
      </c>
      <c r="E3453" t="s">
        <v>147</v>
      </c>
      <c r="F3453">
        <v>352.98</v>
      </c>
    </row>
    <row r="3454" spans="3:6">
      <c r="C3454" t="s">
        <v>125</v>
      </c>
      <c r="D3454">
        <v>2050</v>
      </c>
      <c r="E3454" t="s">
        <v>145</v>
      </c>
      <c r="F3454">
        <v>602.65</v>
      </c>
    </row>
    <row r="3455" spans="3:6">
      <c r="C3455" t="s">
        <v>125</v>
      </c>
      <c r="D3455">
        <v>2050</v>
      </c>
      <c r="E3455" t="s">
        <v>141</v>
      </c>
      <c r="F3455">
        <v>601.17999999999995</v>
      </c>
    </row>
    <row r="3456" spans="3:6">
      <c r="C3456" t="s">
        <v>125</v>
      </c>
      <c r="D3456">
        <v>2050</v>
      </c>
      <c r="E3456" t="s">
        <v>142</v>
      </c>
      <c r="F3456">
        <v>1235.46</v>
      </c>
    </row>
    <row r="3457" spans="3:6">
      <c r="C3457" t="s">
        <v>125</v>
      </c>
      <c r="D3457">
        <v>2050</v>
      </c>
      <c r="E3457" t="s">
        <v>143</v>
      </c>
      <c r="F3457">
        <v>975.87</v>
      </c>
    </row>
    <row r="3458" spans="3:6">
      <c r="C3458" t="s">
        <v>125</v>
      </c>
      <c r="D3458">
        <v>2050</v>
      </c>
      <c r="E3458" t="s">
        <v>144</v>
      </c>
      <c r="F3458">
        <v>55.95</v>
      </c>
    </row>
    <row r="3459" spans="3:6">
      <c r="C3459" t="s">
        <v>112</v>
      </c>
      <c r="D3459">
        <v>2010</v>
      </c>
      <c r="E3459" t="s">
        <v>141</v>
      </c>
      <c r="F3459">
        <v>4538.6400000000003</v>
      </c>
    </row>
    <row r="3460" spans="3:6">
      <c r="C3460" t="s">
        <v>112</v>
      </c>
      <c r="D3460">
        <v>2010</v>
      </c>
      <c r="E3460" t="s">
        <v>142</v>
      </c>
      <c r="F3460">
        <v>3313.81</v>
      </c>
    </row>
    <row r="3461" spans="3:6">
      <c r="C3461" t="s">
        <v>112</v>
      </c>
      <c r="D3461">
        <v>2010</v>
      </c>
      <c r="E3461" t="s">
        <v>143</v>
      </c>
      <c r="F3461">
        <v>4932.76</v>
      </c>
    </row>
    <row r="3462" spans="3:6">
      <c r="C3462" t="s">
        <v>112</v>
      </c>
      <c r="D3462">
        <v>2010</v>
      </c>
      <c r="E3462" t="s">
        <v>144</v>
      </c>
      <c r="F3462">
        <v>23.88</v>
      </c>
    </row>
    <row r="3463" spans="3:6">
      <c r="C3463" t="s">
        <v>112</v>
      </c>
      <c r="D3463">
        <v>2011</v>
      </c>
      <c r="E3463" t="s">
        <v>141</v>
      </c>
      <c r="F3463">
        <v>4531.33</v>
      </c>
    </row>
    <row r="3464" spans="3:6">
      <c r="C3464" t="s">
        <v>112</v>
      </c>
      <c r="D3464">
        <v>2011</v>
      </c>
      <c r="E3464" t="s">
        <v>142</v>
      </c>
      <c r="F3464">
        <v>3382.37</v>
      </c>
    </row>
    <row r="3465" spans="3:6">
      <c r="C3465" t="s">
        <v>112</v>
      </c>
      <c r="D3465">
        <v>2011</v>
      </c>
      <c r="E3465" t="s">
        <v>143</v>
      </c>
      <c r="F3465">
        <v>4854.6000000000004</v>
      </c>
    </row>
    <row r="3466" spans="3:6">
      <c r="C3466" t="s">
        <v>112</v>
      </c>
      <c r="D3466">
        <v>2011</v>
      </c>
      <c r="E3466" t="s">
        <v>144</v>
      </c>
      <c r="F3466">
        <v>24.47</v>
      </c>
    </row>
    <row r="3467" spans="3:6">
      <c r="C3467" t="s">
        <v>112</v>
      </c>
      <c r="D3467">
        <v>2012</v>
      </c>
      <c r="E3467" t="s">
        <v>141</v>
      </c>
      <c r="F3467">
        <v>4528.07</v>
      </c>
    </row>
    <row r="3468" spans="3:6">
      <c r="C3468" t="s">
        <v>112</v>
      </c>
      <c r="D3468">
        <v>2012</v>
      </c>
      <c r="E3468" t="s">
        <v>142</v>
      </c>
      <c r="F3468">
        <v>3363.26</v>
      </c>
    </row>
    <row r="3469" spans="3:6">
      <c r="C3469" t="s">
        <v>112</v>
      </c>
      <c r="D3469">
        <v>2012</v>
      </c>
      <c r="E3469" t="s">
        <v>143</v>
      </c>
      <c r="F3469">
        <v>4689.84</v>
      </c>
    </row>
    <row r="3470" spans="3:6">
      <c r="C3470" t="s">
        <v>112</v>
      </c>
      <c r="D3470">
        <v>2012</v>
      </c>
      <c r="E3470" t="s">
        <v>144</v>
      </c>
      <c r="F3470">
        <v>25.01</v>
      </c>
    </row>
    <row r="3471" spans="3:6">
      <c r="C3471" t="s">
        <v>112</v>
      </c>
      <c r="D3471">
        <v>2013</v>
      </c>
      <c r="E3471" t="s">
        <v>141</v>
      </c>
      <c r="F3471">
        <v>4562.1099999999997</v>
      </c>
    </row>
    <row r="3472" spans="3:6">
      <c r="C3472" t="s">
        <v>112</v>
      </c>
      <c r="D3472">
        <v>2013</v>
      </c>
      <c r="E3472" t="s">
        <v>142</v>
      </c>
      <c r="F3472">
        <v>3362.02</v>
      </c>
    </row>
    <row r="3473" spans="3:6">
      <c r="C3473" t="s">
        <v>112</v>
      </c>
      <c r="D3473">
        <v>2013</v>
      </c>
      <c r="E3473" t="s">
        <v>143</v>
      </c>
      <c r="F3473">
        <v>4759.1000000000004</v>
      </c>
    </row>
    <row r="3474" spans="3:6">
      <c r="C3474" t="s">
        <v>112</v>
      </c>
      <c r="D3474">
        <v>2013</v>
      </c>
      <c r="E3474" t="s">
        <v>144</v>
      </c>
      <c r="F3474">
        <v>26.86</v>
      </c>
    </row>
    <row r="3475" spans="3:6">
      <c r="C3475" t="s">
        <v>112</v>
      </c>
      <c r="D3475">
        <v>2014</v>
      </c>
      <c r="E3475" t="s">
        <v>141</v>
      </c>
      <c r="F3475">
        <v>4613.5600000000004</v>
      </c>
    </row>
    <row r="3476" spans="3:6">
      <c r="C3476" t="s">
        <v>112</v>
      </c>
      <c r="D3476">
        <v>2014</v>
      </c>
      <c r="E3476" t="s">
        <v>142</v>
      </c>
      <c r="F3476">
        <v>3403.73</v>
      </c>
    </row>
    <row r="3477" spans="3:6">
      <c r="C3477" t="s">
        <v>112</v>
      </c>
      <c r="D3477">
        <v>2014</v>
      </c>
      <c r="E3477" t="s">
        <v>143</v>
      </c>
      <c r="F3477">
        <v>4801.3900000000003</v>
      </c>
    </row>
    <row r="3478" spans="3:6">
      <c r="C3478" t="s">
        <v>112</v>
      </c>
      <c r="D3478">
        <v>2014</v>
      </c>
      <c r="E3478" t="s">
        <v>144</v>
      </c>
      <c r="F3478">
        <v>28.3</v>
      </c>
    </row>
    <row r="3479" spans="3:6">
      <c r="C3479" t="s">
        <v>112</v>
      </c>
      <c r="D3479">
        <v>2015</v>
      </c>
      <c r="E3479" t="s">
        <v>141</v>
      </c>
      <c r="F3479">
        <v>4642.88</v>
      </c>
    </row>
    <row r="3480" spans="3:6">
      <c r="C3480" t="s">
        <v>112</v>
      </c>
      <c r="D3480">
        <v>2015</v>
      </c>
      <c r="E3480" t="s">
        <v>142</v>
      </c>
      <c r="F3480">
        <v>3365.97</v>
      </c>
    </row>
    <row r="3481" spans="3:6">
      <c r="C3481" t="s">
        <v>112</v>
      </c>
      <c r="D3481">
        <v>2015</v>
      </c>
      <c r="E3481" t="s">
        <v>143</v>
      </c>
      <c r="F3481">
        <v>4790.75</v>
      </c>
    </row>
    <row r="3482" spans="3:6">
      <c r="C3482" t="s">
        <v>112</v>
      </c>
      <c r="D3482">
        <v>2015</v>
      </c>
      <c r="E3482" t="s">
        <v>144</v>
      </c>
      <c r="F3482">
        <v>29.51</v>
      </c>
    </row>
    <row r="3483" spans="3:6">
      <c r="C3483" t="s">
        <v>112</v>
      </c>
      <c r="D3483">
        <v>2016</v>
      </c>
      <c r="E3483" t="s">
        <v>141</v>
      </c>
      <c r="F3483">
        <v>4664.8599999999997</v>
      </c>
    </row>
    <row r="3484" spans="3:6">
      <c r="C3484" t="s">
        <v>112</v>
      </c>
      <c r="D3484">
        <v>2016</v>
      </c>
      <c r="E3484" t="s">
        <v>142</v>
      </c>
      <c r="F3484">
        <v>3332.55</v>
      </c>
    </row>
    <row r="3485" spans="3:6">
      <c r="C3485" t="s">
        <v>112</v>
      </c>
      <c r="D3485">
        <v>2016</v>
      </c>
      <c r="E3485" t="s">
        <v>143</v>
      </c>
      <c r="F3485">
        <v>4814.5</v>
      </c>
    </row>
    <row r="3486" spans="3:6">
      <c r="C3486" t="s">
        <v>112</v>
      </c>
      <c r="D3486">
        <v>2016</v>
      </c>
      <c r="E3486" t="s">
        <v>144</v>
      </c>
      <c r="F3486">
        <v>30.76</v>
      </c>
    </row>
    <row r="3487" spans="3:6">
      <c r="C3487" t="s">
        <v>112</v>
      </c>
      <c r="D3487">
        <v>2017</v>
      </c>
      <c r="E3487" t="s">
        <v>141</v>
      </c>
      <c r="F3487">
        <v>4616.05</v>
      </c>
    </row>
    <row r="3488" spans="3:6">
      <c r="C3488" t="s">
        <v>112</v>
      </c>
      <c r="D3488">
        <v>2017</v>
      </c>
      <c r="E3488" t="s">
        <v>142</v>
      </c>
      <c r="F3488">
        <v>3358.42</v>
      </c>
    </row>
    <row r="3489" spans="3:6">
      <c r="C3489" t="s">
        <v>112</v>
      </c>
      <c r="D3489">
        <v>2017</v>
      </c>
      <c r="E3489" t="s">
        <v>143</v>
      </c>
      <c r="F3489">
        <v>4703.8999999999996</v>
      </c>
    </row>
    <row r="3490" spans="3:6">
      <c r="C3490" t="s">
        <v>112</v>
      </c>
      <c r="D3490">
        <v>2017</v>
      </c>
      <c r="E3490" t="s">
        <v>144</v>
      </c>
      <c r="F3490">
        <v>32.880000000000003</v>
      </c>
    </row>
    <row r="3491" spans="3:6">
      <c r="C3491" t="s">
        <v>112</v>
      </c>
      <c r="D3491">
        <v>2018</v>
      </c>
      <c r="E3491" t="s">
        <v>141</v>
      </c>
      <c r="F3491">
        <v>4714.57</v>
      </c>
    </row>
    <row r="3492" spans="3:6">
      <c r="C3492" t="s">
        <v>112</v>
      </c>
      <c r="D3492">
        <v>2018</v>
      </c>
      <c r="E3492" t="s">
        <v>142</v>
      </c>
      <c r="F3492">
        <v>3417.45</v>
      </c>
    </row>
    <row r="3493" spans="3:6">
      <c r="C3493" t="s">
        <v>112</v>
      </c>
      <c r="D3493">
        <v>2018</v>
      </c>
      <c r="E3493" t="s">
        <v>143</v>
      </c>
      <c r="F3493">
        <v>5012.5</v>
      </c>
    </row>
    <row r="3494" spans="3:6">
      <c r="C3494" t="s">
        <v>112</v>
      </c>
      <c r="D3494">
        <v>2018</v>
      </c>
      <c r="E3494" t="s">
        <v>144</v>
      </c>
      <c r="F3494">
        <v>36.729999999999997</v>
      </c>
    </row>
    <row r="3495" spans="3:6">
      <c r="C3495" t="s">
        <v>112</v>
      </c>
      <c r="D3495">
        <v>2019</v>
      </c>
      <c r="E3495" t="s">
        <v>141</v>
      </c>
      <c r="F3495">
        <v>4621.71</v>
      </c>
    </row>
    <row r="3496" spans="3:6">
      <c r="C3496" t="s">
        <v>112</v>
      </c>
      <c r="D3496">
        <v>2019</v>
      </c>
      <c r="E3496" t="s">
        <v>142</v>
      </c>
      <c r="F3496">
        <v>3248.73</v>
      </c>
    </row>
    <row r="3497" spans="3:6">
      <c r="C3497" t="s">
        <v>112</v>
      </c>
      <c r="D3497">
        <v>2019</v>
      </c>
      <c r="E3497" t="s">
        <v>143</v>
      </c>
      <c r="F3497">
        <v>4896.6499999999996</v>
      </c>
    </row>
    <row r="3498" spans="3:6">
      <c r="C3498" t="s">
        <v>112</v>
      </c>
      <c r="D3498">
        <v>2019</v>
      </c>
      <c r="E3498" t="s">
        <v>144</v>
      </c>
      <c r="F3498">
        <v>42.49</v>
      </c>
    </row>
    <row r="3499" spans="3:6">
      <c r="C3499" t="s">
        <v>112</v>
      </c>
      <c r="D3499">
        <v>2020</v>
      </c>
      <c r="E3499" t="s">
        <v>141</v>
      </c>
      <c r="F3499">
        <v>4335.43</v>
      </c>
    </row>
    <row r="3500" spans="3:6">
      <c r="C3500" t="s">
        <v>112</v>
      </c>
      <c r="D3500">
        <v>2020</v>
      </c>
      <c r="E3500" t="s">
        <v>142</v>
      </c>
      <c r="F3500">
        <v>3066.93</v>
      </c>
    </row>
    <row r="3501" spans="3:6">
      <c r="C3501" t="s">
        <v>112</v>
      </c>
      <c r="D3501">
        <v>2020</v>
      </c>
      <c r="E3501" t="s">
        <v>143</v>
      </c>
      <c r="F3501">
        <v>5052.7299999999996</v>
      </c>
    </row>
    <row r="3502" spans="3:6">
      <c r="C3502" t="s">
        <v>112</v>
      </c>
      <c r="D3502">
        <v>2020</v>
      </c>
      <c r="E3502" t="s">
        <v>144</v>
      </c>
      <c r="F3502">
        <v>35.47</v>
      </c>
    </row>
    <row r="3503" spans="3:6">
      <c r="C3503" t="s">
        <v>112</v>
      </c>
      <c r="D3503">
        <v>2021</v>
      </c>
      <c r="E3503" t="s">
        <v>141</v>
      </c>
      <c r="F3503">
        <v>4395.6000000000004</v>
      </c>
    </row>
    <row r="3504" spans="3:6">
      <c r="C3504" t="s">
        <v>112</v>
      </c>
      <c r="D3504">
        <v>2021</v>
      </c>
      <c r="E3504" t="s">
        <v>142</v>
      </c>
      <c r="F3504">
        <v>3033.75</v>
      </c>
    </row>
    <row r="3505" spans="3:6">
      <c r="C3505" t="s">
        <v>112</v>
      </c>
      <c r="D3505">
        <v>2021</v>
      </c>
      <c r="E3505" t="s">
        <v>143</v>
      </c>
      <c r="F3505">
        <v>5085.55</v>
      </c>
    </row>
    <row r="3506" spans="3:6">
      <c r="C3506" t="s">
        <v>112</v>
      </c>
      <c r="D3506">
        <v>2021</v>
      </c>
      <c r="E3506" t="s">
        <v>144</v>
      </c>
      <c r="F3506">
        <v>42.67</v>
      </c>
    </row>
    <row r="3507" spans="3:6">
      <c r="C3507" t="s">
        <v>112</v>
      </c>
      <c r="D3507">
        <v>2022</v>
      </c>
      <c r="E3507" t="s">
        <v>141</v>
      </c>
      <c r="F3507">
        <v>4490.5600000000004</v>
      </c>
    </row>
    <row r="3508" spans="3:6">
      <c r="C3508" t="s">
        <v>112</v>
      </c>
      <c r="D3508">
        <v>2022</v>
      </c>
      <c r="E3508" t="s">
        <v>142</v>
      </c>
      <c r="F3508">
        <v>3155.42</v>
      </c>
    </row>
    <row r="3509" spans="3:6">
      <c r="C3509" t="s">
        <v>112</v>
      </c>
      <c r="D3509">
        <v>2022</v>
      </c>
      <c r="E3509" t="s">
        <v>143</v>
      </c>
      <c r="F3509">
        <v>5091.33</v>
      </c>
    </row>
    <row r="3510" spans="3:6">
      <c r="C3510" t="s">
        <v>112</v>
      </c>
      <c r="D3510">
        <v>2022</v>
      </c>
      <c r="E3510" t="s">
        <v>144</v>
      </c>
      <c r="F3510">
        <v>48.66</v>
      </c>
    </row>
    <row r="3511" spans="3:6">
      <c r="C3511" t="s">
        <v>112</v>
      </c>
      <c r="D3511">
        <v>2023</v>
      </c>
      <c r="E3511" t="s">
        <v>141</v>
      </c>
      <c r="F3511">
        <v>4557.9799999999996</v>
      </c>
    </row>
    <row r="3512" spans="3:6">
      <c r="C3512" t="s">
        <v>112</v>
      </c>
      <c r="D3512">
        <v>2023</v>
      </c>
      <c r="E3512" t="s">
        <v>142</v>
      </c>
      <c r="F3512">
        <v>3228.21</v>
      </c>
    </row>
    <row r="3513" spans="3:6">
      <c r="C3513" t="s">
        <v>112</v>
      </c>
      <c r="D3513">
        <v>2023</v>
      </c>
      <c r="E3513" t="s">
        <v>143</v>
      </c>
      <c r="F3513">
        <v>5101.72</v>
      </c>
    </row>
    <row r="3514" spans="3:6">
      <c r="C3514" t="s">
        <v>112</v>
      </c>
      <c r="D3514">
        <v>2023</v>
      </c>
      <c r="E3514" t="s">
        <v>144</v>
      </c>
      <c r="F3514">
        <v>54.24</v>
      </c>
    </row>
    <row r="3515" spans="3:6">
      <c r="C3515" t="s">
        <v>112</v>
      </c>
      <c r="D3515">
        <v>2024</v>
      </c>
      <c r="E3515" t="s">
        <v>141</v>
      </c>
      <c r="F3515">
        <v>4632.7299999999996</v>
      </c>
    </row>
    <row r="3516" spans="3:6">
      <c r="C3516" t="s">
        <v>112</v>
      </c>
      <c r="D3516">
        <v>2024</v>
      </c>
      <c r="E3516" t="s">
        <v>142</v>
      </c>
      <c r="F3516">
        <v>3287.13</v>
      </c>
    </row>
    <row r="3517" spans="3:6">
      <c r="C3517" t="s">
        <v>112</v>
      </c>
      <c r="D3517">
        <v>2024</v>
      </c>
      <c r="E3517" t="s">
        <v>143</v>
      </c>
      <c r="F3517">
        <v>5115.7299999999996</v>
      </c>
    </row>
    <row r="3518" spans="3:6">
      <c r="C3518" t="s">
        <v>112</v>
      </c>
      <c r="D3518">
        <v>2024</v>
      </c>
      <c r="E3518" t="s">
        <v>144</v>
      </c>
      <c r="F3518">
        <v>59.39</v>
      </c>
    </row>
    <row r="3519" spans="3:6">
      <c r="C3519" t="s">
        <v>112</v>
      </c>
      <c r="D3519">
        <v>2025</v>
      </c>
      <c r="E3519" t="s">
        <v>141</v>
      </c>
      <c r="F3519">
        <v>4705.4799999999996</v>
      </c>
    </row>
    <row r="3520" spans="3:6">
      <c r="C3520" t="s">
        <v>112</v>
      </c>
      <c r="D3520">
        <v>2025</v>
      </c>
      <c r="E3520" t="s">
        <v>142</v>
      </c>
      <c r="F3520">
        <v>3356.3</v>
      </c>
    </row>
    <row r="3521" spans="3:6">
      <c r="C3521" t="s">
        <v>112</v>
      </c>
      <c r="D3521">
        <v>2025</v>
      </c>
      <c r="E3521" t="s">
        <v>143</v>
      </c>
      <c r="F3521">
        <v>5131.4399999999996</v>
      </c>
    </row>
    <row r="3522" spans="3:6">
      <c r="C3522" t="s">
        <v>112</v>
      </c>
      <c r="D3522">
        <v>2025</v>
      </c>
      <c r="E3522" t="s">
        <v>144</v>
      </c>
      <c r="F3522">
        <v>64.58</v>
      </c>
    </row>
    <row r="3523" spans="3:6">
      <c r="C3523" t="s">
        <v>112</v>
      </c>
      <c r="D3523">
        <v>2026</v>
      </c>
      <c r="E3523" t="s">
        <v>141</v>
      </c>
      <c r="F3523">
        <v>4714.9399999999996</v>
      </c>
    </row>
    <row r="3524" spans="3:6">
      <c r="C3524" t="s">
        <v>112</v>
      </c>
      <c r="D3524">
        <v>2026</v>
      </c>
      <c r="E3524" t="s">
        <v>142</v>
      </c>
      <c r="F3524">
        <v>3400.32</v>
      </c>
    </row>
    <row r="3525" spans="3:6">
      <c r="C3525" t="s">
        <v>112</v>
      </c>
      <c r="D3525">
        <v>2026</v>
      </c>
      <c r="E3525" t="s">
        <v>143</v>
      </c>
      <c r="F3525">
        <v>5153.74</v>
      </c>
    </row>
    <row r="3526" spans="3:6">
      <c r="C3526" t="s">
        <v>112</v>
      </c>
      <c r="D3526">
        <v>2026</v>
      </c>
      <c r="E3526" t="s">
        <v>144</v>
      </c>
      <c r="F3526">
        <v>70.819999999999993</v>
      </c>
    </row>
    <row r="3527" spans="3:6">
      <c r="C3527" t="s">
        <v>112</v>
      </c>
      <c r="D3527">
        <v>2027</v>
      </c>
      <c r="E3527" t="s">
        <v>141</v>
      </c>
      <c r="F3527">
        <v>4724.38</v>
      </c>
    </row>
    <row r="3528" spans="3:6">
      <c r="C3528" t="s">
        <v>112</v>
      </c>
      <c r="D3528">
        <v>2027</v>
      </c>
      <c r="E3528" t="s">
        <v>142</v>
      </c>
      <c r="F3528">
        <v>3434.09</v>
      </c>
    </row>
    <row r="3529" spans="3:6">
      <c r="C3529" t="s">
        <v>112</v>
      </c>
      <c r="D3529">
        <v>2027</v>
      </c>
      <c r="E3529" t="s">
        <v>143</v>
      </c>
      <c r="F3529">
        <v>5175.79</v>
      </c>
    </row>
    <row r="3530" spans="3:6">
      <c r="C3530" t="s">
        <v>112</v>
      </c>
      <c r="D3530">
        <v>2027</v>
      </c>
      <c r="E3530" t="s">
        <v>144</v>
      </c>
      <c r="F3530">
        <v>77.28</v>
      </c>
    </row>
    <row r="3531" spans="3:6">
      <c r="C3531" t="s">
        <v>112</v>
      </c>
      <c r="D3531">
        <v>2028</v>
      </c>
      <c r="E3531" t="s">
        <v>141</v>
      </c>
      <c r="F3531">
        <v>4737.4799999999996</v>
      </c>
    </row>
    <row r="3532" spans="3:6">
      <c r="C3532" t="s">
        <v>112</v>
      </c>
      <c r="D3532">
        <v>2028</v>
      </c>
      <c r="E3532" t="s">
        <v>142</v>
      </c>
      <c r="F3532">
        <v>3457.92</v>
      </c>
    </row>
    <row r="3533" spans="3:6">
      <c r="C3533" t="s">
        <v>112</v>
      </c>
      <c r="D3533">
        <v>2028</v>
      </c>
      <c r="E3533" t="s">
        <v>143</v>
      </c>
      <c r="F3533">
        <v>5201.45</v>
      </c>
    </row>
    <row r="3534" spans="3:6">
      <c r="C3534" t="s">
        <v>112</v>
      </c>
      <c r="D3534">
        <v>2028</v>
      </c>
      <c r="E3534" t="s">
        <v>144</v>
      </c>
      <c r="F3534">
        <v>83.91</v>
      </c>
    </row>
    <row r="3535" spans="3:6">
      <c r="C3535" t="s">
        <v>112</v>
      </c>
      <c r="D3535">
        <v>2029</v>
      </c>
      <c r="E3535" t="s">
        <v>141</v>
      </c>
      <c r="F3535">
        <v>4750.95</v>
      </c>
    </row>
    <row r="3536" spans="3:6">
      <c r="C3536" t="s">
        <v>112</v>
      </c>
      <c r="D3536">
        <v>2029</v>
      </c>
      <c r="E3536" t="s">
        <v>142</v>
      </c>
      <c r="F3536">
        <v>3482.11</v>
      </c>
    </row>
    <row r="3537" spans="3:6">
      <c r="C3537" t="s">
        <v>112</v>
      </c>
      <c r="D3537">
        <v>2029</v>
      </c>
      <c r="E3537" t="s">
        <v>143</v>
      </c>
      <c r="F3537">
        <v>5229</v>
      </c>
    </row>
    <row r="3538" spans="3:6">
      <c r="C3538" t="s">
        <v>112</v>
      </c>
      <c r="D3538">
        <v>2029</v>
      </c>
      <c r="E3538" t="s">
        <v>144</v>
      </c>
      <c r="F3538">
        <v>90.83</v>
      </c>
    </row>
    <row r="3539" spans="3:6">
      <c r="C3539" t="s">
        <v>112</v>
      </c>
      <c r="D3539">
        <v>2030</v>
      </c>
      <c r="E3539" t="s">
        <v>141</v>
      </c>
      <c r="F3539">
        <v>4759.3999999999996</v>
      </c>
    </row>
    <row r="3540" spans="3:6">
      <c r="C3540" t="s">
        <v>112</v>
      </c>
      <c r="D3540">
        <v>2030</v>
      </c>
      <c r="E3540" t="s">
        <v>142</v>
      </c>
      <c r="F3540">
        <v>3514.58</v>
      </c>
    </row>
    <row r="3541" spans="3:6">
      <c r="C3541" t="s">
        <v>112</v>
      </c>
      <c r="D3541">
        <v>2030</v>
      </c>
      <c r="E3541" t="s">
        <v>143</v>
      </c>
      <c r="F3541">
        <v>5257.94</v>
      </c>
    </row>
    <row r="3542" spans="3:6">
      <c r="C3542" t="s">
        <v>112</v>
      </c>
      <c r="D3542">
        <v>2030</v>
      </c>
      <c r="E3542" t="s">
        <v>144</v>
      </c>
      <c r="F3542">
        <v>98.7</v>
      </c>
    </row>
    <row r="3543" spans="3:6">
      <c r="C3543" t="s">
        <v>112</v>
      </c>
      <c r="D3543">
        <v>2031</v>
      </c>
      <c r="E3543" t="s">
        <v>141</v>
      </c>
      <c r="F3543">
        <v>4772.42</v>
      </c>
    </row>
    <row r="3544" spans="3:6">
      <c r="C3544" t="s">
        <v>112</v>
      </c>
      <c r="D3544">
        <v>2031</v>
      </c>
      <c r="E3544" t="s">
        <v>142</v>
      </c>
      <c r="F3544">
        <v>3545.87</v>
      </c>
    </row>
    <row r="3545" spans="3:6">
      <c r="C3545" t="s">
        <v>112</v>
      </c>
      <c r="D3545">
        <v>2031</v>
      </c>
      <c r="E3545" t="s">
        <v>143</v>
      </c>
      <c r="F3545">
        <v>5290.14</v>
      </c>
    </row>
    <row r="3546" spans="3:6">
      <c r="C3546" t="s">
        <v>112</v>
      </c>
      <c r="D3546">
        <v>2031</v>
      </c>
      <c r="E3546" t="s">
        <v>144</v>
      </c>
      <c r="F3546">
        <v>107.22</v>
      </c>
    </row>
    <row r="3547" spans="3:6">
      <c r="C3547" t="s">
        <v>112</v>
      </c>
      <c r="D3547">
        <v>2032</v>
      </c>
      <c r="E3547" t="s">
        <v>141</v>
      </c>
      <c r="F3547">
        <v>4796.05</v>
      </c>
    </row>
    <row r="3548" spans="3:6">
      <c r="C3548" t="s">
        <v>112</v>
      </c>
      <c r="D3548">
        <v>2032</v>
      </c>
      <c r="E3548" t="s">
        <v>142</v>
      </c>
      <c r="F3548">
        <v>3563.43</v>
      </c>
    </row>
    <row r="3549" spans="3:6">
      <c r="C3549" t="s">
        <v>112</v>
      </c>
      <c r="D3549">
        <v>2032</v>
      </c>
      <c r="E3549" t="s">
        <v>143</v>
      </c>
      <c r="F3549">
        <v>5326.3</v>
      </c>
    </row>
    <row r="3550" spans="3:6">
      <c r="C3550" t="s">
        <v>112</v>
      </c>
      <c r="D3550">
        <v>2032</v>
      </c>
      <c r="E3550" t="s">
        <v>144</v>
      </c>
      <c r="F3550">
        <v>116.77</v>
      </c>
    </row>
    <row r="3551" spans="3:6">
      <c r="C3551" t="s">
        <v>112</v>
      </c>
      <c r="D3551">
        <v>2033</v>
      </c>
      <c r="E3551" t="s">
        <v>141</v>
      </c>
      <c r="F3551">
        <v>4814.9399999999996</v>
      </c>
    </row>
    <row r="3552" spans="3:6">
      <c r="C3552" t="s">
        <v>112</v>
      </c>
      <c r="D3552">
        <v>2033</v>
      </c>
      <c r="E3552" t="s">
        <v>142</v>
      </c>
      <c r="F3552">
        <v>3580.15</v>
      </c>
    </row>
    <row r="3553" spans="3:6">
      <c r="C3553" t="s">
        <v>112</v>
      </c>
      <c r="D3553">
        <v>2033</v>
      </c>
      <c r="E3553" t="s">
        <v>143</v>
      </c>
      <c r="F3553">
        <v>5360.82</v>
      </c>
    </row>
    <row r="3554" spans="3:6">
      <c r="C3554" t="s">
        <v>112</v>
      </c>
      <c r="D3554">
        <v>2033</v>
      </c>
      <c r="E3554" t="s">
        <v>144</v>
      </c>
      <c r="F3554">
        <v>127.28</v>
      </c>
    </row>
    <row r="3555" spans="3:6">
      <c r="C3555" t="s">
        <v>112</v>
      </c>
      <c r="D3555">
        <v>2034</v>
      </c>
      <c r="E3555" t="s">
        <v>141</v>
      </c>
      <c r="F3555">
        <v>4841.1099999999997</v>
      </c>
    </row>
    <row r="3556" spans="3:6">
      <c r="C3556" t="s">
        <v>112</v>
      </c>
      <c r="D3556">
        <v>2034</v>
      </c>
      <c r="E3556" t="s">
        <v>142</v>
      </c>
      <c r="F3556">
        <v>3605.36</v>
      </c>
    </row>
    <row r="3557" spans="3:6">
      <c r="C3557" t="s">
        <v>112</v>
      </c>
      <c r="D3557">
        <v>2034</v>
      </c>
      <c r="E3557" t="s">
        <v>143</v>
      </c>
      <c r="F3557">
        <v>5400.49</v>
      </c>
    </row>
    <row r="3558" spans="3:6">
      <c r="C3558" t="s">
        <v>112</v>
      </c>
      <c r="D3558">
        <v>2034</v>
      </c>
      <c r="E3558" t="s">
        <v>144</v>
      </c>
      <c r="F3558">
        <v>138.79</v>
      </c>
    </row>
    <row r="3559" spans="3:6">
      <c r="C3559" t="s">
        <v>112</v>
      </c>
      <c r="D3559">
        <v>2035</v>
      </c>
      <c r="E3559" t="s">
        <v>141</v>
      </c>
      <c r="F3559">
        <v>4865.6499999999996</v>
      </c>
    </row>
    <row r="3560" spans="3:6">
      <c r="C3560" t="s">
        <v>112</v>
      </c>
      <c r="D3560">
        <v>2035</v>
      </c>
      <c r="E3560" t="s">
        <v>142</v>
      </c>
      <c r="F3560">
        <v>3626.86</v>
      </c>
    </row>
    <row r="3561" spans="3:6">
      <c r="C3561" t="s">
        <v>112</v>
      </c>
      <c r="D3561">
        <v>2035</v>
      </c>
      <c r="E3561" t="s">
        <v>143</v>
      </c>
      <c r="F3561">
        <v>5442.1</v>
      </c>
    </row>
    <row r="3562" spans="3:6">
      <c r="C3562" t="s">
        <v>112</v>
      </c>
      <c r="D3562">
        <v>2035</v>
      </c>
      <c r="E3562" t="s">
        <v>144</v>
      </c>
      <c r="F3562">
        <v>151.22999999999999</v>
      </c>
    </row>
    <row r="3563" spans="3:6">
      <c r="C3563" t="s">
        <v>112</v>
      </c>
      <c r="D3563">
        <v>2036</v>
      </c>
      <c r="E3563" t="s">
        <v>141</v>
      </c>
      <c r="F3563">
        <v>4893.78</v>
      </c>
    </row>
    <row r="3564" spans="3:6">
      <c r="C3564" t="s">
        <v>112</v>
      </c>
      <c r="D3564">
        <v>2036</v>
      </c>
      <c r="E3564" t="s">
        <v>142</v>
      </c>
      <c r="F3564">
        <v>3646.27</v>
      </c>
    </row>
    <row r="3565" spans="3:6">
      <c r="C3565" t="s">
        <v>112</v>
      </c>
      <c r="D3565">
        <v>2036</v>
      </c>
      <c r="E3565" t="s">
        <v>143</v>
      </c>
      <c r="F3565">
        <v>5487.02</v>
      </c>
    </row>
    <row r="3566" spans="3:6">
      <c r="C3566" t="s">
        <v>112</v>
      </c>
      <c r="D3566">
        <v>2036</v>
      </c>
      <c r="E3566" t="s">
        <v>144</v>
      </c>
      <c r="F3566">
        <v>164.45</v>
      </c>
    </row>
    <row r="3567" spans="3:6">
      <c r="C3567" t="s">
        <v>112</v>
      </c>
      <c r="D3567">
        <v>2037</v>
      </c>
      <c r="E3567" t="s">
        <v>141</v>
      </c>
      <c r="F3567">
        <v>4927.18</v>
      </c>
    </row>
    <row r="3568" spans="3:6">
      <c r="C3568" t="s">
        <v>112</v>
      </c>
      <c r="D3568">
        <v>2037</v>
      </c>
      <c r="E3568" t="s">
        <v>142</v>
      </c>
      <c r="F3568">
        <v>3665.42</v>
      </c>
    </row>
    <row r="3569" spans="3:6">
      <c r="C3569" t="s">
        <v>112</v>
      </c>
      <c r="D3569">
        <v>2037</v>
      </c>
      <c r="E3569" t="s">
        <v>143</v>
      </c>
      <c r="F3569">
        <v>5534.37</v>
      </c>
    </row>
    <row r="3570" spans="3:6">
      <c r="C3570" t="s">
        <v>112</v>
      </c>
      <c r="D3570">
        <v>2037</v>
      </c>
      <c r="E3570" t="s">
        <v>144</v>
      </c>
      <c r="F3570">
        <v>178.52</v>
      </c>
    </row>
    <row r="3571" spans="3:6">
      <c r="C3571" t="s">
        <v>112</v>
      </c>
      <c r="D3571">
        <v>2038</v>
      </c>
      <c r="E3571" t="s">
        <v>141</v>
      </c>
      <c r="F3571">
        <v>4963.28</v>
      </c>
    </row>
    <row r="3572" spans="3:6">
      <c r="C3572" t="s">
        <v>112</v>
      </c>
      <c r="D3572">
        <v>2038</v>
      </c>
      <c r="E3572" t="s">
        <v>142</v>
      </c>
      <c r="F3572">
        <v>3689.91</v>
      </c>
    </row>
    <row r="3573" spans="3:6">
      <c r="C3573" t="s">
        <v>112</v>
      </c>
      <c r="D3573">
        <v>2038</v>
      </c>
      <c r="E3573" t="s">
        <v>143</v>
      </c>
      <c r="F3573">
        <v>5582.5</v>
      </c>
    </row>
    <row r="3574" spans="3:6">
      <c r="C3574" t="s">
        <v>112</v>
      </c>
      <c r="D3574">
        <v>2038</v>
      </c>
      <c r="E3574" t="s">
        <v>144</v>
      </c>
      <c r="F3574">
        <v>193.55</v>
      </c>
    </row>
    <row r="3575" spans="3:6">
      <c r="C3575" t="s">
        <v>112</v>
      </c>
      <c r="D3575">
        <v>2039</v>
      </c>
      <c r="E3575" t="s">
        <v>141</v>
      </c>
      <c r="F3575">
        <v>5001.21</v>
      </c>
    </row>
    <row r="3576" spans="3:6">
      <c r="C3576" t="s">
        <v>112</v>
      </c>
      <c r="D3576">
        <v>2039</v>
      </c>
      <c r="E3576" t="s">
        <v>142</v>
      </c>
      <c r="F3576">
        <v>3713.29</v>
      </c>
    </row>
    <row r="3577" spans="3:6">
      <c r="C3577" t="s">
        <v>112</v>
      </c>
      <c r="D3577">
        <v>2039</v>
      </c>
      <c r="E3577" t="s">
        <v>143</v>
      </c>
      <c r="F3577">
        <v>5630.49</v>
      </c>
    </row>
    <row r="3578" spans="3:6">
      <c r="C3578" t="s">
        <v>112</v>
      </c>
      <c r="D3578">
        <v>2039</v>
      </c>
      <c r="E3578" t="s">
        <v>144</v>
      </c>
      <c r="F3578">
        <v>209.35</v>
      </c>
    </row>
    <row r="3579" spans="3:6">
      <c r="C3579" t="s">
        <v>112</v>
      </c>
      <c r="D3579">
        <v>2040</v>
      </c>
      <c r="E3579" t="s">
        <v>141</v>
      </c>
      <c r="F3579">
        <v>5036.96</v>
      </c>
    </row>
    <row r="3580" spans="3:6">
      <c r="C3580" t="s">
        <v>112</v>
      </c>
      <c r="D3580">
        <v>2040</v>
      </c>
      <c r="E3580" t="s">
        <v>142</v>
      </c>
      <c r="F3580">
        <v>3727.65</v>
      </c>
    </row>
    <row r="3581" spans="3:6">
      <c r="C3581" t="s">
        <v>112</v>
      </c>
      <c r="D3581">
        <v>2040</v>
      </c>
      <c r="E3581" t="s">
        <v>143</v>
      </c>
      <c r="F3581">
        <v>5674.67</v>
      </c>
    </row>
    <row r="3582" spans="3:6">
      <c r="C3582" t="s">
        <v>112</v>
      </c>
      <c r="D3582">
        <v>2040</v>
      </c>
      <c r="E3582" t="s">
        <v>144</v>
      </c>
      <c r="F3582">
        <v>226.16</v>
      </c>
    </row>
    <row r="3583" spans="3:6">
      <c r="C3583" t="s">
        <v>112</v>
      </c>
      <c r="D3583">
        <v>2041</v>
      </c>
      <c r="E3583" t="s">
        <v>141</v>
      </c>
      <c r="F3583">
        <v>5077.38</v>
      </c>
    </row>
    <row r="3584" spans="3:6">
      <c r="C3584" t="s">
        <v>112</v>
      </c>
      <c r="D3584">
        <v>2041</v>
      </c>
      <c r="E3584" t="s">
        <v>142</v>
      </c>
      <c r="F3584">
        <v>3752.25</v>
      </c>
    </row>
    <row r="3585" spans="3:6">
      <c r="C3585" t="s">
        <v>112</v>
      </c>
      <c r="D3585">
        <v>2041</v>
      </c>
      <c r="E3585" t="s">
        <v>143</v>
      </c>
      <c r="F3585">
        <v>5718.52</v>
      </c>
    </row>
    <row r="3586" spans="3:6">
      <c r="C3586" t="s">
        <v>112</v>
      </c>
      <c r="D3586">
        <v>2041</v>
      </c>
      <c r="E3586" t="s">
        <v>144</v>
      </c>
      <c r="F3586">
        <v>243.21</v>
      </c>
    </row>
    <row r="3587" spans="3:6">
      <c r="C3587" t="s">
        <v>112</v>
      </c>
      <c r="D3587">
        <v>2042</v>
      </c>
      <c r="E3587" t="s">
        <v>141</v>
      </c>
      <c r="F3587">
        <v>5118.7700000000004</v>
      </c>
    </row>
    <row r="3588" spans="3:6">
      <c r="C3588" t="s">
        <v>112</v>
      </c>
      <c r="D3588">
        <v>2042</v>
      </c>
      <c r="E3588" t="s">
        <v>142</v>
      </c>
      <c r="F3588">
        <v>3789.03</v>
      </c>
    </row>
    <row r="3589" spans="3:6">
      <c r="C3589" t="s">
        <v>112</v>
      </c>
      <c r="D3589">
        <v>2042</v>
      </c>
      <c r="E3589" t="s">
        <v>143</v>
      </c>
      <c r="F3589">
        <v>5763.38</v>
      </c>
    </row>
    <row r="3590" spans="3:6">
      <c r="C3590" t="s">
        <v>112</v>
      </c>
      <c r="D3590">
        <v>2042</v>
      </c>
      <c r="E3590" t="s">
        <v>144</v>
      </c>
      <c r="F3590">
        <v>260.83999999999997</v>
      </c>
    </row>
    <row r="3591" spans="3:6">
      <c r="C3591" t="s">
        <v>112</v>
      </c>
      <c r="D3591">
        <v>2043</v>
      </c>
      <c r="E3591" t="s">
        <v>141</v>
      </c>
      <c r="F3591">
        <v>5172.63</v>
      </c>
    </row>
    <row r="3592" spans="3:6">
      <c r="C3592" t="s">
        <v>112</v>
      </c>
      <c r="D3592">
        <v>2043</v>
      </c>
      <c r="E3592" t="s">
        <v>142</v>
      </c>
      <c r="F3592">
        <v>3827.36</v>
      </c>
    </row>
    <row r="3593" spans="3:6">
      <c r="C3593" t="s">
        <v>112</v>
      </c>
      <c r="D3593">
        <v>2043</v>
      </c>
      <c r="E3593" t="s">
        <v>143</v>
      </c>
      <c r="F3593">
        <v>5812.75</v>
      </c>
    </row>
    <row r="3594" spans="3:6">
      <c r="C3594" t="s">
        <v>112</v>
      </c>
      <c r="D3594">
        <v>2043</v>
      </c>
      <c r="E3594" t="s">
        <v>144</v>
      </c>
      <c r="F3594">
        <v>278.87</v>
      </c>
    </row>
    <row r="3595" spans="3:6">
      <c r="C3595" t="s">
        <v>112</v>
      </c>
      <c r="D3595">
        <v>2044</v>
      </c>
      <c r="E3595" t="s">
        <v>141</v>
      </c>
      <c r="F3595">
        <v>5224.68</v>
      </c>
    </row>
    <row r="3596" spans="3:6">
      <c r="C3596" t="s">
        <v>112</v>
      </c>
      <c r="D3596">
        <v>2044</v>
      </c>
      <c r="E3596" t="s">
        <v>142</v>
      </c>
      <c r="F3596">
        <v>3855.14</v>
      </c>
    </row>
    <row r="3597" spans="3:6">
      <c r="C3597" t="s">
        <v>112</v>
      </c>
      <c r="D3597">
        <v>2044</v>
      </c>
      <c r="E3597" t="s">
        <v>143</v>
      </c>
      <c r="F3597">
        <v>5862.58</v>
      </c>
    </row>
    <row r="3598" spans="3:6">
      <c r="C3598" t="s">
        <v>112</v>
      </c>
      <c r="D3598">
        <v>2044</v>
      </c>
      <c r="E3598" t="s">
        <v>144</v>
      </c>
      <c r="F3598">
        <v>297.64999999999998</v>
      </c>
    </row>
    <row r="3599" spans="3:6">
      <c r="C3599" t="s">
        <v>112</v>
      </c>
      <c r="D3599">
        <v>2045</v>
      </c>
      <c r="E3599" t="s">
        <v>141</v>
      </c>
      <c r="F3599">
        <v>5280.98</v>
      </c>
    </row>
    <row r="3600" spans="3:6">
      <c r="C3600" t="s">
        <v>112</v>
      </c>
      <c r="D3600">
        <v>2045</v>
      </c>
      <c r="E3600" t="s">
        <v>142</v>
      </c>
      <c r="F3600">
        <v>3881.23</v>
      </c>
    </row>
    <row r="3601" spans="3:6">
      <c r="C3601" t="s">
        <v>112</v>
      </c>
      <c r="D3601">
        <v>2045</v>
      </c>
      <c r="E3601" t="s">
        <v>143</v>
      </c>
      <c r="F3601">
        <v>5912.04</v>
      </c>
    </row>
    <row r="3602" spans="3:6">
      <c r="C3602" t="s">
        <v>112</v>
      </c>
      <c r="D3602">
        <v>2045</v>
      </c>
      <c r="E3602" t="s">
        <v>144</v>
      </c>
      <c r="F3602">
        <v>315.93</v>
      </c>
    </row>
    <row r="3603" spans="3:6">
      <c r="C3603" t="s">
        <v>112</v>
      </c>
      <c r="D3603">
        <v>2046</v>
      </c>
      <c r="E3603" t="s">
        <v>141</v>
      </c>
      <c r="F3603">
        <v>5340.22</v>
      </c>
    </row>
    <row r="3604" spans="3:6">
      <c r="C3604" t="s">
        <v>112</v>
      </c>
      <c r="D3604">
        <v>2046</v>
      </c>
      <c r="E3604" t="s">
        <v>142</v>
      </c>
      <c r="F3604">
        <v>3907.39</v>
      </c>
    </row>
    <row r="3605" spans="3:6">
      <c r="C3605" t="s">
        <v>112</v>
      </c>
      <c r="D3605">
        <v>2046</v>
      </c>
      <c r="E3605" t="s">
        <v>143</v>
      </c>
      <c r="F3605">
        <v>5963.37</v>
      </c>
    </row>
    <row r="3606" spans="3:6">
      <c r="C3606" t="s">
        <v>112</v>
      </c>
      <c r="D3606">
        <v>2046</v>
      </c>
      <c r="E3606" t="s">
        <v>144</v>
      </c>
      <c r="F3606">
        <v>334.68</v>
      </c>
    </row>
    <row r="3607" spans="3:6">
      <c r="C3607" t="s">
        <v>112</v>
      </c>
      <c r="D3607">
        <v>2047</v>
      </c>
      <c r="E3607" t="s">
        <v>141</v>
      </c>
      <c r="F3607">
        <v>5402.19</v>
      </c>
    </row>
    <row r="3608" spans="3:6">
      <c r="C3608" t="s">
        <v>112</v>
      </c>
      <c r="D3608">
        <v>2047</v>
      </c>
      <c r="E3608" t="s">
        <v>142</v>
      </c>
      <c r="F3608">
        <v>3931.27</v>
      </c>
    </row>
    <row r="3609" spans="3:6">
      <c r="C3609" t="s">
        <v>112</v>
      </c>
      <c r="D3609">
        <v>2047</v>
      </c>
      <c r="E3609" t="s">
        <v>143</v>
      </c>
      <c r="F3609">
        <v>6013.56</v>
      </c>
    </row>
    <row r="3610" spans="3:6">
      <c r="C3610" t="s">
        <v>112</v>
      </c>
      <c r="D3610">
        <v>2047</v>
      </c>
      <c r="E3610" t="s">
        <v>144</v>
      </c>
      <c r="F3610">
        <v>353.8</v>
      </c>
    </row>
    <row r="3611" spans="3:6">
      <c r="C3611" t="s">
        <v>112</v>
      </c>
      <c r="D3611">
        <v>2048</v>
      </c>
      <c r="E3611" t="s">
        <v>141</v>
      </c>
      <c r="F3611">
        <v>5469.25</v>
      </c>
    </row>
    <row r="3612" spans="3:6">
      <c r="C3612" t="s">
        <v>112</v>
      </c>
      <c r="D3612">
        <v>2048</v>
      </c>
      <c r="E3612" t="s">
        <v>142</v>
      </c>
      <c r="F3612">
        <v>3957.23</v>
      </c>
    </row>
    <row r="3613" spans="3:6">
      <c r="C3613" t="s">
        <v>112</v>
      </c>
      <c r="D3613">
        <v>2048</v>
      </c>
      <c r="E3613" t="s">
        <v>143</v>
      </c>
      <c r="F3613">
        <v>6065.5</v>
      </c>
    </row>
    <row r="3614" spans="3:6">
      <c r="C3614" t="s">
        <v>112</v>
      </c>
      <c r="D3614">
        <v>2048</v>
      </c>
      <c r="E3614" t="s">
        <v>144</v>
      </c>
      <c r="F3614">
        <v>373.43</v>
      </c>
    </row>
    <row r="3615" spans="3:6">
      <c r="C3615" t="s">
        <v>112</v>
      </c>
      <c r="D3615">
        <v>2049</v>
      </c>
      <c r="E3615" t="s">
        <v>141</v>
      </c>
      <c r="F3615">
        <v>5544.51</v>
      </c>
    </row>
    <row r="3616" spans="3:6">
      <c r="C3616" t="s">
        <v>112</v>
      </c>
      <c r="D3616">
        <v>2049</v>
      </c>
      <c r="E3616" t="s">
        <v>142</v>
      </c>
      <c r="F3616">
        <v>3987.28</v>
      </c>
    </row>
    <row r="3617" spans="3:6">
      <c r="C3617" t="s">
        <v>112</v>
      </c>
      <c r="D3617">
        <v>2049</v>
      </c>
      <c r="E3617" t="s">
        <v>143</v>
      </c>
      <c r="F3617">
        <v>6119.94</v>
      </c>
    </row>
    <row r="3618" spans="3:6">
      <c r="C3618" t="s">
        <v>112</v>
      </c>
      <c r="D3618">
        <v>2049</v>
      </c>
      <c r="E3618" t="s">
        <v>144</v>
      </c>
      <c r="F3618">
        <v>393.62</v>
      </c>
    </row>
    <row r="3619" spans="3:6">
      <c r="C3619" t="s">
        <v>112</v>
      </c>
      <c r="D3619">
        <v>2050</v>
      </c>
      <c r="E3619" t="s">
        <v>141</v>
      </c>
      <c r="F3619">
        <v>5624.82</v>
      </c>
    </row>
    <row r="3620" spans="3:6">
      <c r="C3620" t="s">
        <v>112</v>
      </c>
      <c r="D3620">
        <v>2050</v>
      </c>
      <c r="E3620" t="s">
        <v>142</v>
      </c>
      <c r="F3620">
        <v>4019.12</v>
      </c>
    </row>
    <row r="3621" spans="3:6">
      <c r="C3621" t="s">
        <v>112</v>
      </c>
      <c r="D3621">
        <v>2050</v>
      </c>
      <c r="E3621" t="s">
        <v>143</v>
      </c>
      <c r="F3621">
        <v>6177.92</v>
      </c>
    </row>
    <row r="3622" spans="3:6">
      <c r="C3622" t="s">
        <v>112</v>
      </c>
      <c r="D3622">
        <v>2050</v>
      </c>
      <c r="E3622" t="s">
        <v>144</v>
      </c>
      <c r="F3622">
        <v>413.89</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Y46"/>
  <sheetViews>
    <sheetView topLeftCell="A28" workbookViewId="0">
      <selection activeCell="H47" sqref="H47"/>
    </sheetView>
  </sheetViews>
  <sheetFormatPr defaultColWidth="8.88671875" defaultRowHeight="14.4"/>
  <cols>
    <col min="3" max="3" width="16.33203125" customWidth="1"/>
    <col min="6" max="6" width="11.33203125" style="18" bestFit="1" customWidth="1"/>
    <col min="8" max="8" width="13.44140625" bestFit="1" customWidth="1"/>
    <col min="9" max="9" width="12" bestFit="1" customWidth="1"/>
  </cols>
  <sheetData>
    <row r="1" spans="3:25">
      <c r="C1" s="7" t="s">
        <v>53</v>
      </c>
    </row>
    <row r="3" spans="3:25">
      <c r="C3" t="s">
        <v>26</v>
      </c>
    </row>
    <row r="4" spans="3:25">
      <c r="C4" t="s">
        <v>1</v>
      </c>
      <c r="D4" t="s">
        <v>0</v>
      </c>
      <c r="E4" t="s">
        <v>67</v>
      </c>
      <c r="F4" s="18" t="s">
        <v>6</v>
      </c>
      <c r="G4" t="s">
        <v>25</v>
      </c>
      <c r="H4" t="s">
        <v>55</v>
      </c>
      <c r="I4" t="s">
        <v>113</v>
      </c>
      <c r="J4" t="s">
        <v>114</v>
      </c>
      <c r="K4" t="s">
        <v>115</v>
      </c>
      <c r="L4" t="s">
        <v>116</v>
      </c>
      <c r="M4" t="s">
        <v>117</v>
      </c>
      <c r="N4" t="s">
        <v>118</v>
      </c>
      <c r="O4" t="s">
        <v>119</v>
      </c>
      <c r="P4" t="s">
        <v>120</v>
      </c>
      <c r="Q4" t="s">
        <v>121</v>
      </c>
      <c r="R4" t="s">
        <v>122</v>
      </c>
      <c r="S4" t="s">
        <v>123</v>
      </c>
      <c r="T4" t="s">
        <v>50</v>
      </c>
      <c r="U4" t="s">
        <v>124</v>
      </c>
      <c r="V4" t="s">
        <v>105</v>
      </c>
      <c r="W4" t="s">
        <v>51</v>
      </c>
      <c r="X4" t="s">
        <v>125</v>
      </c>
      <c r="Y4" t="s">
        <v>112</v>
      </c>
    </row>
    <row r="5" spans="3:25">
      <c r="C5" t="s">
        <v>126</v>
      </c>
      <c r="D5">
        <v>2015</v>
      </c>
      <c r="E5" t="s">
        <v>127</v>
      </c>
      <c r="G5" t="s">
        <v>54</v>
      </c>
      <c r="H5" t="s">
        <v>128</v>
      </c>
      <c r="I5">
        <v>93.911879418471997</v>
      </c>
      <c r="J5">
        <v>93.911879393950898</v>
      </c>
      <c r="K5">
        <v>94.244959655278706</v>
      </c>
      <c r="L5">
        <v>107.247488851326</v>
      </c>
      <c r="M5">
        <v>101.33349490058001</v>
      </c>
      <c r="N5">
        <v>94.587455794271193</v>
      </c>
      <c r="O5">
        <v>94.282725196139793</v>
      </c>
      <c r="P5">
        <v>95.098294630127398</v>
      </c>
      <c r="Q5">
        <v>96.495766553960195</v>
      </c>
      <c r="R5">
        <v>95.113686938693206</v>
      </c>
      <c r="S5">
        <v>100.93879165377599</v>
      </c>
      <c r="T5">
        <v>90.514998513129797</v>
      </c>
      <c r="U5">
        <v>96.839084444936006</v>
      </c>
      <c r="V5">
        <v>93.155618102195604</v>
      </c>
      <c r="W5">
        <v>94.736185934092205</v>
      </c>
      <c r="X5">
        <v>97.331183808331801</v>
      </c>
      <c r="Y5">
        <v>95.825893908912803</v>
      </c>
    </row>
    <row r="6" spans="3:25">
      <c r="C6" t="s">
        <v>126</v>
      </c>
      <c r="D6">
        <v>2015</v>
      </c>
      <c r="E6" t="s">
        <v>127</v>
      </c>
      <c r="G6" t="s">
        <v>54</v>
      </c>
      <c r="H6" t="s">
        <v>61</v>
      </c>
      <c r="I6">
        <v>53.056667619098498</v>
      </c>
      <c r="J6">
        <v>53.056667605244897</v>
      </c>
      <c r="K6">
        <v>53.056666676961001</v>
      </c>
      <c r="L6">
        <v>53.056666392254897</v>
      </c>
      <c r="M6">
        <v>53.0566661217009</v>
      </c>
      <c r="N6">
        <v>53.056665785156902</v>
      </c>
      <c r="O6">
        <v>53.056667198792198</v>
      </c>
      <c r="P6">
        <v>53.056666723429103</v>
      </c>
      <c r="Q6">
        <v>53.056666947955897</v>
      </c>
      <c r="R6">
        <v>53.0566673555523</v>
      </c>
      <c r="S6">
        <v>53.056666012628398</v>
      </c>
      <c r="T6">
        <v>53.056667584487201</v>
      </c>
      <c r="U6">
        <v>53.056666863605898</v>
      </c>
      <c r="V6">
        <v>53.056667569037899</v>
      </c>
      <c r="W6">
        <v>53.056666153750498</v>
      </c>
      <c r="X6">
        <v>53.056665962800402</v>
      </c>
      <c r="Y6">
        <v>52.1827017710212</v>
      </c>
    </row>
    <row r="7" spans="3:25">
      <c r="C7" t="s">
        <v>126</v>
      </c>
      <c r="D7">
        <v>2015</v>
      </c>
      <c r="E7" t="s">
        <v>127</v>
      </c>
      <c r="G7" t="s">
        <v>54</v>
      </c>
      <c r="H7" t="s">
        <v>129</v>
      </c>
      <c r="I7">
        <v>78.061271798862705</v>
      </c>
      <c r="J7">
        <v>78.061271778480204</v>
      </c>
      <c r="K7">
        <v>72.050511781551606</v>
      </c>
      <c r="L7">
        <v>74.317083930498598</v>
      </c>
      <c r="M7">
        <v>70.663243338420301</v>
      </c>
      <c r="N7">
        <v>71.128019552121501</v>
      </c>
      <c r="O7">
        <v>78.088920661015607</v>
      </c>
      <c r="P7">
        <v>77.032401122218403</v>
      </c>
      <c r="Q7">
        <v>72.045412305347696</v>
      </c>
      <c r="R7">
        <v>75.078867821071597</v>
      </c>
      <c r="S7">
        <v>77.431722241473807</v>
      </c>
      <c r="T7">
        <v>68.822428629988096</v>
      </c>
      <c r="U7">
        <v>67.354552939427194</v>
      </c>
      <c r="V7">
        <v>68.630645458844398</v>
      </c>
      <c r="W7">
        <v>76.647778590552903</v>
      </c>
      <c r="X7">
        <v>72.909142409136805</v>
      </c>
      <c r="Y7">
        <v>78.800000014058796</v>
      </c>
    </row>
    <row r="8" spans="3:25">
      <c r="C8" t="s">
        <v>126</v>
      </c>
      <c r="D8">
        <v>2015</v>
      </c>
      <c r="E8" t="s">
        <v>127</v>
      </c>
      <c r="G8" t="s">
        <v>54</v>
      </c>
      <c r="H8" t="s">
        <v>130</v>
      </c>
      <c r="I8">
        <v>74.077283498920707</v>
      </c>
      <c r="J8">
        <v>74.077283479578497</v>
      </c>
      <c r="K8">
        <v>69.900356281505296</v>
      </c>
      <c r="L8">
        <v>67.744089160454493</v>
      </c>
      <c r="M8">
        <v>69.499227938446296</v>
      </c>
      <c r="N8">
        <v>69.060286982059793</v>
      </c>
      <c r="O8">
        <v>76.297444510992307</v>
      </c>
      <c r="P8">
        <v>72.537223642088904</v>
      </c>
      <c r="Q8">
        <v>71.928133385355295</v>
      </c>
      <c r="R8">
        <v>72.884357311040205</v>
      </c>
      <c r="S8">
        <v>74.828922461760399</v>
      </c>
      <c r="T8">
        <v>76.110369409986802</v>
      </c>
      <c r="U8">
        <v>65.468716939443297</v>
      </c>
      <c r="V8">
        <v>66.402200768881897</v>
      </c>
      <c r="W8">
        <v>74.443293200536999</v>
      </c>
      <c r="X8">
        <v>71.3322929291555</v>
      </c>
      <c r="Y8">
        <v>73.150000013767794</v>
      </c>
    </row>
    <row r="9" spans="3:25">
      <c r="C9" t="s">
        <v>126</v>
      </c>
      <c r="D9">
        <v>2020</v>
      </c>
      <c r="E9" t="s">
        <v>127</v>
      </c>
      <c r="G9" t="s">
        <v>54</v>
      </c>
      <c r="H9" t="s">
        <v>128</v>
      </c>
      <c r="I9">
        <v>94.325874571834305</v>
      </c>
      <c r="J9">
        <v>94.325874547205004</v>
      </c>
      <c r="K9">
        <v>95.411334910802097</v>
      </c>
      <c r="L9">
        <v>104.662142578768</v>
      </c>
      <c r="M9">
        <v>101.45129558969499</v>
      </c>
      <c r="N9">
        <v>94.567795912284197</v>
      </c>
      <c r="O9">
        <v>94.103892389427003</v>
      </c>
      <c r="P9">
        <v>94.790239460291104</v>
      </c>
      <c r="Q9">
        <v>97.188279363348798</v>
      </c>
      <c r="R9">
        <v>93.882087613946695</v>
      </c>
      <c r="S9">
        <v>101.105218793817</v>
      </c>
      <c r="T9">
        <v>87.325774571630205</v>
      </c>
      <c r="U9">
        <v>97.076790627032096</v>
      </c>
      <c r="V9">
        <v>93.050740560893999</v>
      </c>
      <c r="W9">
        <v>94.566277205182502</v>
      </c>
      <c r="X9">
        <v>96.435072093095798</v>
      </c>
      <c r="Y9">
        <v>95.825909449338198</v>
      </c>
    </row>
    <row r="10" spans="3:25">
      <c r="C10" t="s">
        <v>126</v>
      </c>
      <c r="D10">
        <v>2020</v>
      </c>
      <c r="E10" t="s">
        <v>127</v>
      </c>
      <c r="G10" t="s">
        <v>54</v>
      </c>
      <c r="H10" t="s">
        <v>61</v>
      </c>
      <c r="I10">
        <v>53.056666605971898</v>
      </c>
      <c r="J10">
        <v>53.056666592118397</v>
      </c>
      <c r="K10">
        <v>53.056668152811199</v>
      </c>
      <c r="L10">
        <v>53.0566677806653</v>
      </c>
      <c r="M10">
        <v>53.056667904616198</v>
      </c>
      <c r="N10">
        <v>53.056667640966403</v>
      </c>
      <c r="O10">
        <v>53.056666101324502</v>
      </c>
      <c r="P10">
        <v>53.056665717456298</v>
      </c>
      <c r="Q10">
        <v>53.056666118662797</v>
      </c>
      <c r="R10">
        <v>53.056665668223403</v>
      </c>
      <c r="S10">
        <v>53.056667521371601</v>
      </c>
      <c r="T10">
        <v>53.056666059120403</v>
      </c>
      <c r="U10">
        <v>53.056668377382799</v>
      </c>
      <c r="V10">
        <v>53.056666925215701</v>
      </c>
      <c r="W10">
        <v>53.056667578951803</v>
      </c>
      <c r="X10">
        <v>53.056667154732899</v>
      </c>
      <c r="Y10">
        <v>52.182701019695003</v>
      </c>
    </row>
    <row r="11" spans="3:25">
      <c r="C11" t="s">
        <v>126</v>
      </c>
      <c r="D11">
        <v>2020</v>
      </c>
      <c r="E11" t="s">
        <v>127</v>
      </c>
      <c r="G11" t="s">
        <v>54</v>
      </c>
      <c r="H11" t="s">
        <v>129</v>
      </c>
      <c r="I11">
        <v>73.999259039731001</v>
      </c>
      <c r="J11">
        <v>73.999259020409198</v>
      </c>
      <c r="K11">
        <v>70.7934308782161</v>
      </c>
      <c r="L11">
        <v>80.216298697891702</v>
      </c>
      <c r="M11">
        <v>65.179173170977194</v>
      </c>
      <c r="N11">
        <v>67.378606241327105</v>
      </c>
      <c r="O11">
        <v>74.874646310340495</v>
      </c>
      <c r="P11">
        <v>76.215170281442397</v>
      </c>
      <c r="Q11">
        <v>69.604638572519903</v>
      </c>
      <c r="R11">
        <v>75.249581796162701</v>
      </c>
      <c r="S11">
        <v>69.049287298000095</v>
      </c>
      <c r="T11">
        <v>74.602081071035101</v>
      </c>
      <c r="U11">
        <v>68.630556610508094</v>
      </c>
      <c r="V11">
        <v>71.631461612540804</v>
      </c>
      <c r="W11">
        <v>79.939243913874193</v>
      </c>
      <c r="X11">
        <v>74.3087467482855</v>
      </c>
      <c r="Y11">
        <v>78.800000015279295</v>
      </c>
    </row>
    <row r="12" spans="3:25">
      <c r="C12" t="s">
        <v>126</v>
      </c>
      <c r="D12">
        <v>2020</v>
      </c>
      <c r="E12" t="s">
        <v>127</v>
      </c>
      <c r="G12" t="s">
        <v>54</v>
      </c>
      <c r="H12" t="s">
        <v>130</v>
      </c>
      <c r="I12">
        <v>72.074558349737998</v>
      </c>
      <c r="J12">
        <v>72.074558330918805</v>
      </c>
      <c r="K12">
        <v>69.187703358256599</v>
      </c>
      <c r="L12">
        <v>66.338844638256404</v>
      </c>
      <c r="M12">
        <v>64.024076950959795</v>
      </c>
      <c r="N12">
        <v>65.419871261288606</v>
      </c>
      <c r="O12">
        <v>72.395236400329196</v>
      </c>
      <c r="P12">
        <v>71.690446941356797</v>
      </c>
      <c r="Q12">
        <v>67.581191462446597</v>
      </c>
      <c r="R12">
        <v>73.061866446274294</v>
      </c>
      <c r="S12">
        <v>73.683299917194702</v>
      </c>
      <c r="T12">
        <v>74.502543471033803</v>
      </c>
      <c r="U12">
        <v>66.451677330492004</v>
      </c>
      <c r="V12">
        <v>69.549093632466906</v>
      </c>
      <c r="W12">
        <v>77.567635143759304</v>
      </c>
      <c r="X12">
        <v>71.904242378340996</v>
      </c>
      <c r="Y12">
        <v>73.150000014900797</v>
      </c>
    </row>
    <row r="13" spans="3:25">
      <c r="C13" t="s">
        <v>126</v>
      </c>
      <c r="D13">
        <v>2025</v>
      </c>
      <c r="E13" t="s">
        <v>127</v>
      </c>
      <c r="G13" t="s">
        <v>54</v>
      </c>
      <c r="H13" t="s">
        <v>128</v>
      </c>
      <c r="I13">
        <v>94.325874571834305</v>
      </c>
      <c r="J13">
        <v>94.325874547205004</v>
      </c>
      <c r="K13">
        <v>95.411334910802097</v>
      </c>
      <c r="L13">
        <v>104.662142578768</v>
      </c>
      <c r="M13">
        <v>101.45129558969499</v>
      </c>
      <c r="N13">
        <v>94.567795912284197</v>
      </c>
      <c r="O13">
        <v>94.103892389427003</v>
      </c>
      <c r="P13">
        <v>94.790239460291104</v>
      </c>
      <c r="Q13">
        <v>97.188279363348798</v>
      </c>
      <c r="R13">
        <v>93.882087613946695</v>
      </c>
      <c r="S13">
        <v>101.105218793817</v>
      </c>
      <c r="T13">
        <v>87.325774571630205</v>
      </c>
      <c r="U13">
        <v>97.076790627032096</v>
      </c>
      <c r="V13">
        <v>93.050740560893999</v>
      </c>
      <c r="W13">
        <v>94.566277205182502</v>
      </c>
      <c r="X13">
        <v>96.435072093095798</v>
      </c>
      <c r="Y13">
        <v>95.825909449338198</v>
      </c>
    </row>
    <row r="14" spans="3:25">
      <c r="C14" t="s">
        <v>126</v>
      </c>
      <c r="D14">
        <v>2025</v>
      </c>
      <c r="E14" t="s">
        <v>127</v>
      </c>
      <c r="G14" t="s">
        <v>54</v>
      </c>
      <c r="H14" t="s">
        <v>61</v>
      </c>
      <c r="I14">
        <v>53.056666605971898</v>
      </c>
      <c r="J14">
        <v>53.056666592118397</v>
      </c>
      <c r="K14">
        <v>53.056668152811199</v>
      </c>
      <c r="L14">
        <v>53.0566677806653</v>
      </c>
      <c r="M14">
        <v>53.056667904616198</v>
      </c>
      <c r="N14">
        <v>53.056667640966403</v>
      </c>
      <c r="O14">
        <v>53.056666101324502</v>
      </c>
      <c r="P14">
        <v>53.056665717456298</v>
      </c>
      <c r="Q14">
        <v>53.056666118662797</v>
      </c>
      <c r="R14">
        <v>53.056665668223403</v>
      </c>
      <c r="S14">
        <v>53.056667521371601</v>
      </c>
      <c r="T14">
        <v>53.056666059120403</v>
      </c>
      <c r="U14">
        <v>53.056668377382799</v>
      </c>
      <c r="V14">
        <v>53.056666925215701</v>
      </c>
      <c r="W14">
        <v>53.056667578951803</v>
      </c>
      <c r="X14">
        <v>53.056667154732899</v>
      </c>
      <c r="Y14">
        <v>52.182701019695003</v>
      </c>
    </row>
    <row r="15" spans="3:25">
      <c r="C15" t="s">
        <v>126</v>
      </c>
      <c r="D15">
        <v>2025</v>
      </c>
      <c r="E15" t="s">
        <v>127</v>
      </c>
      <c r="G15" t="s">
        <v>54</v>
      </c>
      <c r="H15" t="s">
        <v>129</v>
      </c>
      <c r="I15">
        <v>73.999259039731001</v>
      </c>
      <c r="J15">
        <v>73.999259020409198</v>
      </c>
      <c r="K15">
        <v>70.7934308782161</v>
      </c>
      <c r="L15">
        <v>80.216298697891702</v>
      </c>
      <c r="M15">
        <v>65.179173170977194</v>
      </c>
      <c r="N15">
        <v>67.378606241327105</v>
      </c>
      <c r="O15">
        <v>74.874646310340495</v>
      </c>
      <c r="P15">
        <v>76.215170281442397</v>
      </c>
      <c r="Q15">
        <v>69.604638572519903</v>
      </c>
      <c r="R15">
        <v>75.249581796162701</v>
      </c>
      <c r="S15">
        <v>69.049287298000095</v>
      </c>
      <c r="T15">
        <v>74.602081071035101</v>
      </c>
      <c r="U15">
        <v>68.630556610508094</v>
      </c>
      <c r="V15">
        <v>71.631461612540804</v>
      </c>
      <c r="W15">
        <v>79.939243913874193</v>
      </c>
      <c r="X15">
        <v>74.3087467482855</v>
      </c>
      <c r="Y15">
        <v>78.800000015279295</v>
      </c>
    </row>
    <row r="16" spans="3:25">
      <c r="C16" t="s">
        <v>126</v>
      </c>
      <c r="D16">
        <v>2025</v>
      </c>
      <c r="E16" t="s">
        <v>127</v>
      </c>
      <c r="G16" t="s">
        <v>54</v>
      </c>
      <c r="H16" t="s">
        <v>130</v>
      </c>
      <c r="I16">
        <v>72.074558349737998</v>
      </c>
      <c r="J16">
        <v>72.074558330918805</v>
      </c>
      <c r="K16">
        <v>69.187703358256599</v>
      </c>
      <c r="L16">
        <v>66.338844638256404</v>
      </c>
      <c r="M16">
        <v>64.024076950959795</v>
      </c>
      <c r="N16">
        <v>65.419871261288606</v>
      </c>
      <c r="O16">
        <v>72.395236400329196</v>
      </c>
      <c r="P16">
        <v>71.690446941356797</v>
      </c>
      <c r="Q16">
        <v>67.581191462446597</v>
      </c>
      <c r="R16">
        <v>73.061866446274294</v>
      </c>
      <c r="S16">
        <v>73.683299917194702</v>
      </c>
      <c r="T16">
        <v>74.502543471033803</v>
      </c>
      <c r="U16">
        <v>66.451677330492004</v>
      </c>
      <c r="V16">
        <v>69.549093632466906</v>
      </c>
      <c r="W16">
        <v>77.567635143759304</v>
      </c>
      <c r="X16">
        <v>71.904242378340996</v>
      </c>
      <c r="Y16">
        <v>73.150000014900797</v>
      </c>
    </row>
    <row r="17" spans="3:25">
      <c r="C17" t="s">
        <v>126</v>
      </c>
      <c r="D17">
        <v>2030</v>
      </c>
      <c r="E17" t="s">
        <v>127</v>
      </c>
      <c r="G17" t="s">
        <v>54</v>
      </c>
      <c r="H17" t="s">
        <v>128</v>
      </c>
      <c r="I17">
        <v>94.325874571834305</v>
      </c>
      <c r="J17">
        <v>94.325874547205004</v>
      </c>
      <c r="K17">
        <v>95.411334910802097</v>
      </c>
      <c r="L17">
        <v>104.662142578768</v>
      </c>
      <c r="M17">
        <v>101.45129558969499</v>
      </c>
      <c r="N17">
        <v>94.567795912284197</v>
      </c>
      <c r="O17">
        <v>94.103892389427003</v>
      </c>
      <c r="P17">
        <v>94.790239460291104</v>
      </c>
      <c r="Q17">
        <v>97.188279363348798</v>
      </c>
      <c r="R17">
        <v>93.882087613946695</v>
      </c>
      <c r="S17">
        <v>101.105218793817</v>
      </c>
      <c r="T17">
        <v>87.325774571630205</v>
      </c>
      <c r="U17">
        <v>97.076790627032096</v>
      </c>
      <c r="V17">
        <v>93.050740560893999</v>
      </c>
      <c r="W17">
        <v>94.566277205182502</v>
      </c>
      <c r="X17">
        <v>96.435072093095798</v>
      </c>
      <c r="Y17">
        <v>95.825909449338198</v>
      </c>
    </row>
    <row r="18" spans="3:25">
      <c r="C18" t="s">
        <v>126</v>
      </c>
      <c r="D18">
        <v>2030</v>
      </c>
      <c r="E18" t="s">
        <v>127</v>
      </c>
      <c r="G18" t="s">
        <v>54</v>
      </c>
      <c r="H18" t="s">
        <v>61</v>
      </c>
      <c r="I18">
        <v>53.056666605971898</v>
      </c>
      <c r="J18">
        <v>53.056666592118397</v>
      </c>
      <c r="K18">
        <v>53.056668152811199</v>
      </c>
      <c r="L18">
        <v>53.0566677806653</v>
      </c>
      <c r="M18">
        <v>53.056667904616198</v>
      </c>
      <c r="N18">
        <v>53.056667640966403</v>
      </c>
      <c r="O18">
        <v>53.056666101324502</v>
      </c>
      <c r="P18">
        <v>53.056665717456298</v>
      </c>
      <c r="Q18">
        <v>53.056666118662797</v>
      </c>
      <c r="R18">
        <v>53.056665668223403</v>
      </c>
      <c r="S18">
        <v>53.056667521371601</v>
      </c>
      <c r="T18">
        <v>53.056666059120403</v>
      </c>
      <c r="U18">
        <v>53.056668377382799</v>
      </c>
      <c r="V18">
        <v>53.056666925215701</v>
      </c>
      <c r="W18">
        <v>53.056667578951803</v>
      </c>
      <c r="X18">
        <v>53.056667154732899</v>
      </c>
      <c r="Y18">
        <v>52.182701019695003</v>
      </c>
    </row>
    <row r="19" spans="3:25">
      <c r="C19" t="s">
        <v>126</v>
      </c>
      <c r="D19">
        <v>2030</v>
      </c>
      <c r="E19" t="s">
        <v>127</v>
      </c>
      <c r="G19" t="s">
        <v>54</v>
      </c>
      <c r="H19" t="s">
        <v>129</v>
      </c>
      <c r="I19">
        <v>73.999259039731001</v>
      </c>
      <c r="J19">
        <v>73.999259020409198</v>
      </c>
      <c r="K19">
        <v>70.7934308782161</v>
      </c>
      <c r="L19">
        <v>80.216298697891702</v>
      </c>
      <c r="M19">
        <v>65.179173170977194</v>
      </c>
      <c r="N19">
        <v>67.378606241327105</v>
      </c>
      <c r="O19">
        <v>74.874646310340495</v>
      </c>
      <c r="P19">
        <v>76.215170281442397</v>
      </c>
      <c r="Q19">
        <v>69.604638572519903</v>
      </c>
      <c r="R19">
        <v>75.249581796162701</v>
      </c>
      <c r="S19">
        <v>69.049287298000095</v>
      </c>
      <c r="T19">
        <v>74.602081071035101</v>
      </c>
      <c r="U19">
        <v>68.630556610508094</v>
      </c>
      <c r="V19">
        <v>71.631461612540804</v>
      </c>
      <c r="W19">
        <v>79.939243913874193</v>
      </c>
      <c r="X19">
        <v>74.3087467482855</v>
      </c>
      <c r="Y19">
        <v>78.800000015279295</v>
      </c>
    </row>
    <row r="20" spans="3:25">
      <c r="C20" t="s">
        <v>126</v>
      </c>
      <c r="D20">
        <v>2030</v>
      </c>
      <c r="E20" t="s">
        <v>127</v>
      </c>
      <c r="G20" t="s">
        <v>54</v>
      </c>
      <c r="H20" t="s">
        <v>130</v>
      </c>
      <c r="I20">
        <v>72.074558349737998</v>
      </c>
      <c r="J20">
        <v>72.074558330918805</v>
      </c>
      <c r="K20">
        <v>69.187703358256599</v>
      </c>
      <c r="L20">
        <v>66.338844638256404</v>
      </c>
      <c r="M20">
        <v>64.024076950959795</v>
      </c>
      <c r="N20">
        <v>65.419871261288606</v>
      </c>
      <c r="O20">
        <v>72.395236400329196</v>
      </c>
      <c r="P20">
        <v>71.690446941356797</v>
      </c>
      <c r="Q20">
        <v>67.581191462446597</v>
      </c>
      <c r="R20">
        <v>73.061866446274294</v>
      </c>
      <c r="S20">
        <v>73.683299917194702</v>
      </c>
      <c r="T20">
        <v>74.502543471033803</v>
      </c>
      <c r="U20">
        <v>66.451677330492004</v>
      </c>
      <c r="V20">
        <v>69.549093632466906</v>
      </c>
      <c r="W20">
        <v>77.567635143759304</v>
      </c>
      <c r="X20">
        <v>71.904242378340996</v>
      </c>
      <c r="Y20">
        <v>73.150000014900797</v>
      </c>
    </row>
    <row r="21" spans="3:25">
      <c r="C21" t="s">
        <v>126</v>
      </c>
      <c r="D21">
        <v>2035</v>
      </c>
      <c r="E21" t="s">
        <v>127</v>
      </c>
      <c r="G21" t="s">
        <v>54</v>
      </c>
      <c r="H21" t="s">
        <v>128</v>
      </c>
      <c r="I21">
        <v>94.325874571834305</v>
      </c>
      <c r="J21">
        <v>94.325874547205004</v>
      </c>
      <c r="K21">
        <v>95.411334910802097</v>
      </c>
      <c r="L21">
        <v>104.662142578768</v>
      </c>
      <c r="M21">
        <v>101.45129558969499</v>
      </c>
      <c r="N21">
        <v>94.567795912284197</v>
      </c>
      <c r="O21">
        <v>94.103892389427003</v>
      </c>
      <c r="P21">
        <v>94.790239460291104</v>
      </c>
      <c r="Q21">
        <v>97.188279363348798</v>
      </c>
      <c r="R21">
        <v>93.882087613946695</v>
      </c>
      <c r="S21">
        <v>101.105218793817</v>
      </c>
      <c r="T21">
        <v>87.325774571630205</v>
      </c>
      <c r="U21">
        <v>97.076790627032096</v>
      </c>
      <c r="V21">
        <v>93.050740560893999</v>
      </c>
      <c r="W21">
        <v>94.566277205182502</v>
      </c>
      <c r="X21">
        <v>96.435072093095798</v>
      </c>
      <c r="Y21">
        <v>95.825909449338198</v>
      </c>
    </row>
    <row r="22" spans="3:25">
      <c r="C22" t="s">
        <v>126</v>
      </c>
      <c r="D22">
        <v>2035</v>
      </c>
      <c r="E22" t="s">
        <v>127</v>
      </c>
      <c r="G22" t="s">
        <v>54</v>
      </c>
      <c r="H22" t="s">
        <v>61</v>
      </c>
      <c r="I22">
        <v>53.056666605971898</v>
      </c>
      <c r="J22">
        <v>53.056666592118397</v>
      </c>
      <c r="K22">
        <v>53.056668152811199</v>
      </c>
      <c r="L22">
        <v>53.0566677806653</v>
      </c>
      <c r="M22">
        <v>53.056667904616198</v>
      </c>
      <c r="N22">
        <v>53.056667640966403</v>
      </c>
      <c r="O22">
        <v>53.056666101324502</v>
      </c>
      <c r="P22">
        <v>53.056665717456298</v>
      </c>
      <c r="Q22">
        <v>53.056666118662797</v>
      </c>
      <c r="R22">
        <v>53.056665668223403</v>
      </c>
      <c r="S22">
        <v>53.056667521371601</v>
      </c>
      <c r="T22">
        <v>53.056666059120403</v>
      </c>
      <c r="U22">
        <v>53.056668377382799</v>
      </c>
      <c r="V22">
        <v>53.056666925215701</v>
      </c>
      <c r="W22">
        <v>53.056667578951803</v>
      </c>
      <c r="X22">
        <v>53.056667154732899</v>
      </c>
      <c r="Y22">
        <v>52.182701019695003</v>
      </c>
    </row>
    <row r="23" spans="3:25">
      <c r="C23" t="s">
        <v>126</v>
      </c>
      <c r="D23">
        <v>2035</v>
      </c>
      <c r="E23" t="s">
        <v>127</v>
      </c>
      <c r="G23" t="s">
        <v>54</v>
      </c>
      <c r="H23" t="s">
        <v>129</v>
      </c>
      <c r="I23">
        <v>73.999259039731001</v>
      </c>
      <c r="J23">
        <v>73.999259020409198</v>
      </c>
      <c r="K23">
        <v>70.7934308782161</v>
      </c>
      <c r="L23">
        <v>80.216298697891702</v>
      </c>
      <c r="M23">
        <v>65.179173170977194</v>
      </c>
      <c r="N23">
        <v>67.378606241327105</v>
      </c>
      <c r="O23">
        <v>74.874646310340495</v>
      </c>
      <c r="P23">
        <v>76.215170281442397</v>
      </c>
      <c r="Q23">
        <v>69.604638572519903</v>
      </c>
      <c r="R23">
        <v>75.249581796162701</v>
      </c>
      <c r="S23">
        <v>69.049287298000095</v>
      </c>
      <c r="T23">
        <v>74.602081071035101</v>
      </c>
      <c r="U23">
        <v>68.630556610508094</v>
      </c>
      <c r="V23">
        <v>71.631461612540804</v>
      </c>
      <c r="W23">
        <v>79.939243913874193</v>
      </c>
      <c r="X23">
        <v>74.3087467482855</v>
      </c>
      <c r="Y23">
        <v>78.800000015279295</v>
      </c>
    </row>
    <row r="24" spans="3:25">
      <c r="C24" t="s">
        <v>126</v>
      </c>
      <c r="D24">
        <v>2035</v>
      </c>
      <c r="E24" t="s">
        <v>127</v>
      </c>
      <c r="G24" t="s">
        <v>54</v>
      </c>
      <c r="H24" t="s">
        <v>130</v>
      </c>
      <c r="I24">
        <v>72.074558349737998</v>
      </c>
      <c r="J24">
        <v>72.074558330918805</v>
      </c>
      <c r="K24">
        <v>69.187703358256599</v>
      </c>
      <c r="L24">
        <v>66.338844638256404</v>
      </c>
      <c r="M24">
        <v>64.024076950959795</v>
      </c>
      <c r="N24">
        <v>65.419871261288606</v>
      </c>
      <c r="O24">
        <v>72.395236400329196</v>
      </c>
      <c r="P24">
        <v>71.690446941356797</v>
      </c>
      <c r="Q24">
        <v>67.581191462446597</v>
      </c>
      <c r="R24">
        <v>73.061866446274294</v>
      </c>
      <c r="S24">
        <v>73.683299917194702</v>
      </c>
      <c r="T24">
        <v>74.502543471033803</v>
      </c>
      <c r="U24">
        <v>66.451677330492004</v>
      </c>
      <c r="V24">
        <v>69.549093632466906</v>
      </c>
      <c r="W24">
        <v>77.567635143759304</v>
      </c>
      <c r="X24">
        <v>71.904242378340996</v>
      </c>
      <c r="Y24">
        <v>73.150000014900797</v>
      </c>
    </row>
    <row r="25" spans="3:25">
      <c r="C25" t="s">
        <v>126</v>
      </c>
      <c r="D25">
        <v>2040</v>
      </c>
      <c r="E25" t="s">
        <v>127</v>
      </c>
      <c r="G25" t="s">
        <v>54</v>
      </c>
      <c r="H25" t="s">
        <v>128</v>
      </c>
      <c r="I25">
        <v>94.325874571834305</v>
      </c>
      <c r="J25">
        <v>94.325874547205004</v>
      </c>
      <c r="K25">
        <v>95.411334910802097</v>
      </c>
      <c r="L25">
        <v>104.662142578768</v>
      </c>
      <c r="M25">
        <v>101.45129558969499</v>
      </c>
      <c r="N25">
        <v>94.567795912284197</v>
      </c>
      <c r="O25">
        <v>94.103892389427003</v>
      </c>
      <c r="P25">
        <v>94.790239460291104</v>
      </c>
      <c r="Q25">
        <v>97.188279363348798</v>
      </c>
      <c r="R25">
        <v>93.882087613946695</v>
      </c>
      <c r="S25">
        <v>101.105218793817</v>
      </c>
      <c r="T25">
        <v>87.325774571630205</v>
      </c>
      <c r="U25">
        <v>97.076790627032096</v>
      </c>
      <c r="V25">
        <v>93.050740560893999</v>
      </c>
      <c r="W25">
        <v>94.566277205182502</v>
      </c>
      <c r="X25">
        <v>96.435072093095798</v>
      </c>
      <c r="Y25">
        <v>95.825909449338198</v>
      </c>
    </row>
    <row r="26" spans="3:25">
      <c r="C26" t="s">
        <v>126</v>
      </c>
      <c r="D26">
        <v>2040</v>
      </c>
      <c r="E26" t="s">
        <v>127</v>
      </c>
      <c r="G26" t="s">
        <v>54</v>
      </c>
      <c r="H26" t="s">
        <v>61</v>
      </c>
      <c r="I26">
        <v>53.056666605971898</v>
      </c>
      <c r="J26">
        <v>53.056666592118397</v>
      </c>
      <c r="K26">
        <v>53.056668152811199</v>
      </c>
      <c r="L26">
        <v>53.0566677806653</v>
      </c>
      <c r="M26">
        <v>53.056667904616198</v>
      </c>
      <c r="N26">
        <v>53.056667640966403</v>
      </c>
      <c r="O26">
        <v>53.056666101324502</v>
      </c>
      <c r="P26">
        <v>53.056665717456298</v>
      </c>
      <c r="Q26">
        <v>53.056666118662797</v>
      </c>
      <c r="R26">
        <v>53.056665668223403</v>
      </c>
      <c r="S26">
        <v>53.056667521371601</v>
      </c>
      <c r="T26">
        <v>53.056666059120403</v>
      </c>
      <c r="U26">
        <v>53.056668377382799</v>
      </c>
      <c r="V26">
        <v>53.056666925215701</v>
      </c>
      <c r="W26">
        <v>53.056667578951803</v>
      </c>
      <c r="X26">
        <v>53.056667154732899</v>
      </c>
      <c r="Y26">
        <v>52.182701019695003</v>
      </c>
    </row>
    <row r="27" spans="3:25">
      <c r="C27" t="s">
        <v>126</v>
      </c>
      <c r="D27">
        <v>2040</v>
      </c>
      <c r="E27" t="s">
        <v>127</v>
      </c>
      <c r="G27" t="s">
        <v>54</v>
      </c>
      <c r="H27" t="s">
        <v>129</v>
      </c>
      <c r="I27">
        <v>73.999259039731001</v>
      </c>
      <c r="J27">
        <v>73.999259020409198</v>
      </c>
      <c r="K27">
        <v>70.7934308782161</v>
      </c>
      <c r="L27">
        <v>80.216298697891702</v>
      </c>
      <c r="M27">
        <v>65.179173170977194</v>
      </c>
      <c r="N27">
        <v>67.378606241327105</v>
      </c>
      <c r="O27">
        <v>74.874646310340495</v>
      </c>
      <c r="P27">
        <v>76.215170281442397</v>
      </c>
      <c r="Q27">
        <v>69.604638572519903</v>
      </c>
      <c r="R27">
        <v>75.249581796162701</v>
      </c>
      <c r="S27">
        <v>69.049287298000095</v>
      </c>
      <c r="T27">
        <v>74.602081071035101</v>
      </c>
      <c r="U27">
        <v>68.630556610508094</v>
      </c>
      <c r="V27">
        <v>71.631461612540804</v>
      </c>
      <c r="W27">
        <v>79.939243913874193</v>
      </c>
      <c r="X27">
        <v>74.3087467482855</v>
      </c>
      <c r="Y27">
        <v>78.800000015279295</v>
      </c>
    </row>
    <row r="28" spans="3:25">
      <c r="C28" t="s">
        <v>126</v>
      </c>
      <c r="D28">
        <v>2040</v>
      </c>
      <c r="E28" t="s">
        <v>127</v>
      </c>
      <c r="G28" t="s">
        <v>54</v>
      </c>
      <c r="H28" t="s">
        <v>130</v>
      </c>
      <c r="I28">
        <v>72.074558349737998</v>
      </c>
      <c r="J28">
        <v>72.074558330918805</v>
      </c>
      <c r="K28">
        <v>69.187703358256599</v>
      </c>
      <c r="L28">
        <v>66.338844638256404</v>
      </c>
      <c r="M28">
        <v>64.024076950959795</v>
      </c>
      <c r="N28">
        <v>65.419871261288606</v>
      </c>
      <c r="O28">
        <v>72.395236400329196</v>
      </c>
      <c r="P28">
        <v>71.690446941356797</v>
      </c>
      <c r="Q28">
        <v>67.581191462446597</v>
      </c>
      <c r="R28">
        <v>73.061866446274294</v>
      </c>
      <c r="S28">
        <v>73.683299917194702</v>
      </c>
      <c r="T28">
        <v>74.502543471033803</v>
      </c>
      <c r="U28">
        <v>66.451677330492004</v>
      </c>
      <c r="V28">
        <v>69.549093632466906</v>
      </c>
      <c r="W28">
        <v>77.567635143759304</v>
      </c>
      <c r="X28">
        <v>71.904242378340996</v>
      </c>
      <c r="Y28">
        <v>73.150000014900797</v>
      </c>
    </row>
    <row r="29" spans="3:25">
      <c r="C29" t="s">
        <v>126</v>
      </c>
      <c r="D29">
        <v>2045</v>
      </c>
      <c r="E29" t="s">
        <v>127</v>
      </c>
      <c r="G29" t="s">
        <v>54</v>
      </c>
      <c r="H29" t="s">
        <v>128</v>
      </c>
      <c r="I29">
        <v>94.325874571834305</v>
      </c>
      <c r="J29">
        <v>94.325874547205004</v>
      </c>
      <c r="K29">
        <v>95.411334910802097</v>
      </c>
      <c r="L29">
        <v>104.662142578768</v>
      </c>
      <c r="M29">
        <v>101.45129558969499</v>
      </c>
      <c r="N29">
        <v>94.567795912284197</v>
      </c>
      <c r="O29">
        <v>94.103892389427003</v>
      </c>
      <c r="P29">
        <v>94.790239460291104</v>
      </c>
      <c r="Q29">
        <v>97.188279363348798</v>
      </c>
      <c r="R29">
        <v>93.882087613946695</v>
      </c>
      <c r="S29">
        <v>101.105218793817</v>
      </c>
      <c r="T29">
        <v>87.325774571630205</v>
      </c>
      <c r="U29">
        <v>97.076790627032096</v>
      </c>
      <c r="V29">
        <v>93.050740560893999</v>
      </c>
      <c r="W29">
        <v>94.566277205182502</v>
      </c>
      <c r="X29">
        <v>96.435072093095798</v>
      </c>
      <c r="Y29">
        <v>95.825909449338198</v>
      </c>
    </row>
    <row r="30" spans="3:25">
      <c r="C30" t="s">
        <v>126</v>
      </c>
      <c r="D30">
        <v>2045</v>
      </c>
      <c r="E30" t="s">
        <v>127</v>
      </c>
      <c r="G30" t="s">
        <v>54</v>
      </c>
      <c r="H30" t="s">
        <v>61</v>
      </c>
      <c r="I30">
        <v>53.056666605971898</v>
      </c>
      <c r="J30">
        <v>53.056666592118397</v>
      </c>
      <c r="K30">
        <v>53.056668152811199</v>
      </c>
      <c r="L30">
        <v>53.0566677806653</v>
      </c>
      <c r="M30">
        <v>53.056667904616198</v>
      </c>
      <c r="N30">
        <v>53.056667640966403</v>
      </c>
      <c r="O30">
        <v>53.056666101324502</v>
      </c>
      <c r="P30">
        <v>53.056665717456298</v>
      </c>
      <c r="Q30">
        <v>53.056666118662797</v>
      </c>
      <c r="R30">
        <v>53.056665668223403</v>
      </c>
      <c r="S30">
        <v>53.056667521371601</v>
      </c>
      <c r="T30">
        <v>53.056666059120403</v>
      </c>
      <c r="U30">
        <v>53.056668377382799</v>
      </c>
      <c r="V30">
        <v>53.056666925215701</v>
      </c>
      <c r="W30">
        <v>53.056667578951803</v>
      </c>
      <c r="X30">
        <v>53.056667154732899</v>
      </c>
      <c r="Y30">
        <v>52.182701019695003</v>
      </c>
    </row>
    <row r="31" spans="3:25">
      <c r="C31" t="s">
        <v>126</v>
      </c>
      <c r="D31">
        <v>2045</v>
      </c>
      <c r="E31" t="s">
        <v>127</v>
      </c>
      <c r="G31" t="s">
        <v>54</v>
      </c>
      <c r="H31" t="s">
        <v>129</v>
      </c>
      <c r="I31">
        <v>73.999259039731001</v>
      </c>
      <c r="J31">
        <v>73.999259020409198</v>
      </c>
      <c r="K31">
        <v>70.7934308782161</v>
      </c>
      <c r="L31">
        <v>80.216298697891702</v>
      </c>
      <c r="M31">
        <v>65.179173170977194</v>
      </c>
      <c r="N31">
        <v>67.378606241327105</v>
      </c>
      <c r="O31">
        <v>74.874646310340495</v>
      </c>
      <c r="P31">
        <v>76.215170281442397</v>
      </c>
      <c r="Q31">
        <v>69.604638572519903</v>
      </c>
      <c r="R31">
        <v>75.249581796162701</v>
      </c>
      <c r="S31">
        <v>69.049287298000095</v>
      </c>
      <c r="T31">
        <v>74.602081071035101</v>
      </c>
      <c r="U31">
        <v>68.630556610508094</v>
      </c>
      <c r="V31">
        <v>71.631461612540804</v>
      </c>
      <c r="W31">
        <v>79.939243913874193</v>
      </c>
      <c r="X31">
        <v>74.3087467482855</v>
      </c>
      <c r="Y31">
        <v>78.800000015279295</v>
      </c>
    </row>
    <row r="32" spans="3:25">
      <c r="C32" t="s">
        <v>126</v>
      </c>
      <c r="D32">
        <v>2045</v>
      </c>
      <c r="E32" t="s">
        <v>127</v>
      </c>
      <c r="G32" t="s">
        <v>54</v>
      </c>
      <c r="H32" t="s">
        <v>130</v>
      </c>
      <c r="I32">
        <v>72.074558349737998</v>
      </c>
      <c r="J32">
        <v>72.074558330918805</v>
      </c>
      <c r="K32">
        <v>69.187703358256599</v>
      </c>
      <c r="L32">
        <v>66.338844638256404</v>
      </c>
      <c r="M32">
        <v>64.024076950959795</v>
      </c>
      <c r="N32">
        <v>65.419871261288606</v>
      </c>
      <c r="O32">
        <v>72.395236400329196</v>
      </c>
      <c r="P32">
        <v>71.690446941356797</v>
      </c>
      <c r="Q32">
        <v>67.581191462446597</v>
      </c>
      <c r="R32">
        <v>73.061866446274294</v>
      </c>
      <c r="S32">
        <v>73.683299917194702</v>
      </c>
      <c r="T32">
        <v>74.502543471033803</v>
      </c>
      <c r="U32">
        <v>66.451677330492004</v>
      </c>
      <c r="V32">
        <v>69.549093632466906</v>
      </c>
      <c r="W32">
        <v>77.567635143759304</v>
      </c>
      <c r="X32">
        <v>71.904242378340996</v>
      </c>
      <c r="Y32">
        <v>73.150000014900797</v>
      </c>
    </row>
    <row r="33" spans="3:25">
      <c r="C33" t="s">
        <v>126</v>
      </c>
      <c r="D33">
        <v>2050</v>
      </c>
      <c r="E33" t="s">
        <v>127</v>
      </c>
      <c r="G33" t="s">
        <v>54</v>
      </c>
      <c r="H33" t="s">
        <v>128</v>
      </c>
      <c r="I33">
        <v>94.325874571834305</v>
      </c>
      <c r="J33">
        <v>94.325874547205004</v>
      </c>
      <c r="K33">
        <v>95.411334910802097</v>
      </c>
      <c r="L33">
        <v>104.662142578768</v>
      </c>
      <c r="M33">
        <v>101.45129558969499</v>
      </c>
      <c r="N33">
        <v>94.567795912284197</v>
      </c>
      <c r="O33">
        <v>94.103892389427003</v>
      </c>
      <c r="P33">
        <v>94.790239460291104</v>
      </c>
      <c r="Q33">
        <v>97.188279363348798</v>
      </c>
      <c r="R33">
        <v>93.882087613946695</v>
      </c>
      <c r="S33">
        <v>101.105218793817</v>
      </c>
      <c r="T33">
        <v>87.325774571630205</v>
      </c>
      <c r="U33">
        <v>97.076790627032096</v>
      </c>
      <c r="V33">
        <v>93.050740560893999</v>
      </c>
      <c r="W33">
        <v>94.566277205182502</v>
      </c>
      <c r="X33">
        <v>96.435072093095798</v>
      </c>
      <c r="Y33">
        <v>95.825909449338198</v>
      </c>
    </row>
    <row r="34" spans="3:25">
      <c r="C34" t="s">
        <v>126</v>
      </c>
      <c r="D34">
        <v>2050</v>
      </c>
      <c r="E34" t="s">
        <v>127</v>
      </c>
      <c r="G34" t="s">
        <v>54</v>
      </c>
      <c r="H34" t="s">
        <v>61</v>
      </c>
      <c r="I34">
        <v>53.056666605971898</v>
      </c>
      <c r="J34">
        <v>53.056666592118397</v>
      </c>
      <c r="K34">
        <v>53.056668152811199</v>
      </c>
      <c r="L34">
        <v>53.0566677806653</v>
      </c>
      <c r="M34">
        <v>53.056667904616198</v>
      </c>
      <c r="N34">
        <v>53.056667640966403</v>
      </c>
      <c r="O34">
        <v>53.056666101324502</v>
      </c>
      <c r="P34">
        <v>53.056665717456298</v>
      </c>
      <c r="Q34">
        <v>53.056666118662797</v>
      </c>
      <c r="R34">
        <v>53.056665668223403</v>
      </c>
      <c r="S34">
        <v>53.056667521371601</v>
      </c>
      <c r="T34">
        <v>53.056666059120403</v>
      </c>
      <c r="U34">
        <v>53.056668377382799</v>
      </c>
      <c r="V34">
        <v>53.056666925215701</v>
      </c>
      <c r="W34">
        <v>53.056667578951803</v>
      </c>
      <c r="X34">
        <v>53.056667154732899</v>
      </c>
      <c r="Y34">
        <v>52.182701019695003</v>
      </c>
    </row>
    <row r="35" spans="3:25">
      <c r="C35" t="s">
        <v>126</v>
      </c>
      <c r="D35">
        <v>2050</v>
      </c>
      <c r="E35" t="s">
        <v>127</v>
      </c>
      <c r="G35" t="s">
        <v>54</v>
      </c>
      <c r="H35" t="s">
        <v>129</v>
      </c>
      <c r="I35">
        <v>73.999259039731001</v>
      </c>
      <c r="J35">
        <v>73.999259020409198</v>
      </c>
      <c r="K35">
        <v>70.7934308782161</v>
      </c>
      <c r="L35">
        <v>80.216298697891702</v>
      </c>
      <c r="M35">
        <v>65.179173170977194</v>
      </c>
      <c r="N35">
        <v>67.378606241327105</v>
      </c>
      <c r="O35">
        <v>74.874646310340495</v>
      </c>
      <c r="P35">
        <v>76.215170281442397</v>
      </c>
      <c r="Q35">
        <v>69.604638572519903</v>
      </c>
      <c r="R35">
        <v>75.249581796162701</v>
      </c>
      <c r="S35">
        <v>69.049287298000095</v>
      </c>
      <c r="T35">
        <v>74.602081071035101</v>
      </c>
      <c r="U35">
        <v>68.630556610508094</v>
      </c>
      <c r="V35">
        <v>71.631461612540804</v>
      </c>
      <c r="W35">
        <v>79.939243913874193</v>
      </c>
      <c r="X35">
        <v>74.3087467482855</v>
      </c>
      <c r="Y35">
        <v>78.800000015279295</v>
      </c>
    </row>
    <row r="36" spans="3:25">
      <c r="C36" t="s">
        <v>126</v>
      </c>
      <c r="D36">
        <v>2050</v>
      </c>
      <c r="E36" t="s">
        <v>127</v>
      </c>
      <c r="G36" t="s">
        <v>54</v>
      </c>
      <c r="H36" t="s">
        <v>130</v>
      </c>
      <c r="I36">
        <v>72.074558349737998</v>
      </c>
      <c r="J36">
        <v>72.074558330918805</v>
      </c>
      <c r="K36">
        <v>69.187703358256599</v>
      </c>
      <c r="L36">
        <v>66.338844638256404</v>
      </c>
      <c r="M36">
        <v>64.024076950959795</v>
      </c>
      <c r="N36">
        <v>65.419871261288606</v>
      </c>
      <c r="O36">
        <v>72.395236400329196</v>
      </c>
      <c r="P36">
        <v>71.690446941356797</v>
      </c>
      <c r="Q36">
        <v>67.581191462446597</v>
      </c>
      <c r="R36">
        <v>73.061866446274294</v>
      </c>
      <c r="S36">
        <v>73.683299917194702</v>
      </c>
      <c r="T36">
        <v>74.502543471033803</v>
      </c>
      <c r="U36">
        <v>66.451677330492004</v>
      </c>
      <c r="V36">
        <v>69.549093632466906</v>
      </c>
      <c r="W36">
        <v>77.567635143759304</v>
      </c>
      <c r="X36">
        <v>71.904242378340996</v>
      </c>
      <c r="Y36">
        <v>73.150000014900797</v>
      </c>
    </row>
    <row r="40" spans="3:25">
      <c r="C40" s="18"/>
      <c r="D40" s="18"/>
      <c r="E40" s="18"/>
      <c r="F40" s="17"/>
      <c r="G40" s="18"/>
      <c r="H40" s="18"/>
      <c r="I40" s="18"/>
      <c r="J40" s="18"/>
      <c r="K40" s="18"/>
      <c r="L40" s="18"/>
      <c r="M40" s="18"/>
      <c r="N40" s="18"/>
      <c r="O40" s="18"/>
      <c r="P40" s="18"/>
      <c r="Q40" s="18"/>
      <c r="R40" s="18"/>
      <c r="S40" s="18"/>
      <c r="T40" s="18"/>
      <c r="U40" s="18"/>
      <c r="V40" s="18"/>
      <c r="W40" s="18"/>
      <c r="X40" s="18"/>
      <c r="Y40" s="18"/>
    </row>
    <row r="41" spans="3:25">
      <c r="C41" s="18"/>
      <c r="D41" s="18"/>
      <c r="E41" s="18"/>
      <c r="F41" s="17"/>
      <c r="G41" s="18"/>
      <c r="H41" s="18"/>
      <c r="I41" s="18"/>
      <c r="J41" s="18"/>
      <c r="K41" s="18"/>
      <c r="L41" s="18"/>
      <c r="M41" s="18"/>
      <c r="N41" s="18"/>
      <c r="O41" s="18"/>
      <c r="P41" s="18"/>
      <c r="Q41" s="18"/>
      <c r="R41" s="18"/>
      <c r="S41" s="18"/>
      <c r="T41" s="18"/>
      <c r="U41" s="18"/>
      <c r="V41" s="18"/>
      <c r="W41" s="18"/>
      <c r="X41" s="18"/>
      <c r="Y41" s="18"/>
    </row>
    <row r="42" spans="3:25">
      <c r="C42" s="18"/>
      <c r="D42" s="18"/>
      <c r="E42" s="18"/>
      <c r="F42" s="17"/>
      <c r="G42" s="18"/>
      <c r="H42" s="18"/>
      <c r="I42" s="18"/>
      <c r="J42" s="18"/>
      <c r="K42" s="18"/>
      <c r="L42" s="18"/>
      <c r="M42" s="18"/>
      <c r="N42" s="18"/>
      <c r="O42" s="18"/>
      <c r="P42" s="18"/>
      <c r="Q42" s="18"/>
      <c r="R42" s="18"/>
      <c r="S42" s="18"/>
      <c r="T42" s="18"/>
      <c r="U42" s="18"/>
      <c r="V42" s="18"/>
      <c r="W42" s="18"/>
      <c r="X42" s="18"/>
      <c r="Y42" s="18"/>
    </row>
    <row r="43" spans="3:25">
      <c r="C43" s="18"/>
      <c r="D43" s="18"/>
      <c r="E43" s="18"/>
      <c r="F43" s="17"/>
      <c r="G43" s="18"/>
      <c r="H43" s="18"/>
      <c r="I43" s="18"/>
      <c r="J43" s="18"/>
      <c r="K43" s="18"/>
      <c r="L43" s="18"/>
      <c r="M43" s="18"/>
      <c r="N43" s="18"/>
      <c r="O43" s="18"/>
      <c r="P43" s="18"/>
      <c r="Q43" s="18"/>
      <c r="R43" s="18"/>
      <c r="S43" s="18"/>
      <c r="T43" s="18"/>
      <c r="U43" s="18"/>
      <c r="V43" s="18"/>
      <c r="W43" s="18"/>
      <c r="X43" s="18"/>
      <c r="Y43" s="18"/>
    </row>
    <row r="44" spans="3:25">
      <c r="C44" s="28" t="s">
        <v>26</v>
      </c>
      <c r="D44" s="28"/>
      <c r="E44" s="28"/>
      <c r="F44" s="28"/>
      <c r="G44" s="28"/>
      <c r="H44" s="28"/>
      <c r="I44" s="28"/>
      <c r="J44" s="28"/>
    </row>
    <row r="45" spans="3:25" ht="15" thickBot="1">
      <c r="C45" s="30" t="s">
        <v>3</v>
      </c>
      <c r="D45" s="30" t="s">
        <v>2</v>
      </c>
      <c r="E45" s="30" t="s">
        <v>1</v>
      </c>
      <c r="F45" s="30" t="s">
        <v>0</v>
      </c>
      <c r="G45" s="30" t="s">
        <v>25</v>
      </c>
      <c r="H45" s="30" t="s">
        <v>184</v>
      </c>
      <c r="I45" s="30" t="s">
        <v>23</v>
      </c>
      <c r="J45" s="30" t="s">
        <v>4</v>
      </c>
    </row>
    <row r="46" spans="3:25">
      <c r="C46" s="29"/>
      <c r="D46" s="29"/>
      <c r="E46" s="32" t="s">
        <v>56</v>
      </c>
      <c r="F46" s="31"/>
      <c r="G46" s="33" t="s">
        <v>179</v>
      </c>
      <c r="H46" s="34" t="s">
        <v>185</v>
      </c>
      <c r="I46" s="32" t="s">
        <v>178</v>
      </c>
      <c r="J46" s="35">
        <v>56.1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2:H13"/>
  <sheetViews>
    <sheetView tabSelected="1" workbookViewId="0">
      <selection activeCell="E17" sqref="E17"/>
    </sheetView>
  </sheetViews>
  <sheetFormatPr defaultColWidth="8.88671875" defaultRowHeight="14.4"/>
  <cols>
    <col min="1" max="2" width="8.88671875" customWidth="1"/>
    <col min="3" max="3" width="10.109375" bestFit="1" customWidth="1"/>
    <col min="4" max="4" width="14.33203125" bestFit="1" customWidth="1"/>
    <col min="5" max="5" width="10.88671875" bestFit="1" customWidth="1"/>
    <col min="6" max="6" width="24.33203125" bestFit="1" customWidth="1"/>
    <col min="7" max="7" width="14.33203125" bestFit="1" customWidth="1"/>
    <col min="8" max="8" width="10.44140625" bestFit="1" customWidth="1"/>
    <col min="9" max="9" width="8.44140625" bestFit="1" customWidth="1"/>
  </cols>
  <sheetData>
    <row r="2" spans="3:8">
      <c r="C2" t="s">
        <v>26</v>
      </c>
    </row>
    <row r="3" spans="3:8">
      <c r="C3" t="s">
        <v>1</v>
      </c>
      <c r="D3" t="s">
        <v>25</v>
      </c>
      <c r="E3" t="s">
        <v>4</v>
      </c>
      <c r="F3" t="s">
        <v>55</v>
      </c>
      <c r="G3" t="s">
        <v>39</v>
      </c>
      <c r="H3" t="s">
        <v>6</v>
      </c>
    </row>
    <row r="4" spans="3:8">
      <c r="C4" t="s">
        <v>56</v>
      </c>
      <c r="D4" t="s">
        <v>54</v>
      </c>
      <c r="E4">
        <v>0.9</v>
      </c>
      <c r="F4" t="s">
        <v>57</v>
      </c>
      <c r="G4" t="s">
        <v>58</v>
      </c>
      <c r="H4" t="s">
        <v>59</v>
      </c>
    </row>
    <row r="5" spans="3:8">
      <c r="C5" t="s">
        <v>56</v>
      </c>
      <c r="D5" t="s">
        <v>54</v>
      </c>
      <c r="E5">
        <v>0.8</v>
      </c>
      <c r="F5" t="s">
        <v>57</v>
      </c>
      <c r="G5" t="s">
        <v>60</v>
      </c>
      <c r="H5" t="s">
        <v>59</v>
      </c>
    </row>
    <row r="6" spans="3:8">
      <c r="C6" t="s">
        <v>56</v>
      </c>
      <c r="D6" t="s">
        <v>54</v>
      </c>
      <c r="E6">
        <v>0.9</v>
      </c>
      <c r="F6" t="s">
        <v>57</v>
      </c>
      <c r="G6" t="s">
        <v>61</v>
      </c>
      <c r="H6" t="s">
        <v>59</v>
      </c>
    </row>
    <row r="7" spans="3:8">
      <c r="C7" t="s">
        <v>62</v>
      </c>
      <c r="D7" t="s">
        <v>63</v>
      </c>
      <c r="E7">
        <v>1</v>
      </c>
      <c r="F7" t="s">
        <v>54</v>
      </c>
    </row>
    <row r="8" spans="3:8">
      <c r="C8" t="s">
        <v>62</v>
      </c>
      <c r="D8" t="s">
        <v>63</v>
      </c>
      <c r="E8">
        <v>-1</v>
      </c>
      <c r="F8" t="s">
        <v>64</v>
      </c>
    </row>
    <row r="9" spans="3:8">
      <c r="C9" s="27" t="s">
        <v>56</v>
      </c>
      <c r="D9" s="27" t="s">
        <v>178</v>
      </c>
      <c r="E9" s="27">
        <v>0.9</v>
      </c>
      <c r="F9" s="27" t="s">
        <v>180</v>
      </c>
      <c r="G9" s="27" t="s">
        <v>179</v>
      </c>
      <c r="H9" s="27" t="s">
        <v>181</v>
      </c>
    </row>
    <row r="10" spans="3:8">
      <c r="C10" s="25" t="s">
        <v>62</v>
      </c>
      <c r="D10" s="25" t="s">
        <v>182</v>
      </c>
      <c r="E10" s="25">
        <v>1</v>
      </c>
      <c r="F10" s="25" t="s">
        <v>178</v>
      </c>
      <c r="G10" s="25"/>
      <c r="H10" s="25"/>
    </row>
    <row r="11" spans="3:8">
      <c r="C11" s="26" t="s">
        <v>62</v>
      </c>
      <c r="D11" s="26" t="s">
        <v>182</v>
      </c>
      <c r="E11" s="26">
        <v>-1</v>
      </c>
      <c r="F11" s="26" t="s">
        <v>183</v>
      </c>
      <c r="G11" s="26"/>
      <c r="H11" s="26"/>
    </row>
    <row r="12" spans="3:8">
      <c r="C12" s="25" t="s">
        <v>62</v>
      </c>
      <c r="D12" s="25" t="s">
        <v>192</v>
      </c>
      <c r="E12" s="25">
        <v>1</v>
      </c>
      <c r="F12" s="25" t="s">
        <v>63</v>
      </c>
      <c r="G12" s="25"/>
      <c r="H12" s="25"/>
    </row>
    <row r="13" spans="3:8">
      <c r="C13" s="26" t="s">
        <v>62</v>
      </c>
      <c r="D13" s="25" t="s">
        <v>192</v>
      </c>
      <c r="E13" s="26">
        <v>1</v>
      </c>
      <c r="F13" s="25" t="s">
        <v>182</v>
      </c>
      <c r="G13" s="26"/>
      <c r="H13" s="26"/>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P21"/>
  <sheetViews>
    <sheetView workbookViewId="0">
      <selection activeCell="J15" sqref="J15"/>
    </sheetView>
  </sheetViews>
  <sheetFormatPr defaultColWidth="8.88671875" defaultRowHeight="14.4"/>
  <cols>
    <col min="1" max="1" width="8.88671875" customWidth="1"/>
    <col min="2" max="2" width="24.109375" bestFit="1" customWidth="1"/>
    <col min="3" max="3" width="13.44140625" bestFit="1" customWidth="1"/>
    <col min="4" max="4" width="8.6640625" bestFit="1" customWidth="1"/>
    <col min="5" max="5" width="10.109375" customWidth="1"/>
    <col min="6" max="6" width="7.88671875" bestFit="1" customWidth="1"/>
    <col min="7" max="7" width="12.33203125" bestFit="1" customWidth="1"/>
    <col min="8" max="8" width="10" bestFit="1" customWidth="1"/>
    <col min="9" max="9" width="12" bestFit="1" customWidth="1"/>
  </cols>
  <sheetData>
    <row r="1" spans="2:16">
      <c r="P1" s="6" t="s">
        <v>95</v>
      </c>
    </row>
    <row r="2" spans="2:16">
      <c r="B2" t="s">
        <v>35</v>
      </c>
      <c r="P2" s="6">
        <v>2017</v>
      </c>
    </row>
    <row r="3" spans="2:16">
      <c r="B3" t="s">
        <v>36</v>
      </c>
      <c r="P3">
        <v>2018</v>
      </c>
    </row>
    <row r="4" spans="2:16">
      <c r="E4" t="s">
        <v>66</v>
      </c>
    </row>
    <row r="5" spans="2:16">
      <c r="B5" t="s">
        <v>37</v>
      </c>
      <c r="C5" t="s">
        <v>38</v>
      </c>
      <c r="D5" t="s">
        <v>39</v>
      </c>
      <c r="E5" t="s">
        <v>2</v>
      </c>
      <c r="F5" t="s">
        <v>44</v>
      </c>
      <c r="G5" t="s">
        <v>45</v>
      </c>
      <c r="H5" t="s">
        <v>46</v>
      </c>
      <c r="I5" t="s">
        <v>47</v>
      </c>
      <c r="J5" t="s">
        <v>48</v>
      </c>
    </row>
    <row r="6" spans="2:16">
      <c r="B6" t="s">
        <v>42</v>
      </c>
      <c r="C6" t="s">
        <v>41</v>
      </c>
      <c r="D6" t="s">
        <v>43</v>
      </c>
      <c r="E6" t="s">
        <v>40</v>
      </c>
      <c r="F6">
        <v>1</v>
      </c>
      <c r="G6">
        <v>1</v>
      </c>
      <c r="H6">
        <v>0</v>
      </c>
      <c r="I6">
        <v>5</v>
      </c>
      <c r="J6" t="s">
        <v>49</v>
      </c>
    </row>
    <row r="10" spans="2:16">
      <c r="B10" t="s">
        <v>26</v>
      </c>
    </row>
    <row r="11" spans="2:16">
      <c r="B11" t="s">
        <v>1</v>
      </c>
      <c r="C11" t="s">
        <v>67</v>
      </c>
      <c r="D11" t="s">
        <v>6</v>
      </c>
      <c r="E11" t="s">
        <v>4</v>
      </c>
      <c r="F11" t="s">
        <v>0</v>
      </c>
    </row>
    <row r="12" spans="2:16">
      <c r="B12" t="s">
        <v>68</v>
      </c>
      <c r="C12" t="s">
        <v>69</v>
      </c>
      <c r="D12" t="s">
        <v>70</v>
      </c>
      <c r="E12">
        <v>2</v>
      </c>
      <c r="F12">
        <v>0</v>
      </c>
    </row>
    <row r="13" spans="2:16">
      <c r="B13" t="s">
        <v>93</v>
      </c>
      <c r="C13" t="s">
        <v>94</v>
      </c>
      <c r="E13">
        <f>MAX($P$2:$P$6)+1</f>
        <v>2019</v>
      </c>
    </row>
    <row r="14" spans="2:16">
      <c r="B14" s="13" t="s">
        <v>93</v>
      </c>
      <c r="C14" t="s">
        <v>72</v>
      </c>
      <c r="D14" s="17" t="s">
        <v>164</v>
      </c>
      <c r="E14">
        <v>2100</v>
      </c>
    </row>
    <row r="16" spans="2:16">
      <c r="B16" t="s">
        <v>71</v>
      </c>
      <c r="C16" t="s">
        <v>72</v>
      </c>
      <c r="E16">
        <v>0.4</v>
      </c>
    </row>
    <row r="19" spans="2:4">
      <c r="B19" t="s">
        <v>5</v>
      </c>
    </row>
    <row r="20" spans="2:4">
      <c r="B20" t="s">
        <v>1</v>
      </c>
      <c r="C20" t="s">
        <v>39</v>
      </c>
      <c r="D20" t="s">
        <v>4</v>
      </c>
    </row>
    <row r="21" spans="2:4">
      <c r="B21" t="s">
        <v>106</v>
      </c>
      <c r="C21" t="s">
        <v>107</v>
      </c>
      <c r="D21">
        <f>3412/8198</f>
        <v>0.41619907294462066</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4EC5-FF0A-4D97-9DD5-92FC9B400207}">
  <dimension ref="A1:G6"/>
  <sheetViews>
    <sheetView topLeftCell="A4" workbookViewId="0">
      <selection activeCell="I17" sqref="I17"/>
    </sheetView>
  </sheetViews>
  <sheetFormatPr defaultColWidth="9.109375" defaultRowHeight="14.4"/>
  <cols>
    <col min="2" max="2" width="12.33203125" bestFit="1" customWidth="1"/>
    <col min="3" max="3" width="4.33203125" bestFit="1" customWidth="1"/>
    <col min="4" max="4" width="14.33203125" bestFit="1" customWidth="1"/>
    <col min="5" max="5" width="6.109375" bestFit="1" customWidth="1"/>
  </cols>
  <sheetData>
    <row r="1" spans="1:7">
      <c r="A1" s="12" t="s">
        <v>104</v>
      </c>
    </row>
    <row r="3" spans="1:7">
      <c r="B3" s="13" t="s">
        <v>165</v>
      </c>
      <c r="C3" s="13"/>
      <c r="D3" s="13"/>
      <c r="E3" s="13"/>
      <c r="F3" s="13"/>
      <c r="G3" s="13"/>
    </row>
    <row r="4" spans="1:7">
      <c r="B4" s="13" t="s">
        <v>1</v>
      </c>
      <c r="C4" s="13" t="s">
        <v>97</v>
      </c>
      <c r="D4" s="13" t="s">
        <v>25</v>
      </c>
      <c r="E4" s="13" t="s">
        <v>98</v>
      </c>
      <c r="F4" s="13"/>
      <c r="G4" s="13"/>
    </row>
    <row r="5" spans="1:7">
      <c r="B5" s="13" t="s">
        <v>99</v>
      </c>
      <c r="C5" s="13">
        <v>1</v>
      </c>
      <c r="D5" s="13" t="s">
        <v>100</v>
      </c>
      <c r="E5" s="13">
        <v>1</v>
      </c>
      <c r="F5" s="13"/>
      <c r="G5" s="12" t="s">
        <v>101</v>
      </c>
    </row>
    <row r="6" spans="1:7">
      <c r="B6" s="13" t="s">
        <v>102</v>
      </c>
      <c r="C6" s="13"/>
      <c r="D6" s="13">
        <v>0</v>
      </c>
      <c r="E6" s="13">
        <v>2</v>
      </c>
      <c r="F6" s="13"/>
      <c r="G6" s="12" t="s">
        <v>103</v>
      </c>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0A6D8E-D49B-4A7F-B9F4-3E03F2D2170A}">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Constants</vt:lpstr>
      <vt:lpstr>Wind Costs</vt:lpstr>
      <vt:lpstr>YRFRs</vt:lpstr>
      <vt:lpstr>HydroCF</vt:lpstr>
      <vt:lpstr>WEPSp Demand</vt:lpstr>
      <vt:lpstr>Emission Factors</vt:lpstr>
      <vt:lpstr>Emission - CCS</vt:lpstr>
      <vt:lpstr>RE assumptions</vt:lpstr>
      <vt:lpstr>restart folder options</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Mahmoud Mobir</cp:lastModifiedBy>
  <dcterms:created xsi:type="dcterms:W3CDTF">2009-05-27T15:40:55Z</dcterms:created>
  <dcterms:modified xsi:type="dcterms:W3CDTF">2021-12-14T18:51:14Z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976268947124481</vt:r8>
  </property>
</Properties>
</file>