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EMM\IEMM_MIG\IEMM_V60_10-1\SuppXLS\"/>
    </mc:Choice>
  </mc:AlternateContent>
  <xr:revisionPtr revIDLastSave="0" documentId="13_ncr:1_{2C2F2202-E0CA-4E8B-A944-5065758BB4B8}" xr6:coauthVersionLast="47" xr6:coauthVersionMax="47" xr10:uidLastSave="{00000000-0000-0000-0000-000000000000}"/>
  <bookViews>
    <workbookView xWindow="8370" yWindow="3510" windowWidth="16740" windowHeight="11385" firstSheet="5" activeTab="8" xr2:uid="{00000000-000D-0000-FFFF-FFFF00000000}"/>
  </bookViews>
  <sheets>
    <sheet name="Readme" sheetId="17" r:id="rId1"/>
    <sheet name="Constants" sheetId="12" r:id="rId2"/>
    <sheet name="Wind Costs" sheetId="7" r:id="rId3"/>
    <sheet name="YRFRs" sheetId="8" r:id="rId4"/>
    <sheet name="HydroCF" sheetId="9" r:id="rId5"/>
    <sheet name="WEPSp Demand" sheetId="13" r:id="rId6"/>
    <sheet name="Emission Factors" sheetId="15" r:id="rId7"/>
    <sheet name="Emission - CCS" sheetId="16" r:id="rId8"/>
    <sheet name="RE assumptions" sheetId="14" r:id="rId9"/>
    <sheet name="restart folder options" sheetId="18" r:id="rId10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14" l="1"/>
  <c r="L4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9" i="12"/>
  <c r="H92" i="12"/>
  <c r="H91" i="12"/>
  <c r="H90" i="12"/>
  <c r="H89" i="12"/>
  <c r="H88" i="12"/>
  <c r="H87" i="12"/>
  <c r="H86" i="12"/>
  <c r="G49" i="12"/>
  <c r="G92" i="12" s="1"/>
  <c r="G47" i="12"/>
  <c r="D47" i="12" s="1"/>
  <c r="G48" i="12"/>
  <c r="D48" i="12" s="1"/>
  <c r="G43" i="12"/>
  <c r="G86" i="12" s="1"/>
  <c r="G44" i="12"/>
  <c r="G87" i="12" s="1"/>
  <c r="G45" i="12"/>
  <c r="G88" i="12" s="1"/>
  <c r="G46" i="12"/>
  <c r="D46" i="12" s="1"/>
  <c r="H5" i="12"/>
  <c r="E13" i="14"/>
  <c r="D44" i="12" l="1"/>
  <c r="D45" i="12"/>
  <c r="D43" i="12"/>
  <c r="H34" i="12"/>
  <c r="H46" i="12"/>
  <c r="G90" i="12"/>
  <c r="H43" i="12"/>
  <c r="H35" i="12"/>
  <c r="G91" i="12"/>
  <c r="H47" i="12"/>
  <c r="D49" i="12"/>
  <c r="H44" i="12"/>
  <c r="G89" i="12"/>
  <c r="H45" i="12"/>
  <c r="H48" i="12"/>
  <c r="H49" i="12"/>
  <c r="H36" i="12"/>
  <c r="H11" i="12"/>
  <c r="H37" i="12"/>
  <c r="H12" i="12"/>
  <c r="H38" i="12"/>
  <c r="H13" i="12"/>
  <c r="H14" i="12"/>
  <c r="H15" i="12"/>
  <c r="H23" i="12"/>
  <c r="H24" i="12"/>
  <c r="H25" i="12"/>
  <c r="H26" i="12"/>
  <c r="H27" i="12"/>
  <c r="H41" i="12"/>
  <c r="H30" i="12"/>
  <c r="H32" i="12"/>
  <c r="H39" i="12"/>
  <c r="H28" i="12"/>
  <c r="H40" i="12"/>
  <c r="H42" i="12"/>
  <c r="H19" i="12"/>
  <c r="H7" i="12"/>
  <c r="H33" i="12"/>
  <c r="H16" i="12"/>
  <c r="H17" i="12"/>
  <c r="H29" i="12"/>
  <c r="H18" i="12"/>
  <c r="H31" i="12"/>
  <c r="H8" i="12"/>
  <c r="H20" i="12"/>
  <c r="H9" i="12"/>
  <c r="H21" i="12"/>
  <c r="H10" i="12"/>
  <c r="H22" i="12"/>
  <c r="D6" i="7"/>
  <c r="H85" i="12"/>
  <c r="H84" i="12"/>
  <c r="G41" i="12"/>
  <c r="G84" i="12" s="1"/>
  <c r="G42" i="12"/>
  <c r="G85" i="12" s="1"/>
  <c r="D5" i="7"/>
  <c r="G8" i="12"/>
  <c r="G51" i="12" s="1"/>
  <c r="D8" i="12"/>
  <c r="G9" i="12"/>
  <c r="G52" i="12" s="1"/>
  <c r="G10" i="12"/>
  <c r="D10" i="12" s="1"/>
  <c r="G11" i="12"/>
  <c r="G54" i="12" s="1"/>
  <c r="G12" i="12"/>
  <c r="G55" i="12" s="1"/>
  <c r="D12" i="12"/>
  <c r="G13" i="12"/>
  <c r="D13" i="12"/>
  <c r="G14" i="12"/>
  <c r="D14" i="12" s="1"/>
  <c r="G15" i="12"/>
  <c r="G58" i="12"/>
  <c r="D15" i="12"/>
  <c r="G16" i="12"/>
  <c r="D16" i="12" s="1"/>
  <c r="G17" i="12"/>
  <c r="D17" i="12" s="1"/>
  <c r="G18" i="12"/>
  <c r="G61" i="12" s="1"/>
  <c r="G19" i="12"/>
  <c r="G62" i="12" s="1"/>
  <c r="D19" i="12"/>
  <c r="G20" i="12"/>
  <c r="D20" i="12" s="1"/>
  <c r="G21" i="12"/>
  <c r="D21" i="12" s="1"/>
  <c r="G22" i="12"/>
  <c r="G65" i="12"/>
  <c r="G23" i="12"/>
  <c r="D23" i="12" s="1"/>
  <c r="G66" i="12"/>
  <c r="G24" i="12"/>
  <c r="D24" i="12" s="1"/>
  <c r="G25" i="12"/>
  <c r="D25" i="12" s="1"/>
  <c r="G26" i="12"/>
  <c r="G69" i="12" s="1"/>
  <c r="G27" i="12"/>
  <c r="D27" i="12" s="1"/>
  <c r="G28" i="12"/>
  <c r="D28" i="12"/>
  <c r="G29" i="12"/>
  <c r="D29" i="12" s="1"/>
  <c r="G30" i="12"/>
  <c r="D30" i="12" s="1"/>
  <c r="G73" i="12"/>
  <c r="G31" i="12"/>
  <c r="G74" i="12" s="1"/>
  <c r="D31" i="12"/>
  <c r="G32" i="12"/>
  <c r="G75" i="12" s="1"/>
  <c r="D32" i="12"/>
  <c r="G33" i="12"/>
  <c r="D33" i="12" s="1"/>
  <c r="G34" i="12"/>
  <c r="G77" i="12" s="1"/>
  <c r="G35" i="12"/>
  <c r="D35" i="12" s="1"/>
  <c r="G36" i="12"/>
  <c r="D36" i="12" s="1"/>
  <c r="G37" i="12"/>
  <c r="G80" i="12" s="1"/>
  <c r="G38" i="12"/>
  <c r="D38" i="12" s="1"/>
  <c r="G81" i="12"/>
  <c r="G39" i="12"/>
  <c r="G40" i="12"/>
  <c r="D40" i="12" s="1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50" i="12"/>
  <c r="G56" i="12"/>
  <c r="G71" i="12"/>
  <c r="G7" i="12"/>
  <c r="G50" i="12" s="1"/>
  <c r="J15" i="7"/>
  <c r="D15" i="7" s="1"/>
  <c r="C15" i="7"/>
  <c r="J14" i="7"/>
  <c r="D14" i="7" s="1"/>
  <c r="C14" i="7"/>
  <c r="J13" i="7"/>
  <c r="D13" i="7" s="1"/>
  <c r="C13" i="7"/>
  <c r="J12" i="7"/>
  <c r="D12" i="7"/>
  <c r="C12" i="7"/>
  <c r="J11" i="7"/>
  <c r="D11" i="7"/>
  <c r="C11" i="7"/>
  <c r="J10" i="7"/>
  <c r="D10" i="7" s="1"/>
  <c r="C10" i="7"/>
  <c r="J9" i="7"/>
  <c r="D9" i="7"/>
  <c r="C9" i="7"/>
  <c r="J8" i="7"/>
  <c r="D8" i="7" s="1"/>
  <c r="C8" i="7"/>
  <c r="J7" i="7"/>
  <c r="D7" i="7"/>
  <c r="C7" i="7"/>
  <c r="C6" i="7"/>
  <c r="C5" i="7"/>
  <c r="D4" i="7"/>
  <c r="C4" i="7"/>
  <c r="G64" i="12"/>
  <c r="D22" i="12"/>
  <c r="G79" i="12"/>
  <c r="G57" i="12" l="1"/>
  <c r="G68" i="12"/>
  <c r="G60" i="12"/>
  <c r="D37" i="12"/>
  <c r="D26" i="12"/>
  <c r="D18" i="12"/>
  <c r="D11" i="12"/>
  <c r="G78" i="12"/>
  <c r="G70" i="12"/>
  <c r="D34" i="12"/>
  <c r="G53" i="12"/>
  <c r="G82" i="12"/>
  <c r="D39" i="12"/>
  <c r="G83" i="12"/>
  <c r="D41" i="12"/>
  <c r="G59" i="12"/>
  <c r="G76" i="12"/>
  <c r="G72" i="12"/>
  <c r="D7" i="12"/>
  <c r="D42" i="12"/>
  <c r="G63" i="12"/>
  <c r="D9" i="12"/>
  <c r="G6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K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1/7/2018
these regions have very high peak marginals…
</t>
        </r>
      </text>
    </comment>
    <comment ref="L3" authorId="1" shapeId="0" xr:uid="{B62817C7-3173-4955-8DA9-948783D3CBD8}">
      <text>
        <r>
          <rPr>
            <b/>
            <sz val="9"/>
            <color indexed="81"/>
            <rFont val="Tahoma"/>
            <charset val="1"/>
          </rPr>
          <t>AMIT:</t>
        </r>
        <r>
          <rPr>
            <sz val="9"/>
            <color indexed="81"/>
            <rFont val="Tahoma"/>
            <charset val="1"/>
          </rPr>
          <t xml:space="preserve">
16-04-2021
this fixes early storage capacity builds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P1" authorId="0" shapeId="0" xr:uid="{CB0287D0-6D74-441A-9E31-40BBA6DA367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  <comment ref="E4" authorId="1" shapeId="0" xr:uid="{00000000-0006-0000-08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24-06-2018
might add it back during calibration
</t>
        </r>
      </text>
    </comment>
    <comment ref="B21" authorId="0" shapeId="0" xr:uid="{ADD88DBE-8F0C-46B0-B3DE-62BABD39863C}">
      <text>
        <r>
          <rPr>
            <b/>
            <sz val="9"/>
            <color indexed="81"/>
            <rFont val="Tahoma"/>
            <charset val="1"/>
          </rPr>
          <t>AMIT:</t>
        </r>
        <r>
          <rPr>
            <sz val="9"/>
            <color indexed="81"/>
            <rFont val="Tahoma"/>
            <charset val="1"/>
          </rPr>
          <t xml:space="preserve">
16-04-2021
AEO2020 assumption
</t>
        </r>
      </text>
    </comment>
  </commentList>
</comments>
</file>

<file path=xl/sharedStrings.xml><?xml version="1.0" encoding="utf-8"?>
<sst xmlns="http://schemas.openxmlformats.org/spreadsheetml/2006/main" count="11369" uniqueCount="166">
  <si>
    <t>Year</t>
  </si>
  <si>
    <t>Attribute</t>
  </si>
  <si>
    <t>LimType</t>
  </si>
  <si>
    <t>TimeSlice</t>
  </si>
  <si>
    <t>AllRegions</t>
  </si>
  <si>
    <t>~TFM_UPD</t>
  </si>
  <si>
    <t>PSET_PN</t>
  </si>
  <si>
    <t>depth</t>
  </si>
  <si>
    <t>dist</t>
  </si>
  <si>
    <t>INVCOST</t>
  </si>
  <si>
    <t>-</t>
  </si>
  <si>
    <t>Far</t>
  </si>
  <si>
    <t>Trans</t>
  </si>
  <si>
    <t>Near</t>
  </si>
  <si>
    <t>deep</t>
  </si>
  <si>
    <t>Inter</t>
  </si>
  <si>
    <t>shal</t>
  </si>
  <si>
    <t>tran</t>
  </si>
  <si>
    <t>G_DRATE</t>
  </si>
  <si>
    <t>G_OFFTHD</t>
  </si>
  <si>
    <t>G_Dyear</t>
  </si>
  <si>
    <t>ELC</t>
  </si>
  <si>
    <t>COM_PKRSV</t>
  </si>
  <si>
    <t>Cset_CN</t>
  </si>
  <si>
    <t>Curr</t>
  </si>
  <si>
    <t>Other_Indexes</t>
  </si>
  <si>
    <t>~TFM_INS</t>
  </si>
  <si>
    <t>VT_G_YRFR_INS</t>
  </si>
  <si>
    <t>VT_COM_IE_DINS-TS</t>
  </si>
  <si>
    <t>VT_DINS_Sector_LoadShapes</t>
  </si>
  <si>
    <t>~TFM_DINS-AT: Year=2010</t>
  </si>
  <si>
    <t>VT_INS_TS_HydroCF</t>
  </si>
  <si>
    <t>~TFM_INS-TS</t>
  </si>
  <si>
    <t>VT_DINS_DEMAND</t>
  </si>
  <si>
    <t>~TFM_DINS-AT</t>
  </si>
  <si>
    <t>~TFM_DINS-TS</t>
  </si>
  <si>
    <t>~UC_Sets: R_E: AllRegions</t>
  </si>
  <si>
    <t>~UC_Sets: T_SUC:</t>
  </si>
  <si>
    <t>UC_N</t>
  </si>
  <si>
    <t>UC_ATTR</t>
  </si>
  <si>
    <t>PSET_CI</t>
  </si>
  <si>
    <t>UP</t>
  </si>
  <si>
    <t>ACT, GROWTH</t>
  </si>
  <si>
    <t>UC_Non-Decr_Wind_Gen</t>
  </si>
  <si>
    <t>ELCWIN</t>
  </si>
  <si>
    <t>UC_ACT</t>
  </si>
  <si>
    <t>UC_ACT~RHS</t>
  </si>
  <si>
    <t>UC_RHSRT</t>
  </si>
  <si>
    <t>UC_RHSRT~0</t>
  </si>
  <si>
    <t>UC_Desc</t>
  </si>
  <si>
    <t>Wind Generation should not decrease with time in any region</t>
  </si>
  <si>
    <t>MXC</t>
  </si>
  <si>
    <t>SKO</t>
  </si>
  <si>
    <t>Deflator</t>
  </si>
  <si>
    <t>VT_INS_EmissionFactors</t>
  </si>
  <si>
    <t>ELCCO2N</t>
  </si>
  <si>
    <t>CSET_CN</t>
  </si>
  <si>
    <t>FLO_EMIS</t>
  </si>
  <si>
    <t>CO2Captured,ELCCO2-Seq</t>
  </si>
  <si>
    <t>ELCCOA</t>
  </si>
  <si>
    <t>EN_Z*</t>
  </si>
  <si>
    <t>ELCBIO</t>
  </si>
  <si>
    <t>ELCGAS</t>
  </si>
  <si>
    <t>COM_AGG</t>
  </si>
  <si>
    <t>ELCCO2Net</t>
  </si>
  <si>
    <t>ELCCO2-Seq</t>
  </si>
  <si>
    <t>VT_DINS_Sector_LoadShapes_tr</t>
  </si>
  <si>
    <t>DeACT UC_T: 2020</t>
  </si>
  <si>
    <t>PSET_SET</t>
  </si>
  <si>
    <t>NCAP_BND</t>
  </si>
  <si>
    <t>ELESOL-N</t>
  </si>
  <si>
    <t>*C08*</t>
  </si>
  <si>
    <t>AFA</t>
  </si>
  <si>
    <t>ELEWIN-N</t>
  </si>
  <si>
    <t>Discount Rate</t>
  </si>
  <si>
    <t>Workbook purpose and data sources:</t>
  </si>
  <si>
    <t>Constants: peak reserve requirement by region (ad hoc user assumption, may be modified)</t>
  </si>
  <si>
    <t>Constants: G_Dyear is model base year for discounting. No reason to modify this</t>
  </si>
  <si>
    <t>Constants: conversion factors for different year dollars. Read from restart file</t>
  </si>
  <si>
    <t>Wind costs: multipliers for different distance/depth classes for wind. User assumptions. May be modified</t>
  </si>
  <si>
    <t>YRFRs: G_YRFR is Fraction of the year in each timeslice. Written by MIG based on user settings in the Aggregation Controller. Do not modify here.</t>
  </si>
  <si>
    <t>YRFRs: COM_IE is transmission efficiency. This is written by the MIG based on IEA data, but is overwrittem by scenario T-D losses.</t>
  </si>
  <si>
    <t>YRFRs: Sector load shapes for RSD/COM/IND are created by the MIG based on recipes described in Load Shape Archetypes memo/workbook. These shapes are stored by country in the database for countries with load data. Country assisgnments for countries without data are made in the Aggregation Controller. Do not modify here.</t>
  </si>
  <si>
    <r>
      <t>YRFRs: LDV sector load shapes are based on two archetypes in file</t>
    </r>
    <r>
      <rPr>
        <i/>
        <sz val="11"/>
        <color indexed="8"/>
        <rFont val="Calibri"/>
        <family val="2"/>
      </rPr>
      <t xml:space="preserve"> NREL_EV_charge_profiles</t>
    </r>
    <r>
      <rPr>
        <sz val="11"/>
        <color theme="1"/>
        <rFont val="Calibri"/>
        <family val="2"/>
        <scheme val="minor"/>
      </rPr>
      <t>. User sets the share of smart vs dumb charging in the Aggregation Controller. Do not modify here.</t>
    </r>
  </si>
  <si>
    <t>Emission Factors: read from restart file. Do not modify</t>
  </si>
  <si>
    <t>WEPSp Demand: read from restart file. Do not modify</t>
  </si>
  <si>
    <t>Emission - CCS: sets up emissions accounting for CCS techs, with 90% capture rate for coal and gas and 80% for bio.These assumptions may be modified.</t>
  </si>
  <si>
    <t>Non-decreasing wind: The non-decreasing wind constraint is deactivated, now that wind LIFE is long enough to prevent retirements</t>
  </si>
  <si>
    <t xml:space="preserve">Non-decreasing wind: Two assumptions were made here during IEO reference case development that should be checked and probably revised: </t>
  </si>
  <si>
    <t>Class 8 solar is bounded out. Evidently there was too much of it coming in. This was a quick fix that should be further investigated.</t>
  </si>
  <si>
    <t>Annual wind CF is capped at 0.4. Wind CFs should be checked to see if some regions have excessive CFs.</t>
  </si>
  <si>
    <r>
      <t xml:space="preserve">HydroCF: Seasonal AFS for existing hydro, calculated by the MIG as the capacity weighted average of country AFS specified in </t>
    </r>
    <r>
      <rPr>
        <i/>
        <sz val="11"/>
        <color indexed="8"/>
        <rFont val="Calibri"/>
        <family val="2"/>
      </rPr>
      <t>EIA_HydroCapacityFactor</t>
    </r>
    <r>
      <rPr>
        <sz val="11"/>
        <color theme="1"/>
        <rFont val="Calibri"/>
        <family val="2"/>
        <scheme val="minor"/>
      </rPr>
      <t>. Do not modify here.</t>
    </r>
  </si>
  <si>
    <t>This scenario contains core information to be injected into both existing and new technology characteristics, as follows:</t>
  </si>
  <si>
    <t>VT_INS_Heat_load_shapes</t>
  </si>
  <si>
    <t>NCAP_START</t>
  </si>
  <si>
    <t>ELESOL-N,ELEWIN-N</t>
  </si>
  <si>
    <t>year</t>
  </si>
  <si>
    <t>USD15</t>
  </si>
  <si>
    <t>Sno</t>
  </si>
  <si>
    <t>Value</t>
  </si>
  <si>
    <t>CmdF_GAMS</t>
  </si>
  <si>
    <t>lo=2</t>
  </si>
  <si>
    <t>will suppress log output in CMD window</t>
  </si>
  <si>
    <t>CmdF_Title</t>
  </si>
  <si>
    <t>will suppress title of CMD window</t>
  </si>
  <si>
    <t>*These options will be written to the CMD file in restart folder case</t>
  </si>
  <si>
    <t>RUS</t>
  </si>
  <si>
    <t>EFF</t>
  </si>
  <si>
    <t>ELCSOL,ELCWIN,ELCHYD</t>
  </si>
  <si>
    <t>varbl</t>
  </si>
  <si>
    <t>region</t>
  </si>
  <si>
    <t>value</t>
  </si>
  <si>
    <t>hmacgdpd</t>
  </si>
  <si>
    <t>USA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</si>
  <si>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</si>
  <si>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</si>
  <si>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</si>
  <si>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</si>
  <si>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</si>
  <si>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</si>
  <si>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</si>
  <si>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</si>
  <si>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</si>
  <si>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</si>
  <si>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</si>
  <si>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OAS</t>
  </si>
  <si>
    <t>URA</t>
  </si>
  <si>
    <t>VDA_EMCB</t>
  </si>
  <si>
    <t>ELE,CHP</t>
  </si>
  <si>
    <t>ELCCOA*</t>
  </si>
  <si>
    <t>ELCOIL</t>
  </si>
  <si>
    <t>ELCOIL_DST</t>
  </si>
  <si>
    <t>Region</t>
  </si>
  <si>
    <t>F</t>
  </si>
  <si>
    <t>AFS</t>
  </si>
  <si>
    <t>EP_Hyd-HY</t>
  </si>
  <si>
    <t>EP_Hyd-Tidal</t>
  </si>
  <si>
    <t>R</t>
  </si>
  <si>
    <t>S</t>
  </si>
  <si>
    <t>W</t>
  </si>
  <si>
    <t>ANNUAL</t>
  </si>
  <si>
    <t>COM_PROJ</t>
  </si>
  <si>
    <t>DEMelcm</t>
  </si>
  <si>
    <t>DEMelin</t>
  </si>
  <si>
    <t>DEMelrs</t>
  </si>
  <si>
    <t>DEMeltr</t>
  </si>
  <si>
    <t>DEMhtin</t>
  </si>
  <si>
    <t>DEMhtcm</t>
  </si>
  <si>
    <t>DEMhtrs</t>
  </si>
  <si>
    <t>COM_IE</t>
  </si>
  <si>
    <t>COM_FR</t>
  </si>
  <si>
    <t>FD</t>
  </si>
  <si>
    <t>FN</t>
  </si>
  <si>
    <t>FP</t>
  </si>
  <si>
    <t>RD</t>
  </si>
  <si>
    <t>RN</t>
  </si>
  <si>
    <t>RP</t>
  </si>
  <si>
    <t>SD</t>
  </si>
  <si>
    <t>SN</t>
  </si>
  <si>
    <t>SP</t>
  </si>
  <si>
    <t>WD</t>
  </si>
  <si>
    <t>WN</t>
  </si>
  <si>
    <t>WP</t>
  </si>
  <si>
    <t>G_YRFR</t>
  </si>
  <si>
    <t>Demht*,-*in</t>
  </si>
  <si>
    <t>*WOF*,-*tran_near*,-*shal_near*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</si>
</sst>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i/>
      <sz val="11"/>
      <color indexed="8"/>
      <name val="Calibri"/>
      <family val="2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7">
    <xf numFmtId="0" fontId="0" fillId="0" borderId="0"/>
    <xf numFmtId="0" fontId="10" fillId="4" borderId="1" applyNumberFormat="0" applyAlignment="0" applyProtection="0"/>
    <xf numFmtId="0" fontId="11" fillId="5" borderId="0" applyNumberFormat="0" applyBorder="0" applyAlignment="0" applyProtection="0"/>
    <xf numFmtId="0" fontId="3" fillId="0" borderId="0"/>
    <xf numFmtId="0" fontId="4" fillId="0" borderId="0"/>
    <xf numFmtId="0" fontId="2" fillId="0" borderId="0"/>
    <xf numFmtId="0" fontId="3" fillId="0" borderId="0"/>
  </cellStyleXfs>
  <cellXfs count="18">
    <xf numFmtId="0" fontId="0" fillId="0" borderId="0" xfId="0"/>
    <xf numFmtId="0" fontId="7" fillId="0" borderId="0" xfId="4" applyFont="1"/>
    <xf numFmtId="0" fontId="8" fillId="2" borderId="0" xfId="4" applyFont="1" applyFill="1"/>
    <xf numFmtId="0" fontId="8" fillId="3" borderId="0" xfId="4" applyFont="1" applyFill="1"/>
    <xf numFmtId="2" fontId="7" fillId="0" borderId="0" xfId="4" applyNumberFormat="1" applyFont="1"/>
    <xf numFmtId="0" fontId="3" fillId="0" borderId="0" xfId="4" applyFont="1"/>
    <xf numFmtId="0" fontId="11" fillId="5" borderId="0" xfId="2"/>
    <xf numFmtId="0" fontId="1" fillId="0" borderId="0" xfId="0" applyNumberFormat="1" applyFont="1" applyFill="1" applyBorder="1" applyAlignment="1" applyProtection="1"/>
    <xf numFmtId="0" fontId="14" fillId="4" borderId="1" xfId="1" applyFont="1"/>
    <xf numFmtId="0" fontId="12" fillId="0" borderId="0" xfId="0" applyFont="1"/>
    <xf numFmtId="0" fontId="0" fillId="0" borderId="0" xfId="0" applyFont="1"/>
    <xf numFmtId="0" fontId="13" fillId="0" borderId="0" xfId="0" applyFont="1"/>
    <xf numFmtId="0" fontId="15" fillId="0" borderId="0" xfId="0" applyFont="1"/>
    <xf numFmtId="0" fontId="0" fillId="0" borderId="0" xfId="0"/>
    <xf numFmtId="2" fontId="11" fillId="5" borderId="0" xfId="2" applyNumberFormat="1"/>
    <xf numFmtId="0" fontId="3" fillId="0" borderId="0" xfId="6" applyFont="1"/>
    <xf numFmtId="0" fontId="11" fillId="5" borderId="0" xfId="2"/>
    <xf numFmtId="0" fontId="0" fillId="0" borderId="0" xfId="0" quotePrefix="1"/>
  </cellXfs>
  <cellStyles count="7">
    <cellStyle name="Input" xfId="1" builtinId="20"/>
    <cellStyle name="Neutral" xfId="2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2 2" xfId="6" xr:uid="{AE99D57F-7953-4AA1-9161-A5C9BDAE27FD}"/>
    <cellStyle name="Normale_Scen_UC_IND-StrucConst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RowHeight="15" x14ac:dyDescent="0.25"/>
  <cols>
    <col min="1" max="256" width="11.42578125" customWidth="1"/>
  </cols>
  <sheetData>
    <row r="1" spans="1:1" x14ac:dyDescent="0.25">
      <c r="A1" s="9" t="s">
        <v>75</v>
      </c>
    </row>
    <row r="2" spans="1:1" x14ac:dyDescent="0.25">
      <c r="A2" t="s">
        <v>92</v>
      </c>
    </row>
    <row r="3" spans="1:1" x14ac:dyDescent="0.25">
      <c r="A3" t="s">
        <v>76</v>
      </c>
    </row>
    <row r="4" spans="1:1" x14ac:dyDescent="0.25">
      <c r="A4" t="s">
        <v>77</v>
      </c>
    </row>
    <row r="5" spans="1:1" x14ac:dyDescent="0.25">
      <c r="A5" t="s">
        <v>78</v>
      </c>
    </row>
    <row r="6" spans="1:1" x14ac:dyDescent="0.25">
      <c r="A6" t="s">
        <v>79</v>
      </c>
    </row>
    <row r="7" spans="1:1" x14ac:dyDescent="0.25">
      <c r="A7" t="s">
        <v>80</v>
      </c>
    </row>
    <row r="8" spans="1:1" x14ac:dyDescent="0.25">
      <c r="A8" s="10" t="s">
        <v>81</v>
      </c>
    </row>
    <row r="9" spans="1:1" x14ac:dyDescent="0.25">
      <c r="A9" s="10" t="s">
        <v>82</v>
      </c>
    </row>
    <row r="10" spans="1:1" x14ac:dyDescent="0.25">
      <c r="A10" s="10" t="s">
        <v>83</v>
      </c>
    </row>
    <row r="11" spans="1:1" x14ac:dyDescent="0.25">
      <c r="A11" s="10" t="s">
        <v>91</v>
      </c>
    </row>
    <row r="12" spans="1:1" x14ac:dyDescent="0.25">
      <c r="A12" s="10" t="s">
        <v>85</v>
      </c>
    </row>
    <row r="13" spans="1:1" x14ac:dyDescent="0.25">
      <c r="A13" s="10" t="s">
        <v>84</v>
      </c>
    </row>
    <row r="14" spans="1:1" x14ac:dyDescent="0.25">
      <c r="A14" s="10" t="s">
        <v>86</v>
      </c>
    </row>
    <row r="15" spans="1:1" x14ac:dyDescent="0.25">
      <c r="A15" s="10" t="s">
        <v>87</v>
      </c>
    </row>
    <row r="16" spans="1:1" x14ac:dyDescent="0.25">
      <c r="A16" s="10" t="s">
        <v>88</v>
      </c>
    </row>
    <row r="17" spans="2:2" x14ac:dyDescent="0.25">
      <c r="B17" s="11" t="s">
        <v>89</v>
      </c>
    </row>
    <row r="18" spans="2:2" x14ac:dyDescent="0.25">
      <c r="B18" s="11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W92"/>
  <sheetViews>
    <sheetView workbookViewId="0"/>
  </sheetViews>
  <sheetFormatPr defaultRowHeight="12.75" x14ac:dyDescent="0.2"/>
  <cols>
    <col min="1" max="1" width="9.140625" style="1" customWidth="1"/>
    <col min="2" max="2" width="9.85546875" style="1" bestFit="1" customWidth="1"/>
    <col min="3" max="3" width="8.42578125" style="1" bestFit="1" customWidth="1"/>
    <col min="4" max="4" width="12.7109375" style="1" bestFit="1" customWidth="1"/>
    <col min="5" max="5" width="5" style="1" bestFit="1" customWidth="1"/>
    <col min="6" max="6" width="14.28515625" style="1" bestFit="1" customWidth="1"/>
    <col min="7" max="7" width="6.85546875" style="1" bestFit="1" customWidth="1"/>
    <col min="8" max="8" width="10.42578125" style="1" bestFit="1" customWidth="1"/>
    <col min="9" max="9" width="8.42578125" style="1" bestFit="1" customWidth="1"/>
    <col min="10" max="10" width="5.140625" style="1" bestFit="1" customWidth="1"/>
    <col min="11" max="12" width="5" style="1" bestFit="1" customWidth="1"/>
    <col min="13" max="256" width="11.42578125" style="1" customWidth="1"/>
    <col min="257" max="16384" width="9.140625" style="1"/>
  </cols>
  <sheetData>
    <row r="2" spans="2:23" x14ac:dyDescent="0.2">
      <c r="B2" s="1" t="s">
        <v>26</v>
      </c>
    </row>
    <row r="3" spans="2:23" ht="15" x14ac:dyDescent="0.25">
      <c r="B3" s="2" t="s">
        <v>3</v>
      </c>
      <c r="C3" s="2" t="s">
        <v>2</v>
      </c>
      <c r="D3" s="2" t="s">
        <v>1</v>
      </c>
      <c r="E3" s="2" t="s">
        <v>0</v>
      </c>
      <c r="F3" s="2" t="s">
        <v>25</v>
      </c>
      <c r="G3" s="3" t="s">
        <v>24</v>
      </c>
      <c r="H3" s="3" t="s">
        <v>4</v>
      </c>
      <c r="I3" s="2" t="s">
        <v>23</v>
      </c>
      <c r="J3" s="3" t="s">
        <v>51</v>
      </c>
      <c r="K3" s="3" t="s">
        <v>52</v>
      </c>
      <c r="L3" s="3" t="s">
        <v>106</v>
      </c>
    </row>
    <row r="4" spans="2:23" x14ac:dyDescent="0.2">
      <c r="D4" s="1" t="s">
        <v>22</v>
      </c>
      <c r="H4" s="4">
        <v>0.25</v>
      </c>
      <c r="I4" s="1" t="s">
        <v>21</v>
      </c>
      <c r="J4" s="1">
        <v>0.05</v>
      </c>
      <c r="K4" s="1">
        <v>0.05</v>
      </c>
      <c r="L4" s="1">
        <f>K4</f>
        <v>0.05</v>
      </c>
      <c r="T4" s="15" t="s">
        <v>109</v>
      </c>
      <c r="U4" s="15" t="s">
        <v>110</v>
      </c>
      <c r="V4" s="15" t="s">
        <v>96</v>
      </c>
      <c r="W4" s="15" t="s">
        <v>111</v>
      </c>
    </row>
    <row r="5" spans="2:23" x14ac:dyDescent="0.2">
      <c r="D5" s="1" t="s">
        <v>20</v>
      </c>
      <c r="H5" s="1">
        <f>MAX('RE assumptions'!$P$2:$P$6)+1</f>
        <v>2019</v>
      </c>
      <c r="T5" s="15" t="s">
        <v>112</v>
      </c>
      <c r="U5" s="15" t="s">
        <v>113</v>
      </c>
      <c r="V5" s="15">
        <v>2001</v>
      </c>
      <c r="W5" s="15">
        <v>0.76282751560211182</v>
      </c>
    </row>
    <row r="6" spans="2:23" ht="15" x14ac:dyDescent="0.25">
      <c r="D6" s="1" t="s">
        <v>19</v>
      </c>
      <c r="H6" s="1">
        <v>1</v>
      </c>
      <c r="O6" s="8">
        <v>7.0000000000000007E-2</v>
      </c>
      <c r="P6" s="5" t="s">
        <v>74</v>
      </c>
      <c r="T6" s="15" t="s">
        <v>112</v>
      </c>
      <c r="U6" s="15" t="s">
        <v>113</v>
      </c>
      <c r="V6" s="15">
        <v>2002</v>
      </c>
      <c r="W6" s="15">
        <v>0.7744603157043457</v>
      </c>
    </row>
    <row r="7" spans="2:23" x14ac:dyDescent="0.2">
      <c r="D7" s="1" t="str">
        <f>IF(F7=G7,"*","")&amp;"G_CUREX"</f>
        <v>G_CUREX</v>
      </c>
      <c r="F7" s="5" t="s">
        <v>97</v>
      </c>
      <c r="G7" s="1" t="str">
        <f>"USD"&amp;RIGHT(O9,2)</f>
        <v>USD83</v>
      </c>
      <c r="H7" s="4">
        <f>ROUND($P$41/P9,4)</f>
        <v>2.0497000000000001</v>
      </c>
      <c r="T7" s="15" t="s">
        <v>112</v>
      </c>
      <c r="U7" s="15" t="s">
        <v>113</v>
      </c>
      <c r="V7" s="15">
        <v>2003</v>
      </c>
      <c r="W7" s="15">
        <v>0.78906536102294922</v>
      </c>
    </row>
    <row r="8" spans="2:23" ht="15" x14ac:dyDescent="0.25">
      <c r="D8" s="1" t="str">
        <f t="shared" ref="D8:D40" si="0">IF(F8=G8,"*","")&amp;"G_CUREX"</f>
        <v>G_CUREX</v>
      </c>
      <c r="F8" s="5" t="s">
        <v>97</v>
      </c>
      <c r="G8" s="1" t="str">
        <f t="shared" ref="G8:G40" si="1">"USD"&amp;RIGHT(O10,2)</f>
        <v>USD84</v>
      </c>
      <c r="H8" s="4">
        <f t="shared" ref="H8:H49" si="2">ROUND($P$41/P10,4)</f>
        <v>1.9782999999999999</v>
      </c>
      <c r="O8" s="6"/>
      <c r="P8" s="6" t="s">
        <v>53</v>
      </c>
      <c r="T8" s="15" t="s">
        <v>112</v>
      </c>
      <c r="U8" s="15" t="s">
        <v>113</v>
      </c>
      <c r="V8" s="15">
        <v>2004</v>
      </c>
      <c r="W8" s="15">
        <v>0.81019747257232666</v>
      </c>
    </row>
    <row r="9" spans="2:23" ht="15" x14ac:dyDescent="0.25">
      <c r="D9" s="1" t="str">
        <f t="shared" si="0"/>
        <v>G_CUREX</v>
      </c>
      <c r="F9" s="5" t="s">
        <v>97</v>
      </c>
      <c r="G9" s="1" t="str">
        <f t="shared" si="1"/>
        <v>USD85</v>
      </c>
      <c r="H9" s="4">
        <f t="shared" si="2"/>
        <v>1.9176</v>
      </c>
      <c r="O9" s="6">
        <v>1983</v>
      </c>
      <c r="P9" s="14">
        <f>VLOOKUP(O9,$V$5:$W$99,2,FALSE)</f>
        <v>0.48787263035774231</v>
      </c>
      <c r="T9" s="15" t="s">
        <v>112</v>
      </c>
      <c r="U9" s="15" t="s">
        <v>113</v>
      </c>
      <c r="V9" s="15">
        <v>2005</v>
      </c>
      <c r="W9" s="15">
        <v>0.83531957864761353</v>
      </c>
    </row>
    <row r="10" spans="2:23" ht="15" x14ac:dyDescent="0.25">
      <c r="D10" s="1" t="str">
        <f t="shared" si="0"/>
        <v>G_CUREX</v>
      </c>
      <c r="F10" s="5" t="s">
        <v>97</v>
      </c>
      <c r="G10" s="1" t="str">
        <f t="shared" si="1"/>
        <v>USD86</v>
      </c>
      <c r="H10" s="4">
        <f t="shared" si="2"/>
        <v>1.8794999999999999</v>
      </c>
      <c r="O10" s="6">
        <v>1984</v>
      </c>
      <c r="P10" s="14">
        <f t="shared" ref="P10:P51" si="3">VLOOKUP(O10,$V$5:$W$99,2,FALSE)</f>
        <v>0.50549513101577759</v>
      </c>
      <c r="T10" s="15" t="s">
        <v>112</v>
      </c>
      <c r="U10" s="15" t="s">
        <v>113</v>
      </c>
      <c r="V10" s="15">
        <v>2006</v>
      </c>
      <c r="W10" s="15">
        <v>0.86080724000930786</v>
      </c>
    </row>
    <row r="11" spans="2:23" ht="15" x14ac:dyDescent="0.25">
      <c r="D11" s="1" t="str">
        <f t="shared" si="0"/>
        <v>G_CUREX</v>
      </c>
      <c r="F11" s="5" t="s">
        <v>97</v>
      </c>
      <c r="G11" s="1" t="str">
        <f t="shared" si="1"/>
        <v>USD87</v>
      </c>
      <c r="H11" s="4">
        <f t="shared" si="2"/>
        <v>1.8345</v>
      </c>
      <c r="O11" s="6">
        <v>1985</v>
      </c>
      <c r="P11" s="14">
        <f t="shared" si="3"/>
        <v>0.52148580551147461</v>
      </c>
      <c r="T11" s="15" t="s">
        <v>112</v>
      </c>
      <c r="U11" s="15" t="s">
        <v>113</v>
      </c>
      <c r="V11" s="15">
        <v>2007</v>
      </c>
      <c r="W11" s="15">
        <v>0.88397014141082764</v>
      </c>
    </row>
    <row r="12" spans="2:23" ht="15" x14ac:dyDescent="0.25">
      <c r="D12" s="1" t="str">
        <f t="shared" si="0"/>
        <v>G_CUREX</v>
      </c>
      <c r="F12" s="5" t="s">
        <v>97</v>
      </c>
      <c r="G12" s="1" t="str">
        <f t="shared" si="1"/>
        <v>USD88</v>
      </c>
      <c r="H12" s="4">
        <f t="shared" si="2"/>
        <v>1.7719</v>
      </c>
      <c r="O12" s="6">
        <v>1986</v>
      </c>
      <c r="P12" s="14">
        <f t="shared" si="3"/>
        <v>0.5320507287979126</v>
      </c>
      <c r="T12" s="15" t="s">
        <v>112</v>
      </c>
      <c r="U12" s="15" t="s">
        <v>113</v>
      </c>
      <c r="V12" s="15">
        <v>2008</v>
      </c>
      <c r="W12" s="15">
        <v>0.90084481239318848</v>
      </c>
    </row>
    <row r="13" spans="2:23" ht="15" x14ac:dyDescent="0.25">
      <c r="D13" s="1" t="str">
        <f t="shared" si="0"/>
        <v>G_CUREX</v>
      </c>
      <c r="F13" s="5" t="s">
        <v>97</v>
      </c>
      <c r="G13" s="1" t="str">
        <f t="shared" si="1"/>
        <v>USD89</v>
      </c>
      <c r="H13" s="4">
        <f t="shared" si="2"/>
        <v>1.7050000000000001</v>
      </c>
      <c r="O13" s="6">
        <v>1987</v>
      </c>
      <c r="P13" s="14">
        <f t="shared" si="3"/>
        <v>0.54511946439743042</v>
      </c>
      <c r="T13" s="15" t="s">
        <v>112</v>
      </c>
      <c r="U13" s="15" t="s">
        <v>113</v>
      </c>
      <c r="V13" s="15">
        <v>2009</v>
      </c>
      <c r="W13" s="15">
        <v>0.90787374973297119</v>
      </c>
    </row>
    <row r="14" spans="2:23" ht="15" x14ac:dyDescent="0.25">
      <c r="D14" s="1" t="str">
        <f t="shared" si="0"/>
        <v>G_CUREX</v>
      </c>
      <c r="F14" s="5" t="s">
        <v>97</v>
      </c>
      <c r="G14" s="1" t="str">
        <f t="shared" si="1"/>
        <v>USD90</v>
      </c>
      <c r="H14" s="4">
        <f t="shared" si="2"/>
        <v>1.6433</v>
      </c>
      <c r="O14" s="6">
        <v>1988</v>
      </c>
      <c r="P14" s="14">
        <f t="shared" si="3"/>
        <v>0.56437134742736816</v>
      </c>
      <c r="T14" s="15" t="s">
        <v>112</v>
      </c>
      <c r="U14" s="15" t="s">
        <v>113</v>
      </c>
      <c r="V14" s="15">
        <v>2010</v>
      </c>
      <c r="W14" s="15">
        <v>0.91847920417785645</v>
      </c>
    </row>
    <row r="15" spans="2:23" ht="15" x14ac:dyDescent="0.25">
      <c r="D15" s="1" t="str">
        <f t="shared" si="0"/>
        <v>G_CUREX</v>
      </c>
      <c r="F15" s="5" t="s">
        <v>97</v>
      </c>
      <c r="G15" s="1" t="str">
        <f t="shared" si="1"/>
        <v>USD91</v>
      </c>
      <c r="H15" s="4">
        <f t="shared" si="2"/>
        <v>1.5898000000000001</v>
      </c>
      <c r="O15" s="6">
        <v>1989</v>
      </c>
      <c r="P15" s="14">
        <f t="shared" si="3"/>
        <v>0.58649742603302002</v>
      </c>
      <c r="T15" s="15" t="s">
        <v>112</v>
      </c>
      <c r="U15" s="15" t="s">
        <v>113</v>
      </c>
      <c r="V15" s="15">
        <v>2011</v>
      </c>
      <c r="W15" s="15">
        <v>0.93761897087097168</v>
      </c>
    </row>
    <row r="16" spans="2:23" ht="15" x14ac:dyDescent="0.25">
      <c r="D16" s="1" t="str">
        <f t="shared" si="0"/>
        <v>G_CUREX</v>
      </c>
      <c r="F16" s="5" t="s">
        <v>97</v>
      </c>
      <c r="G16" s="1" t="str">
        <f t="shared" si="1"/>
        <v>USD92</v>
      </c>
      <c r="H16" s="4">
        <f t="shared" si="2"/>
        <v>1.5543</v>
      </c>
      <c r="O16" s="6">
        <v>1990</v>
      </c>
      <c r="P16" s="14">
        <f t="shared" si="3"/>
        <v>0.60853272676467896</v>
      </c>
      <c r="T16" s="15" t="s">
        <v>112</v>
      </c>
      <c r="U16" s="15" t="s">
        <v>113</v>
      </c>
      <c r="V16" s="15">
        <v>2012</v>
      </c>
      <c r="W16" s="15">
        <v>0.95566660165786743</v>
      </c>
    </row>
    <row r="17" spans="4:23" ht="15" x14ac:dyDescent="0.25">
      <c r="D17" s="1" t="str">
        <f t="shared" si="0"/>
        <v>G_CUREX</v>
      </c>
      <c r="F17" s="5" t="s">
        <v>97</v>
      </c>
      <c r="G17" s="1" t="str">
        <f t="shared" si="1"/>
        <v>USD93</v>
      </c>
      <c r="H17" s="4">
        <f t="shared" si="2"/>
        <v>1.5183</v>
      </c>
      <c r="O17" s="6">
        <v>1991</v>
      </c>
      <c r="P17" s="14">
        <f t="shared" si="3"/>
        <v>0.6290125846862793</v>
      </c>
      <c r="T17" s="15" t="s">
        <v>112</v>
      </c>
      <c r="U17" s="15" t="s">
        <v>113</v>
      </c>
      <c r="V17" s="15">
        <v>2013</v>
      </c>
      <c r="W17" s="15">
        <v>0.97260576486587524</v>
      </c>
    </row>
    <row r="18" spans="4:23" ht="15" x14ac:dyDescent="0.25">
      <c r="D18" s="1" t="str">
        <f t="shared" si="0"/>
        <v>G_CUREX</v>
      </c>
      <c r="F18" s="5" t="s">
        <v>97</v>
      </c>
      <c r="G18" s="1" t="str">
        <f t="shared" si="1"/>
        <v>USD94</v>
      </c>
      <c r="H18" s="4">
        <f t="shared" si="2"/>
        <v>1.4865999999999999</v>
      </c>
      <c r="O18" s="6">
        <v>1992</v>
      </c>
      <c r="P18" s="14">
        <f t="shared" si="3"/>
        <v>0.64336210489273071</v>
      </c>
      <c r="T18" s="15" t="s">
        <v>112</v>
      </c>
      <c r="U18" s="15" t="s">
        <v>113</v>
      </c>
      <c r="V18" s="15">
        <v>2014</v>
      </c>
      <c r="W18" s="15">
        <v>0.99051731824874878</v>
      </c>
    </row>
    <row r="19" spans="4:23" ht="15" x14ac:dyDescent="0.25">
      <c r="D19" s="1" t="str">
        <f t="shared" si="0"/>
        <v>G_CUREX</v>
      </c>
      <c r="F19" s="5" t="s">
        <v>97</v>
      </c>
      <c r="G19" s="1" t="str">
        <f t="shared" si="1"/>
        <v>USD95</v>
      </c>
      <c r="H19" s="4">
        <f t="shared" si="2"/>
        <v>1.4560999999999999</v>
      </c>
      <c r="O19" s="6">
        <v>1993</v>
      </c>
      <c r="P19" s="14">
        <f t="shared" si="3"/>
        <v>0.658619225025177</v>
      </c>
      <c r="T19" s="15" t="s">
        <v>112</v>
      </c>
      <c r="U19" s="15" t="s">
        <v>113</v>
      </c>
      <c r="V19" s="15">
        <v>2015</v>
      </c>
      <c r="W19" s="15">
        <v>1</v>
      </c>
    </row>
    <row r="20" spans="4:23" ht="15" x14ac:dyDescent="0.25">
      <c r="D20" s="1" t="str">
        <f t="shared" si="0"/>
        <v>G_CUREX</v>
      </c>
      <c r="F20" s="5" t="s">
        <v>97</v>
      </c>
      <c r="G20" s="1" t="str">
        <f t="shared" si="1"/>
        <v>USD96</v>
      </c>
      <c r="H20" s="4">
        <f t="shared" si="2"/>
        <v>1.4298999999999999</v>
      </c>
      <c r="O20" s="6">
        <v>1994</v>
      </c>
      <c r="P20" s="14">
        <f t="shared" si="3"/>
        <v>0.67265796661376953</v>
      </c>
      <c r="T20" s="15" t="s">
        <v>112</v>
      </c>
      <c r="U20" s="15" t="s">
        <v>113</v>
      </c>
      <c r="V20" s="15">
        <v>2016</v>
      </c>
      <c r="W20" s="15">
        <v>1.0104837417602539</v>
      </c>
    </row>
    <row r="21" spans="4:23" ht="15" x14ac:dyDescent="0.25">
      <c r="D21" s="1" t="str">
        <f t="shared" si="0"/>
        <v>G_CUREX</v>
      </c>
      <c r="F21" s="5" t="s">
        <v>97</v>
      </c>
      <c r="G21" s="1" t="str">
        <f t="shared" si="1"/>
        <v>USD97</v>
      </c>
      <c r="H21" s="4">
        <f t="shared" si="2"/>
        <v>1.4056</v>
      </c>
      <c r="O21" s="6">
        <v>1995</v>
      </c>
      <c r="P21" s="14">
        <f t="shared" si="3"/>
        <v>0.68678039312362671</v>
      </c>
      <c r="T21" s="15" t="s">
        <v>112</v>
      </c>
      <c r="U21" s="15" t="s">
        <v>113</v>
      </c>
      <c r="V21" s="15">
        <v>2017</v>
      </c>
      <c r="W21" s="15">
        <v>1.0297403335571289</v>
      </c>
    </row>
    <row r="22" spans="4:23" ht="15" x14ac:dyDescent="0.25">
      <c r="D22" s="1" t="str">
        <f t="shared" si="0"/>
        <v>G_CUREX</v>
      </c>
      <c r="F22" s="5" t="s">
        <v>97</v>
      </c>
      <c r="G22" s="1" t="str">
        <f t="shared" si="1"/>
        <v>USD98</v>
      </c>
      <c r="H22" s="4">
        <f t="shared" si="2"/>
        <v>1.3902000000000001</v>
      </c>
      <c r="O22" s="6">
        <v>1996</v>
      </c>
      <c r="P22" s="14">
        <f t="shared" si="3"/>
        <v>0.69933539628982544</v>
      </c>
      <c r="T22" s="15" t="s">
        <v>112</v>
      </c>
      <c r="U22" s="15" t="s">
        <v>113</v>
      </c>
      <c r="V22" s="15">
        <v>2018</v>
      </c>
      <c r="W22" s="15">
        <v>1.0543080568313599</v>
      </c>
    </row>
    <row r="23" spans="4:23" ht="15" x14ac:dyDescent="0.25">
      <c r="D23" s="1" t="str">
        <f t="shared" si="0"/>
        <v>G_CUREX</v>
      </c>
      <c r="F23" s="5" t="s">
        <v>97</v>
      </c>
      <c r="G23" s="1" t="str">
        <f t="shared" si="1"/>
        <v>USD99</v>
      </c>
      <c r="H23" s="4">
        <f t="shared" si="2"/>
        <v>1.3706</v>
      </c>
      <c r="O23" s="6">
        <v>1997</v>
      </c>
      <c r="P23" s="14">
        <f t="shared" si="3"/>
        <v>0.71145087480545044</v>
      </c>
      <c r="T23" s="15" t="s">
        <v>112</v>
      </c>
      <c r="U23" s="15" t="s">
        <v>113</v>
      </c>
      <c r="V23" s="15">
        <v>2019</v>
      </c>
      <c r="W23" s="15">
        <v>1.073378324508667</v>
      </c>
    </row>
    <row r="24" spans="4:23" ht="15" x14ac:dyDescent="0.25">
      <c r="D24" s="1" t="str">
        <f t="shared" si="0"/>
        <v>G_CUREX</v>
      </c>
      <c r="F24" s="5" t="s">
        <v>97</v>
      </c>
      <c r="G24" s="1" t="str">
        <f t="shared" si="1"/>
        <v>USD00</v>
      </c>
      <c r="H24" s="4">
        <f t="shared" si="2"/>
        <v>1.3403</v>
      </c>
      <c r="O24" s="6">
        <v>1998</v>
      </c>
      <c r="P24" s="14">
        <f t="shared" si="3"/>
        <v>0.71929687261581421</v>
      </c>
      <c r="T24" s="15" t="s">
        <v>112</v>
      </c>
      <c r="U24" s="15" t="s">
        <v>113</v>
      </c>
      <c r="V24" s="15">
        <v>2020</v>
      </c>
      <c r="W24" s="15">
        <v>1.0831453800201416</v>
      </c>
    </row>
    <row r="25" spans="4:23" ht="15" x14ac:dyDescent="0.25">
      <c r="D25" s="1" t="str">
        <f t="shared" si="0"/>
        <v>G_CUREX</v>
      </c>
      <c r="F25" s="5" t="s">
        <v>97</v>
      </c>
      <c r="G25" s="1" t="str">
        <f t="shared" si="1"/>
        <v>USD01</v>
      </c>
      <c r="H25" s="4">
        <f t="shared" si="2"/>
        <v>1.3109</v>
      </c>
      <c r="O25" s="6">
        <v>1999</v>
      </c>
      <c r="P25" s="14">
        <f t="shared" si="3"/>
        <v>0.72961330413818359</v>
      </c>
      <c r="T25" s="15" t="s">
        <v>112</v>
      </c>
      <c r="U25" s="15" t="s">
        <v>113</v>
      </c>
      <c r="V25" s="15">
        <v>2021</v>
      </c>
      <c r="W25" s="15">
        <v>1.0945699214935303</v>
      </c>
    </row>
    <row r="26" spans="4:23" ht="15" x14ac:dyDescent="0.25">
      <c r="D26" s="1" t="str">
        <f t="shared" si="0"/>
        <v>G_CUREX</v>
      </c>
      <c r="F26" s="5" t="s">
        <v>97</v>
      </c>
      <c r="G26" s="1" t="str">
        <f t="shared" si="1"/>
        <v>USD02</v>
      </c>
      <c r="H26" s="4">
        <f t="shared" si="2"/>
        <v>1.2911999999999999</v>
      </c>
      <c r="O26" s="6">
        <v>2000</v>
      </c>
      <c r="P26" s="14">
        <f t="shared" si="3"/>
        <v>0.7460746169090271</v>
      </c>
      <c r="T26" s="15" t="s">
        <v>112</v>
      </c>
      <c r="U26" s="15" t="s">
        <v>113</v>
      </c>
      <c r="V26" s="15">
        <v>2022</v>
      </c>
      <c r="W26" s="15">
        <v>1.1073887348175049</v>
      </c>
    </row>
    <row r="27" spans="4:23" ht="15" x14ac:dyDescent="0.25">
      <c r="D27" s="1" t="str">
        <f t="shared" si="0"/>
        <v>G_CUREX</v>
      </c>
      <c r="F27" s="5" t="s">
        <v>97</v>
      </c>
      <c r="G27" s="1" t="str">
        <f t="shared" si="1"/>
        <v>USD03</v>
      </c>
      <c r="H27" s="4">
        <f t="shared" si="2"/>
        <v>1.2673000000000001</v>
      </c>
      <c r="O27" s="6">
        <v>2001</v>
      </c>
      <c r="P27" s="14">
        <f t="shared" si="3"/>
        <v>0.76282751560211182</v>
      </c>
      <c r="T27" s="15" t="s">
        <v>112</v>
      </c>
      <c r="U27" s="15" t="s">
        <v>113</v>
      </c>
      <c r="V27" s="15">
        <v>2023</v>
      </c>
      <c r="W27" s="15">
        <v>1.1224308013916016</v>
      </c>
    </row>
    <row r="28" spans="4:23" ht="15" x14ac:dyDescent="0.25">
      <c r="D28" s="1" t="str">
        <f t="shared" si="0"/>
        <v>G_CUREX</v>
      </c>
      <c r="F28" s="5" t="s">
        <v>97</v>
      </c>
      <c r="G28" s="1" t="str">
        <f t="shared" si="1"/>
        <v>USD04</v>
      </c>
      <c r="H28" s="4">
        <f t="shared" si="2"/>
        <v>1.2343</v>
      </c>
      <c r="O28" s="6">
        <v>2002</v>
      </c>
      <c r="P28" s="14">
        <f t="shared" si="3"/>
        <v>0.7744603157043457</v>
      </c>
      <c r="T28" s="15" t="s">
        <v>112</v>
      </c>
      <c r="U28" s="15" t="s">
        <v>113</v>
      </c>
      <c r="V28" s="15">
        <v>2024</v>
      </c>
      <c r="W28" s="15">
        <v>1.1412873268127441</v>
      </c>
    </row>
    <row r="29" spans="4:23" ht="15" x14ac:dyDescent="0.25">
      <c r="D29" s="1" t="str">
        <f t="shared" si="0"/>
        <v>G_CUREX</v>
      </c>
      <c r="F29" s="5" t="s">
        <v>97</v>
      </c>
      <c r="G29" s="1" t="str">
        <f t="shared" si="1"/>
        <v>USD05</v>
      </c>
      <c r="H29" s="4">
        <f t="shared" si="2"/>
        <v>1.1971000000000001</v>
      </c>
      <c r="O29" s="6">
        <v>2003</v>
      </c>
      <c r="P29" s="14">
        <f t="shared" si="3"/>
        <v>0.78906536102294922</v>
      </c>
      <c r="T29" s="15" t="s">
        <v>112</v>
      </c>
      <c r="U29" s="15" t="s">
        <v>113</v>
      </c>
      <c r="V29" s="15">
        <v>2025</v>
      </c>
      <c r="W29" s="15">
        <v>1.165064811706543</v>
      </c>
    </row>
    <row r="30" spans="4:23" ht="15" x14ac:dyDescent="0.25">
      <c r="D30" s="1" t="str">
        <f t="shared" si="0"/>
        <v>G_CUREX</v>
      </c>
      <c r="F30" s="5" t="s">
        <v>97</v>
      </c>
      <c r="G30" s="1" t="str">
        <f t="shared" si="1"/>
        <v>USD06</v>
      </c>
      <c r="H30" s="4">
        <f t="shared" si="2"/>
        <v>1.1617</v>
      </c>
      <c r="O30" s="6">
        <v>2004</v>
      </c>
      <c r="P30" s="14">
        <f t="shared" si="3"/>
        <v>0.81019747257232666</v>
      </c>
      <c r="T30" s="15" t="s">
        <v>112</v>
      </c>
      <c r="U30" s="15" t="s">
        <v>113</v>
      </c>
      <c r="V30" s="15">
        <v>2026</v>
      </c>
      <c r="W30" s="15">
        <v>1.1928025484085083</v>
      </c>
    </row>
    <row r="31" spans="4:23" ht="15" x14ac:dyDescent="0.25">
      <c r="D31" s="1" t="str">
        <f t="shared" si="0"/>
        <v>G_CUREX</v>
      </c>
      <c r="F31" s="5" t="s">
        <v>97</v>
      </c>
      <c r="G31" s="1" t="str">
        <f t="shared" si="1"/>
        <v>USD07</v>
      </c>
      <c r="H31" s="4">
        <f t="shared" si="2"/>
        <v>1.1313</v>
      </c>
      <c r="O31" s="6">
        <v>2005</v>
      </c>
      <c r="P31" s="14">
        <f t="shared" si="3"/>
        <v>0.83531957864761353</v>
      </c>
      <c r="T31" s="15" t="s">
        <v>112</v>
      </c>
      <c r="U31" s="15" t="s">
        <v>113</v>
      </c>
      <c r="V31" s="15">
        <v>2027</v>
      </c>
      <c r="W31" s="15">
        <v>1.2230976819992065</v>
      </c>
    </row>
    <row r="32" spans="4:23" ht="15" x14ac:dyDescent="0.25">
      <c r="D32" s="1" t="str">
        <f t="shared" si="0"/>
        <v>G_CUREX</v>
      </c>
      <c r="F32" s="5" t="s">
        <v>97</v>
      </c>
      <c r="G32" s="1" t="str">
        <f t="shared" si="1"/>
        <v>USD08</v>
      </c>
      <c r="H32" s="4">
        <f t="shared" si="2"/>
        <v>1.1101000000000001</v>
      </c>
      <c r="O32" s="6">
        <v>2006</v>
      </c>
      <c r="P32" s="14">
        <f t="shared" si="3"/>
        <v>0.86080724000930786</v>
      </c>
      <c r="T32" s="15" t="s">
        <v>112</v>
      </c>
      <c r="U32" s="15" t="s">
        <v>113</v>
      </c>
      <c r="V32" s="15">
        <v>2028</v>
      </c>
      <c r="W32" s="15">
        <v>1.2553139925003052</v>
      </c>
    </row>
    <row r="33" spans="4:23" ht="15" x14ac:dyDescent="0.25">
      <c r="D33" s="1" t="str">
        <f t="shared" si="0"/>
        <v>G_CUREX</v>
      </c>
      <c r="F33" s="5" t="s">
        <v>97</v>
      </c>
      <c r="G33" s="1" t="str">
        <f t="shared" si="1"/>
        <v>USD09</v>
      </c>
      <c r="H33" s="4">
        <f t="shared" si="2"/>
        <v>1.1014999999999999</v>
      </c>
      <c r="O33" s="6">
        <v>2007</v>
      </c>
      <c r="P33" s="14">
        <f t="shared" si="3"/>
        <v>0.88397014141082764</v>
      </c>
      <c r="T33" s="15" t="s">
        <v>112</v>
      </c>
      <c r="U33" s="15" t="s">
        <v>113</v>
      </c>
      <c r="V33" s="15">
        <v>2029</v>
      </c>
      <c r="W33" s="15">
        <v>1.2883955240249634</v>
      </c>
    </row>
    <row r="34" spans="4:23" ht="15" x14ac:dyDescent="0.25">
      <c r="D34" s="1" t="str">
        <f t="shared" si="0"/>
        <v>G_CUREX</v>
      </c>
      <c r="F34" s="5" t="s">
        <v>97</v>
      </c>
      <c r="G34" s="1" t="str">
        <f t="shared" si="1"/>
        <v>USD10</v>
      </c>
      <c r="H34" s="4">
        <f t="shared" si="2"/>
        <v>1.0888</v>
      </c>
      <c r="O34" s="6">
        <v>2008</v>
      </c>
      <c r="P34" s="14">
        <f t="shared" si="3"/>
        <v>0.90084481239318848</v>
      </c>
      <c r="T34" s="15" t="s">
        <v>112</v>
      </c>
      <c r="U34" s="15" t="s">
        <v>113</v>
      </c>
      <c r="V34" s="15">
        <v>2030</v>
      </c>
      <c r="W34" s="15">
        <v>1.3217517137527466</v>
      </c>
    </row>
    <row r="35" spans="4:23" ht="15" x14ac:dyDescent="0.25">
      <c r="D35" s="1" t="str">
        <f t="shared" si="0"/>
        <v>G_CUREX</v>
      </c>
      <c r="F35" s="5" t="s">
        <v>97</v>
      </c>
      <c r="G35" s="1" t="str">
        <f t="shared" si="1"/>
        <v>USD11</v>
      </c>
      <c r="H35" s="4">
        <f t="shared" si="2"/>
        <v>1.0665</v>
      </c>
      <c r="O35" s="6">
        <v>2009</v>
      </c>
      <c r="P35" s="14">
        <f t="shared" si="3"/>
        <v>0.90787374973297119</v>
      </c>
      <c r="T35" s="15" t="s">
        <v>112</v>
      </c>
      <c r="U35" s="15" t="s">
        <v>113</v>
      </c>
      <c r="V35" s="15">
        <v>1980</v>
      </c>
      <c r="W35" s="15">
        <v>0.40403914451599121</v>
      </c>
    </row>
    <row r="36" spans="4:23" ht="15" x14ac:dyDescent="0.25">
      <c r="D36" s="1" t="str">
        <f t="shared" si="0"/>
        <v>G_CUREX</v>
      </c>
      <c r="F36" s="5" t="s">
        <v>97</v>
      </c>
      <c r="G36" s="1" t="str">
        <f t="shared" si="1"/>
        <v>USD12</v>
      </c>
      <c r="H36" s="4">
        <f t="shared" si="2"/>
        <v>1.0464</v>
      </c>
      <c r="O36" s="6">
        <v>2010</v>
      </c>
      <c r="P36" s="14">
        <f t="shared" si="3"/>
        <v>0.91847920417785645</v>
      </c>
      <c r="T36" s="15" t="s">
        <v>112</v>
      </c>
      <c r="U36" s="15" t="s">
        <v>113</v>
      </c>
      <c r="V36" s="15">
        <v>1981</v>
      </c>
      <c r="W36" s="15">
        <v>0.44217979907989502</v>
      </c>
    </row>
    <row r="37" spans="4:23" ht="15" x14ac:dyDescent="0.25">
      <c r="D37" s="1" t="str">
        <f t="shared" si="0"/>
        <v>G_CUREX</v>
      </c>
      <c r="F37" s="5" t="s">
        <v>97</v>
      </c>
      <c r="G37" s="1" t="str">
        <f t="shared" si="1"/>
        <v>USD13</v>
      </c>
      <c r="H37" s="4">
        <f t="shared" si="2"/>
        <v>1.0282</v>
      </c>
      <c r="O37" s="6">
        <v>2011</v>
      </c>
      <c r="P37" s="14">
        <f t="shared" si="3"/>
        <v>0.93761897087097168</v>
      </c>
      <c r="T37" s="15" t="s">
        <v>112</v>
      </c>
      <c r="U37" s="15" t="s">
        <v>113</v>
      </c>
      <c r="V37" s="15">
        <v>1982</v>
      </c>
      <c r="W37" s="15">
        <v>0.46952143311500549</v>
      </c>
    </row>
    <row r="38" spans="4:23" ht="15" x14ac:dyDescent="0.25">
      <c r="D38" s="1" t="str">
        <f t="shared" si="0"/>
        <v>G_CUREX</v>
      </c>
      <c r="F38" s="5" t="s">
        <v>97</v>
      </c>
      <c r="G38" s="1" t="str">
        <f t="shared" si="1"/>
        <v>USD14</v>
      </c>
      <c r="H38" s="4">
        <f t="shared" si="2"/>
        <v>1.0096000000000001</v>
      </c>
      <c r="O38" s="6">
        <v>2012</v>
      </c>
      <c r="P38" s="14">
        <f t="shared" si="3"/>
        <v>0.95566660165786743</v>
      </c>
      <c r="T38" s="15" t="s">
        <v>112</v>
      </c>
      <c r="U38" s="15" t="s">
        <v>113</v>
      </c>
      <c r="V38" s="15">
        <v>1983</v>
      </c>
      <c r="W38" s="15">
        <v>0.48787263035774231</v>
      </c>
    </row>
    <row r="39" spans="4:23" ht="15" x14ac:dyDescent="0.25">
      <c r="D39" s="1" t="str">
        <f t="shared" si="0"/>
        <v>*G_CUREX</v>
      </c>
      <c r="F39" s="5" t="s">
        <v>97</v>
      </c>
      <c r="G39" s="1" t="str">
        <f t="shared" si="1"/>
        <v>USD15</v>
      </c>
      <c r="H39" s="4">
        <f t="shared" si="2"/>
        <v>1</v>
      </c>
      <c r="O39" s="6">
        <v>2013</v>
      </c>
      <c r="P39" s="14">
        <f t="shared" si="3"/>
        <v>0.97260576486587524</v>
      </c>
      <c r="T39" s="15" t="s">
        <v>112</v>
      </c>
      <c r="U39" s="15" t="s">
        <v>113</v>
      </c>
      <c r="V39" s="15">
        <v>1984</v>
      </c>
      <c r="W39" s="15">
        <v>0.50549513101577759</v>
      </c>
    </row>
    <row r="40" spans="4:23" ht="15" x14ac:dyDescent="0.25">
      <c r="D40" s="1" t="str">
        <f t="shared" si="0"/>
        <v>G_CUREX</v>
      </c>
      <c r="F40" s="5" t="s">
        <v>97</v>
      </c>
      <c r="G40" s="1" t="str">
        <f t="shared" si="1"/>
        <v>USD16</v>
      </c>
      <c r="H40" s="4">
        <f t="shared" si="2"/>
        <v>0.98960000000000004</v>
      </c>
      <c r="O40" s="6">
        <v>2014</v>
      </c>
      <c r="P40" s="14">
        <f t="shared" si="3"/>
        <v>0.99051731824874878</v>
      </c>
      <c r="T40" s="15" t="s">
        <v>112</v>
      </c>
      <c r="U40" s="15" t="s">
        <v>113</v>
      </c>
      <c r="V40" s="15">
        <v>1985</v>
      </c>
      <c r="W40" s="15">
        <v>0.52148580551147461</v>
      </c>
    </row>
    <row r="41" spans="4:23" ht="15" x14ac:dyDescent="0.25">
      <c r="D41" s="1" t="str">
        <f>IF(F41=G41,"*","")&amp;"G_CUREX"</f>
        <v>G_CUREX</v>
      </c>
      <c r="F41" s="5" t="s">
        <v>97</v>
      </c>
      <c r="G41" s="1" t="str">
        <f>"USD"&amp;RIGHT(O43,2)</f>
        <v>USD17</v>
      </c>
      <c r="H41" s="4">
        <f t="shared" si="2"/>
        <v>0.97109999999999996</v>
      </c>
      <c r="O41" s="16">
        <v>2015</v>
      </c>
      <c r="P41" s="14">
        <f t="shared" si="3"/>
        <v>1</v>
      </c>
      <c r="T41" s="15" t="s">
        <v>112</v>
      </c>
      <c r="U41" s="15" t="s">
        <v>113</v>
      </c>
      <c r="V41" s="15">
        <v>1986</v>
      </c>
      <c r="W41" s="15">
        <v>0.5320507287979126</v>
      </c>
    </row>
    <row r="42" spans="4:23" ht="15" x14ac:dyDescent="0.25">
      <c r="D42" s="1" t="str">
        <f>IF(F42=G42,"*","")&amp;"G_CUREX"</f>
        <v>G_CUREX</v>
      </c>
      <c r="F42" s="5" t="s">
        <v>97</v>
      </c>
      <c r="G42" s="1" t="str">
        <f>"USD"&amp;RIGHT(O44,2)</f>
        <v>USD18</v>
      </c>
      <c r="H42" s="4">
        <f t="shared" si="2"/>
        <v>0.94850000000000001</v>
      </c>
      <c r="O42" s="16">
        <v>2016</v>
      </c>
      <c r="P42" s="14">
        <f t="shared" si="3"/>
        <v>1.0104837417602539</v>
      </c>
      <c r="T42" s="15" t="s">
        <v>112</v>
      </c>
      <c r="U42" s="15" t="s">
        <v>113</v>
      </c>
      <c r="V42" s="15">
        <v>1987</v>
      </c>
      <c r="W42" s="15">
        <v>0.54511946439743042</v>
      </c>
    </row>
    <row r="43" spans="4:23" ht="15" x14ac:dyDescent="0.25">
      <c r="D43" s="1" t="str">
        <f t="shared" ref="D43:D49" si="4">IF(F43=G43,"*","")&amp;"G_CUREX"</f>
        <v>G_CUREX</v>
      </c>
      <c r="F43" s="5" t="s">
        <v>97</v>
      </c>
      <c r="G43" s="1" t="str">
        <f t="shared" ref="G43:G49" si="5">"USD"&amp;RIGHT(O45,2)</f>
        <v>USD19</v>
      </c>
      <c r="H43" s="4">
        <f t="shared" si="2"/>
        <v>0.93159999999999998</v>
      </c>
      <c r="O43" s="16">
        <v>2017</v>
      </c>
      <c r="P43" s="14">
        <f t="shared" si="3"/>
        <v>1.0297403335571289</v>
      </c>
      <c r="T43" s="15" t="s">
        <v>112</v>
      </c>
      <c r="U43" s="15" t="s">
        <v>113</v>
      </c>
      <c r="V43" s="15">
        <v>1988</v>
      </c>
      <c r="W43" s="15">
        <v>0.56437134742736816</v>
      </c>
    </row>
    <row r="44" spans="4:23" ht="15" x14ac:dyDescent="0.25">
      <c r="D44" s="1" t="str">
        <f t="shared" si="4"/>
        <v>G_CUREX</v>
      </c>
      <c r="F44" s="5" t="s">
        <v>97</v>
      </c>
      <c r="G44" s="1" t="str">
        <f t="shared" si="5"/>
        <v>USD20</v>
      </c>
      <c r="H44" s="4">
        <f t="shared" si="2"/>
        <v>0.92320000000000002</v>
      </c>
      <c r="O44" s="16">
        <v>2018</v>
      </c>
      <c r="P44" s="14">
        <f t="shared" si="3"/>
        <v>1.0543080568313599</v>
      </c>
      <c r="T44" s="15" t="s">
        <v>112</v>
      </c>
      <c r="U44" s="15" t="s">
        <v>113</v>
      </c>
      <c r="V44" s="15">
        <v>1989</v>
      </c>
      <c r="W44" s="15">
        <v>0.58649742603302002</v>
      </c>
    </row>
    <row r="45" spans="4:23" ht="15" x14ac:dyDescent="0.25">
      <c r="D45" s="1" t="str">
        <f t="shared" si="4"/>
        <v>G_CUREX</v>
      </c>
      <c r="F45" s="5" t="s">
        <v>97</v>
      </c>
      <c r="G45" s="1" t="str">
        <f t="shared" si="5"/>
        <v>USD21</v>
      </c>
      <c r="H45" s="4">
        <f t="shared" si="2"/>
        <v>0.91359999999999997</v>
      </c>
      <c r="O45" s="16">
        <v>2019</v>
      </c>
      <c r="P45" s="14">
        <f t="shared" si="3"/>
        <v>1.073378324508667</v>
      </c>
      <c r="T45" s="15" t="s">
        <v>112</v>
      </c>
      <c r="U45" s="15" t="s">
        <v>113</v>
      </c>
      <c r="V45" s="15">
        <v>1990</v>
      </c>
      <c r="W45" s="15">
        <v>0.60853272676467896</v>
      </c>
    </row>
    <row r="46" spans="4:23" ht="15" x14ac:dyDescent="0.25">
      <c r="D46" s="1" t="str">
        <f t="shared" si="4"/>
        <v>G_CUREX</v>
      </c>
      <c r="F46" s="5" t="s">
        <v>97</v>
      </c>
      <c r="G46" s="1" t="str">
        <f t="shared" si="5"/>
        <v>USD22</v>
      </c>
      <c r="H46" s="4">
        <f t="shared" si="2"/>
        <v>0.90300000000000002</v>
      </c>
      <c r="O46" s="16">
        <v>2020</v>
      </c>
      <c r="P46" s="14">
        <f t="shared" si="3"/>
        <v>1.0831453800201416</v>
      </c>
      <c r="T46" s="15" t="s">
        <v>112</v>
      </c>
      <c r="U46" s="15" t="s">
        <v>113</v>
      </c>
      <c r="V46" s="15">
        <v>1991</v>
      </c>
      <c r="W46" s="15">
        <v>0.6290125846862793</v>
      </c>
    </row>
    <row r="47" spans="4:23" ht="15" x14ac:dyDescent="0.25">
      <c r="D47" s="1" t="str">
        <f t="shared" si="4"/>
        <v>G_CUREX</v>
      </c>
      <c r="F47" s="5" t="s">
        <v>97</v>
      </c>
      <c r="G47" s="1" t="str">
        <f>"USD"&amp;RIGHT(O49,2)</f>
        <v>USD23</v>
      </c>
      <c r="H47" s="4">
        <f t="shared" si="2"/>
        <v>0.89090000000000003</v>
      </c>
      <c r="O47" s="16">
        <v>2021</v>
      </c>
      <c r="P47" s="14">
        <f t="shared" si="3"/>
        <v>1.0945699214935303</v>
      </c>
      <c r="T47" s="15" t="s">
        <v>112</v>
      </c>
      <c r="U47" s="15" t="s">
        <v>113</v>
      </c>
      <c r="V47" s="15">
        <v>1992</v>
      </c>
      <c r="W47" s="15">
        <v>0.64336210489273071</v>
      </c>
    </row>
    <row r="48" spans="4:23" ht="15" x14ac:dyDescent="0.25">
      <c r="D48" s="1" t="str">
        <f t="shared" si="4"/>
        <v>G_CUREX</v>
      </c>
      <c r="F48" s="5" t="s">
        <v>97</v>
      </c>
      <c r="G48" s="1" t="str">
        <f t="shared" si="5"/>
        <v>USD24</v>
      </c>
      <c r="H48" s="4">
        <f t="shared" si="2"/>
        <v>0.87619999999999998</v>
      </c>
      <c r="O48" s="16">
        <v>2022</v>
      </c>
      <c r="P48" s="14">
        <f t="shared" si="3"/>
        <v>1.1073887348175049</v>
      </c>
      <c r="T48" s="15" t="s">
        <v>112</v>
      </c>
      <c r="U48" s="15" t="s">
        <v>113</v>
      </c>
      <c r="V48" s="15">
        <v>1993</v>
      </c>
      <c r="W48" s="15">
        <v>0.658619225025177</v>
      </c>
    </row>
    <row r="49" spans="4:23" ht="15" x14ac:dyDescent="0.25">
      <c r="D49" s="1" t="str">
        <f t="shared" si="4"/>
        <v>G_CUREX</v>
      </c>
      <c r="F49" s="5" t="s">
        <v>97</v>
      </c>
      <c r="G49" s="1" t="str">
        <f t="shared" si="5"/>
        <v>USD25</v>
      </c>
      <c r="H49" s="4">
        <f t="shared" si="2"/>
        <v>0.85829999999999995</v>
      </c>
      <c r="O49" s="16">
        <v>2023</v>
      </c>
      <c r="P49" s="14">
        <f t="shared" si="3"/>
        <v>1.1224308013916016</v>
      </c>
      <c r="T49" s="15" t="s">
        <v>112</v>
      </c>
      <c r="U49" s="15" t="s">
        <v>113</v>
      </c>
      <c r="V49" s="15">
        <v>1994</v>
      </c>
      <c r="W49" s="15">
        <v>0.67265796661376953</v>
      </c>
    </row>
    <row r="50" spans="4:23" ht="15" x14ac:dyDescent="0.25">
      <c r="D50" s="5" t="s">
        <v>18</v>
      </c>
      <c r="G50" s="1" t="str">
        <f t="shared" ref="G50:G85" si="6">G7</f>
        <v>USD83</v>
      </c>
      <c r="H50" s="4">
        <f>$O$6</f>
        <v>7.0000000000000007E-2</v>
      </c>
      <c r="O50" s="16">
        <v>2024</v>
      </c>
      <c r="P50" s="14">
        <f t="shared" si="3"/>
        <v>1.1412873268127441</v>
      </c>
      <c r="T50" s="15" t="s">
        <v>112</v>
      </c>
      <c r="U50" s="15" t="s">
        <v>113</v>
      </c>
      <c r="V50" s="15">
        <v>1995</v>
      </c>
      <c r="W50" s="15">
        <v>0.68678039312362671</v>
      </c>
    </row>
    <row r="51" spans="4:23" ht="15" x14ac:dyDescent="0.25">
      <c r="D51" s="5" t="s">
        <v>18</v>
      </c>
      <c r="G51" s="1" t="str">
        <f t="shared" si="6"/>
        <v>USD84</v>
      </c>
      <c r="H51" s="4">
        <f t="shared" ref="H51:H92" si="7">$O$6</f>
        <v>7.0000000000000007E-2</v>
      </c>
      <c r="O51" s="16">
        <v>2025</v>
      </c>
      <c r="P51" s="14">
        <f t="shared" si="3"/>
        <v>1.165064811706543</v>
      </c>
      <c r="T51" s="15" t="s">
        <v>112</v>
      </c>
      <c r="U51" s="15" t="s">
        <v>113</v>
      </c>
      <c r="V51" s="15">
        <v>1996</v>
      </c>
      <c r="W51" s="15">
        <v>0.69933539628982544</v>
      </c>
    </row>
    <row r="52" spans="4:23" x14ac:dyDescent="0.2">
      <c r="D52" s="5" t="s">
        <v>18</v>
      </c>
      <c r="G52" s="1" t="str">
        <f t="shared" si="6"/>
        <v>USD85</v>
      </c>
      <c r="H52" s="4">
        <f t="shared" si="7"/>
        <v>7.0000000000000007E-2</v>
      </c>
      <c r="T52" s="15" t="s">
        <v>112</v>
      </c>
      <c r="U52" s="15" t="s">
        <v>113</v>
      </c>
      <c r="V52" s="15">
        <v>1997</v>
      </c>
      <c r="W52" s="15">
        <v>0.71145087480545044</v>
      </c>
    </row>
    <row r="53" spans="4:23" x14ac:dyDescent="0.2">
      <c r="D53" s="5" t="s">
        <v>18</v>
      </c>
      <c r="G53" s="1" t="str">
        <f t="shared" si="6"/>
        <v>USD86</v>
      </c>
      <c r="H53" s="4">
        <f t="shared" si="7"/>
        <v>7.0000000000000007E-2</v>
      </c>
      <c r="T53" s="15" t="s">
        <v>112</v>
      </c>
      <c r="U53" s="15" t="s">
        <v>113</v>
      </c>
      <c r="V53" s="15">
        <v>1998</v>
      </c>
      <c r="W53" s="15">
        <v>0.71929687261581421</v>
      </c>
    </row>
    <row r="54" spans="4:23" x14ac:dyDescent="0.2">
      <c r="D54" s="5" t="s">
        <v>18</v>
      </c>
      <c r="G54" s="1" t="str">
        <f t="shared" si="6"/>
        <v>USD87</v>
      </c>
      <c r="H54" s="4">
        <f t="shared" si="7"/>
        <v>7.0000000000000007E-2</v>
      </c>
      <c r="T54" s="15" t="s">
        <v>112</v>
      </c>
      <c r="U54" s="15" t="s">
        <v>113</v>
      </c>
      <c r="V54" s="15">
        <v>1999</v>
      </c>
      <c r="W54" s="15">
        <v>0.72961330413818359</v>
      </c>
    </row>
    <row r="55" spans="4:23" x14ac:dyDescent="0.2">
      <c r="D55" s="5" t="s">
        <v>18</v>
      </c>
      <c r="G55" s="1" t="str">
        <f t="shared" si="6"/>
        <v>USD88</v>
      </c>
      <c r="H55" s="4">
        <f t="shared" si="7"/>
        <v>7.0000000000000007E-2</v>
      </c>
      <c r="T55" s="15" t="s">
        <v>112</v>
      </c>
      <c r="U55" s="15" t="s">
        <v>113</v>
      </c>
      <c r="V55" s="15">
        <v>2000</v>
      </c>
      <c r="W55" s="15">
        <v>0.7460746169090271</v>
      </c>
    </row>
    <row r="56" spans="4:23" x14ac:dyDescent="0.2">
      <c r="D56" s="5" t="s">
        <v>18</v>
      </c>
      <c r="G56" s="1" t="str">
        <f t="shared" si="6"/>
        <v>USD89</v>
      </c>
      <c r="H56" s="4">
        <f t="shared" si="7"/>
        <v>7.0000000000000007E-2</v>
      </c>
    </row>
    <row r="57" spans="4:23" x14ac:dyDescent="0.2">
      <c r="D57" s="5" t="s">
        <v>18</v>
      </c>
      <c r="G57" s="1" t="str">
        <f t="shared" si="6"/>
        <v>USD90</v>
      </c>
      <c r="H57" s="4">
        <f t="shared" si="7"/>
        <v>7.0000000000000007E-2</v>
      </c>
    </row>
    <row r="58" spans="4:23" x14ac:dyDescent="0.2">
      <c r="D58" s="5" t="s">
        <v>18</v>
      </c>
      <c r="G58" s="1" t="str">
        <f t="shared" si="6"/>
        <v>USD91</v>
      </c>
      <c r="H58" s="4">
        <f t="shared" si="7"/>
        <v>7.0000000000000007E-2</v>
      </c>
    </row>
    <row r="59" spans="4:23" x14ac:dyDescent="0.2">
      <c r="D59" s="5" t="s">
        <v>18</v>
      </c>
      <c r="G59" s="1" t="str">
        <f t="shared" si="6"/>
        <v>USD92</v>
      </c>
      <c r="H59" s="4">
        <f t="shared" si="7"/>
        <v>7.0000000000000007E-2</v>
      </c>
    </row>
    <row r="60" spans="4:23" x14ac:dyDescent="0.2">
      <c r="D60" s="5" t="s">
        <v>18</v>
      </c>
      <c r="G60" s="1" t="str">
        <f t="shared" si="6"/>
        <v>USD93</v>
      </c>
      <c r="H60" s="4">
        <f t="shared" si="7"/>
        <v>7.0000000000000007E-2</v>
      </c>
    </row>
    <row r="61" spans="4:23" x14ac:dyDescent="0.2">
      <c r="D61" s="5" t="s">
        <v>18</v>
      </c>
      <c r="G61" s="1" t="str">
        <f t="shared" si="6"/>
        <v>USD94</v>
      </c>
      <c r="H61" s="4">
        <f t="shared" si="7"/>
        <v>7.0000000000000007E-2</v>
      </c>
    </row>
    <row r="62" spans="4:23" x14ac:dyDescent="0.2">
      <c r="D62" s="5" t="s">
        <v>18</v>
      </c>
      <c r="G62" s="1" t="str">
        <f t="shared" si="6"/>
        <v>USD95</v>
      </c>
      <c r="H62" s="4">
        <f t="shared" si="7"/>
        <v>7.0000000000000007E-2</v>
      </c>
    </row>
    <row r="63" spans="4:23" x14ac:dyDescent="0.2">
      <c r="D63" s="5" t="s">
        <v>18</v>
      </c>
      <c r="G63" s="1" t="str">
        <f t="shared" si="6"/>
        <v>USD96</v>
      </c>
      <c r="H63" s="4">
        <f t="shared" si="7"/>
        <v>7.0000000000000007E-2</v>
      </c>
    </row>
    <row r="64" spans="4:23" x14ac:dyDescent="0.2">
      <c r="D64" s="5" t="s">
        <v>18</v>
      </c>
      <c r="G64" s="1" t="str">
        <f t="shared" si="6"/>
        <v>USD97</v>
      </c>
      <c r="H64" s="4">
        <f t="shared" si="7"/>
        <v>7.0000000000000007E-2</v>
      </c>
    </row>
    <row r="65" spans="4:8" x14ac:dyDescent="0.2">
      <c r="D65" s="5" t="s">
        <v>18</v>
      </c>
      <c r="G65" s="1" t="str">
        <f t="shared" si="6"/>
        <v>USD98</v>
      </c>
      <c r="H65" s="4">
        <f t="shared" si="7"/>
        <v>7.0000000000000007E-2</v>
      </c>
    </row>
    <row r="66" spans="4:8" x14ac:dyDescent="0.2">
      <c r="D66" s="5" t="s">
        <v>18</v>
      </c>
      <c r="G66" s="1" t="str">
        <f t="shared" si="6"/>
        <v>USD99</v>
      </c>
      <c r="H66" s="4">
        <f t="shared" si="7"/>
        <v>7.0000000000000007E-2</v>
      </c>
    </row>
    <row r="67" spans="4:8" x14ac:dyDescent="0.2">
      <c r="D67" s="5" t="s">
        <v>18</v>
      </c>
      <c r="G67" s="1" t="str">
        <f t="shared" si="6"/>
        <v>USD00</v>
      </c>
      <c r="H67" s="4">
        <f t="shared" si="7"/>
        <v>7.0000000000000007E-2</v>
      </c>
    </row>
    <row r="68" spans="4:8" x14ac:dyDescent="0.2">
      <c r="D68" s="5" t="s">
        <v>18</v>
      </c>
      <c r="G68" s="1" t="str">
        <f t="shared" si="6"/>
        <v>USD01</v>
      </c>
      <c r="H68" s="4">
        <f t="shared" si="7"/>
        <v>7.0000000000000007E-2</v>
      </c>
    </row>
    <row r="69" spans="4:8" x14ac:dyDescent="0.2">
      <c r="D69" s="5" t="s">
        <v>18</v>
      </c>
      <c r="G69" s="1" t="str">
        <f t="shared" si="6"/>
        <v>USD02</v>
      </c>
      <c r="H69" s="4">
        <f t="shared" si="7"/>
        <v>7.0000000000000007E-2</v>
      </c>
    </row>
    <row r="70" spans="4:8" x14ac:dyDescent="0.2">
      <c r="D70" s="5" t="s">
        <v>18</v>
      </c>
      <c r="G70" s="1" t="str">
        <f t="shared" si="6"/>
        <v>USD03</v>
      </c>
      <c r="H70" s="4">
        <f t="shared" si="7"/>
        <v>7.0000000000000007E-2</v>
      </c>
    </row>
    <row r="71" spans="4:8" x14ac:dyDescent="0.2">
      <c r="D71" s="5" t="s">
        <v>18</v>
      </c>
      <c r="G71" s="1" t="str">
        <f t="shared" si="6"/>
        <v>USD04</v>
      </c>
      <c r="H71" s="4">
        <f t="shared" si="7"/>
        <v>7.0000000000000007E-2</v>
      </c>
    </row>
    <row r="72" spans="4:8" x14ac:dyDescent="0.2">
      <c r="D72" s="5" t="s">
        <v>18</v>
      </c>
      <c r="G72" s="1" t="str">
        <f t="shared" si="6"/>
        <v>USD05</v>
      </c>
      <c r="H72" s="4">
        <f t="shared" si="7"/>
        <v>7.0000000000000007E-2</v>
      </c>
    </row>
    <row r="73" spans="4:8" x14ac:dyDescent="0.2">
      <c r="D73" s="5" t="s">
        <v>18</v>
      </c>
      <c r="G73" s="1" t="str">
        <f t="shared" si="6"/>
        <v>USD06</v>
      </c>
      <c r="H73" s="4">
        <f t="shared" si="7"/>
        <v>7.0000000000000007E-2</v>
      </c>
    </row>
    <row r="74" spans="4:8" x14ac:dyDescent="0.2">
      <c r="D74" s="5" t="s">
        <v>18</v>
      </c>
      <c r="G74" s="1" t="str">
        <f t="shared" si="6"/>
        <v>USD07</v>
      </c>
      <c r="H74" s="4">
        <f t="shared" si="7"/>
        <v>7.0000000000000007E-2</v>
      </c>
    </row>
    <row r="75" spans="4:8" x14ac:dyDescent="0.2">
      <c r="D75" s="5" t="s">
        <v>18</v>
      </c>
      <c r="G75" s="1" t="str">
        <f t="shared" si="6"/>
        <v>USD08</v>
      </c>
      <c r="H75" s="4">
        <f t="shared" si="7"/>
        <v>7.0000000000000007E-2</v>
      </c>
    </row>
    <row r="76" spans="4:8" x14ac:dyDescent="0.2">
      <c r="D76" s="5" t="s">
        <v>18</v>
      </c>
      <c r="G76" s="1" t="str">
        <f t="shared" si="6"/>
        <v>USD09</v>
      </c>
      <c r="H76" s="4">
        <f t="shared" si="7"/>
        <v>7.0000000000000007E-2</v>
      </c>
    </row>
    <row r="77" spans="4:8" x14ac:dyDescent="0.2">
      <c r="D77" s="5" t="s">
        <v>18</v>
      </c>
      <c r="G77" s="1" t="str">
        <f t="shared" si="6"/>
        <v>USD10</v>
      </c>
      <c r="H77" s="4">
        <f t="shared" si="7"/>
        <v>7.0000000000000007E-2</v>
      </c>
    </row>
    <row r="78" spans="4:8" x14ac:dyDescent="0.2">
      <c r="D78" s="5" t="s">
        <v>18</v>
      </c>
      <c r="G78" s="1" t="str">
        <f t="shared" si="6"/>
        <v>USD11</v>
      </c>
      <c r="H78" s="4">
        <f t="shared" si="7"/>
        <v>7.0000000000000007E-2</v>
      </c>
    </row>
    <row r="79" spans="4:8" x14ac:dyDescent="0.2">
      <c r="D79" s="5" t="s">
        <v>18</v>
      </c>
      <c r="G79" s="1" t="str">
        <f t="shared" si="6"/>
        <v>USD12</v>
      </c>
      <c r="H79" s="4">
        <f t="shared" si="7"/>
        <v>7.0000000000000007E-2</v>
      </c>
    </row>
    <row r="80" spans="4:8" x14ac:dyDescent="0.2">
      <c r="D80" s="5" t="s">
        <v>18</v>
      </c>
      <c r="G80" s="1" t="str">
        <f t="shared" si="6"/>
        <v>USD13</v>
      </c>
      <c r="H80" s="4">
        <f t="shared" si="7"/>
        <v>7.0000000000000007E-2</v>
      </c>
    </row>
    <row r="81" spans="4:8" x14ac:dyDescent="0.2">
      <c r="D81" s="5" t="s">
        <v>18</v>
      </c>
      <c r="G81" s="1" t="str">
        <f t="shared" si="6"/>
        <v>USD14</v>
      </c>
      <c r="H81" s="4">
        <f t="shared" si="7"/>
        <v>7.0000000000000007E-2</v>
      </c>
    </row>
    <row r="82" spans="4:8" x14ac:dyDescent="0.2">
      <c r="D82" s="5" t="s">
        <v>18</v>
      </c>
      <c r="G82" s="1" t="str">
        <f t="shared" si="6"/>
        <v>USD15</v>
      </c>
      <c r="H82" s="4">
        <f t="shared" si="7"/>
        <v>7.0000000000000007E-2</v>
      </c>
    </row>
    <row r="83" spans="4:8" x14ac:dyDescent="0.2">
      <c r="D83" s="5" t="s">
        <v>18</v>
      </c>
      <c r="G83" s="1" t="str">
        <f t="shared" si="6"/>
        <v>USD16</v>
      </c>
      <c r="H83" s="4">
        <f t="shared" si="7"/>
        <v>7.0000000000000007E-2</v>
      </c>
    </row>
    <row r="84" spans="4:8" x14ac:dyDescent="0.2">
      <c r="D84" s="5" t="s">
        <v>18</v>
      </c>
      <c r="G84" s="1" t="str">
        <f t="shared" si="6"/>
        <v>USD17</v>
      </c>
      <c r="H84" s="4">
        <f t="shared" si="7"/>
        <v>7.0000000000000007E-2</v>
      </c>
    </row>
    <row r="85" spans="4:8" x14ac:dyDescent="0.2">
      <c r="D85" s="5" t="s">
        <v>18</v>
      </c>
      <c r="G85" s="1" t="str">
        <f t="shared" si="6"/>
        <v>USD18</v>
      </c>
      <c r="H85" s="4">
        <f t="shared" si="7"/>
        <v>7.0000000000000007E-2</v>
      </c>
    </row>
    <row r="86" spans="4:8" x14ac:dyDescent="0.2">
      <c r="D86" s="5" t="s">
        <v>18</v>
      </c>
      <c r="G86" s="1" t="str">
        <f t="shared" ref="G86:G92" si="8">G43</f>
        <v>USD19</v>
      </c>
      <c r="H86" s="4">
        <f t="shared" si="7"/>
        <v>7.0000000000000007E-2</v>
      </c>
    </row>
    <row r="87" spans="4:8" x14ac:dyDescent="0.2">
      <c r="D87" s="5" t="s">
        <v>18</v>
      </c>
      <c r="G87" s="1" t="str">
        <f t="shared" si="8"/>
        <v>USD20</v>
      </c>
      <c r="H87" s="4">
        <f t="shared" si="7"/>
        <v>7.0000000000000007E-2</v>
      </c>
    </row>
    <row r="88" spans="4:8" x14ac:dyDescent="0.2">
      <c r="D88" s="5" t="s">
        <v>18</v>
      </c>
      <c r="G88" s="1" t="str">
        <f t="shared" si="8"/>
        <v>USD21</v>
      </c>
      <c r="H88" s="4">
        <f t="shared" si="7"/>
        <v>7.0000000000000007E-2</v>
      </c>
    </row>
    <row r="89" spans="4:8" x14ac:dyDescent="0.2">
      <c r="D89" s="5" t="s">
        <v>18</v>
      </c>
      <c r="G89" s="1" t="str">
        <f t="shared" si="8"/>
        <v>USD22</v>
      </c>
      <c r="H89" s="4">
        <f t="shared" si="7"/>
        <v>7.0000000000000007E-2</v>
      </c>
    </row>
    <row r="90" spans="4:8" x14ac:dyDescent="0.2">
      <c r="D90" s="5" t="s">
        <v>18</v>
      </c>
      <c r="G90" s="1" t="str">
        <f t="shared" si="8"/>
        <v>USD23</v>
      </c>
      <c r="H90" s="4">
        <f t="shared" si="7"/>
        <v>7.0000000000000007E-2</v>
      </c>
    </row>
    <row r="91" spans="4:8" x14ac:dyDescent="0.2">
      <c r="D91" s="5" t="s">
        <v>18</v>
      </c>
      <c r="G91" s="1" t="str">
        <f t="shared" si="8"/>
        <v>USD24</v>
      </c>
      <c r="H91" s="4">
        <f t="shared" si="7"/>
        <v>7.0000000000000007E-2</v>
      </c>
    </row>
    <row r="92" spans="4:8" x14ac:dyDescent="0.2">
      <c r="D92" s="5" t="s">
        <v>18</v>
      </c>
      <c r="G92" s="1" t="str">
        <f t="shared" si="8"/>
        <v>USD25</v>
      </c>
      <c r="H92" s="4">
        <f t="shared" si="7"/>
        <v>7.0000000000000007E-2</v>
      </c>
    </row>
  </sheetData>
  <phoneticPr fontId="1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15"/>
  <sheetViews>
    <sheetView workbookViewId="0"/>
  </sheetViews>
  <sheetFormatPr defaultColWidth="8.85546875" defaultRowHeight="15" x14ac:dyDescent="0.25"/>
  <cols>
    <col min="1" max="1" width="8.85546875" customWidth="1"/>
    <col min="2" max="2" width="10.42578125" bestFit="1" customWidth="1"/>
    <col min="3" max="3" width="20.85546875" bestFit="1" customWidth="1"/>
    <col min="4" max="4" width="10.42578125" bestFit="1" customWidth="1"/>
    <col min="5" max="7" width="8.85546875" customWidth="1"/>
    <col min="8" max="8" width="5.42578125" bestFit="1" customWidth="1"/>
    <col min="9" max="9" width="5.7109375" bestFit="1" customWidth="1"/>
    <col min="10" max="10" width="5" bestFit="1" customWidth="1"/>
    <col min="11" max="11" width="8.85546875" customWidth="1"/>
    <col min="12" max="12" width="6.28515625" bestFit="1" customWidth="1"/>
    <col min="13" max="13" width="4.28515625" bestFit="1" customWidth="1"/>
  </cols>
  <sheetData>
    <row r="2" spans="2:13" x14ac:dyDescent="0.25">
      <c r="B2" t="s">
        <v>5</v>
      </c>
    </row>
    <row r="3" spans="2:13" x14ac:dyDescent="0.25">
      <c r="B3" t="s">
        <v>1</v>
      </c>
      <c r="C3" t="s">
        <v>6</v>
      </c>
      <c r="D3" t="s">
        <v>4</v>
      </c>
      <c r="L3" t="s">
        <v>7</v>
      </c>
      <c r="M3" t="s">
        <v>8</v>
      </c>
    </row>
    <row r="4" spans="2:13" x14ac:dyDescent="0.25">
      <c r="B4" t="s">
        <v>9</v>
      </c>
      <c r="C4" t="str">
        <f>"E[_]WON*"&amp;I4&amp;"*"</f>
        <v>E[_]WON*Far*</v>
      </c>
      <c r="D4" t="str">
        <f>"*"&amp;J4</f>
        <v>*1.75</v>
      </c>
      <c r="H4" t="s">
        <v>10</v>
      </c>
      <c r="I4" t="s">
        <v>11</v>
      </c>
      <c r="J4">
        <v>1.75</v>
      </c>
    </row>
    <row r="5" spans="2:13" x14ac:dyDescent="0.25">
      <c r="B5" t="s">
        <v>9</v>
      </c>
      <c r="C5" t="str">
        <f>"E[_]WON*"&amp;I5&amp;"*"</f>
        <v>E[_]WON*Trans*</v>
      </c>
      <c r="D5" t="str">
        <f t="shared" ref="D5:D15" si="0">"*"&amp;J5</f>
        <v>*1.5</v>
      </c>
      <c r="H5" t="s">
        <v>10</v>
      </c>
      <c r="I5" t="s">
        <v>12</v>
      </c>
      <c r="J5">
        <v>1.5</v>
      </c>
    </row>
    <row r="6" spans="2:13" x14ac:dyDescent="0.25">
      <c r="B6" t="s">
        <v>9</v>
      </c>
      <c r="C6" t="str">
        <f>"E[_]WON*"&amp;I6&amp;"*"</f>
        <v>E[_]WON*Near*</v>
      </c>
      <c r="D6" t="str">
        <f t="shared" si="0"/>
        <v>*1</v>
      </c>
      <c r="H6" t="s">
        <v>10</v>
      </c>
      <c r="I6" t="s">
        <v>13</v>
      </c>
      <c r="J6">
        <v>1</v>
      </c>
    </row>
    <row r="7" spans="2:13" x14ac:dyDescent="0.25">
      <c r="B7" t="s">
        <v>9</v>
      </c>
      <c r="C7" t="str">
        <f t="shared" ref="C7:C15" si="1">"E[_]WOF*"&amp;H7&amp;"*"&amp;I7&amp;"*"</f>
        <v>E[_]WOF*deep*Far*</v>
      </c>
      <c r="D7" t="str">
        <f t="shared" si="0"/>
        <v>*1.8</v>
      </c>
      <c r="H7" t="s">
        <v>14</v>
      </c>
      <c r="I7" t="s">
        <v>11</v>
      </c>
      <c r="J7">
        <f>L7*M7</f>
        <v>1.7999999999999998</v>
      </c>
      <c r="L7">
        <v>1.5</v>
      </c>
      <c r="M7">
        <v>1.2</v>
      </c>
    </row>
    <row r="8" spans="2:13" x14ac:dyDescent="0.25">
      <c r="B8" t="s">
        <v>9</v>
      </c>
      <c r="C8" t="str">
        <f t="shared" si="1"/>
        <v>E[_]WOF*deep*Inter*</v>
      </c>
      <c r="D8" t="str">
        <f t="shared" si="0"/>
        <v>*1.5</v>
      </c>
      <c r="H8" t="s">
        <v>14</v>
      </c>
      <c r="I8" t="s">
        <v>15</v>
      </c>
      <c r="J8">
        <f t="shared" ref="J8:J15" si="2">L8*M8</f>
        <v>1.5</v>
      </c>
      <c r="L8">
        <v>1.5</v>
      </c>
      <c r="M8">
        <v>1</v>
      </c>
    </row>
    <row r="9" spans="2:13" x14ac:dyDescent="0.25">
      <c r="B9" t="s">
        <v>9</v>
      </c>
      <c r="C9" t="str">
        <f t="shared" si="1"/>
        <v>E[_]WOF*deep*Near*</v>
      </c>
      <c r="D9" t="str">
        <f t="shared" si="0"/>
        <v>*1.35</v>
      </c>
      <c r="H9" t="s">
        <v>14</v>
      </c>
      <c r="I9" t="s">
        <v>13</v>
      </c>
      <c r="J9">
        <f t="shared" si="2"/>
        <v>1.35</v>
      </c>
      <c r="L9">
        <v>1.5</v>
      </c>
      <c r="M9">
        <v>0.9</v>
      </c>
    </row>
    <row r="10" spans="2:13" x14ac:dyDescent="0.25">
      <c r="B10" t="s">
        <v>9</v>
      </c>
      <c r="C10" t="str">
        <f t="shared" si="1"/>
        <v>E[_]WOF*shal*Far*</v>
      </c>
      <c r="D10" t="str">
        <f t="shared" si="0"/>
        <v>*1.2</v>
      </c>
      <c r="H10" t="s">
        <v>16</v>
      </c>
      <c r="I10" t="s">
        <v>11</v>
      </c>
      <c r="J10">
        <f t="shared" si="2"/>
        <v>1.2</v>
      </c>
      <c r="L10">
        <v>1</v>
      </c>
      <c r="M10">
        <v>1.2</v>
      </c>
    </row>
    <row r="11" spans="2:13" x14ac:dyDescent="0.25">
      <c r="B11" t="s">
        <v>9</v>
      </c>
      <c r="C11" t="str">
        <f t="shared" si="1"/>
        <v>E[_]WOF*shal*Inter*</v>
      </c>
      <c r="D11" t="str">
        <f t="shared" si="0"/>
        <v>*1</v>
      </c>
      <c r="H11" t="s">
        <v>16</v>
      </c>
      <c r="I11" t="s">
        <v>15</v>
      </c>
      <c r="J11">
        <f t="shared" si="2"/>
        <v>1</v>
      </c>
      <c r="L11">
        <v>1</v>
      </c>
      <c r="M11">
        <v>1</v>
      </c>
    </row>
    <row r="12" spans="2:13" x14ac:dyDescent="0.25">
      <c r="B12" t="s">
        <v>9</v>
      </c>
      <c r="C12" t="str">
        <f t="shared" si="1"/>
        <v>E[_]WOF*shal*Near*</v>
      </c>
      <c r="D12" t="str">
        <f t="shared" si="0"/>
        <v>*0.9</v>
      </c>
      <c r="H12" t="s">
        <v>16</v>
      </c>
      <c r="I12" t="s">
        <v>13</v>
      </c>
      <c r="J12">
        <f t="shared" si="2"/>
        <v>0.9</v>
      </c>
      <c r="L12">
        <v>1</v>
      </c>
      <c r="M12">
        <v>0.9</v>
      </c>
    </row>
    <row r="13" spans="2:13" x14ac:dyDescent="0.25">
      <c r="B13" t="s">
        <v>9</v>
      </c>
      <c r="C13" t="str">
        <f t="shared" si="1"/>
        <v>E[_]WOF*tran*Far*</v>
      </c>
      <c r="D13" t="str">
        <f t="shared" si="0"/>
        <v>*1.32</v>
      </c>
      <c r="H13" t="s">
        <v>17</v>
      </c>
      <c r="I13" t="s">
        <v>11</v>
      </c>
      <c r="J13">
        <f t="shared" si="2"/>
        <v>1.32</v>
      </c>
      <c r="L13">
        <v>1.1000000000000001</v>
      </c>
      <c r="M13">
        <v>1.2</v>
      </c>
    </row>
    <row r="14" spans="2:13" x14ac:dyDescent="0.25">
      <c r="B14" t="s">
        <v>9</v>
      </c>
      <c r="C14" t="str">
        <f t="shared" si="1"/>
        <v>E[_]WOF*tran*Inter*</v>
      </c>
      <c r="D14" t="str">
        <f t="shared" si="0"/>
        <v>*1.1</v>
      </c>
      <c r="H14" t="s">
        <v>17</v>
      </c>
      <c r="I14" t="s">
        <v>15</v>
      </c>
      <c r="J14">
        <f t="shared" si="2"/>
        <v>1.1000000000000001</v>
      </c>
      <c r="L14">
        <v>1.1000000000000001</v>
      </c>
      <c r="M14">
        <v>1</v>
      </c>
    </row>
    <row r="15" spans="2:13" x14ac:dyDescent="0.25">
      <c r="B15" t="s">
        <v>9</v>
      </c>
      <c r="C15" t="str">
        <f t="shared" si="1"/>
        <v>E[_]WOF*tran*Near*</v>
      </c>
      <c r="D15" t="str">
        <f t="shared" si="0"/>
        <v>*0.99</v>
      </c>
      <c r="H15" t="s">
        <v>17</v>
      </c>
      <c r="I15" t="s">
        <v>13</v>
      </c>
      <c r="J15">
        <f t="shared" si="2"/>
        <v>0.9900000000000001</v>
      </c>
      <c r="L15">
        <v>1.1000000000000001</v>
      </c>
      <c r="M15">
        <v>0.9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616"/>
  <sheetViews>
    <sheetView workbookViewId="0"/>
  </sheetViews>
  <sheetFormatPr defaultColWidth="8.85546875" defaultRowHeight="15" x14ac:dyDescent="0.25"/>
  <cols>
    <col min="1" max="16" width="8.85546875" customWidth="1"/>
    <col min="17" max="17" width="10.42578125" bestFit="1" customWidth="1"/>
    <col min="18" max="18" width="9.42578125" bestFit="1" customWidth="1"/>
    <col min="19" max="19" width="12" bestFit="1" customWidth="1"/>
  </cols>
  <sheetData>
    <row r="1" spans="2:32" x14ac:dyDescent="0.25">
      <c r="B1" t="s">
        <v>27</v>
      </c>
      <c r="H1" t="s">
        <v>28</v>
      </c>
      <c r="P1" t="s">
        <v>29</v>
      </c>
      <c r="U1" t="s">
        <v>66</v>
      </c>
      <c r="AB1" t="s">
        <v>93</v>
      </c>
    </row>
    <row r="3" spans="2:32" x14ac:dyDescent="0.25">
      <c r="B3" t="s">
        <v>26</v>
      </c>
      <c r="H3" t="s">
        <v>32</v>
      </c>
      <c r="P3" t="s">
        <v>30</v>
      </c>
      <c r="U3" t="s">
        <v>35</v>
      </c>
      <c r="AB3" t="s">
        <v>32</v>
      </c>
    </row>
    <row r="4" spans="2:32" x14ac:dyDescent="0.25">
      <c r="B4" t="s">
        <v>1</v>
      </c>
      <c r="C4" t="s">
        <v>3</v>
      </c>
      <c r="D4" t="s">
        <v>4</v>
      </c>
      <c r="H4" t="s">
        <v>1</v>
      </c>
      <c r="I4" t="s">
        <v>56</v>
      </c>
      <c r="J4" t="s">
        <v>132</v>
      </c>
      <c r="K4">
        <v>2015</v>
      </c>
      <c r="L4">
        <v>2030</v>
      </c>
      <c r="M4">
        <v>2050</v>
      </c>
      <c r="N4">
        <v>2100</v>
      </c>
      <c r="P4" t="s">
        <v>132</v>
      </c>
      <c r="Q4" t="s">
        <v>56</v>
      </c>
      <c r="R4" t="s">
        <v>3</v>
      </c>
      <c r="S4" t="s">
        <v>150</v>
      </c>
      <c r="U4" t="s">
        <v>1</v>
      </c>
      <c r="V4" t="s">
        <v>132</v>
      </c>
      <c r="W4" t="s">
        <v>3</v>
      </c>
      <c r="X4" t="s">
        <v>56</v>
      </c>
      <c r="Y4">
        <v>2010</v>
      </c>
      <c r="AB4" t="s">
        <v>1</v>
      </c>
      <c r="AC4" t="s">
        <v>132</v>
      </c>
      <c r="AD4" t="s">
        <v>3</v>
      </c>
      <c r="AE4">
        <v>2015</v>
      </c>
      <c r="AF4" t="s">
        <v>56</v>
      </c>
    </row>
    <row r="5" spans="2:32" x14ac:dyDescent="0.25">
      <c r="B5" t="s">
        <v>163</v>
      </c>
      <c r="C5" t="s">
        <v>151</v>
      </c>
      <c r="D5">
        <v>0.13504566210045663</v>
      </c>
      <c r="H5" t="s">
        <v>149</v>
      </c>
      <c r="I5" t="s">
        <v>21</v>
      </c>
      <c r="J5" t="s">
        <v>114</v>
      </c>
      <c r="K5">
        <v>0.89300000000000002</v>
      </c>
      <c r="P5" t="s">
        <v>114</v>
      </c>
      <c r="Q5" t="s">
        <v>142</v>
      </c>
      <c r="R5" t="s">
        <v>151</v>
      </c>
      <c r="S5">
        <v>0.13734141603975306</v>
      </c>
      <c r="U5" t="s">
        <v>150</v>
      </c>
      <c r="V5" t="s">
        <v>114</v>
      </c>
      <c r="W5" t="s">
        <v>151</v>
      </c>
      <c r="X5" t="s">
        <v>145</v>
      </c>
      <c r="Y5">
        <v>5.9589061680379897E-2</v>
      </c>
      <c r="AB5" t="s">
        <v>150</v>
      </c>
      <c r="AC5" t="s">
        <v>114</v>
      </c>
      <c r="AD5" t="s">
        <v>133</v>
      </c>
      <c r="AE5">
        <v>0.11411411411411412</v>
      </c>
      <c r="AF5" t="s">
        <v>164</v>
      </c>
    </row>
    <row r="6" spans="2:32" x14ac:dyDescent="0.25">
      <c r="B6" t="s">
        <v>163</v>
      </c>
      <c r="C6" t="s">
        <v>152</v>
      </c>
      <c r="D6">
        <v>9.3493150684931511E-2</v>
      </c>
      <c r="H6" t="s">
        <v>149</v>
      </c>
      <c r="I6" t="s">
        <v>21</v>
      </c>
      <c r="J6" t="s">
        <v>115</v>
      </c>
      <c r="K6">
        <v>0.89790000000000003</v>
      </c>
      <c r="P6" t="s">
        <v>114</v>
      </c>
      <c r="Q6" t="s">
        <v>142</v>
      </c>
      <c r="R6" t="s">
        <v>152</v>
      </c>
      <c r="S6">
        <v>7.2759384469206517E-2</v>
      </c>
      <c r="U6" t="s">
        <v>150</v>
      </c>
      <c r="V6" t="s">
        <v>115</v>
      </c>
      <c r="W6" t="s">
        <v>151</v>
      </c>
      <c r="X6" t="s">
        <v>145</v>
      </c>
      <c r="Y6">
        <v>5.9589061680379897E-2</v>
      </c>
      <c r="AB6" t="s">
        <v>150</v>
      </c>
      <c r="AC6" t="s">
        <v>114</v>
      </c>
      <c r="AD6" t="s">
        <v>137</v>
      </c>
      <c r="AE6">
        <v>0.21471471471471473</v>
      </c>
      <c r="AF6" t="s">
        <v>164</v>
      </c>
    </row>
    <row r="7" spans="2:32" x14ac:dyDescent="0.25">
      <c r="B7" t="s">
        <v>163</v>
      </c>
      <c r="C7" t="s">
        <v>153</v>
      </c>
      <c r="D7">
        <v>2.0776255707762557E-2</v>
      </c>
      <c r="H7" t="s">
        <v>149</v>
      </c>
      <c r="I7" t="s">
        <v>21</v>
      </c>
      <c r="J7" t="s">
        <v>116</v>
      </c>
      <c r="K7">
        <v>0.93969999999999998</v>
      </c>
      <c r="P7" t="s">
        <v>114</v>
      </c>
      <c r="Q7" t="s">
        <v>142</v>
      </c>
      <c r="R7" t="s">
        <v>153</v>
      </c>
      <c r="S7">
        <v>2.2771465459668933E-2</v>
      </c>
      <c r="U7" t="s">
        <v>150</v>
      </c>
      <c r="V7" t="s">
        <v>116</v>
      </c>
      <c r="W7" t="s">
        <v>151</v>
      </c>
      <c r="X7" t="s">
        <v>145</v>
      </c>
      <c r="Y7">
        <v>5.9589061680379897E-2</v>
      </c>
      <c r="AB7" t="s">
        <v>150</v>
      </c>
      <c r="AC7" t="s">
        <v>114</v>
      </c>
      <c r="AD7" t="s">
        <v>138</v>
      </c>
      <c r="AE7">
        <v>0.65165165165165151</v>
      </c>
      <c r="AF7" t="s">
        <v>164</v>
      </c>
    </row>
    <row r="8" spans="2:32" x14ac:dyDescent="0.25">
      <c r="B8" t="s">
        <v>163</v>
      </c>
      <c r="C8" t="s">
        <v>154</v>
      </c>
      <c r="D8">
        <v>0.13652968036529681</v>
      </c>
      <c r="H8" t="s">
        <v>149</v>
      </c>
      <c r="I8" t="s">
        <v>21</v>
      </c>
      <c r="J8" t="s">
        <v>117</v>
      </c>
      <c r="K8">
        <v>0.93</v>
      </c>
      <c r="P8" t="s">
        <v>114</v>
      </c>
      <c r="Q8" t="s">
        <v>142</v>
      </c>
      <c r="R8" t="s">
        <v>154</v>
      </c>
      <c r="S8">
        <v>0.1295415849959593</v>
      </c>
      <c r="U8" t="s">
        <v>150</v>
      </c>
      <c r="V8" t="s">
        <v>117</v>
      </c>
      <c r="W8" t="s">
        <v>151</v>
      </c>
      <c r="X8" t="s">
        <v>145</v>
      </c>
      <c r="Y8">
        <v>5.9589061680379897E-2</v>
      </c>
      <c r="AB8" t="s">
        <v>150</v>
      </c>
      <c r="AC8" t="s">
        <v>114</v>
      </c>
      <c r="AD8" t="s">
        <v>139</v>
      </c>
      <c r="AE8">
        <v>1.951951951951952E-2</v>
      </c>
      <c r="AF8" t="s">
        <v>164</v>
      </c>
    </row>
    <row r="9" spans="2:32" x14ac:dyDescent="0.25">
      <c r="B9" t="s">
        <v>163</v>
      </c>
      <c r="C9" t="s">
        <v>155</v>
      </c>
      <c r="D9">
        <v>9.452054794520548E-2</v>
      </c>
      <c r="H9" t="s">
        <v>149</v>
      </c>
      <c r="I9" t="s">
        <v>21</v>
      </c>
      <c r="J9" t="s">
        <v>118</v>
      </c>
      <c r="K9">
        <v>0.91539999999999999</v>
      </c>
      <c r="P9" t="s">
        <v>114</v>
      </c>
      <c r="Q9" t="s">
        <v>142</v>
      </c>
      <c r="R9" t="s">
        <v>155</v>
      </c>
      <c r="S9">
        <v>6.9632208434971171E-2</v>
      </c>
      <c r="U9" t="s">
        <v>150</v>
      </c>
      <c r="V9" t="s">
        <v>118</v>
      </c>
      <c r="W9" t="s">
        <v>151</v>
      </c>
      <c r="X9" t="s">
        <v>145</v>
      </c>
      <c r="Y9">
        <v>5.9589061680379897E-2</v>
      </c>
      <c r="AB9" t="s">
        <v>150</v>
      </c>
      <c r="AC9" t="s">
        <v>115</v>
      </c>
      <c r="AD9" t="s">
        <v>133</v>
      </c>
      <c r="AE9">
        <v>0.11684835856264424</v>
      </c>
      <c r="AF9" t="s">
        <v>164</v>
      </c>
    </row>
    <row r="10" spans="2:32" x14ac:dyDescent="0.25">
      <c r="B10" t="s">
        <v>163</v>
      </c>
      <c r="C10" t="s">
        <v>156</v>
      </c>
      <c r="D10">
        <v>2.1004566210045664E-2</v>
      </c>
      <c r="H10" t="s">
        <v>149</v>
      </c>
      <c r="I10" t="s">
        <v>21</v>
      </c>
      <c r="J10" t="s">
        <v>119</v>
      </c>
      <c r="K10">
        <v>0.94</v>
      </c>
      <c r="P10" t="s">
        <v>114</v>
      </c>
      <c r="Q10" t="s">
        <v>142</v>
      </c>
      <c r="R10" t="s">
        <v>156</v>
      </c>
      <c r="S10">
        <v>2.0591140894576417E-2</v>
      </c>
      <c r="U10" t="s">
        <v>150</v>
      </c>
      <c r="V10" t="s">
        <v>119</v>
      </c>
      <c r="W10" t="s">
        <v>151</v>
      </c>
      <c r="X10" t="s">
        <v>145</v>
      </c>
      <c r="Y10">
        <v>5.9589061680379897E-2</v>
      </c>
      <c r="AB10" t="s">
        <v>150</v>
      </c>
      <c r="AC10" t="s">
        <v>115</v>
      </c>
      <c r="AD10" t="s">
        <v>137</v>
      </c>
      <c r="AE10">
        <v>0.21470903556617832</v>
      </c>
      <c r="AF10" t="s">
        <v>164</v>
      </c>
    </row>
    <row r="11" spans="2:32" x14ac:dyDescent="0.25">
      <c r="B11" t="s">
        <v>163</v>
      </c>
      <c r="C11" t="s">
        <v>157</v>
      </c>
      <c r="D11">
        <v>0.13652968036529681</v>
      </c>
      <c r="H11" t="s">
        <v>149</v>
      </c>
      <c r="I11" t="s">
        <v>21</v>
      </c>
      <c r="J11" t="s">
        <v>120</v>
      </c>
      <c r="K11">
        <v>0.86170000000000002</v>
      </c>
      <c r="P11" t="s">
        <v>114</v>
      </c>
      <c r="Q11" t="s">
        <v>142</v>
      </c>
      <c r="R11" t="s">
        <v>157</v>
      </c>
      <c r="S11">
        <v>0.18301816616784045</v>
      </c>
      <c r="U11" t="s">
        <v>150</v>
      </c>
      <c r="V11" t="s">
        <v>120</v>
      </c>
      <c r="W11" t="s">
        <v>151</v>
      </c>
      <c r="X11" t="s">
        <v>145</v>
      </c>
      <c r="Y11">
        <v>5.9589061680379897E-2</v>
      </c>
      <c r="AB11" t="s">
        <v>150</v>
      </c>
      <c r="AC11" t="s">
        <v>115</v>
      </c>
      <c r="AD11" t="s">
        <v>138</v>
      </c>
      <c r="AE11">
        <v>0.63615427672570535</v>
      </c>
      <c r="AF11" t="s">
        <v>164</v>
      </c>
    </row>
    <row r="12" spans="2:32" x14ac:dyDescent="0.25">
      <c r="B12" t="s">
        <v>163</v>
      </c>
      <c r="C12" t="s">
        <v>158</v>
      </c>
      <c r="D12">
        <v>9.452054794520548E-2</v>
      </c>
      <c r="H12" t="s">
        <v>149</v>
      </c>
      <c r="I12" t="s">
        <v>21</v>
      </c>
      <c r="J12" t="s">
        <v>121</v>
      </c>
      <c r="K12">
        <v>0.93340000000000001</v>
      </c>
      <c r="P12" t="s">
        <v>114</v>
      </c>
      <c r="Q12" t="s">
        <v>142</v>
      </c>
      <c r="R12" t="s">
        <v>158</v>
      </c>
      <c r="S12">
        <v>9.1967203340206805E-2</v>
      </c>
      <c r="U12" t="s">
        <v>150</v>
      </c>
      <c r="V12" t="s">
        <v>121</v>
      </c>
      <c r="W12" t="s">
        <v>151</v>
      </c>
      <c r="X12" t="s">
        <v>145</v>
      </c>
      <c r="Y12">
        <v>5.9589061680379897E-2</v>
      </c>
      <c r="AB12" t="s">
        <v>150</v>
      </c>
      <c r="AC12" t="s">
        <v>115</v>
      </c>
      <c r="AD12" t="s">
        <v>139</v>
      </c>
      <c r="AE12">
        <v>3.2288329145472007E-2</v>
      </c>
      <c r="AF12" t="s">
        <v>164</v>
      </c>
    </row>
    <row r="13" spans="2:32" x14ac:dyDescent="0.25">
      <c r="B13" t="s">
        <v>163</v>
      </c>
      <c r="C13" t="s">
        <v>159</v>
      </c>
      <c r="D13">
        <v>2.1004566210045664E-2</v>
      </c>
      <c r="H13" t="s">
        <v>149</v>
      </c>
      <c r="I13" t="s">
        <v>21</v>
      </c>
      <c r="J13" t="s">
        <v>122</v>
      </c>
      <c r="K13">
        <v>0.79620000000000002</v>
      </c>
      <c r="P13" t="s">
        <v>114</v>
      </c>
      <c r="Q13" t="s">
        <v>142</v>
      </c>
      <c r="R13" t="s">
        <v>159</v>
      </c>
      <c r="S13">
        <v>2.8193491525580948E-2</v>
      </c>
      <c r="U13" t="s">
        <v>150</v>
      </c>
      <c r="V13" t="s">
        <v>122</v>
      </c>
      <c r="W13" t="s">
        <v>151</v>
      </c>
      <c r="X13" t="s">
        <v>145</v>
      </c>
      <c r="Y13">
        <v>5.9589061680379897E-2</v>
      </c>
      <c r="AB13" t="s">
        <v>150</v>
      </c>
      <c r="AC13" t="s">
        <v>116</v>
      </c>
      <c r="AD13" t="s">
        <v>133</v>
      </c>
      <c r="AE13">
        <v>0.2059871703492516</v>
      </c>
      <c r="AF13" t="s">
        <v>164</v>
      </c>
    </row>
    <row r="14" spans="2:32" x14ac:dyDescent="0.25">
      <c r="B14" t="s">
        <v>163</v>
      </c>
      <c r="C14" t="s">
        <v>160</v>
      </c>
      <c r="D14">
        <v>0.13356164383561644</v>
      </c>
      <c r="H14" t="s">
        <v>149</v>
      </c>
      <c r="I14" t="s">
        <v>21</v>
      </c>
      <c r="J14" t="s">
        <v>123</v>
      </c>
      <c r="K14">
        <v>0.95389999999999997</v>
      </c>
      <c r="P14" t="s">
        <v>114</v>
      </c>
      <c r="Q14" t="s">
        <v>142</v>
      </c>
      <c r="R14" t="s">
        <v>160</v>
      </c>
      <c r="S14">
        <v>0.1373246531618508</v>
      </c>
      <c r="U14" t="s">
        <v>150</v>
      </c>
      <c r="V14" t="s">
        <v>123</v>
      </c>
      <c r="W14" t="s">
        <v>151</v>
      </c>
      <c r="X14" t="s">
        <v>145</v>
      </c>
      <c r="Y14">
        <v>5.9589061680379897E-2</v>
      </c>
      <c r="AB14" t="s">
        <v>150</v>
      </c>
      <c r="AC14" t="s">
        <v>116</v>
      </c>
      <c r="AD14" t="s">
        <v>137</v>
      </c>
      <c r="AE14">
        <v>0.22665716322166785</v>
      </c>
      <c r="AF14" t="s">
        <v>164</v>
      </c>
    </row>
    <row r="15" spans="2:32" x14ac:dyDescent="0.25">
      <c r="B15" t="s">
        <v>163</v>
      </c>
      <c r="C15" t="s">
        <v>161</v>
      </c>
      <c r="D15">
        <v>9.2465753424657529E-2</v>
      </c>
      <c r="H15" t="s">
        <v>149</v>
      </c>
      <c r="I15" t="s">
        <v>21</v>
      </c>
      <c r="J15" t="s">
        <v>124</v>
      </c>
      <c r="K15">
        <v>0.86140000000000005</v>
      </c>
      <c r="P15" t="s">
        <v>114</v>
      </c>
      <c r="Q15" t="s">
        <v>142</v>
      </c>
      <c r="R15" t="s">
        <v>161</v>
      </c>
      <c r="S15">
        <v>8.2331877432933756E-2</v>
      </c>
      <c r="U15" t="s">
        <v>150</v>
      </c>
      <c r="V15" t="s">
        <v>124</v>
      </c>
      <c r="W15" t="s">
        <v>151</v>
      </c>
      <c r="X15" t="s">
        <v>145</v>
      </c>
      <c r="Y15">
        <v>5.9589061680379897E-2</v>
      </c>
      <c r="AB15" t="s">
        <v>150</v>
      </c>
      <c r="AC15" t="s">
        <v>116</v>
      </c>
      <c r="AD15" t="s">
        <v>138</v>
      </c>
      <c r="AE15">
        <v>0.54739843193157522</v>
      </c>
      <c r="AF15" t="s">
        <v>164</v>
      </c>
    </row>
    <row r="16" spans="2:32" x14ac:dyDescent="0.25">
      <c r="B16" t="s">
        <v>163</v>
      </c>
      <c r="C16" t="s">
        <v>162</v>
      </c>
      <c r="D16">
        <v>2.0547945205479451E-2</v>
      </c>
      <c r="H16" t="s">
        <v>149</v>
      </c>
      <c r="I16" t="s">
        <v>21</v>
      </c>
      <c r="J16" t="s">
        <v>51</v>
      </c>
      <c r="K16">
        <v>0.85680000000000001</v>
      </c>
      <c r="P16" t="s">
        <v>114</v>
      </c>
      <c r="Q16" t="s">
        <v>142</v>
      </c>
      <c r="R16" t="s">
        <v>162</v>
      </c>
      <c r="S16">
        <v>2.4527408077454706E-2</v>
      </c>
      <c r="U16" t="s">
        <v>150</v>
      </c>
      <c r="V16" t="s">
        <v>51</v>
      </c>
      <c r="W16" t="s">
        <v>151</v>
      </c>
      <c r="X16" t="s">
        <v>145</v>
      </c>
      <c r="Y16">
        <v>5.9589061680379897E-2</v>
      </c>
      <c r="AB16" t="s">
        <v>150</v>
      </c>
      <c r="AC16" t="s">
        <v>116</v>
      </c>
      <c r="AD16" t="s">
        <v>139</v>
      </c>
      <c r="AE16">
        <v>1.9957234497505347E-2</v>
      </c>
      <c r="AF16" t="s">
        <v>164</v>
      </c>
    </row>
    <row r="17" spans="8:32" x14ac:dyDescent="0.25">
      <c r="H17" t="s">
        <v>149</v>
      </c>
      <c r="I17" t="s">
        <v>21</v>
      </c>
      <c r="J17" t="s">
        <v>125</v>
      </c>
      <c r="K17">
        <v>0.91679999999999995</v>
      </c>
      <c r="P17" t="s">
        <v>114</v>
      </c>
      <c r="Q17" t="s">
        <v>143</v>
      </c>
      <c r="R17" t="s">
        <v>151</v>
      </c>
      <c r="S17">
        <v>0.13546586619795278</v>
      </c>
      <c r="U17" t="s">
        <v>150</v>
      </c>
      <c r="V17" t="s">
        <v>125</v>
      </c>
      <c r="W17" t="s">
        <v>151</v>
      </c>
      <c r="X17" t="s">
        <v>145</v>
      </c>
      <c r="Y17">
        <v>5.9589061680379897E-2</v>
      </c>
      <c r="AB17" t="s">
        <v>150</v>
      </c>
      <c r="AC17" t="s">
        <v>117</v>
      </c>
      <c r="AD17" t="s">
        <v>133</v>
      </c>
      <c r="AE17">
        <v>0.17300613496932515</v>
      </c>
      <c r="AF17" t="s">
        <v>164</v>
      </c>
    </row>
    <row r="18" spans="8:32" x14ac:dyDescent="0.25">
      <c r="H18" t="s">
        <v>149</v>
      </c>
      <c r="I18" t="s">
        <v>21</v>
      </c>
      <c r="J18" t="s">
        <v>106</v>
      </c>
      <c r="K18">
        <v>0.89670000000000005</v>
      </c>
      <c r="P18" t="s">
        <v>114</v>
      </c>
      <c r="Q18" t="s">
        <v>143</v>
      </c>
      <c r="R18" t="s">
        <v>152</v>
      </c>
      <c r="S18">
        <v>9.0938952338799978E-2</v>
      </c>
      <c r="U18" t="s">
        <v>150</v>
      </c>
      <c r="V18" t="s">
        <v>106</v>
      </c>
      <c r="W18" t="s">
        <v>151</v>
      </c>
      <c r="X18" t="s">
        <v>145</v>
      </c>
      <c r="Y18">
        <v>5.9589061680379897E-2</v>
      </c>
      <c r="AB18" t="s">
        <v>150</v>
      </c>
      <c r="AC18" t="s">
        <v>117</v>
      </c>
      <c r="AD18" t="s">
        <v>137</v>
      </c>
      <c r="AE18">
        <v>0.16441717791411042</v>
      </c>
      <c r="AF18" t="s">
        <v>164</v>
      </c>
    </row>
    <row r="19" spans="8:32" x14ac:dyDescent="0.25">
      <c r="H19" t="s">
        <v>149</v>
      </c>
      <c r="I19" t="s">
        <v>21</v>
      </c>
      <c r="J19" t="s">
        <v>52</v>
      </c>
      <c r="K19">
        <v>0.96489999999999998</v>
      </c>
      <c r="P19" t="s">
        <v>114</v>
      </c>
      <c r="Q19" t="s">
        <v>143</v>
      </c>
      <c r="R19" t="s">
        <v>153</v>
      </c>
      <c r="S19">
        <v>2.110321124225108E-2</v>
      </c>
      <c r="U19" t="s">
        <v>150</v>
      </c>
      <c r="V19" t="s">
        <v>52</v>
      </c>
      <c r="W19" t="s">
        <v>151</v>
      </c>
      <c r="X19" t="s">
        <v>145</v>
      </c>
      <c r="Y19">
        <v>5.9589061680379897E-2</v>
      </c>
      <c r="AB19" t="s">
        <v>150</v>
      </c>
      <c r="AC19" t="s">
        <v>117</v>
      </c>
      <c r="AD19" t="s">
        <v>138</v>
      </c>
      <c r="AE19">
        <v>0.65276073619631902</v>
      </c>
      <c r="AF19" t="s">
        <v>164</v>
      </c>
    </row>
    <row r="20" spans="8:32" x14ac:dyDescent="0.25">
      <c r="H20" t="s">
        <v>149</v>
      </c>
      <c r="I20" t="s">
        <v>21</v>
      </c>
      <c r="J20" t="s">
        <v>126</v>
      </c>
      <c r="K20">
        <v>0.88419999999999999</v>
      </c>
      <c r="P20" t="s">
        <v>114</v>
      </c>
      <c r="Q20" t="s">
        <v>143</v>
      </c>
      <c r="R20" t="s">
        <v>154</v>
      </c>
      <c r="S20">
        <v>0.1343934714351418</v>
      </c>
      <c r="U20" t="s">
        <v>150</v>
      </c>
      <c r="V20" t="s">
        <v>126</v>
      </c>
      <c r="W20" t="s">
        <v>151</v>
      </c>
      <c r="X20" t="s">
        <v>145</v>
      </c>
      <c r="Y20">
        <v>5.9589061680379897E-2</v>
      </c>
      <c r="AB20" t="s">
        <v>150</v>
      </c>
      <c r="AC20" t="s">
        <v>117</v>
      </c>
      <c r="AD20" t="s">
        <v>139</v>
      </c>
      <c r="AE20">
        <v>9.8159509202453993E-3</v>
      </c>
      <c r="AF20" t="s">
        <v>164</v>
      </c>
    </row>
    <row r="21" spans="8:32" x14ac:dyDescent="0.25">
      <c r="H21" t="s">
        <v>149</v>
      </c>
      <c r="I21" t="s">
        <v>21</v>
      </c>
      <c r="J21" t="s">
        <v>113</v>
      </c>
      <c r="K21">
        <v>0.93930000000000002</v>
      </c>
      <c r="P21" t="s">
        <v>114</v>
      </c>
      <c r="Q21" t="s">
        <v>143</v>
      </c>
      <c r="R21" t="s">
        <v>155</v>
      </c>
      <c r="S21">
        <v>9.0481266886833084E-2</v>
      </c>
      <c r="U21" t="s">
        <v>150</v>
      </c>
      <c r="V21" t="s">
        <v>113</v>
      </c>
      <c r="W21" t="s">
        <v>151</v>
      </c>
      <c r="X21" t="s">
        <v>145</v>
      </c>
      <c r="Y21">
        <v>5.9589061680379897E-2</v>
      </c>
      <c r="AB21" t="s">
        <v>150</v>
      </c>
      <c r="AC21" t="s">
        <v>118</v>
      </c>
      <c r="AD21" t="s">
        <v>133</v>
      </c>
      <c r="AE21">
        <v>0.21585482330468003</v>
      </c>
      <c r="AF21" t="s">
        <v>164</v>
      </c>
    </row>
    <row r="22" spans="8:32" x14ac:dyDescent="0.25">
      <c r="P22" t="s">
        <v>114</v>
      </c>
      <c r="Q22" t="s">
        <v>143</v>
      </c>
      <c r="R22" t="s">
        <v>156</v>
      </c>
      <c r="S22">
        <v>2.0807388684464953E-2</v>
      </c>
      <c r="U22" t="s">
        <v>150</v>
      </c>
      <c r="V22" t="s">
        <v>114</v>
      </c>
      <c r="W22" t="s">
        <v>152</v>
      </c>
      <c r="X22" t="s">
        <v>145</v>
      </c>
      <c r="Y22">
        <v>0.137805387667261</v>
      </c>
      <c r="AB22" t="s">
        <v>150</v>
      </c>
      <c r="AC22" t="s">
        <v>118</v>
      </c>
      <c r="AD22" t="s">
        <v>137</v>
      </c>
      <c r="AE22">
        <v>0.27468958930276982</v>
      </c>
      <c r="AF22" t="s">
        <v>164</v>
      </c>
    </row>
    <row r="23" spans="8:32" x14ac:dyDescent="0.25">
      <c r="P23" t="s">
        <v>114</v>
      </c>
      <c r="Q23" t="s">
        <v>143</v>
      </c>
      <c r="R23" t="s">
        <v>157</v>
      </c>
      <c r="S23">
        <v>0.14163641011828992</v>
      </c>
      <c r="U23" t="s">
        <v>150</v>
      </c>
      <c r="V23" t="s">
        <v>115</v>
      </c>
      <c r="W23" t="s">
        <v>152</v>
      </c>
      <c r="X23" t="s">
        <v>145</v>
      </c>
      <c r="Y23">
        <v>0.137805387667261</v>
      </c>
      <c r="AB23" t="s">
        <v>150</v>
      </c>
      <c r="AC23" t="s">
        <v>118</v>
      </c>
      <c r="AD23" t="s">
        <v>138</v>
      </c>
      <c r="AE23">
        <v>2.8462273161413566E-2</v>
      </c>
      <c r="AF23" t="s">
        <v>164</v>
      </c>
    </row>
    <row r="24" spans="8:32" x14ac:dyDescent="0.25">
      <c r="P24" t="s">
        <v>114</v>
      </c>
      <c r="Q24" t="s">
        <v>143</v>
      </c>
      <c r="R24" t="s">
        <v>158</v>
      </c>
      <c r="S24">
        <v>9.3751607750426375E-2</v>
      </c>
      <c r="U24" t="s">
        <v>150</v>
      </c>
      <c r="V24" t="s">
        <v>116</v>
      </c>
      <c r="W24" t="s">
        <v>152</v>
      </c>
      <c r="X24" t="s">
        <v>145</v>
      </c>
      <c r="Y24">
        <v>0.137805387667261</v>
      </c>
      <c r="AB24" t="s">
        <v>150</v>
      </c>
      <c r="AC24" t="s">
        <v>118</v>
      </c>
      <c r="AD24" t="s">
        <v>139</v>
      </c>
      <c r="AE24">
        <v>0.48099331423113656</v>
      </c>
      <c r="AF24" t="s">
        <v>164</v>
      </c>
    </row>
    <row r="25" spans="8:32" x14ac:dyDescent="0.25">
      <c r="P25" t="s">
        <v>114</v>
      </c>
      <c r="Q25" t="s">
        <v>143</v>
      </c>
      <c r="R25" t="s">
        <v>159</v>
      </c>
      <c r="S25">
        <v>2.1897552858004262E-2</v>
      </c>
      <c r="U25" t="s">
        <v>150</v>
      </c>
      <c r="V25" t="s">
        <v>117</v>
      </c>
      <c r="W25" t="s">
        <v>152</v>
      </c>
      <c r="X25" t="s">
        <v>145</v>
      </c>
      <c r="Y25">
        <v>0.137805387667261</v>
      </c>
      <c r="AB25" t="s">
        <v>150</v>
      </c>
      <c r="AC25" t="s">
        <v>119</v>
      </c>
      <c r="AD25" t="s">
        <v>133</v>
      </c>
      <c r="AE25">
        <v>0.2005411906193626</v>
      </c>
      <c r="AF25" t="s">
        <v>164</v>
      </c>
    </row>
    <row r="26" spans="8:32" x14ac:dyDescent="0.25">
      <c r="P26" t="s">
        <v>114</v>
      </c>
      <c r="Q26" t="s">
        <v>143</v>
      </c>
      <c r="R26" t="s">
        <v>160</v>
      </c>
      <c r="S26">
        <v>0.13583827377887353</v>
      </c>
      <c r="U26" t="s">
        <v>150</v>
      </c>
      <c r="V26" t="s">
        <v>118</v>
      </c>
      <c r="W26" t="s">
        <v>152</v>
      </c>
      <c r="X26" t="s">
        <v>145</v>
      </c>
      <c r="Y26">
        <v>0.137805387667261</v>
      </c>
      <c r="AB26" t="s">
        <v>150</v>
      </c>
      <c r="AC26" t="s">
        <v>119</v>
      </c>
      <c r="AD26" t="s">
        <v>137</v>
      </c>
      <c r="AE26">
        <v>0.17528562838244136</v>
      </c>
      <c r="AF26" t="s">
        <v>164</v>
      </c>
    </row>
    <row r="27" spans="8:32" x14ac:dyDescent="0.25">
      <c r="P27" t="s">
        <v>114</v>
      </c>
      <c r="Q27" t="s">
        <v>143</v>
      </c>
      <c r="R27" t="s">
        <v>161</v>
      </c>
      <c r="S27">
        <v>9.2338325970644383E-2</v>
      </c>
      <c r="U27" t="s">
        <v>150</v>
      </c>
      <c r="V27" t="s">
        <v>119</v>
      </c>
      <c r="W27" t="s">
        <v>152</v>
      </c>
      <c r="X27" t="s">
        <v>145</v>
      </c>
      <c r="Y27">
        <v>0.137805387667261</v>
      </c>
      <c r="AB27" t="s">
        <v>150</v>
      </c>
      <c r="AC27" t="s">
        <v>119</v>
      </c>
      <c r="AD27" t="s">
        <v>138</v>
      </c>
      <c r="AE27">
        <v>6.0132291040288638E-4</v>
      </c>
      <c r="AF27" t="s">
        <v>164</v>
      </c>
    </row>
    <row r="28" spans="8:32" x14ac:dyDescent="0.25">
      <c r="P28" t="s">
        <v>114</v>
      </c>
      <c r="Q28" t="s">
        <v>143</v>
      </c>
      <c r="R28" t="s">
        <v>162</v>
      </c>
      <c r="S28">
        <v>2.1347672738321874E-2</v>
      </c>
      <c r="U28" t="s">
        <v>150</v>
      </c>
      <c r="V28" t="s">
        <v>120</v>
      </c>
      <c r="W28" t="s">
        <v>152</v>
      </c>
      <c r="X28" t="s">
        <v>145</v>
      </c>
      <c r="Y28">
        <v>0.137805387667261</v>
      </c>
      <c r="AB28" t="s">
        <v>150</v>
      </c>
      <c r="AC28" t="s">
        <v>119</v>
      </c>
      <c r="AD28" t="s">
        <v>139</v>
      </c>
      <c r="AE28">
        <v>0.62357185808779314</v>
      </c>
      <c r="AF28" t="s">
        <v>164</v>
      </c>
    </row>
    <row r="29" spans="8:32" x14ac:dyDescent="0.25">
      <c r="P29" t="s">
        <v>114</v>
      </c>
      <c r="Q29" t="s">
        <v>144</v>
      </c>
      <c r="R29" t="s">
        <v>151</v>
      </c>
      <c r="S29">
        <v>0.13475756446983755</v>
      </c>
      <c r="U29" t="s">
        <v>150</v>
      </c>
      <c r="V29" t="s">
        <v>121</v>
      </c>
      <c r="W29" t="s">
        <v>152</v>
      </c>
      <c r="X29" t="s">
        <v>145</v>
      </c>
      <c r="Y29">
        <v>0.137805387667261</v>
      </c>
      <c r="AB29" t="s">
        <v>150</v>
      </c>
      <c r="AC29" t="s">
        <v>120</v>
      </c>
      <c r="AD29" t="s">
        <v>133</v>
      </c>
      <c r="AE29">
        <v>0.17300613496932515</v>
      </c>
      <c r="AF29" t="s">
        <v>164</v>
      </c>
    </row>
    <row r="30" spans="8:32" x14ac:dyDescent="0.25">
      <c r="P30" t="s">
        <v>114</v>
      </c>
      <c r="Q30" t="s">
        <v>144</v>
      </c>
      <c r="R30" t="s">
        <v>152</v>
      </c>
      <c r="S30">
        <v>7.5997490309093363E-2</v>
      </c>
      <c r="U30" t="s">
        <v>150</v>
      </c>
      <c r="V30" t="s">
        <v>122</v>
      </c>
      <c r="W30" t="s">
        <v>152</v>
      </c>
      <c r="X30" t="s">
        <v>145</v>
      </c>
      <c r="Y30">
        <v>0.137805387667261</v>
      </c>
      <c r="AB30" t="s">
        <v>150</v>
      </c>
      <c r="AC30" t="s">
        <v>120</v>
      </c>
      <c r="AD30" t="s">
        <v>137</v>
      </c>
      <c r="AE30">
        <v>0.16441717791411045</v>
      </c>
      <c r="AF30" t="s">
        <v>164</v>
      </c>
    </row>
    <row r="31" spans="8:32" x14ac:dyDescent="0.25">
      <c r="P31" t="s">
        <v>114</v>
      </c>
      <c r="Q31" t="s">
        <v>144</v>
      </c>
      <c r="R31" t="s">
        <v>153</v>
      </c>
      <c r="S31">
        <v>2.2585698794144814E-2</v>
      </c>
      <c r="U31" t="s">
        <v>150</v>
      </c>
      <c r="V31" t="s">
        <v>123</v>
      </c>
      <c r="W31" t="s">
        <v>152</v>
      </c>
      <c r="X31" t="s">
        <v>145</v>
      </c>
      <c r="Y31">
        <v>0.137805387667261</v>
      </c>
      <c r="AB31" t="s">
        <v>150</v>
      </c>
      <c r="AC31" t="s">
        <v>120</v>
      </c>
      <c r="AD31" t="s">
        <v>138</v>
      </c>
      <c r="AE31">
        <v>0.65276073619631902</v>
      </c>
      <c r="AF31" t="s">
        <v>164</v>
      </c>
    </row>
    <row r="32" spans="8:32" x14ac:dyDescent="0.25">
      <c r="P32" t="s">
        <v>114</v>
      </c>
      <c r="Q32" t="s">
        <v>144</v>
      </c>
      <c r="R32" t="s">
        <v>154</v>
      </c>
      <c r="S32">
        <v>0.12785504789238836</v>
      </c>
      <c r="U32" t="s">
        <v>150</v>
      </c>
      <c r="V32" t="s">
        <v>124</v>
      </c>
      <c r="W32" t="s">
        <v>152</v>
      </c>
      <c r="X32" t="s">
        <v>145</v>
      </c>
      <c r="Y32">
        <v>0.137805387667261</v>
      </c>
      <c r="AB32" t="s">
        <v>150</v>
      </c>
      <c r="AC32" t="s">
        <v>120</v>
      </c>
      <c r="AD32" t="s">
        <v>139</v>
      </c>
      <c r="AE32">
        <v>9.8159509202454028E-3</v>
      </c>
      <c r="AF32" t="s">
        <v>164</v>
      </c>
    </row>
    <row r="33" spans="16:32" x14ac:dyDescent="0.25">
      <c r="P33" t="s">
        <v>114</v>
      </c>
      <c r="Q33" t="s">
        <v>144</v>
      </c>
      <c r="R33" t="s">
        <v>155</v>
      </c>
      <c r="S33">
        <v>7.2924920393623069E-2</v>
      </c>
      <c r="U33" t="s">
        <v>150</v>
      </c>
      <c r="V33" t="s">
        <v>51</v>
      </c>
      <c r="W33" t="s">
        <v>152</v>
      </c>
      <c r="X33" t="s">
        <v>145</v>
      </c>
      <c r="Y33">
        <v>0.137805387667261</v>
      </c>
      <c r="AB33" t="s">
        <v>150</v>
      </c>
      <c r="AC33" t="s">
        <v>121</v>
      </c>
      <c r="AD33" t="s">
        <v>133</v>
      </c>
      <c r="AE33">
        <v>0.23085926564690409</v>
      </c>
      <c r="AF33" t="s">
        <v>164</v>
      </c>
    </row>
    <row r="34" spans="16:32" x14ac:dyDescent="0.25">
      <c r="P34" t="s">
        <v>114</v>
      </c>
      <c r="Q34" t="s">
        <v>144</v>
      </c>
      <c r="R34" t="s">
        <v>156</v>
      </c>
      <c r="S34">
        <v>2.0699178353113086E-2</v>
      </c>
      <c r="U34" t="s">
        <v>150</v>
      </c>
      <c r="V34" t="s">
        <v>125</v>
      </c>
      <c r="W34" t="s">
        <v>152</v>
      </c>
      <c r="X34" t="s">
        <v>145</v>
      </c>
      <c r="Y34">
        <v>0.137805387667261</v>
      </c>
      <c r="AB34" t="s">
        <v>150</v>
      </c>
      <c r="AC34" t="s">
        <v>121</v>
      </c>
      <c r="AD34" t="s">
        <v>137</v>
      </c>
      <c r="AE34">
        <v>0.27189515674078601</v>
      </c>
      <c r="AF34" t="s">
        <v>164</v>
      </c>
    </row>
    <row r="35" spans="16:32" x14ac:dyDescent="0.25">
      <c r="P35" t="s">
        <v>114</v>
      </c>
      <c r="Q35" t="s">
        <v>144</v>
      </c>
      <c r="R35" t="s">
        <v>157</v>
      </c>
      <c r="S35">
        <v>0.17397863846278769</v>
      </c>
      <c r="U35" t="s">
        <v>150</v>
      </c>
      <c r="V35" t="s">
        <v>106</v>
      </c>
      <c r="W35" t="s">
        <v>152</v>
      </c>
      <c r="X35" t="s">
        <v>145</v>
      </c>
      <c r="Y35">
        <v>0.137805387667261</v>
      </c>
      <c r="AB35" t="s">
        <v>150</v>
      </c>
      <c r="AC35" t="s">
        <v>121</v>
      </c>
      <c r="AD35" t="s">
        <v>138</v>
      </c>
      <c r="AE35">
        <v>2.2091146606457682E-2</v>
      </c>
      <c r="AF35" t="s">
        <v>164</v>
      </c>
    </row>
    <row r="36" spans="16:32" x14ac:dyDescent="0.25">
      <c r="P36" t="s">
        <v>114</v>
      </c>
      <c r="Q36" t="s">
        <v>144</v>
      </c>
      <c r="R36" t="s">
        <v>158</v>
      </c>
      <c r="S36">
        <v>9.4877687982430917E-2</v>
      </c>
      <c r="U36" t="s">
        <v>150</v>
      </c>
      <c r="V36" t="s">
        <v>52</v>
      </c>
      <c r="W36" t="s">
        <v>152</v>
      </c>
      <c r="X36" t="s">
        <v>145</v>
      </c>
      <c r="Y36">
        <v>0.137805387667261</v>
      </c>
      <c r="AB36" t="s">
        <v>150</v>
      </c>
      <c r="AC36" t="s">
        <v>121</v>
      </c>
      <c r="AD36" t="s">
        <v>139</v>
      </c>
      <c r="AE36">
        <v>0.4751544310058522</v>
      </c>
      <c r="AF36" t="s">
        <v>164</v>
      </c>
    </row>
    <row r="37" spans="16:32" x14ac:dyDescent="0.25">
      <c r="P37" t="s">
        <v>114</v>
      </c>
      <c r="Q37" t="s">
        <v>144</v>
      </c>
      <c r="R37" t="s">
        <v>159</v>
      </c>
      <c r="S37">
        <v>2.7919766936594103E-2</v>
      </c>
      <c r="U37" t="s">
        <v>150</v>
      </c>
      <c r="V37" t="s">
        <v>126</v>
      </c>
      <c r="W37" t="s">
        <v>152</v>
      </c>
      <c r="X37" t="s">
        <v>145</v>
      </c>
      <c r="Y37">
        <v>0.137805387667261</v>
      </c>
      <c r="AB37" t="s">
        <v>150</v>
      </c>
      <c r="AC37" t="s">
        <v>122</v>
      </c>
      <c r="AD37" t="s">
        <v>133</v>
      </c>
      <c r="AE37">
        <v>0.22895238095238094</v>
      </c>
      <c r="AF37" t="s">
        <v>164</v>
      </c>
    </row>
    <row r="38" spans="16:32" x14ac:dyDescent="0.25">
      <c r="P38" t="s">
        <v>114</v>
      </c>
      <c r="Q38" t="s">
        <v>144</v>
      </c>
      <c r="R38" t="s">
        <v>160</v>
      </c>
      <c r="S38">
        <v>0.13885108262703397</v>
      </c>
      <c r="U38" t="s">
        <v>150</v>
      </c>
      <c r="V38" t="s">
        <v>113</v>
      </c>
      <c r="W38" t="s">
        <v>152</v>
      </c>
      <c r="X38" t="s">
        <v>145</v>
      </c>
      <c r="Y38">
        <v>0.137805387667261</v>
      </c>
      <c r="AB38" t="s">
        <v>150</v>
      </c>
      <c r="AC38" t="s">
        <v>122</v>
      </c>
      <c r="AD38" t="s">
        <v>137</v>
      </c>
      <c r="AE38">
        <v>0.21447619047619046</v>
      </c>
      <c r="AF38" t="s">
        <v>164</v>
      </c>
    </row>
    <row r="39" spans="16:32" x14ac:dyDescent="0.25">
      <c r="P39" t="s">
        <v>114</v>
      </c>
      <c r="Q39" t="s">
        <v>144</v>
      </c>
      <c r="R39" t="s">
        <v>161</v>
      </c>
      <c r="S39">
        <v>8.5379746682753346E-2</v>
      </c>
      <c r="U39" t="s">
        <v>150</v>
      </c>
      <c r="V39" t="s">
        <v>114</v>
      </c>
      <c r="W39" t="s">
        <v>153</v>
      </c>
      <c r="X39" t="s">
        <v>145</v>
      </c>
      <c r="Y39">
        <v>5.2605550652358703E-2</v>
      </c>
      <c r="AB39" t="s">
        <v>150</v>
      </c>
      <c r="AC39" t="s">
        <v>122</v>
      </c>
      <c r="AD39" t="s">
        <v>138</v>
      </c>
      <c r="AE39">
        <v>7.6190476190476182E-4</v>
      </c>
      <c r="AF39" t="s">
        <v>164</v>
      </c>
    </row>
    <row r="40" spans="16:32" x14ac:dyDescent="0.25">
      <c r="P40" t="s">
        <v>114</v>
      </c>
      <c r="Q40" t="s">
        <v>144</v>
      </c>
      <c r="R40" t="s">
        <v>162</v>
      </c>
      <c r="S40">
        <v>2.4173177096195982E-2</v>
      </c>
      <c r="U40" t="s">
        <v>150</v>
      </c>
      <c r="V40" t="s">
        <v>115</v>
      </c>
      <c r="W40" t="s">
        <v>153</v>
      </c>
      <c r="X40" t="s">
        <v>145</v>
      </c>
      <c r="Y40">
        <v>5.2605550652358703E-2</v>
      </c>
      <c r="AB40" t="s">
        <v>150</v>
      </c>
      <c r="AC40" t="s">
        <v>122</v>
      </c>
      <c r="AD40" t="s">
        <v>139</v>
      </c>
      <c r="AE40">
        <v>0.55580952380952375</v>
      </c>
      <c r="AF40" t="s">
        <v>164</v>
      </c>
    </row>
    <row r="41" spans="16:32" x14ac:dyDescent="0.25">
      <c r="P41" t="s">
        <v>115</v>
      </c>
      <c r="Q41" t="s">
        <v>142</v>
      </c>
      <c r="R41" t="s">
        <v>151</v>
      </c>
      <c r="S41">
        <v>0.15017837043721066</v>
      </c>
      <c r="U41" t="s">
        <v>150</v>
      </c>
      <c r="V41" t="s">
        <v>116</v>
      </c>
      <c r="W41" t="s">
        <v>153</v>
      </c>
      <c r="X41" t="s">
        <v>145</v>
      </c>
      <c r="Y41">
        <v>5.2605550652358703E-2</v>
      </c>
      <c r="AB41" t="s">
        <v>150</v>
      </c>
      <c r="AC41" t="s">
        <v>123</v>
      </c>
      <c r="AD41" t="s">
        <v>133</v>
      </c>
      <c r="AE41">
        <v>9.1254752851711002E-2</v>
      </c>
      <c r="AF41" t="s">
        <v>164</v>
      </c>
    </row>
    <row r="42" spans="16:32" x14ac:dyDescent="0.25">
      <c r="P42" t="s">
        <v>115</v>
      </c>
      <c r="Q42" t="s">
        <v>142</v>
      </c>
      <c r="R42" t="s">
        <v>152</v>
      </c>
      <c r="S42">
        <v>7.4645119372743748E-2</v>
      </c>
      <c r="U42" t="s">
        <v>150</v>
      </c>
      <c r="V42" t="s">
        <v>117</v>
      </c>
      <c r="W42" t="s">
        <v>153</v>
      </c>
      <c r="X42" t="s">
        <v>145</v>
      </c>
      <c r="Y42">
        <v>5.2605550652358703E-2</v>
      </c>
      <c r="AB42" t="s">
        <v>150</v>
      </c>
      <c r="AC42" t="s">
        <v>123</v>
      </c>
      <c r="AD42" t="s">
        <v>137</v>
      </c>
      <c r="AE42">
        <v>0.25475285171102663</v>
      </c>
      <c r="AF42" t="s">
        <v>164</v>
      </c>
    </row>
    <row r="43" spans="16:32" x14ac:dyDescent="0.25">
      <c r="P43" t="s">
        <v>115</v>
      </c>
      <c r="Q43" t="s">
        <v>142</v>
      </c>
      <c r="R43" t="s">
        <v>153</v>
      </c>
      <c r="S43">
        <v>2.5226770950832762E-2</v>
      </c>
      <c r="U43" t="s">
        <v>150</v>
      </c>
      <c r="V43" t="s">
        <v>118</v>
      </c>
      <c r="W43" t="s">
        <v>153</v>
      </c>
      <c r="X43" t="s">
        <v>145</v>
      </c>
      <c r="Y43">
        <v>5.2605550652358703E-2</v>
      </c>
      <c r="AB43" t="s">
        <v>150</v>
      </c>
      <c r="AC43" t="s">
        <v>123</v>
      </c>
      <c r="AD43" t="s">
        <v>138</v>
      </c>
      <c r="AE43">
        <v>0</v>
      </c>
      <c r="AF43" t="s">
        <v>164</v>
      </c>
    </row>
    <row r="44" spans="16:32" x14ac:dyDescent="0.25">
      <c r="P44" t="s">
        <v>115</v>
      </c>
      <c r="Q44" t="s">
        <v>142</v>
      </c>
      <c r="R44" t="s">
        <v>154</v>
      </c>
      <c r="S44">
        <v>0.13958483801246471</v>
      </c>
      <c r="U44" t="s">
        <v>150</v>
      </c>
      <c r="V44" t="s">
        <v>119</v>
      </c>
      <c r="W44" t="s">
        <v>153</v>
      </c>
      <c r="X44" t="s">
        <v>145</v>
      </c>
      <c r="Y44">
        <v>5.2605550652358703E-2</v>
      </c>
      <c r="AB44" t="s">
        <v>150</v>
      </c>
      <c r="AC44" t="s">
        <v>123</v>
      </c>
      <c r="AD44" t="s">
        <v>139</v>
      </c>
      <c r="AE44">
        <v>0.65399239543726229</v>
      </c>
      <c r="AF44" t="s">
        <v>164</v>
      </c>
    </row>
    <row r="45" spans="16:32" x14ac:dyDescent="0.25">
      <c r="P45" t="s">
        <v>115</v>
      </c>
      <c r="Q45" t="s">
        <v>142</v>
      </c>
      <c r="R45" t="s">
        <v>155</v>
      </c>
      <c r="S45">
        <v>6.9983417284541674E-2</v>
      </c>
      <c r="U45" t="s">
        <v>150</v>
      </c>
      <c r="V45" t="s">
        <v>120</v>
      </c>
      <c r="W45" t="s">
        <v>153</v>
      </c>
      <c r="X45" t="s">
        <v>145</v>
      </c>
      <c r="Y45">
        <v>5.2605550652358703E-2</v>
      </c>
      <c r="AB45" t="s">
        <v>150</v>
      </c>
      <c r="AC45" t="s">
        <v>124</v>
      </c>
      <c r="AD45" t="s">
        <v>133</v>
      </c>
      <c r="AE45">
        <v>0.21321392322836852</v>
      </c>
      <c r="AF45" t="s">
        <v>164</v>
      </c>
    </row>
    <row r="46" spans="16:32" x14ac:dyDescent="0.25">
      <c r="P46" t="s">
        <v>115</v>
      </c>
      <c r="Q46" t="s">
        <v>142</v>
      </c>
      <c r="R46" t="s">
        <v>156</v>
      </c>
      <c r="S46">
        <v>2.466910578350957E-2</v>
      </c>
      <c r="U46" t="s">
        <v>150</v>
      </c>
      <c r="V46" t="s">
        <v>121</v>
      </c>
      <c r="W46" t="s">
        <v>153</v>
      </c>
      <c r="X46" t="s">
        <v>145</v>
      </c>
      <c r="Y46">
        <v>5.2605550652358703E-2</v>
      </c>
      <c r="AB46" t="s">
        <v>150</v>
      </c>
      <c r="AC46" t="s">
        <v>124</v>
      </c>
      <c r="AD46" t="s">
        <v>137</v>
      </c>
      <c r="AE46">
        <v>0.21957007344535948</v>
      </c>
      <c r="AF46" t="s">
        <v>164</v>
      </c>
    </row>
    <row r="47" spans="16:32" x14ac:dyDescent="0.25">
      <c r="P47" t="s">
        <v>115</v>
      </c>
      <c r="Q47" t="s">
        <v>142</v>
      </c>
      <c r="R47" t="s">
        <v>157</v>
      </c>
      <c r="S47">
        <v>0.17143128705028704</v>
      </c>
      <c r="U47" t="s">
        <v>150</v>
      </c>
      <c r="V47" t="s">
        <v>122</v>
      </c>
      <c r="W47" t="s">
        <v>153</v>
      </c>
      <c r="X47" t="s">
        <v>145</v>
      </c>
      <c r="Y47">
        <v>5.2605550652358703E-2</v>
      </c>
      <c r="AB47" t="s">
        <v>150</v>
      </c>
      <c r="AC47" t="s">
        <v>124</v>
      </c>
      <c r="AD47" t="s">
        <v>138</v>
      </c>
      <c r="AE47">
        <v>7.0748299319727871E-4</v>
      </c>
      <c r="AF47" t="s">
        <v>164</v>
      </c>
    </row>
    <row r="48" spans="16:32" x14ac:dyDescent="0.25">
      <c r="P48" t="s">
        <v>115</v>
      </c>
      <c r="Q48" t="s">
        <v>142</v>
      </c>
      <c r="R48" t="s">
        <v>158</v>
      </c>
      <c r="S48">
        <v>8.6521960225154695E-2</v>
      </c>
      <c r="U48" t="s">
        <v>150</v>
      </c>
      <c r="V48" t="s">
        <v>123</v>
      </c>
      <c r="W48" t="s">
        <v>153</v>
      </c>
      <c r="X48" t="s">
        <v>145</v>
      </c>
      <c r="Y48">
        <v>5.2605550652358703E-2</v>
      </c>
      <c r="AB48" t="s">
        <v>150</v>
      </c>
      <c r="AC48" t="s">
        <v>124</v>
      </c>
      <c r="AD48" t="s">
        <v>139</v>
      </c>
      <c r="AE48">
        <v>0.56650852033307475</v>
      </c>
      <c r="AF48" t="s">
        <v>164</v>
      </c>
    </row>
    <row r="49" spans="16:32" x14ac:dyDescent="0.25">
      <c r="P49" t="s">
        <v>115</v>
      </c>
      <c r="Q49" t="s">
        <v>142</v>
      </c>
      <c r="R49" t="s">
        <v>159</v>
      </c>
      <c r="S49">
        <v>3.1000332122257796E-2</v>
      </c>
      <c r="U49" t="s">
        <v>150</v>
      </c>
      <c r="V49" t="s">
        <v>124</v>
      </c>
      <c r="W49" t="s">
        <v>153</v>
      </c>
      <c r="X49" t="s">
        <v>145</v>
      </c>
      <c r="Y49">
        <v>5.2605550652358703E-2</v>
      </c>
      <c r="AB49" t="s">
        <v>150</v>
      </c>
      <c r="AC49" t="s">
        <v>51</v>
      </c>
      <c r="AD49" t="s">
        <v>133</v>
      </c>
      <c r="AE49">
        <v>0.19165488363034375</v>
      </c>
      <c r="AF49" t="s">
        <v>164</v>
      </c>
    </row>
    <row r="50" spans="16:32" x14ac:dyDescent="0.25">
      <c r="P50" t="s">
        <v>115</v>
      </c>
      <c r="Q50" t="s">
        <v>142</v>
      </c>
      <c r="R50" t="s">
        <v>160</v>
      </c>
      <c r="S50">
        <v>0.1345103281550373</v>
      </c>
      <c r="U50" t="s">
        <v>150</v>
      </c>
      <c r="V50" t="s">
        <v>51</v>
      </c>
      <c r="W50" t="s">
        <v>153</v>
      </c>
      <c r="X50" t="s">
        <v>145</v>
      </c>
      <c r="Y50">
        <v>5.2605550652358703E-2</v>
      </c>
      <c r="AB50" t="s">
        <v>150</v>
      </c>
      <c r="AC50" t="s">
        <v>51</v>
      </c>
      <c r="AD50" t="s">
        <v>137</v>
      </c>
      <c r="AE50">
        <v>0.1811035154348038</v>
      </c>
      <c r="AF50" t="s">
        <v>164</v>
      </c>
    </row>
    <row r="51" spans="16:32" x14ac:dyDescent="0.25">
      <c r="P51" t="s">
        <v>115</v>
      </c>
      <c r="Q51" t="s">
        <v>142</v>
      </c>
      <c r="R51" t="s">
        <v>161</v>
      </c>
      <c r="S51">
        <v>7.0172076287560406E-2</v>
      </c>
      <c r="U51" t="s">
        <v>150</v>
      </c>
      <c r="V51" t="s">
        <v>125</v>
      </c>
      <c r="W51" t="s">
        <v>153</v>
      </c>
      <c r="X51" t="s">
        <v>145</v>
      </c>
      <c r="Y51">
        <v>5.2605550652358703E-2</v>
      </c>
      <c r="AB51" t="s">
        <v>150</v>
      </c>
      <c r="AC51" t="s">
        <v>51</v>
      </c>
      <c r="AD51" t="s">
        <v>138</v>
      </c>
      <c r="AE51">
        <v>0.43542779238484763</v>
      </c>
      <c r="AF51" t="s">
        <v>164</v>
      </c>
    </row>
    <row r="52" spans="16:32" x14ac:dyDescent="0.25">
      <c r="P52" t="s">
        <v>115</v>
      </c>
      <c r="Q52" t="s">
        <v>142</v>
      </c>
      <c r="R52" t="s">
        <v>162</v>
      </c>
      <c r="S52">
        <v>2.2076394318399136E-2</v>
      </c>
      <c r="U52" t="s">
        <v>150</v>
      </c>
      <c r="V52" t="s">
        <v>106</v>
      </c>
      <c r="W52" t="s">
        <v>153</v>
      </c>
      <c r="X52" t="s">
        <v>145</v>
      </c>
      <c r="Y52">
        <v>5.2605550652358703E-2</v>
      </c>
      <c r="AB52" t="s">
        <v>150</v>
      </c>
      <c r="AC52" t="s">
        <v>51</v>
      </c>
      <c r="AD52" t="s">
        <v>139</v>
      </c>
      <c r="AE52">
        <v>0.19181380855000488</v>
      </c>
      <c r="AF52" t="s">
        <v>164</v>
      </c>
    </row>
    <row r="53" spans="16:32" x14ac:dyDescent="0.25">
      <c r="P53" t="s">
        <v>115</v>
      </c>
      <c r="Q53" t="s">
        <v>143</v>
      </c>
      <c r="R53" t="s">
        <v>151</v>
      </c>
      <c r="S53">
        <v>0.13650795165184815</v>
      </c>
      <c r="U53" t="s">
        <v>150</v>
      </c>
      <c r="V53" t="s">
        <v>52</v>
      </c>
      <c r="W53" t="s">
        <v>153</v>
      </c>
      <c r="X53" t="s">
        <v>145</v>
      </c>
      <c r="Y53">
        <v>5.2605550652358703E-2</v>
      </c>
      <c r="AB53" t="s">
        <v>150</v>
      </c>
      <c r="AC53" t="s">
        <v>125</v>
      </c>
      <c r="AD53" t="s">
        <v>133</v>
      </c>
      <c r="AE53">
        <v>9.1254752851711127E-2</v>
      </c>
      <c r="AF53" t="s">
        <v>164</v>
      </c>
    </row>
    <row r="54" spans="16:32" x14ac:dyDescent="0.25">
      <c r="P54" t="s">
        <v>115</v>
      </c>
      <c r="Q54" t="s">
        <v>143</v>
      </c>
      <c r="R54" t="s">
        <v>152</v>
      </c>
      <c r="S54">
        <v>9.23396054904808E-2</v>
      </c>
      <c r="U54" t="s">
        <v>150</v>
      </c>
      <c r="V54" t="s">
        <v>126</v>
      </c>
      <c r="W54" t="s">
        <v>153</v>
      </c>
      <c r="X54" t="s">
        <v>145</v>
      </c>
      <c r="Y54">
        <v>5.2605550652358703E-2</v>
      </c>
      <c r="AB54" t="s">
        <v>150</v>
      </c>
      <c r="AC54" t="s">
        <v>125</v>
      </c>
      <c r="AD54" t="s">
        <v>137</v>
      </c>
      <c r="AE54">
        <v>0.25475285171102696</v>
      </c>
      <c r="AF54" t="s">
        <v>164</v>
      </c>
    </row>
    <row r="55" spans="16:32" x14ac:dyDescent="0.25">
      <c r="P55" t="s">
        <v>115</v>
      </c>
      <c r="Q55" t="s">
        <v>143</v>
      </c>
      <c r="R55" t="s">
        <v>153</v>
      </c>
      <c r="S55">
        <v>2.12060893242348E-2</v>
      </c>
      <c r="U55" t="s">
        <v>150</v>
      </c>
      <c r="V55" t="s">
        <v>113</v>
      </c>
      <c r="W55" t="s">
        <v>153</v>
      </c>
      <c r="X55" t="s">
        <v>145</v>
      </c>
      <c r="Y55">
        <v>5.2605550652358703E-2</v>
      </c>
      <c r="AB55" t="s">
        <v>150</v>
      </c>
      <c r="AC55" t="s">
        <v>125</v>
      </c>
      <c r="AD55" t="s">
        <v>138</v>
      </c>
      <c r="AE55">
        <v>0</v>
      </c>
      <c r="AF55" t="s">
        <v>164</v>
      </c>
    </row>
    <row r="56" spans="16:32" x14ac:dyDescent="0.25">
      <c r="P56" t="s">
        <v>115</v>
      </c>
      <c r="Q56" t="s">
        <v>143</v>
      </c>
      <c r="R56" t="s">
        <v>154</v>
      </c>
      <c r="S56">
        <v>0.13566056052224901</v>
      </c>
      <c r="U56" t="s">
        <v>150</v>
      </c>
      <c r="V56" t="s">
        <v>114</v>
      </c>
      <c r="W56" t="s">
        <v>154</v>
      </c>
      <c r="X56" t="s">
        <v>145</v>
      </c>
      <c r="Y56">
        <v>5.9589061680379897E-2</v>
      </c>
      <c r="AB56" t="s">
        <v>150</v>
      </c>
      <c r="AC56" t="s">
        <v>125</v>
      </c>
      <c r="AD56" t="s">
        <v>139</v>
      </c>
      <c r="AE56">
        <v>0.65399239543726195</v>
      </c>
      <c r="AF56" t="s">
        <v>164</v>
      </c>
    </row>
    <row r="57" spans="16:32" x14ac:dyDescent="0.25">
      <c r="P57" t="s">
        <v>115</v>
      </c>
      <c r="Q57" t="s">
        <v>143</v>
      </c>
      <c r="R57" t="s">
        <v>155</v>
      </c>
      <c r="S57">
        <v>9.1940164745158828E-2</v>
      </c>
      <c r="U57" t="s">
        <v>150</v>
      </c>
      <c r="V57" t="s">
        <v>115</v>
      </c>
      <c r="W57" t="s">
        <v>154</v>
      </c>
      <c r="X57" t="s">
        <v>145</v>
      </c>
      <c r="Y57">
        <v>5.9589061680379897E-2</v>
      </c>
      <c r="AB57" t="s">
        <v>150</v>
      </c>
      <c r="AC57" t="s">
        <v>106</v>
      </c>
      <c r="AD57" t="s">
        <v>133</v>
      </c>
      <c r="AE57">
        <v>0.29360636417206837</v>
      </c>
      <c r="AF57" t="s">
        <v>164</v>
      </c>
    </row>
    <row r="58" spans="16:32" x14ac:dyDescent="0.25">
      <c r="P58" t="s">
        <v>115</v>
      </c>
      <c r="Q58" t="s">
        <v>143</v>
      </c>
      <c r="R58" t="s">
        <v>156</v>
      </c>
      <c r="S58">
        <v>2.1156911347836347E-2</v>
      </c>
      <c r="U58" t="s">
        <v>150</v>
      </c>
      <c r="V58" t="s">
        <v>116</v>
      </c>
      <c r="W58" t="s">
        <v>154</v>
      </c>
      <c r="X58" t="s">
        <v>145</v>
      </c>
      <c r="Y58">
        <v>5.9589061680379897E-2</v>
      </c>
      <c r="AB58" t="s">
        <v>150</v>
      </c>
      <c r="AC58" t="s">
        <v>106</v>
      </c>
      <c r="AD58" t="s">
        <v>137</v>
      </c>
      <c r="AE58">
        <v>0.19490276959340011</v>
      </c>
      <c r="AF58" t="s">
        <v>164</v>
      </c>
    </row>
    <row r="59" spans="16:32" x14ac:dyDescent="0.25">
      <c r="P59" t="s">
        <v>115</v>
      </c>
      <c r="Q59" t="s">
        <v>143</v>
      </c>
      <c r="R59" t="s">
        <v>157</v>
      </c>
      <c r="S59">
        <v>0.13816590643966345</v>
      </c>
      <c r="U59" t="s">
        <v>150</v>
      </c>
      <c r="V59" t="s">
        <v>117</v>
      </c>
      <c r="W59" t="s">
        <v>154</v>
      </c>
      <c r="X59" t="s">
        <v>145</v>
      </c>
      <c r="Y59">
        <v>5.9589061680379897E-2</v>
      </c>
      <c r="AB59" t="s">
        <v>150</v>
      </c>
      <c r="AC59" t="s">
        <v>106</v>
      </c>
      <c r="AD59" t="s">
        <v>138</v>
      </c>
      <c r="AE59">
        <v>3.2557454331172658E-2</v>
      </c>
      <c r="AF59" t="s">
        <v>164</v>
      </c>
    </row>
    <row r="60" spans="16:32" x14ac:dyDescent="0.25">
      <c r="P60" t="s">
        <v>115</v>
      </c>
      <c r="Q60" t="s">
        <v>143</v>
      </c>
      <c r="R60" t="s">
        <v>158</v>
      </c>
      <c r="S60">
        <v>9.3312277922841441E-2</v>
      </c>
      <c r="U60" t="s">
        <v>150</v>
      </c>
      <c r="V60" t="s">
        <v>118</v>
      </c>
      <c r="W60" t="s">
        <v>154</v>
      </c>
      <c r="X60" t="s">
        <v>145</v>
      </c>
      <c r="Y60">
        <v>5.9589061680379897E-2</v>
      </c>
      <c r="AB60" t="s">
        <v>150</v>
      </c>
      <c r="AC60" t="s">
        <v>106</v>
      </c>
      <c r="AD60" t="s">
        <v>139</v>
      </c>
      <c r="AE60">
        <v>0.47893341190335886</v>
      </c>
      <c r="AF60" t="s">
        <v>164</v>
      </c>
    </row>
    <row r="61" spans="16:32" x14ac:dyDescent="0.25">
      <c r="P61" t="s">
        <v>115</v>
      </c>
      <c r="Q61" t="s">
        <v>143</v>
      </c>
      <c r="R61" t="s">
        <v>159</v>
      </c>
      <c r="S61">
        <v>2.1665122436574851E-2</v>
      </c>
      <c r="U61" t="s">
        <v>150</v>
      </c>
      <c r="V61" t="s">
        <v>119</v>
      </c>
      <c r="W61" t="s">
        <v>154</v>
      </c>
      <c r="X61" t="s">
        <v>145</v>
      </c>
      <c r="Y61">
        <v>5.9589061680379897E-2</v>
      </c>
      <c r="AB61" t="s">
        <v>150</v>
      </c>
      <c r="AC61" t="s">
        <v>52</v>
      </c>
      <c r="AD61" t="s">
        <v>133</v>
      </c>
      <c r="AE61">
        <v>9.125475285171103E-2</v>
      </c>
      <c r="AF61" t="s">
        <v>164</v>
      </c>
    </row>
    <row r="62" spans="16:32" x14ac:dyDescent="0.25">
      <c r="P62" t="s">
        <v>115</v>
      </c>
      <c r="Q62" t="s">
        <v>143</v>
      </c>
      <c r="R62" t="s">
        <v>160</v>
      </c>
      <c r="S62">
        <v>0.13519901385189695</v>
      </c>
      <c r="U62" t="s">
        <v>150</v>
      </c>
      <c r="V62" t="s">
        <v>120</v>
      </c>
      <c r="W62" t="s">
        <v>154</v>
      </c>
      <c r="X62" t="s">
        <v>145</v>
      </c>
      <c r="Y62">
        <v>5.9589061680379897E-2</v>
      </c>
      <c r="AB62" t="s">
        <v>150</v>
      </c>
      <c r="AC62" t="s">
        <v>52</v>
      </c>
      <c r="AD62" t="s">
        <v>137</v>
      </c>
      <c r="AE62">
        <v>0.25475285171102663</v>
      </c>
      <c r="AF62" t="s">
        <v>164</v>
      </c>
    </row>
    <row r="63" spans="16:32" x14ac:dyDescent="0.25">
      <c r="P63" t="s">
        <v>115</v>
      </c>
      <c r="Q63" t="s">
        <v>143</v>
      </c>
      <c r="R63" t="s">
        <v>161</v>
      </c>
      <c r="S63">
        <v>9.1910991174892182E-2</v>
      </c>
      <c r="U63" t="s">
        <v>150</v>
      </c>
      <c r="V63" t="s">
        <v>121</v>
      </c>
      <c r="W63" t="s">
        <v>154</v>
      </c>
      <c r="X63" t="s">
        <v>145</v>
      </c>
      <c r="Y63">
        <v>5.9589061680379897E-2</v>
      </c>
      <c r="AB63" t="s">
        <v>150</v>
      </c>
      <c r="AC63" t="s">
        <v>52</v>
      </c>
      <c r="AD63" t="s">
        <v>138</v>
      </c>
      <c r="AE63">
        <v>0</v>
      </c>
      <c r="AF63" t="s">
        <v>164</v>
      </c>
    </row>
    <row r="64" spans="16:32" x14ac:dyDescent="0.25">
      <c r="P64" t="s">
        <v>115</v>
      </c>
      <c r="Q64" t="s">
        <v>143</v>
      </c>
      <c r="R64" t="s">
        <v>162</v>
      </c>
      <c r="S64">
        <v>2.0935405092324031E-2</v>
      </c>
      <c r="U64" t="s">
        <v>150</v>
      </c>
      <c r="V64" t="s">
        <v>122</v>
      </c>
      <c r="W64" t="s">
        <v>154</v>
      </c>
      <c r="X64" t="s">
        <v>145</v>
      </c>
      <c r="Y64">
        <v>5.9589061680379897E-2</v>
      </c>
      <c r="AB64" t="s">
        <v>150</v>
      </c>
      <c r="AC64" t="s">
        <v>52</v>
      </c>
      <c r="AD64" t="s">
        <v>139</v>
      </c>
      <c r="AE64">
        <v>0.6539923954372624</v>
      </c>
      <c r="AF64" t="s">
        <v>164</v>
      </c>
    </row>
    <row r="65" spans="16:32" x14ac:dyDescent="0.25">
      <c r="P65" t="s">
        <v>115</v>
      </c>
      <c r="Q65" t="s">
        <v>144</v>
      </c>
      <c r="R65" t="s">
        <v>151</v>
      </c>
      <c r="S65">
        <v>0.14416435578000572</v>
      </c>
      <c r="U65" t="s">
        <v>150</v>
      </c>
      <c r="V65" t="s">
        <v>123</v>
      </c>
      <c r="W65" t="s">
        <v>154</v>
      </c>
      <c r="X65" t="s">
        <v>145</v>
      </c>
      <c r="Y65">
        <v>5.9589061680379897E-2</v>
      </c>
      <c r="AB65" t="s">
        <v>150</v>
      </c>
      <c r="AC65" t="s">
        <v>126</v>
      </c>
      <c r="AD65" t="s">
        <v>133</v>
      </c>
      <c r="AE65">
        <v>0.22337561491492258</v>
      </c>
      <c r="AF65" t="s">
        <v>164</v>
      </c>
    </row>
    <row r="66" spans="16:32" x14ac:dyDescent="0.25">
      <c r="P66" t="s">
        <v>115</v>
      </c>
      <c r="Q66" t="s">
        <v>144</v>
      </c>
      <c r="R66" t="s">
        <v>152</v>
      </c>
      <c r="S66">
        <v>7.8443362793427174E-2</v>
      </c>
      <c r="U66" t="s">
        <v>150</v>
      </c>
      <c r="V66" t="s">
        <v>124</v>
      </c>
      <c r="W66" t="s">
        <v>154</v>
      </c>
      <c r="X66" t="s">
        <v>145</v>
      </c>
      <c r="Y66">
        <v>5.9589061680379897E-2</v>
      </c>
      <c r="AB66" t="s">
        <v>150</v>
      </c>
      <c r="AC66" t="s">
        <v>126</v>
      </c>
      <c r="AD66" t="s">
        <v>137</v>
      </c>
      <c r="AE66">
        <v>0.22006804493370749</v>
      </c>
      <c r="AF66" t="s">
        <v>164</v>
      </c>
    </row>
    <row r="67" spans="16:32" x14ac:dyDescent="0.25">
      <c r="P67" t="s">
        <v>115</v>
      </c>
      <c r="Q67" t="s">
        <v>144</v>
      </c>
      <c r="R67" t="s">
        <v>153</v>
      </c>
      <c r="S67">
        <v>2.4640299184187569E-2</v>
      </c>
      <c r="U67" t="s">
        <v>150</v>
      </c>
      <c r="V67" t="s">
        <v>51</v>
      </c>
      <c r="W67" t="s">
        <v>154</v>
      </c>
      <c r="X67" t="s">
        <v>145</v>
      </c>
      <c r="Y67">
        <v>5.9589061680379897E-2</v>
      </c>
      <c r="AB67" t="s">
        <v>150</v>
      </c>
      <c r="AC67" t="s">
        <v>126</v>
      </c>
      <c r="AD67" t="s">
        <v>138</v>
      </c>
      <c r="AE67">
        <v>2.3609487482732167E-3</v>
      </c>
      <c r="AF67" t="s">
        <v>164</v>
      </c>
    </row>
    <row r="68" spans="16:32" x14ac:dyDescent="0.25">
      <c r="P68" t="s">
        <v>115</v>
      </c>
      <c r="Q68" t="s">
        <v>144</v>
      </c>
      <c r="R68" t="s">
        <v>154</v>
      </c>
      <c r="S68">
        <v>0.13525596748526503</v>
      </c>
      <c r="U68" t="s">
        <v>150</v>
      </c>
      <c r="V68" t="s">
        <v>125</v>
      </c>
      <c r="W68" t="s">
        <v>154</v>
      </c>
      <c r="X68" t="s">
        <v>145</v>
      </c>
      <c r="Y68">
        <v>5.9589061680379897E-2</v>
      </c>
      <c r="AB68" t="s">
        <v>150</v>
      </c>
      <c r="AC68" t="s">
        <v>126</v>
      </c>
      <c r="AD68" t="s">
        <v>139</v>
      </c>
      <c r="AE68">
        <v>0.5541953914030967</v>
      </c>
      <c r="AF68" t="s">
        <v>164</v>
      </c>
    </row>
    <row r="69" spans="16:32" x14ac:dyDescent="0.25">
      <c r="P69" t="s">
        <v>115</v>
      </c>
      <c r="Q69" t="s">
        <v>144</v>
      </c>
      <c r="R69" t="s">
        <v>155</v>
      </c>
      <c r="S69">
        <v>7.4083657485987151E-2</v>
      </c>
      <c r="U69" t="s">
        <v>150</v>
      </c>
      <c r="V69" t="s">
        <v>106</v>
      </c>
      <c r="W69" t="s">
        <v>154</v>
      </c>
      <c r="X69" t="s">
        <v>145</v>
      </c>
      <c r="Y69">
        <v>5.9589061680379897E-2</v>
      </c>
      <c r="AB69" t="s">
        <v>150</v>
      </c>
      <c r="AC69" t="s">
        <v>113</v>
      </c>
      <c r="AD69" t="s">
        <v>133</v>
      </c>
      <c r="AE69">
        <v>0.22895238095238094</v>
      </c>
      <c r="AF69" t="s">
        <v>164</v>
      </c>
    </row>
    <row r="70" spans="16:32" x14ac:dyDescent="0.25">
      <c r="P70" t="s">
        <v>115</v>
      </c>
      <c r="Q70" t="s">
        <v>144</v>
      </c>
      <c r="R70" t="s">
        <v>156</v>
      </c>
      <c r="S70">
        <v>2.374129201104927E-2</v>
      </c>
      <c r="U70" t="s">
        <v>150</v>
      </c>
      <c r="V70" t="s">
        <v>52</v>
      </c>
      <c r="W70" t="s">
        <v>154</v>
      </c>
      <c r="X70" t="s">
        <v>145</v>
      </c>
      <c r="Y70">
        <v>5.9589061680379897E-2</v>
      </c>
      <c r="AB70" t="s">
        <v>150</v>
      </c>
      <c r="AC70" t="s">
        <v>113</v>
      </c>
      <c r="AD70" t="s">
        <v>137</v>
      </c>
      <c r="AE70">
        <v>0.21447619047619046</v>
      </c>
      <c r="AF70" t="s">
        <v>164</v>
      </c>
    </row>
    <row r="71" spans="16:32" x14ac:dyDescent="0.25">
      <c r="P71" t="s">
        <v>115</v>
      </c>
      <c r="Q71" t="s">
        <v>144</v>
      </c>
      <c r="R71" t="s">
        <v>157</v>
      </c>
      <c r="S71">
        <v>0.16718786523110349</v>
      </c>
      <c r="U71" t="s">
        <v>150</v>
      </c>
      <c r="V71" t="s">
        <v>126</v>
      </c>
      <c r="W71" t="s">
        <v>154</v>
      </c>
      <c r="X71" t="s">
        <v>145</v>
      </c>
      <c r="Y71">
        <v>5.9589061680379897E-2</v>
      </c>
      <c r="AB71" t="s">
        <v>150</v>
      </c>
      <c r="AC71" t="s">
        <v>113</v>
      </c>
      <c r="AD71" t="s">
        <v>138</v>
      </c>
      <c r="AE71">
        <v>7.6190476190476182E-4</v>
      </c>
      <c r="AF71" t="s">
        <v>164</v>
      </c>
    </row>
    <row r="72" spans="16:32" x14ac:dyDescent="0.25">
      <c r="P72" t="s">
        <v>115</v>
      </c>
      <c r="Q72" t="s">
        <v>144</v>
      </c>
      <c r="R72" t="s">
        <v>158</v>
      </c>
      <c r="S72">
        <v>9.117466900631957E-2</v>
      </c>
      <c r="U72" t="s">
        <v>150</v>
      </c>
      <c r="V72" t="s">
        <v>113</v>
      </c>
      <c r="W72" t="s">
        <v>154</v>
      </c>
      <c r="X72" t="s">
        <v>145</v>
      </c>
      <c r="Y72">
        <v>5.9589061680379897E-2</v>
      </c>
      <c r="AB72" t="s">
        <v>150</v>
      </c>
      <c r="AC72" t="s">
        <v>113</v>
      </c>
      <c r="AD72" t="s">
        <v>139</v>
      </c>
      <c r="AE72">
        <v>0.55580952380952375</v>
      </c>
      <c r="AF72" t="s">
        <v>164</v>
      </c>
    </row>
    <row r="73" spans="16:32" x14ac:dyDescent="0.25">
      <c r="P73" t="s">
        <v>115</v>
      </c>
      <c r="Q73" t="s">
        <v>144</v>
      </c>
      <c r="R73" t="s">
        <v>159</v>
      </c>
      <c r="S73">
        <v>2.9752230627875978E-2</v>
      </c>
      <c r="U73" t="s">
        <v>150</v>
      </c>
      <c r="V73" t="s">
        <v>114</v>
      </c>
      <c r="W73" t="s">
        <v>155</v>
      </c>
      <c r="X73" t="s">
        <v>145</v>
      </c>
      <c r="Y73">
        <v>0.137805387667261</v>
      </c>
    </row>
    <row r="74" spans="16:32" x14ac:dyDescent="0.25">
      <c r="P74" t="s">
        <v>115</v>
      </c>
      <c r="Q74" t="s">
        <v>144</v>
      </c>
      <c r="R74" t="s">
        <v>160</v>
      </c>
      <c r="S74">
        <v>0.13289731190384163</v>
      </c>
      <c r="U74" t="s">
        <v>150</v>
      </c>
      <c r="V74" t="s">
        <v>115</v>
      </c>
      <c r="W74" t="s">
        <v>155</v>
      </c>
      <c r="X74" t="s">
        <v>145</v>
      </c>
      <c r="Y74">
        <v>0.137805387667261</v>
      </c>
    </row>
    <row r="75" spans="16:32" x14ac:dyDescent="0.25">
      <c r="P75" t="s">
        <v>115</v>
      </c>
      <c r="Q75" t="s">
        <v>144</v>
      </c>
      <c r="R75" t="s">
        <v>161</v>
      </c>
      <c r="S75">
        <v>7.6165737519410998E-2</v>
      </c>
      <c r="U75" t="s">
        <v>150</v>
      </c>
      <c r="V75" t="s">
        <v>116</v>
      </c>
      <c r="W75" t="s">
        <v>155</v>
      </c>
      <c r="X75" t="s">
        <v>145</v>
      </c>
      <c r="Y75">
        <v>0.137805387667261</v>
      </c>
    </row>
    <row r="76" spans="16:32" x14ac:dyDescent="0.25">
      <c r="P76" t="s">
        <v>115</v>
      </c>
      <c r="Q76" t="s">
        <v>144</v>
      </c>
      <c r="R76" t="s">
        <v>162</v>
      </c>
      <c r="S76">
        <v>2.2493250971526418E-2</v>
      </c>
      <c r="U76" t="s">
        <v>150</v>
      </c>
      <c r="V76" t="s">
        <v>117</v>
      </c>
      <c r="W76" t="s">
        <v>155</v>
      </c>
      <c r="X76" t="s">
        <v>145</v>
      </c>
      <c r="Y76">
        <v>0.137805387667261</v>
      </c>
    </row>
    <row r="77" spans="16:32" x14ac:dyDescent="0.25">
      <c r="P77" t="s">
        <v>116</v>
      </c>
      <c r="Q77" t="s">
        <v>142</v>
      </c>
      <c r="R77" t="s">
        <v>151</v>
      </c>
      <c r="S77">
        <v>0.1375877460581344</v>
      </c>
      <c r="U77" t="s">
        <v>150</v>
      </c>
      <c r="V77" t="s">
        <v>118</v>
      </c>
      <c r="W77" t="s">
        <v>155</v>
      </c>
      <c r="X77" t="s">
        <v>145</v>
      </c>
      <c r="Y77">
        <v>0.137805387667261</v>
      </c>
    </row>
    <row r="78" spans="16:32" x14ac:dyDescent="0.25">
      <c r="P78" t="s">
        <v>116</v>
      </c>
      <c r="Q78" t="s">
        <v>142</v>
      </c>
      <c r="R78" t="s">
        <v>152</v>
      </c>
      <c r="S78">
        <v>7.0033595159381581E-2</v>
      </c>
      <c r="U78" t="s">
        <v>150</v>
      </c>
      <c r="V78" t="s">
        <v>119</v>
      </c>
      <c r="W78" t="s">
        <v>155</v>
      </c>
      <c r="X78" t="s">
        <v>145</v>
      </c>
      <c r="Y78">
        <v>0.137805387667261</v>
      </c>
    </row>
    <row r="79" spans="16:32" x14ac:dyDescent="0.25">
      <c r="P79" t="s">
        <v>116</v>
      </c>
      <c r="Q79" t="s">
        <v>142</v>
      </c>
      <c r="R79" t="s">
        <v>153</v>
      </c>
      <c r="S79">
        <v>2.3022074033862847E-2</v>
      </c>
      <c r="U79" t="s">
        <v>150</v>
      </c>
      <c r="V79" t="s">
        <v>120</v>
      </c>
      <c r="W79" t="s">
        <v>155</v>
      </c>
      <c r="X79" t="s">
        <v>145</v>
      </c>
      <c r="Y79">
        <v>0.137805387667261</v>
      </c>
    </row>
    <row r="80" spans="16:32" x14ac:dyDescent="0.25">
      <c r="P80" t="s">
        <v>116</v>
      </c>
      <c r="Q80" t="s">
        <v>142</v>
      </c>
      <c r="R80" t="s">
        <v>154</v>
      </c>
      <c r="S80">
        <v>0.12877882861184312</v>
      </c>
      <c r="U80" t="s">
        <v>150</v>
      </c>
      <c r="V80" t="s">
        <v>121</v>
      </c>
      <c r="W80" t="s">
        <v>155</v>
      </c>
      <c r="X80" t="s">
        <v>145</v>
      </c>
      <c r="Y80">
        <v>0.137805387667261</v>
      </c>
    </row>
    <row r="81" spans="16:25" x14ac:dyDescent="0.25">
      <c r="P81" t="s">
        <v>116</v>
      </c>
      <c r="Q81" t="s">
        <v>142</v>
      </c>
      <c r="R81" t="s">
        <v>155</v>
      </c>
      <c r="S81">
        <v>6.6501651901199929E-2</v>
      </c>
      <c r="U81" t="s">
        <v>150</v>
      </c>
      <c r="V81" t="s">
        <v>122</v>
      </c>
      <c r="W81" t="s">
        <v>155</v>
      </c>
      <c r="X81" t="s">
        <v>145</v>
      </c>
      <c r="Y81">
        <v>0.137805387667261</v>
      </c>
    </row>
    <row r="82" spans="16:25" x14ac:dyDescent="0.25">
      <c r="P82" t="s">
        <v>116</v>
      </c>
      <c r="Q82" t="s">
        <v>142</v>
      </c>
      <c r="R82" t="s">
        <v>156</v>
      </c>
      <c r="S82">
        <v>2.0559535977748317E-2</v>
      </c>
      <c r="U82" t="s">
        <v>150</v>
      </c>
      <c r="V82" t="s">
        <v>123</v>
      </c>
      <c r="W82" t="s">
        <v>155</v>
      </c>
      <c r="X82" t="s">
        <v>145</v>
      </c>
      <c r="Y82">
        <v>0.137805387667261</v>
      </c>
    </row>
    <row r="83" spans="16:25" x14ac:dyDescent="0.25">
      <c r="P83" t="s">
        <v>116</v>
      </c>
      <c r="Q83" t="s">
        <v>142</v>
      </c>
      <c r="R83" t="s">
        <v>157</v>
      </c>
      <c r="S83">
        <v>0.18919539422738235</v>
      </c>
      <c r="U83" t="s">
        <v>150</v>
      </c>
      <c r="V83" t="s">
        <v>124</v>
      </c>
      <c r="W83" t="s">
        <v>155</v>
      </c>
      <c r="X83" t="s">
        <v>145</v>
      </c>
      <c r="Y83">
        <v>0.137805387667261</v>
      </c>
    </row>
    <row r="84" spans="16:25" x14ac:dyDescent="0.25">
      <c r="P84" t="s">
        <v>116</v>
      </c>
      <c r="Q84" t="s">
        <v>142</v>
      </c>
      <c r="R84" t="s">
        <v>158</v>
      </c>
      <c r="S84">
        <v>9.1736672237964181E-2</v>
      </c>
      <c r="U84" t="s">
        <v>150</v>
      </c>
      <c r="V84" t="s">
        <v>51</v>
      </c>
      <c r="W84" t="s">
        <v>155</v>
      </c>
      <c r="X84" t="s">
        <v>145</v>
      </c>
      <c r="Y84">
        <v>0.137805387667261</v>
      </c>
    </row>
    <row r="85" spans="16:25" x14ac:dyDescent="0.25">
      <c r="P85" t="s">
        <v>116</v>
      </c>
      <c r="Q85" t="s">
        <v>142</v>
      </c>
      <c r="R85" t="s">
        <v>159</v>
      </c>
      <c r="S85">
        <v>2.914877399212179E-2</v>
      </c>
      <c r="U85" t="s">
        <v>150</v>
      </c>
      <c r="V85" t="s">
        <v>125</v>
      </c>
      <c r="W85" t="s">
        <v>155</v>
      </c>
      <c r="X85" t="s">
        <v>145</v>
      </c>
      <c r="Y85">
        <v>0.137805387667261</v>
      </c>
    </row>
    <row r="86" spans="16:25" x14ac:dyDescent="0.25">
      <c r="P86" t="s">
        <v>116</v>
      </c>
      <c r="Q86" t="s">
        <v>142</v>
      </c>
      <c r="R86" t="s">
        <v>160</v>
      </c>
      <c r="S86">
        <v>0.13757734794893281</v>
      </c>
      <c r="U86" t="s">
        <v>150</v>
      </c>
      <c r="V86" t="s">
        <v>106</v>
      </c>
      <c r="W86" t="s">
        <v>155</v>
      </c>
      <c r="X86" t="s">
        <v>145</v>
      </c>
      <c r="Y86">
        <v>0.137805387667261</v>
      </c>
    </row>
    <row r="87" spans="16:25" x14ac:dyDescent="0.25">
      <c r="P87" t="s">
        <v>116</v>
      </c>
      <c r="Q87" t="s">
        <v>142</v>
      </c>
      <c r="R87" t="s">
        <v>161</v>
      </c>
      <c r="S87">
        <v>8.0850238866432333E-2</v>
      </c>
      <c r="U87" t="s">
        <v>150</v>
      </c>
      <c r="V87" t="s">
        <v>52</v>
      </c>
      <c r="W87" t="s">
        <v>155</v>
      </c>
      <c r="X87" t="s">
        <v>145</v>
      </c>
      <c r="Y87">
        <v>0.137805387667261</v>
      </c>
    </row>
    <row r="88" spans="16:25" x14ac:dyDescent="0.25">
      <c r="P88" t="s">
        <v>116</v>
      </c>
      <c r="Q88" t="s">
        <v>142</v>
      </c>
      <c r="R88" t="s">
        <v>162</v>
      </c>
      <c r="S88">
        <v>2.5008140984996104E-2</v>
      </c>
      <c r="U88" t="s">
        <v>150</v>
      </c>
      <c r="V88" t="s">
        <v>126</v>
      </c>
      <c r="W88" t="s">
        <v>155</v>
      </c>
      <c r="X88" t="s">
        <v>145</v>
      </c>
      <c r="Y88">
        <v>0.137805387667261</v>
      </c>
    </row>
    <row r="89" spans="16:25" x14ac:dyDescent="0.25">
      <c r="P89" t="s">
        <v>116</v>
      </c>
      <c r="Q89" t="s">
        <v>143</v>
      </c>
      <c r="R89" t="s">
        <v>151</v>
      </c>
      <c r="S89">
        <v>0.13546549888699058</v>
      </c>
      <c r="U89" t="s">
        <v>150</v>
      </c>
      <c r="V89" t="s">
        <v>113</v>
      </c>
      <c r="W89" t="s">
        <v>155</v>
      </c>
      <c r="X89" t="s">
        <v>145</v>
      </c>
      <c r="Y89">
        <v>0.137805387667261</v>
      </c>
    </row>
    <row r="90" spans="16:25" x14ac:dyDescent="0.25">
      <c r="P90" t="s">
        <v>116</v>
      </c>
      <c r="Q90" t="s">
        <v>143</v>
      </c>
      <c r="R90" t="s">
        <v>152</v>
      </c>
      <c r="S90">
        <v>9.0938966070503155E-2</v>
      </c>
      <c r="U90" t="s">
        <v>150</v>
      </c>
      <c r="V90" t="s">
        <v>114</v>
      </c>
      <c r="W90" t="s">
        <v>156</v>
      </c>
      <c r="X90" t="s">
        <v>145</v>
      </c>
      <c r="Y90">
        <v>5.2605550652358703E-2</v>
      </c>
    </row>
    <row r="91" spans="16:25" x14ac:dyDescent="0.25">
      <c r="P91" t="s">
        <v>116</v>
      </c>
      <c r="Q91" t="s">
        <v>143</v>
      </c>
      <c r="R91" t="s">
        <v>153</v>
      </c>
      <c r="S91">
        <v>2.1103123178774552E-2</v>
      </c>
      <c r="U91" t="s">
        <v>150</v>
      </c>
      <c r="V91" t="s">
        <v>115</v>
      </c>
      <c r="W91" t="s">
        <v>156</v>
      </c>
      <c r="X91" t="s">
        <v>145</v>
      </c>
      <c r="Y91">
        <v>5.2605550652358703E-2</v>
      </c>
    </row>
    <row r="92" spans="16:25" x14ac:dyDescent="0.25">
      <c r="P92" t="s">
        <v>116</v>
      </c>
      <c r="Q92" t="s">
        <v>143</v>
      </c>
      <c r="R92" t="s">
        <v>154</v>
      </c>
      <c r="S92">
        <v>0.13439366534147892</v>
      </c>
      <c r="U92" t="s">
        <v>150</v>
      </c>
      <c r="V92" t="s">
        <v>116</v>
      </c>
      <c r="W92" t="s">
        <v>156</v>
      </c>
      <c r="X92" t="s">
        <v>145</v>
      </c>
      <c r="Y92">
        <v>5.2605550652358703E-2</v>
      </c>
    </row>
    <row r="93" spans="16:25" x14ac:dyDescent="0.25">
      <c r="P93" t="s">
        <v>116</v>
      </c>
      <c r="Q93" t="s">
        <v>143</v>
      </c>
      <c r="R93" t="s">
        <v>155</v>
      </c>
      <c r="S93">
        <v>9.0481288212978683E-2</v>
      </c>
      <c r="U93" t="s">
        <v>150</v>
      </c>
      <c r="V93" t="s">
        <v>117</v>
      </c>
      <c r="W93" t="s">
        <v>156</v>
      </c>
      <c r="X93" t="s">
        <v>145</v>
      </c>
      <c r="Y93">
        <v>5.2605550652358703E-2</v>
      </c>
    </row>
    <row r="94" spans="16:25" x14ac:dyDescent="0.25">
      <c r="P94" t="s">
        <v>116</v>
      </c>
      <c r="Q94" t="s">
        <v>143</v>
      </c>
      <c r="R94" t="s">
        <v>156</v>
      </c>
      <c r="S94">
        <v>2.0807325059500399E-2</v>
      </c>
      <c r="U94" t="s">
        <v>150</v>
      </c>
      <c r="V94" t="s">
        <v>118</v>
      </c>
      <c r="W94" t="s">
        <v>156</v>
      </c>
      <c r="X94" t="s">
        <v>145</v>
      </c>
      <c r="Y94">
        <v>5.2605550652358703E-2</v>
      </c>
    </row>
    <row r="95" spans="16:25" x14ac:dyDescent="0.25">
      <c r="P95" t="s">
        <v>116</v>
      </c>
      <c r="Q95" t="s">
        <v>143</v>
      </c>
      <c r="R95" t="s">
        <v>157</v>
      </c>
      <c r="S95">
        <v>0.14163623732843239</v>
      </c>
      <c r="U95" t="s">
        <v>150</v>
      </c>
      <c r="V95" t="s">
        <v>119</v>
      </c>
      <c r="W95" t="s">
        <v>156</v>
      </c>
      <c r="X95" t="s">
        <v>145</v>
      </c>
      <c r="Y95">
        <v>5.2605550652358703E-2</v>
      </c>
    </row>
    <row r="96" spans="16:25" x14ac:dyDescent="0.25">
      <c r="P96" t="s">
        <v>116</v>
      </c>
      <c r="Q96" t="s">
        <v>143</v>
      </c>
      <c r="R96" t="s">
        <v>158</v>
      </c>
      <c r="S96">
        <v>9.3751730911311795E-2</v>
      </c>
      <c r="U96" t="s">
        <v>150</v>
      </c>
      <c r="V96" t="s">
        <v>120</v>
      </c>
      <c r="W96" t="s">
        <v>156</v>
      </c>
      <c r="X96" t="s">
        <v>145</v>
      </c>
      <c r="Y96">
        <v>5.2605550652358703E-2</v>
      </c>
    </row>
    <row r="97" spans="16:25" x14ac:dyDescent="0.25">
      <c r="P97" t="s">
        <v>116</v>
      </c>
      <c r="Q97" t="s">
        <v>143</v>
      </c>
      <c r="R97" t="s">
        <v>159</v>
      </c>
      <c r="S97">
        <v>2.1897581557676498E-2</v>
      </c>
      <c r="U97" t="s">
        <v>150</v>
      </c>
      <c r="V97" t="s">
        <v>121</v>
      </c>
      <c r="W97" t="s">
        <v>156</v>
      </c>
      <c r="X97" t="s">
        <v>145</v>
      </c>
      <c r="Y97">
        <v>5.2605550652358703E-2</v>
      </c>
    </row>
    <row r="98" spans="16:25" x14ac:dyDescent="0.25">
      <c r="P98" t="s">
        <v>116</v>
      </c>
      <c r="Q98" t="s">
        <v>143</v>
      </c>
      <c r="R98" t="s">
        <v>160</v>
      </c>
      <c r="S98">
        <v>0.13583838870191081</v>
      </c>
      <c r="U98" t="s">
        <v>150</v>
      </c>
      <c r="V98" t="s">
        <v>122</v>
      </c>
      <c r="W98" t="s">
        <v>156</v>
      </c>
      <c r="X98" t="s">
        <v>145</v>
      </c>
      <c r="Y98">
        <v>5.2605550652358703E-2</v>
      </c>
    </row>
    <row r="99" spans="16:25" x14ac:dyDescent="0.25">
      <c r="P99" t="s">
        <v>116</v>
      </c>
      <c r="Q99" t="s">
        <v>143</v>
      </c>
      <c r="R99" t="s">
        <v>161</v>
      </c>
      <c r="S99">
        <v>9.2338368000886573E-2</v>
      </c>
      <c r="U99" t="s">
        <v>150</v>
      </c>
      <c r="V99" t="s">
        <v>123</v>
      </c>
      <c r="W99" t="s">
        <v>156</v>
      </c>
      <c r="X99" t="s">
        <v>145</v>
      </c>
      <c r="Y99">
        <v>5.2605550652358703E-2</v>
      </c>
    </row>
    <row r="100" spans="16:25" x14ac:dyDescent="0.25">
      <c r="P100" t="s">
        <v>116</v>
      </c>
      <c r="Q100" t="s">
        <v>143</v>
      </c>
      <c r="R100" t="s">
        <v>162</v>
      </c>
      <c r="S100">
        <v>2.1347826749556046E-2</v>
      </c>
      <c r="U100" t="s">
        <v>150</v>
      </c>
      <c r="V100" t="s">
        <v>124</v>
      </c>
      <c r="W100" t="s">
        <v>156</v>
      </c>
      <c r="X100" t="s">
        <v>145</v>
      </c>
      <c r="Y100">
        <v>5.2605550652358703E-2</v>
      </c>
    </row>
    <row r="101" spans="16:25" x14ac:dyDescent="0.25">
      <c r="P101" t="s">
        <v>116</v>
      </c>
      <c r="Q101" t="s">
        <v>144</v>
      </c>
      <c r="R101" t="s">
        <v>151</v>
      </c>
      <c r="S101">
        <v>0.13391770638872982</v>
      </c>
      <c r="U101" t="s">
        <v>150</v>
      </c>
      <c r="V101" t="s">
        <v>51</v>
      </c>
      <c r="W101" t="s">
        <v>156</v>
      </c>
      <c r="X101" t="s">
        <v>145</v>
      </c>
      <c r="Y101">
        <v>5.2605550652358703E-2</v>
      </c>
    </row>
    <row r="102" spans="16:25" x14ac:dyDescent="0.25">
      <c r="P102" t="s">
        <v>116</v>
      </c>
      <c r="Q102" t="s">
        <v>144</v>
      </c>
      <c r="R102" t="s">
        <v>152</v>
      </c>
      <c r="S102">
        <v>7.4974207027645456E-2</v>
      </c>
      <c r="U102" t="s">
        <v>150</v>
      </c>
      <c r="V102" t="s">
        <v>125</v>
      </c>
      <c r="W102" t="s">
        <v>156</v>
      </c>
      <c r="X102" t="s">
        <v>145</v>
      </c>
      <c r="Y102">
        <v>5.2605550652358703E-2</v>
      </c>
    </row>
    <row r="103" spans="16:25" x14ac:dyDescent="0.25">
      <c r="P103" t="s">
        <v>116</v>
      </c>
      <c r="Q103" t="s">
        <v>144</v>
      </c>
      <c r="R103" t="s">
        <v>153</v>
      </c>
      <c r="S103">
        <v>2.2726074035625526E-2</v>
      </c>
      <c r="U103" t="s">
        <v>150</v>
      </c>
      <c r="V103" t="s">
        <v>106</v>
      </c>
      <c r="W103" t="s">
        <v>156</v>
      </c>
      <c r="X103" t="s">
        <v>145</v>
      </c>
      <c r="Y103">
        <v>5.2605550652358703E-2</v>
      </c>
    </row>
    <row r="104" spans="16:25" x14ac:dyDescent="0.25">
      <c r="P104" t="s">
        <v>116</v>
      </c>
      <c r="Q104" t="s">
        <v>144</v>
      </c>
      <c r="R104" t="s">
        <v>154</v>
      </c>
      <c r="S104">
        <v>0.12651576893665034</v>
      </c>
      <c r="U104" t="s">
        <v>150</v>
      </c>
      <c r="V104" t="s">
        <v>52</v>
      </c>
      <c r="W104" t="s">
        <v>156</v>
      </c>
      <c r="X104" t="s">
        <v>145</v>
      </c>
      <c r="Y104">
        <v>5.2605550652358703E-2</v>
      </c>
    </row>
    <row r="105" spans="16:25" x14ac:dyDescent="0.25">
      <c r="P105" t="s">
        <v>116</v>
      </c>
      <c r="Q105" t="s">
        <v>144</v>
      </c>
      <c r="R105" t="s">
        <v>155</v>
      </c>
      <c r="S105">
        <v>7.1575411988542711E-2</v>
      </c>
      <c r="U105" t="s">
        <v>150</v>
      </c>
      <c r="V105" t="s">
        <v>126</v>
      </c>
      <c r="W105" t="s">
        <v>156</v>
      </c>
      <c r="X105" t="s">
        <v>145</v>
      </c>
      <c r="Y105">
        <v>5.2605550652358703E-2</v>
      </c>
    </row>
    <row r="106" spans="16:25" x14ac:dyDescent="0.25">
      <c r="P106" t="s">
        <v>116</v>
      </c>
      <c r="Q106" t="s">
        <v>144</v>
      </c>
      <c r="R106" t="s">
        <v>156</v>
      </c>
      <c r="S106">
        <v>2.0716019744982314E-2</v>
      </c>
      <c r="U106" t="s">
        <v>150</v>
      </c>
      <c r="V106" t="s">
        <v>113</v>
      </c>
      <c r="W106" t="s">
        <v>156</v>
      </c>
      <c r="X106" t="s">
        <v>145</v>
      </c>
      <c r="Y106">
        <v>5.2605550652358703E-2</v>
      </c>
    </row>
    <row r="107" spans="16:25" x14ac:dyDescent="0.25">
      <c r="P107" t="s">
        <v>116</v>
      </c>
      <c r="Q107" t="s">
        <v>144</v>
      </c>
      <c r="R107" t="s">
        <v>157</v>
      </c>
      <c r="S107">
        <v>0.17560536045779451</v>
      </c>
      <c r="U107" t="s">
        <v>150</v>
      </c>
      <c r="V107" t="s">
        <v>114</v>
      </c>
      <c r="W107" t="s">
        <v>157</v>
      </c>
      <c r="X107" t="s">
        <v>145</v>
      </c>
      <c r="Y107">
        <v>5.9589061680379897E-2</v>
      </c>
    </row>
    <row r="108" spans="16:25" x14ac:dyDescent="0.25">
      <c r="P108" t="s">
        <v>116</v>
      </c>
      <c r="Q108" t="s">
        <v>144</v>
      </c>
      <c r="R108" t="s">
        <v>158</v>
      </c>
      <c r="S108">
        <v>9.5865620132127322E-2</v>
      </c>
      <c r="U108" t="s">
        <v>150</v>
      </c>
      <c r="V108" t="s">
        <v>115</v>
      </c>
      <c r="W108" t="s">
        <v>157</v>
      </c>
      <c r="X108" t="s">
        <v>145</v>
      </c>
      <c r="Y108">
        <v>5.9589061680379897E-2</v>
      </c>
    </row>
    <row r="109" spans="16:25" x14ac:dyDescent="0.25">
      <c r="P109" t="s">
        <v>116</v>
      </c>
      <c r="Q109" t="s">
        <v>144</v>
      </c>
      <c r="R109" t="s">
        <v>159</v>
      </c>
      <c r="S109">
        <v>2.8630210939379314E-2</v>
      </c>
      <c r="U109" t="s">
        <v>150</v>
      </c>
      <c r="V109" t="s">
        <v>116</v>
      </c>
      <c r="W109" t="s">
        <v>157</v>
      </c>
      <c r="X109" t="s">
        <v>145</v>
      </c>
      <c r="Y109">
        <v>5.9589061680379897E-2</v>
      </c>
    </row>
    <row r="110" spans="16:25" x14ac:dyDescent="0.25">
      <c r="P110" t="s">
        <v>116</v>
      </c>
      <c r="Q110" t="s">
        <v>144</v>
      </c>
      <c r="R110" t="s">
        <v>160</v>
      </c>
      <c r="S110">
        <v>0.13968327888656815</v>
      </c>
      <c r="U110" t="s">
        <v>150</v>
      </c>
      <c r="V110" t="s">
        <v>117</v>
      </c>
      <c r="W110" t="s">
        <v>157</v>
      </c>
      <c r="X110" t="s">
        <v>145</v>
      </c>
      <c r="Y110">
        <v>5.9589061680379897E-2</v>
      </c>
    </row>
    <row r="111" spans="16:25" x14ac:dyDescent="0.25">
      <c r="P111" t="s">
        <v>116</v>
      </c>
      <c r="Q111" t="s">
        <v>144</v>
      </c>
      <c r="R111" t="s">
        <v>161</v>
      </c>
      <c r="S111">
        <v>8.5348389950954756E-2</v>
      </c>
      <c r="U111" t="s">
        <v>150</v>
      </c>
      <c r="V111" t="s">
        <v>118</v>
      </c>
      <c r="W111" t="s">
        <v>157</v>
      </c>
      <c r="X111" t="s">
        <v>145</v>
      </c>
      <c r="Y111">
        <v>5.9589061680379897E-2</v>
      </c>
    </row>
    <row r="112" spans="16:25" x14ac:dyDescent="0.25">
      <c r="P112" t="s">
        <v>116</v>
      </c>
      <c r="Q112" t="s">
        <v>144</v>
      </c>
      <c r="R112" t="s">
        <v>162</v>
      </c>
      <c r="S112">
        <v>2.4441951511000235E-2</v>
      </c>
      <c r="U112" t="s">
        <v>150</v>
      </c>
      <c r="V112" t="s">
        <v>119</v>
      </c>
      <c r="W112" t="s">
        <v>157</v>
      </c>
      <c r="X112" t="s">
        <v>145</v>
      </c>
      <c r="Y112">
        <v>5.9589061680379897E-2</v>
      </c>
    </row>
    <row r="113" spans="16:25" x14ac:dyDescent="0.25">
      <c r="P113" t="s">
        <v>117</v>
      </c>
      <c r="Q113" t="s">
        <v>142</v>
      </c>
      <c r="R113" t="s">
        <v>151</v>
      </c>
      <c r="S113">
        <v>0.13782253528570315</v>
      </c>
      <c r="U113" t="s">
        <v>150</v>
      </c>
      <c r="V113" t="s">
        <v>120</v>
      </c>
      <c r="W113" t="s">
        <v>157</v>
      </c>
      <c r="X113" t="s">
        <v>145</v>
      </c>
      <c r="Y113">
        <v>5.9589061680379897E-2</v>
      </c>
    </row>
    <row r="114" spans="16:25" x14ac:dyDescent="0.25">
      <c r="P114" t="s">
        <v>117</v>
      </c>
      <c r="Q114" t="s">
        <v>142</v>
      </c>
      <c r="R114" t="s">
        <v>152</v>
      </c>
      <c r="S114">
        <v>6.7465558336264719E-2</v>
      </c>
      <c r="U114" t="s">
        <v>150</v>
      </c>
      <c r="V114" t="s">
        <v>121</v>
      </c>
      <c r="W114" t="s">
        <v>157</v>
      </c>
      <c r="X114" t="s">
        <v>145</v>
      </c>
      <c r="Y114">
        <v>5.9589061680379897E-2</v>
      </c>
    </row>
    <row r="115" spans="16:25" x14ac:dyDescent="0.25">
      <c r="P115" t="s">
        <v>117</v>
      </c>
      <c r="Q115" t="s">
        <v>142</v>
      </c>
      <c r="R115" t="s">
        <v>153</v>
      </c>
      <c r="S115">
        <v>2.3259467785501864E-2</v>
      </c>
      <c r="U115" t="s">
        <v>150</v>
      </c>
      <c r="V115" t="s">
        <v>122</v>
      </c>
      <c r="W115" t="s">
        <v>157</v>
      </c>
      <c r="X115" t="s">
        <v>145</v>
      </c>
      <c r="Y115">
        <v>5.9589061680379897E-2</v>
      </c>
    </row>
    <row r="116" spans="16:25" x14ac:dyDescent="0.25">
      <c r="P116" t="s">
        <v>117</v>
      </c>
      <c r="Q116" t="s">
        <v>142</v>
      </c>
      <c r="R116" t="s">
        <v>154</v>
      </c>
      <c r="S116">
        <v>0.12806190901181586</v>
      </c>
      <c r="U116" t="s">
        <v>150</v>
      </c>
      <c r="V116" t="s">
        <v>123</v>
      </c>
      <c r="W116" t="s">
        <v>157</v>
      </c>
      <c r="X116" t="s">
        <v>145</v>
      </c>
      <c r="Y116">
        <v>5.9589061680379897E-2</v>
      </c>
    </row>
    <row r="117" spans="16:25" x14ac:dyDescent="0.25">
      <c r="P117" t="s">
        <v>117</v>
      </c>
      <c r="Q117" t="s">
        <v>142</v>
      </c>
      <c r="R117" t="s">
        <v>155</v>
      </c>
      <c r="S117">
        <v>6.3551950169034047E-2</v>
      </c>
      <c r="U117" t="s">
        <v>150</v>
      </c>
      <c r="V117" t="s">
        <v>124</v>
      </c>
      <c r="W117" t="s">
        <v>157</v>
      </c>
      <c r="X117" t="s">
        <v>145</v>
      </c>
      <c r="Y117">
        <v>5.9589061680379897E-2</v>
      </c>
    </row>
    <row r="118" spans="16:25" x14ac:dyDescent="0.25">
      <c r="P118" t="s">
        <v>117</v>
      </c>
      <c r="Q118" t="s">
        <v>142</v>
      </c>
      <c r="R118" t="s">
        <v>156</v>
      </c>
      <c r="S118">
        <v>2.0530813202238273E-2</v>
      </c>
      <c r="U118" t="s">
        <v>150</v>
      </c>
      <c r="V118" t="s">
        <v>51</v>
      </c>
      <c r="W118" t="s">
        <v>157</v>
      </c>
      <c r="X118" t="s">
        <v>145</v>
      </c>
      <c r="Y118">
        <v>5.9589061680379897E-2</v>
      </c>
    </row>
    <row r="119" spans="16:25" x14ac:dyDescent="0.25">
      <c r="P119" t="s">
        <v>117</v>
      </c>
      <c r="Q119" t="s">
        <v>142</v>
      </c>
      <c r="R119" t="s">
        <v>157</v>
      </c>
      <c r="S119">
        <v>0.1950158045841551</v>
      </c>
      <c r="U119" t="s">
        <v>150</v>
      </c>
      <c r="V119" t="s">
        <v>125</v>
      </c>
      <c r="W119" t="s">
        <v>157</v>
      </c>
      <c r="X119" t="s">
        <v>145</v>
      </c>
      <c r="Y119">
        <v>5.9589061680379897E-2</v>
      </c>
    </row>
    <row r="120" spans="16:25" x14ac:dyDescent="0.25">
      <c r="P120" t="s">
        <v>117</v>
      </c>
      <c r="Q120" t="s">
        <v>142</v>
      </c>
      <c r="R120" t="s">
        <v>158</v>
      </c>
      <c r="S120">
        <v>9.1518098122633132E-2</v>
      </c>
      <c r="U120" t="s">
        <v>150</v>
      </c>
      <c r="V120" t="s">
        <v>106</v>
      </c>
      <c r="W120" t="s">
        <v>157</v>
      </c>
      <c r="X120" t="s">
        <v>145</v>
      </c>
      <c r="Y120">
        <v>5.9589061680379897E-2</v>
      </c>
    </row>
    <row r="121" spans="16:25" x14ac:dyDescent="0.25">
      <c r="P121" t="s">
        <v>117</v>
      </c>
      <c r="Q121" t="s">
        <v>142</v>
      </c>
      <c r="R121" t="s">
        <v>159</v>
      </c>
      <c r="S121">
        <v>3.0048993102042315E-2</v>
      </c>
      <c r="U121" t="s">
        <v>150</v>
      </c>
      <c r="V121" t="s">
        <v>52</v>
      </c>
      <c r="W121" t="s">
        <v>157</v>
      </c>
      <c r="X121" t="s">
        <v>145</v>
      </c>
      <c r="Y121">
        <v>5.9589061680379897E-2</v>
      </c>
    </row>
    <row r="122" spans="16:25" x14ac:dyDescent="0.25">
      <c r="P122" t="s">
        <v>117</v>
      </c>
      <c r="Q122" t="s">
        <v>142</v>
      </c>
      <c r="R122" t="s">
        <v>160</v>
      </c>
      <c r="S122">
        <v>0.13781182041050208</v>
      </c>
      <c r="U122" t="s">
        <v>150</v>
      </c>
      <c r="V122" t="s">
        <v>126</v>
      </c>
      <c r="W122" t="s">
        <v>157</v>
      </c>
      <c r="X122" t="s">
        <v>145</v>
      </c>
      <c r="Y122">
        <v>5.9589061680379897E-2</v>
      </c>
    </row>
    <row r="123" spans="16:25" x14ac:dyDescent="0.25">
      <c r="P123" t="s">
        <v>117</v>
      </c>
      <c r="Q123" t="s">
        <v>142</v>
      </c>
      <c r="R123" t="s">
        <v>161</v>
      </c>
      <c r="S123">
        <v>7.9453684389865525E-2</v>
      </c>
      <c r="U123" t="s">
        <v>150</v>
      </c>
      <c r="V123" t="s">
        <v>113</v>
      </c>
      <c r="W123" t="s">
        <v>157</v>
      </c>
      <c r="X123" t="s">
        <v>145</v>
      </c>
      <c r="Y123">
        <v>5.9589061680379897E-2</v>
      </c>
    </row>
    <row r="124" spans="16:25" x14ac:dyDescent="0.25">
      <c r="P124" t="s">
        <v>117</v>
      </c>
      <c r="Q124" t="s">
        <v>142</v>
      </c>
      <c r="R124" t="s">
        <v>162</v>
      </c>
      <c r="S124">
        <v>2.5459365600243943E-2</v>
      </c>
      <c r="U124" t="s">
        <v>150</v>
      </c>
      <c r="V124" t="s">
        <v>114</v>
      </c>
      <c r="W124" t="s">
        <v>158</v>
      </c>
      <c r="X124" t="s">
        <v>145</v>
      </c>
      <c r="Y124">
        <v>0.137805387667261</v>
      </c>
    </row>
    <row r="125" spans="16:25" x14ac:dyDescent="0.25">
      <c r="P125" t="s">
        <v>117</v>
      </c>
      <c r="Q125" t="s">
        <v>143</v>
      </c>
      <c r="R125" t="s">
        <v>151</v>
      </c>
      <c r="S125">
        <v>0.13546551895852055</v>
      </c>
      <c r="U125" t="s">
        <v>150</v>
      </c>
      <c r="V125" t="s">
        <v>115</v>
      </c>
      <c r="W125" t="s">
        <v>158</v>
      </c>
      <c r="X125" t="s">
        <v>145</v>
      </c>
      <c r="Y125">
        <v>0.137805387667261</v>
      </c>
    </row>
    <row r="126" spans="16:25" x14ac:dyDescent="0.25">
      <c r="P126" t="s">
        <v>117</v>
      </c>
      <c r="Q126" t="s">
        <v>143</v>
      </c>
      <c r="R126" t="s">
        <v>152</v>
      </c>
      <c r="S126">
        <v>9.093893823566962E-2</v>
      </c>
      <c r="U126" t="s">
        <v>150</v>
      </c>
      <c r="V126" t="s">
        <v>116</v>
      </c>
      <c r="W126" t="s">
        <v>158</v>
      </c>
      <c r="X126" t="s">
        <v>145</v>
      </c>
      <c r="Y126">
        <v>0.137805387667261</v>
      </c>
    </row>
    <row r="127" spans="16:25" x14ac:dyDescent="0.25">
      <c r="P127" t="s">
        <v>117</v>
      </c>
      <c r="Q127" t="s">
        <v>143</v>
      </c>
      <c r="R127" t="s">
        <v>153</v>
      </c>
      <c r="S127">
        <v>2.1103177647763722E-2</v>
      </c>
      <c r="U127" t="s">
        <v>150</v>
      </c>
      <c r="V127" t="s">
        <v>117</v>
      </c>
      <c r="W127" t="s">
        <v>158</v>
      </c>
      <c r="X127" t="s">
        <v>145</v>
      </c>
      <c r="Y127">
        <v>0.137805387667261</v>
      </c>
    </row>
    <row r="128" spans="16:25" x14ac:dyDescent="0.25">
      <c r="P128" t="s">
        <v>117</v>
      </c>
      <c r="Q128" t="s">
        <v>143</v>
      </c>
      <c r="R128" t="s">
        <v>154</v>
      </c>
      <c r="S128">
        <v>0.13439373842864563</v>
      </c>
      <c r="U128" t="s">
        <v>150</v>
      </c>
      <c r="V128" t="s">
        <v>118</v>
      </c>
      <c r="W128" t="s">
        <v>158</v>
      </c>
      <c r="X128" t="s">
        <v>145</v>
      </c>
      <c r="Y128">
        <v>0.137805387667261</v>
      </c>
    </row>
    <row r="129" spans="16:25" x14ac:dyDescent="0.25">
      <c r="P129" t="s">
        <v>117</v>
      </c>
      <c r="Q129" t="s">
        <v>143</v>
      </c>
      <c r="R129" t="s">
        <v>155</v>
      </c>
      <c r="S129">
        <v>9.0481360197478294E-2</v>
      </c>
      <c r="U129" t="s">
        <v>150</v>
      </c>
      <c r="V129" t="s">
        <v>119</v>
      </c>
      <c r="W129" t="s">
        <v>158</v>
      </c>
      <c r="X129" t="s">
        <v>145</v>
      </c>
      <c r="Y129">
        <v>0.137805387667261</v>
      </c>
    </row>
    <row r="130" spans="16:25" x14ac:dyDescent="0.25">
      <c r="P130" t="s">
        <v>117</v>
      </c>
      <c r="Q130" t="s">
        <v>143</v>
      </c>
      <c r="R130" t="s">
        <v>156</v>
      </c>
      <c r="S130">
        <v>2.0807421915779452E-2</v>
      </c>
      <c r="U130" t="s">
        <v>150</v>
      </c>
      <c r="V130" t="s">
        <v>120</v>
      </c>
      <c r="W130" t="s">
        <v>158</v>
      </c>
      <c r="X130" t="s">
        <v>145</v>
      </c>
      <c r="Y130">
        <v>0.137805387667261</v>
      </c>
    </row>
    <row r="131" spans="16:25" x14ac:dyDescent="0.25">
      <c r="P131" t="s">
        <v>117</v>
      </c>
      <c r="Q131" t="s">
        <v>143</v>
      </c>
      <c r="R131" t="s">
        <v>157</v>
      </c>
      <c r="S131">
        <v>0.14163601725328051</v>
      </c>
      <c r="U131" t="s">
        <v>150</v>
      </c>
      <c r="V131" t="s">
        <v>121</v>
      </c>
      <c r="W131" t="s">
        <v>158</v>
      </c>
      <c r="X131" t="s">
        <v>145</v>
      </c>
      <c r="Y131">
        <v>0.137805387667261</v>
      </c>
    </row>
    <row r="132" spans="16:25" x14ac:dyDescent="0.25">
      <c r="P132" t="s">
        <v>117</v>
      </c>
      <c r="Q132" t="s">
        <v>143</v>
      </c>
      <c r="R132" t="s">
        <v>158</v>
      </c>
      <c r="S132">
        <v>9.3751686301363907E-2</v>
      </c>
      <c r="U132" t="s">
        <v>150</v>
      </c>
      <c r="V132" t="s">
        <v>122</v>
      </c>
      <c r="W132" t="s">
        <v>158</v>
      </c>
      <c r="X132" t="s">
        <v>145</v>
      </c>
      <c r="Y132">
        <v>0.137805387667261</v>
      </c>
    </row>
    <row r="133" spans="16:25" x14ac:dyDescent="0.25">
      <c r="P133" t="s">
        <v>117</v>
      </c>
      <c r="Q133" t="s">
        <v>143</v>
      </c>
      <c r="R133" t="s">
        <v>159</v>
      </c>
      <c r="S133">
        <v>2.1897572366895664E-2</v>
      </c>
      <c r="U133" t="s">
        <v>150</v>
      </c>
      <c r="V133" t="s">
        <v>123</v>
      </c>
      <c r="W133" t="s">
        <v>158</v>
      </c>
      <c r="X133" t="s">
        <v>145</v>
      </c>
      <c r="Y133">
        <v>0.137805387667261</v>
      </c>
    </row>
    <row r="134" spans="16:25" x14ac:dyDescent="0.25">
      <c r="P134" t="s">
        <v>117</v>
      </c>
      <c r="Q134" t="s">
        <v>143</v>
      </c>
      <c r="R134" t="s">
        <v>160</v>
      </c>
      <c r="S134">
        <v>0.1358384283597181</v>
      </c>
      <c r="U134" t="s">
        <v>150</v>
      </c>
      <c r="V134" t="s">
        <v>124</v>
      </c>
      <c r="W134" t="s">
        <v>158</v>
      </c>
      <c r="X134" t="s">
        <v>145</v>
      </c>
      <c r="Y134">
        <v>0.137805387667261</v>
      </c>
    </row>
    <row r="135" spans="16:25" x14ac:dyDescent="0.25">
      <c r="P135" t="s">
        <v>117</v>
      </c>
      <c r="Q135" t="s">
        <v>143</v>
      </c>
      <c r="R135" t="s">
        <v>161</v>
      </c>
      <c r="S135">
        <v>9.2338392235685574E-2</v>
      </c>
      <c r="U135" t="s">
        <v>150</v>
      </c>
      <c r="V135" t="s">
        <v>51</v>
      </c>
      <c r="W135" t="s">
        <v>158</v>
      </c>
      <c r="X135" t="s">
        <v>145</v>
      </c>
      <c r="Y135">
        <v>0.137805387667261</v>
      </c>
    </row>
    <row r="136" spans="16:25" x14ac:dyDescent="0.25">
      <c r="P136" t="s">
        <v>117</v>
      </c>
      <c r="Q136" t="s">
        <v>143</v>
      </c>
      <c r="R136" t="s">
        <v>162</v>
      </c>
      <c r="S136">
        <v>2.1347748099198486E-2</v>
      </c>
      <c r="U136" t="s">
        <v>150</v>
      </c>
      <c r="V136" t="s">
        <v>125</v>
      </c>
      <c r="W136" t="s">
        <v>158</v>
      </c>
      <c r="X136" t="s">
        <v>145</v>
      </c>
      <c r="Y136">
        <v>0.137805387667261</v>
      </c>
    </row>
    <row r="137" spans="16:25" x14ac:dyDescent="0.25">
      <c r="P137" t="s">
        <v>117</v>
      </c>
      <c r="Q137" t="s">
        <v>144</v>
      </c>
      <c r="R137" t="s">
        <v>151</v>
      </c>
      <c r="S137">
        <v>0.13370782612587784</v>
      </c>
      <c r="U137" t="s">
        <v>150</v>
      </c>
      <c r="V137" t="s">
        <v>106</v>
      </c>
      <c r="W137" t="s">
        <v>158</v>
      </c>
      <c r="X137" t="s">
        <v>145</v>
      </c>
      <c r="Y137">
        <v>0.137805387667261</v>
      </c>
    </row>
    <row r="138" spans="16:25" x14ac:dyDescent="0.25">
      <c r="P138" t="s">
        <v>117</v>
      </c>
      <c r="Q138" t="s">
        <v>144</v>
      </c>
      <c r="R138" t="s">
        <v>152</v>
      </c>
      <c r="S138">
        <v>7.3232747768814666E-2</v>
      </c>
      <c r="U138" t="s">
        <v>150</v>
      </c>
      <c r="V138" t="s">
        <v>52</v>
      </c>
      <c r="W138" t="s">
        <v>158</v>
      </c>
      <c r="X138" t="s">
        <v>145</v>
      </c>
      <c r="Y138">
        <v>0.137805387667261</v>
      </c>
    </row>
    <row r="139" spans="16:25" x14ac:dyDescent="0.25">
      <c r="P139" t="s">
        <v>117</v>
      </c>
      <c r="Q139" t="s">
        <v>144</v>
      </c>
      <c r="R139" t="s">
        <v>153</v>
      </c>
      <c r="S139">
        <v>2.2905657523725895E-2</v>
      </c>
      <c r="U139" t="s">
        <v>150</v>
      </c>
      <c r="V139" t="s">
        <v>126</v>
      </c>
      <c r="W139" t="s">
        <v>158</v>
      </c>
      <c r="X139" t="s">
        <v>145</v>
      </c>
      <c r="Y139">
        <v>0.137805387667261</v>
      </c>
    </row>
    <row r="140" spans="16:25" x14ac:dyDescent="0.25">
      <c r="P140" t="s">
        <v>117</v>
      </c>
      <c r="Q140" t="s">
        <v>144</v>
      </c>
      <c r="R140" t="s">
        <v>154</v>
      </c>
      <c r="S140">
        <v>0.12560868307382067</v>
      </c>
      <c r="U140" t="s">
        <v>150</v>
      </c>
      <c r="V140" t="s">
        <v>113</v>
      </c>
      <c r="W140" t="s">
        <v>158</v>
      </c>
      <c r="X140" t="s">
        <v>145</v>
      </c>
      <c r="Y140">
        <v>0.137805387667261</v>
      </c>
    </row>
    <row r="141" spans="16:25" x14ac:dyDescent="0.25">
      <c r="P141" t="s">
        <v>117</v>
      </c>
      <c r="Q141" t="s">
        <v>144</v>
      </c>
      <c r="R141" t="s">
        <v>155</v>
      </c>
      <c r="S141">
        <v>6.9506308434956726E-2</v>
      </c>
      <c r="U141" t="s">
        <v>150</v>
      </c>
      <c r="V141" t="s">
        <v>114</v>
      </c>
      <c r="W141" t="s">
        <v>159</v>
      </c>
      <c r="X141" t="s">
        <v>145</v>
      </c>
      <c r="Y141">
        <v>5.2605550652358703E-2</v>
      </c>
    </row>
    <row r="142" spans="16:25" x14ac:dyDescent="0.25">
      <c r="P142" t="s">
        <v>117</v>
      </c>
      <c r="Q142" t="s">
        <v>144</v>
      </c>
      <c r="R142" t="s">
        <v>156</v>
      </c>
      <c r="S142">
        <v>2.0708046272455021E-2</v>
      </c>
      <c r="U142" t="s">
        <v>150</v>
      </c>
      <c r="V142" t="s">
        <v>115</v>
      </c>
      <c r="W142" t="s">
        <v>159</v>
      </c>
      <c r="X142" t="s">
        <v>145</v>
      </c>
      <c r="Y142">
        <v>5.2605550652358703E-2</v>
      </c>
    </row>
    <row r="143" spans="16:25" x14ac:dyDescent="0.25">
      <c r="P143" t="s">
        <v>117</v>
      </c>
      <c r="Q143" t="s">
        <v>144</v>
      </c>
      <c r="R143" t="s">
        <v>157</v>
      </c>
      <c r="S143">
        <v>0.17927792529738301</v>
      </c>
      <c r="U143" t="s">
        <v>150</v>
      </c>
      <c r="V143" t="s">
        <v>116</v>
      </c>
      <c r="W143" t="s">
        <v>159</v>
      </c>
      <c r="X143" t="s">
        <v>145</v>
      </c>
      <c r="Y143">
        <v>5.2605550652358703E-2</v>
      </c>
    </row>
    <row r="144" spans="16:25" x14ac:dyDescent="0.25">
      <c r="P144" t="s">
        <v>117</v>
      </c>
      <c r="Q144" t="s">
        <v>144</v>
      </c>
      <c r="R144" t="s">
        <v>158</v>
      </c>
      <c r="S144">
        <v>9.6144116123571627E-2</v>
      </c>
      <c r="U144" t="s">
        <v>150</v>
      </c>
      <c r="V144" t="s">
        <v>117</v>
      </c>
      <c r="W144" t="s">
        <v>159</v>
      </c>
      <c r="X144" t="s">
        <v>145</v>
      </c>
      <c r="Y144">
        <v>5.2605550652358703E-2</v>
      </c>
    </row>
    <row r="145" spans="16:25" x14ac:dyDescent="0.25">
      <c r="P145" t="s">
        <v>117</v>
      </c>
      <c r="Q145" t="s">
        <v>144</v>
      </c>
      <c r="R145" t="s">
        <v>159</v>
      </c>
      <c r="S145">
        <v>2.9380198424285284E-2</v>
      </c>
      <c r="U145" t="s">
        <v>150</v>
      </c>
      <c r="V145" t="s">
        <v>118</v>
      </c>
      <c r="W145" t="s">
        <v>159</v>
      </c>
      <c r="X145" t="s">
        <v>145</v>
      </c>
      <c r="Y145">
        <v>5.2605550652358703E-2</v>
      </c>
    </row>
    <row r="146" spans="16:25" x14ac:dyDescent="0.25">
      <c r="P146" t="s">
        <v>117</v>
      </c>
      <c r="Q146" t="s">
        <v>144</v>
      </c>
      <c r="R146" t="s">
        <v>160</v>
      </c>
      <c r="S146">
        <v>0.14013588361323331</v>
      </c>
      <c r="U146" t="s">
        <v>150</v>
      </c>
      <c r="V146" t="s">
        <v>119</v>
      </c>
      <c r="W146" t="s">
        <v>159</v>
      </c>
      <c r="X146" t="s">
        <v>145</v>
      </c>
      <c r="Y146">
        <v>5.2605550652358703E-2</v>
      </c>
    </row>
    <row r="147" spans="16:25" x14ac:dyDescent="0.25">
      <c r="P147" t="s">
        <v>117</v>
      </c>
      <c r="Q147" t="s">
        <v>144</v>
      </c>
      <c r="R147" t="s">
        <v>161</v>
      </c>
      <c r="S147">
        <v>8.4609778221601775E-2</v>
      </c>
      <c r="U147" t="s">
        <v>150</v>
      </c>
      <c r="V147" t="s">
        <v>120</v>
      </c>
      <c r="W147" t="s">
        <v>159</v>
      </c>
      <c r="X147" t="s">
        <v>145</v>
      </c>
      <c r="Y147">
        <v>5.2605550652358703E-2</v>
      </c>
    </row>
    <row r="148" spans="16:25" x14ac:dyDescent="0.25">
      <c r="P148" t="s">
        <v>117</v>
      </c>
      <c r="Q148" t="s">
        <v>144</v>
      </c>
      <c r="R148" t="s">
        <v>162</v>
      </c>
      <c r="S148">
        <v>2.4782829120273808E-2</v>
      </c>
      <c r="U148" t="s">
        <v>150</v>
      </c>
      <c r="V148" t="s">
        <v>121</v>
      </c>
      <c r="W148" t="s">
        <v>159</v>
      </c>
      <c r="X148" t="s">
        <v>145</v>
      </c>
      <c r="Y148">
        <v>5.2605550652358703E-2</v>
      </c>
    </row>
    <row r="149" spans="16:25" x14ac:dyDescent="0.25">
      <c r="P149" t="s">
        <v>118</v>
      </c>
      <c r="Q149" t="s">
        <v>142</v>
      </c>
      <c r="R149" t="s">
        <v>151</v>
      </c>
      <c r="S149">
        <v>0.13765908131433713</v>
      </c>
      <c r="U149" t="s">
        <v>150</v>
      </c>
      <c r="V149" t="s">
        <v>122</v>
      </c>
      <c r="W149" t="s">
        <v>159</v>
      </c>
      <c r="X149" t="s">
        <v>145</v>
      </c>
      <c r="Y149">
        <v>5.2605550652358703E-2</v>
      </c>
    </row>
    <row r="150" spans="16:25" x14ac:dyDescent="0.25">
      <c r="P150" t="s">
        <v>118</v>
      </c>
      <c r="Q150" t="s">
        <v>142</v>
      </c>
      <c r="R150" t="s">
        <v>152</v>
      </c>
      <c r="S150">
        <v>6.9261761764125365E-2</v>
      </c>
      <c r="U150" t="s">
        <v>150</v>
      </c>
      <c r="V150" t="s">
        <v>123</v>
      </c>
      <c r="W150" t="s">
        <v>159</v>
      </c>
      <c r="X150" t="s">
        <v>145</v>
      </c>
      <c r="Y150">
        <v>5.2605550652358703E-2</v>
      </c>
    </row>
    <row r="151" spans="16:25" x14ac:dyDescent="0.25">
      <c r="P151" t="s">
        <v>118</v>
      </c>
      <c r="Q151" t="s">
        <v>142</v>
      </c>
      <c r="R151" t="s">
        <v>153</v>
      </c>
      <c r="S151">
        <v>2.3093641686085773E-2</v>
      </c>
      <c r="U151" t="s">
        <v>150</v>
      </c>
      <c r="V151" t="s">
        <v>124</v>
      </c>
      <c r="W151" t="s">
        <v>159</v>
      </c>
      <c r="X151" t="s">
        <v>145</v>
      </c>
      <c r="Y151">
        <v>5.2605550652358703E-2</v>
      </c>
    </row>
    <row r="152" spans="16:25" x14ac:dyDescent="0.25">
      <c r="P152" t="s">
        <v>118</v>
      </c>
      <c r="Q152" t="s">
        <v>142</v>
      </c>
      <c r="R152" t="s">
        <v>154</v>
      </c>
      <c r="S152">
        <v>0.12856491673603088</v>
      </c>
      <c r="U152" t="s">
        <v>150</v>
      </c>
      <c r="V152" t="s">
        <v>51</v>
      </c>
      <c r="W152" t="s">
        <v>159</v>
      </c>
      <c r="X152" t="s">
        <v>145</v>
      </c>
      <c r="Y152">
        <v>5.2605550652358703E-2</v>
      </c>
    </row>
    <row r="153" spans="16:25" x14ac:dyDescent="0.25">
      <c r="P153" t="s">
        <v>118</v>
      </c>
      <c r="Q153" t="s">
        <v>142</v>
      </c>
      <c r="R153" t="s">
        <v>155</v>
      </c>
      <c r="S153">
        <v>6.5615853395336404E-2</v>
      </c>
      <c r="U153" t="s">
        <v>150</v>
      </c>
      <c r="V153" t="s">
        <v>125</v>
      </c>
      <c r="W153" t="s">
        <v>159</v>
      </c>
      <c r="X153" t="s">
        <v>145</v>
      </c>
      <c r="Y153">
        <v>5.2605550652358703E-2</v>
      </c>
    </row>
    <row r="154" spans="16:25" x14ac:dyDescent="0.25">
      <c r="P154" t="s">
        <v>118</v>
      </c>
      <c r="Q154" t="s">
        <v>142</v>
      </c>
      <c r="R154" t="s">
        <v>156</v>
      </c>
      <c r="S154">
        <v>2.0551470139892999E-2</v>
      </c>
      <c r="U154" t="s">
        <v>150</v>
      </c>
      <c r="V154" t="s">
        <v>106</v>
      </c>
      <c r="W154" t="s">
        <v>159</v>
      </c>
      <c r="X154" t="s">
        <v>145</v>
      </c>
      <c r="Y154">
        <v>5.2605550652358703E-2</v>
      </c>
    </row>
    <row r="155" spans="16:25" x14ac:dyDescent="0.25">
      <c r="P155" t="s">
        <v>118</v>
      </c>
      <c r="Q155" t="s">
        <v>142</v>
      </c>
      <c r="R155" t="s">
        <v>157</v>
      </c>
      <c r="S155">
        <v>0.19094215068869105</v>
      </c>
      <c r="U155" t="s">
        <v>150</v>
      </c>
      <c r="V155" t="s">
        <v>52</v>
      </c>
      <c r="W155" t="s">
        <v>159</v>
      </c>
      <c r="X155" t="s">
        <v>145</v>
      </c>
      <c r="Y155">
        <v>5.2605550652358703E-2</v>
      </c>
    </row>
    <row r="156" spans="16:25" x14ac:dyDescent="0.25">
      <c r="P156" t="s">
        <v>118</v>
      </c>
      <c r="Q156" t="s">
        <v>142</v>
      </c>
      <c r="R156" t="s">
        <v>158</v>
      </c>
      <c r="S156">
        <v>9.1670636438579353E-2</v>
      </c>
      <c r="U156" t="s">
        <v>150</v>
      </c>
      <c r="V156" t="s">
        <v>126</v>
      </c>
      <c r="W156" t="s">
        <v>159</v>
      </c>
      <c r="X156" t="s">
        <v>145</v>
      </c>
      <c r="Y156">
        <v>5.2605550652358703E-2</v>
      </c>
    </row>
    <row r="157" spans="16:25" x14ac:dyDescent="0.25">
      <c r="P157" t="s">
        <v>118</v>
      </c>
      <c r="Q157" t="s">
        <v>142</v>
      </c>
      <c r="R157" t="s">
        <v>159</v>
      </c>
      <c r="S157">
        <v>2.9419270217036088E-2</v>
      </c>
      <c r="U157" t="s">
        <v>150</v>
      </c>
      <c r="V157" t="s">
        <v>113</v>
      </c>
      <c r="W157" t="s">
        <v>159</v>
      </c>
      <c r="X157" t="s">
        <v>145</v>
      </c>
      <c r="Y157">
        <v>5.2605550652358703E-2</v>
      </c>
    </row>
    <row r="158" spans="16:25" x14ac:dyDescent="0.25">
      <c r="P158" t="s">
        <v>118</v>
      </c>
      <c r="Q158" t="s">
        <v>142</v>
      </c>
      <c r="R158" t="s">
        <v>160</v>
      </c>
      <c r="S158">
        <v>0.13764760281771707</v>
      </c>
      <c r="U158" t="s">
        <v>150</v>
      </c>
      <c r="V158" t="s">
        <v>114</v>
      </c>
      <c r="W158" t="s">
        <v>160</v>
      </c>
      <c r="X158" t="s">
        <v>145</v>
      </c>
      <c r="Y158">
        <v>5.9589061680379897E-2</v>
      </c>
    </row>
    <row r="159" spans="16:25" x14ac:dyDescent="0.25">
      <c r="P159" t="s">
        <v>118</v>
      </c>
      <c r="Q159" t="s">
        <v>142</v>
      </c>
      <c r="R159" t="s">
        <v>161</v>
      </c>
      <c r="S159">
        <v>8.0430522142886318E-2</v>
      </c>
      <c r="U159" t="s">
        <v>150</v>
      </c>
      <c r="V159" t="s">
        <v>115</v>
      </c>
      <c r="W159" t="s">
        <v>160</v>
      </c>
      <c r="X159" t="s">
        <v>145</v>
      </c>
      <c r="Y159">
        <v>5.9589061680379897E-2</v>
      </c>
    </row>
    <row r="160" spans="16:25" x14ac:dyDescent="0.25">
      <c r="P160" t="s">
        <v>118</v>
      </c>
      <c r="Q160" t="s">
        <v>142</v>
      </c>
      <c r="R160" t="s">
        <v>162</v>
      </c>
      <c r="S160">
        <v>2.5143092659281666E-2</v>
      </c>
      <c r="U160" t="s">
        <v>150</v>
      </c>
      <c r="V160" t="s">
        <v>116</v>
      </c>
      <c r="W160" t="s">
        <v>160</v>
      </c>
      <c r="X160" t="s">
        <v>145</v>
      </c>
      <c r="Y160">
        <v>5.9589061680379897E-2</v>
      </c>
    </row>
    <row r="161" spans="16:25" x14ac:dyDescent="0.25">
      <c r="P161" t="s">
        <v>118</v>
      </c>
      <c r="Q161" t="s">
        <v>143</v>
      </c>
      <c r="R161" t="s">
        <v>151</v>
      </c>
      <c r="S161">
        <v>0.13546560360396692</v>
      </c>
      <c r="U161" t="s">
        <v>150</v>
      </c>
      <c r="V161" t="s">
        <v>117</v>
      </c>
      <c r="W161" t="s">
        <v>160</v>
      </c>
      <c r="X161" t="s">
        <v>145</v>
      </c>
      <c r="Y161">
        <v>5.9589061680379897E-2</v>
      </c>
    </row>
    <row r="162" spans="16:25" x14ac:dyDescent="0.25">
      <c r="P162" t="s">
        <v>118</v>
      </c>
      <c r="Q162" t="s">
        <v>143</v>
      </c>
      <c r="R162" t="s">
        <v>152</v>
      </c>
      <c r="S162">
        <v>9.0938882985413708E-2</v>
      </c>
      <c r="U162" t="s">
        <v>150</v>
      </c>
      <c r="V162" t="s">
        <v>118</v>
      </c>
      <c r="W162" t="s">
        <v>160</v>
      </c>
      <c r="X162" t="s">
        <v>145</v>
      </c>
      <c r="Y162">
        <v>5.9589061680379897E-2</v>
      </c>
    </row>
    <row r="163" spans="16:25" x14ac:dyDescent="0.25">
      <c r="P163" t="s">
        <v>118</v>
      </c>
      <c r="Q163" t="s">
        <v>143</v>
      </c>
      <c r="R163" t="s">
        <v>153</v>
      </c>
      <c r="S163">
        <v>2.1103178820672169E-2</v>
      </c>
      <c r="U163" t="s">
        <v>150</v>
      </c>
      <c r="V163" t="s">
        <v>119</v>
      </c>
      <c r="W163" t="s">
        <v>160</v>
      </c>
      <c r="X163" t="s">
        <v>145</v>
      </c>
      <c r="Y163">
        <v>5.9589061680379897E-2</v>
      </c>
    </row>
    <row r="164" spans="16:25" x14ac:dyDescent="0.25">
      <c r="P164" t="s">
        <v>118</v>
      </c>
      <c r="Q164" t="s">
        <v>143</v>
      </c>
      <c r="R164" t="s">
        <v>154</v>
      </c>
      <c r="S164">
        <v>0.13439372399473901</v>
      </c>
      <c r="U164" t="s">
        <v>150</v>
      </c>
      <c r="V164" t="s">
        <v>120</v>
      </c>
      <c r="W164" t="s">
        <v>160</v>
      </c>
      <c r="X164" t="s">
        <v>145</v>
      </c>
      <c r="Y164">
        <v>5.9589061680379897E-2</v>
      </c>
    </row>
    <row r="165" spans="16:25" x14ac:dyDescent="0.25">
      <c r="P165" t="s">
        <v>118</v>
      </c>
      <c r="Q165" t="s">
        <v>143</v>
      </c>
      <c r="R165" t="s">
        <v>155</v>
      </c>
      <c r="S165">
        <v>9.0481327058455713E-2</v>
      </c>
      <c r="U165" t="s">
        <v>150</v>
      </c>
      <c r="V165" t="s">
        <v>121</v>
      </c>
      <c r="W165" t="s">
        <v>160</v>
      </c>
      <c r="X165" t="s">
        <v>145</v>
      </c>
      <c r="Y165">
        <v>5.9589061680379897E-2</v>
      </c>
    </row>
    <row r="166" spans="16:25" x14ac:dyDescent="0.25">
      <c r="P166" t="s">
        <v>118</v>
      </c>
      <c r="Q166" t="s">
        <v>143</v>
      </c>
      <c r="R166" t="s">
        <v>156</v>
      </c>
      <c r="S166">
        <v>2.0807416042276875E-2</v>
      </c>
      <c r="U166" t="s">
        <v>150</v>
      </c>
      <c r="V166" t="s">
        <v>122</v>
      </c>
      <c r="W166" t="s">
        <v>160</v>
      </c>
      <c r="X166" t="s">
        <v>145</v>
      </c>
      <c r="Y166">
        <v>5.9589061680379897E-2</v>
      </c>
    </row>
    <row r="167" spans="16:25" x14ac:dyDescent="0.25">
      <c r="P167" t="s">
        <v>118</v>
      </c>
      <c r="Q167" t="s">
        <v>143</v>
      </c>
      <c r="R167" t="s">
        <v>157</v>
      </c>
      <c r="S167">
        <v>0.14163605109256036</v>
      </c>
      <c r="U167" t="s">
        <v>150</v>
      </c>
      <c r="V167" t="s">
        <v>123</v>
      </c>
      <c r="W167" t="s">
        <v>160</v>
      </c>
      <c r="X167" t="s">
        <v>145</v>
      </c>
      <c r="Y167">
        <v>5.9589061680379897E-2</v>
      </c>
    </row>
    <row r="168" spans="16:25" x14ac:dyDescent="0.25">
      <c r="P168" t="s">
        <v>118</v>
      </c>
      <c r="Q168" t="s">
        <v>143</v>
      </c>
      <c r="R168" t="s">
        <v>158</v>
      </c>
      <c r="S168">
        <v>9.3751693644346337E-2</v>
      </c>
      <c r="U168" t="s">
        <v>150</v>
      </c>
      <c r="V168" t="s">
        <v>124</v>
      </c>
      <c r="W168" t="s">
        <v>160</v>
      </c>
      <c r="X168" t="s">
        <v>145</v>
      </c>
      <c r="Y168">
        <v>5.9589061680379897E-2</v>
      </c>
    </row>
    <row r="169" spans="16:25" x14ac:dyDescent="0.25">
      <c r="P169" t="s">
        <v>118</v>
      </c>
      <c r="Q169" t="s">
        <v>143</v>
      </c>
      <c r="R169" t="s">
        <v>159</v>
      </c>
      <c r="S169">
        <v>2.1897599522857296E-2</v>
      </c>
      <c r="U169" t="s">
        <v>150</v>
      </c>
      <c r="V169" t="s">
        <v>51</v>
      </c>
      <c r="W169" t="s">
        <v>160</v>
      </c>
      <c r="X169" t="s">
        <v>145</v>
      </c>
      <c r="Y169">
        <v>5.9589061680379897E-2</v>
      </c>
    </row>
    <row r="170" spans="16:25" x14ac:dyDescent="0.25">
      <c r="P170" t="s">
        <v>118</v>
      </c>
      <c r="Q170" t="s">
        <v>143</v>
      </c>
      <c r="R170" t="s">
        <v>160</v>
      </c>
      <c r="S170">
        <v>0.13583842241220795</v>
      </c>
      <c r="U170" t="s">
        <v>150</v>
      </c>
      <c r="V170" t="s">
        <v>125</v>
      </c>
      <c r="W170" t="s">
        <v>160</v>
      </c>
      <c r="X170" t="s">
        <v>145</v>
      </c>
      <c r="Y170">
        <v>5.9589061680379897E-2</v>
      </c>
    </row>
    <row r="171" spans="16:25" x14ac:dyDescent="0.25">
      <c r="P171" t="s">
        <v>118</v>
      </c>
      <c r="Q171" t="s">
        <v>143</v>
      </c>
      <c r="R171" t="s">
        <v>161</v>
      </c>
      <c r="S171">
        <v>9.233835286362535E-2</v>
      </c>
      <c r="U171" t="s">
        <v>150</v>
      </c>
      <c r="V171" t="s">
        <v>106</v>
      </c>
      <c r="W171" t="s">
        <v>160</v>
      </c>
      <c r="X171" t="s">
        <v>145</v>
      </c>
      <c r="Y171">
        <v>5.9589061680379897E-2</v>
      </c>
    </row>
    <row r="172" spans="16:25" x14ac:dyDescent="0.25">
      <c r="P172" t="s">
        <v>118</v>
      </c>
      <c r="Q172" t="s">
        <v>143</v>
      </c>
      <c r="R172" t="s">
        <v>162</v>
      </c>
      <c r="S172">
        <v>2.1347747958878307E-2</v>
      </c>
      <c r="U172" t="s">
        <v>150</v>
      </c>
      <c r="V172" t="s">
        <v>52</v>
      </c>
      <c r="W172" t="s">
        <v>160</v>
      </c>
      <c r="X172" t="s">
        <v>145</v>
      </c>
      <c r="Y172">
        <v>5.9589061680379897E-2</v>
      </c>
    </row>
    <row r="173" spans="16:25" x14ac:dyDescent="0.25">
      <c r="P173" t="s">
        <v>118</v>
      </c>
      <c r="Q173" t="s">
        <v>144</v>
      </c>
      <c r="R173" t="s">
        <v>151</v>
      </c>
      <c r="S173">
        <v>0.13457249706822594</v>
      </c>
      <c r="U173" t="s">
        <v>150</v>
      </c>
      <c r="V173" t="s">
        <v>126</v>
      </c>
      <c r="W173" t="s">
        <v>160</v>
      </c>
      <c r="X173" t="s">
        <v>145</v>
      </c>
      <c r="Y173">
        <v>5.9589061680379897E-2</v>
      </c>
    </row>
    <row r="174" spans="16:25" x14ac:dyDescent="0.25">
      <c r="P174" t="s">
        <v>118</v>
      </c>
      <c r="Q174" t="s">
        <v>144</v>
      </c>
      <c r="R174" t="s">
        <v>152</v>
      </c>
      <c r="S174">
        <v>7.3472122037916157E-2</v>
      </c>
      <c r="U174" t="s">
        <v>150</v>
      </c>
      <c r="V174" t="s">
        <v>113</v>
      </c>
      <c r="W174" t="s">
        <v>160</v>
      </c>
      <c r="X174" t="s">
        <v>145</v>
      </c>
      <c r="Y174">
        <v>5.9589061680379897E-2</v>
      </c>
    </row>
    <row r="175" spans="16:25" x14ac:dyDescent="0.25">
      <c r="P175" t="s">
        <v>118</v>
      </c>
      <c r="Q175" t="s">
        <v>144</v>
      </c>
      <c r="R175" t="s">
        <v>153</v>
      </c>
      <c r="S175">
        <v>2.2839426265447552E-2</v>
      </c>
      <c r="U175" t="s">
        <v>150</v>
      </c>
      <c r="V175" t="s">
        <v>114</v>
      </c>
      <c r="W175" t="s">
        <v>161</v>
      </c>
      <c r="X175" t="s">
        <v>145</v>
      </c>
      <c r="Y175">
        <v>0.137805387667261</v>
      </c>
    </row>
    <row r="176" spans="16:25" x14ac:dyDescent="0.25">
      <c r="P176" t="s">
        <v>118</v>
      </c>
      <c r="Q176" t="s">
        <v>144</v>
      </c>
      <c r="R176" t="s">
        <v>154</v>
      </c>
      <c r="S176">
        <v>0.12668021650791952</v>
      </c>
      <c r="U176" t="s">
        <v>150</v>
      </c>
      <c r="V176" t="s">
        <v>115</v>
      </c>
      <c r="W176" t="s">
        <v>161</v>
      </c>
      <c r="X176" t="s">
        <v>145</v>
      </c>
      <c r="Y176">
        <v>0.137805387667261</v>
      </c>
    </row>
    <row r="177" spans="16:25" x14ac:dyDescent="0.25">
      <c r="P177" t="s">
        <v>118</v>
      </c>
      <c r="Q177" t="s">
        <v>144</v>
      </c>
      <c r="R177" t="s">
        <v>155</v>
      </c>
      <c r="S177">
        <v>6.9947461881555262E-2</v>
      </c>
      <c r="U177" t="s">
        <v>150</v>
      </c>
      <c r="V177" t="s">
        <v>116</v>
      </c>
      <c r="W177" t="s">
        <v>161</v>
      </c>
      <c r="X177" t="s">
        <v>145</v>
      </c>
      <c r="Y177">
        <v>0.137805387667261</v>
      </c>
    </row>
    <row r="178" spans="16:25" x14ac:dyDescent="0.25">
      <c r="P178" t="s">
        <v>118</v>
      </c>
      <c r="Q178" t="s">
        <v>144</v>
      </c>
      <c r="R178" t="s">
        <v>156</v>
      </c>
      <c r="S178">
        <v>2.0683355698487026E-2</v>
      </c>
      <c r="U178" t="s">
        <v>150</v>
      </c>
      <c r="V178" t="s">
        <v>117</v>
      </c>
      <c r="W178" t="s">
        <v>161</v>
      </c>
      <c r="X178" t="s">
        <v>145</v>
      </c>
      <c r="Y178">
        <v>0.137805387667261</v>
      </c>
    </row>
    <row r="179" spans="16:25" x14ac:dyDescent="0.25">
      <c r="P179" t="s">
        <v>118</v>
      </c>
      <c r="Q179" t="s">
        <v>144</v>
      </c>
      <c r="R179" t="s">
        <v>157</v>
      </c>
      <c r="S179">
        <v>0.17939193837391226</v>
      </c>
      <c r="U179" t="s">
        <v>150</v>
      </c>
      <c r="V179" t="s">
        <v>118</v>
      </c>
      <c r="W179" t="s">
        <v>161</v>
      </c>
      <c r="X179" t="s">
        <v>145</v>
      </c>
      <c r="Y179">
        <v>0.137805387667261</v>
      </c>
    </row>
    <row r="180" spans="16:25" x14ac:dyDescent="0.25">
      <c r="P180" t="s">
        <v>118</v>
      </c>
      <c r="Q180" t="s">
        <v>144</v>
      </c>
      <c r="R180" t="s">
        <v>158</v>
      </c>
      <c r="S180">
        <v>9.5142649295389486E-2</v>
      </c>
      <c r="U180" t="s">
        <v>150</v>
      </c>
      <c r="V180" t="s">
        <v>119</v>
      </c>
      <c r="W180" t="s">
        <v>161</v>
      </c>
      <c r="X180" t="s">
        <v>145</v>
      </c>
      <c r="Y180">
        <v>0.137805387667261</v>
      </c>
    </row>
    <row r="181" spans="16:25" x14ac:dyDescent="0.25">
      <c r="P181" t="s">
        <v>118</v>
      </c>
      <c r="Q181" t="s">
        <v>144</v>
      </c>
      <c r="R181" t="s">
        <v>159</v>
      </c>
      <c r="S181">
        <v>2.8961996881416329E-2</v>
      </c>
      <c r="U181" t="s">
        <v>150</v>
      </c>
      <c r="V181" t="s">
        <v>120</v>
      </c>
      <c r="W181" t="s">
        <v>161</v>
      </c>
      <c r="X181" t="s">
        <v>145</v>
      </c>
      <c r="Y181">
        <v>0.137805387667261</v>
      </c>
    </row>
    <row r="182" spans="16:25" x14ac:dyDescent="0.25">
      <c r="P182" t="s">
        <v>118</v>
      </c>
      <c r="Q182" t="s">
        <v>144</v>
      </c>
      <c r="R182" t="s">
        <v>160</v>
      </c>
      <c r="S182">
        <v>0.13941024809290117</v>
      </c>
      <c r="U182" t="s">
        <v>150</v>
      </c>
      <c r="V182" t="s">
        <v>121</v>
      </c>
      <c r="W182" t="s">
        <v>161</v>
      </c>
      <c r="X182" t="s">
        <v>145</v>
      </c>
      <c r="Y182">
        <v>0.137805387667261</v>
      </c>
    </row>
    <row r="183" spans="16:25" x14ac:dyDescent="0.25">
      <c r="P183" t="s">
        <v>118</v>
      </c>
      <c r="Q183" t="s">
        <v>144</v>
      </c>
      <c r="R183" t="s">
        <v>161</v>
      </c>
      <c r="S183">
        <v>8.4241049085894026E-2</v>
      </c>
      <c r="U183" t="s">
        <v>150</v>
      </c>
      <c r="V183" t="s">
        <v>122</v>
      </c>
      <c r="W183" t="s">
        <v>161</v>
      </c>
      <c r="X183" t="s">
        <v>145</v>
      </c>
      <c r="Y183">
        <v>0.137805387667261</v>
      </c>
    </row>
    <row r="184" spans="16:25" x14ac:dyDescent="0.25">
      <c r="P184" t="s">
        <v>118</v>
      </c>
      <c r="Q184" t="s">
        <v>144</v>
      </c>
      <c r="R184" t="s">
        <v>162</v>
      </c>
      <c r="S184">
        <v>2.4657038810934659E-2</v>
      </c>
      <c r="U184" t="s">
        <v>150</v>
      </c>
      <c r="V184" t="s">
        <v>123</v>
      </c>
      <c r="W184" t="s">
        <v>161</v>
      </c>
      <c r="X184" t="s">
        <v>145</v>
      </c>
      <c r="Y184">
        <v>0.137805387667261</v>
      </c>
    </row>
    <row r="185" spans="16:25" x14ac:dyDescent="0.25">
      <c r="P185" t="s">
        <v>119</v>
      </c>
      <c r="Q185" t="s">
        <v>142</v>
      </c>
      <c r="R185" t="s">
        <v>151</v>
      </c>
      <c r="S185">
        <v>0.14048890151537066</v>
      </c>
      <c r="U185" t="s">
        <v>150</v>
      </c>
      <c r="V185" t="s">
        <v>124</v>
      </c>
      <c r="W185" t="s">
        <v>161</v>
      </c>
      <c r="X185" t="s">
        <v>145</v>
      </c>
      <c r="Y185">
        <v>0.137805387667261</v>
      </c>
    </row>
    <row r="186" spans="16:25" x14ac:dyDescent="0.25">
      <c r="P186" t="s">
        <v>119</v>
      </c>
      <c r="Q186" t="s">
        <v>142</v>
      </c>
      <c r="R186" t="s">
        <v>152</v>
      </c>
      <c r="S186">
        <v>3.8326383447900035E-2</v>
      </c>
      <c r="U186" t="s">
        <v>150</v>
      </c>
      <c r="V186" t="s">
        <v>51</v>
      </c>
      <c r="W186" t="s">
        <v>161</v>
      </c>
      <c r="X186" t="s">
        <v>145</v>
      </c>
      <c r="Y186">
        <v>0.137805387667261</v>
      </c>
    </row>
    <row r="187" spans="16:25" x14ac:dyDescent="0.25">
      <c r="P187" t="s">
        <v>119</v>
      </c>
      <c r="Q187" t="s">
        <v>142</v>
      </c>
      <c r="R187" t="s">
        <v>153</v>
      </c>
      <c r="S187">
        <v>2.5949157521233487E-2</v>
      </c>
      <c r="U187" t="s">
        <v>150</v>
      </c>
      <c r="V187" t="s">
        <v>125</v>
      </c>
      <c r="W187" t="s">
        <v>161</v>
      </c>
      <c r="X187" t="s">
        <v>145</v>
      </c>
      <c r="Y187">
        <v>0.137805387667261</v>
      </c>
    </row>
    <row r="188" spans="16:25" x14ac:dyDescent="0.25">
      <c r="P188" t="s">
        <v>119</v>
      </c>
      <c r="Q188" t="s">
        <v>142</v>
      </c>
      <c r="R188" t="s">
        <v>154</v>
      </c>
      <c r="S188">
        <v>0.11990908737351494</v>
      </c>
      <c r="U188" t="s">
        <v>150</v>
      </c>
      <c r="V188" t="s">
        <v>106</v>
      </c>
      <c r="W188" t="s">
        <v>161</v>
      </c>
      <c r="X188" t="s">
        <v>145</v>
      </c>
      <c r="Y188">
        <v>0.137805387667261</v>
      </c>
    </row>
    <row r="189" spans="16:25" x14ac:dyDescent="0.25">
      <c r="P189" t="s">
        <v>119</v>
      </c>
      <c r="Q189" t="s">
        <v>142</v>
      </c>
      <c r="R189" t="s">
        <v>155</v>
      </c>
      <c r="S189">
        <v>3.0074086177708174E-2</v>
      </c>
      <c r="U189" t="s">
        <v>150</v>
      </c>
      <c r="V189" t="s">
        <v>52</v>
      </c>
      <c r="W189" t="s">
        <v>161</v>
      </c>
      <c r="X189" t="s">
        <v>145</v>
      </c>
      <c r="Y189">
        <v>0.137805387667261</v>
      </c>
    </row>
    <row r="190" spans="16:25" x14ac:dyDescent="0.25">
      <c r="P190" t="s">
        <v>119</v>
      </c>
      <c r="Q190" t="s">
        <v>142</v>
      </c>
      <c r="R190" t="s">
        <v>156</v>
      </c>
      <c r="S190">
        <v>2.0195903021686321E-2</v>
      </c>
      <c r="U190" t="s">
        <v>150</v>
      </c>
      <c r="V190" t="s">
        <v>126</v>
      </c>
      <c r="W190" t="s">
        <v>161</v>
      </c>
      <c r="X190" t="s">
        <v>145</v>
      </c>
      <c r="Y190">
        <v>0.137805387667261</v>
      </c>
    </row>
    <row r="191" spans="16:25" x14ac:dyDescent="0.25">
      <c r="P191" t="s">
        <v>119</v>
      </c>
      <c r="Q191" t="s">
        <v>142</v>
      </c>
      <c r="R191" t="s">
        <v>157</v>
      </c>
      <c r="S191">
        <v>0.26108803521453183</v>
      </c>
      <c r="U191" t="s">
        <v>150</v>
      </c>
      <c r="V191" t="s">
        <v>113</v>
      </c>
      <c r="W191" t="s">
        <v>161</v>
      </c>
      <c r="X191" t="s">
        <v>145</v>
      </c>
      <c r="Y191">
        <v>0.137805387667261</v>
      </c>
    </row>
    <row r="192" spans="16:25" x14ac:dyDescent="0.25">
      <c r="P192" t="s">
        <v>119</v>
      </c>
      <c r="Q192" t="s">
        <v>142</v>
      </c>
      <c r="R192" t="s">
        <v>158</v>
      </c>
      <c r="S192">
        <v>8.9043970171156728E-2</v>
      </c>
      <c r="U192" t="s">
        <v>150</v>
      </c>
      <c r="V192" t="s">
        <v>114</v>
      </c>
      <c r="W192" t="s">
        <v>162</v>
      </c>
      <c r="X192" t="s">
        <v>145</v>
      </c>
      <c r="Y192">
        <v>5.2605550652358703E-2</v>
      </c>
    </row>
    <row r="193" spans="16:25" x14ac:dyDescent="0.25">
      <c r="P193" t="s">
        <v>119</v>
      </c>
      <c r="Q193" t="s">
        <v>142</v>
      </c>
      <c r="R193" t="s">
        <v>159</v>
      </c>
      <c r="S193">
        <v>4.0265886641931009E-2</v>
      </c>
      <c r="U193" t="s">
        <v>150</v>
      </c>
      <c r="V193" t="s">
        <v>115</v>
      </c>
      <c r="W193" t="s">
        <v>162</v>
      </c>
      <c r="X193" t="s">
        <v>145</v>
      </c>
      <c r="Y193">
        <v>5.2605550652358703E-2</v>
      </c>
    </row>
    <row r="194" spans="16:25" x14ac:dyDescent="0.25">
      <c r="P194" t="s">
        <v>119</v>
      </c>
      <c r="Q194" t="s">
        <v>142</v>
      </c>
      <c r="R194" t="s">
        <v>160</v>
      </c>
      <c r="S194">
        <v>0.14046604810686175</v>
      </c>
      <c r="U194" t="s">
        <v>150</v>
      </c>
      <c r="V194" t="s">
        <v>116</v>
      </c>
      <c r="W194" t="s">
        <v>162</v>
      </c>
      <c r="X194" t="s">
        <v>145</v>
      </c>
      <c r="Y194">
        <v>5.2605550652358703E-2</v>
      </c>
    </row>
    <row r="195" spans="16:25" x14ac:dyDescent="0.25">
      <c r="P195" t="s">
        <v>119</v>
      </c>
      <c r="Q195" t="s">
        <v>142</v>
      </c>
      <c r="R195" t="s">
        <v>161</v>
      </c>
      <c r="S195">
        <v>6.3604796206916794E-2</v>
      </c>
      <c r="U195" t="s">
        <v>150</v>
      </c>
      <c r="V195" t="s">
        <v>117</v>
      </c>
      <c r="W195" t="s">
        <v>162</v>
      </c>
      <c r="X195" t="s">
        <v>145</v>
      </c>
      <c r="Y195">
        <v>5.2605550652358703E-2</v>
      </c>
    </row>
    <row r="196" spans="16:25" x14ac:dyDescent="0.25">
      <c r="P196" t="s">
        <v>119</v>
      </c>
      <c r="Q196" t="s">
        <v>142</v>
      </c>
      <c r="R196" t="s">
        <v>162</v>
      </c>
      <c r="S196">
        <v>3.0587744601188238E-2</v>
      </c>
      <c r="U196" t="s">
        <v>150</v>
      </c>
      <c r="V196" t="s">
        <v>118</v>
      </c>
      <c r="W196" t="s">
        <v>162</v>
      </c>
      <c r="X196" t="s">
        <v>145</v>
      </c>
      <c r="Y196">
        <v>5.2605550652358703E-2</v>
      </c>
    </row>
    <row r="197" spans="16:25" x14ac:dyDescent="0.25">
      <c r="P197" t="s">
        <v>119</v>
      </c>
      <c r="Q197" t="s">
        <v>143</v>
      </c>
      <c r="R197" t="s">
        <v>151</v>
      </c>
      <c r="S197">
        <v>0.13546550989739714</v>
      </c>
      <c r="U197" t="s">
        <v>150</v>
      </c>
      <c r="V197" t="s">
        <v>119</v>
      </c>
      <c r="W197" t="s">
        <v>162</v>
      </c>
      <c r="X197" t="s">
        <v>145</v>
      </c>
      <c r="Y197">
        <v>5.2605550652358703E-2</v>
      </c>
    </row>
    <row r="198" spans="16:25" x14ac:dyDescent="0.25">
      <c r="P198" t="s">
        <v>119</v>
      </c>
      <c r="Q198" t="s">
        <v>143</v>
      </c>
      <c r="R198" t="s">
        <v>152</v>
      </c>
      <c r="S198">
        <v>9.0938906533365255E-2</v>
      </c>
      <c r="U198" t="s">
        <v>150</v>
      </c>
      <c r="V198" t="s">
        <v>120</v>
      </c>
      <c r="W198" t="s">
        <v>162</v>
      </c>
      <c r="X198" t="s">
        <v>145</v>
      </c>
      <c r="Y198">
        <v>5.2605550652358703E-2</v>
      </c>
    </row>
    <row r="199" spans="16:25" x14ac:dyDescent="0.25">
      <c r="P199" t="s">
        <v>119</v>
      </c>
      <c r="Q199" t="s">
        <v>143</v>
      </c>
      <c r="R199" t="s">
        <v>153</v>
      </c>
      <c r="S199">
        <v>2.1103185531767491E-2</v>
      </c>
      <c r="U199" t="s">
        <v>150</v>
      </c>
      <c r="V199" t="s">
        <v>121</v>
      </c>
      <c r="W199" t="s">
        <v>162</v>
      </c>
      <c r="X199" t="s">
        <v>145</v>
      </c>
      <c r="Y199">
        <v>5.2605550652358703E-2</v>
      </c>
    </row>
    <row r="200" spans="16:25" x14ac:dyDescent="0.25">
      <c r="P200" t="s">
        <v>119</v>
      </c>
      <c r="Q200" t="s">
        <v>143</v>
      </c>
      <c r="R200" t="s">
        <v>154</v>
      </c>
      <c r="S200">
        <v>0.13439373133040514</v>
      </c>
      <c r="U200" t="s">
        <v>150</v>
      </c>
      <c r="V200" t="s">
        <v>122</v>
      </c>
      <c r="W200" t="s">
        <v>162</v>
      </c>
      <c r="X200" t="s">
        <v>145</v>
      </c>
      <c r="Y200">
        <v>5.2605550652358703E-2</v>
      </c>
    </row>
    <row r="201" spans="16:25" x14ac:dyDescent="0.25">
      <c r="P201" t="s">
        <v>119</v>
      </c>
      <c r="Q201" t="s">
        <v>143</v>
      </c>
      <c r="R201" t="s">
        <v>155</v>
      </c>
      <c r="S201">
        <v>9.0481321197018919E-2</v>
      </c>
      <c r="U201" t="s">
        <v>150</v>
      </c>
      <c r="V201" t="s">
        <v>123</v>
      </c>
      <c r="W201" t="s">
        <v>162</v>
      </c>
      <c r="X201" t="s">
        <v>145</v>
      </c>
      <c r="Y201">
        <v>5.2605550652358703E-2</v>
      </c>
    </row>
    <row r="202" spans="16:25" x14ac:dyDescent="0.25">
      <c r="P202" t="s">
        <v>119</v>
      </c>
      <c r="Q202" t="s">
        <v>143</v>
      </c>
      <c r="R202" t="s">
        <v>156</v>
      </c>
      <c r="S202">
        <v>2.0807440180628859E-2</v>
      </c>
      <c r="U202" t="s">
        <v>150</v>
      </c>
      <c r="V202" t="s">
        <v>124</v>
      </c>
      <c r="W202" t="s">
        <v>162</v>
      </c>
      <c r="X202" t="s">
        <v>145</v>
      </c>
      <c r="Y202">
        <v>5.2605550652358703E-2</v>
      </c>
    </row>
    <row r="203" spans="16:25" x14ac:dyDescent="0.25">
      <c r="P203" t="s">
        <v>119</v>
      </c>
      <c r="Q203" t="s">
        <v>143</v>
      </c>
      <c r="R203" t="s">
        <v>157</v>
      </c>
      <c r="S203">
        <v>0.14163607292853084</v>
      </c>
      <c r="U203" t="s">
        <v>150</v>
      </c>
      <c r="V203" t="s">
        <v>51</v>
      </c>
      <c r="W203" t="s">
        <v>162</v>
      </c>
      <c r="X203" t="s">
        <v>145</v>
      </c>
      <c r="Y203">
        <v>5.2605550652358703E-2</v>
      </c>
    </row>
    <row r="204" spans="16:25" x14ac:dyDescent="0.25">
      <c r="P204" t="s">
        <v>119</v>
      </c>
      <c r="Q204" t="s">
        <v>143</v>
      </c>
      <c r="R204" t="s">
        <v>158</v>
      </c>
      <c r="S204">
        <v>9.3751694426201099E-2</v>
      </c>
      <c r="U204" t="s">
        <v>150</v>
      </c>
      <c r="V204" t="s">
        <v>125</v>
      </c>
      <c r="W204" t="s">
        <v>162</v>
      </c>
      <c r="X204" t="s">
        <v>145</v>
      </c>
      <c r="Y204">
        <v>5.2605550652358703E-2</v>
      </c>
    </row>
    <row r="205" spans="16:25" x14ac:dyDescent="0.25">
      <c r="P205" t="s">
        <v>119</v>
      </c>
      <c r="Q205" t="s">
        <v>143</v>
      </c>
      <c r="R205" t="s">
        <v>159</v>
      </c>
      <c r="S205">
        <v>2.1897597738232411E-2</v>
      </c>
      <c r="U205" t="s">
        <v>150</v>
      </c>
      <c r="V205" t="s">
        <v>106</v>
      </c>
      <c r="W205" t="s">
        <v>162</v>
      </c>
      <c r="X205" t="s">
        <v>145</v>
      </c>
      <c r="Y205">
        <v>5.2605550652358703E-2</v>
      </c>
    </row>
    <row r="206" spans="16:25" x14ac:dyDescent="0.25">
      <c r="P206" t="s">
        <v>119</v>
      </c>
      <c r="Q206" t="s">
        <v>143</v>
      </c>
      <c r="R206" t="s">
        <v>160</v>
      </c>
      <c r="S206">
        <v>0.13583840542358677</v>
      </c>
      <c r="U206" t="s">
        <v>150</v>
      </c>
      <c r="V206" t="s">
        <v>52</v>
      </c>
      <c r="W206" t="s">
        <v>162</v>
      </c>
      <c r="X206" t="s">
        <v>145</v>
      </c>
      <c r="Y206">
        <v>5.2605550652358703E-2</v>
      </c>
    </row>
    <row r="207" spans="16:25" x14ac:dyDescent="0.25">
      <c r="P207" t="s">
        <v>119</v>
      </c>
      <c r="Q207" t="s">
        <v>143</v>
      </c>
      <c r="R207" t="s">
        <v>161</v>
      </c>
      <c r="S207">
        <v>9.2338383497396731E-2</v>
      </c>
      <c r="U207" t="s">
        <v>150</v>
      </c>
      <c r="V207" t="s">
        <v>126</v>
      </c>
      <c r="W207" t="s">
        <v>162</v>
      </c>
      <c r="X207" t="s">
        <v>145</v>
      </c>
      <c r="Y207">
        <v>5.2605550652358703E-2</v>
      </c>
    </row>
    <row r="208" spans="16:25" x14ac:dyDescent="0.25">
      <c r="P208" t="s">
        <v>119</v>
      </c>
      <c r="Q208" t="s">
        <v>143</v>
      </c>
      <c r="R208" t="s">
        <v>162</v>
      </c>
      <c r="S208">
        <v>2.1347751315469132E-2</v>
      </c>
      <c r="U208" t="s">
        <v>150</v>
      </c>
      <c r="V208" t="s">
        <v>113</v>
      </c>
      <c r="W208" t="s">
        <v>162</v>
      </c>
      <c r="X208" t="s">
        <v>145</v>
      </c>
      <c r="Y208">
        <v>5.2605550652358703E-2</v>
      </c>
    </row>
    <row r="209" spans="16:19" x14ac:dyDescent="0.25">
      <c r="P209" t="s">
        <v>119</v>
      </c>
      <c r="Q209" t="s">
        <v>144</v>
      </c>
      <c r="R209" t="s">
        <v>151</v>
      </c>
      <c r="S209">
        <v>0.13452415757472905</v>
      </c>
    </row>
    <row r="210" spans="16:19" x14ac:dyDescent="0.25">
      <c r="P210" t="s">
        <v>119</v>
      </c>
      <c r="Q210" t="s">
        <v>144</v>
      </c>
      <c r="R210" t="s">
        <v>152</v>
      </c>
      <c r="S210">
        <v>4.721582983292421E-2</v>
      </c>
    </row>
    <row r="211" spans="16:19" x14ac:dyDescent="0.25">
      <c r="P211" t="s">
        <v>119</v>
      </c>
      <c r="Q211" t="s">
        <v>144</v>
      </c>
      <c r="R211" t="s">
        <v>153</v>
      </c>
      <c r="S211">
        <v>2.538509412105636E-2</v>
      </c>
    </row>
    <row r="212" spans="16:19" x14ac:dyDescent="0.25">
      <c r="P212" t="s">
        <v>119</v>
      </c>
      <c r="Q212" t="s">
        <v>144</v>
      </c>
      <c r="R212" t="s">
        <v>154</v>
      </c>
      <c r="S212">
        <v>0.11655393132645263</v>
      </c>
    </row>
    <row r="213" spans="16:19" x14ac:dyDescent="0.25">
      <c r="P213" t="s">
        <v>119</v>
      </c>
      <c r="Q213" t="s">
        <v>144</v>
      </c>
      <c r="R213" t="s">
        <v>155</v>
      </c>
      <c r="S213">
        <v>3.9322543523572055E-2</v>
      </c>
    </row>
    <row r="214" spans="16:19" x14ac:dyDescent="0.25">
      <c r="P214" t="s">
        <v>119</v>
      </c>
      <c r="Q214" t="s">
        <v>144</v>
      </c>
      <c r="R214" t="s">
        <v>156</v>
      </c>
      <c r="S214">
        <v>2.0457243680206905E-2</v>
      </c>
    </row>
    <row r="215" spans="16:19" x14ac:dyDescent="0.25">
      <c r="P215" t="s">
        <v>119</v>
      </c>
      <c r="Q215" t="s">
        <v>144</v>
      </c>
      <c r="R215" t="s">
        <v>157</v>
      </c>
      <c r="S215">
        <v>0.23710893851547157</v>
      </c>
    </row>
    <row r="216" spans="16:19" x14ac:dyDescent="0.25">
      <c r="P216" t="s">
        <v>119</v>
      </c>
      <c r="Q216" t="s">
        <v>144</v>
      </c>
      <c r="R216" t="s">
        <v>158</v>
      </c>
      <c r="S216">
        <v>9.5739971874410204E-2</v>
      </c>
    </row>
    <row r="217" spans="16:19" x14ac:dyDescent="0.25">
      <c r="P217" t="s">
        <v>119</v>
      </c>
      <c r="Q217" t="s">
        <v>144</v>
      </c>
      <c r="R217" t="s">
        <v>159</v>
      </c>
      <c r="S217">
        <v>3.9092760978158538E-2</v>
      </c>
    </row>
    <row r="218" spans="16:19" x14ac:dyDescent="0.25">
      <c r="P218" t="s">
        <v>119</v>
      </c>
      <c r="Q218" t="s">
        <v>144</v>
      </c>
      <c r="R218" t="s">
        <v>160</v>
      </c>
      <c r="S218">
        <v>0.14374986134016368</v>
      </c>
    </row>
    <row r="219" spans="16:19" x14ac:dyDescent="0.25">
      <c r="P219" t="s">
        <v>119</v>
      </c>
      <c r="Q219" t="s">
        <v>144</v>
      </c>
      <c r="R219" t="s">
        <v>161</v>
      </c>
      <c r="S219">
        <v>7.1340219318511158E-2</v>
      </c>
    </row>
    <row r="220" spans="16:19" x14ac:dyDescent="0.25">
      <c r="P220" t="s">
        <v>119</v>
      </c>
      <c r="Q220" t="s">
        <v>144</v>
      </c>
      <c r="R220" t="s">
        <v>162</v>
      </c>
      <c r="S220">
        <v>2.9509447914344233E-2</v>
      </c>
    </row>
    <row r="221" spans="16:19" x14ac:dyDescent="0.25">
      <c r="P221" t="s">
        <v>120</v>
      </c>
      <c r="Q221" t="s">
        <v>142</v>
      </c>
      <c r="R221" t="s">
        <v>151</v>
      </c>
      <c r="S221">
        <v>0.13805251839576821</v>
      </c>
    </row>
    <row r="222" spans="16:19" x14ac:dyDescent="0.25">
      <c r="P222" t="s">
        <v>120</v>
      </c>
      <c r="Q222" t="s">
        <v>142</v>
      </c>
      <c r="R222" t="s">
        <v>152</v>
      </c>
      <c r="S222">
        <v>6.9009036376626753E-2</v>
      </c>
    </row>
    <row r="223" spans="16:19" x14ac:dyDescent="0.25">
      <c r="P223" t="s">
        <v>120</v>
      </c>
      <c r="Q223" t="s">
        <v>142</v>
      </c>
      <c r="R223" t="s">
        <v>153</v>
      </c>
      <c r="S223">
        <v>2.3511165920278153E-2</v>
      </c>
    </row>
    <row r="224" spans="16:19" x14ac:dyDescent="0.25">
      <c r="P224" t="s">
        <v>120</v>
      </c>
      <c r="Q224" t="s">
        <v>142</v>
      </c>
      <c r="R224" t="s">
        <v>154</v>
      </c>
      <c r="S224">
        <v>0.12890968529509247</v>
      </c>
    </row>
    <row r="225" spans="16:19" x14ac:dyDescent="0.25">
      <c r="P225" t="s">
        <v>120</v>
      </c>
      <c r="Q225" t="s">
        <v>142</v>
      </c>
      <c r="R225" t="s">
        <v>155</v>
      </c>
      <c r="S225">
        <v>6.5295476490483215E-2</v>
      </c>
    </row>
    <row r="226" spans="16:19" x14ac:dyDescent="0.25">
      <c r="P226" t="s">
        <v>120</v>
      </c>
      <c r="Q226" t="s">
        <v>142</v>
      </c>
      <c r="R226" t="s">
        <v>156</v>
      </c>
      <c r="S226">
        <v>2.0837926519651256E-2</v>
      </c>
    </row>
    <row r="227" spans="16:19" x14ac:dyDescent="0.25">
      <c r="P227" t="s">
        <v>120</v>
      </c>
      <c r="Q227" t="s">
        <v>142</v>
      </c>
      <c r="R227" t="s">
        <v>157</v>
      </c>
      <c r="S227">
        <v>0.18941391783081826</v>
      </c>
    </row>
    <row r="228" spans="16:19" x14ac:dyDescent="0.25">
      <c r="P228" t="s">
        <v>120</v>
      </c>
      <c r="Q228" t="s">
        <v>142</v>
      </c>
      <c r="R228" t="s">
        <v>158</v>
      </c>
      <c r="S228">
        <v>9.0293645526189723E-2</v>
      </c>
    </row>
    <row r="229" spans="16:19" x14ac:dyDescent="0.25">
      <c r="P229" t="s">
        <v>120</v>
      </c>
      <c r="Q229" t="s">
        <v>142</v>
      </c>
      <c r="R229" t="s">
        <v>159</v>
      </c>
      <c r="S229">
        <v>2.9381368319666094E-2</v>
      </c>
    </row>
    <row r="230" spans="16:19" x14ac:dyDescent="0.25">
      <c r="P230" t="s">
        <v>120</v>
      </c>
      <c r="Q230" t="s">
        <v>142</v>
      </c>
      <c r="R230" t="s">
        <v>160</v>
      </c>
      <c r="S230">
        <v>0.13893962063849161</v>
      </c>
    </row>
    <row r="231" spans="16:19" x14ac:dyDescent="0.25">
      <c r="P231" t="s">
        <v>120</v>
      </c>
      <c r="Q231" t="s">
        <v>142</v>
      </c>
      <c r="R231" t="s">
        <v>161</v>
      </c>
      <c r="S231">
        <v>8.0548572845223487E-2</v>
      </c>
    </row>
    <row r="232" spans="16:19" x14ac:dyDescent="0.25">
      <c r="P232" t="s">
        <v>120</v>
      </c>
      <c r="Q232" t="s">
        <v>142</v>
      </c>
      <c r="R232" t="s">
        <v>162</v>
      </c>
      <c r="S232">
        <v>2.5807065841709519E-2</v>
      </c>
    </row>
    <row r="233" spans="16:19" x14ac:dyDescent="0.25">
      <c r="P233" t="s">
        <v>120</v>
      </c>
      <c r="Q233" t="s">
        <v>143</v>
      </c>
      <c r="R233" t="s">
        <v>151</v>
      </c>
      <c r="S233">
        <v>0.13549426100361933</v>
      </c>
    </row>
    <row r="234" spans="16:19" x14ac:dyDescent="0.25">
      <c r="P234" t="s">
        <v>120</v>
      </c>
      <c r="Q234" t="s">
        <v>143</v>
      </c>
      <c r="R234" t="s">
        <v>152</v>
      </c>
      <c r="S234">
        <v>9.097557248418392E-2</v>
      </c>
    </row>
    <row r="235" spans="16:19" x14ac:dyDescent="0.25">
      <c r="P235" t="s">
        <v>120</v>
      </c>
      <c r="Q235" t="s">
        <v>143</v>
      </c>
      <c r="R235" t="s">
        <v>153</v>
      </c>
      <c r="S235">
        <v>2.1131892243387799E-2</v>
      </c>
    </row>
    <row r="236" spans="16:19" x14ac:dyDescent="0.25">
      <c r="P236" t="s">
        <v>120</v>
      </c>
      <c r="Q236" t="s">
        <v>143</v>
      </c>
      <c r="R236" t="s">
        <v>154</v>
      </c>
      <c r="S236">
        <v>0.13443522978331027</v>
      </c>
    </row>
    <row r="237" spans="16:19" x14ac:dyDescent="0.25">
      <c r="P237" t="s">
        <v>120</v>
      </c>
      <c r="Q237" t="s">
        <v>143</v>
      </c>
      <c r="R237" t="s">
        <v>155</v>
      </c>
      <c r="S237">
        <v>9.0520728726258839E-2</v>
      </c>
    </row>
    <row r="238" spans="16:19" x14ac:dyDescent="0.25">
      <c r="P238" t="s">
        <v>120</v>
      </c>
      <c r="Q238" t="s">
        <v>143</v>
      </c>
      <c r="R238" t="s">
        <v>156</v>
      </c>
      <c r="S238">
        <v>2.083141724615245E-2</v>
      </c>
    </row>
    <row r="239" spans="16:19" x14ac:dyDescent="0.25">
      <c r="P239" t="s">
        <v>120</v>
      </c>
      <c r="Q239" t="s">
        <v>143</v>
      </c>
      <c r="R239" t="s">
        <v>157</v>
      </c>
      <c r="S239">
        <v>0.14138995788001113</v>
      </c>
    </row>
    <row r="240" spans="16:19" x14ac:dyDescent="0.25">
      <c r="P240" t="s">
        <v>120</v>
      </c>
      <c r="Q240" t="s">
        <v>143</v>
      </c>
      <c r="R240" t="s">
        <v>158</v>
      </c>
      <c r="S240">
        <v>9.3640554703270998E-2</v>
      </c>
    </row>
    <row r="241" spans="16:19" x14ac:dyDescent="0.25">
      <c r="P241" t="s">
        <v>120</v>
      </c>
      <c r="Q241" t="s">
        <v>143</v>
      </c>
      <c r="R241" t="s">
        <v>159</v>
      </c>
      <c r="S241">
        <v>2.1874361676557121E-2</v>
      </c>
    </row>
    <row r="242" spans="16:19" x14ac:dyDescent="0.25">
      <c r="P242" t="s">
        <v>120</v>
      </c>
      <c r="Q242" t="s">
        <v>143</v>
      </c>
      <c r="R242" t="s">
        <v>160</v>
      </c>
      <c r="S242">
        <v>0.1359320699700968</v>
      </c>
    </row>
    <row r="243" spans="16:19" x14ac:dyDescent="0.25">
      <c r="P243" t="s">
        <v>120</v>
      </c>
      <c r="Q243" t="s">
        <v>143</v>
      </c>
      <c r="R243" t="s">
        <v>161</v>
      </c>
      <c r="S243">
        <v>9.2381982072353805E-2</v>
      </c>
    </row>
    <row r="244" spans="16:19" x14ac:dyDescent="0.25">
      <c r="P244" t="s">
        <v>120</v>
      </c>
      <c r="Q244" t="s">
        <v>143</v>
      </c>
      <c r="R244" t="s">
        <v>162</v>
      </c>
      <c r="S244">
        <v>2.1391972210794679E-2</v>
      </c>
    </row>
    <row r="245" spans="16:19" x14ac:dyDescent="0.25">
      <c r="P245" t="s">
        <v>120</v>
      </c>
      <c r="Q245" t="s">
        <v>144</v>
      </c>
      <c r="R245" t="s">
        <v>151</v>
      </c>
      <c r="S245">
        <v>0.1344829332287828</v>
      </c>
    </row>
    <row r="246" spans="16:19" x14ac:dyDescent="0.25">
      <c r="P246" t="s">
        <v>120</v>
      </c>
      <c r="Q246" t="s">
        <v>144</v>
      </c>
      <c r="R246" t="s">
        <v>152</v>
      </c>
      <c r="S246">
        <v>7.3795503497830803E-2</v>
      </c>
    </row>
    <row r="247" spans="16:19" x14ac:dyDescent="0.25">
      <c r="P247" t="s">
        <v>120</v>
      </c>
      <c r="Q247" t="s">
        <v>144</v>
      </c>
      <c r="R247" t="s">
        <v>153</v>
      </c>
      <c r="S247">
        <v>2.3099243722321552E-2</v>
      </c>
    </row>
    <row r="248" spans="16:19" x14ac:dyDescent="0.25">
      <c r="P248" t="s">
        <v>120</v>
      </c>
      <c r="Q248" t="s">
        <v>144</v>
      </c>
      <c r="R248" t="s">
        <v>154</v>
      </c>
      <c r="S248">
        <v>0.12661071627314774</v>
      </c>
    </row>
    <row r="249" spans="16:19" x14ac:dyDescent="0.25">
      <c r="P249" t="s">
        <v>120</v>
      </c>
      <c r="Q249" t="s">
        <v>144</v>
      </c>
      <c r="R249" t="s">
        <v>155</v>
      </c>
      <c r="S249">
        <v>7.0225785980635252E-2</v>
      </c>
    </row>
    <row r="250" spans="16:19" x14ac:dyDescent="0.25">
      <c r="P250" t="s">
        <v>120</v>
      </c>
      <c r="Q250" t="s">
        <v>144</v>
      </c>
      <c r="R250" t="s">
        <v>156</v>
      </c>
      <c r="S250">
        <v>2.0897159079038777E-2</v>
      </c>
    </row>
    <row r="251" spans="16:19" x14ac:dyDescent="0.25">
      <c r="P251" t="s">
        <v>120</v>
      </c>
      <c r="Q251" t="s">
        <v>144</v>
      </c>
      <c r="R251" t="s">
        <v>157</v>
      </c>
      <c r="S251">
        <v>0.17710493740669561</v>
      </c>
    </row>
    <row r="252" spans="16:19" x14ac:dyDescent="0.25">
      <c r="P252" t="s">
        <v>120</v>
      </c>
      <c r="Q252" t="s">
        <v>144</v>
      </c>
      <c r="R252" t="s">
        <v>158</v>
      </c>
      <c r="S252">
        <v>9.4566069985750345E-2</v>
      </c>
    </row>
    <row r="253" spans="16:19" x14ac:dyDescent="0.25">
      <c r="P253" t="s">
        <v>120</v>
      </c>
      <c r="Q253" t="s">
        <v>144</v>
      </c>
      <c r="R253" t="s">
        <v>159</v>
      </c>
      <c r="S253">
        <v>2.8892440851530966E-2</v>
      </c>
    </row>
    <row r="254" spans="16:19" x14ac:dyDescent="0.25">
      <c r="P254" t="s">
        <v>120</v>
      </c>
      <c r="Q254" t="s">
        <v>144</v>
      </c>
      <c r="R254" t="s">
        <v>160</v>
      </c>
      <c r="S254">
        <v>0.14041595505781779</v>
      </c>
    </row>
    <row r="255" spans="16:19" x14ac:dyDescent="0.25">
      <c r="P255" t="s">
        <v>120</v>
      </c>
      <c r="Q255" t="s">
        <v>144</v>
      </c>
      <c r="R255" t="s">
        <v>161</v>
      </c>
      <c r="S255">
        <v>8.4843672184182192E-2</v>
      </c>
    </row>
    <row r="256" spans="16:19" x14ac:dyDescent="0.25">
      <c r="P256" t="s">
        <v>120</v>
      </c>
      <c r="Q256" t="s">
        <v>144</v>
      </c>
      <c r="R256" t="s">
        <v>162</v>
      </c>
      <c r="S256">
        <v>2.5065582732266431E-2</v>
      </c>
    </row>
    <row r="257" spans="16:19" x14ac:dyDescent="0.25">
      <c r="P257" t="s">
        <v>121</v>
      </c>
      <c r="Q257" t="s">
        <v>142</v>
      </c>
      <c r="R257" t="s">
        <v>151</v>
      </c>
      <c r="S257">
        <v>0.1463114664099919</v>
      </c>
    </row>
    <row r="258" spans="16:19" x14ac:dyDescent="0.25">
      <c r="P258" t="s">
        <v>121</v>
      </c>
      <c r="Q258" t="s">
        <v>142</v>
      </c>
      <c r="R258" t="s">
        <v>152</v>
      </c>
      <c r="S258">
        <v>7.5571146960112079E-2</v>
      </c>
    </row>
    <row r="259" spans="16:19" x14ac:dyDescent="0.25">
      <c r="P259" t="s">
        <v>121</v>
      </c>
      <c r="Q259" t="s">
        <v>142</v>
      </c>
      <c r="R259" t="s">
        <v>153</v>
      </c>
      <c r="S259">
        <v>2.4878653515525928E-2</v>
      </c>
    </row>
    <row r="260" spans="16:19" x14ac:dyDescent="0.25">
      <c r="P260" t="s">
        <v>121</v>
      </c>
      <c r="Q260" t="s">
        <v>142</v>
      </c>
      <c r="R260" t="s">
        <v>154</v>
      </c>
      <c r="S260">
        <v>0.14013687901461411</v>
      </c>
    </row>
    <row r="261" spans="16:19" x14ac:dyDescent="0.25">
      <c r="P261" t="s">
        <v>121</v>
      </c>
      <c r="Q261" t="s">
        <v>142</v>
      </c>
      <c r="R261" t="s">
        <v>155</v>
      </c>
      <c r="S261">
        <v>7.617280350585412E-2</v>
      </c>
    </row>
    <row r="262" spans="16:19" x14ac:dyDescent="0.25">
      <c r="P262" t="s">
        <v>121</v>
      </c>
      <c r="Q262" t="s">
        <v>142</v>
      </c>
      <c r="R262" t="s">
        <v>156</v>
      </c>
      <c r="S262">
        <v>2.2409282682142071E-2</v>
      </c>
    </row>
    <row r="263" spans="16:19" x14ac:dyDescent="0.25">
      <c r="P263" t="s">
        <v>121</v>
      </c>
      <c r="Q263" t="s">
        <v>142</v>
      </c>
      <c r="R263" t="s">
        <v>157</v>
      </c>
      <c r="S263">
        <v>0.13380111897371597</v>
      </c>
    </row>
    <row r="264" spans="16:19" x14ac:dyDescent="0.25">
      <c r="P264" t="s">
        <v>121</v>
      </c>
      <c r="Q264" t="s">
        <v>142</v>
      </c>
      <c r="R264" t="s">
        <v>158</v>
      </c>
      <c r="S264">
        <v>6.9370561473022729E-2</v>
      </c>
    </row>
    <row r="265" spans="16:19" x14ac:dyDescent="0.25">
      <c r="P265" t="s">
        <v>121</v>
      </c>
      <c r="Q265" t="s">
        <v>142</v>
      </c>
      <c r="R265" t="s">
        <v>159</v>
      </c>
      <c r="S265">
        <v>2.0674545340406827E-2</v>
      </c>
    </row>
    <row r="266" spans="16:19" x14ac:dyDescent="0.25">
      <c r="P266" t="s">
        <v>121</v>
      </c>
      <c r="Q266" t="s">
        <v>142</v>
      </c>
      <c r="R266" t="s">
        <v>160</v>
      </c>
      <c r="S266">
        <v>0.16906811448131992</v>
      </c>
    </row>
    <row r="267" spans="16:19" x14ac:dyDescent="0.25">
      <c r="P267" t="s">
        <v>121</v>
      </c>
      <c r="Q267" t="s">
        <v>142</v>
      </c>
      <c r="R267" t="s">
        <v>161</v>
      </c>
      <c r="S267">
        <v>9.2075990111227995E-2</v>
      </c>
    </row>
    <row r="268" spans="16:19" x14ac:dyDescent="0.25">
      <c r="P268" t="s">
        <v>121</v>
      </c>
      <c r="Q268" t="s">
        <v>142</v>
      </c>
      <c r="R268" t="s">
        <v>162</v>
      </c>
      <c r="S268">
        <v>2.9529437532067646E-2</v>
      </c>
    </row>
    <row r="269" spans="16:19" x14ac:dyDescent="0.25">
      <c r="P269" t="s">
        <v>121</v>
      </c>
      <c r="Q269" t="s">
        <v>143</v>
      </c>
      <c r="R269" t="s">
        <v>151</v>
      </c>
      <c r="S269">
        <v>0.1366466589618032</v>
      </c>
    </row>
    <row r="270" spans="16:19" x14ac:dyDescent="0.25">
      <c r="P270" t="s">
        <v>121</v>
      </c>
      <c r="Q270" t="s">
        <v>143</v>
      </c>
      <c r="R270" t="s">
        <v>152</v>
      </c>
      <c r="S270">
        <v>9.1644493538178745E-2</v>
      </c>
    </row>
    <row r="271" spans="16:19" x14ac:dyDescent="0.25">
      <c r="P271" t="s">
        <v>121</v>
      </c>
      <c r="Q271" t="s">
        <v>143</v>
      </c>
      <c r="R271" t="s">
        <v>153</v>
      </c>
      <c r="S271">
        <v>2.133091785312281E-2</v>
      </c>
    </row>
    <row r="272" spans="16:19" x14ac:dyDescent="0.25">
      <c r="P272" t="s">
        <v>121</v>
      </c>
      <c r="Q272" t="s">
        <v>143</v>
      </c>
      <c r="R272" t="s">
        <v>154</v>
      </c>
      <c r="S272">
        <v>0.13591806562046505</v>
      </c>
    </row>
    <row r="273" spans="16:19" x14ac:dyDescent="0.25">
      <c r="P273" t="s">
        <v>121</v>
      </c>
      <c r="Q273" t="s">
        <v>143</v>
      </c>
      <c r="R273" t="s">
        <v>155</v>
      </c>
      <c r="S273">
        <v>9.1715927812381012E-2</v>
      </c>
    </row>
    <row r="274" spans="16:19" x14ac:dyDescent="0.25">
      <c r="P274" t="s">
        <v>121</v>
      </c>
      <c r="Q274" t="s">
        <v>143</v>
      </c>
      <c r="R274" t="s">
        <v>156</v>
      </c>
      <c r="S274">
        <v>2.1048187222761732E-2</v>
      </c>
    </row>
    <row r="275" spans="16:19" x14ac:dyDescent="0.25">
      <c r="P275" t="s">
        <v>121</v>
      </c>
      <c r="Q275" t="s">
        <v>143</v>
      </c>
      <c r="R275" t="s">
        <v>157</v>
      </c>
      <c r="S275">
        <v>0.13488035491071798</v>
      </c>
    </row>
    <row r="276" spans="16:19" x14ac:dyDescent="0.25">
      <c r="P276" t="s">
        <v>121</v>
      </c>
      <c r="Q276" t="s">
        <v>143</v>
      </c>
      <c r="R276" t="s">
        <v>158</v>
      </c>
      <c r="S276">
        <v>9.077236235704339E-2</v>
      </c>
    </row>
    <row r="277" spans="16:19" x14ac:dyDescent="0.25">
      <c r="P277" t="s">
        <v>121</v>
      </c>
      <c r="Q277" t="s">
        <v>143</v>
      </c>
      <c r="R277" t="s">
        <v>159</v>
      </c>
      <c r="S277">
        <v>2.0813771614887889E-2</v>
      </c>
    </row>
    <row r="278" spans="16:19" x14ac:dyDescent="0.25">
      <c r="P278" t="s">
        <v>121</v>
      </c>
      <c r="Q278" t="s">
        <v>143</v>
      </c>
      <c r="R278" t="s">
        <v>160</v>
      </c>
      <c r="S278">
        <v>0.13957263366851685</v>
      </c>
    </row>
    <row r="279" spans="16:19" x14ac:dyDescent="0.25">
      <c r="P279" t="s">
        <v>121</v>
      </c>
      <c r="Q279" t="s">
        <v>143</v>
      </c>
      <c r="R279" t="s">
        <v>161</v>
      </c>
      <c r="S279">
        <v>9.375743092289282E-2</v>
      </c>
    </row>
    <row r="280" spans="16:19" x14ac:dyDescent="0.25">
      <c r="P280" t="s">
        <v>121</v>
      </c>
      <c r="Q280" t="s">
        <v>143</v>
      </c>
      <c r="R280" t="s">
        <v>162</v>
      </c>
      <c r="S280">
        <v>2.1899195517228555E-2</v>
      </c>
    </row>
    <row r="281" spans="16:19" x14ac:dyDescent="0.25">
      <c r="P281" t="s">
        <v>121</v>
      </c>
      <c r="Q281" t="s">
        <v>144</v>
      </c>
      <c r="R281" t="s">
        <v>151</v>
      </c>
      <c r="S281">
        <v>0.14063977741107672</v>
      </c>
    </row>
    <row r="282" spans="16:19" x14ac:dyDescent="0.25">
      <c r="P282" t="s">
        <v>121</v>
      </c>
      <c r="Q282" t="s">
        <v>144</v>
      </c>
      <c r="R282" t="s">
        <v>152</v>
      </c>
      <c r="S282">
        <v>8.0451766786999432E-2</v>
      </c>
    </row>
    <row r="283" spans="16:19" x14ac:dyDescent="0.25">
      <c r="P283" t="s">
        <v>121</v>
      </c>
      <c r="Q283" t="s">
        <v>144</v>
      </c>
      <c r="R283" t="s">
        <v>153</v>
      </c>
      <c r="S283">
        <v>2.4185541103295127E-2</v>
      </c>
    </row>
    <row r="284" spans="16:19" x14ac:dyDescent="0.25">
      <c r="P284" t="s">
        <v>121</v>
      </c>
      <c r="Q284" t="s">
        <v>144</v>
      </c>
      <c r="R284" t="s">
        <v>154</v>
      </c>
      <c r="S284">
        <v>0.13690440107217391</v>
      </c>
    </row>
    <row r="285" spans="16:19" x14ac:dyDescent="0.25">
      <c r="P285" t="s">
        <v>121</v>
      </c>
      <c r="Q285" t="s">
        <v>144</v>
      </c>
      <c r="R285" t="s">
        <v>155</v>
      </c>
      <c r="S285">
        <v>8.1709664658576056E-2</v>
      </c>
    </row>
    <row r="286" spans="16:19" x14ac:dyDescent="0.25">
      <c r="P286" t="s">
        <v>121</v>
      </c>
      <c r="Q286" t="s">
        <v>144</v>
      </c>
      <c r="R286" t="s">
        <v>156</v>
      </c>
      <c r="S286">
        <v>2.2475379856965915E-2</v>
      </c>
    </row>
    <row r="287" spans="16:19" x14ac:dyDescent="0.25">
      <c r="P287" t="s">
        <v>121</v>
      </c>
      <c r="Q287" t="s">
        <v>144</v>
      </c>
      <c r="R287" t="s">
        <v>157</v>
      </c>
      <c r="S287">
        <v>0.12546380634109847</v>
      </c>
    </row>
    <row r="288" spans="16:19" x14ac:dyDescent="0.25">
      <c r="P288" t="s">
        <v>121</v>
      </c>
      <c r="Q288" t="s">
        <v>144</v>
      </c>
      <c r="R288" t="s">
        <v>158</v>
      </c>
      <c r="S288">
        <v>7.2995154872331949E-2</v>
      </c>
    </row>
    <row r="289" spans="16:19" x14ac:dyDescent="0.25">
      <c r="P289" t="s">
        <v>121</v>
      </c>
      <c r="Q289" t="s">
        <v>144</v>
      </c>
      <c r="R289" t="s">
        <v>159</v>
      </c>
      <c r="S289">
        <v>2.0421588302723701E-2</v>
      </c>
    </row>
    <row r="290" spans="16:19" x14ac:dyDescent="0.25">
      <c r="P290" t="s">
        <v>121</v>
      </c>
      <c r="Q290" t="s">
        <v>144</v>
      </c>
      <c r="R290" t="s">
        <v>160</v>
      </c>
      <c r="S290">
        <v>0.16696051605073167</v>
      </c>
    </row>
    <row r="291" spans="16:19" x14ac:dyDescent="0.25">
      <c r="P291" t="s">
        <v>121</v>
      </c>
      <c r="Q291" t="s">
        <v>144</v>
      </c>
      <c r="R291" t="s">
        <v>161</v>
      </c>
      <c r="S291">
        <v>9.8864372588984589E-2</v>
      </c>
    </row>
    <row r="292" spans="16:19" x14ac:dyDescent="0.25">
      <c r="P292" t="s">
        <v>121</v>
      </c>
      <c r="Q292" t="s">
        <v>144</v>
      </c>
      <c r="R292" t="s">
        <v>162</v>
      </c>
      <c r="S292">
        <v>2.8928030955039971E-2</v>
      </c>
    </row>
    <row r="293" spans="16:19" x14ac:dyDescent="0.25">
      <c r="P293" t="s">
        <v>122</v>
      </c>
      <c r="Q293" t="s">
        <v>142</v>
      </c>
      <c r="R293" t="s">
        <v>151</v>
      </c>
      <c r="S293">
        <v>0.13018809047021521</v>
      </c>
    </row>
    <row r="294" spans="16:19" x14ac:dyDescent="0.25">
      <c r="P294" t="s">
        <v>122</v>
      </c>
      <c r="Q294" t="s">
        <v>142</v>
      </c>
      <c r="R294" t="s">
        <v>152</v>
      </c>
      <c r="S294">
        <v>9.1732140080226079E-2</v>
      </c>
    </row>
    <row r="295" spans="16:19" x14ac:dyDescent="0.25">
      <c r="P295" t="s">
        <v>122</v>
      </c>
      <c r="Q295" t="s">
        <v>142</v>
      </c>
      <c r="R295" t="s">
        <v>153</v>
      </c>
      <c r="S295">
        <v>2.328914597726452E-2</v>
      </c>
    </row>
    <row r="296" spans="16:19" x14ac:dyDescent="0.25">
      <c r="P296" t="s">
        <v>122</v>
      </c>
      <c r="Q296" t="s">
        <v>142</v>
      </c>
      <c r="R296" t="s">
        <v>154</v>
      </c>
      <c r="S296">
        <v>0.13980750284763022</v>
      </c>
    </row>
    <row r="297" spans="16:19" x14ac:dyDescent="0.25">
      <c r="P297" t="s">
        <v>122</v>
      </c>
      <c r="Q297" t="s">
        <v>142</v>
      </c>
      <c r="R297" t="s">
        <v>155</v>
      </c>
      <c r="S297">
        <v>9.719092578741928E-2</v>
      </c>
    </row>
    <row r="298" spans="16:19" x14ac:dyDescent="0.25">
      <c r="P298" t="s">
        <v>122</v>
      </c>
      <c r="Q298" t="s">
        <v>142</v>
      </c>
      <c r="R298" t="s">
        <v>156</v>
      </c>
      <c r="S298">
        <v>2.1884897771590247E-2</v>
      </c>
    </row>
    <row r="299" spans="16:19" x14ac:dyDescent="0.25">
      <c r="P299" t="s">
        <v>122</v>
      </c>
      <c r="Q299" t="s">
        <v>142</v>
      </c>
      <c r="R299" t="s">
        <v>157</v>
      </c>
      <c r="S299">
        <v>0.13505562365577506</v>
      </c>
    </row>
    <row r="300" spans="16:19" x14ac:dyDescent="0.25">
      <c r="P300" t="s">
        <v>122</v>
      </c>
      <c r="Q300" t="s">
        <v>142</v>
      </c>
      <c r="R300" t="s">
        <v>158</v>
      </c>
      <c r="S300">
        <v>9.6346207810091344E-2</v>
      </c>
    </row>
    <row r="301" spans="16:19" x14ac:dyDescent="0.25">
      <c r="P301" t="s">
        <v>122</v>
      </c>
      <c r="Q301" t="s">
        <v>142</v>
      </c>
      <c r="R301" t="s">
        <v>159</v>
      </c>
      <c r="S301">
        <v>2.1716042748233376E-2</v>
      </c>
    </row>
    <row r="302" spans="16:19" x14ac:dyDescent="0.25">
      <c r="P302" t="s">
        <v>122</v>
      </c>
      <c r="Q302" t="s">
        <v>142</v>
      </c>
      <c r="R302" t="s">
        <v>160</v>
      </c>
      <c r="S302">
        <v>0.1363459700551129</v>
      </c>
    </row>
    <row r="303" spans="16:19" x14ac:dyDescent="0.25">
      <c r="P303" t="s">
        <v>122</v>
      </c>
      <c r="Q303" t="s">
        <v>142</v>
      </c>
      <c r="R303" t="s">
        <v>161</v>
      </c>
      <c r="S303">
        <v>8.2919985454591269E-2</v>
      </c>
    </row>
    <row r="304" spans="16:19" x14ac:dyDescent="0.25">
      <c r="P304" t="s">
        <v>122</v>
      </c>
      <c r="Q304" t="s">
        <v>142</v>
      </c>
      <c r="R304" t="s">
        <v>162</v>
      </c>
      <c r="S304">
        <v>2.3523467341851033E-2</v>
      </c>
    </row>
    <row r="305" spans="16:19" x14ac:dyDescent="0.25">
      <c r="P305" t="s">
        <v>122</v>
      </c>
      <c r="Q305" t="s">
        <v>143</v>
      </c>
      <c r="R305" t="s">
        <v>151</v>
      </c>
      <c r="S305">
        <v>0.13500313780000206</v>
      </c>
    </row>
    <row r="306" spans="16:19" x14ac:dyDescent="0.25">
      <c r="P306" t="s">
        <v>122</v>
      </c>
      <c r="Q306" t="s">
        <v>143</v>
      </c>
      <c r="R306" t="s">
        <v>152</v>
      </c>
      <c r="S306">
        <v>9.3582077332195535E-2</v>
      </c>
    </row>
    <row r="307" spans="16:19" x14ac:dyDescent="0.25">
      <c r="P307" t="s">
        <v>122</v>
      </c>
      <c r="Q307" t="s">
        <v>143</v>
      </c>
      <c r="R307" t="s">
        <v>153</v>
      </c>
      <c r="S307">
        <v>2.1035091063356971E-2</v>
      </c>
    </row>
    <row r="308" spans="16:19" x14ac:dyDescent="0.25">
      <c r="P308" t="s">
        <v>122</v>
      </c>
      <c r="Q308" t="s">
        <v>143</v>
      </c>
      <c r="R308" t="s">
        <v>154</v>
      </c>
      <c r="S308">
        <v>0.13582106624044402</v>
      </c>
    </row>
    <row r="309" spans="16:19" x14ac:dyDescent="0.25">
      <c r="P309" t="s">
        <v>122</v>
      </c>
      <c r="Q309" t="s">
        <v>143</v>
      </c>
      <c r="R309" t="s">
        <v>155</v>
      </c>
      <c r="S309">
        <v>9.4089054936362382E-2</v>
      </c>
    </row>
    <row r="310" spans="16:19" x14ac:dyDescent="0.25">
      <c r="P310" t="s">
        <v>122</v>
      </c>
      <c r="Q310" t="s">
        <v>143</v>
      </c>
      <c r="R310" t="s">
        <v>156</v>
      </c>
      <c r="S310">
        <v>2.0936741894802529E-2</v>
      </c>
    </row>
    <row r="311" spans="16:19" x14ac:dyDescent="0.25">
      <c r="P311" t="s">
        <v>122</v>
      </c>
      <c r="Q311" t="s">
        <v>143</v>
      </c>
      <c r="R311" t="s">
        <v>157</v>
      </c>
      <c r="S311">
        <v>0.13541761746102821</v>
      </c>
    </row>
    <row r="312" spans="16:19" x14ac:dyDescent="0.25">
      <c r="P312" t="s">
        <v>122</v>
      </c>
      <c r="Q312" t="s">
        <v>143</v>
      </c>
      <c r="R312" t="s">
        <v>158</v>
      </c>
      <c r="S312">
        <v>9.4010295584761011E-2</v>
      </c>
    </row>
    <row r="313" spans="16:19" x14ac:dyDescent="0.25">
      <c r="P313" t="s">
        <v>122</v>
      </c>
      <c r="Q313" t="s">
        <v>143</v>
      </c>
      <c r="R313" t="s">
        <v>159</v>
      </c>
      <c r="S313">
        <v>2.0916301899797863E-2</v>
      </c>
    </row>
    <row r="314" spans="16:19" x14ac:dyDescent="0.25">
      <c r="P314" t="s">
        <v>122</v>
      </c>
      <c r="Q314" t="s">
        <v>143</v>
      </c>
      <c r="R314" t="s">
        <v>160</v>
      </c>
      <c r="S314">
        <v>0.13537550864223843</v>
      </c>
    </row>
    <row r="315" spans="16:19" x14ac:dyDescent="0.25">
      <c r="P315" t="s">
        <v>122</v>
      </c>
      <c r="Q315" t="s">
        <v>143</v>
      </c>
      <c r="R315" t="s">
        <v>161</v>
      </c>
      <c r="S315">
        <v>9.2764756161790418E-2</v>
      </c>
    </row>
    <row r="316" spans="16:19" x14ac:dyDescent="0.25">
      <c r="P316" t="s">
        <v>122</v>
      </c>
      <c r="Q316" t="s">
        <v>143</v>
      </c>
      <c r="R316" t="s">
        <v>162</v>
      </c>
      <c r="S316">
        <v>2.1048350983220197E-2</v>
      </c>
    </row>
    <row r="317" spans="16:19" x14ac:dyDescent="0.25">
      <c r="P317" t="s">
        <v>122</v>
      </c>
      <c r="Q317" t="s">
        <v>144</v>
      </c>
      <c r="R317" t="s">
        <v>151</v>
      </c>
      <c r="S317">
        <v>0.13162010381688047</v>
      </c>
    </row>
    <row r="318" spans="16:19" x14ac:dyDescent="0.25">
      <c r="P318" t="s">
        <v>122</v>
      </c>
      <c r="Q318" t="s">
        <v>144</v>
      </c>
      <c r="R318" t="s">
        <v>152</v>
      </c>
      <c r="S318">
        <v>9.2166198841389199E-2</v>
      </c>
    </row>
    <row r="319" spans="16:19" x14ac:dyDescent="0.25">
      <c r="P319" t="s">
        <v>122</v>
      </c>
      <c r="Q319" t="s">
        <v>144</v>
      </c>
      <c r="R319" t="s">
        <v>153</v>
      </c>
      <c r="S319">
        <v>2.2723711506028667E-2</v>
      </c>
    </row>
    <row r="320" spans="16:19" x14ac:dyDescent="0.25">
      <c r="P320" t="s">
        <v>122</v>
      </c>
      <c r="Q320" t="s">
        <v>144</v>
      </c>
      <c r="R320" t="s">
        <v>154</v>
      </c>
      <c r="S320">
        <v>0.13941829381414572</v>
      </c>
    </row>
    <row r="321" spans="16:19" x14ac:dyDescent="0.25">
      <c r="P321" t="s">
        <v>122</v>
      </c>
      <c r="Q321" t="s">
        <v>144</v>
      </c>
      <c r="R321" t="s">
        <v>155</v>
      </c>
      <c r="S321">
        <v>9.720117987745687E-2</v>
      </c>
    </row>
    <row r="322" spans="16:19" x14ac:dyDescent="0.25">
      <c r="P322" t="s">
        <v>122</v>
      </c>
      <c r="Q322" t="s">
        <v>144</v>
      </c>
      <c r="R322" t="s">
        <v>156</v>
      </c>
      <c r="S322">
        <v>2.1885065020030826E-2</v>
      </c>
    </row>
    <row r="323" spans="16:19" x14ac:dyDescent="0.25">
      <c r="P323" t="s">
        <v>122</v>
      </c>
      <c r="Q323" t="s">
        <v>144</v>
      </c>
      <c r="R323" t="s">
        <v>157</v>
      </c>
      <c r="S323">
        <v>0.13557459837776611</v>
      </c>
    </row>
    <row r="324" spans="16:19" x14ac:dyDescent="0.25">
      <c r="P324" t="s">
        <v>122</v>
      </c>
      <c r="Q324" t="s">
        <v>144</v>
      </c>
      <c r="R324" t="s">
        <v>158</v>
      </c>
      <c r="S324">
        <v>9.6417668605301834E-2</v>
      </c>
    </row>
    <row r="325" spans="16:19" x14ac:dyDescent="0.25">
      <c r="P325" t="s">
        <v>122</v>
      </c>
      <c r="Q325" t="s">
        <v>144</v>
      </c>
      <c r="R325" t="s">
        <v>159</v>
      </c>
      <c r="S325">
        <v>2.1661579604358647E-2</v>
      </c>
    </row>
    <row r="326" spans="16:19" x14ac:dyDescent="0.25">
      <c r="P326" t="s">
        <v>122</v>
      </c>
      <c r="Q326" t="s">
        <v>144</v>
      </c>
      <c r="R326" t="s">
        <v>160</v>
      </c>
      <c r="S326">
        <v>0.13445901102019081</v>
      </c>
    </row>
    <row r="327" spans="16:19" x14ac:dyDescent="0.25">
      <c r="P327" t="s">
        <v>122</v>
      </c>
      <c r="Q327" t="s">
        <v>144</v>
      </c>
      <c r="R327" t="s">
        <v>161</v>
      </c>
      <c r="S327">
        <v>8.4053802225458676E-2</v>
      </c>
    </row>
    <row r="328" spans="16:19" x14ac:dyDescent="0.25">
      <c r="P328" t="s">
        <v>122</v>
      </c>
      <c r="Q328" t="s">
        <v>144</v>
      </c>
      <c r="R328" t="s">
        <v>162</v>
      </c>
      <c r="S328">
        <v>2.2818787290991818E-2</v>
      </c>
    </row>
    <row r="329" spans="16:19" x14ac:dyDescent="0.25">
      <c r="P329" t="s">
        <v>123</v>
      </c>
      <c r="Q329" t="s">
        <v>142</v>
      </c>
      <c r="R329" t="s">
        <v>151</v>
      </c>
      <c r="S329">
        <v>0.13721414174920352</v>
      </c>
    </row>
    <row r="330" spans="16:19" x14ac:dyDescent="0.25">
      <c r="P330" t="s">
        <v>123</v>
      </c>
      <c r="Q330" t="s">
        <v>142</v>
      </c>
      <c r="R330" t="s">
        <v>152</v>
      </c>
      <c r="S330">
        <v>7.4338172732089439E-2</v>
      </c>
    </row>
    <row r="331" spans="16:19" x14ac:dyDescent="0.25">
      <c r="P331" t="s">
        <v>123</v>
      </c>
      <c r="Q331" t="s">
        <v>142</v>
      </c>
      <c r="R331" t="s">
        <v>153</v>
      </c>
      <c r="S331">
        <v>2.3820391241979776E-2</v>
      </c>
    </row>
    <row r="332" spans="16:19" x14ac:dyDescent="0.25">
      <c r="P332" t="s">
        <v>123</v>
      </c>
      <c r="Q332" t="s">
        <v>142</v>
      </c>
      <c r="R332" t="s">
        <v>154</v>
      </c>
      <c r="S332">
        <v>0.12676411993330031</v>
      </c>
    </row>
    <row r="333" spans="16:19" x14ac:dyDescent="0.25">
      <c r="P333" t="s">
        <v>123</v>
      </c>
      <c r="Q333" t="s">
        <v>142</v>
      </c>
      <c r="R333" t="s">
        <v>155</v>
      </c>
      <c r="S333">
        <v>7.6391651343077599E-2</v>
      </c>
    </row>
    <row r="334" spans="16:19" x14ac:dyDescent="0.25">
      <c r="P334" t="s">
        <v>123</v>
      </c>
      <c r="Q334" t="s">
        <v>142</v>
      </c>
      <c r="R334" t="s">
        <v>156</v>
      </c>
      <c r="S334">
        <v>2.2029746971930476E-2</v>
      </c>
    </row>
    <row r="335" spans="16:19" x14ac:dyDescent="0.25">
      <c r="P335" t="s">
        <v>123</v>
      </c>
      <c r="Q335" t="s">
        <v>142</v>
      </c>
      <c r="R335" t="s">
        <v>157</v>
      </c>
      <c r="S335">
        <v>0.15720757296208121</v>
      </c>
    </row>
    <row r="336" spans="16:19" x14ac:dyDescent="0.25">
      <c r="P336" t="s">
        <v>123</v>
      </c>
      <c r="Q336" t="s">
        <v>142</v>
      </c>
      <c r="R336" t="s">
        <v>158</v>
      </c>
      <c r="S336">
        <v>7.996523490464473E-2</v>
      </c>
    </row>
    <row r="337" spans="16:19" x14ac:dyDescent="0.25">
      <c r="P337" t="s">
        <v>123</v>
      </c>
      <c r="Q337" t="s">
        <v>142</v>
      </c>
      <c r="R337" t="s">
        <v>159</v>
      </c>
      <c r="S337">
        <v>2.5724357779370485E-2</v>
      </c>
    </row>
    <row r="338" spans="16:19" x14ac:dyDescent="0.25">
      <c r="P338" t="s">
        <v>123</v>
      </c>
      <c r="Q338" t="s">
        <v>142</v>
      </c>
      <c r="R338" t="s">
        <v>160</v>
      </c>
      <c r="S338">
        <v>0.15465684596950918</v>
      </c>
    </row>
    <row r="339" spans="16:19" x14ac:dyDescent="0.25">
      <c r="P339" t="s">
        <v>123</v>
      </c>
      <c r="Q339" t="s">
        <v>142</v>
      </c>
      <c r="R339" t="s">
        <v>161</v>
      </c>
      <c r="S339">
        <v>9.5004679493013E-2</v>
      </c>
    </row>
    <row r="340" spans="16:19" x14ac:dyDescent="0.25">
      <c r="P340" t="s">
        <v>123</v>
      </c>
      <c r="Q340" t="s">
        <v>142</v>
      </c>
      <c r="R340" t="s">
        <v>162</v>
      </c>
      <c r="S340">
        <v>2.6883084919799911E-2</v>
      </c>
    </row>
    <row r="341" spans="16:19" x14ac:dyDescent="0.25">
      <c r="P341" t="s">
        <v>123</v>
      </c>
      <c r="Q341" t="s">
        <v>143</v>
      </c>
      <c r="R341" t="s">
        <v>151</v>
      </c>
      <c r="S341">
        <v>0.13539044928367475</v>
      </c>
    </row>
    <row r="342" spans="16:19" x14ac:dyDescent="0.25">
      <c r="P342" t="s">
        <v>123</v>
      </c>
      <c r="Q342" t="s">
        <v>143</v>
      </c>
      <c r="R342" t="s">
        <v>152</v>
      </c>
      <c r="S342">
        <v>9.1212122594995587E-2</v>
      </c>
    </row>
    <row r="343" spans="16:19" x14ac:dyDescent="0.25">
      <c r="P343" t="s">
        <v>123</v>
      </c>
      <c r="Q343" t="s">
        <v>143</v>
      </c>
      <c r="R343" t="s">
        <v>153</v>
      </c>
      <c r="S343">
        <v>2.1226039745071645E-2</v>
      </c>
    </row>
    <row r="344" spans="16:19" x14ac:dyDescent="0.25">
      <c r="P344" t="s">
        <v>123</v>
      </c>
      <c r="Q344" t="s">
        <v>143</v>
      </c>
      <c r="R344" t="s">
        <v>154</v>
      </c>
      <c r="S344">
        <v>0.13418075070486174</v>
      </c>
    </row>
    <row r="345" spans="16:19" x14ac:dyDescent="0.25">
      <c r="P345" t="s">
        <v>123</v>
      </c>
      <c r="Q345" t="s">
        <v>143</v>
      </c>
      <c r="R345" t="s">
        <v>155</v>
      </c>
      <c r="S345">
        <v>9.1506467417170834E-2</v>
      </c>
    </row>
    <row r="346" spans="16:19" x14ac:dyDescent="0.25">
      <c r="P346" t="s">
        <v>123</v>
      </c>
      <c r="Q346" t="s">
        <v>143</v>
      </c>
      <c r="R346" t="s">
        <v>156</v>
      </c>
      <c r="S346">
        <v>2.099306130805955E-2</v>
      </c>
    </row>
    <row r="347" spans="16:19" x14ac:dyDescent="0.25">
      <c r="P347" t="s">
        <v>123</v>
      </c>
      <c r="Q347" t="s">
        <v>143</v>
      </c>
      <c r="R347" t="s">
        <v>157</v>
      </c>
      <c r="S347">
        <v>0.13788402390981352</v>
      </c>
    </row>
    <row r="348" spans="16:19" x14ac:dyDescent="0.25">
      <c r="P348" t="s">
        <v>123</v>
      </c>
      <c r="Q348" t="s">
        <v>143</v>
      </c>
      <c r="R348" t="s">
        <v>158</v>
      </c>
      <c r="S348">
        <v>9.2017105721345513E-2</v>
      </c>
    </row>
    <row r="349" spans="16:19" x14ac:dyDescent="0.25">
      <c r="P349" t="s">
        <v>123</v>
      </c>
      <c r="Q349" t="s">
        <v>143</v>
      </c>
      <c r="R349" t="s">
        <v>159</v>
      </c>
      <c r="S349">
        <v>2.1504995531070166E-2</v>
      </c>
    </row>
    <row r="350" spans="16:19" x14ac:dyDescent="0.25">
      <c r="P350" t="s">
        <v>123</v>
      </c>
      <c r="Q350" t="s">
        <v>143</v>
      </c>
      <c r="R350" t="s">
        <v>160</v>
      </c>
      <c r="S350">
        <v>0.13823164025270893</v>
      </c>
    </row>
    <row r="351" spans="16:19" x14ac:dyDescent="0.25">
      <c r="P351" t="s">
        <v>123</v>
      </c>
      <c r="Q351" t="s">
        <v>143</v>
      </c>
      <c r="R351" t="s">
        <v>161</v>
      </c>
      <c r="S351">
        <v>9.4176610984706033E-2</v>
      </c>
    </row>
    <row r="352" spans="16:19" x14ac:dyDescent="0.25">
      <c r="P352" t="s">
        <v>123</v>
      </c>
      <c r="Q352" t="s">
        <v>143</v>
      </c>
      <c r="R352" t="s">
        <v>162</v>
      </c>
      <c r="S352">
        <v>2.1676732546521138E-2</v>
      </c>
    </row>
    <row r="353" spans="16:19" x14ac:dyDescent="0.25">
      <c r="P353" t="s">
        <v>123</v>
      </c>
      <c r="Q353" t="s">
        <v>144</v>
      </c>
      <c r="R353" t="s">
        <v>151</v>
      </c>
      <c r="S353">
        <v>0.13269340435089355</v>
      </c>
    </row>
    <row r="354" spans="16:19" x14ac:dyDescent="0.25">
      <c r="P354" t="s">
        <v>123</v>
      </c>
      <c r="Q354" t="s">
        <v>144</v>
      </c>
      <c r="R354" t="s">
        <v>152</v>
      </c>
      <c r="S354">
        <v>7.8847659917405402E-2</v>
      </c>
    </row>
    <row r="355" spans="16:19" x14ac:dyDescent="0.25">
      <c r="P355" t="s">
        <v>123</v>
      </c>
      <c r="Q355" t="s">
        <v>144</v>
      </c>
      <c r="R355" t="s">
        <v>153</v>
      </c>
      <c r="S355">
        <v>2.3160758502665194E-2</v>
      </c>
    </row>
    <row r="356" spans="16:19" x14ac:dyDescent="0.25">
      <c r="P356" t="s">
        <v>123</v>
      </c>
      <c r="Q356" t="s">
        <v>144</v>
      </c>
      <c r="R356" t="s">
        <v>154</v>
      </c>
      <c r="S356">
        <v>0.12712965007491078</v>
      </c>
    </row>
    <row r="357" spans="16:19" x14ac:dyDescent="0.25">
      <c r="P357" t="s">
        <v>123</v>
      </c>
      <c r="Q357" t="s">
        <v>144</v>
      </c>
      <c r="R357" t="s">
        <v>155</v>
      </c>
      <c r="S357">
        <v>8.0830555368675699E-2</v>
      </c>
    </row>
    <row r="358" spans="16:19" x14ac:dyDescent="0.25">
      <c r="P358" t="s">
        <v>123</v>
      </c>
      <c r="Q358" t="s">
        <v>144</v>
      </c>
      <c r="R358" t="s">
        <v>156</v>
      </c>
      <c r="S358">
        <v>2.1803812012823935E-2</v>
      </c>
    </row>
    <row r="359" spans="16:19" x14ac:dyDescent="0.25">
      <c r="P359" t="s">
        <v>123</v>
      </c>
      <c r="Q359" t="s">
        <v>144</v>
      </c>
      <c r="R359" t="s">
        <v>157</v>
      </c>
      <c r="S359">
        <v>0.14615193356514175</v>
      </c>
    </row>
    <row r="360" spans="16:19" x14ac:dyDescent="0.25">
      <c r="P360" t="s">
        <v>123</v>
      </c>
      <c r="Q360" t="s">
        <v>144</v>
      </c>
      <c r="R360" t="s">
        <v>158</v>
      </c>
      <c r="S360">
        <v>8.4256208391272444E-2</v>
      </c>
    </row>
    <row r="361" spans="16:19" x14ac:dyDescent="0.25">
      <c r="P361" t="s">
        <v>123</v>
      </c>
      <c r="Q361" t="s">
        <v>144</v>
      </c>
      <c r="R361" t="s">
        <v>159</v>
      </c>
      <c r="S361">
        <v>2.5094187645215853E-2</v>
      </c>
    </row>
    <row r="362" spans="16:19" x14ac:dyDescent="0.25">
      <c r="P362" t="s">
        <v>123</v>
      </c>
      <c r="Q362" t="s">
        <v>144</v>
      </c>
      <c r="R362" t="s">
        <v>160</v>
      </c>
      <c r="S362">
        <v>0.1548923375126644</v>
      </c>
    </row>
    <row r="363" spans="16:19" x14ac:dyDescent="0.25">
      <c r="P363" t="s">
        <v>123</v>
      </c>
      <c r="Q363" t="s">
        <v>144</v>
      </c>
      <c r="R363" t="s">
        <v>161</v>
      </c>
      <c r="S363">
        <v>9.8837726883573729E-2</v>
      </c>
    </row>
    <row r="364" spans="16:19" x14ac:dyDescent="0.25">
      <c r="P364" t="s">
        <v>123</v>
      </c>
      <c r="Q364" t="s">
        <v>144</v>
      </c>
      <c r="R364" t="s">
        <v>162</v>
      </c>
      <c r="S364">
        <v>2.6301765774757253E-2</v>
      </c>
    </row>
    <row r="365" spans="16:19" x14ac:dyDescent="0.25">
      <c r="P365" t="s">
        <v>124</v>
      </c>
      <c r="Q365" t="s">
        <v>142</v>
      </c>
      <c r="R365" t="s">
        <v>151</v>
      </c>
      <c r="S365">
        <v>0.14477768155524592</v>
      </c>
    </row>
    <row r="366" spans="16:19" x14ac:dyDescent="0.25">
      <c r="P366" t="s">
        <v>124</v>
      </c>
      <c r="Q366" t="s">
        <v>142</v>
      </c>
      <c r="R366" t="s">
        <v>152</v>
      </c>
      <c r="S366">
        <v>9.9791058314631489E-2</v>
      </c>
    </row>
    <row r="367" spans="16:19" x14ac:dyDescent="0.25">
      <c r="P367" t="s">
        <v>124</v>
      </c>
      <c r="Q367" t="s">
        <v>142</v>
      </c>
      <c r="R367" t="s">
        <v>153</v>
      </c>
      <c r="S367">
        <v>2.4554896998664047E-2</v>
      </c>
    </row>
    <row r="368" spans="16:19" x14ac:dyDescent="0.25">
      <c r="P368" t="s">
        <v>124</v>
      </c>
      <c r="Q368" t="s">
        <v>142</v>
      </c>
      <c r="R368" t="s">
        <v>154</v>
      </c>
      <c r="S368">
        <v>0.12349277752168694</v>
      </c>
    </row>
    <row r="369" spans="16:19" x14ac:dyDescent="0.25">
      <c r="P369" t="s">
        <v>124</v>
      </c>
      <c r="Q369" t="s">
        <v>142</v>
      </c>
      <c r="R369" t="s">
        <v>155</v>
      </c>
      <c r="S369">
        <v>8.5956364894075418E-2</v>
      </c>
    </row>
    <row r="370" spans="16:19" x14ac:dyDescent="0.25">
      <c r="P370" t="s">
        <v>124</v>
      </c>
      <c r="Q370" t="s">
        <v>142</v>
      </c>
      <c r="R370" t="s">
        <v>156</v>
      </c>
      <c r="S370">
        <v>2.1109148403582165E-2</v>
      </c>
    </row>
    <row r="371" spans="16:19" x14ac:dyDescent="0.25">
      <c r="P371" t="s">
        <v>124</v>
      </c>
      <c r="Q371" t="s">
        <v>142</v>
      </c>
      <c r="R371" t="s">
        <v>157</v>
      </c>
      <c r="S371">
        <v>0.18787639697487946</v>
      </c>
    </row>
    <row r="372" spans="16:19" x14ac:dyDescent="0.25">
      <c r="P372" t="s">
        <v>124</v>
      </c>
      <c r="Q372" t="s">
        <v>142</v>
      </c>
      <c r="R372" t="s">
        <v>158</v>
      </c>
      <c r="S372">
        <v>0.1241512301947497</v>
      </c>
    </row>
    <row r="373" spans="16:19" x14ac:dyDescent="0.25">
      <c r="P373" t="s">
        <v>124</v>
      </c>
      <c r="Q373" t="s">
        <v>142</v>
      </c>
      <c r="R373" t="s">
        <v>159</v>
      </c>
      <c r="S373">
        <v>2.948866161877391E-2</v>
      </c>
    </row>
    <row r="374" spans="16:19" x14ac:dyDescent="0.25">
      <c r="P374" t="s">
        <v>124</v>
      </c>
      <c r="Q374" t="s">
        <v>142</v>
      </c>
      <c r="R374" t="s">
        <v>160</v>
      </c>
      <c r="S374">
        <v>8.4045349828880692E-2</v>
      </c>
    </row>
    <row r="375" spans="16:19" x14ac:dyDescent="0.25">
      <c r="P375" t="s">
        <v>124</v>
      </c>
      <c r="Q375" t="s">
        <v>142</v>
      </c>
      <c r="R375" t="s">
        <v>161</v>
      </c>
      <c r="S375">
        <v>5.8823483729992562E-2</v>
      </c>
    </row>
    <row r="376" spans="16:19" x14ac:dyDescent="0.25">
      <c r="P376" t="s">
        <v>124</v>
      </c>
      <c r="Q376" t="s">
        <v>142</v>
      </c>
      <c r="R376" t="s">
        <v>162</v>
      </c>
      <c r="S376">
        <v>1.5932949964838176E-2</v>
      </c>
    </row>
    <row r="377" spans="16:19" x14ac:dyDescent="0.25">
      <c r="P377" t="s">
        <v>124</v>
      </c>
      <c r="Q377" t="s">
        <v>143</v>
      </c>
      <c r="R377" t="s">
        <v>151</v>
      </c>
      <c r="S377">
        <v>0.13677069455151467</v>
      </c>
    </row>
    <row r="378" spans="16:19" x14ac:dyDescent="0.25">
      <c r="P378" t="s">
        <v>124</v>
      </c>
      <c r="Q378" t="s">
        <v>143</v>
      </c>
      <c r="R378" t="s">
        <v>152</v>
      </c>
      <c r="S378">
        <v>9.4769251665155055E-2</v>
      </c>
    </row>
    <row r="379" spans="16:19" x14ac:dyDescent="0.25">
      <c r="P379" t="s">
        <v>124</v>
      </c>
      <c r="Q379" t="s">
        <v>143</v>
      </c>
      <c r="R379" t="s">
        <v>153</v>
      </c>
      <c r="S379">
        <v>2.1370265360957767E-2</v>
      </c>
    </row>
    <row r="380" spans="16:19" x14ac:dyDescent="0.25">
      <c r="P380" t="s">
        <v>124</v>
      </c>
      <c r="Q380" t="s">
        <v>143</v>
      </c>
      <c r="R380" t="s">
        <v>154</v>
      </c>
      <c r="S380">
        <v>0.13358511601025033</v>
      </c>
    </row>
    <row r="381" spans="16:19" x14ac:dyDescent="0.25">
      <c r="P381" t="s">
        <v>124</v>
      </c>
      <c r="Q381" t="s">
        <v>143</v>
      </c>
      <c r="R381" t="s">
        <v>155</v>
      </c>
      <c r="S381">
        <v>9.2666016911903112E-2</v>
      </c>
    </row>
    <row r="382" spans="16:19" x14ac:dyDescent="0.25">
      <c r="P382" t="s">
        <v>124</v>
      </c>
      <c r="Q382" t="s">
        <v>143</v>
      </c>
      <c r="R382" t="s">
        <v>156</v>
      </c>
      <c r="S382">
        <v>2.0853905534050678E-2</v>
      </c>
    </row>
    <row r="383" spans="16:19" x14ac:dyDescent="0.25">
      <c r="P383" t="s">
        <v>124</v>
      </c>
      <c r="Q383" t="s">
        <v>143</v>
      </c>
      <c r="R383" t="s">
        <v>157</v>
      </c>
      <c r="S383">
        <v>0.14312050722607386</v>
      </c>
    </row>
    <row r="384" spans="16:19" x14ac:dyDescent="0.25">
      <c r="P384" t="s">
        <v>124</v>
      </c>
      <c r="Q384" t="s">
        <v>143</v>
      </c>
      <c r="R384" t="s">
        <v>158</v>
      </c>
      <c r="S384">
        <v>9.8457732790117644E-2</v>
      </c>
    </row>
    <row r="385" spans="16:19" x14ac:dyDescent="0.25">
      <c r="P385" t="s">
        <v>124</v>
      </c>
      <c r="Q385" t="s">
        <v>143</v>
      </c>
      <c r="R385" t="s">
        <v>159</v>
      </c>
      <c r="S385">
        <v>2.2141499944679441E-2</v>
      </c>
    </row>
    <row r="386" spans="16:19" x14ac:dyDescent="0.25">
      <c r="P386" t="s">
        <v>124</v>
      </c>
      <c r="Q386" t="s">
        <v>143</v>
      </c>
      <c r="R386" t="s">
        <v>160</v>
      </c>
      <c r="S386">
        <v>0.12769868544162821</v>
      </c>
    </row>
    <row r="387" spans="16:19" x14ac:dyDescent="0.25">
      <c r="P387" t="s">
        <v>124</v>
      </c>
      <c r="Q387" t="s">
        <v>143</v>
      </c>
      <c r="R387" t="s">
        <v>161</v>
      </c>
      <c r="S387">
        <v>8.852108100105209E-2</v>
      </c>
    </row>
    <row r="388" spans="16:19" x14ac:dyDescent="0.25">
      <c r="P388" t="s">
        <v>124</v>
      </c>
      <c r="Q388" t="s">
        <v>143</v>
      </c>
      <c r="R388" t="s">
        <v>162</v>
      </c>
      <c r="S388">
        <v>2.0045243562616714E-2</v>
      </c>
    </row>
    <row r="389" spans="16:19" x14ac:dyDescent="0.25">
      <c r="P389" t="s">
        <v>124</v>
      </c>
      <c r="Q389" t="s">
        <v>144</v>
      </c>
      <c r="R389" t="s">
        <v>151</v>
      </c>
      <c r="S389">
        <v>0.14400998782330254</v>
      </c>
    </row>
    <row r="390" spans="16:19" x14ac:dyDescent="0.25">
      <c r="P390" t="s">
        <v>124</v>
      </c>
      <c r="Q390" t="s">
        <v>144</v>
      </c>
      <c r="R390" t="s">
        <v>152</v>
      </c>
      <c r="S390">
        <v>0.10072041574882799</v>
      </c>
    </row>
    <row r="391" spans="16:19" x14ac:dyDescent="0.25">
      <c r="P391" t="s">
        <v>124</v>
      </c>
      <c r="Q391" t="s">
        <v>144</v>
      </c>
      <c r="R391" t="s">
        <v>153</v>
      </c>
      <c r="S391">
        <v>2.4253258451503765E-2</v>
      </c>
    </row>
    <row r="392" spans="16:19" x14ac:dyDescent="0.25">
      <c r="P392" t="s">
        <v>124</v>
      </c>
      <c r="Q392" t="s">
        <v>144</v>
      </c>
      <c r="R392" t="s">
        <v>154</v>
      </c>
      <c r="S392">
        <v>0.12328691594123577</v>
      </c>
    </row>
    <row r="393" spans="16:19" x14ac:dyDescent="0.25">
      <c r="P393" t="s">
        <v>124</v>
      </c>
      <c r="Q393" t="s">
        <v>144</v>
      </c>
      <c r="R393" t="s">
        <v>155</v>
      </c>
      <c r="S393">
        <v>8.6945540679900055E-2</v>
      </c>
    </row>
    <row r="394" spans="16:19" x14ac:dyDescent="0.25">
      <c r="P394" t="s">
        <v>124</v>
      </c>
      <c r="Q394" t="s">
        <v>144</v>
      </c>
      <c r="R394" t="s">
        <v>156</v>
      </c>
      <c r="S394">
        <v>2.0890256632203383E-2</v>
      </c>
    </row>
    <row r="395" spans="16:19" x14ac:dyDescent="0.25">
      <c r="P395" t="s">
        <v>124</v>
      </c>
      <c r="Q395" t="s">
        <v>144</v>
      </c>
      <c r="R395" t="s">
        <v>157</v>
      </c>
      <c r="S395">
        <v>0.18495885327300815</v>
      </c>
    </row>
    <row r="396" spans="16:19" x14ac:dyDescent="0.25">
      <c r="P396" t="s">
        <v>124</v>
      </c>
      <c r="Q396" t="s">
        <v>144</v>
      </c>
      <c r="R396" t="s">
        <v>158</v>
      </c>
      <c r="S396">
        <v>0.12491990352794681</v>
      </c>
    </row>
    <row r="397" spans="16:19" x14ac:dyDescent="0.25">
      <c r="P397" t="s">
        <v>124</v>
      </c>
      <c r="Q397" t="s">
        <v>144</v>
      </c>
      <c r="R397" t="s">
        <v>159</v>
      </c>
      <c r="S397">
        <v>2.9391081421796566E-2</v>
      </c>
    </row>
    <row r="398" spans="16:19" x14ac:dyDescent="0.25">
      <c r="P398" t="s">
        <v>124</v>
      </c>
      <c r="Q398" t="s">
        <v>144</v>
      </c>
      <c r="R398" t="s">
        <v>160</v>
      </c>
      <c r="S398">
        <v>8.5267449847798688E-2</v>
      </c>
    </row>
    <row r="399" spans="16:19" x14ac:dyDescent="0.25">
      <c r="P399" t="s">
        <v>124</v>
      </c>
      <c r="Q399" t="s">
        <v>144</v>
      </c>
      <c r="R399" t="s">
        <v>161</v>
      </c>
      <c r="S399">
        <v>5.9812484383394156E-2</v>
      </c>
    </row>
    <row r="400" spans="16:19" x14ac:dyDescent="0.25">
      <c r="P400" t="s">
        <v>124</v>
      </c>
      <c r="Q400" t="s">
        <v>144</v>
      </c>
      <c r="R400" t="s">
        <v>162</v>
      </c>
      <c r="S400">
        <v>1.5543852269082293E-2</v>
      </c>
    </row>
    <row r="401" spans="16:19" x14ac:dyDescent="0.25">
      <c r="P401" t="s">
        <v>51</v>
      </c>
      <c r="Q401" t="s">
        <v>142</v>
      </c>
      <c r="R401" t="s">
        <v>151</v>
      </c>
      <c r="S401">
        <v>0.13863352965398065</v>
      </c>
    </row>
    <row r="402" spans="16:19" x14ac:dyDescent="0.25">
      <c r="P402" t="s">
        <v>51</v>
      </c>
      <c r="Q402" t="s">
        <v>142</v>
      </c>
      <c r="R402" t="s">
        <v>152</v>
      </c>
      <c r="S402">
        <v>5.8587627995654763E-2</v>
      </c>
    </row>
    <row r="403" spans="16:19" x14ac:dyDescent="0.25">
      <c r="P403" t="s">
        <v>51</v>
      </c>
      <c r="Q403" t="s">
        <v>142</v>
      </c>
      <c r="R403" t="s">
        <v>153</v>
      </c>
      <c r="S403">
        <v>2.4078937704741357E-2</v>
      </c>
    </row>
    <row r="404" spans="16:19" x14ac:dyDescent="0.25">
      <c r="P404" t="s">
        <v>51</v>
      </c>
      <c r="Q404" t="s">
        <v>142</v>
      </c>
      <c r="R404" t="s">
        <v>154</v>
      </c>
      <c r="S404">
        <v>0.1255787198203033</v>
      </c>
    </row>
    <row r="405" spans="16:19" x14ac:dyDescent="0.25">
      <c r="P405" t="s">
        <v>51</v>
      </c>
      <c r="Q405" t="s">
        <v>142</v>
      </c>
      <c r="R405" t="s">
        <v>155</v>
      </c>
      <c r="S405">
        <v>5.3355646844126213E-2</v>
      </c>
    </row>
    <row r="406" spans="16:19" x14ac:dyDescent="0.25">
      <c r="P406" t="s">
        <v>51</v>
      </c>
      <c r="Q406" t="s">
        <v>142</v>
      </c>
      <c r="R406" t="s">
        <v>156</v>
      </c>
      <c r="S406">
        <v>2.0429436317746585E-2</v>
      </c>
    </row>
    <row r="407" spans="16:19" x14ac:dyDescent="0.25">
      <c r="P407" t="s">
        <v>51</v>
      </c>
      <c r="Q407" t="s">
        <v>142</v>
      </c>
      <c r="R407" t="s">
        <v>157</v>
      </c>
      <c r="S407">
        <v>0.21513929967397849</v>
      </c>
    </row>
    <row r="408" spans="16:19" x14ac:dyDescent="0.25">
      <c r="P408" t="s">
        <v>51</v>
      </c>
      <c r="Q408" t="s">
        <v>142</v>
      </c>
      <c r="R408" t="s">
        <v>158</v>
      </c>
      <c r="S408">
        <v>9.0765633874884691E-2</v>
      </c>
    </row>
    <row r="409" spans="16:19" x14ac:dyDescent="0.25">
      <c r="P409" t="s">
        <v>51</v>
      </c>
      <c r="Q409" t="s">
        <v>142</v>
      </c>
      <c r="R409" t="s">
        <v>159</v>
      </c>
      <c r="S409">
        <v>3.3160625930974477E-2</v>
      </c>
    </row>
    <row r="410" spans="16:19" x14ac:dyDescent="0.25">
      <c r="P410" t="s">
        <v>51</v>
      </c>
      <c r="Q410" t="s">
        <v>142</v>
      </c>
      <c r="R410" t="s">
        <v>160</v>
      </c>
      <c r="S410">
        <v>0.13862168136205</v>
      </c>
    </row>
    <row r="411" spans="16:19" x14ac:dyDescent="0.25">
      <c r="P411" t="s">
        <v>51</v>
      </c>
      <c r="Q411" t="s">
        <v>142</v>
      </c>
      <c r="R411" t="s">
        <v>161</v>
      </c>
      <c r="S411">
        <v>7.4626910393607263E-2</v>
      </c>
    </row>
    <row r="412" spans="16:19" x14ac:dyDescent="0.25">
      <c r="P412" t="s">
        <v>51</v>
      </c>
      <c r="Q412" t="s">
        <v>142</v>
      </c>
      <c r="R412" t="s">
        <v>162</v>
      </c>
      <c r="S412">
        <v>2.7021950427951868E-2</v>
      </c>
    </row>
    <row r="413" spans="16:19" x14ac:dyDescent="0.25">
      <c r="P413" t="s">
        <v>51</v>
      </c>
      <c r="Q413" t="s">
        <v>143</v>
      </c>
      <c r="R413" t="s">
        <v>151</v>
      </c>
      <c r="S413">
        <v>0.13546550425467602</v>
      </c>
    </row>
    <row r="414" spans="16:19" x14ac:dyDescent="0.25">
      <c r="P414" t="s">
        <v>51</v>
      </c>
      <c r="Q414" t="s">
        <v>143</v>
      </c>
      <c r="R414" t="s">
        <v>152</v>
      </c>
      <c r="S414">
        <v>9.0938833780397507E-2</v>
      </c>
    </row>
    <row r="415" spans="16:19" x14ac:dyDescent="0.25">
      <c r="P415" t="s">
        <v>51</v>
      </c>
      <c r="Q415" t="s">
        <v>143</v>
      </c>
      <c r="R415" t="s">
        <v>153</v>
      </c>
      <c r="S415">
        <v>2.1103200778088898E-2</v>
      </c>
    </row>
    <row r="416" spans="16:19" x14ac:dyDescent="0.25">
      <c r="P416" t="s">
        <v>51</v>
      </c>
      <c r="Q416" t="s">
        <v>143</v>
      </c>
      <c r="R416" t="s">
        <v>154</v>
      </c>
      <c r="S416">
        <v>0.13439362744208988</v>
      </c>
    </row>
    <row r="417" spans="16:19" x14ac:dyDescent="0.25">
      <c r="P417" t="s">
        <v>51</v>
      </c>
      <c r="Q417" t="s">
        <v>143</v>
      </c>
      <c r="R417" t="s">
        <v>155</v>
      </c>
      <c r="S417">
        <v>9.0481456596216717E-2</v>
      </c>
    </row>
    <row r="418" spans="16:19" x14ac:dyDescent="0.25">
      <c r="P418" t="s">
        <v>51</v>
      </c>
      <c r="Q418" t="s">
        <v>143</v>
      </c>
      <c r="R418" t="s">
        <v>156</v>
      </c>
      <c r="S418">
        <v>2.0807484689552323E-2</v>
      </c>
    </row>
    <row r="419" spans="16:19" x14ac:dyDescent="0.25">
      <c r="P419" t="s">
        <v>51</v>
      </c>
      <c r="Q419" t="s">
        <v>143</v>
      </c>
      <c r="R419" t="s">
        <v>157</v>
      </c>
      <c r="S419">
        <v>0.14163592316599133</v>
      </c>
    </row>
    <row r="420" spans="16:19" x14ac:dyDescent="0.25">
      <c r="P420" t="s">
        <v>51</v>
      </c>
      <c r="Q420" t="s">
        <v>143</v>
      </c>
      <c r="R420" t="s">
        <v>158</v>
      </c>
      <c r="S420">
        <v>9.3751775448338209E-2</v>
      </c>
    </row>
    <row r="421" spans="16:19" x14ac:dyDescent="0.25">
      <c r="P421" t="s">
        <v>51</v>
      </c>
      <c r="Q421" t="s">
        <v>143</v>
      </c>
      <c r="R421" t="s">
        <v>159</v>
      </c>
      <c r="S421">
        <v>2.1897544006561458E-2</v>
      </c>
    </row>
    <row r="422" spans="16:19" x14ac:dyDescent="0.25">
      <c r="P422" t="s">
        <v>51</v>
      </c>
      <c r="Q422" t="s">
        <v>143</v>
      </c>
      <c r="R422" t="s">
        <v>160</v>
      </c>
      <c r="S422">
        <v>0.13583839155671909</v>
      </c>
    </row>
    <row r="423" spans="16:19" x14ac:dyDescent="0.25">
      <c r="P423" t="s">
        <v>51</v>
      </c>
      <c r="Q423" t="s">
        <v>143</v>
      </c>
      <c r="R423" t="s">
        <v>161</v>
      </c>
      <c r="S423">
        <v>9.2338500878493962E-2</v>
      </c>
    </row>
    <row r="424" spans="16:19" x14ac:dyDescent="0.25">
      <c r="P424" t="s">
        <v>51</v>
      </c>
      <c r="Q424" t="s">
        <v>143</v>
      </c>
      <c r="R424" t="s">
        <v>162</v>
      </c>
      <c r="S424">
        <v>2.1347757402875239E-2</v>
      </c>
    </row>
    <row r="425" spans="16:19" x14ac:dyDescent="0.25">
      <c r="P425" t="s">
        <v>51</v>
      </c>
      <c r="Q425" t="s">
        <v>144</v>
      </c>
      <c r="R425" t="s">
        <v>151</v>
      </c>
      <c r="S425">
        <v>0.13443757458416272</v>
      </c>
    </row>
    <row r="426" spans="16:19" x14ac:dyDescent="0.25">
      <c r="P426" t="s">
        <v>51</v>
      </c>
      <c r="Q426" t="s">
        <v>144</v>
      </c>
      <c r="R426" t="s">
        <v>152</v>
      </c>
      <c r="S426">
        <v>6.478367649479537E-2</v>
      </c>
    </row>
    <row r="427" spans="16:19" x14ac:dyDescent="0.25">
      <c r="P427" t="s">
        <v>51</v>
      </c>
      <c r="Q427" t="s">
        <v>144</v>
      </c>
      <c r="R427" t="s">
        <v>153</v>
      </c>
      <c r="S427">
        <v>2.3687971548399921E-2</v>
      </c>
    </row>
    <row r="428" spans="16:19" x14ac:dyDescent="0.25">
      <c r="P428" t="s">
        <v>51</v>
      </c>
      <c r="Q428" t="s">
        <v>144</v>
      </c>
      <c r="R428" t="s">
        <v>154</v>
      </c>
      <c r="S428">
        <v>0.12319413538557644</v>
      </c>
    </row>
    <row r="429" spans="16:19" x14ac:dyDescent="0.25">
      <c r="P429" t="s">
        <v>51</v>
      </c>
      <c r="Q429" t="s">
        <v>144</v>
      </c>
      <c r="R429" t="s">
        <v>155</v>
      </c>
      <c r="S429">
        <v>5.9793696025568686E-2</v>
      </c>
    </row>
    <row r="430" spans="16:19" x14ac:dyDescent="0.25">
      <c r="P430" t="s">
        <v>51</v>
      </c>
      <c r="Q430" t="s">
        <v>144</v>
      </c>
      <c r="R430" t="s">
        <v>156</v>
      </c>
      <c r="S430">
        <v>2.0612410468848215E-2</v>
      </c>
    </row>
    <row r="431" spans="16:19" x14ac:dyDescent="0.25">
      <c r="P431" t="s">
        <v>51</v>
      </c>
      <c r="Q431" t="s">
        <v>144</v>
      </c>
      <c r="R431" t="s">
        <v>157</v>
      </c>
      <c r="S431">
        <v>0.1983997156305993</v>
      </c>
    </row>
    <row r="432" spans="16:19" x14ac:dyDescent="0.25">
      <c r="P432" t="s">
        <v>51</v>
      </c>
      <c r="Q432" t="s">
        <v>144</v>
      </c>
      <c r="R432" t="s">
        <v>158</v>
      </c>
      <c r="S432">
        <v>9.5478516279771136E-2</v>
      </c>
    </row>
    <row r="433" spans="16:19" x14ac:dyDescent="0.25">
      <c r="P433" t="s">
        <v>51</v>
      </c>
      <c r="Q433" t="s">
        <v>144</v>
      </c>
      <c r="R433" t="s">
        <v>159</v>
      </c>
      <c r="S433">
        <v>3.235852479265823E-2</v>
      </c>
    </row>
    <row r="434" spans="16:19" x14ac:dyDescent="0.25">
      <c r="P434" t="s">
        <v>51</v>
      </c>
      <c r="Q434" t="s">
        <v>144</v>
      </c>
      <c r="R434" t="s">
        <v>160</v>
      </c>
      <c r="S434">
        <v>0.14093977241491124</v>
      </c>
    </row>
    <row r="435" spans="16:19" x14ac:dyDescent="0.25">
      <c r="P435" t="s">
        <v>51</v>
      </c>
      <c r="Q435" t="s">
        <v>144</v>
      </c>
      <c r="R435" t="s">
        <v>161</v>
      </c>
      <c r="S435">
        <v>8.0040146143633598E-2</v>
      </c>
    </row>
    <row r="436" spans="16:19" x14ac:dyDescent="0.25">
      <c r="P436" t="s">
        <v>51</v>
      </c>
      <c r="Q436" t="s">
        <v>144</v>
      </c>
      <c r="R436" t="s">
        <v>162</v>
      </c>
      <c r="S436">
        <v>2.6273860231075124E-2</v>
      </c>
    </row>
    <row r="437" spans="16:19" x14ac:dyDescent="0.25">
      <c r="P437" t="s">
        <v>125</v>
      </c>
      <c r="Q437" t="s">
        <v>142</v>
      </c>
      <c r="R437" t="s">
        <v>151</v>
      </c>
      <c r="S437">
        <v>0.1371526597735408</v>
      </c>
    </row>
    <row r="438" spans="16:19" x14ac:dyDescent="0.25">
      <c r="P438" t="s">
        <v>125</v>
      </c>
      <c r="Q438" t="s">
        <v>142</v>
      </c>
      <c r="R438" t="s">
        <v>152</v>
      </c>
      <c r="S438">
        <v>7.0622223653841257E-2</v>
      </c>
    </row>
    <row r="439" spans="16:19" x14ac:dyDescent="0.25">
      <c r="P439" t="s">
        <v>125</v>
      </c>
      <c r="Q439" t="s">
        <v>142</v>
      </c>
      <c r="R439" t="s">
        <v>153</v>
      </c>
      <c r="S439">
        <v>2.3127772766269789E-2</v>
      </c>
    </row>
    <row r="440" spans="16:19" x14ac:dyDescent="0.25">
      <c r="P440" t="s">
        <v>125</v>
      </c>
      <c r="Q440" t="s">
        <v>142</v>
      </c>
      <c r="R440" t="s">
        <v>154</v>
      </c>
      <c r="S440">
        <v>0.12929447710418729</v>
      </c>
    </row>
    <row r="441" spans="16:19" x14ac:dyDescent="0.25">
      <c r="P441" t="s">
        <v>125</v>
      </c>
      <c r="Q441" t="s">
        <v>142</v>
      </c>
      <c r="R441" t="s">
        <v>155</v>
      </c>
      <c r="S441">
        <v>6.7584095850516335E-2</v>
      </c>
    </row>
    <row r="442" spans="16:19" x14ac:dyDescent="0.25">
      <c r="P442" t="s">
        <v>125</v>
      </c>
      <c r="Q442" t="s">
        <v>142</v>
      </c>
      <c r="R442" t="s">
        <v>156</v>
      </c>
      <c r="S442">
        <v>2.064283177448813E-2</v>
      </c>
    </row>
    <row r="443" spans="16:19" x14ac:dyDescent="0.25">
      <c r="P443" t="s">
        <v>125</v>
      </c>
      <c r="Q443" t="s">
        <v>142</v>
      </c>
      <c r="R443" t="s">
        <v>157</v>
      </c>
      <c r="S443">
        <v>0.18751217181801003</v>
      </c>
    </row>
    <row r="444" spans="16:19" x14ac:dyDescent="0.25">
      <c r="P444" t="s">
        <v>125</v>
      </c>
      <c r="Q444" t="s">
        <v>142</v>
      </c>
      <c r="R444" t="s">
        <v>158</v>
      </c>
      <c r="S444">
        <v>9.1981144415110586E-2</v>
      </c>
    </row>
    <row r="445" spans="16:19" x14ac:dyDescent="0.25">
      <c r="P445" t="s">
        <v>125</v>
      </c>
      <c r="Q445" t="s">
        <v>142</v>
      </c>
      <c r="R445" t="s">
        <v>159</v>
      </c>
      <c r="S445">
        <v>2.8954806115268846E-2</v>
      </c>
    </row>
    <row r="446" spans="16:19" x14ac:dyDescent="0.25">
      <c r="P446" t="s">
        <v>125</v>
      </c>
      <c r="Q446" t="s">
        <v>142</v>
      </c>
      <c r="R446" t="s">
        <v>160</v>
      </c>
      <c r="S446">
        <v>0.13757464876756345</v>
      </c>
    </row>
    <row r="447" spans="16:19" x14ac:dyDescent="0.25">
      <c r="P447" t="s">
        <v>125</v>
      </c>
      <c r="Q447" t="s">
        <v>142</v>
      </c>
      <c r="R447" t="s">
        <v>161</v>
      </c>
      <c r="S447">
        <v>8.0485140662449953E-2</v>
      </c>
    </row>
    <row r="448" spans="16:19" x14ac:dyDescent="0.25">
      <c r="P448" t="s">
        <v>125</v>
      </c>
      <c r="Q448" t="s">
        <v>142</v>
      </c>
      <c r="R448" t="s">
        <v>162</v>
      </c>
      <c r="S448">
        <v>2.5068027298756252E-2</v>
      </c>
    </row>
    <row r="449" spans="16:19" x14ac:dyDescent="0.25">
      <c r="P449" t="s">
        <v>125</v>
      </c>
      <c r="Q449" t="s">
        <v>143</v>
      </c>
      <c r="R449" t="s">
        <v>151</v>
      </c>
      <c r="S449">
        <v>0.13543515238523193</v>
      </c>
    </row>
    <row r="450" spans="16:19" x14ac:dyDescent="0.25">
      <c r="P450" t="s">
        <v>125</v>
      </c>
      <c r="Q450" t="s">
        <v>143</v>
      </c>
      <c r="R450" t="s">
        <v>152</v>
      </c>
      <c r="S450">
        <v>9.1112362219289242E-2</v>
      </c>
    </row>
    <row r="451" spans="16:19" x14ac:dyDescent="0.25">
      <c r="P451" t="s">
        <v>125</v>
      </c>
      <c r="Q451" t="s">
        <v>143</v>
      </c>
      <c r="R451" t="s">
        <v>153</v>
      </c>
      <c r="S451">
        <v>2.1098712879090906E-2</v>
      </c>
    </row>
    <row r="452" spans="16:19" x14ac:dyDescent="0.25">
      <c r="P452" t="s">
        <v>125</v>
      </c>
      <c r="Q452" t="s">
        <v>143</v>
      </c>
      <c r="R452" t="s">
        <v>154</v>
      </c>
      <c r="S452">
        <v>0.13448733984445607</v>
      </c>
    </row>
    <row r="453" spans="16:19" x14ac:dyDescent="0.25">
      <c r="P453" t="s">
        <v>125</v>
      </c>
      <c r="Q453" t="s">
        <v>143</v>
      </c>
      <c r="R453" t="s">
        <v>155</v>
      </c>
      <c r="S453">
        <v>9.0718051829518823E-2</v>
      </c>
    </row>
    <row r="454" spans="16:19" x14ac:dyDescent="0.25">
      <c r="P454" t="s">
        <v>125</v>
      </c>
      <c r="Q454" t="s">
        <v>143</v>
      </c>
      <c r="R454" t="s">
        <v>156</v>
      </c>
      <c r="S454">
        <v>2.0815895190184626E-2</v>
      </c>
    </row>
    <row r="455" spans="16:19" x14ac:dyDescent="0.25">
      <c r="P455" t="s">
        <v>125</v>
      </c>
      <c r="Q455" t="s">
        <v>143</v>
      </c>
      <c r="R455" t="s">
        <v>157</v>
      </c>
      <c r="S455">
        <v>0.14122813164558601</v>
      </c>
    </row>
    <row r="456" spans="16:19" x14ac:dyDescent="0.25">
      <c r="P456" t="s">
        <v>125</v>
      </c>
      <c r="Q456" t="s">
        <v>143</v>
      </c>
      <c r="R456" t="s">
        <v>158</v>
      </c>
      <c r="S456">
        <v>9.3768683350964332E-2</v>
      </c>
    </row>
    <row r="457" spans="16:19" x14ac:dyDescent="0.25">
      <c r="P457" t="s">
        <v>125</v>
      </c>
      <c r="Q457" t="s">
        <v>143</v>
      </c>
      <c r="R457" t="s">
        <v>159</v>
      </c>
      <c r="S457">
        <v>2.1833191131877847E-2</v>
      </c>
    </row>
    <row r="458" spans="16:19" x14ac:dyDescent="0.25">
      <c r="P458" t="s">
        <v>125</v>
      </c>
      <c r="Q458" t="s">
        <v>143</v>
      </c>
      <c r="R458" t="s">
        <v>160</v>
      </c>
      <c r="S458">
        <v>0.13580797453719495</v>
      </c>
    </row>
    <row r="459" spans="16:19" x14ac:dyDescent="0.25">
      <c r="P459" t="s">
        <v>125</v>
      </c>
      <c r="Q459" t="s">
        <v>143</v>
      </c>
      <c r="R459" t="s">
        <v>161</v>
      </c>
      <c r="S459">
        <v>9.2366401409884252E-2</v>
      </c>
    </row>
    <row r="460" spans="16:19" x14ac:dyDescent="0.25">
      <c r="P460" t="s">
        <v>125</v>
      </c>
      <c r="Q460" t="s">
        <v>143</v>
      </c>
      <c r="R460" t="s">
        <v>162</v>
      </c>
      <c r="S460">
        <v>2.1328103576722726E-2</v>
      </c>
    </row>
    <row r="461" spans="16:19" x14ac:dyDescent="0.25">
      <c r="P461" t="s">
        <v>125</v>
      </c>
      <c r="Q461" t="s">
        <v>144</v>
      </c>
      <c r="R461" t="s">
        <v>151</v>
      </c>
      <c r="S461">
        <v>0.13408832726650732</v>
      </c>
    </row>
    <row r="462" spans="16:19" x14ac:dyDescent="0.25">
      <c r="P462" t="s">
        <v>125</v>
      </c>
      <c r="Q462" t="s">
        <v>144</v>
      </c>
      <c r="R462" t="s">
        <v>152</v>
      </c>
      <c r="S462">
        <v>7.404532230353103E-2</v>
      </c>
    </row>
    <row r="463" spans="16:19" x14ac:dyDescent="0.25">
      <c r="P463" t="s">
        <v>125</v>
      </c>
      <c r="Q463" t="s">
        <v>144</v>
      </c>
      <c r="R463" t="s">
        <v>153</v>
      </c>
      <c r="S463">
        <v>2.2905716898412309E-2</v>
      </c>
    </row>
    <row r="464" spans="16:19" x14ac:dyDescent="0.25">
      <c r="P464" t="s">
        <v>125</v>
      </c>
      <c r="Q464" t="s">
        <v>144</v>
      </c>
      <c r="R464" t="s">
        <v>154</v>
      </c>
      <c r="S464">
        <v>0.1269227198108912</v>
      </c>
    </row>
    <row r="465" spans="16:19" x14ac:dyDescent="0.25">
      <c r="P465" t="s">
        <v>125</v>
      </c>
      <c r="Q465" t="s">
        <v>144</v>
      </c>
      <c r="R465" t="s">
        <v>155</v>
      </c>
      <c r="S465">
        <v>7.0925812167082311E-2</v>
      </c>
    </row>
    <row r="466" spans="16:19" x14ac:dyDescent="0.25">
      <c r="P466" t="s">
        <v>125</v>
      </c>
      <c r="Q466" t="s">
        <v>144</v>
      </c>
      <c r="R466" t="s">
        <v>156</v>
      </c>
      <c r="S466">
        <v>2.0770127385073778E-2</v>
      </c>
    </row>
    <row r="467" spans="16:19" x14ac:dyDescent="0.25">
      <c r="P467" t="s">
        <v>125</v>
      </c>
      <c r="Q467" t="s">
        <v>144</v>
      </c>
      <c r="R467" t="s">
        <v>157</v>
      </c>
      <c r="S467">
        <v>0.17774781529649572</v>
      </c>
    </row>
    <row r="468" spans="16:19" x14ac:dyDescent="0.25">
      <c r="P468" t="s">
        <v>125</v>
      </c>
      <c r="Q468" t="s">
        <v>144</v>
      </c>
      <c r="R468" t="s">
        <v>158</v>
      </c>
      <c r="S468">
        <v>9.5606004952311127E-2</v>
      </c>
    </row>
    <row r="469" spans="16:19" x14ac:dyDescent="0.25">
      <c r="P469" t="s">
        <v>125</v>
      </c>
      <c r="Q469" t="s">
        <v>144</v>
      </c>
      <c r="R469" t="s">
        <v>159</v>
      </c>
      <c r="S469">
        <v>2.8853672632410541E-2</v>
      </c>
    </row>
    <row r="470" spans="16:19" x14ac:dyDescent="0.25">
      <c r="P470" t="s">
        <v>125</v>
      </c>
      <c r="Q470" t="s">
        <v>144</v>
      </c>
      <c r="R470" t="s">
        <v>160</v>
      </c>
      <c r="S470">
        <v>0.13939037860866629</v>
      </c>
    </row>
    <row r="471" spans="16:19" x14ac:dyDescent="0.25">
      <c r="P471" t="s">
        <v>125</v>
      </c>
      <c r="Q471" t="s">
        <v>144</v>
      </c>
      <c r="R471" t="s">
        <v>161</v>
      </c>
      <c r="S471">
        <v>8.4065275399012984E-2</v>
      </c>
    </row>
    <row r="472" spans="16:19" x14ac:dyDescent="0.25">
      <c r="P472" t="s">
        <v>125</v>
      </c>
      <c r="Q472" t="s">
        <v>144</v>
      </c>
      <c r="R472" t="s">
        <v>162</v>
      </c>
      <c r="S472">
        <v>2.4678827279606446E-2</v>
      </c>
    </row>
    <row r="473" spans="16:19" x14ac:dyDescent="0.25">
      <c r="P473" t="s">
        <v>106</v>
      </c>
      <c r="Q473" t="s">
        <v>142</v>
      </c>
      <c r="R473" t="s">
        <v>151</v>
      </c>
      <c r="S473">
        <v>0.13815526140290191</v>
      </c>
    </row>
    <row r="474" spans="16:19" x14ac:dyDescent="0.25">
      <c r="P474" t="s">
        <v>106</v>
      </c>
      <c r="Q474" t="s">
        <v>142</v>
      </c>
      <c r="R474" t="s">
        <v>152</v>
      </c>
      <c r="S474">
        <v>6.3819870550378063E-2</v>
      </c>
    </row>
    <row r="475" spans="16:19" x14ac:dyDescent="0.25">
      <c r="P475" t="s">
        <v>106</v>
      </c>
      <c r="Q475" t="s">
        <v>142</v>
      </c>
      <c r="R475" t="s">
        <v>153</v>
      </c>
      <c r="S475">
        <v>2.3596106394926881E-2</v>
      </c>
    </row>
    <row r="476" spans="16:19" x14ac:dyDescent="0.25">
      <c r="P476" t="s">
        <v>106</v>
      </c>
      <c r="Q476" t="s">
        <v>142</v>
      </c>
      <c r="R476" t="s">
        <v>154</v>
      </c>
      <c r="S476">
        <v>0.12704221398010832</v>
      </c>
    </row>
    <row r="477" spans="16:19" x14ac:dyDescent="0.25">
      <c r="P477" t="s">
        <v>106</v>
      </c>
      <c r="Q477" t="s">
        <v>142</v>
      </c>
      <c r="R477" t="s">
        <v>155</v>
      </c>
      <c r="S477">
        <v>5.9363208453865841E-2</v>
      </c>
    </row>
    <row r="478" spans="16:19" x14ac:dyDescent="0.25">
      <c r="P478" t="s">
        <v>106</v>
      </c>
      <c r="Q478" t="s">
        <v>142</v>
      </c>
      <c r="R478" t="s">
        <v>156</v>
      </c>
      <c r="S478">
        <v>2.0489079295359699E-2</v>
      </c>
    </row>
    <row r="479" spans="16:19" x14ac:dyDescent="0.25">
      <c r="P479" t="s">
        <v>106</v>
      </c>
      <c r="Q479" t="s">
        <v>142</v>
      </c>
      <c r="R479" t="s">
        <v>157</v>
      </c>
      <c r="S479">
        <v>0.20328299884924297</v>
      </c>
    </row>
    <row r="480" spans="16:19" x14ac:dyDescent="0.25">
      <c r="P480" t="s">
        <v>106</v>
      </c>
      <c r="Q480" t="s">
        <v>142</v>
      </c>
      <c r="R480" t="s">
        <v>158</v>
      </c>
      <c r="S480">
        <v>9.120885284751748E-2</v>
      </c>
    </row>
    <row r="481" spans="16:19" x14ac:dyDescent="0.25">
      <c r="P481" t="s">
        <v>106</v>
      </c>
      <c r="Q481" t="s">
        <v>142</v>
      </c>
      <c r="R481" t="s">
        <v>159</v>
      </c>
      <c r="S481">
        <v>3.1327323575182711E-2</v>
      </c>
    </row>
    <row r="482" spans="16:19" x14ac:dyDescent="0.25">
      <c r="P482" t="s">
        <v>106</v>
      </c>
      <c r="Q482" t="s">
        <v>142</v>
      </c>
      <c r="R482" t="s">
        <v>160</v>
      </c>
      <c r="S482">
        <v>0.13814322914416652</v>
      </c>
    </row>
    <row r="483" spans="16:19" x14ac:dyDescent="0.25">
      <c r="P483" t="s">
        <v>106</v>
      </c>
      <c r="Q483" t="s">
        <v>142</v>
      </c>
      <c r="R483" t="s">
        <v>161</v>
      </c>
      <c r="S483">
        <v>7.7470834212471473E-2</v>
      </c>
    </row>
    <row r="484" spans="16:19" x14ac:dyDescent="0.25">
      <c r="P484" t="s">
        <v>106</v>
      </c>
      <c r="Q484" t="s">
        <v>142</v>
      </c>
      <c r="R484" t="s">
        <v>162</v>
      </c>
      <c r="S484">
        <v>2.6101021293877872E-2</v>
      </c>
    </row>
    <row r="485" spans="16:19" x14ac:dyDescent="0.25">
      <c r="P485" t="s">
        <v>106</v>
      </c>
      <c r="Q485" t="s">
        <v>143</v>
      </c>
      <c r="R485" t="s">
        <v>151</v>
      </c>
      <c r="S485">
        <v>0.13546548151930415</v>
      </c>
    </row>
    <row r="486" spans="16:19" x14ac:dyDescent="0.25">
      <c r="P486" t="s">
        <v>106</v>
      </c>
      <c r="Q486" t="s">
        <v>143</v>
      </c>
      <c r="R486" t="s">
        <v>152</v>
      </c>
      <c r="S486">
        <v>9.0938921453668775E-2</v>
      </c>
    </row>
    <row r="487" spans="16:19" x14ac:dyDescent="0.25">
      <c r="P487" t="s">
        <v>106</v>
      </c>
      <c r="Q487" t="s">
        <v>143</v>
      </c>
      <c r="R487" t="s">
        <v>153</v>
      </c>
      <c r="S487">
        <v>2.1103193773602834E-2</v>
      </c>
    </row>
    <row r="488" spans="16:19" x14ac:dyDescent="0.25">
      <c r="P488" t="s">
        <v>106</v>
      </c>
      <c r="Q488" t="s">
        <v>143</v>
      </c>
      <c r="R488" t="s">
        <v>154</v>
      </c>
      <c r="S488">
        <v>0.13439371275643175</v>
      </c>
    </row>
    <row r="489" spans="16:19" x14ac:dyDescent="0.25">
      <c r="P489" t="s">
        <v>106</v>
      </c>
      <c r="Q489" t="s">
        <v>143</v>
      </c>
      <c r="R489" t="s">
        <v>155</v>
      </c>
      <c r="S489">
        <v>9.0481316004498408E-2</v>
      </c>
    </row>
    <row r="490" spans="16:19" x14ac:dyDescent="0.25">
      <c r="P490" t="s">
        <v>106</v>
      </c>
      <c r="Q490" t="s">
        <v>143</v>
      </c>
      <c r="R490" t="s">
        <v>156</v>
      </c>
      <c r="S490">
        <v>2.0807435398355022E-2</v>
      </c>
    </row>
    <row r="491" spans="16:19" x14ac:dyDescent="0.25">
      <c r="P491" t="s">
        <v>106</v>
      </c>
      <c r="Q491" t="s">
        <v>143</v>
      </c>
      <c r="R491" t="s">
        <v>157</v>
      </c>
      <c r="S491">
        <v>0.14163610280391642</v>
      </c>
    </row>
    <row r="492" spans="16:19" x14ac:dyDescent="0.25">
      <c r="P492" t="s">
        <v>106</v>
      </c>
      <c r="Q492" t="s">
        <v>143</v>
      </c>
      <c r="R492" t="s">
        <v>158</v>
      </c>
      <c r="S492">
        <v>9.3751714807469688E-2</v>
      </c>
    </row>
    <row r="493" spans="16:19" x14ac:dyDescent="0.25">
      <c r="P493" t="s">
        <v>106</v>
      </c>
      <c r="Q493" t="s">
        <v>143</v>
      </c>
      <c r="R493" t="s">
        <v>159</v>
      </c>
      <c r="S493">
        <v>2.189758655562242E-2</v>
      </c>
    </row>
    <row r="494" spans="16:19" x14ac:dyDescent="0.25">
      <c r="P494" t="s">
        <v>106</v>
      </c>
      <c r="Q494" t="s">
        <v>143</v>
      </c>
      <c r="R494" t="s">
        <v>160</v>
      </c>
      <c r="S494">
        <v>0.13583839128218012</v>
      </c>
    </row>
    <row r="495" spans="16:19" x14ac:dyDescent="0.25">
      <c r="P495" t="s">
        <v>106</v>
      </c>
      <c r="Q495" t="s">
        <v>143</v>
      </c>
      <c r="R495" t="s">
        <v>161</v>
      </c>
      <c r="S495">
        <v>9.23383888562508E-2</v>
      </c>
    </row>
    <row r="496" spans="16:19" x14ac:dyDescent="0.25">
      <c r="P496" t="s">
        <v>106</v>
      </c>
      <c r="Q496" t="s">
        <v>143</v>
      </c>
      <c r="R496" t="s">
        <v>162</v>
      </c>
      <c r="S496">
        <v>2.1347754788699155E-2</v>
      </c>
    </row>
    <row r="497" spans="16:19" x14ac:dyDescent="0.25">
      <c r="P497" t="s">
        <v>106</v>
      </c>
      <c r="Q497" t="s">
        <v>144</v>
      </c>
      <c r="R497" t="s">
        <v>151</v>
      </c>
      <c r="S497">
        <v>0.13307095111950293</v>
      </c>
    </row>
    <row r="498" spans="16:19" x14ac:dyDescent="0.25">
      <c r="P498" t="s">
        <v>106</v>
      </c>
      <c r="Q498" t="s">
        <v>144</v>
      </c>
      <c r="R498" t="s">
        <v>152</v>
      </c>
      <c r="S498">
        <v>7.1226323028438648E-2</v>
      </c>
    </row>
    <row r="499" spans="16:19" x14ac:dyDescent="0.25">
      <c r="P499" t="s">
        <v>106</v>
      </c>
      <c r="Q499" t="s">
        <v>144</v>
      </c>
      <c r="R499" t="s">
        <v>153</v>
      </c>
      <c r="S499">
        <v>2.3131860818558198E-2</v>
      </c>
    </row>
    <row r="500" spans="16:19" x14ac:dyDescent="0.25">
      <c r="P500" t="s">
        <v>106</v>
      </c>
      <c r="Q500" t="s">
        <v>144</v>
      </c>
      <c r="R500" t="s">
        <v>154</v>
      </c>
      <c r="S500">
        <v>0.12411550727606092</v>
      </c>
    </row>
    <row r="501" spans="16:19" x14ac:dyDescent="0.25">
      <c r="P501" t="s">
        <v>106</v>
      </c>
      <c r="Q501" t="s">
        <v>144</v>
      </c>
      <c r="R501" t="s">
        <v>155</v>
      </c>
      <c r="S501">
        <v>6.7047205555097661E-2</v>
      </c>
    </row>
    <row r="502" spans="16:19" x14ac:dyDescent="0.25">
      <c r="P502" t="s">
        <v>106</v>
      </c>
      <c r="Q502" t="s">
        <v>144</v>
      </c>
      <c r="R502" t="s">
        <v>156</v>
      </c>
      <c r="S502">
        <v>2.0710334792429359E-2</v>
      </c>
    </row>
    <row r="503" spans="16:19" x14ac:dyDescent="0.25">
      <c r="P503" t="s">
        <v>106</v>
      </c>
      <c r="Q503" t="s">
        <v>144</v>
      </c>
      <c r="R503" t="s">
        <v>157</v>
      </c>
      <c r="S503">
        <v>0.18321855290875111</v>
      </c>
    </row>
    <row r="504" spans="16:19" x14ac:dyDescent="0.25">
      <c r="P504" t="s">
        <v>106</v>
      </c>
      <c r="Q504" t="s">
        <v>144</v>
      </c>
      <c r="R504" t="s">
        <v>158</v>
      </c>
      <c r="S504">
        <v>9.6920636587307554E-2</v>
      </c>
    </row>
    <row r="505" spans="16:19" x14ac:dyDescent="0.25">
      <c r="P505" t="s">
        <v>106</v>
      </c>
      <c r="Q505" t="s">
        <v>144</v>
      </c>
      <c r="R505" t="s">
        <v>159</v>
      </c>
      <c r="S505">
        <v>3.0393434874817358E-2</v>
      </c>
    </row>
    <row r="506" spans="16:19" x14ac:dyDescent="0.25">
      <c r="P506" t="s">
        <v>106</v>
      </c>
      <c r="Q506" t="s">
        <v>144</v>
      </c>
      <c r="R506" t="s">
        <v>160</v>
      </c>
      <c r="S506">
        <v>0.1409710651017593</v>
      </c>
    </row>
    <row r="507" spans="16:19" x14ac:dyDescent="0.25">
      <c r="P507" t="s">
        <v>106</v>
      </c>
      <c r="Q507" t="s">
        <v>144</v>
      </c>
      <c r="R507" t="s">
        <v>161</v>
      </c>
      <c r="S507">
        <v>8.3980647475107237E-2</v>
      </c>
    </row>
    <row r="508" spans="16:19" x14ac:dyDescent="0.25">
      <c r="P508" t="s">
        <v>106</v>
      </c>
      <c r="Q508" t="s">
        <v>144</v>
      </c>
      <c r="R508" t="s">
        <v>162</v>
      </c>
      <c r="S508">
        <v>2.5213480462169074E-2</v>
      </c>
    </row>
    <row r="509" spans="16:19" x14ac:dyDescent="0.25">
      <c r="P509" t="s">
        <v>52</v>
      </c>
      <c r="Q509" t="s">
        <v>142</v>
      </c>
      <c r="R509" t="s">
        <v>151</v>
      </c>
      <c r="S509">
        <v>0.13823389731667604</v>
      </c>
    </row>
    <row r="510" spans="16:19" x14ac:dyDescent="0.25">
      <c r="P510" t="s">
        <v>52</v>
      </c>
      <c r="Q510" t="s">
        <v>142</v>
      </c>
      <c r="R510" t="s">
        <v>152</v>
      </c>
      <c r="S510">
        <v>6.2961258134149836E-2</v>
      </c>
    </row>
    <row r="511" spans="16:19" x14ac:dyDescent="0.25">
      <c r="P511" t="s">
        <v>52</v>
      </c>
      <c r="Q511" t="s">
        <v>142</v>
      </c>
      <c r="R511" t="s">
        <v>153</v>
      </c>
      <c r="S511">
        <v>2.3675311183571884E-2</v>
      </c>
    </row>
    <row r="512" spans="16:19" x14ac:dyDescent="0.25">
      <c r="P512" t="s">
        <v>52</v>
      </c>
      <c r="Q512" t="s">
        <v>142</v>
      </c>
      <c r="R512" t="s">
        <v>154</v>
      </c>
      <c r="S512">
        <v>0.12680171638840401</v>
      </c>
    </row>
    <row r="513" spans="16:19" x14ac:dyDescent="0.25">
      <c r="P513" t="s">
        <v>52</v>
      </c>
      <c r="Q513" t="s">
        <v>142</v>
      </c>
      <c r="R513" t="s">
        <v>155</v>
      </c>
      <c r="S513">
        <v>5.8376398518088332E-2</v>
      </c>
    </row>
    <row r="514" spans="16:19" x14ac:dyDescent="0.25">
      <c r="P514" t="s">
        <v>52</v>
      </c>
      <c r="Q514" t="s">
        <v>142</v>
      </c>
      <c r="R514" t="s">
        <v>156</v>
      </c>
      <c r="S514">
        <v>2.047928788691759E-2</v>
      </c>
    </row>
    <row r="515" spans="16:19" x14ac:dyDescent="0.25">
      <c r="P515" t="s">
        <v>52</v>
      </c>
      <c r="Q515" t="s">
        <v>142</v>
      </c>
      <c r="R515" t="s">
        <v>157</v>
      </c>
      <c r="S515">
        <v>0.20522882741196391</v>
      </c>
    </row>
    <row r="516" spans="16:19" x14ac:dyDescent="0.25">
      <c r="P516" t="s">
        <v>52</v>
      </c>
      <c r="Q516" t="s">
        <v>142</v>
      </c>
      <c r="R516" t="s">
        <v>158</v>
      </c>
      <c r="S516">
        <v>9.1136055711753122E-2</v>
      </c>
    </row>
    <row r="517" spans="16:19" x14ac:dyDescent="0.25">
      <c r="P517" t="s">
        <v>52</v>
      </c>
      <c r="Q517" t="s">
        <v>142</v>
      </c>
      <c r="R517" t="s">
        <v>159</v>
      </c>
      <c r="S517">
        <v>3.162857611507007E-2</v>
      </c>
    </row>
    <row r="518" spans="16:19" x14ac:dyDescent="0.25">
      <c r="P518" t="s">
        <v>52</v>
      </c>
      <c r="Q518" t="s">
        <v>142</v>
      </c>
      <c r="R518" t="s">
        <v>160</v>
      </c>
      <c r="S518">
        <v>0.13822236508514041</v>
      </c>
    </row>
    <row r="519" spans="16:19" x14ac:dyDescent="0.25">
      <c r="P519" t="s">
        <v>52</v>
      </c>
      <c r="Q519" t="s">
        <v>142</v>
      </c>
      <c r="R519" t="s">
        <v>161</v>
      </c>
      <c r="S519">
        <v>7.7004077395263493E-2</v>
      </c>
    </row>
    <row r="520" spans="16:19" x14ac:dyDescent="0.25">
      <c r="P520" t="s">
        <v>52</v>
      </c>
      <c r="Q520" t="s">
        <v>142</v>
      </c>
      <c r="R520" t="s">
        <v>162</v>
      </c>
      <c r="S520">
        <v>2.6252228853000329E-2</v>
      </c>
    </row>
    <row r="521" spans="16:19" x14ac:dyDescent="0.25">
      <c r="P521" t="s">
        <v>52</v>
      </c>
      <c r="Q521" t="s">
        <v>143</v>
      </c>
      <c r="R521" t="s">
        <v>151</v>
      </c>
      <c r="S521">
        <v>0.135465466135027</v>
      </c>
    </row>
    <row r="522" spans="16:19" x14ac:dyDescent="0.25">
      <c r="P522" t="s">
        <v>52</v>
      </c>
      <c r="Q522" t="s">
        <v>143</v>
      </c>
      <c r="R522" t="s">
        <v>152</v>
      </c>
      <c r="S522">
        <v>9.0938910539499401E-2</v>
      </c>
    </row>
    <row r="523" spans="16:19" x14ac:dyDescent="0.25">
      <c r="P523" t="s">
        <v>52</v>
      </c>
      <c r="Q523" t="s">
        <v>143</v>
      </c>
      <c r="R523" t="s">
        <v>153</v>
      </c>
      <c r="S523">
        <v>2.110318656457422E-2</v>
      </c>
    </row>
    <row r="524" spans="16:19" x14ac:dyDescent="0.25">
      <c r="P524" t="s">
        <v>52</v>
      </c>
      <c r="Q524" t="s">
        <v>143</v>
      </c>
      <c r="R524" t="s">
        <v>154</v>
      </c>
      <c r="S524">
        <v>0.1343937358643337</v>
      </c>
    </row>
    <row r="525" spans="16:19" x14ac:dyDescent="0.25">
      <c r="P525" t="s">
        <v>52</v>
      </c>
      <c r="Q525" t="s">
        <v>143</v>
      </c>
      <c r="R525" t="s">
        <v>155</v>
      </c>
      <c r="S525">
        <v>9.0481270690974613E-2</v>
      </c>
    </row>
    <row r="526" spans="16:19" x14ac:dyDescent="0.25">
      <c r="P526" t="s">
        <v>52</v>
      </c>
      <c r="Q526" t="s">
        <v>143</v>
      </c>
      <c r="R526" t="s">
        <v>156</v>
      </c>
      <c r="S526">
        <v>2.0807446128727224E-2</v>
      </c>
    </row>
    <row r="527" spans="16:19" x14ac:dyDescent="0.25">
      <c r="P527" t="s">
        <v>52</v>
      </c>
      <c r="Q527" t="s">
        <v>143</v>
      </c>
      <c r="R527" t="s">
        <v>157</v>
      </c>
      <c r="S527">
        <v>0.14163607801167569</v>
      </c>
    </row>
    <row r="528" spans="16:19" x14ac:dyDescent="0.25">
      <c r="P528" t="s">
        <v>52</v>
      </c>
      <c r="Q528" t="s">
        <v>143</v>
      </c>
      <c r="R528" t="s">
        <v>158</v>
      </c>
      <c r="S528">
        <v>9.3751722334177473E-2</v>
      </c>
    </row>
    <row r="529" spans="16:19" x14ac:dyDescent="0.25">
      <c r="P529" t="s">
        <v>52</v>
      </c>
      <c r="Q529" t="s">
        <v>143</v>
      </c>
      <c r="R529" t="s">
        <v>159</v>
      </c>
      <c r="S529">
        <v>2.189761059431344E-2</v>
      </c>
    </row>
    <row r="530" spans="16:19" x14ac:dyDescent="0.25">
      <c r="P530" t="s">
        <v>52</v>
      </c>
      <c r="Q530" t="s">
        <v>143</v>
      </c>
      <c r="R530" t="s">
        <v>160</v>
      </c>
      <c r="S530">
        <v>0.13583840889557841</v>
      </c>
    </row>
    <row r="531" spans="16:19" x14ac:dyDescent="0.25">
      <c r="P531" t="s">
        <v>52</v>
      </c>
      <c r="Q531" t="s">
        <v>143</v>
      </c>
      <c r="R531" t="s">
        <v>161</v>
      </c>
      <c r="S531">
        <v>9.2338406223350836E-2</v>
      </c>
    </row>
    <row r="532" spans="16:19" x14ac:dyDescent="0.25">
      <c r="P532" t="s">
        <v>52</v>
      </c>
      <c r="Q532" t="s">
        <v>143</v>
      </c>
      <c r="R532" t="s">
        <v>162</v>
      </c>
      <c r="S532">
        <v>2.1347758017768319E-2</v>
      </c>
    </row>
    <row r="533" spans="16:19" x14ac:dyDescent="0.25">
      <c r="P533" t="s">
        <v>52</v>
      </c>
      <c r="Q533" t="s">
        <v>144</v>
      </c>
      <c r="R533" t="s">
        <v>151</v>
      </c>
      <c r="S533">
        <v>0.12971058205406447</v>
      </c>
    </row>
    <row r="534" spans="16:19" x14ac:dyDescent="0.25">
      <c r="P534" t="s">
        <v>52</v>
      </c>
      <c r="Q534" t="s">
        <v>144</v>
      </c>
      <c r="R534" t="s">
        <v>152</v>
      </c>
      <c r="S534">
        <v>7.545833336849829E-2</v>
      </c>
    </row>
    <row r="535" spans="16:19" x14ac:dyDescent="0.25">
      <c r="P535" t="s">
        <v>52</v>
      </c>
      <c r="Q535" t="s">
        <v>144</v>
      </c>
      <c r="R535" t="s">
        <v>153</v>
      </c>
      <c r="S535">
        <v>2.2889067025224346E-2</v>
      </c>
    </row>
    <row r="536" spans="16:19" x14ac:dyDescent="0.25">
      <c r="P536" t="s">
        <v>52</v>
      </c>
      <c r="Q536" t="s">
        <v>144</v>
      </c>
      <c r="R536" t="s">
        <v>154</v>
      </c>
      <c r="S536">
        <v>0.12192926805553861</v>
      </c>
    </row>
    <row r="537" spans="16:19" x14ac:dyDescent="0.25">
      <c r="P537" t="s">
        <v>52</v>
      </c>
      <c r="Q537" t="s">
        <v>144</v>
      </c>
      <c r="R537" t="s">
        <v>155</v>
      </c>
      <c r="S537">
        <v>7.1352451254418914E-2</v>
      </c>
    </row>
    <row r="538" spans="16:19" x14ac:dyDescent="0.25">
      <c r="P538" t="s">
        <v>52</v>
      </c>
      <c r="Q538" t="s">
        <v>144</v>
      </c>
      <c r="R538" t="s">
        <v>156</v>
      </c>
      <c r="S538">
        <v>2.0850953386103498E-2</v>
      </c>
    </row>
    <row r="539" spans="16:19" x14ac:dyDescent="0.25">
      <c r="P539" t="s">
        <v>52</v>
      </c>
      <c r="Q539" t="s">
        <v>144</v>
      </c>
      <c r="R539" t="s">
        <v>157</v>
      </c>
      <c r="S539">
        <v>0.1714176256454128</v>
      </c>
    </row>
    <row r="540" spans="16:19" x14ac:dyDescent="0.25">
      <c r="P540" t="s">
        <v>52</v>
      </c>
      <c r="Q540" t="s">
        <v>144</v>
      </c>
      <c r="R540" t="s">
        <v>158</v>
      </c>
      <c r="S540">
        <v>0.10070854838916811</v>
      </c>
    </row>
    <row r="541" spans="16:19" x14ac:dyDescent="0.25">
      <c r="P541" t="s">
        <v>52</v>
      </c>
      <c r="Q541" t="s">
        <v>144</v>
      </c>
      <c r="R541" t="s">
        <v>159</v>
      </c>
      <c r="S541">
        <v>3.0031474475737716E-2</v>
      </c>
    </row>
    <row r="542" spans="16:19" x14ac:dyDescent="0.25">
      <c r="P542" t="s">
        <v>52</v>
      </c>
      <c r="Q542" t="s">
        <v>144</v>
      </c>
      <c r="R542" t="s">
        <v>160</v>
      </c>
      <c r="S542">
        <v>0.14294625192499461</v>
      </c>
    </row>
    <row r="543" spans="16:19" x14ac:dyDescent="0.25">
      <c r="P543" t="s">
        <v>52</v>
      </c>
      <c r="Q543" t="s">
        <v>144</v>
      </c>
      <c r="R543" t="s">
        <v>161</v>
      </c>
      <c r="S543">
        <v>8.795639706066305E-2</v>
      </c>
    </row>
    <row r="544" spans="16:19" x14ac:dyDescent="0.25">
      <c r="P544" t="s">
        <v>52</v>
      </c>
      <c r="Q544" t="s">
        <v>144</v>
      </c>
      <c r="R544" t="s">
        <v>162</v>
      </c>
      <c r="S544">
        <v>2.4749047360175913E-2</v>
      </c>
    </row>
    <row r="545" spans="16:19" x14ac:dyDescent="0.25">
      <c r="P545" t="s">
        <v>126</v>
      </c>
      <c r="Q545" t="s">
        <v>142</v>
      </c>
      <c r="R545" t="s">
        <v>151</v>
      </c>
      <c r="S545">
        <v>0.14098170745962096</v>
      </c>
    </row>
    <row r="546" spans="16:19" x14ac:dyDescent="0.25">
      <c r="P546" t="s">
        <v>126</v>
      </c>
      <c r="Q546" t="s">
        <v>142</v>
      </c>
      <c r="R546" t="s">
        <v>152</v>
      </c>
      <c r="S546">
        <v>7.2737332407250693E-2</v>
      </c>
    </row>
    <row r="547" spans="16:19" x14ac:dyDescent="0.25">
      <c r="P547" t="s">
        <v>126</v>
      </c>
      <c r="Q547" t="s">
        <v>142</v>
      </c>
      <c r="R547" t="s">
        <v>153</v>
      </c>
      <c r="S547">
        <v>2.4957439809399542E-2</v>
      </c>
    </row>
    <row r="548" spans="16:19" x14ac:dyDescent="0.25">
      <c r="P548" t="s">
        <v>126</v>
      </c>
      <c r="Q548" t="s">
        <v>142</v>
      </c>
      <c r="R548" t="s">
        <v>154</v>
      </c>
      <c r="S548">
        <v>0.1299481124481256</v>
      </c>
    </row>
    <row r="549" spans="16:19" x14ac:dyDescent="0.25">
      <c r="P549" t="s">
        <v>126</v>
      </c>
      <c r="Q549" t="s">
        <v>142</v>
      </c>
      <c r="R549" t="s">
        <v>155</v>
      </c>
      <c r="S549">
        <v>6.9730790664818174E-2</v>
      </c>
    </row>
    <row r="550" spans="16:19" x14ac:dyDescent="0.25">
      <c r="P550" t="s">
        <v>126</v>
      </c>
      <c r="Q550" t="s">
        <v>142</v>
      </c>
      <c r="R550" t="s">
        <v>156</v>
      </c>
      <c r="S550">
        <v>2.1826870617958544E-2</v>
      </c>
    </row>
    <row r="551" spans="16:19" x14ac:dyDescent="0.25">
      <c r="P551" t="s">
        <v>126</v>
      </c>
      <c r="Q551" t="s">
        <v>142</v>
      </c>
      <c r="R551" t="s">
        <v>157</v>
      </c>
      <c r="S551">
        <v>0.16089888506772393</v>
      </c>
    </row>
    <row r="552" spans="16:19" x14ac:dyDescent="0.25">
      <c r="P552" t="s">
        <v>126</v>
      </c>
      <c r="Q552" t="s">
        <v>142</v>
      </c>
      <c r="R552" t="s">
        <v>158</v>
      </c>
      <c r="S552">
        <v>8.0297885803844782E-2</v>
      </c>
    </row>
    <row r="553" spans="16:19" x14ac:dyDescent="0.25">
      <c r="P553" t="s">
        <v>126</v>
      </c>
      <c r="Q553" t="s">
        <v>142</v>
      </c>
      <c r="R553" t="s">
        <v>159</v>
      </c>
      <c r="S553">
        <v>2.5150416231140085E-2</v>
      </c>
    </row>
    <row r="554" spans="16:19" x14ac:dyDescent="0.25">
      <c r="P554" t="s">
        <v>126</v>
      </c>
      <c r="Q554" t="s">
        <v>142</v>
      </c>
      <c r="R554" t="s">
        <v>160</v>
      </c>
      <c r="S554">
        <v>0.15632483794352908</v>
      </c>
    </row>
    <row r="555" spans="16:19" x14ac:dyDescent="0.25">
      <c r="P555" t="s">
        <v>126</v>
      </c>
      <c r="Q555" t="s">
        <v>142</v>
      </c>
      <c r="R555" t="s">
        <v>161</v>
      </c>
      <c r="S555">
        <v>8.8513669009355408E-2</v>
      </c>
    </row>
    <row r="556" spans="16:19" x14ac:dyDescent="0.25">
      <c r="P556" t="s">
        <v>126</v>
      </c>
      <c r="Q556" t="s">
        <v>142</v>
      </c>
      <c r="R556" t="s">
        <v>162</v>
      </c>
      <c r="S556">
        <v>2.8632052537231743E-2</v>
      </c>
    </row>
    <row r="557" spans="16:19" x14ac:dyDescent="0.25">
      <c r="P557" t="s">
        <v>126</v>
      </c>
      <c r="Q557" t="s">
        <v>143</v>
      </c>
      <c r="R557" t="s">
        <v>151</v>
      </c>
      <c r="S557">
        <v>0.13576761496208589</v>
      </c>
    </row>
    <row r="558" spans="16:19" x14ac:dyDescent="0.25">
      <c r="P558" t="s">
        <v>126</v>
      </c>
      <c r="Q558" t="s">
        <v>143</v>
      </c>
      <c r="R558" t="s">
        <v>152</v>
      </c>
      <c r="S558">
        <v>9.139082327317806E-2</v>
      </c>
    </row>
    <row r="559" spans="16:19" x14ac:dyDescent="0.25">
      <c r="P559" t="s">
        <v>126</v>
      </c>
      <c r="Q559" t="s">
        <v>143</v>
      </c>
      <c r="R559" t="s">
        <v>153</v>
      </c>
      <c r="S559">
        <v>2.1264869952270445E-2</v>
      </c>
    </row>
    <row r="560" spans="16:19" x14ac:dyDescent="0.25">
      <c r="P560" t="s">
        <v>126</v>
      </c>
      <c r="Q560" t="s">
        <v>143</v>
      </c>
      <c r="R560" t="s">
        <v>154</v>
      </c>
      <c r="S560">
        <v>0.13454610311250587</v>
      </c>
    </row>
    <row r="561" spans="16:19" x14ac:dyDescent="0.25">
      <c r="P561" t="s">
        <v>126</v>
      </c>
      <c r="Q561" t="s">
        <v>143</v>
      </c>
      <c r="R561" t="s">
        <v>155</v>
      </c>
      <c r="S561">
        <v>9.0994323600367175E-2</v>
      </c>
    </row>
    <row r="562" spans="16:19" x14ac:dyDescent="0.25">
      <c r="P562" t="s">
        <v>126</v>
      </c>
      <c r="Q562" t="s">
        <v>143</v>
      </c>
      <c r="R562" t="s">
        <v>156</v>
      </c>
      <c r="S562">
        <v>2.0926527441002044E-2</v>
      </c>
    </row>
    <row r="563" spans="16:19" x14ac:dyDescent="0.25">
      <c r="P563" t="s">
        <v>126</v>
      </c>
      <c r="Q563" t="s">
        <v>143</v>
      </c>
      <c r="R563" t="s">
        <v>157</v>
      </c>
      <c r="S563">
        <v>0.13867239664118217</v>
      </c>
    </row>
    <row r="564" spans="16:19" x14ac:dyDescent="0.25">
      <c r="P564" t="s">
        <v>126</v>
      </c>
      <c r="Q564" t="s">
        <v>143</v>
      </c>
      <c r="R564" t="s">
        <v>158</v>
      </c>
      <c r="S564">
        <v>9.2651006709661976E-2</v>
      </c>
    </row>
    <row r="565" spans="16:19" x14ac:dyDescent="0.25">
      <c r="P565" t="s">
        <v>126</v>
      </c>
      <c r="Q565" t="s">
        <v>143</v>
      </c>
      <c r="R565" t="s">
        <v>159</v>
      </c>
      <c r="S565">
        <v>2.1460882377267159E-2</v>
      </c>
    </row>
    <row r="566" spans="16:19" x14ac:dyDescent="0.25">
      <c r="P566" t="s">
        <v>126</v>
      </c>
      <c r="Q566" t="s">
        <v>143</v>
      </c>
      <c r="R566" t="s">
        <v>160</v>
      </c>
      <c r="S566">
        <v>0.13746671767913562</v>
      </c>
    </row>
    <row r="567" spans="16:19" x14ac:dyDescent="0.25">
      <c r="P567" t="s">
        <v>126</v>
      </c>
      <c r="Q567" t="s">
        <v>143</v>
      </c>
      <c r="R567" t="s">
        <v>161</v>
      </c>
      <c r="S567">
        <v>9.3202708688367372E-2</v>
      </c>
    </row>
    <row r="568" spans="16:19" x14ac:dyDescent="0.25">
      <c r="P568" t="s">
        <v>126</v>
      </c>
      <c r="Q568" t="s">
        <v>143</v>
      </c>
      <c r="R568" t="s">
        <v>162</v>
      </c>
      <c r="S568">
        <v>2.165602556297485E-2</v>
      </c>
    </row>
    <row r="569" spans="16:19" x14ac:dyDescent="0.25">
      <c r="P569" t="s">
        <v>126</v>
      </c>
      <c r="Q569" t="s">
        <v>144</v>
      </c>
      <c r="R569" t="s">
        <v>151</v>
      </c>
      <c r="S569">
        <v>0.13668953385953311</v>
      </c>
    </row>
    <row r="570" spans="16:19" x14ac:dyDescent="0.25">
      <c r="P570" t="s">
        <v>126</v>
      </c>
      <c r="Q570" t="s">
        <v>144</v>
      </c>
      <c r="R570" t="s">
        <v>152</v>
      </c>
      <c r="S570">
        <v>7.7118695895060776E-2</v>
      </c>
    </row>
    <row r="571" spans="16:19" x14ac:dyDescent="0.25">
      <c r="P571" t="s">
        <v>126</v>
      </c>
      <c r="Q571" t="s">
        <v>144</v>
      </c>
      <c r="R571" t="s">
        <v>153</v>
      </c>
      <c r="S571">
        <v>2.4336336663129003E-2</v>
      </c>
    </row>
    <row r="572" spans="16:19" x14ac:dyDescent="0.25">
      <c r="P572" t="s">
        <v>126</v>
      </c>
      <c r="Q572" t="s">
        <v>144</v>
      </c>
      <c r="R572" t="s">
        <v>154</v>
      </c>
      <c r="S572">
        <v>0.12807494437051278</v>
      </c>
    </row>
    <row r="573" spans="16:19" x14ac:dyDescent="0.25">
      <c r="P573" t="s">
        <v>126</v>
      </c>
      <c r="Q573" t="s">
        <v>144</v>
      </c>
      <c r="R573" t="s">
        <v>155</v>
      </c>
      <c r="S573">
        <v>7.4727009186797672E-2</v>
      </c>
    </row>
    <row r="574" spans="16:19" x14ac:dyDescent="0.25">
      <c r="P574" t="s">
        <v>126</v>
      </c>
      <c r="Q574" t="s">
        <v>144</v>
      </c>
      <c r="R574" t="s">
        <v>156</v>
      </c>
      <c r="S574">
        <v>2.182655151980974E-2</v>
      </c>
    </row>
    <row r="575" spans="16:19" x14ac:dyDescent="0.25">
      <c r="P575" t="s">
        <v>126</v>
      </c>
      <c r="Q575" t="s">
        <v>144</v>
      </c>
      <c r="R575" t="s">
        <v>157</v>
      </c>
      <c r="S575">
        <v>0.15159114415555461</v>
      </c>
    </row>
    <row r="576" spans="16:19" x14ac:dyDescent="0.25">
      <c r="P576" t="s">
        <v>126</v>
      </c>
      <c r="Q576" t="s">
        <v>144</v>
      </c>
      <c r="R576" t="s">
        <v>158</v>
      </c>
      <c r="S576">
        <v>8.393459081079338E-2</v>
      </c>
    </row>
    <row r="577" spans="16:19" x14ac:dyDescent="0.25">
      <c r="P577" t="s">
        <v>126</v>
      </c>
      <c r="Q577" t="s">
        <v>144</v>
      </c>
      <c r="R577" t="s">
        <v>159</v>
      </c>
      <c r="S577">
        <v>2.4815941649558998E-2</v>
      </c>
    </row>
    <row r="578" spans="16:19" x14ac:dyDescent="0.25">
      <c r="P578" t="s">
        <v>126</v>
      </c>
      <c r="Q578" t="s">
        <v>144</v>
      </c>
      <c r="R578" t="s">
        <v>160</v>
      </c>
      <c r="S578">
        <v>0.15517782155340934</v>
      </c>
    </row>
    <row r="579" spans="16:19" x14ac:dyDescent="0.25">
      <c r="P579" t="s">
        <v>126</v>
      </c>
      <c r="Q579" t="s">
        <v>144</v>
      </c>
      <c r="R579" t="s">
        <v>161</v>
      </c>
      <c r="S579">
        <v>9.3771125732485194E-2</v>
      </c>
    </row>
    <row r="580" spans="16:19" x14ac:dyDescent="0.25">
      <c r="P580" t="s">
        <v>126</v>
      </c>
      <c r="Q580" t="s">
        <v>144</v>
      </c>
      <c r="R580" t="s">
        <v>162</v>
      </c>
      <c r="S580">
        <v>2.7936304603353605E-2</v>
      </c>
    </row>
    <row r="581" spans="16:19" x14ac:dyDescent="0.25">
      <c r="P581" t="s">
        <v>113</v>
      </c>
      <c r="Q581" t="s">
        <v>142</v>
      </c>
      <c r="R581" t="s">
        <v>151</v>
      </c>
      <c r="S581">
        <v>0.13718215694555971</v>
      </c>
    </row>
    <row r="582" spans="16:19" x14ac:dyDescent="0.25">
      <c r="P582" t="s">
        <v>113</v>
      </c>
      <c r="Q582" t="s">
        <v>142</v>
      </c>
      <c r="R582" t="s">
        <v>152</v>
      </c>
      <c r="S582">
        <v>7.4459052454048977E-2</v>
      </c>
    </row>
    <row r="583" spans="16:19" x14ac:dyDescent="0.25">
      <c r="P583" t="s">
        <v>113</v>
      </c>
      <c r="Q583" t="s">
        <v>142</v>
      </c>
      <c r="R583" t="s">
        <v>153</v>
      </c>
      <c r="S583">
        <v>2.2613964481465246E-2</v>
      </c>
    </row>
    <row r="584" spans="16:19" x14ac:dyDescent="0.25">
      <c r="P584" t="s">
        <v>113</v>
      </c>
      <c r="Q584" t="s">
        <v>142</v>
      </c>
      <c r="R584" t="s">
        <v>154</v>
      </c>
      <c r="S584">
        <v>0.1300190802830988</v>
      </c>
    </row>
    <row r="585" spans="16:19" x14ac:dyDescent="0.25">
      <c r="P585" t="s">
        <v>113</v>
      </c>
      <c r="Q585" t="s">
        <v>142</v>
      </c>
      <c r="R585" t="s">
        <v>155</v>
      </c>
      <c r="S585">
        <v>7.1586793454454969E-2</v>
      </c>
    </row>
    <row r="586" spans="16:19" x14ac:dyDescent="0.25">
      <c r="P586" t="s">
        <v>113</v>
      </c>
      <c r="Q586" t="s">
        <v>142</v>
      </c>
      <c r="R586" t="s">
        <v>156</v>
      </c>
      <c r="S586">
        <v>2.0611458976963634E-2</v>
      </c>
    </row>
    <row r="587" spans="16:19" x14ac:dyDescent="0.25">
      <c r="P587" t="s">
        <v>113</v>
      </c>
      <c r="Q587" t="s">
        <v>142</v>
      </c>
      <c r="R587" t="s">
        <v>157</v>
      </c>
      <c r="S587">
        <v>0.17915817413673737</v>
      </c>
    </row>
    <row r="588" spans="16:19" x14ac:dyDescent="0.25">
      <c r="P588" t="s">
        <v>113</v>
      </c>
      <c r="Q588" t="s">
        <v>142</v>
      </c>
      <c r="R588" t="s">
        <v>158</v>
      </c>
      <c r="S588">
        <v>9.2111990018592022E-2</v>
      </c>
    </row>
    <row r="589" spans="16:19" x14ac:dyDescent="0.25">
      <c r="P589" t="s">
        <v>113</v>
      </c>
      <c r="Q589" t="s">
        <v>142</v>
      </c>
      <c r="R589" t="s">
        <v>159</v>
      </c>
      <c r="S589">
        <v>2.75970604986874E-2</v>
      </c>
    </row>
    <row r="590" spans="16:19" x14ac:dyDescent="0.25">
      <c r="P590" t="s">
        <v>113</v>
      </c>
      <c r="Q590" t="s">
        <v>142</v>
      </c>
      <c r="R590" t="s">
        <v>160</v>
      </c>
      <c r="S590">
        <v>0.13717421175191546</v>
      </c>
    </row>
    <row r="591" spans="16:19" x14ac:dyDescent="0.25">
      <c r="P591" t="s">
        <v>113</v>
      </c>
      <c r="Q591" t="s">
        <v>142</v>
      </c>
      <c r="R591" t="s">
        <v>161</v>
      </c>
      <c r="S591">
        <v>8.3257587011632828E-2</v>
      </c>
    </row>
    <row r="592" spans="16:19" x14ac:dyDescent="0.25">
      <c r="P592" t="s">
        <v>113</v>
      </c>
      <c r="Q592" t="s">
        <v>142</v>
      </c>
      <c r="R592" t="s">
        <v>162</v>
      </c>
      <c r="S592">
        <v>2.4228469986843335E-2</v>
      </c>
    </row>
    <row r="593" spans="16:19" x14ac:dyDescent="0.25">
      <c r="P593" t="s">
        <v>113</v>
      </c>
      <c r="Q593" t="s">
        <v>143</v>
      </c>
      <c r="R593" t="s">
        <v>151</v>
      </c>
      <c r="S593">
        <v>0.13546551252590958</v>
      </c>
    </row>
    <row r="594" spans="16:19" x14ac:dyDescent="0.25">
      <c r="P594" t="s">
        <v>113</v>
      </c>
      <c r="Q594" t="s">
        <v>143</v>
      </c>
      <c r="R594" t="s">
        <v>152</v>
      </c>
      <c r="S594">
        <v>9.0938901550058585E-2</v>
      </c>
    </row>
    <row r="595" spans="16:19" x14ac:dyDescent="0.25">
      <c r="P595" t="s">
        <v>113</v>
      </c>
      <c r="Q595" t="s">
        <v>143</v>
      </c>
      <c r="R595" t="s">
        <v>153</v>
      </c>
      <c r="S595">
        <v>2.1103185957188488E-2</v>
      </c>
    </row>
    <row r="596" spans="16:19" x14ac:dyDescent="0.25">
      <c r="P596" t="s">
        <v>113</v>
      </c>
      <c r="Q596" t="s">
        <v>143</v>
      </c>
      <c r="R596" t="s">
        <v>154</v>
      </c>
      <c r="S596">
        <v>0.13439373036764887</v>
      </c>
    </row>
    <row r="597" spans="16:19" x14ac:dyDescent="0.25">
      <c r="P597" t="s">
        <v>113</v>
      </c>
      <c r="Q597" t="s">
        <v>143</v>
      </c>
      <c r="R597" t="s">
        <v>155</v>
      </c>
      <c r="S597">
        <v>9.0481325486476569E-2</v>
      </c>
    </row>
    <row r="598" spans="16:19" x14ac:dyDescent="0.25">
      <c r="P598" t="s">
        <v>113</v>
      </c>
      <c r="Q598" t="s">
        <v>143</v>
      </c>
      <c r="R598" t="s">
        <v>156</v>
      </c>
      <c r="S598">
        <v>2.0807438701822271E-2</v>
      </c>
    </row>
    <row r="599" spans="16:19" x14ac:dyDescent="0.25">
      <c r="P599" t="s">
        <v>113</v>
      </c>
      <c r="Q599" t="s">
        <v>143</v>
      </c>
      <c r="R599" t="s">
        <v>157</v>
      </c>
      <c r="S599">
        <v>0.14163606957344729</v>
      </c>
    </row>
    <row r="600" spans="16:19" x14ac:dyDescent="0.25">
      <c r="P600" t="s">
        <v>113</v>
      </c>
      <c r="Q600" t="s">
        <v>143</v>
      </c>
      <c r="R600" t="s">
        <v>158</v>
      </c>
      <c r="S600">
        <v>9.375169370206668E-2</v>
      </c>
    </row>
    <row r="601" spans="16:19" x14ac:dyDescent="0.25">
      <c r="P601" t="s">
        <v>113</v>
      </c>
      <c r="Q601" t="s">
        <v>143</v>
      </c>
      <c r="R601" t="s">
        <v>159</v>
      </c>
      <c r="S601">
        <v>2.1897594731240751E-2</v>
      </c>
    </row>
    <row r="602" spans="16:19" x14ac:dyDescent="0.25">
      <c r="P602" t="s">
        <v>113</v>
      </c>
      <c r="Q602" t="s">
        <v>143</v>
      </c>
      <c r="R602" t="s">
        <v>160</v>
      </c>
      <c r="S602">
        <v>0.13583841006560557</v>
      </c>
    </row>
    <row r="603" spans="16:19" x14ac:dyDescent="0.25">
      <c r="P603" t="s">
        <v>113</v>
      </c>
      <c r="Q603" t="s">
        <v>143</v>
      </c>
      <c r="R603" t="s">
        <v>161</v>
      </c>
      <c r="S603">
        <v>9.2338387517326925E-2</v>
      </c>
    </row>
    <row r="604" spans="16:19" x14ac:dyDescent="0.25">
      <c r="P604" t="s">
        <v>113</v>
      </c>
      <c r="Q604" t="s">
        <v>143</v>
      </c>
      <c r="R604" t="s">
        <v>162</v>
      </c>
      <c r="S604">
        <v>2.1347749821208357E-2</v>
      </c>
    </row>
    <row r="605" spans="16:19" x14ac:dyDescent="0.25">
      <c r="P605" t="s">
        <v>113</v>
      </c>
      <c r="Q605" t="s">
        <v>144</v>
      </c>
      <c r="R605" t="s">
        <v>151</v>
      </c>
      <c r="S605">
        <v>0.13426376113761299</v>
      </c>
    </row>
    <row r="606" spans="16:19" x14ac:dyDescent="0.25">
      <c r="P606" t="s">
        <v>113</v>
      </c>
      <c r="Q606" t="s">
        <v>144</v>
      </c>
      <c r="R606" t="s">
        <v>152</v>
      </c>
      <c r="S606">
        <v>7.7951974142339078E-2</v>
      </c>
    </row>
    <row r="607" spans="16:19" x14ac:dyDescent="0.25">
      <c r="P607" t="s">
        <v>113</v>
      </c>
      <c r="Q607" t="s">
        <v>144</v>
      </c>
      <c r="R607" t="s">
        <v>153</v>
      </c>
      <c r="S607">
        <v>2.2420940321164502E-2</v>
      </c>
    </row>
    <row r="608" spans="16:19" x14ac:dyDescent="0.25">
      <c r="P608" t="s">
        <v>113</v>
      </c>
      <c r="Q608" t="s">
        <v>144</v>
      </c>
      <c r="R608" t="s">
        <v>154</v>
      </c>
      <c r="S608">
        <v>0.12804891763734716</v>
      </c>
    </row>
    <row r="609" spans="16:19" x14ac:dyDescent="0.25">
      <c r="P609" t="s">
        <v>113</v>
      </c>
      <c r="Q609" t="s">
        <v>144</v>
      </c>
      <c r="R609" t="s">
        <v>155</v>
      </c>
      <c r="S609">
        <v>7.51131701187851E-2</v>
      </c>
    </row>
    <row r="610" spans="16:19" x14ac:dyDescent="0.25">
      <c r="P610" t="s">
        <v>113</v>
      </c>
      <c r="Q610" t="s">
        <v>144</v>
      </c>
      <c r="R610" t="s">
        <v>156</v>
      </c>
      <c r="S610">
        <v>2.0731894309885264E-2</v>
      </c>
    </row>
    <row r="611" spans="16:19" x14ac:dyDescent="0.25">
      <c r="P611" t="s">
        <v>113</v>
      </c>
      <c r="Q611" t="s">
        <v>144</v>
      </c>
      <c r="R611" t="s">
        <v>157</v>
      </c>
      <c r="S611">
        <v>0.16930974455574158</v>
      </c>
    </row>
    <row r="612" spans="16:19" x14ac:dyDescent="0.25">
      <c r="P612" t="s">
        <v>113</v>
      </c>
      <c r="Q612" t="s">
        <v>144</v>
      </c>
      <c r="R612" t="s">
        <v>158</v>
      </c>
      <c r="S612">
        <v>9.5405834117123681E-2</v>
      </c>
    </row>
    <row r="613" spans="16:19" x14ac:dyDescent="0.25">
      <c r="P613" t="s">
        <v>113</v>
      </c>
      <c r="Q613" t="s">
        <v>144</v>
      </c>
      <c r="R613" t="s">
        <v>159</v>
      </c>
      <c r="S613">
        <v>2.7352950695817824E-2</v>
      </c>
    </row>
    <row r="614" spans="16:19" x14ac:dyDescent="0.25">
      <c r="P614" t="s">
        <v>113</v>
      </c>
      <c r="Q614" t="s">
        <v>144</v>
      </c>
      <c r="R614" t="s">
        <v>160</v>
      </c>
      <c r="S614">
        <v>0.13892116348962777</v>
      </c>
    </row>
    <row r="615" spans="16:19" x14ac:dyDescent="0.25">
      <c r="P615" t="s">
        <v>113</v>
      </c>
      <c r="Q615" t="s">
        <v>144</v>
      </c>
      <c r="R615" t="s">
        <v>161</v>
      </c>
      <c r="S615">
        <v>8.6620623489177456E-2</v>
      </c>
    </row>
    <row r="616" spans="16:19" x14ac:dyDescent="0.25">
      <c r="P616" t="s">
        <v>113</v>
      </c>
      <c r="Q616" t="s">
        <v>144</v>
      </c>
      <c r="R616" t="s">
        <v>162</v>
      </c>
      <c r="S616">
        <v>2.3859025985377126E-2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H124"/>
  <sheetViews>
    <sheetView workbookViewId="0"/>
  </sheetViews>
  <sheetFormatPr defaultColWidth="8.85546875" defaultRowHeight="15" x14ac:dyDescent="0.25"/>
  <cols>
    <col min="1" max="3" width="8.85546875" customWidth="1"/>
    <col min="4" max="4" width="7.140625" bestFit="1" customWidth="1"/>
    <col min="5" max="5" width="8.85546875" customWidth="1"/>
    <col min="6" max="6" width="7.85546875" bestFit="1" customWidth="1"/>
    <col min="7" max="7" width="9" bestFit="1" customWidth="1"/>
  </cols>
  <sheetData>
    <row r="1" spans="3:8" x14ac:dyDescent="0.25">
      <c r="C1" t="s">
        <v>31</v>
      </c>
    </row>
    <row r="3" spans="3:8" x14ac:dyDescent="0.25">
      <c r="C3" t="s">
        <v>35</v>
      </c>
    </row>
    <row r="4" spans="3:8" x14ac:dyDescent="0.25">
      <c r="C4" t="s">
        <v>3</v>
      </c>
      <c r="D4" t="s">
        <v>132</v>
      </c>
      <c r="E4" t="s">
        <v>1</v>
      </c>
      <c r="F4" t="s">
        <v>2</v>
      </c>
      <c r="G4">
        <v>2016</v>
      </c>
      <c r="H4" t="s">
        <v>6</v>
      </c>
    </row>
    <row r="5" spans="3:8" x14ac:dyDescent="0.25">
      <c r="C5" t="s">
        <v>133</v>
      </c>
      <c r="D5" t="s">
        <v>114</v>
      </c>
      <c r="E5" t="s">
        <v>134</v>
      </c>
      <c r="F5" t="s">
        <v>41</v>
      </c>
      <c r="G5">
        <v>0.39995999999999998</v>
      </c>
      <c r="H5" t="s">
        <v>135</v>
      </c>
    </row>
    <row r="6" spans="3:8" x14ac:dyDescent="0.25">
      <c r="C6" t="s">
        <v>133</v>
      </c>
      <c r="D6" t="s">
        <v>115</v>
      </c>
      <c r="E6" t="s">
        <v>134</v>
      </c>
      <c r="F6" t="s">
        <v>41</v>
      </c>
      <c r="G6">
        <v>0.51600000000000001</v>
      </c>
      <c r="H6" t="s">
        <v>135</v>
      </c>
    </row>
    <row r="7" spans="3:8" x14ac:dyDescent="0.25">
      <c r="C7" t="s">
        <v>133</v>
      </c>
      <c r="D7" t="s">
        <v>115</v>
      </c>
      <c r="E7" t="s">
        <v>134</v>
      </c>
      <c r="F7" t="s">
        <v>41</v>
      </c>
      <c r="G7">
        <v>0.51600000000000001</v>
      </c>
      <c r="H7" t="s">
        <v>136</v>
      </c>
    </row>
    <row r="8" spans="3:8" x14ac:dyDescent="0.25">
      <c r="C8" t="s">
        <v>133</v>
      </c>
      <c r="D8" t="s">
        <v>116</v>
      </c>
      <c r="E8" t="s">
        <v>134</v>
      </c>
      <c r="F8" t="s">
        <v>41</v>
      </c>
      <c r="G8">
        <v>0.44688</v>
      </c>
      <c r="H8" t="s">
        <v>135</v>
      </c>
    </row>
    <row r="9" spans="3:8" x14ac:dyDescent="0.25">
      <c r="C9" t="s">
        <v>133</v>
      </c>
      <c r="D9" t="s">
        <v>116</v>
      </c>
      <c r="E9" t="s">
        <v>134</v>
      </c>
      <c r="F9" t="s">
        <v>41</v>
      </c>
      <c r="G9">
        <v>0.44688</v>
      </c>
      <c r="H9" t="s">
        <v>136</v>
      </c>
    </row>
    <row r="10" spans="3:8" x14ac:dyDescent="0.25">
      <c r="C10" t="s">
        <v>133</v>
      </c>
      <c r="D10" t="s">
        <v>117</v>
      </c>
      <c r="E10" t="s">
        <v>134</v>
      </c>
      <c r="F10" t="s">
        <v>41</v>
      </c>
      <c r="G10">
        <v>0.61931999999999998</v>
      </c>
      <c r="H10" t="s">
        <v>135</v>
      </c>
    </row>
    <row r="11" spans="3:8" x14ac:dyDescent="0.25">
      <c r="C11" t="s">
        <v>133</v>
      </c>
      <c r="D11" t="s">
        <v>118</v>
      </c>
      <c r="E11" t="s">
        <v>134</v>
      </c>
      <c r="F11" t="s">
        <v>41</v>
      </c>
      <c r="G11">
        <v>0.60971999999999993</v>
      </c>
      <c r="H11" t="s">
        <v>135</v>
      </c>
    </row>
    <row r="12" spans="3:8" x14ac:dyDescent="0.25">
      <c r="C12" t="s">
        <v>133</v>
      </c>
      <c r="D12" t="s">
        <v>118</v>
      </c>
      <c r="E12" t="s">
        <v>134</v>
      </c>
      <c r="F12" t="s">
        <v>41</v>
      </c>
      <c r="G12">
        <v>0.60971999999999993</v>
      </c>
      <c r="H12" t="s">
        <v>136</v>
      </c>
    </row>
    <row r="13" spans="3:8" x14ac:dyDescent="0.25">
      <c r="C13" t="s">
        <v>133</v>
      </c>
      <c r="D13" t="s">
        <v>119</v>
      </c>
      <c r="E13" t="s">
        <v>134</v>
      </c>
      <c r="F13" t="s">
        <v>41</v>
      </c>
      <c r="G13">
        <v>0.52883999999999998</v>
      </c>
      <c r="H13" t="s">
        <v>135</v>
      </c>
    </row>
    <row r="14" spans="3:8" x14ac:dyDescent="0.25">
      <c r="C14" t="s">
        <v>133</v>
      </c>
      <c r="D14" t="s">
        <v>119</v>
      </c>
      <c r="E14" t="s">
        <v>134</v>
      </c>
      <c r="F14" t="s">
        <v>41</v>
      </c>
      <c r="G14">
        <v>0.52883999999999998</v>
      </c>
      <c r="H14" t="s">
        <v>136</v>
      </c>
    </row>
    <row r="15" spans="3:8" x14ac:dyDescent="0.25">
      <c r="C15" t="s">
        <v>133</v>
      </c>
      <c r="D15" t="s">
        <v>120</v>
      </c>
      <c r="E15" t="s">
        <v>134</v>
      </c>
      <c r="F15" t="s">
        <v>41</v>
      </c>
      <c r="G15">
        <v>0.78035999999999994</v>
      </c>
      <c r="H15" t="s">
        <v>135</v>
      </c>
    </row>
    <row r="16" spans="3:8" x14ac:dyDescent="0.25">
      <c r="C16" t="s">
        <v>133</v>
      </c>
      <c r="D16" t="s">
        <v>121</v>
      </c>
      <c r="E16" t="s">
        <v>134</v>
      </c>
      <c r="F16" t="s">
        <v>41</v>
      </c>
      <c r="G16">
        <v>0.42768</v>
      </c>
      <c r="H16" t="s">
        <v>135</v>
      </c>
    </row>
    <row r="17" spans="3:8" x14ac:dyDescent="0.25">
      <c r="C17" t="s">
        <v>133</v>
      </c>
      <c r="D17" t="s">
        <v>121</v>
      </c>
      <c r="E17" t="s">
        <v>134</v>
      </c>
      <c r="F17" t="s">
        <v>41</v>
      </c>
      <c r="G17">
        <v>0.42768</v>
      </c>
      <c r="H17" t="s">
        <v>136</v>
      </c>
    </row>
    <row r="18" spans="3:8" x14ac:dyDescent="0.25">
      <c r="C18" t="s">
        <v>133</v>
      </c>
      <c r="D18" t="s">
        <v>122</v>
      </c>
      <c r="E18" t="s">
        <v>134</v>
      </c>
      <c r="F18" t="s">
        <v>41</v>
      </c>
      <c r="G18">
        <v>0.44639999999999996</v>
      </c>
      <c r="H18" t="s">
        <v>135</v>
      </c>
    </row>
    <row r="19" spans="3:8" x14ac:dyDescent="0.25">
      <c r="C19" t="s">
        <v>133</v>
      </c>
      <c r="D19" t="s">
        <v>123</v>
      </c>
      <c r="E19" t="s">
        <v>134</v>
      </c>
      <c r="F19" t="s">
        <v>41</v>
      </c>
      <c r="G19">
        <v>0.45179999999999998</v>
      </c>
      <c r="H19" t="s">
        <v>135</v>
      </c>
    </row>
    <row r="20" spans="3:8" x14ac:dyDescent="0.25">
      <c r="C20" t="s">
        <v>133</v>
      </c>
      <c r="D20" t="s">
        <v>124</v>
      </c>
      <c r="E20" t="s">
        <v>134</v>
      </c>
      <c r="F20" t="s">
        <v>41</v>
      </c>
      <c r="G20">
        <v>0.19211999999999999</v>
      </c>
      <c r="H20" t="s">
        <v>135</v>
      </c>
    </row>
    <row r="21" spans="3:8" x14ac:dyDescent="0.25">
      <c r="C21" t="s">
        <v>133</v>
      </c>
      <c r="D21" t="s">
        <v>51</v>
      </c>
      <c r="E21" t="s">
        <v>134</v>
      </c>
      <c r="F21" t="s">
        <v>41</v>
      </c>
      <c r="G21">
        <v>0.51683999999999997</v>
      </c>
      <c r="H21" t="s">
        <v>135</v>
      </c>
    </row>
    <row r="22" spans="3:8" x14ac:dyDescent="0.25">
      <c r="C22" t="s">
        <v>133</v>
      </c>
      <c r="D22" t="s">
        <v>125</v>
      </c>
      <c r="E22" t="s">
        <v>134</v>
      </c>
      <c r="F22" t="s">
        <v>41</v>
      </c>
      <c r="G22">
        <v>0.40451999999999999</v>
      </c>
      <c r="H22" t="s">
        <v>135</v>
      </c>
    </row>
    <row r="23" spans="3:8" x14ac:dyDescent="0.25">
      <c r="C23" t="s">
        <v>133</v>
      </c>
      <c r="D23" t="s">
        <v>106</v>
      </c>
      <c r="E23" t="s">
        <v>134</v>
      </c>
      <c r="F23" t="s">
        <v>41</v>
      </c>
      <c r="G23">
        <v>0.53903999999999996</v>
      </c>
      <c r="H23" t="s">
        <v>135</v>
      </c>
    </row>
    <row r="24" spans="3:8" x14ac:dyDescent="0.25">
      <c r="C24" t="s">
        <v>133</v>
      </c>
      <c r="D24" t="s">
        <v>106</v>
      </c>
      <c r="E24" t="s">
        <v>134</v>
      </c>
      <c r="F24" t="s">
        <v>41</v>
      </c>
      <c r="G24">
        <v>0.53903999999999996</v>
      </c>
      <c r="H24" t="s">
        <v>136</v>
      </c>
    </row>
    <row r="25" spans="3:8" x14ac:dyDescent="0.25">
      <c r="C25" t="s">
        <v>133</v>
      </c>
      <c r="D25" t="s">
        <v>52</v>
      </c>
      <c r="E25" t="s">
        <v>134</v>
      </c>
      <c r="F25" t="s">
        <v>41</v>
      </c>
      <c r="G25">
        <v>0.29543999999999998</v>
      </c>
      <c r="H25" t="s">
        <v>135</v>
      </c>
    </row>
    <row r="26" spans="3:8" x14ac:dyDescent="0.25">
      <c r="C26" t="s">
        <v>133</v>
      </c>
      <c r="D26" t="s">
        <v>52</v>
      </c>
      <c r="E26" t="s">
        <v>134</v>
      </c>
      <c r="F26" t="s">
        <v>41</v>
      </c>
      <c r="G26">
        <v>0.29543999999999998</v>
      </c>
      <c r="H26" t="s">
        <v>136</v>
      </c>
    </row>
    <row r="27" spans="3:8" x14ac:dyDescent="0.25">
      <c r="C27" t="s">
        <v>133</v>
      </c>
      <c r="D27" t="s">
        <v>126</v>
      </c>
      <c r="E27" t="s">
        <v>134</v>
      </c>
      <c r="F27" t="s">
        <v>41</v>
      </c>
      <c r="G27">
        <v>0.36863999999999997</v>
      </c>
      <c r="H27" t="s">
        <v>135</v>
      </c>
    </row>
    <row r="28" spans="3:8" x14ac:dyDescent="0.25">
      <c r="C28" t="s">
        <v>133</v>
      </c>
      <c r="D28" t="s">
        <v>113</v>
      </c>
      <c r="E28" t="s">
        <v>134</v>
      </c>
      <c r="F28" t="s">
        <v>41</v>
      </c>
      <c r="G28">
        <v>0.39923999999999998</v>
      </c>
      <c r="H28" t="s">
        <v>135</v>
      </c>
    </row>
    <row r="29" spans="3:8" x14ac:dyDescent="0.25">
      <c r="C29" t="s">
        <v>137</v>
      </c>
      <c r="D29" t="s">
        <v>114</v>
      </c>
      <c r="E29" t="s">
        <v>134</v>
      </c>
      <c r="F29" t="s">
        <v>41</v>
      </c>
      <c r="G29">
        <v>0.28727999999999998</v>
      </c>
      <c r="H29" t="s">
        <v>135</v>
      </c>
    </row>
    <row r="30" spans="3:8" x14ac:dyDescent="0.25">
      <c r="C30" t="s">
        <v>137</v>
      </c>
      <c r="D30" t="s">
        <v>115</v>
      </c>
      <c r="E30" t="s">
        <v>134</v>
      </c>
      <c r="F30" t="s">
        <v>41</v>
      </c>
      <c r="G30">
        <v>0.63936000000000004</v>
      </c>
      <c r="H30" t="s">
        <v>135</v>
      </c>
    </row>
    <row r="31" spans="3:8" x14ac:dyDescent="0.25">
      <c r="C31" t="s">
        <v>137</v>
      </c>
      <c r="D31" t="s">
        <v>115</v>
      </c>
      <c r="E31" t="s">
        <v>134</v>
      </c>
      <c r="F31" t="s">
        <v>41</v>
      </c>
      <c r="G31">
        <v>0.63936000000000004</v>
      </c>
      <c r="H31" t="s">
        <v>136</v>
      </c>
    </row>
    <row r="32" spans="3:8" x14ac:dyDescent="0.25">
      <c r="C32" t="s">
        <v>137</v>
      </c>
      <c r="D32" t="s">
        <v>116</v>
      </c>
      <c r="E32" t="s">
        <v>134</v>
      </c>
      <c r="F32" t="s">
        <v>41</v>
      </c>
      <c r="G32">
        <v>0.39204</v>
      </c>
      <c r="H32" t="s">
        <v>135</v>
      </c>
    </row>
    <row r="33" spans="3:8" x14ac:dyDescent="0.25">
      <c r="C33" t="s">
        <v>137</v>
      </c>
      <c r="D33" t="s">
        <v>116</v>
      </c>
      <c r="E33" t="s">
        <v>134</v>
      </c>
      <c r="F33" t="s">
        <v>41</v>
      </c>
      <c r="G33">
        <v>0.39204</v>
      </c>
      <c r="H33" t="s">
        <v>136</v>
      </c>
    </row>
    <row r="34" spans="3:8" x14ac:dyDescent="0.25">
      <c r="C34" t="s">
        <v>137</v>
      </c>
      <c r="D34" t="s">
        <v>117</v>
      </c>
      <c r="E34" t="s">
        <v>134</v>
      </c>
      <c r="F34" t="s">
        <v>41</v>
      </c>
      <c r="G34">
        <v>0.64319999999999999</v>
      </c>
      <c r="H34" t="s">
        <v>135</v>
      </c>
    </row>
    <row r="35" spans="3:8" x14ac:dyDescent="0.25">
      <c r="C35" t="s">
        <v>137</v>
      </c>
      <c r="D35" t="s">
        <v>118</v>
      </c>
      <c r="E35" t="s">
        <v>134</v>
      </c>
      <c r="F35" t="s">
        <v>41</v>
      </c>
      <c r="G35">
        <v>0.65088000000000001</v>
      </c>
      <c r="H35" t="s">
        <v>135</v>
      </c>
    </row>
    <row r="36" spans="3:8" x14ac:dyDescent="0.25">
      <c r="C36" t="s">
        <v>137</v>
      </c>
      <c r="D36" t="s">
        <v>118</v>
      </c>
      <c r="E36" t="s">
        <v>134</v>
      </c>
      <c r="F36" t="s">
        <v>41</v>
      </c>
      <c r="G36">
        <v>0.65088000000000001</v>
      </c>
      <c r="H36" t="s">
        <v>136</v>
      </c>
    </row>
    <row r="37" spans="3:8" x14ac:dyDescent="0.25">
      <c r="C37" t="s">
        <v>137</v>
      </c>
      <c r="D37" t="s">
        <v>119</v>
      </c>
      <c r="E37" t="s">
        <v>134</v>
      </c>
      <c r="F37" t="s">
        <v>41</v>
      </c>
      <c r="G37">
        <v>0.41004000000000002</v>
      </c>
      <c r="H37" t="s">
        <v>135</v>
      </c>
    </row>
    <row r="38" spans="3:8" x14ac:dyDescent="0.25">
      <c r="C38" t="s">
        <v>137</v>
      </c>
      <c r="D38" t="s">
        <v>119</v>
      </c>
      <c r="E38" t="s">
        <v>134</v>
      </c>
      <c r="F38" t="s">
        <v>41</v>
      </c>
      <c r="G38">
        <v>0.41004000000000002</v>
      </c>
      <c r="H38" t="s">
        <v>136</v>
      </c>
    </row>
    <row r="39" spans="3:8" x14ac:dyDescent="0.25">
      <c r="C39" t="s">
        <v>137</v>
      </c>
      <c r="D39" t="s">
        <v>120</v>
      </c>
      <c r="E39" t="s">
        <v>134</v>
      </c>
      <c r="F39" t="s">
        <v>41</v>
      </c>
      <c r="G39">
        <v>0.66335999999999995</v>
      </c>
      <c r="H39" t="s">
        <v>135</v>
      </c>
    </row>
    <row r="40" spans="3:8" x14ac:dyDescent="0.25">
      <c r="C40" t="s">
        <v>137</v>
      </c>
      <c r="D40" t="s">
        <v>121</v>
      </c>
      <c r="E40" t="s">
        <v>134</v>
      </c>
      <c r="F40" t="s">
        <v>41</v>
      </c>
      <c r="G40">
        <v>0.52632000000000001</v>
      </c>
      <c r="H40" t="s">
        <v>135</v>
      </c>
    </row>
    <row r="41" spans="3:8" x14ac:dyDescent="0.25">
      <c r="C41" t="s">
        <v>137</v>
      </c>
      <c r="D41" t="s">
        <v>121</v>
      </c>
      <c r="E41" t="s">
        <v>134</v>
      </c>
      <c r="F41" t="s">
        <v>41</v>
      </c>
      <c r="G41">
        <v>0.52632000000000001</v>
      </c>
      <c r="H41" t="s">
        <v>136</v>
      </c>
    </row>
    <row r="42" spans="3:8" x14ac:dyDescent="0.25">
      <c r="C42" t="s">
        <v>137</v>
      </c>
      <c r="D42" t="s">
        <v>122</v>
      </c>
      <c r="E42" t="s">
        <v>134</v>
      </c>
      <c r="F42" t="s">
        <v>41</v>
      </c>
      <c r="G42">
        <v>0.36983999999999995</v>
      </c>
      <c r="H42" t="s">
        <v>135</v>
      </c>
    </row>
    <row r="43" spans="3:8" x14ac:dyDescent="0.25">
      <c r="C43" t="s">
        <v>137</v>
      </c>
      <c r="D43" t="s">
        <v>123</v>
      </c>
      <c r="E43" t="s">
        <v>134</v>
      </c>
      <c r="F43" t="s">
        <v>41</v>
      </c>
      <c r="G43">
        <v>0.61007999999999996</v>
      </c>
      <c r="H43" t="s">
        <v>135</v>
      </c>
    </row>
    <row r="44" spans="3:8" x14ac:dyDescent="0.25">
      <c r="C44" t="s">
        <v>137</v>
      </c>
      <c r="D44" t="s">
        <v>124</v>
      </c>
      <c r="E44" t="s">
        <v>134</v>
      </c>
      <c r="F44" t="s">
        <v>41</v>
      </c>
      <c r="G44">
        <v>0.29364000000000001</v>
      </c>
      <c r="H44" t="s">
        <v>135</v>
      </c>
    </row>
    <row r="45" spans="3:8" x14ac:dyDescent="0.25">
      <c r="C45" t="s">
        <v>137</v>
      </c>
      <c r="D45" t="s">
        <v>51</v>
      </c>
      <c r="E45" t="s">
        <v>134</v>
      </c>
      <c r="F45" t="s">
        <v>41</v>
      </c>
      <c r="G45">
        <v>0.48515999999999998</v>
      </c>
      <c r="H45" t="s">
        <v>135</v>
      </c>
    </row>
    <row r="46" spans="3:8" x14ac:dyDescent="0.25">
      <c r="C46" t="s">
        <v>137</v>
      </c>
      <c r="D46" t="s">
        <v>125</v>
      </c>
      <c r="E46" t="s">
        <v>134</v>
      </c>
      <c r="F46" t="s">
        <v>41</v>
      </c>
      <c r="G46">
        <v>0.45335999999999999</v>
      </c>
      <c r="H46" t="s">
        <v>135</v>
      </c>
    </row>
    <row r="47" spans="3:8" x14ac:dyDescent="0.25">
      <c r="C47" t="s">
        <v>137</v>
      </c>
      <c r="D47" t="s">
        <v>106</v>
      </c>
      <c r="E47" t="s">
        <v>134</v>
      </c>
      <c r="F47" t="s">
        <v>41</v>
      </c>
      <c r="G47">
        <v>0.52079999999999993</v>
      </c>
      <c r="H47" t="s">
        <v>135</v>
      </c>
    </row>
    <row r="48" spans="3:8" x14ac:dyDescent="0.25">
      <c r="C48" t="s">
        <v>137</v>
      </c>
      <c r="D48" t="s">
        <v>106</v>
      </c>
      <c r="E48" t="s">
        <v>134</v>
      </c>
      <c r="F48" t="s">
        <v>41</v>
      </c>
      <c r="G48">
        <v>0.52079999999999993</v>
      </c>
      <c r="H48" t="s">
        <v>136</v>
      </c>
    </row>
    <row r="49" spans="3:8" x14ac:dyDescent="0.25">
      <c r="C49" t="s">
        <v>137</v>
      </c>
      <c r="D49" t="s">
        <v>52</v>
      </c>
      <c r="E49" t="s">
        <v>134</v>
      </c>
      <c r="F49" t="s">
        <v>41</v>
      </c>
      <c r="G49">
        <v>0.28403999999999996</v>
      </c>
      <c r="H49" t="s">
        <v>135</v>
      </c>
    </row>
    <row r="50" spans="3:8" x14ac:dyDescent="0.25">
      <c r="C50" t="s">
        <v>137</v>
      </c>
      <c r="D50" t="s">
        <v>52</v>
      </c>
      <c r="E50" t="s">
        <v>134</v>
      </c>
      <c r="F50" t="s">
        <v>41</v>
      </c>
      <c r="G50">
        <v>0.28403999999999996</v>
      </c>
      <c r="H50" t="s">
        <v>136</v>
      </c>
    </row>
    <row r="51" spans="3:8" x14ac:dyDescent="0.25">
      <c r="C51" t="s">
        <v>137</v>
      </c>
      <c r="D51" t="s">
        <v>126</v>
      </c>
      <c r="E51" t="s">
        <v>134</v>
      </c>
      <c r="F51" t="s">
        <v>41</v>
      </c>
      <c r="G51">
        <v>0.49475999999999998</v>
      </c>
      <c r="H51" t="s">
        <v>135</v>
      </c>
    </row>
    <row r="52" spans="3:8" x14ac:dyDescent="0.25">
      <c r="C52" t="s">
        <v>137</v>
      </c>
      <c r="D52" t="s">
        <v>113</v>
      </c>
      <c r="E52" t="s">
        <v>134</v>
      </c>
      <c r="F52" t="s">
        <v>41</v>
      </c>
      <c r="G52">
        <v>0.54635999999999996</v>
      </c>
      <c r="H52" t="s">
        <v>135</v>
      </c>
    </row>
    <row r="53" spans="3:8" x14ac:dyDescent="0.25">
      <c r="C53" t="s">
        <v>138</v>
      </c>
      <c r="D53" t="s">
        <v>114</v>
      </c>
      <c r="E53" t="s">
        <v>134</v>
      </c>
      <c r="F53" t="s">
        <v>41</v>
      </c>
      <c r="G53">
        <v>0.47795999999999994</v>
      </c>
      <c r="H53" t="s">
        <v>135</v>
      </c>
    </row>
    <row r="54" spans="3:8" x14ac:dyDescent="0.25">
      <c r="C54" t="s">
        <v>138</v>
      </c>
      <c r="D54" t="s">
        <v>115</v>
      </c>
      <c r="E54" t="s">
        <v>134</v>
      </c>
      <c r="F54" t="s">
        <v>41</v>
      </c>
      <c r="G54">
        <v>0.50231999999999999</v>
      </c>
      <c r="H54" t="s">
        <v>135</v>
      </c>
    </row>
    <row r="55" spans="3:8" x14ac:dyDescent="0.25">
      <c r="C55" t="s">
        <v>138</v>
      </c>
      <c r="D55" t="s">
        <v>115</v>
      </c>
      <c r="E55" t="s">
        <v>134</v>
      </c>
      <c r="F55" t="s">
        <v>41</v>
      </c>
      <c r="G55">
        <v>0.50231999999999999</v>
      </c>
      <c r="H55" t="s">
        <v>136</v>
      </c>
    </row>
    <row r="56" spans="3:8" x14ac:dyDescent="0.25">
      <c r="C56" t="s">
        <v>138</v>
      </c>
      <c r="D56" t="s">
        <v>116</v>
      </c>
      <c r="E56" t="s">
        <v>134</v>
      </c>
      <c r="F56" t="s">
        <v>41</v>
      </c>
      <c r="G56">
        <v>0.49067999999999995</v>
      </c>
      <c r="H56" t="s">
        <v>135</v>
      </c>
    </row>
    <row r="57" spans="3:8" x14ac:dyDescent="0.25">
      <c r="C57" t="s">
        <v>138</v>
      </c>
      <c r="D57" t="s">
        <v>116</v>
      </c>
      <c r="E57" t="s">
        <v>134</v>
      </c>
      <c r="F57" t="s">
        <v>41</v>
      </c>
      <c r="G57">
        <v>0.49067999999999995</v>
      </c>
      <c r="H57" t="s">
        <v>136</v>
      </c>
    </row>
    <row r="58" spans="3:8" x14ac:dyDescent="0.25">
      <c r="C58" t="s">
        <v>138</v>
      </c>
      <c r="D58" t="s">
        <v>117</v>
      </c>
      <c r="E58" t="s">
        <v>134</v>
      </c>
      <c r="F58" t="s">
        <v>41</v>
      </c>
      <c r="G58">
        <v>0.59111999999999998</v>
      </c>
      <c r="H58" t="s">
        <v>135</v>
      </c>
    </row>
    <row r="59" spans="3:8" x14ac:dyDescent="0.25">
      <c r="C59" t="s">
        <v>138</v>
      </c>
      <c r="D59" t="s">
        <v>118</v>
      </c>
      <c r="E59" t="s">
        <v>134</v>
      </c>
      <c r="F59" t="s">
        <v>41</v>
      </c>
      <c r="G59">
        <v>0.59471999999999992</v>
      </c>
      <c r="H59" t="s">
        <v>135</v>
      </c>
    </row>
    <row r="60" spans="3:8" x14ac:dyDescent="0.25">
      <c r="C60" t="s">
        <v>138</v>
      </c>
      <c r="D60" t="s">
        <v>118</v>
      </c>
      <c r="E60" t="s">
        <v>134</v>
      </c>
      <c r="F60" t="s">
        <v>41</v>
      </c>
      <c r="G60">
        <v>0.59471999999999992</v>
      </c>
      <c r="H60" t="s">
        <v>136</v>
      </c>
    </row>
    <row r="61" spans="3:8" x14ac:dyDescent="0.25">
      <c r="C61" t="s">
        <v>138</v>
      </c>
      <c r="D61" t="s">
        <v>119</v>
      </c>
      <c r="E61" t="s">
        <v>134</v>
      </c>
      <c r="F61" t="s">
        <v>41</v>
      </c>
      <c r="G61">
        <v>0.63600000000000001</v>
      </c>
      <c r="H61" t="s">
        <v>135</v>
      </c>
    </row>
    <row r="62" spans="3:8" x14ac:dyDescent="0.25">
      <c r="C62" t="s">
        <v>138</v>
      </c>
      <c r="D62" t="s">
        <v>119</v>
      </c>
      <c r="E62" t="s">
        <v>134</v>
      </c>
      <c r="F62" t="s">
        <v>41</v>
      </c>
      <c r="G62">
        <v>0.63600000000000001</v>
      </c>
      <c r="H62" t="s">
        <v>136</v>
      </c>
    </row>
    <row r="63" spans="3:8" x14ac:dyDescent="0.25">
      <c r="C63" t="s">
        <v>138</v>
      </c>
      <c r="D63" t="s">
        <v>120</v>
      </c>
      <c r="E63" t="s">
        <v>134</v>
      </c>
      <c r="F63" t="s">
        <v>41</v>
      </c>
      <c r="G63">
        <v>0.74159999999999993</v>
      </c>
      <c r="H63" t="s">
        <v>135</v>
      </c>
    </row>
    <row r="64" spans="3:8" x14ac:dyDescent="0.25">
      <c r="C64" t="s">
        <v>138</v>
      </c>
      <c r="D64" t="s">
        <v>121</v>
      </c>
      <c r="E64" t="s">
        <v>134</v>
      </c>
      <c r="F64" t="s">
        <v>41</v>
      </c>
      <c r="G64">
        <v>0.47724</v>
      </c>
      <c r="H64" t="s">
        <v>135</v>
      </c>
    </row>
    <row r="65" spans="3:8" x14ac:dyDescent="0.25">
      <c r="C65" t="s">
        <v>138</v>
      </c>
      <c r="D65" t="s">
        <v>121</v>
      </c>
      <c r="E65" t="s">
        <v>134</v>
      </c>
      <c r="F65" t="s">
        <v>41</v>
      </c>
      <c r="G65">
        <v>0.47724</v>
      </c>
      <c r="H65" t="s">
        <v>136</v>
      </c>
    </row>
    <row r="66" spans="3:8" x14ac:dyDescent="0.25">
      <c r="C66" t="s">
        <v>138</v>
      </c>
      <c r="D66" t="s">
        <v>122</v>
      </c>
      <c r="E66" t="s">
        <v>134</v>
      </c>
      <c r="F66" t="s">
        <v>41</v>
      </c>
      <c r="G66">
        <v>0.56015999999999999</v>
      </c>
      <c r="H66" t="s">
        <v>135</v>
      </c>
    </row>
    <row r="67" spans="3:8" x14ac:dyDescent="0.25">
      <c r="C67" t="s">
        <v>138</v>
      </c>
      <c r="D67" t="s">
        <v>123</v>
      </c>
      <c r="E67" t="s">
        <v>134</v>
      </c>
      <c r="F67" t="s">
        <v>41</v>
      </c>
      <c r="G67">
        <v>0.62579999999999991</v>
      </c>
      <c r="H67" t="s">
        <v>135</v>
      </c>
    </row>
    <row r="68" spans="3:8" x14ac:dyDescent="0.25">
      <c r="C68" t="s">
        <v>138</v>
      </c>
      <c r="D68" t="s">
        <v>124</v>
      </c>
      <c r="E68" t="s">
        <v>134</v>
      </c>
      <c r="F68" t="s">
        <v>41</v>
      </c>
      <c r="G68">
        <v>4.1759999999999999E-2</v>
      </c>
      <c r="H68" t="s">
        <v>135</v>
      </c>
    </row>
    <row r="69" spans="3:8" x14ac:dyDescent="0.25">
      <c r="C69" t="s">
        <v>138</v>
      </c>
      <c r="D69" t="s">
        <v>51</v>
      </c>
      <c r="E69" t="s">
        <v>134</v>
      </c>
      <c r="F69" t="s">
        <v>41</v>
      </c>
      <c r="G69">
        <v>0.52788000000000002</v>
      </c>
      <c r="H69" t="s">
        <v>135</v>
      </c>
    </row>
    <row r="70" spans="3:8" x14ac:dyDescent="0.25">
      <c r="C70" t="s">
        <v>138</v>
      </c>
      <c r="D70" t="s">
        <v>125</v>
      </c>
      <c r="E70" t="s">
        <v>134</v>
      </c>
      <c r="F70" t="s">
        <v>41</v>
      </c>
      <c r="G70">
        <v>0.58331999999999995</v>
      </c>
      <c r="H70" t="s">
        <v>135</v>
      </c>
    </row>
    <row r="71" spans="3:8" x14ac:dyDescent="0.25">
      <c r="C71" t="s">
        <v>138</v>
      </c>
      <c r="D71" t="s">
        <v>106</v>
      </c>
      <c r="E71" t="s">
        <v>134</v>
      </c>
      <c r="F71" t="s">
        <v>41</v>
      </c>
      <c r="G71">
        <v>0.46283999999999997</v>
      </c>
      <c r="H71" t="s">
        <v>135</v>
      </c>
    </row>
    <row r="72" spans="3:8" x14ac:dyDescent="0.25">
      <c r="C72" t="s">
        <v>138</v>
      </c>
      <c r="D72" t="s">
        <v>106</v>
      </c>
      <c r="E72" t="s">
        <v>134</v>
      </c>
      <c r="F72" t="s">
        <v>41</v>
      </c>
      <c r="G72">
        <v>0.46283999999999997</v>
      </c>
      <c r="H72" t="s">
        <v>136</v>
      </c>
    </row>
    <row r="73" spans="3:8" x14ac:dyDescent="0.25">
      <c r="C73" t="s">
        <v>138</v>
      </c>
      <c r="D73" t="s">
        <v>52</v>
      </c>
      <c r="E73" t="s">
        <v>134</v>
      </c>
      <c r="F73" t="s">
        <v>41</v>
      </c>
      <c r="G73">
        <v>0.35279999999999995</v>
      </c>
      <c r="H73" t="s">
        <v>135</v>
      </c>
    </row>
    <row r="74" spans="3:8" x14ac:dyDescent="0.25">
      <c r="C74" t="s">
        <v>138</v>
      </c>
      <c r="D74" t="s">
        <v>52</v>
      </c>
      <c r="E74" t="s">
        <v>134</v>
      </c>
      <c r="F74" t="s">
        <v>41</v>
      </c>
      <c r="G74">
        <v>0.35279999999999995</v>
      </c>
      <c r="H74" t="s">
        <v>136</v>
      </c>
    </row>
    <row r="75" spans="3:8" x14ac:dyDescent="0.25">
      <c r="C75" t="s">
        <v>138</v>
      </c>
      <c r="D75" t="s">
        <v>126</v>
      </c>
      <c r="E75" t="s">
        <v>134</v>
      </c>
      <c r="F75" t="s">
        <v>41</v>
      </c>
      <c r="G75">
        <v>0.35232000000000002</v>
      </c>
      <c r="H75" t="s">
        <v>135</v>
      </c>
    </row>
    <row r="76" spans="3:8" x14ac:dyDescent="0.25">
      <c r="C76" t="s">
        <v>138</v>
      </c>
      <c r="D76" t="s">
        <v>113</v>
      </c>
      <c r="E76" t="s">
        <v>134</v>
      </c>
      <c r="F76" t="s">
        <v>41</v>
      </c>
      <c r="G76">
        <v>0.52488000000000001</v>
      </c>
      <c r="H76" t="s">
        <v>135</v>
      </c>
    </row>
    <row r="77" spans="3:8" x14ac:dyDescent="0.25">
      <c r="C77" t="s">
        <v>139</v>
      </c>
      <c r="D77" t="s">
        <v>114</v>
      </c>
      <c r="E77" t="s">
        <v>134</v>
      </c>
      <c r="F77" t="s">
        <v>41</v>
      </c>
      <c r="G77">
        <v>0.70967999999999998</v>
      </c>
      <c r="H77" t="s">
        <v>135</v>
      </c>
    </row>
    <row r="78" spans="3:8" x14ac:dyDescent="0.25">
      <c r="C78" t="s">
        <v>139</v>
      </c>
      <c r="D78" t="s">
        <v>115</v>
      </c>
      <c r="E78" t="s">
        <v>134</v>
      </c>
      <c r="F78" t="s">
        <v>41</v>
      </c>
      <c r="G78">
        <v>0.79715999999999998</v>
      </c>
      <c r="H78" t="s">
        <v>135</v>
      </c>
    </row>
    <row r="79" spans="3:8" x14ac:dyDescent="0.25">
      <c r="C79" t="s">
        <v>139</v>
      </c>
      <c r="D79" t="s">
        <v>115</v>
      </c>
      <c r="E79" t="s">
        <v>134</v>
      </c>
      <c r="F79" t="s">
        <v>41</v>
      </c>
      <c r="G79">
        <v>0.79715999999999998</v>
      </c>
      <c r="H79" t="s">
        <v>136</v>
      </c>
    </row>
    <row r="80" spans="3:8" x14ac:dyDescent="0.25">
      <c r="C80" t="s">
        <v>139</v>
      </c>
      <c r="D80" t="s">
        <v>116</v>
      </c>
      <c r="E80" t="s">
        <v>134</v>
      </c>
      <c r="F80" t="s">
        <v>41</v>
      </c>
      <c r="G80">
        <v>0.40583999999999998</v>
      </c>
      <c r="H80" t="s">
        <v>135</v>
      </c>
    </row>
    <row r="81" spans="3:8" x14ac:dyDescent="0.25">
      <c r="C81" t="s">
        <v>139</v>
      </c>
      <c r="D81" t="s">
        <v>116</v>
      </c>
      <c r="E81" t="s">
        <v>134</v>
      </c>
      <c r="F81" t="s">
        <v>41</v>
      </c>
      <c r="G81">
        <v>0.40583999999999998</v>
      </c>
      <c r="H81" t="s">
        <v>136</v>
      </c>
    </row>
    <row r="82" spans="3:8" x14ac:dyDescent="0.25">
      <c r="C82" t="s">
        <v>139</v>
      </c>
      <c r="D82" t="s">
        <v>117</v>
      </c>
      <c r="E82" t="s">
        <v>134</v>
      </c>
      <c r="F82" t="s">
        <v>41</v>
      </c>
      <c r="G82">
        <v>0.67427999999999988</v>
      </c>
      <c r="H82" t="s">
        <v>135</v>
      </c>
    </row>
    <row r="83" spans="3:8" x14ac:dyDescent="0.25">
      <c r="C83" t="s">
        <v>139</v>
      </c>
      <c r="D83" t="s">
        <v>118</v>
      </c>
      <c r="E83" t="s">
        <v>134</v>
      </c>
      <c r="F83" t="s">
        <v>41</v>
      </c>
      <c r="G83">
        <v>0.78395999999999999</v>
      </c>
      <c r="H83" t="s">
        <v>135</v>
      </c>
    </row>
    <row r="84" spans="3:8" x14ac:dyDescent="0.25">
      <c r="C84" t="s">
        <v>139</v>
      </c>
      <c r="D84" t="s">
        <v>118</v>
      </c>
      <c r="E84" t="s">
        <v>134</v>
      </c>
      <c r="F84" t="s">
        <v>41</v>
      </c>
      <c r="G84">
        <v>0.78395999999999999</v>
      </c>
      <c r="H84" t="s">
        <v>136</v>
      </c>
    </row>
    <row r="85" spans="3:8" x14ac:dyDescent="0.25">
      <c r="C85" t="s">
        <v>139</v>
      </c>
      <c r="D85" t="s">
        <v>119</v>
      </c>
      <c r="E85" t="s">
        <v>134</v>
      </c>
      <c r="F85" t="s">
        <v>41</v>
      </c>
      <c r="G85">
        <v>0.32519999999999999</v>
      </c>
      <c r="H85" t="s">
        <v>135</v>
      </c>
    </row>
    <row r="86" spans="3:8" x14ac:dyDescent="0.25">
      <c r="C86" t="s">
        <v>139</v>
      </c>
      <c r="D86" t="s">
        <v>119</v>
      </c>
      <c r="E86" t="s">
        <v>134</v>
      </c>
      <c r="F86" t="s">
        <v>41</v>
      </c>
      <c r="G86">
        <v>0.32519999999999999</v>
      </c>
      <c r="H86" t="s">
        <v>136</v>
      </c>
    </row>
    <row r="87" spans="3:8" x14ac:dyDescent="0.25">
      <c r="C87" t="s">
        <v>139</v>
      </c>
      <c r="D87" t="s">
        <v>120</v>
      </c>
      <c r="E87" t="s">
        <v>134</v>
      </c>
      <c r="F87" t="s">
        <v>41</v>
      </c>
      <c r="G87">
        <v>0.62292000000000003</v>
      </c>
      <c r="H87" t="s">
        <v>135</v>
      </c>
    </row>
    <row r="88" spans="3:8" x14ac:dyDescent="0.25">
      <c r="C88" t="s">
        <v>139</v>
      </c>
      <c r="D88" t="s">
        <v>121</v>
      </c>
      <c r="E88" t="s">
        <v>134</v>
      </c>
      <c r="F88" t="s">
        <v>41</v>
      </c>
      <c r="G88">
        <v>0.51300000000000001</v>
      </c>
      <c r="H88" t="s">
        <v>135</v>
      </c>
    </row>
    <row r="89" spans="3:8" x14ac:dyDescent="0.25">
      <c r="C89" t="s">
        <v>139</v>
      </c>
      <c r="D89" t="s">
        <v>121</v>
      </c>
      <c r="E89" t="s">
        <v>134</v>
      </c>
      <c r="F89" t="s">
        <v>41</v>
      </c>
      <c r="G89">
        <v>0.51300000000000001</v>
      </c>
      <c r="H89" t="s">
        <v>136</v>
      </c>
    </row>
    <row r="90" spans="3:8" x14ac:dyDescent="0.25">
      <c r="C90" t="s">
        <v>139</v>
      </c>
      <c r="D90" t="s">
        <v>122</v>
      </c>
      <c r="E90" t="s">
        <v>134</v>
      </c>
      <c r="F90" t="s">
        <v>41</v>
      </c>
      <c r="G90">
        <v>0.30612</v>
      </c>
      <c r="H90" t="s">
        <v>135</v>
      </c>
    </row>
    <row r="91" spans="3:8" x14ac:dyDescent="0.25">
      <c r="C91" t="s">
        <v>139</v>
      </c>
      <c r="D91" t="s">
        <v>123</v>
      </c>
      <c r="E91" t="s">
        <v>134</v>
      </c>
      <c r="F91" t="s">
        <v>41</v>
      </c>
      <c r="G91">
        <v>0.42851999999999996</v>
      </c>
      <c r="H91" t="s">
        <v>135</v>
      </c>
    </row>
    <row r="92" spans="3:8" x14ac:dyDescent="0.25">
      <c r="C92" t="s">
        <v>139</v>
      </c>
      <c r="D92" t="s">
        <v>124</v>
      </c>
      <c r="E92" t="s">
        <v>134</v>
      </c>
      <c r="F92" t="s">
        <v>41</v>
      </c>
      <c r="G92">
        <v>0.37823999999999997</v>
      </c>
      <c r="H92" t="s">
        <v>135</v>
      </c>
    </row>
    <row r="93" spans="3:8" x14ac:dyDescent="0.25">
      <c r="C93" t="s">
        <v>139</v>
      </c>
      <c r="D93" t="s">
        <v>51</v>
      </c>
      <c r="E93" t="s">
        <v>134</v>
      </c>
      <c r="F93" t="s">
        <v>41</v>
      </c>
      <c r="G93">
        <v>0.46343999999999996</v>
      </c>
      <c r="H93" t="s">
        <v>135</v>
      </c>
    </row>
    <row r="94" spans="3:8" x14ac:dyDescent="0.25">
      <c r="C94" t="s">
        <v>139</v>
      </c>
      <c r="D94" t="s">
        <v>125</v>
      </c>
      <c r="E94" t="s">
        <v>134</v>
      </c>
      <c r="F94" t="s">
        <v>41</v>
      </c>
      <c r="G94">
        <v>0.36179999999999995</v>
      </c>
      <c r="H94" t="s">
        <v>135</v>
      </c>
    </row>
    <row r="95" spans="3:8" x14ac:dyDescent="0.25">
      <c r="C95" t="s">
        <v>139</v>
      </c>
      <c r="D95" t="s">
        <v>106</v>
      </c>
      <c r="E95" t="s">
        <v>134</v>
      </c>
      <c r="F95" t="s">
        <v>41</v>
      </c>
      <c r="G95">
        <v>0.60924</v>
      </c>
      <c r="H95" t="s">
        <v>135</v>
      </c>
    </row>
    <row r="96" spans="3:8" x14ac:dyDescent="0.25">
      <c r="C96" t="s">
        <v>139</v>
      </c>
      <c r="D96" t="s">
        <v>106</v>
      </c>
      <c r="E96" t="s">
        <v>134</v>
      </c>
      <c r="F96" t="s">
        <v>41</v>
      </c>
      <c r="G96">
        <v>0.60924</v>
      </c>
      <c r="H96" t="s">
        <v>136</v>
      </c>
    </row>
    <row r="97" spans="3:8" x14ac:dyDescent="0.25">
      <c r="C97" t="s">
        <v>139</v>
      </c>
      <c r="D97" t="s">
        <v>52</v>
      </c>
      <c r="E97" t="s">
        <v>134</v>
      </c>
      <c r="F97" t="s">
        <v>41</v>
      </c>
      <c r="G97">
        <v>0.27827999999999997</v>
      </c>
      <c r="H97" t="s">
        <v>135</v>
      </c>
    </row>
    <row r="98" spans="3:8" x14ac:dyDescent="0.25">
      <c r="C98" t="s">
        <v>139</v>
      </c>
      <c r="D98" t="s">
        <v>52</v>
      </c>
      <c r="E98" t="s">
        <v>134</v>
      </c>
      <c r="F98" t="s">
        <v>41</v>
      </c>
      <c r="G98">
        <v>0.27827999999999997</v>
      </c>
      <c r="H98" t="s">
        <v>136</v>
      </c>
    </row>
    <row r="99" spans="3:8" x14ac:dyDescent="0.25">
      <c r="C99" t="s">
        <v>139</v>
      </c>
      <c r="D99" t="s">
        <v>126</v>
      </c>
      <c r="E99" t="s">
        <v>134</v>
      </c>
      <c r="F99" t="s">
        <v>41</v>
      </c>
      <c r="G99">
        <v>0.40883999999999998</v>
      </c>
      <c r="H99" t="s">
        <v>135</v>
      </c>
    </row>
    <row r="100" spans="3:8" x14ac:dyDescent="0.25">
      <c r="C100" t="s">
        <v>139</v>
      </c>
      <c r="D100" t="s">
        <v>113</v>
      </c>
      <c r="E100" t="s">
        <v>134</v>
      </c>
      <c r="F100" t="s">
        <v>41</v>
      </c>
      <c r="G100">
        <v>0.50268000000000002</v>
      </c>
      <c r="H100" t="s">
        <v>135</v>
      </c>
    </row>
    <row r="101" spans="3:8" x14ac:dyDescent="0.25">
      <c r="C101" t="s">
        <v>140</v>
      </c>
      <c r="D101" t="s">
        <v>114</v>
      </c>
      <c r="E101" t="s">
        <v>72</v>
      </c>
      <c r="F101" t="s">
        <v>41</v>
      </c>
      <c r="G101">
        <v>0.3906</v>
      </c>
      <c r="H101" t="s">
        <v>135</v>
      </c>
    </row>
    <row r="102" spans="3:8" x14ac:dyDescent="0.25">
      <c r="C102" t="s">
        <v>140</v>
      </c>
      <c r="D102" t="s">
        <v>115</v>
      </c>
      <c r="E102" t="s">
        <v>72</v>
      </c>
      <c r="F102" t="s">
        <v>41</v>
      </c>
      <c r="G102">
        <v>0.51142500000000002</v>
      </c>
      <c r="H102" t="s">
        <v>135</v>
      </c>
    </row>
    <row r="103" spans="3:8" x14ac:dyDescent="0.25">
      <c r="C103" t="s">
        <v>140</v>
      </c>
      <c r="D103" t="s">
        <v>115</v>
      </c>
      <c r="E103" t="s">
        <v>72</v>
      </c>
      <c r="F103" t="s">
        <v>41</v>
      </c>
      <c r="G103">
        <v>0.51142500000000002</v>
      </c>
      <c r="H103" t="s">
        <v>136</v>
      </c>
    </row>
    <row r="104" spans="3:8" x14ac:dyDescent="0.25">
      <c r="C104" t="s">
        <v>140</v>
      </c>
      <c r="D104" t="s">
        <v>116</v>
      </c>
      <c r="E104" t="s">
        <v>72</v>
      </c>
      <c r="F104" t="s">
        <v>41</v>
      </c>
      <c r="G104">
        <v>0.36155000000000004</v>
      </c>
      <c r="H104" t="s">
        <v>135</v>
      </c>
    </row>
    <row r="105" spans="3:8" x14ac:dyDescent="0.25">
      <c r="C105" t="s">
        <v>140</v>
      </c>
      <c r="D105" t="s">
        <v>116</v>
      </c>
      <c r="E105" t="s">
        <v>72</v>
      </c>
      <c r="F105" t="s">
        <v>41</v>
      </c>
      <c r="G105">
        <v>0.36155000000000004</v>
      </c>
      <c r="H105" t="s">
        <v>136</v>
      </c>
    </row>
    <row r="106" spans="3:8" x14ac:dyDescent="0.25">
      <c r="C106" t="s">
        <v>140</v>
      </c>
      <c r="D106" t="s">
        <v>117</v>
      </c>
      <c r="E106" t="s">
        <v>72</v>
      </c>
      <c r="F106" t="s">
        <v>41</v>
      </c>
      <c r="G106">
        <v>0.52664999999999995</v>
      </c>
      <c r="H106" t="s">
        <v>135</v>
      </c>
    </row>
    <row r="107" spans="3:8" x14ac:dyDescent="0.25">
      <c r="C107" t="s">
        <v>140</v>
      </c>
      <c r="D107" t="s">
        <v>118</v>
      </c>
      <c r="E107" t="s">
        <v>72</v>
      </c>
      <c r="F107" t="s">
        <v>41</v>
      </c>
      <c r="G107">
        <v>0.54984999999999995</v>
      </c>
      <c r="H107" t="s">
        <v>135</v>
      </c>
    </row>
    <row r="108" spans="3:8" x14ac:dyDescent="0.25">
      <c r="C108" t="s">
        <v>140</v>
      </c>
      <c r="D108" t="s">
        <v>118</v>
      </c>
      <c r="E108" t="s">
        <v>72</v>
      </c>
      <c r="F108" t="s">
        <v>41</v>
      </c>
      <c r="G108">
        <v>0.54984999999999995</v>
      </c>
      <c r="H108" t="s">
        <v>136</v>
      </c>
    </row>
    <row r="109" spans="3:8" x14ac:dyDescent="0.25">
      <c r="C109" t="s">
        <v>140</v>
      </c>
      <c r="D109" t="s">
        <v>119</v>
      </c>
      <c r="E109" t="s">
        <v>72</v>
      </c>
      <c r="F109" t="s">
        <v>41</v>
      </c>
      <c r="G109">
        <v>0.39585000000000004</v>
      </c>
      <c r="H109" t="s">
        <v>135</v>
      </c>
    </row>
    <row r="110" spans="3:8" x14ac:dyDescent="0.25">
      <c r="C110" t="s">
        <v>140</v>
      </c>
      <c r="D110" t="s">
        <v>119</v>
      </c>
      <c r="E110" t="s">
        <v>72</v>
      </c>
      <c r="F110" t="s">
        <v>41</v>
      </c>
      <c r="G110">
        <v>0.39585000000000004</v>
      </c>
      <c r="H110" t="s">
        <v>136</v>
      </c>
    </row>
    <row r="111" spans="3:8" x14ac:dyDescent="0.25">
      <c r="C111" t="s">
        <v>140</v>
      </c>
      <c r="D111" t="s">
        <v>120</v>
      </c>
      <c r="E111" t="s">
        <v>72</v>
      </c>
      <c r="F111" t="s">
        <v>41</v>
      </c>
      <c r="G111">
        <v>0.58504999999999996</v>
      </c>
      <c r="H111" t="s">
        <v>135</v>
      </c>
    </row>
    <row r="112" spans="3:8" x14ac:dyDescent="0.25">
      <c r="C112" t="s">
        <v>140</v>
      </c>
      <c r="D112" t="s">
        <v>121</v>
      </c>
      <c r="E112" t="s">
        <v>72</v>
      </c>
      <c r="F112" t="s">
        <v>41</v>
      </c>
      <c r="G112">
        <v>0.40505000000000002</v>
      </c>
      <c r="H112" t="s">
        <v>135</v>
      </c>
    </row>
    <row r="113" spans="3:8" x14ac:dyDescent="0.25">
      <c r="C113" t="s">
        <v>140</v>
      </c>
      <c r="D113" t="s">
        <v>121</v>
      </c>
      <c r="E113" t="s">
        <v>72</v>
      </c>
      <c r="F113" t="s">
        <v>41</v>
      </c>
      <c r="G113">
        <v>0.40505000000000002</v>
      </c>
      <c r="H113" t="s">
        <v>136</v>
      </c>
    </row>
    <row r="114" spans="3:8" x14ac:dyDescent="0.25">
      <c r="C114" t="s">
        <v>140</v>
      </c>
      <c r="D114" t="s">
        <v>122</v>
      </c>
      <c r="E114" t="s">
        <v>72</v>
      </c>
      <c r="F114" t="s">
        <v>41</v>
      </c>
      <c r="G114">
        <v>0.35052499999999998</v>
      </c>
      <c r="H114" t="s">
        <v>135</v>
      </c>
    </row>
    <row r="115" spans="3:8" x14ac:dyDescent="0.25">
      <c r="C115" t="s">
        <v>140</v>
      </c>
      <c r="D115" t="s">
        <v>123</v>
      </c>
      <c r="E115" t="s">
        <v>72</v>
      </c>
      <c r="F115" t="s">
        <v>41</v>
      </c>
      <c r="G115">
        <v>0.44087500000000002</v>
      </c>
      <c r="H115" t="s">
        <v>135</v>
      </c>
    </row>
    <row r="116" spans="3:8" x14ac:dyDescent="0.25">
      <c r="C116" t="s">
        <v>140</v>
      </c>
      <c r="D116" t="s">
        <v>124</v>
      </c>
      <c r="E116" t="s">
        <v>72</v>
      </c>
      <c r="F116" t="s">
        <v>41</v>
      </c>
      <c r="G116">
        <v>0.18870000000000001</v>
      </c>
      <c r="H116" t="s">
        <v>135</v>
      </c>
    </row>
    <row r="117" spans="3:8" x14ac:dyDescent="0.25">
      <c r="C117" t="s">
        <v>140</v>
      </c>
      <c r="D117" t="s">
        <v>51</v>
      </c>
      <c r="E117" t="s">
        <v>72</v>
      </c>
      <c r="F117" t="s">
        <v>41</v>
      </c>
      <c r="G117">
        <v>0.41527499999999995</v>
      </c>
      <c r="H117" t="s">
        <v>135</v>
      </c>
    </row>
    <row r="118" spans="3:8" x14ac:dyDescent="0.25">
      <c r="C118" t="s">
        <v>140</v>
      </c>
      <c r="D118" t="s">
        <v>125</v>
      </c>
      <c r="E118" t="s">
        <v>72</v>
      </c>
      <c r="F118" t="s">
        <v>41</v>
      </c>
      <c r="G118">
        <v>0.37562499999999999</v>
      </c>
      <c r="H118" t="s">
        <v>135</v>
      </c>
    </row>
    <row r="119" spans="3:8" x14ac:dyDescent="0.25">
      <c r="C119" t="s">
        <v>140</v>
      </c>
      <c r="D119" t="s">
        <v>106</v>
      </c>
      <c r="E119" t="s">
        <v>72</v>
      </c>
      <c r="F119" t="s">
        <v>41</v>
      </c>
      <c r="G119">
        <v>0.44414999999999999</v>
      </c>
      <c r="H119" t="s">
        <v>135</v>
      </c>
    </row>
    <row r="120" spans="3:8" x14ac:dyDescent="0.25">
      <c r="C120" t="s">
        <v>140</v>
      </c>
      <c r="D120" t="s">
        <v>106</v>
      </c>
      <c r="E120" t="s">
        <v>72</v>
      </c>
      <c r="F120" t="s">
        <v>41</v>
      </c>
      <c r="G120">
        <v>0.44414999999999999</v>
      </c>
      <c r="H120" t="s">
        <v>136</v>
      </c>
    </row>
    <row r="121" spans="3:8" x14ac:dyDescent="0.25">
      <c r="C121" t="s">
        <v>140</v>
      </c>
      <c r="D121" t="s">
        <v>52</v>
      </c>
      <c r="E121" t="s">
        <v>72</v>
      </c>
      <c r="F121" t="s">
        <v>41</v>
      </c>
      <c r="G121">
        <v>0.25219999999999998</v>
      </c>
      <c r="H121" t="s">
        <v>135</v>
      </c>
    </row>
    <row r="122" spans="3:8" x14ac:dyDescent="0.25">
      <c r="C122" t="s">
        <v>140</v>
      </c>
      <c r="D122" t="s">
        <v>52</v>
      </c>
      <c r="E122" t="s">
        <v>72</v>
      </c>
      <c r="F122" t="s">
        <v>41</v>
      </c>
      <c r="G122">
        <v>0.25219999999999998</v>
      </c>
      <c r="H122" t="s">
        <v>136</v>
      </c>
    </row>
    <row r="123" spans="3:8" x14ac:dyDescent="0.25">
      <c r="C123" t="s">
        <v>140</v>
      </c>
      <c r="D123" t="s">
        <v>126</v>
      </c>
      <c r="E123" t="s">
        <v>72</v>
      </c>
      <c r="F123" t="s">
        <v>41</v>
      </c>
      <c r="G123">
        <v>0.33845000000000003</v>
      </c>
      <c r="H123" t="s">
        <v>135</v>
      </c>
    </row>
    <row r="124" spans="3:8" x14ac:dyDescent="0.25">
      <c r="C124" t="s">
        <v>140</v>
      </c>
      <c r="D124" t="s">
        <v>113</v>
      </c>
      <c r="E124" t="s">
        <v>72</v>
      </c>
      <c r="F124" t="s">
        <v>41</v>
      </c>
      <c r="G124">
        <v>0.41107500000000002</v>
      </c>
      <c r="H124" t="s">
        <v>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F3618"/>
  <sheetViews>
    <sheetView workbookViewId="0"/>
  </sheetViews>
  <sheetFormatPr defaultColWidth="8.85546875" defaultRowHeight="15" x14ac:dyDescent="0.25"/>
  <cols>
    <col min="1" max="4" width="8.85546875" customWidth="1"/>
    <col min="5" max="5" width="10.42578125" bestFit="1" customWidth="1"/>
  </cols>
  <sheetData>
    <row r="1" spans="3:6" x14ac:dyDescent="0.25">
      <c r="C1" t="s">
        <v>33</v>
      </c>
    </row>
    <row r="3" spans="3:6" x14ac:dyDescent="0.25">
      <c r="C3" t="s">
        <v>34</v>
      </c>
    </row>
    <row r="4" spans="3:6" x14ac:dyDescent="0.25">
      <c r="C4" t="s">
        <v>132</v>
      </c>
      <c r="D4" t="s">
        <v>0</v>
      </c>
      <c r="E4" t="s">
        <v>56</v>
      </c>
      <c r="F4" t="s">
        <v>141</v>
      </c>
    </row>
    <row r="5" spans="3:6" x14ac:dyDescent="0.25">
      <c r="C5" t="s">
        <v>114</v>
      </c>
      <c r="D5">
        <v>2010</v>
      </c>
      <c r="E5" t="s">
        <v>142</v>
      </c>
      <c r="F5">
        <v>174.6</v>
      </c>
    </row>
    <row r="6" spans="3:6" x14ac:dyDescent="0.25">
      <c r="C6" t="s">
        <v>114</v>
      </c>
      <c r="D6">
        <v>2010</v>
      </c>
      <c r="E6" t="s">
        <v>143</v>
      </c>
      <c r="F6">
        <v>299.66000000000003</v>
      </c>
    </row>
    <row r="7" spans="3:6" x14ac:dyDescent="0.25">
      <c r="C7" t="s">
        <v>114</v>
      </c>
      <c r="D7">
        <v>2010</v>
      </c>
      <c r="E7" t="s">
        <v>144</v>
      </c>
      <c r="F7">
        <v>321.24</v>
      </c>
    </row>
    <row r="8" spans="3:6" x14ac:dyDescent="0.25">
      <c r="C8" t="s">
        <v>114</v>
      </c>
      <c r="D8">
        <v>2010</v>
      </c>
      <c r="E8" t="s">
        <v>145</v>
      </c>
      <c r="F8">
        <v>4.96</v>
      </c>
    </row>
    <row r="9" spans="3:6" x14ac:dyDescent="0.25">
      <c r="C9" t="s">
        <v>114</v>
      </c>
      <c r="D9">
        <v>2011</v>
      </c>
      <c r="E9" t="s">
        <v>142</v>
      </c>
      <c r="F9">
        <v>177.42</v>
      </c>
    </row>
    <row r="10" spans="3:6" x14ac:dyDescent="0.25">
      <c r="C10" t="s">
        <v>114</v>
      </c>
      <c r="D10">
        <v>2011</v>
      </c>
      <c r="E10" t="s">
        <v>143</v>
      </c>
      <c r="F10">
        <v>297.99</v>
      </c>
    </row>
    <row r="11" spans="3:6" x14ac:dyDescent="0.25">
      <c r="C11" t="s">
        <v>114</v>
      </c>
      <c r="D11">
        <v>2011</v>
      </c>
      <c r="E11" t="s">
        <v>144</v>
      </c>
      <c r="F11">
        <v>341.3</v>
      </c>
    </row>
    <row r="12" spans="3:6" x14ac:dyDescent="0.25">
      <c r="C12" t="s">
        <v>114</v>
      </c>
      <c r="D12">
        <v>2011</v>
      </c>
      <c r="E12" t="s">
        <v>145</v>
      </c>
      <c r="F12">
        <v>5.29</v>
      </c>
    </row>
    <row r="13" spans="3:6" x14ac:dyDescent="0.25">
      <c r="C13" t="s">
        <v>114</v>
      </c>
      <c r="D13">
        <v>2012</v>
      </c>
      <c r="E13" t="s">
        <v>142</v>
      </c>
      <c r="F13">
        <v>188.39</v>
      </c>
    </row>
    <row r="14" spans="3:6" x14ac:dyDescent="0.25">
      <c r="C14" t="s">
        <v>114</v>
      </c>
      <c r="D14">
        <v>2012</v>
      </c>
      <c r="E14" t="s">
        <v>143</v>
      </c>
      <c r="F14">
        <v>307.39</v>
      </c>
    </row>
    <row r="15" spans="3:6" x14ac:dyDescent="0.25">
      <c r="C15" t="s">
        <v>114</v>
      </c>
      <c r="D15">
        <v>2012</v>
      </c>
      <c r="E15" t="s">
        <v>144</v>
      </c>
      <c r="F15">
        <v>357.22</v>
      </c>
    </row>
    <row r="16" spans="3:6" x14ac:dyDescent="0.25">
      <c r="C16" t="s">
        <v>114</v>
      </c>
      <c r="D16">
        <v>2012</v>
      </c>
      <c r="E16" t="s">
        <v>145</v>
      </c>
      <c r="F16">
        <v>6.06</v>
      </c>
    </row>
    <row r="17" spans="3:6" x14ac:dyDescent="0.25">
      <c r="C17" t="s">
        <v>114</v>
      </c>
      <c r="D17">
        <v>2013</v>
      </c>
      <c r="E17" t="s">
        <v>142</v>
      </c>
      <c r="F17">
        <v>195.61</v>
      </c>
    </row>
    <row r="18" spans="3:6" x14ac:dyDescent="0.25">
      <c r="C18" t="s">
        <v>114</v>
      </c>
      <c r="D18">
        <v>2013</v>
      </c>
      <c r="E18" t="s">
        <v>143</v>
      </c>
      <c r="F18">
        <v>305.42</v>
      </c>
    </row>
    <row r="19" spans="3:6" x14ac:dyDescent="0.25">
      <c r="C19" t="s">
        <v>114</v>
      </c>
      <c r="D19">
        <v>2013</v>
      </c>
      <c r="E19" t="s">
        <v>144</v>
      </c>
      <c r="F19">
        <v>370.6</v>
      </c>
    </row>
    <row r="20" spans="3:6" x14ac:dyDescent="0.25">
      <c r="C20" t="s">
        <v>114</v>
      </c>
      <c r="D20">
        <v>2013</v>
      </c>
      <c r="E20" t="s">
        <v>145</v>
      </c>
      <c r="F20">
        <v>5.87</v>
      </c>
    </row>
    <row r="21" spans="3:6" x14ac:dyDescent="0.25">
      <c r="C21" t="s">
        <v>114</v>
      </c>
      <c r="D21">
        <v>2014</v>
      </c>
      <c r="E21" t="s">
        <v>142</v>
      </c>
      <c r="F21">
        <v>195.96</v>
      </c>
    </row>
    <row r="22" spans="3:6" x14ac:dyDescent="0.25">
      <c r="C22" t="s">
        <v>114</v>
      </c>
      <c r="D22">
        <v>2014</v>
      </c>
      <c r="E22" t="s">
        <v>143</v>
      </c>
      <c r="F22">
        <v>320.08999999999997</v>
      </c>
    </row>
    <row r="23" spans="3:6" x14ac:dyDescent="0.25">
      <c r="C23" t="s">
        <v>114</v>
      </c>
      <c r="D23">
        <v>2014</v>
      </c>
      <c r="E23" t="s">
        <v>144</v>
      </c>
      <c r="F23">
        <v>386.96</v>
      </c>
    </row>
    <row r="24" spans="3:6" x14ac:dyDescent="0.25">
      <c r="C24" t="s">
        <v>114</v>
      </c>
      <c r="D24">
        <v>2014</v>
      </c>
      <c r="E24" t="s">
        <v>145</v>
      </c>
      <c r="F24">
        <v>6.07</v>
      </c>
    </row>
    <row r="25" spans="3:6" x14ac:dyDescent="0.25">
      <c r="C25" t="s">
        <v>114</v>
      </c>
      <c r="D25">
        <v>2015</v>
      </c>
      <c r="E25" t="s">
        <v>142</v>
      </c>
      <c r="F25">
        <v>201.01</v>
      </c>
    </row>
    <row r="26" spans="3:6" x14ac:dyDescent="0.25">
      <c r="C26" t="s">
        <v>114</v>
      </c>
      <c r="D26">
        <v>2015</v>
      </c>
      <c r="E26" t="s">
        <v>143</v>
      </c>
      <c r="F26">
        <v>313.7</v>
      </c>
    </row>
    <row r="27" spans="3:6" x14ac:dyDescent="0.25">
      <c r="C27" t="s">
        <v>114</v>
      </c>
      <c r="D27">
        <v>2015</v>
      </c>
      <c r="E27" t="s">
        <v>144</v>
      </c>
      <c r="F27">
        <v>423.68</v>
      </c>
    </row>
    <row r="28" spans="3:6" x14ac:dyDescent="0.25">
      <c r="C28" t="s">
        <v>114</v>
      </c>
      <c r="D28">
        <v>2015</v>
      </c>
      <c r="E28" t="s">
        <v>145</v>
      </c>
      <c r="F28">
        <v>6.08</v>
      </c>
    </row>
    <row r="29" spans="3:6" x14ac:dyDescent="0.25">
      <c r="C29" t="s">
        <v>114</v>
      </c>
      <c r="D29">
        <v>2016</v>
      </c>
      <c r="E29" t="s">
        <v>142</v>
      </c>
      <c r="F29">
        <v>215.09</v>
      </c>
    </row>
    <row r="30" spans="3:6" x14ac:dyDescent="0.25">
      <c r="C30" t="s">
        <v>114</v>
      </c>
      <c r="D30">
        <v>2016</v>
      </c>
      <c r="E30" t="s">
        <v>143</v>
      </c>
      <c r="F30">
        <v>298.73</v>
      </c>
    </row>
    <row r="31" spans="3:6" x14ac:dyDescent="0.25">
      <c r="C31" t="s">
        <v>114</v>
      </c>
      <c r="D31">
        <v>2016</v>
      </c>
      <c r="E31" t="s">
        <v>144</v>
      </c>
      <c r="F31">
        <v>421.09</v>
      </c>
    </row>
    <row r="32" spans="3:6" x14ac:dyDescent="0.25">
      <c r="C32" t="s">
        <v>114</v>
      </c>
      <c r="D32">
        <v>2016</v>
      </c>
      <c r="E32" t="s">
        <v>145</v>
      </c>
      <c r="F32">
        <v>6.17</v>
      </c>
    </row>
    <row r="33" spans="3:6" x14ac:dyDescent="0.25">
      <c r="C33" t="s">
        <v>114</v>
      </c>
      <c r="D33">
        <v>2017</v>
      </c>
      <c r="E33" t="s">
        <v>142</v>
      </c>
      <c r="F33">
        <v>226.95</v>
      </c>
    </row>
    <row r="34" spans="3:6" x14ac:dyDescent="0.25">
      <c r="C34" t="s">
        <v>114</v>
      </c>
      <c r="D34">
        <v>2017</v>
      </c>
      <c r="E34" t="s">
        <v>143</v>
      </c>
      <c r="F34">
        <v>313.85000000000002</v>
      </c>
    </row>
    <row r="35" spans="3:6" x14ac:dyDescent="0.25">
      <c r="C35" t="s">
        <v>114</v>
      </c>
      <c r="D35">
        <v>2017</v>
      </c>
      <c r="E35" t="s">
        <v>144</v>
      </c>
      <c r="F35">
        <v>448.15</v>
      </c>
    </row>
    <row r="36" spans="3:6" x14ac:dyDescent="0.25">
      <c r="C36" t="s">
        <v>114</v>
      </c>
      <c r="D36">
        <v>2017</v>
      </c>
      <c r="E36" t="s">
        <v>145</v>
      </c>
      <c r="F36">
        <v>6.05</v>
      </c>
    </row>
    <row r="37" spans="3:6" x14ac:dyDescent="0.25">
      <c r="C37" t="s">
        <v>114</v>
      </c>
      <c r="D37">
        <v>2018</v>
      </c>
      <c r="E37" t="s">
        <v>142</v>
      </c>
      <c r="F37">
        <v>226.55</v>
      </c>
    </row>
    <row r="38" spans="3:6" x14ac:dyDescent="0.25">
      <c r="C38" t="s">
        <v>114</v>
      </c>
      <c r="D38">
        <v>2018</v>
      </c>
      <c r="E38" t="s">
        <v>143</v>
      </c>
      <c r="F38">
        <v>316.51</v>
      </c>
    </row>
    <row r="39" spans="3:6" x14ac:dyDescent="0.25">
      <c r="C39" t="s">
        <v>114</v>
      </c>
      <c r="D39">
        <v>2018</v>
      </c>
      <c r="E39" t="s">
        <v>144</v>
      </c>
      <c r="F39">
        <v>468.25</v>
      </c>
    </row>
    <row r="40" spans="3:6" x14ac:dyDescent="0.25">
      <c r="C40" t="s">
        <v>114</v>
      </c>
      <c r="D40">
        <v>2018</v>
      </c>
      <c r="E40" t="s">
        <v>145</v>
      </c>
      <c r="F40">
        <v>5.81</v>
      </c>
    </row>
    <row r="41" spans="3:6" x14ac:dyDescent="0.25">
      <c r="C41" t="s">
        <v>114</v>
      </c>
      <c r="D41">
        <v>2019</v>
      </c>
      <c r="E41" t="s">
        <v>142</v>
      </c>
      <c r="F41">
        <v>232.33</v>
      </c>
    </row>
    <row r="42" spans="3:6" x14ac:dyDescent="0.25">
      <c r="C42" t="s">
        <v>114</v>
      </c>
      <c r="D42">
        <v>2019</v>
      </c>
      <c r="E42" t="s">
        <v>143</v>
      </c>
      <c r="F42">
        <v>314.05</v>
      </c>
    </row>
    <row r="43" spans="3:6" x14ac:dyDescent="0.25">
      <c r="C43" t="s">
        <v>114</v>
      </c>
      <c r="D43">
        <v>2019</v>
      </c>
      <c r="E43" t="s">
        <v>144</v>
      </c>
      <c r="F43">
        <v>525.41</v>
      </c>
    </row>
    <row r="44" spans="3:6" x14ac:dyDescent="0.25">
      <c r="C44" t="s">
        <v>114</v>
      </c>
      <c r="D44">
        <v>2019</v>
      </c>
      <c r="E44" t="s">
        <v>145</v>
      </c>
      <c r="F44">
        <v>10.119999999999999</v>
      </c>
    </row>
    <row r="45" spans="3:6" x14ac:dyDescent="0.25">
      <c r="C45" t="s">
        <v>114</v>
      </c>
      <c r="D45">
        <v>2020</v>
      </c>
      <c r="E45" t="s">
        <v>146</v>
      </c>
      <c r="F45">
        <v>0.01</v>
      </c>
    </row>
    <row r="46" spans="3:6" x14ac:dyDescent="0.25">
      <c r="C46" t="s">
        <v>114</v>
      </c>
      <c r="D46">
        <v>2020</v>
      </c>
      <c r="E46" t="s">
        <v>142</v>
      </c>
      <c r="F46">
        <v>227.12</v>
      </c>
    </row>
    <row r="47" spans="3:6" x14ac:dyDescent="0.25">
      <c r="C47" t="s">
        <v>114</v>
      </c>
      <c r="D47">
        <v>2020</v>
      </c>
      <c r="E47" t="s">
        <v>143</v>
      </c>
      <c r="F47">
        <v>296.69</v>
      </c>
    </row>
    <row r="48" spans="3:6" x14ac:dyDescent="0.25">
      <c r="C48" t="s">
        <v>114</v>
      </c>
      <c r="D48">
        <v>2020</v>
      </c>
      <c r="E48" t="s">
        <v>144</v>
      </c>
      <c r="F48">
        <v>471.46</v>
      </c>
    </row>
    <row r="49" spans="3:6" x14ac:dyDescent="0.25">
      <c r="C49" t="s">
        <v>114</v>
      </c>
      <c r="D49">
        <v>2020</v>
      </c>
      <c r="E49" t="s">
        <v>145</v>
      </c>
      <c r="F49">
        <v>9.75</v>
      </c>
    </row>
    <row r="50" spans="3:6" x14ac:dyDescent="0.25">
      <c r="C50" t="s">
        <v>114</v>
      </c>
      <c r="D50">
        <v>2021</v>
      </c>
      <c r="E50" t="s">
        <v>146</v>
      </c>
      <c r="F50">
        <v>0.03</v>
      </c>
    </row>
    <row r="51" spans="3:6" x14ac:dyDescent="0.25">
      <c r="C51" t="s">
        <v>114</v>
      </c>
      <c r="D51">
        <v>2021</v>
      </c>
      <c r="E51" t="s">
        <v>142</v>
      </c>
      <c r="F51">
        <v>232.63</v>
      </c>
    </row>
    <row r="52" spans="3:6" x14ac:dyDescent="0.25">
      <c r="C52" t="s">
        <v>114</v>
      </c>
      <c r="D52">
        <v>2021</v>
      </c>
      <c r="E52" t="s">
        <v>143</v>
      </c>
      <c r="F52">
        <v>311.08</v>
      </c>
    </row>
    <row r="53" spans="3:6" x14ac:dyDescent="0.25">
      <c r="C53" t="s">
        <v>114</v>
      </c>
      <c r="D53">
        <v>2021</v>
      </c>
      <c r="E53" t="s">
        <v>144</v>
      </c>
      <c r="F53">
        <v>474.26</v>
      </c>
    </row>
    <row r="54" spans="3:6" x14ac:dyDescent="0.25">
      <c r="C54" t="s">
        <v>114</v>
      </c>
      <c r="D54">
        <v>2021</v>
      </c>
      <c r="E54" t="s">
        <v>145</v>
      </c>
      <c r="F54">
        <v>9.7899999999999991</v>
      </c>
    </row>
    <row r="55" spans="3:6" x14ac:dyDescent="0.25">
      <c r="C55" t="s">
        <v>114</v>
      </c>
      <c r="D55">
        <v>2022</v>
      </c>
      <c r="E55" t="s">
        <v>146</v>
      </c>
      <c r="F55">
        <v>0.04</v>
      </c>
    </row>
    <row r="56" spans="3:6" x14ac:dyDescent="0.25">
      <c r="C56" t="s">
        <v>114</v>
      </c>
      <c r="D56">
        <v>2022</v>
      </c>
      <c r="E56" t="s">
        <v>142</v>
      </c>
      <c r="F56">
        <v>238.54</v>
      </c>
    </row>
    <row r="57" spans="3:6" x14ac:dyDescent="0.25">
      <c r="C57" t="s">
        <v>114</v>
      </c>
      <c r="D57">
        <v>2022</v>
      </c>
      <c r="E57" t="s">
        <v>143</v>
      </c>
      <c r="F57">
        <v>318.33</v>
      </c>
    </row>
    <row r="58" spans="3:6" x14ac:dyDescent="0.25">
      <c r="C58" t="s">
        <v>114</v>
      </c>
      <c r="D58">
        <v>2022</v>
      </c>
      <c r="E58" t="s">
        <v>144</v>
      </c>
      <c r="F58">
        <v>491.21</v>
      </c>
    </row>
    <row r="59" spans="3:6" x14ac:dyDescent="0.25">
      <c r="C59" t="s">
        <v>114</v>
      </c>
      <c r="D59">
        <v>2022</v>
      </c>
      <c r="E59" t="s">
        <v>145</v>
      </c>
      <c r="F59">
        <v>9.93</v>
      </c>
    </row>
    <row r="60" spans="3:6" x14ac:dyDescent="0.25">
      <c r="C60" t="s">
        <v>114</v>
      </c>
      <c r="D60">
        <v>2023</v>
      </c>
      <c r="E60" t="s">
        <v>146</v>
      </c>
      <c r="F60">
        <v>0.04</v>
      </c>
    </row>
    <row r="61" spans="3:6" x14ac:dyDescent="0.25">
      <c r="C61" t="s">
        <v>114</v>
      </c>
      <c r="D61">
        <v>2023</v>
      </c>
      <c r="E61" t="s">
        <v>142</v>
      </c>
      <c r="F61">
        <v>245.11</v>
      </c>
    </row>
    <row r="62" spans="3:6" x14ac:dyDescent="0.25">
      <c r="C62" t="s">
        <v>114</v>
      </c>
      <c r="D62">
        <v>2023</v>
      </c>
      <c r="E62" t="s">
        <v>143</v>
      </c>
      <c r="F62">
        <v>326.91000000000003</v>
      </c>
    </row>
    <row r="63" spans="3:6" x14ac:dyDescent="0.25">
      <c r="C63" t="s">
        <v>114</v>
      </c>
      <c r="D63">
        <v>2023</v>
      </c>
      <c r="E63" t="s">
        <v>144</v>
      </c>
      <c r="F63">
        <v>516.16999999999996</v>
      </c>
    </row>
    <row r="64" spans="3:6" x14ac:dyDescent="0.25">
      <c r="C64" t="s">
        <v>114</v>
      </c>
      <c r="D64">
        <v>2023</v>
      </c>
      <c r="E64" t="s">
        <v>145</v>
      </c>
      <c r="F64">
        <v>10.11</v>
      </c>
    </row>
    <row r="65" spans="3:6" x14ac:dyDescent="0.25">
      <c r="C65" t="s">
        <v>114</v>
      </c>
      <c r="D65">
        <v>2024</v>
      </c>
      <c r="E65" t="s">
        <v>146</v>
      </c>
      <c r="F65">
        <v>0.05</v>
      </c>
    </row>
    <row r="66" spans="3:6" x14ac:dyDescent="0.25">
      <c r="C66" t="s">
        <v>114</v>
      </c>
      <c r="D66">
        <v>2024</v>
      </c>
      <c r="E66" t="s">
        <v>142</v>
      </c>
      <c r="F66">
        <v>252.62</v>
      </c>
    </row>
    <row r="67" spans="3:6" x14ac:dyDescent="0.25">
      <c r="C67" t="s">
        <v>114</v>
      </c>
      <c r="D67">
        <v>2024</v>
      </c>
      <c r="E67" t="s">
        <v>143</v>
      </c>
      <c r="F67">
        <v>330.72</v>
      </c>
    </row>
    <row r="68" spans="3:6" x14ac:dyDescent="0.25">
      <c r="C68" t="s">
        <v>114</v>
      </c>
      <c r="D68">
        <v>2024</v>
      </c>
      <c r="E68" t="s">
        <v>144</v>
      </c>
      <c r="F68">
        <v>543.5</v>
      </c>
    </row>
    <row r="69" spans="3:6" x14ac:dyDescent="0.25">
      <c r="C69" t="s">
        <v>114</v>
      </c>
      <c r="D69">
        <v>2024</v>
      </c>
      <c r="E69" t="s">
        <v>145</v>
      </c>
      <c r="F69">
        <v>10.25</v>
      </c>
    </row>
    <row r="70" spans="3:6" x14ac:dyDescent="0.25">
      <c r="C70" t="s">
        <v>114</v>
      </c>
      <c r="D70">
        <v>2025</v>
      </c>
      <c r="E70" t="s">
        <v>146</v>
      </c>
      <c r="F70">
        <v>0.06</v>
      </c>
    </row>
    <row r="71" spans="3:6" x14ac:dyDescent="0.25">
      <c r="C71" t="s">
        <v>114</v>
      </c>
      <c r="D71">
        <v>2025</v>
      </c>
      <c r="E71" t="s">
        <v>142</v>
      </c>
      <c r="F71">
        <v>260.45</v>
      </c>
    </row>
    <row r="72" spans="3:6" x14ac:dyDescent="0.25">
      <c r="C72" t="s">
        <v>114</v>
      </c>
      <c r="D72">
        <v>2025</v>
      </c>
      <c r="E72" t="s">
        <v>143</v>
      </c>
      <c r="F72">
        <v>341.23</v>
      </c>
    </row>
    <row r="73" spans="3:6" x14ac:dyDescent="0.25">
      <c r="C73" t="s">
        <v>114</v>
      </c>
      <c r="D73">
        <v>2025</v>
      </c>
      <c r="E73" t="s">
        <v>144</v>
      </c>
      <c r="F73">
        <v>569.86</v>
      </c>
    </row>
    <row r="74" spans="3:6" x14ac:dyDescent="0.25">
      <c r="C74" t="s">
        <v>114</v>
      </c>
      <c r="D74">
        <v>2025</v>
      </c>
      <c r="E74" t="s">
        <v>145</v>
      </c>
      <c r="F74">
        <v>10.38</v>
      </c>
    </row>
    <row r="75" spans="3:6" x14ac:dyDescent="0.25">
      <c r="C75" t="s">
        <v>114</v>
      </c>
      <c r="D75">
        <v>2026</v>
      </c>
      <c r="E75" t="s">
        <v>146</v>
      </c>
      <c r="F75">
        <v>7.0000000000000007E-2</v>
      </c>
    </row>
    <row r="76" spans="3:6" x14ac:dyDescent="0.25">
      <c r="C76" t="s">
        <v>114</v>
      </c>
      <c r="D76">
        <v>2026</v>
      </c>
      <c r="E76" t="s">
        <v>142</v>
      </c>
      <c r="F76">
        <v>267.13</v>
      </c>
    </row>
    <row r="77" spans="3:6" x14ac:dyDescent="0.25">
      <c r="C77" t="s">
        <v>114</v>
      </c>
      <c r="D77">
        <v>2026</v>
      </c>
      <c r="E77" t="s">
        <v>143</v>
      </c>
      <c r="F77">
        <v>347.38</v>
      </c>
    </row>
    <row r="78" spans="3:6" x14ac:dyDescent="0.25">
      <c r="C78" t="s">
        <v>114</v>
      </c>
      <c r="D78">
        <v>2026</v>
      </c>
      <c r="E78" t="s">
        <v>144</v>
      </c>
      <c r="F78">
        <v>594.67999999999995</v>
      </c>
    </row>
    <row r="79" spans="3:6" x14ac:dyDescent="0.25">
      <c r="C79" t="s">
        <v>114</v>
      </c>
      <c r="D79">
        <v>2026</v>
      </c>
      <c r="E79" t="s">
        <v>145</v>
      </c>
      <c r="F79">
        <v>10.53</v>
      </c>
    </row>
    <row r="80" spans="3:6" x14ac:dyDescent="0.25">
      <c r="C80" t="s">
        <v>114</v>
      </c>
      <c r="D80">
        <v>2027</v>
      </c>
      <c r="E80" t="s">
        <v>146</v>
      </c>
      <c r="F80">
        <v>0.08</v>
      </c>
    </row>
    <row r="81" spans="3:6" x14ac:dyDescent="0.25">
      <c r="C81" t="s">
        <v>114</v>
      </c>
      <c r="D81">
        <v>2027</v>
      </c>
      <c r="E81" t="s">
        <v>142</v>
      </c>
      <c r="F81">
        <v>273.33</v>
      </c>
    </row>
    <row r="82" spans="3:6" x14ac:dyDescent="0.25">
      <c r="C82" t="s">
        <v>114</v>
      </c>
      <c r="D82">
        <v>2027</v>
      </c>
      <c r="E82" t="s">
        <v>143</v>
      </c>
      <c r="F82">
        <v>355.5</v>
      </c>
    </row>
    <row r="83" spans="3:6" x14ac:dyDescent="0.25">
      <c r="C83" t="s">
        <v>114</v>
      </c>
      <c r="D83">
        <v>2027</v>
      </c>
      <c r="E83" t="s">
        <v>144</v>
      </c>
      <c r="F83">
        <v>619.79</v>
      </c>
    </row>
    <row r="84" spans="3:6" x14ac:dyDescent="0.25">
      <c r="C84" t="s">
        <v>114</v>
      </c>
      <c r="D84">
        <v>2027</v>
      </c>
      <c r="E84" t="s">
        <v>145</v>
      </c>
      <c r="F84">
        <v>10.7</v>
      </c>
    </row>
    <row r="85" spans="3:6" x14ac:dyDescent="0.25">
      <c r="C85" t="s">
        <v>114</v>
      </c>
      <c r="D85">
        <v>2028</v>
      </c>
      <c r="E85" t="s">
        <v>146</v>
      </c>
      <c r="F85">
        <v>0.09</v>
      </c>
    </row>
    <row r="86" spans="3:6" x14ac:dyDescent="0.25">
      <c r="C86" t="s">
        <v>114</v>
      </c>
      <c r="D86">
        <v>2028</v>
      </c>
      <c r="E86" t="s">
        <v>142</v>
      </c>
      <c r="F86">
        <v>279.32</v>
      </c>
    </row>
    <row r="87" spans="3:6" x14ac:dyDescent="0.25">
      <c r="C87" t="s">
        <v>114</v>
      </c>
      <c r="D87">
        <v>2028</v>
      </c>
      <c r="E87" t="s">
        <v>143</v>
      </c>
      <c r="F87">
        <v>360.79</v>
      </c>
    </row>
    <row r="88" spans="3:6" x14ac:dyDescent="0.25">
      <c r="C88" t="s">
        <v>114</v>
      </c>
      <c r="D88">
        <v>2028</v>
      </c>
      <c r="E88" t="s">
        <v>144</v>
      </c>
      <c r="F88">
        <v>645.53</v>
      </c>
    </row>
    <row r="89" spans="3:6" x14ac:dyDescent="0.25">
      <c r="C89" t="s">
        <v>114</v>
      </c>
      <c r="D89">
        <v>2028</v>
      </c>
      <c r="E89" t="s">
        <v>145</v>
      </c>
      <c r="F89">
        <v>10.84</v>
      </c>
    </row>
    <row r="90" spans="3:6" x14ac:dyDescent="0.25">
      <c r="C90" t="s">
        <v>114</v>
      </c>
      <c r="D90">
        <v>2029</v>
      </c>
      <c r="E90" t="s">
        <v>146</v>
      </c>
      <c r="F90">
        <v>0.09</v>
      </c>
    </row>
    <row r="91" spans="3:6" x14ac:dyDescent="0.25">
      <c r="C91" t="s">
        <v>114</v>
      </c>
      <c r="D91">
        <v>2029</v>
      </c>
      <c r="E91" t="s">
        <v>142</v>
      </c>
      <c r="F91">
        <v>285.36</v>
      </c>
    </row>
    <row r="92" spans="3:6" x14ac:dyDescent="0.25">
      <c r="C92" t="s">
        <v>114</v>
      </c>
      <c r="D92">
        <v>2029</v>
      </c>
      <c r="E92" t="s">
        <v>143</v>
      </c>
      <c r="F92">
        <v>371.43</v>
      </c>
    </row>
    <row r="93" spans="3:6" x14ac:dyDescent="0.25">
      <c r="C93" t="s">
        <v>114</v>
      </c>
      <c r="D93">
        <v>2029</v>
      </c>
      <c r="E93" t="s">
        <v>144</v>
      </c>
      <c r="F93">
        <v>671.85</v>
      </c>
    </row>
    <row r="94" spans="3:6" x14ac:dyDescent="0.25">
      <c r="C94" t="s">
        <v>114</v>
      </c>
      <c r="D94">
        <v>2029</v>
      </c>
      <c r="E94" t="s">
        <v>145</v>
      </c>
      <c r="F94">
        <v>11.01</v>
      </c>
    </row>
    <row r="95" spans="3:6" x14ac:dyDescent="0.25">
      <c r="C95" t="s">
        <v>114</v>
      </c>
      <c r="D95">
        <v>2030</v>
      </c>
      <c r="E95" t="s">
        <v>146</v>
      </c>
      <c r="F95">
        <v>0.1</v>
      </c>
    </row>
    <row r="96" spans="3:6" x14ac:dyDescent="0.25">
      <c r="C96" t="s">
        <v>114</v>
      </c>
      <c r="D96">
        <v>2030</v>
      </c>
      <c r="E96" t="s">
        <v>142</v>
      </c>
      <c r="F96">
        <v>291.48</v>
      </c>
    </row>
    <row r="97" spans="3:6" x14ac:dyDescent="0.25">
      <c r="C97" t="s">
        <v>114</v>
      </c>
      <c r="D97">
        <v>2030</v>
      </c>
      <c r="E97" t="s">
        <v>143</v>
      </c>
      <c r="F97">
        <v>378.16</v>
      </c>
    </row>
    <row r="98" spans="3:6" x14ac:dyDescent="0.25">
      <c r="C98" t="s">
        <v>114</v>
      </c>
      <c r="D98">
        <v>2030</v>
      </c>
      <c r="E98" t="s">
        <v>144</v>
      </c>
      <c r="F98">
        <v>698.49</v>
      </c>
    </row>
    <row r="99" spans="3:6" x14ac:dyDescent="0.25">
      <c r="C99" t="s">
        <v>114</v>
      </c>
      <c r="D99">
        <v>2030</v>
      </c>
      <c r="E99" t="s">
        <v>145</v>
      </c>
      <c r="F99">
        <v>11.17</v>
      </c>
    </row>
    <row r="100" spans="3:6" x14ac:dyDescent="0.25">
      <c r="C100" t="s">
        <v>114</v>
      </c>
      <c r="D100">
        <v>2031</v>
      </c>
      <c r="E100" t="s">
        <v>146</v>
      </c>
      <c r="F100">
        <v>0.12</v>
      </c>
    </row>
    <row r="101" spans="3:6" x14ac:dyDescent="0.25">
      <c r="C101" t="s">
        <v>114</v>
      </c>
      <c r="D101">
        <v>2031</v>
      </c>
      <c r="E101" t="s">
        <v>142</v>
      </c>
      <c r="F101">
        <v>299.24</v>
      </c>
    </row>
    <row r="102" spans="3:6" x14ac:dyDescent="0.25">
      <c r="C102" t="s">
        <v>114</v>
      </c>
      <c r="D102">
        <v>2031</v>
      </c>
      <c r="E102" t="s">
        <v>143</v>
      </c>
      <c r="F102">
        <v>389.08</v>
      </c>
    </row>
    <row r="103" spans="3:6" x14ac:dyDescent="0.25">
      <c r="C103" t="s">
        <v>114</v>
      </c>
      <c r="D103">
        <v>2031</v>
      </c>
      <c r="E103" t="s">
        <v>144</v>
      </c>
      <c r="F103">
        <v>727.76</v>
      </c>
    </row>
    <row r="104" spans="3:6" x14ac:dyDescent="0.25">
      <c r="C104" t="s">
        <v>114</v>
      </c>
      <c r="D104">
        <v>2031</v>
      </c>
      <c r="E104" t="s">
        <v>145</v>
      </c>
      <c r="F104">
        <v>11.36</v>
      </c>
    </row>
    <row r="105" spans="3:6" x14ac:dyDescent="0.25">
      <c r="C105" t="s">
        <v>114</v>
      </c>
      <c r="D105">
        <v>2032</v>
      </c>
      <c r="E105" t="s">
        <v>146</v>
      </c>
      <c r="F105">
        <v>0.13</v>
      </c>
    </row>
    <row r="106" spans="3:6" x14ac:dyDescent="0.25">
      <c r="C106" t="s">
        <v>114</v>
      </c>
      <c r="D106">
        <v>2032</v>
      </c>
      <c r="E106" t="s">
        <v>142</v>
      </c>
      <c r="F106">
        <v>307.07</v>
      </c>
    </row>
    <row r="107" spans="3:6" x14ac:dyDescent="0.25">
      <c r="C107" t="s">
        <v>114</v>
      </c>
      <c r="D107">
        <v>2032</v>
      </c>
      <c r="E107" t="s">
        <v>143</v>
      </c>
      <c r="F107">
        <v>396.64</v>
      </c>
    </row>
    <row r="108" spans="3:6" x14ac:dyDescent="0.25">
      <c r="C108" t="s">
        <v>114</v>
      </c>
      <c r="D108">
        <v>2032</v>
      </c>
      <c r="E108" t="s">
        <v>144</v>
      </c>
      <c r="F108">
        <v>758.09</v>
      </c>
    </row>
    <row r="109" spans="3:6" x14ac:dyDescent="0.25">
      <c r="C109" t="s">
        <v>114</v>
      </c>
      <c r="D109">
        <v>2032</v>
      </c>
      <c r="E109" t="s">
        <v>145</v>
      </c>
      <c r="F109">
        <v>11.53</v>
      </c>
    </row>
    <row r="110" spans="3:6" x14ac:dyDescent="0.25">
      <c r="C110" t="s">
        <v>114</v>
      </c>
      <c r="D110">
        <v>2033</v>
      </c>
      <c r="E110" t="s">
        <v>146</v>
      </c>
      <c r="F110">
        <v>0.14000000000000001</v>
      </c>
    </row>
    <row r="111" spans="3:6" x14ac:dyDescent="0.25">
      <c r="C111" t="s">
        <v>114</v>
      </c>
      <c r="D111">
        <v>2033</v>
      </c>
      <c r="E111" t="s">
        <v>142</v>
      </c>
      <c r="F111">
        <v>315.08</v>
      </c>
    </row>
    <row r="112" spans="3:6" x14ac:dyDescent="0.25">
      <c r="C112" t="s">
        <v>114</v>
      </c>
      <c r="D112">
        <v>2033</v>
      </c>
      <c r="E112" t="s">
        <v>143</v>
      </c>
      <c r="F112">
        <v>407.38</v>
      </c>
    </row>
    <row r="113" spans="3:6" x14ac:dyDescent="0.25">
      <c r="C113" t="s">
        <v>114</v>
      </c>
      <c r="D113">
        <v>2033</v>
      </c>
      <c r="E113" t="s">
        <v>144</v>
      </c>
      <c r="F113">
        <v>789.43</v>
      </c>
    </row>
    <row r="114" spans="3:6" x14ac:dyDescent="0.25">
      <c r="C114" t="s">
        <v>114</v>
      </c>
      <c r="D114">
        <v>2033</v>
      </c>
      <c r="E114" t="s">
        <v>145</v>
      </c>
      <c r="F114">
        <v>11.75</v>
      </c>
    </row>
    <row r="115" spans="3:6" x14ac:dyDescent="0.25">
      <c r="C115" t="s">
        <v>114</v>
      </c>
      <c r="D115">
        <v>2034</v>
      </c>
      <c r="E115" t="s">
        <v>146</v>
      </c>
      <c r="F115">
        <v>0.15</v>
      </c>
    </row>
    <row r="116" spans="3:6" x14ac:dyDescent="0.25">
      <c r="C116" t="s">
        <v>114</v>
      </c>
      <c r="D116">
        <v>2034</v>
      </c>
      <c r="E116" t="s">
        <v>142</v>
      </c>
      <c r="F116">
        <v>323.32</v>
      </c>
    </row>
    <row r="117" spans="3:6" x14ac:dyDescent="0.25">
      <c r="C117" t="s">
        <v>114</v>
      </c>
      <c r="D117">
        <v>2034</v>
      </c>
      <c r="E117" t="s">
        <v>143</v>
      </c>
      <c r="F117">
        <v>412.57</v>
      </c>
    </row>
    <row r="118" spans="3:6" x14ac:dyDescent="0.25">
      <c r="C118" t="s">
        <v>114</v>
      </c>
      <c r="D118">
        <v>2034</v>
      </c>
      <c r="E118" t="s">
        <v>144</v>
      </c>
      <c r="F118">
        <v>821.72</v>
      </c>
    </row>
    <row r="119" spans="3:6" x14ac:dyDescent="0.25">
      <c r="C119" t="s">
        <v>114</v>
      </c>
      <c r="D119">
        <v>2034</v>
      </c>
      <c r="E119" t="s">
        <v>145</v>
      </c>
      <c r="F119">
        <v>11.95</v>
      </c>
    </row>
    <row r="120" spans="3:6" x14ac:dyDescent="0.25">
      <c r="C120" t="s">
        <v>114</v>
      </c>
      <c r="D120">
        <v>2035</v>
      </c>
      <c r="E120" t="s">
        <v>146</v>
      </c>
      <c r="F120">
        <v>0.16</v>
      </c>
    </row>
    <row r="121" spans="3:6" x14ac:dyDescent="0.25">
      <c r="C121" t="s">
        <v>114</v>
      </c>
      <c r="D121">
        <v>2035</v>
      </c>
      <c r="E121" t="s">
        <v>142</v>
      </c>
      <c r="F121">
        <v>331.75</v>
      </c>
    </row>
    <row r="122" spans="3:6" x14ac:dyDescent="0.25">
      <c r="C122" t="s">
        <v>114</v>
      </c>
      <c r="D122">
        <v>2035</v>
      </c>
      <c r="E122" t="s">
        <v>143</v>
      </c>
      <c r="F122">
        <v>424.58</v>
      </c>
    </row>
    <row r="123" spans="3:6" x14ac:dyDescent="0.25">
      <c r="C123" t="s">
        <v>114</v>
      </c>
      <c r="D123">
        <v>2035</v>
      </c>
      <c r="E123" t="s">
        <v>144</v>
      </c>
      <c r="F123">
        <v>855.28</v>
      </c>
    </row>
    <row r="124" spans="3:6" x14ac:dyDescent="0.25">
      <c r="C124" t="s">
        <v>114</v>
      </c>
      <c r="D124">
        <v>2035</v>
      </c>
      <c r="E124" t="s">
        <v>145</v>
      </c>
      <c r="F124">
        <v>12.19</v>
      </c>
    </row>
    <row r="125" spans="3:6" x14ac:dyDescent="0.25">
      <c r="C125" t="s">
        <v>114</v>
      </c>
      <c r="D125">
        <v>2036</v>
      </c>
      <c r="E125" t="s">
        <v>146</v>
      </c>
      <c r="F125">
        <v>0.17</v>
      </c>
    </row>
    <row r="126" spans="3:6" x14ac:dyDescent="0.25">
      <c r="C126" t="s">
        <v>114</v>
      </c>
      <c r="D126">
        <v>2036</v>
      </c>
      <c r="E126" t="s">
        <v>142</v>
      </c>
      <c r="F126">
        <v>338.53</v>
      </c>
    </row>
    <row r="127" spans="3:6" x14ac:dyDescent="0.25">
      <c r="C127" t="s">
        <v>114</v>
      </c>
      <c r="D127">
        <v>2036</v>
      </c>
      <c r="E127" t="s">
        <v>143</v>
      </c>
      <c r="F127">
        <v>432.93</v>
      </c>
    </row>
    <row r="128" spans="3:6" x14ac:dyDescent="0.25">
      <c r="C128" t="s">
        <v>114</v>
      </c>
      <c r="D128">
        <v>2036</v>
      </c>
      <c r="E128" t="s">
        <v>144</v>
      </c>
      <c r="F128">
        <v>886.07</v>
      </c>
    </row>
    <row r="129" spans="3:6" x14ac:dyDescent="0.25">
      <c r="C129" t="s">
        <v>114</v>
      </c>
      <c r="D129">
        <v>2036</v>
      </c>
      <c r="E129" t="s">
        <v>145</v>
      </c>
      <c r="F129">
        <v>12.48</v>
      </c>
    </row>
    <row r="130" spans="3:6" x14ac:dyDescent="0.25">
      <c r="C130" t="s">
        <v>114</v>
      </c>
      <c r="D130">
        <v>2037</v>
      </c>
      <c r="E130" t="s">
        <v>146</v>
      </c>
      <c r="F130">
        <v>0.18</v>
      </c>
    </row>
    <row r="131" spans="3:6" x14ac:dyDescent="0.25">
      <c r="C131" t="s">
        <v>114</v>
      </c>
      <c r="D131">
        <v>2037</v>
      </c>
      <c r="E131" t="s">
        <v>142</v>
      </c>
      <c r="F131">
        <v>345.34</v>
      </c>
    </row>
    <row r="132" spans="3:6" x14ac:dyDescent="0.25">
      <c r="C132" t="s">
        <v>114</v>
      </c>
      <c r="D132">
        <v>2037</v>
      </c>
      <c r="E132" t="s">
        <v>143</v>
      </c>
      <c r="F132">
        <v>445.41</v>
      </c>
    </row>
    <row r="133" spans="3:6" x14ac:dyDescent="0.25">
      <c r="C133" t="s">
        <v>114</v>
      </c>
      <c r="D133">
        <v>2037</v>
      </c>
      <c r="E133" t="s">
        <v>144</v>
      </c>
      <c r="F133">
        <v>917.76</v>
      </c>
    </row>
    <row r="134" spans="3:6" x14ac:dyDescent="0.25">
      <c r="C134" t="s">
        <v>114</v>
      </c>
      <c r="D134">
        <v>2037</v>
      </c>
      <c r="E134" t="s">
        <v>145</v>
      </c>
      <c r="F134">
        <v>12.79</v>
      </c>
    </row>
    <row r="135" spans="3:6" x14ac:dyDescent="0.25">
      <c r="C135" t="s">
        <v>114</v>
      </c>
      <c r="D135">
        <v>2038</v>
      </c>
      <c r="E135" t="s">
        <v>146</v>
      </c>
      <c r="F135">
        <v>0.2</v>
      </c>
    </row>
    <row r="136" spans="3:6" x14ac:dyDescent="0.25">
      <c r="C136" t="s">
        <v>114</v>
      </c>
      <c r="D136">
        <v>2038</v>
      </c>
      <c r="E136" t="s">
        <v>142</v>
      </c>
      <c r="F136">
        <v>352.18</v>
      </c>
    </row>
    <row r="137" spans="3:6" x14ac:dyDescent="0.25">
      <c r="C137" t="s">
        <v>114</v>
      </c>
      <c r="D137">
        <v>2038</v>
      </c>
      <c r="E137" t="s">
        <v>143</v>
      </c>
      <c r="F137">
        <v>456.92</v>
      </c>
    </row>
    <row r="138" spans="3:6" x14ac:dyDescent="0.25">
      <c r="C138" t="s">
        <v>114</v>
      </c>
      <c r="D138">
        <v>2038</v>
      </c>
      <c r="E138" t="s">
        <v>144</v>
      </c>
      <c r="F138">
        <v>950.36</v>
      </c>
    </row>
    <row r="139" spans="3:6" x14ac:dyDescent="0.25">
      <c r="C139" t="s">
        <v>114</v>
      </c>
      <c r="D139">
        <v>2038</v>
      </c>
      <c r="E139" t="s">
        <v>145</v>
      </c>
      <c r="F139">
        <v>13.08</v>
      </c>
    </row>
    <row r="140" spans="3:6" x14ac:dyDescent="0.25">
      <c r="C140" t="s">
        <v>114</v>
      </c>
      <c r="D140">
        <v>2039</v>
      </c>
      <c r="E140" t="s">
        <v>146</v>
      </c>
      <c r="F140">
        <v>0.21</v>
      </c>
    </row>
    <row r="141" spans="3:6" x14ac:dyDescent="0.25">
      <c r="C141" t="s">
        <v>114</v>
      </c>
      <c r="D141">
        <v>2039</v>
      </c>
      <c r="E141" t="s">
        <v>142</v>
      </c>
      <c r="F141">
        <v>359.09</v>
      </c>
    </row>
    <row r="142" spans="3:6" x14ac:dyDescent="0.25">
      <c r="C142" t="s">
        <v>114</v>
      </c>
      <c r="D142">
        <v>2039</v>
      </c>
      <c r="E142" t="s">
        <v>143</v>
      </c>
      <c r="F142">
        <v>467.19</v>
      </c>
    </row>
    <row r="143" spans="3:6" x14ac:dyDescent="0.25">
      <c r="C143" t="s">
        <v>114</v>
      </c>
      <c r="D143">
        <v>2039</v>
      </c>
      <c r="E143" t="s">
        <v>144</v>
      </c>
      <c r="F143">
        <v>983.94</v>
      </c>
    </row>
    <row r="144" spans="3:6" x14ac:dyDescent="0.25">
      <c r="C144" t="s">
        <v>114</v>
      </c>
      <c r="D144">
        <v>2039</v>
      </c>
      <c r="E144" t="s">
        <v>145</v>
      </c>
      <c r="F144">
        <v>13.43</v>
      </c>
    </row>
    <row r="145" spans="3:6" x14ac:dyDescent="0.25">
      <c r="C145" t="s">
        <v>114</v>
      </c>
      <c r="D145">
        <v>2040</v>
      </c>
      <c r="E145" t="s">
        <v>146</v>
      </c>
      <c r="F145">
        <v>0.22</v>
      </c>
    </row>
    <row r="146" spans="3:6" x14ac:dyDescent="0.25">
      <c r="C146" t="s">
        <v>114</v>
      </c>
      <c r="D146">
        <v>2040</v>
      </c>
      <c r="E146" t="s">
        <v>142</v>
      </c>
      <c r="F146">
        <v>366.01</v>
      </c>
    </row>
    <row r="147" spans="3:6" x14ac:dyDescent="0.25">
      <c r="C147" t="s">
        <v>114</v>
      </c>
      <c r="D147">
        <v>2040</v>
      </c>
      <c r="E147" t="s">
        <v>143</v>
      </c>
      <c r="F147">
        <v>478.86</v>
      </c>
    </row>
    <row r="148" spans="3:6" x14ac:dyDescent="0.25">
      <c r="C148" t="s">
        <v>114</v>
      </c>
      <c r="D148">
        <v>2040</v>
      </c>
      <c r="E148" t="s">
        <v>144</v>
      </c>
      <c r="F148">
        <v>1018.24</v>
      </c>
    </row>
    <row r="149" spans="3:6" x14ac:dyDescent="0.25">
      <c r="C149" t="s">
        <v>114</v>
      </c>
      <c r="D149">
        <v>2040</v>
      </c>
      <c r="E149" t="s">
        <v>145</v>
      </c>
      <c r="F149">
        <v>13.81</v>
      </c>
    </row>
    <row r="150" spans="3:6" x14ac:dyDescent="0.25">
      <c r="C150" t="s">
        <v>114</v>
      </c>
      <c r="D150">
        <v>2041</v>
      </c>
      <c r="E150" t="s">
        <v>146</v>
      </c>
      <c r="F150">
        <v>0.23</v>
      </c>
    </row>
    <row r="151" spans="3:6" x14ac:dyDescent="0.25">
      <c r="C151" t="s">
        <v>114</v>
      </c>
      <c r="D151">
        <v>2041</v>
      </c>
      <c r="E151" t="s">
        <v>142</v>
      </c>
      <c r="F151">
        <v>372.58</v>
      </c>
    </row>
    <row r="152" spans="3:6" x14ac:dyDescent="0.25">
      <c r="C152" t="s">
        <v>114</v>
      </c>
      <c r="D152">
        <v>2041</v>
      </c>
      <c r="E152" t="s">
        <v>143</v>
      </c>
      <c r="F152">
        <v>490.65</v>
      </c>
    </row>
    <row r="153" spans="3:6" x14ac:dyDescent="0.25">
      <c r="C153" t="s">
        <v>114</v>
      </c>
      <c r="D153">
        <v>2041</v>
      </c>
      <c r="E153" t="s">
        <v>144</v>
      </c>
      <c r="F153">
        <v>1051.96</v>
      </c>
    </row>
    <row r="154" spans="3:6" x14ac:dyDescent="0.25">
      <c r="C154" t="s">
        <v>114</v>
      </c>
      <c r="D154">
        <v>2041</v>
      </c>
      <c r="E154" t="s">
        <v>145</v>
      </c>
      <c r="F154">
        <v>14.21</v>
      </c>
    </row>
    <row r="155" spans="3:6" x14ac:dyDescent="0.25">
      <c r="C155" t="s">
        <v>114</v>
      </c>
      <c r="D155">
        <v>2042</v>
      </c>
      <c r="E155" t="s">
        <v>146</v>
      </c>
      <c r="F155">
        <v>0.24</v>
      </c>
    </row>
    <row r="156" spans="3:6" x14ac:dyDescent="0.25">
      <c r="C156" t="s">
        <v>114</v>
      </c>
      <c r="D156">
        <v>2042</v>
      </c>
      <c r="E156" t="s">
        <v>142</v>
      </c>
      <c r="F156">
        <v>379.13</v>
      </c>
    </row>
    <row r="157" spans="3:6" x14ac:dyDescent="0.25">
      <c r="C157" t="s">
        <v>114</v>
      </c>
      <c r="D157">
        <v>2042</v>
      </c>
      <c r="E157" t="s">
        <v>143</v>
      </c>
      <c r="F157">
        <v>501.49</v>
      </c>
    </row>
    <row r="158" spans="3:6" x14ac:dyDescent="0.25">
      <c r="C158" t="s">
        <v>114</v>
      </c>
      <c r="D158">
        <v>2042</v>
      </c>
      <c r="E158" t="s">
        <v>144</v>
      </c>
      <c r="F158">
        <v>1086.3699999999999</v>
      </c>
    </row>
    <row r="159" spans="3:6" x14ac:dyDescent="0.25">
      <c r="C159" t="s">
        <v>114</v>
      </c>
      <c r="D159">
        <v>2042</v>
      </c>
      <c r="E159" t="s">
        <v>145</v>
      </c>
      <c r="F159">
        <v>14.62</v>
      </c>
    </row>
    <row r="160" spans="3:6" x14ac:dyDescent="0.25">
      <c r="C160" t="s">
        <v>114</v>
      </c>
      <c r="D160">
        <v>2043</v>
      </c>
      <c r="E160" t="s">
        <v>146</v>
      </c>
      <c r="F160">
        <v>0.25</v>
      </c>
    </row>
    <row r="161" spans="3:6" x14ac:dyDescent="0.25">
      <c r="C161" t="s">
        <v>114</v>
      </c>
      <c r="D161">
        <v>2043</v>
      </c>
      <c r="E161" t="s">
        <v>142</v>
      </c>
      <c r="F161">
        <v>385.68</v>
      </c>
    </row>
    <row r="162" spans="3:6" x14ac:dyDescent="0.25">
      <c r="C162" t="s">
        <v>114</v>
      </c>
      <c r="D162">
        <v>2043</v>
      </c>
      <c r="E162" t="s">
        <v>143</v>
      </c>
      <c r="F162">
        <v>513.02</v>
      </c>
    </row>
    <row r="163" spans="3:6" x14ac:dyDescent="0.25">
      <c r="C163" t="s">
        <v>114</v>
      </c>
      <c r="D163">
        <v>2043</v>
      </c>
      <c r="E163" t="s">
        <v>144</v>
      </c>
      <c r="F163">
        <v>1121.17</v>
      </c>
    </row>
    <row r="164" spans="3:6" x14ac:dyDescent="0.25">
      <c r="C164" t="s">
        <v>114</v>
      </c>
      <c r="D164">
        <v>2043</v>
      </c>
      <c r="E164" t="s">
        <v>145</v>
      </c>
      <c r="F164">
        <v>15.09</v>
      </c>
    </row>
    <row r="165" spans="3:6" x14ac:dyDescent="0.25">
      <c r="C165" t="s">
        <v>114</v>
      </c>
      <c r="D165">
        <v>2044</v>
      </c>
      <c r="E165" t="s">
        <v>146</v>
      </c>
      <c r="F165">
        <v>0.26</v>
      </c>
    </row>
    <row r="166" spans="3:6" x14ac:dyDescent="0.25">
      <c r="C166" t="s">
        <v>114</v>
      </c>
      <c r="D166">
        <v>2044</v>
      </c>
      <c r="E166" t="s">
        <v>142</v>
      </c>
      <c r="F166">
        <v>392.22</v>
      </c>
    </row>
    <row r="167" spans="3:6" x14ac:dyDescent="0.25">
      <c r="C167" t="s">
        <v>114</v>
      </c>
      <c r="D167">
        <v>2044</v>
      </c>
      <c r="E167" t="s">
        <v>143</v>
      </c>
      <c r="F167">
        <v>526.69000000000005</v>
      </c>
    </row>
    <row r="168" spans="3:6" x14ac:dyDescent="0.25">
      <c r="C168" t="s">
        <v>114</v>
      </c>
      <c r="D168">
        <v>2044</v>
      </c>
      <c r="E168" t="s">
        <v>144</v>
      </c>
      <c r="F168">
        <v>1156.5</v>
      </c>
    </row>
    <row r="169" spans="3:6" x14ac:dyDescent="0.25">
      <c r="C169" t="s">
        <v>114</v>
      </c>
      <c r="D169">
        <v>2044</v>
      </c>
      <c r="E169" t="s">
        <v>145</v>
      </c>
      <c r="F169">
        <v>15.58</v>
      </c>
    </row>
    <row r="170" spans="3:6" x14ac:dyDescent="0.25">
      <c r="C170" t="s">
        <v>114</v>
      </c>
      <c r="D170">
        <v>2045</v>
      </c>
      <c r="E170" t="s">
        <v>146</v>
      </c>
      <c r="F170">
        <v>0.27</v>
      </c>
    </row>
    <row r="171" spans="3:6" x14ac:dyDescent="0.25">
      <c r="C171" t="s">
        <v>114</v>
      </c>
      <c r="D171">
        <v>2045</v>
      </c>
      <c r="E171" t="s">
        <v>142</v>
      </c>
      <c r="F171">
        <v>398.75</v>
      </c>
    </row>
    <row r="172" spans="3:6" x14ac:dyDescent="0.25">
      <c r="C172" t="s">
        <v>114</v>
      </c>
      <c r="D172">
        <v>2045</v>
      </c>
      <c r="E172" t="s">
        <v>143</v>
      </c>
      <c r="F172">
        <v>537.79999999999995</v>
      </c>
    </row>
    <row r="173" spans="3:6" x14ac:dyDescent="0.25">
      <c r="C173" t="s">
        <v>114</v>
      </c>
      <c r="D173">
        <v>2045</v>
      </c>
      <c r="E173" t="s">
        <v>144</v>
      </c>
      <c r="F173">
        <v>1192.6600000000001</v>
      </c>
    </row>
    <row r="174" spans="3:6" x14ac:dyDescent="0.25">
      <c r="C174" t="s">
        <v>114</v>
      </c>
      <c r="D174">
        <v>2045</v>
      </c>
      <c r="E174" t="s">
        <v>145</v>
      </c>
      <c r="F174">
        <v>16.09</v>
      </c>
    </row>
    <row r="175" spans="3:6" x14ac:dyDescent="0.25">
      <c r="C175" t="s">
        <v>114</v>
      </c>
      <c r="D175">
        <v>2046</v>
      </c>
      <c r="E175" t="s">
        <v>146</v>
      </c>
      <c r="F175">
        <v>0.28000000000000003</v>
      </c>
    </row>
    <row r="176" spans="3:6" x14ac:dyDescent="0.25">
      <c r="C176" t="s">
        <v>114</v>
      </c>
      <c r="D176">
        <v>2046</v>
      </c>
      <c r="E176" t="s">
        <v>142</v>
      </c>
      <c r="F176">
        <v>407.18</v>
      </c>
    </row>
    <row r="177" spans="3:6" x14ac:dyDescent="0.25">
      <c r="C177" t="s">
        <v>114</v>
      </c>
      <c r="D177">
        <v>2046</v>
      </c>
      <c r="E177" t="s">
        <v>143</v>
      </c>
      <c r="F177">
        <v>552.99</v>
      </c>
    </row>
    <row r="178" spans="3:6" x14ac:dyDescent="0.25">
      <c r="C178" t="s">
        <v>114</v>
      </c>
      <c r="D178">
        <v>2046</v>
      </c>
      <c r="E178" t="s">
        <v>144</v>
      </c>
      <c r="F178">
        <v>1232.71</v>
      </c>
    </row>
    <row r="179" spans="3:6" x14ac:dyDescent="0.25">
      <c r="C179" t="s">
        <v>114</v>
      </c>
      <c r="D179">
        <v>2046</v>
      </c>
      <c r="E179" t="s">
        <v>145</v>
      </c>
      <c r="F179">
        <v>16.63</v>
      </c>
    </row>
    <row r="180" spans="3:6" x14ac:dyDescent="0.25">
      <c r="C180" t="s">
        <v>114</v>
      </c>
      <c r="D180">
        <v>2047</v>
      </c>
      <c r="E180" t="s">
        <v>146</v>
      </c>
      <c r="F180">
        <v>0.28999999999999998</v>
      </c>
    </row>
    <row r="181" spans="3:6" x14ac:dyDescent="0.25">
      <c r="C181" t="s">
        <v>114</v>
      </c>
      <c r="D181">
        <v>2047</v>
      </c>
      <c r="E181" t="s">
        <v>142</v>
      </c>
      <c r="F181">
        <v>415.68</v>
      </c>
    </row>
    <row r="182" spans="3:6" x14ac:dyDescent="0.25">
      <c r="C182" t="s">
        <v>114</v>
      </c>
      <c r="D182">
        <v>2047</v>
      </c>
      <c r="E182" t="s">
        <v>143</v>
      </c>
      <c r="F182">
        <v>563.46</v>
      </c>
    </row>
    <row r="183" spans="3:6" x14ac:dyDescent="0.25">
      <c r="C183" t="s">
        <v>114</v>
      </c>
      <c r="D183">
        <v>2047</v>
      </c>
      <c r="E183" t="s">
        <v>144</v>
      </c>
      <c r="F183">
        <v>1274.3499999999999</v>
      </c>
    </row>
    <row r="184" spans="3:6" x14ac:dyDescent="0.25">
      <c r="C184" t="s">
        <v>114</v>
      </c>
      <c r="D184">
        <v>2047</v>
      </c>
      <c r="E184" t="s">
        <v>145</v>
      </c>
      <c r="F184">
        <v>17.190000000000001</v>
      </c>
    </row>
    <row r="185" spans="3:6" x14ac:dyDescent="0.25">
      <c r="C185" t="s">
        <v>114</v>
      </c>
      <c r="D185">
        <v>2048</v>
      </c>
      <c r="E185" t="s">
        <v>146</v>
      </c>
      <c r="F185">
        <v>0.31</v>
      </c>
    </row>
    <row r="186" spans="3:6" x14ac:dyDescent="0.25">
      <c r="C186" t="s">
        <v>114</v>
      </c>
      <c r="D186">
        <v>2048</v>
      </c>
      <c r="E186" t="s">
        <v>142</v>
      </c>
      <c r="F186">
        <v>424.27</v>
      </c>
    </row>
    <row r="187" spans="3:6" x14ac:dyDescent="0.25">
      <c r="C187" t="s">
        <v>114</v>
      </c>
      <c r="D187">
        <v>2048</v>
      </c>
      <c r="E187" t="s">
        <v>143</v>
      </c>
      <c r="F187">
        <v>577.20000000000005</v>
      </c>
    </row>
    <row r="188" spans="3:6" x14ac:dyDescent="0.25">
      <c r="C188" t="s">
        <v>114</v>
      </c>
      <c r="D188">
        <v>2048</v>
      </c>
      <c r="E188" t="s">
        <v>144</v>
      </c>
      <c r="F188">
        <v>1317.58</v>
      </c>
    </row>
    <row r="189" spans="3:6" x14ac:dyDescent="0.25">
      <c r="C189" t="s">
        <v>114</v>
      </c>
      <c r="D189">
        <v>2048</v>
      </c>
      <c r="E189" t="s">
        <v>145</v>
      </c>
      <c r="F189">
        <v>17.77</v>
      </c>
    </row>
    <row r="190" spans="3:6" x14ac:dyDescent="0.25">
      <c r="C190" t="s">
        <v>114</v>
      </c>
      <c r="D190">
        <v>2049</v>
      </c>
      <c r="E190" t="s">
        <v>146</v>
      </c>
      <c r="F190">
        <v>0.32</v>
      </c>
    </row>
    <row r="191" spans="3:6" x14ac:dyDescent="0.25">
      <c r="C191" t="s">
        <v>114</v>
      </c>
      <c r="D191">
        <v>2049</v>
      </c>
      <c r="E191" t="s">
        <v>142</v>
      </c>
      <c r="F191">
        <v>433.01</v>
      </c>
    </row>
    <row r="192" spans="3:6" x14ac:dyDescent="0.25">
      <c r="C192" t="s">
        <v>114</v>
      </c>
      <c r="D192">
        <v>2049</v>
      </c>
      <c r="E192" t="s">
        <v>143</v>
      </c>
      <c r="F192">
        <v>589.62</v>
      </c>
    </row>
    <row r="193" spans="3:6" x14ac:dyDescent="0.25">
      <c r="C193" t="s">
        <v>114</v>
      </c>
      <c r="D193">
        <v>2049</v>
      </c>
      <c r="E193" t="s">
        <v>144</v>
      </c>
      <c r="F193">
        <v>1362.09</v>
      </c>
    </row>
    <row r="194" spans="3:6" x14ac:dyDescent="0.25">
      <c r="C194" t="s">
        <v>114</v>
      </c>
      <c r="D194">
        <v>2049</v>
      </c>
      <c r="E194" t="s">
        <v>145</v>
      </c>
      <c r="F194">
        <v>18.52</v>
      </c>
    </row>
    <row r="195" spans="3:6" x14ac:dyDescent="0.25">
      <c r="C195" t="s">
        <v>114</v>
      </c>
      <c r="D195">
        <v>2050</v>
      </c>
      <c r="E195" t="s">
        <v>146</v>
      </c>
      <c r="F195">
        <v>0.33</v>
      </c>
    </row>
    <row r="196" spans="3:6" x14ac:dyDescent="0.25">
      <c r="C196" t="s">
        <v>114</v>
      </c>
      <c r="D196">
        <v>2050</v>
      </c>
      <c r="E196" t="s">
        <v>142</v>
      </c>
      <c r="F196">
        <v>441.91</v>
      </c>
    </row>
    <row r="197" spans="3:6" x14ac:dyDescent="0.25">
      <c r="C197" t="s">
        <v>114</v>
      </c>
      <c r="D197">
        <v>2050</v>
      </c>
      <c r="E197" t="s">
        <v>143</v>
      </c>
      <c r="F197">
        <v>604.85</v>
      </c>
    </row>
    <row r="198" spans="3:6" x14ac:dyDescent="0.25">
      <c r="C198" t="s">
        <v>114</v>
      </c>
      <c r="D198">
        <v>2050</v>
      </c>
      <c r="E198" t="s">
        <v>144</v>
      </c>
      <c r="F198">
        <v>1408.41</v>
      </c>
    </row>
    <row r="199" spans="3:6" x14ac:dyDescent="0.25">
      <c r="C199" t="s">
        <v>114</v>
      </c>
      <c r="D199">
        <v>2050</v>
      </c>
      <c r="E199" t="s">
        <v>145</v>
      </c>
      <c r="F199">
        <v>19.47</v>
      </c>
    </row>
    <row r="200" spans="3:6" x14ac:dyDescent="0.25">
      <c r="C200" t="s">
        <v>115</v>
      </c>
      <c r="D200">
        <v>2010</v>
      </c>
      <c r="E200" t="s">
        <v>142</v>
      </c>
      <c r="F200">
        <v>162.4</v>
      </c>
    </row>
    <row r="201" spans="3:6" x14ac:dyDescent="0.25">
      <c r="C201" t="s">
        <v>115</v>
      </c>
      <c r="D201">
        <v>2010</v>
      </c>
      <c r="E201" t="s">
        <v>143</v>
      </c>
      <c r="F201">
        <v>661.68</v>
      </c>
    </row>
    <row r="202" spans="3:6" x14ac:dyDescent="0.25">
      <c r="C202" t="s">
        <v>115</v>
      </c>
      <c r="D202">
        <v>2010</v>
      </c>
      <c r="E202" t="s">
        <v>144</v>
      </c>
      <c r="F202">
        <v>256.83999999999997</v>
      </c>
    </row>
    <row r="203" spans="3:6" x14ac:dyDescent="0.25">
      <c r="C203" t="s">
        <v>115</v>
      </c>
      <c r="D203">
        <v>2010</v>
      </c>
      <c r="E203" t="s">
        <v>145</v>
      </c>
      <c r="F203">
        <v>11</v>
      </c>
    </row>
    <row r="204" spans="3:6" x14ac:dyDescent="0.25">
      <c r="C204" t="s">
        <v>115</v>
      </c>
      <c r="D204">
        <v>2011</v>
      </c>
      <c r="E204" t="s">
        <v>142</v>
      </c>
      <c r="F204">
        <v>165.02</v>
      </c>
    </row>
    <row r="205" spans="3:6" x14ac:dyDescent="0.25">
      <c r="C205" t="s">
        <v>115</v>
      </c>
      <c r="D205">
        <v>2011</v>
      </c>
      <c r="E205" t="s">
        <v>143</v>
      </c>
      <c r="F205">
        <v>658.02</v>
      </c>
    </row>
    <row r="206" spans="3:6" x14ac:dyDescent="0.25">
      <c r="C206" t="s">
        <v>115</v>
      </c>
      <c r="D206">
        <v>2011</v>
      </c>
      <c r="E206" t="s">
        <v>144</v>
      </c>
      <c r="F206">
        <v>272.87</v>
      </c>
    </row>
    <row r="207" spans="3:6" x14ac:dyDescent="0.25">
      <c r="C207" t="s">
        <v>115</v>
      </c>
      <c r="D207">
        <v>2011</v>
      </c>
      <c r="E207" t="s">
        <v>145</v>
      </c>
      <c r="F207">
        <v>11.73</v>
      </c>
    </row>
    <row r="208" spans="3:6" x14ac:dyDescent="0.25">
      <c r="C208" t="s">
        <v>115</v>
      </c>
      <c r="D208">
        <v>2012</v>
      </c>
      <c r="E208" t="s">
        <v>142</v>
      </c>
      <c r="F208">
        <v>175.22</v>
      </c>
    </row>
    <row r="209" spans="3:6" x14ac:dyDescent="0.25">
      <c r="C209" t="s">
        <v>115</v>
      </c>
      <c r="D209">
        <v>2012</v>
      </c>
      <c r="E209" t="s">
        <v>143</v>
      </c>
      <c r="F209">
        <v>678.76</v>
      </c>
    </row>
    <row r="210" spans="3:6" x14ac:dyDescent="0.25">
      <c r="C210" t="s">
        <v>115</v>
      </c>
      <c r="D210">
        <v>2012</v>
      </c>
      <c r="E210" t="s">
        <v>144</v>
      </c>
      <c r="F210">
        <v>285.60000000000002</v>
      </c>
    </row>
    <row r="211" spans="3:6" x14ac:dyDescent="0.25">
      <c r="C211" t="s">
        <v>115</v>
      </c>
      <c r="D211">
        <v>2012</v>
      </c>
      <c r="E211" t="s">
        <v>145</v>
      </c>
      <c r="F211">
        <v>13.45</v>
      </c>
    </row>
    <row r="212" spans="3:6" x14ac:dyDescent="0.25">
      <c r="C212" t="s">
        <v>115</v>
      </c>
      <c r="D212">
        <v>2013</v>
      </c>
      <c r="E212" t="s">
        <v>142</v>
      </c>
      <c r="F212">
        <v>181.94</v>
      </c>
    </row>
    <row r="213" spans="3:6" x14ac:dyDescent="0.25">
      <c r="C213" t="s">
        <v>115</v>
      </c>
      <c r="D213">
        <v>2013</v>
      </c>
      <c r="E213" t="s">
        <v>143</v>
      </c>
      <c r="F213">
        <v>674.42</v>
      </c>
    </row>
    <row r="214" spans="3:6" x14ac:dyDescent="0.25">
      <c r="C214" t="s">
        <v>115</v>
      </c>
      <c r="D214">
        <v>2013</v>
      </c>
      <c r="E214" t="s">
        <v>144</v>
      </c>
      <c r="F214">
        <v>296.3</v>
      </c>
    </row>
    <row r="215" spans="3:6" x14ac:dyDescent="0.25">
      <c r="C215" t="s">
        <v>115</v>
      </c>
      <c r="D215">
        <v>2013</v>
      </c>
      <c r="E215" t="s">
        <v>145</v>
      </c>
      <c r="F215">
        <v>13.03</v>
      </c>
    </row>
    <row r="216" spans="3:6" x14ac:dyDescent="0.25">
      <c r="C216" t="s">
        <v>115</v>
      </c>
      <c r="D216">
        <v>2014</v>
      </c>
      <c r="E216" t="s">
        <v>142</v>
      </c>
      <c r="F216">
        <v>182.26</v>
      </c>
    </row>
    <row r="217" spans="3:6" x14ac:dyDescent="0.25">
      <c r="C217" t="s">
        <v>115</v>
      </c>
      <c r="D217">
        <v>2014</v>
      </c>
      <c r="E217" t="s">
        <v>143</v>
      </c>
      <c r="F217">
        <v>706.8</v>
      </c>
    </row>
    <row r="218" spans="3:6" x14ac:dyDescent="0.25">
      <c r="C218" t="s">
        <v>115</v>
      </c>
      <c r="D218">
        <v>2014</v>
      </c>
      <c r="E218" t="s">
        <v>144</v>
      </c>
      <c r="F218">
        <v>309.38</v>
      </c>
    </row>
    <row r="219" spans="3:6" x14ac:dyDescent="0.25">
      <c r="C219" t="s">
        <v>115</v>
      </c>
      <c r="D219">
        <v>2014</v>
      </c>
      <c r="E219" t="s">
        <v>145</v>
      </c>
      <c r="F219">
        <v>13.45</v>
      </c>
    </row>
    <row r="220" spans="3:6" x14ac:dyDescent="0.25">
      <c r="C220" t="s">
        <v>115</v>
      </c>
      <c r="D220">
        <v>2015</v>
      </c>
      <c r="E220" t="s">
        <v>142</v>
      </c>
      <c r="F220">
        <v>186.97</v>
      </c>
    </row>
    <row r="221" spans="3:6" x14ac:dyDescent="0.25">
      <c r="C221" t="s">
        <v>115</v>
      </c>
      <c r="D221">
        <v>2015</v>
      </c>
      <c r="E221" t="s">
        <v>143</v>
      </c>
      <c r="F221">
        <v>692.7</v>
      </c>
    </row>
    <row r="222" spans="3:6" x14ac:dyDescent="0.25">
      <c r="C222" t="s">
        <v>115</v>
      </c>
      <c r="D222">
        <v>2015</v>
      </c>
      <c r="E222" t="s">
        <v>144</v>
      </c>
      <c r="F222">
        <v>338.73</v>
      </c>
    </row>
    <row r="223" spans="3:6" x14ac:dyDescent="0.25">
      <c r="C223" t="s">
        <v>115</v>
      </c>
      <c r="D223">
        <v>2015</v>
      </c>
      <c r="E223" t="s">
        <v>145</v>
      </c>
      <c r="F223">
        <v>13.48</v>
      </c>
    </row>
    <row r="224" spans="3:6" x14ac:dyDescent="0.25">
      <c r="C224" t="s">
        <v>115</v>
      </c>
      <c r="D224">
        <v>2016</v>
      </c>
      <c r="E224" t="s">
        <v>142</v>
      </c>
      <c r="F224">
        <v>200.06</v>
      </c>
    </row>
    <row r="225" spans="3:6" x14ac:dyDescent="0.25">
      <c r="C225" t="s">
        <v>115</v>
      </c>
      <c r="D225">
        <v>2016</v>
      </c>
      <c r="E225" t="s">
        <v>143</v>
      </c>
      <c r="F225">
        <v>659.63</v>
      </c>
    </row>
    <row r="226" spans="3:6" x14ac:dyDescent="0.25">
      <c r="C226" t="s">
        <v>115</v>
      </c>
      <c r="D226">
        <v>2016</v>
      </c>
      <c r="E226" t="s">
        <v>144</v>
      </c>
      <c r="F226">
        <v>336.67</v>
      </c>
    </row>
    <row r="227" spans="3:6" x14ac:dyDescent="0.25">
      <c r="C227" t="s">
        <v>115</v>
      </c>
      <c r="D227">
        <v>2016</v>
      </c>
      <c r="E227" t="s">
        <v>145</v>
      </c>
      <c r="F227">
        <v>13.69</v>
      </c>
    </row>
    <row r="228" spans="3:6" x14ac:dyDescent="0.25">
      <c r="C228" t="s">
        <v>115</v>
      </c>
      <c r="D228">
        <v>2017</v>
      </c>
      <c r="E228" t="s">
        <v>142</v>
      </c>
      <c r="F228">
        <v>211.09</v>
      </c>
    </row>
    <row r="229" spans="3:6" x14ac:dyDescent="0.25">
      <c r="C229" t="s">
        <v>115</v>
      </c>
      <c r="D229">
        <v>2017</v>
      </c>
      <c r="E229" t="s">
        <v>143</v>
      </c>
      <c r="F229">
        <v>693.03</v>
      </c>
    </row>
    <row r="230" spans="3:6" x14ac:dyDescent="0.25">
      <c r="C230" t="s">
        <v>115</v>
      </c>
      <c r="D230">
        <v>2017</v>
      </c>
      <c r="E230" t="s">
        <v>144</v>
      </c>
      <c r="F230">
        <v>358.31</v>
      </c>
    </row>
    <row r="231" spans="3:6" x14ac:dyDescent="0.25">
      <c r="C231" t="s">
        <v>115</v>
      </c>
      <c r="D231">
        <v>2017</v>
      </c>
      <c r="E231" t="s">
        <v>145</v>
      </c>
      <c r="F231">
        <v>13.41</v>
      </c>
    </row>
    <row r="232" spans="3:6" x14ac:dyDescent="0.25">
      <c r="C232" t="s">
        <v>115</v>
      </c>
      <c r="D232">
        <v>2018</v>
      </c>
      <c r="E232" t="s">
        <v>142</v>
      </c>
      <c r="F232">
        <v>210.72</v>
      </c>
    </row>
    <row r="233" spans="3:6" x14ac:dyDescent="0.25">
      <c r="C233" t="s">
        <v>115</v>
      </c>
      <c r="D233">
        <v>2018</v>
      </c>
      <c r="E233" t="s">
        <v>143</v>
      </c>
      <c r="F233">
        <v>698.9</v>
      </c>
    </row>
    <row r="234" spans="3:6" x14ac:dyDescent="0.25">
      <c r="C234" t="s">
        <v>115</v>
      </c>
      <c r="D234">
        <v>2018</v>
      </c>
      <c r="E234" t="s">
        <v>144</v>
      </c>
      <c r="F234">
        <v>374.37</v>
      </c>
    </row>
    <row r="235" spans="3:6" x14ac:dyDescent="0.25">
      <c r="C235" t="s">
        <v>115</v>
      </c>
      <c r="D235">
        <v>2018</v>
      </c>
      <c r="E235" t="s">
        <v>145</v>
      </c>
      <c r="F235">
        <v>12.89</v>
      </c>
    </row>
    <row r="236" spans="3:6" x14ac:dyDescent="0.25">
      <c r="C236" t="s">
        <v>115</v>
      </c>
      <c r="D236">
        <v>2019</v>
      </c>
      <c r="E236" t="s">
        <v>142</v>
      </c>
      <c r="F236">
        <v>216.1</v>
      </c>
    </row>
    <row r="237" spans="3:6" x14ac:dyDescent="0.25">
      <c r="C237" t="s">
        <v>115</v>
      </c>
      <c r="D237">
        <v>2019</v>
      </c>
      <c r="E237" t="s">
        <v>143</v>
      </c>
      <c r="F237">
        <v>693.47</v>
      </c>
    </row>
    <row r="238" spans="3:6" x14ac:dyDescent="0.25">
      <c r="C238" t="s">
        <v>115</v>
      </c>
      <c r="D238">
        <v>2019</v>
      </c>
      <c r="E238" t="s">
        <v>144</v>
      </c>
      <c r="F238">
        <v>420.08</v>
      </c>
    </row>
    <row r="239" spans="3:6" x14ac:dyDescent="0.25">
      <c r="C239" t="s">
        <v>115</v>
      </c>
      <c r="D239">
        <v>2019</v>
      </c>
      <c r="E239" t="s">
        <v>145</v>
      </c>
      <c r="F239">
        <v>22.44</v>
      </c>
    </row>
    <row r="240" spans="3:6" x14ac:dyDescent="0.25">
      <c r="C240" t="s">
        <v>115</v>
      </c>
      <c r="D240">
        <v>2020</v>
      </c>
      <c r="E240" t="s">
        <v>146</v>
      </c>
      <c r="F240">
        <v>0.04</v>
      </c>
    </row>
    <row r="241" spans="3:6" x14ac:dyDescent="0.25">
      <c r="C241" t="s">
        <v>115</v>
      </c>
      <c r="D241">
        <v>2020</v>
      </c>
      <c r="E241" t="s">
        <v>142</v>
      </c>
      <c r="F241">
        <v>211.25</v>
      </c>
    </row>
    <row r="242" spans="3:6" x14ac:dyDescent="0.25">
      <c r="C242" t="s">
        <v>115</v>
      </c>
      <c r="D242">
        <v>2020</v>
      </c>
      <c r="E242" t="s">
        <v>143</v>
      </c>
      <c r="F242">
        <v>655.14</v>
      </c>
    </row>
    <row r="243" spans="3:6" x14ac:dyDescent="0.25">
      <c r="C243" t="s">
        <v>115</v>
      </c>
      <c r="D243">
        <v>2020</v>
      </c>
      <c r="E243" t="s">
        <v>144</v>
      </c>
      <c r="F243">
        <v>376.94</v>
      </c>
    </row>
    <row r="244" spans="3:6" x14ac:dyDescent="0.25">
      <c r="C244" t="s">
        <v>115</v>
      </c>
      <c r="D244">
        <v>2020</v>
      </c>
      <c r="E244" t="s">
        <v>145</v>
      </c>
      <c r="F244">
        <v>21.62</v>
      </c>
    </row>
    <row r="245" spans="3:6" x14ac:dyDescent="0.25">
      <c r="C245" t="s">
        <v>115</v>
      </c>
      <c r="D245">
        <v>2021</v>
      </c>
      <c r="E245" t="s">
        <v>146</v>
      </c>
      <c r="F245">
        <v>0.12</v>
      </c>
    </row>
    <row r="246" spans="3:6" x14ac:dyDescent="0.25">
      <c r="C246" t="s">
        <v>115</v>
      </c>
      <c r="D246">
        <v>2021</v>
      </c>
      <c r="E246" t="s">
        <v>142</v>
      </c>
      <c r="F246">
        <v>216.38</v>
      </c>
    </row>
    <row r="247" spans="3:6" x14ac:dyDescent="0.25">
      <c r="C247" t="s">
        <v>115</v>
      </c>
      <c r="D247">
        <v>2021</v>
      </c>
      <c r="E247" t="s">
        <v>143</v>
      </c>
      <c r="F247">
        <v>686.91</v>
      </c>
    </row>
    <row r="248" spans="3:6" x14ac:dyDescent="0.25">
      <c r="C248" t="s">
        <v>115</v>
      </c>
      <c r="D248">
        <v>2021</v>
      </c>
      <c r="E248" t="s">
        <v>144</v>
      </c>
      <c r="F248">
        <v>379.18</v>
      </c>
    </row>
    <row r="249" spans="3:6" x14ac:dyDescent="0.25">
      <c r="C249" t="s">
        <v>115</v>
      </c>
      <c r="D249">
        <v>2021</v>
      </c>
      <c r="E249" t="s">
        <v>145</v>
      </c>
      <c r="F249">
        <v>21.72</v>
      </c>
    </row>
    <row r="250" spans="3:6" x14ac:dyDescent="0.25">
      <c r="C250" t="s">
        <v>115</v>
      </c>
      <c r="D250">
        <v>2022</v>
      </c>
      <c r="E250" t="s">
        <v>146</v>
      </c>
      <c r="F250">
        <v>0.13</v>
      </c>
    </row>
    <row r="251" spans="3:6" x14ac:dyDescent="0.25">
      <c r="C251" t="s">
        <v>115</v>
      </c>
      <c r="D251">
        <v>2022</v>
      </c>
      <c r="E251" t="s">
        <v>142</v>
      </c>
      <c r="F251">
        <v>221.87</v>
      </c>
    </row>
    <row r="252" spans="3:6" x14ac:dyDescent="0.25">
      <c r="C252" t="s">
        <v>115</v>
      </c>
      <c r="D252">
        <v>2022</v>
      </c>
      <c r="E252" t="s">
        <v>143</v>
      </c>
      <c r="F252">
        <v>702.91</v>
      </c>
    </row>
    <row r="253" spans="3:6" x14ac:dyDescent="0.25">
      <c r="C253" t="s">
        <v>115</v>
      </c>
      <c r="D253">
        <v>2022</v>
      </c>
      <c r="E253" t="s">
        <v>144</v>
      </c>
      <c r="F253">
        <v>392.73</v>
      </c>
    </row>
    <row r="254" spans="3:6" x14ac:dyDescent="0.25">
      <c r="C254" t="s">
        <v>115</v>
      </c>
      <c r="D254">
        <v>2022</v>
      </c>
      <c r="E254" t="s">
        <v>145</v>
      </c>
      <c r="F254">
        <v>22.02</v>
      </c>
    </row>
    <row r="255" spans="3:6" x14ac:dyDescent="0.25">
      <c r="C255" t="s">
        <v>115</v>
      </c>
      <c r="D255">
        <v>2023</v>
      </c>
      <c r="E255" t="s">
        <v>146</v>
      </c>
      <c r="F255">
        <v>0.16</v>
      </c>
    </row>
    <row r="256" spans="3:6" x14ac:dyDescent="0.25">
      <c r="C256" t="s">
        <v>115</v>
      </c>
      <c r="D256">
        <v>2023</v>
      </c>
      <c r="E256" t="s">
        <v>142</v>
      </c>
      <c r="F256">
        <v>227.98</v>
      </c>
    </row>
    <row r="257" spans="3:6" x14ac:dyDescent="0.25">
      <c r="C257" t="s">
        <v>115</v>
      </c>
      <c r="D257">
        <v>2023</v>
      </c>
      <c r="E257" t="s">
        <v>143</v>
      </c>
      <c r="F257">
        <v>721.86</v>
      </c>
    </row>
    <row r="258" spans="3:6" x14ac:dyDescent="0.25">
      <c r="C258" t="s">
        <v>115</v>
      </c>
      <c r="D258">
        <v>2023</v>
      </c>
      <c r="E258" t="s">
        <v>144</v>
      </c>
      <c r="F258">
        <v>412.69</v>
      </c>
    </row>
    <row r="259" spans="3:6" x14ac:dyDescent="0.25">
      <c r="C259" t="s">
        <v>115</v>
      </c>
      <c r="D259">
        <v>2023</v>
      </c>
      <c r="E259" t="s">
        <v>145</v>
      </c>
      <c r="F259">
        <v>22.43</v>
      </c>
    </row>
    <row r="260" spans="3:6" x14ac:dyDescent="0.25">
      <c r="C260" t="s">
        <v>115</v>
      </c>
      <c r="D260">
        <v>2024</v>
      </c>
      <c r="E260" t="s">
        <v>146</v>
      </c>
      <c r="F260">
        <v>0.18</v>
      </c>
    </row>
    <row r="261" spans="3:6" x14ac:dyDescent="0.25">
      <c r="C261" t="s">
        <v>115</v>
      </c>
      <c r="D261">
        <v>2024</v>
      </c>
      <c r="E261" t="s">
        <v>142</v>
      </c>
      <c r="F261">
        <v>234.96</v>
      </c>
    </row>
    <row r="262" spans="3:6" x14ac:dyDescent="0.25">
      <c r="C262" t="s">
        <v>115</v>
      </c>
      <c r="D262">
        <v>2024</v>
      </c>
      <c r="E262" t="s">
        <v>143</v>
      </c>
      <c r="F262">
        <v>730.29</v>
      </c>
    </row>
    <row r="263" spans="3:6" x14ac:dyDescent="0.25">
      <c r="C263" t="s">
        <v>115</v>
      </c>
      <c r="D263">
        <v>2024</v>
      </c>
      <c r="E263" t="s">
        <v>144</v>
      </c>
      <c r="F263">
        <v>434.54</v>
      </c>
    </row>
    <row r="264" spans="3:6" x14ac:dyDescent="0.25">
      <c r="C264" t="s">
        <v>115</v>
      </c>
      <c r="D264">
        <v>2024</v>
      </c>
      <c r="E264" t="s">
        <v>145</v>
      </c>
      <c r="F264">
        <v>22.74</v>
      </c>
    </row>
    <row r="265" spans="3:6" x14ac:dyDescent="0.25">
      <c r="C265" t="s">
        <v>115</v>
      </c>
      <c r="D265">
        <v>2025</v>
      </c>
      <c r="E265" t="s">
        <v>146</v>
      </c>
      <c r="F265">
        <v>0.21</v>
      </c>
    </row>
    <row r="266" spans="3:6" x14ac:dyDescent="0.25">
      <c r="C266" t="s">
        <v>115</v>
      </c>
      <c r="D266">
        <v>2025</v>
      </c>
      <c r="E266" t="s">
        <v>142</v>
      </c>
      <c r="F266">
        <v>242.25</v>
      </c>
    </row>
    <row r="267" spans="3:6" x14ac:dyDescent="0.25">
      <c r="C267" t="s">
        <v>115</v>
      </c>
      <c r="D267">
        <v>2025</v>
      </c>
      <c r="E267" t="s">
        <v>143</v>
      </c>
      <c r="F267">
        <v>753.48</v>
      </c>
    </row>
    <row r="268" spans="3:6" x14ac:dyDescent="0.25">
      <c r="C268" t="s">
        <v>115</v>
      </c>
      <c r="D268">
        <v>2025</v>
      </c>
      <c r="E268" t="s">
        <v>144</v>
      </c>
      <c r="F268">
        <v>455.61</v>
      </c>
    </row>
    <row r="269" spans="3:6" x14ac:dyDescent="0.25">
      <c r="C269" t="s">
        <v>115</v>
      </c>
      <c r="D269">
        <v>2025</v>
      </c>
      <c r="E269" t="s">
        <v>145</v>
      </c>
      <c r="F269">
        <v>23.03</v>
      </c>
    </row>
    <row r="270" spans="3:6" x14ac:dyDescent="0.25">
      <c r="C270" t="s">
        <v>115</v>
      </c>
      <c r="D270">
        <v>2026</v>
      </c>
      <c r="E270" t="s">
        <v>146</v>
      </c>
      <c r="F270">
        <v>0.25</v>
      </c>
    </row>
    <row r="271" spans="3:6" x14ac:dyDescent="0.25">
      <c r="C271" t="s">
        <v>115</v>
      </c>
      <c r="D271">
        <v>2026</v>
      </c>
      <c r="E271" t="s">
        <v>142</v>
      </c>
      <c r="F271">
        <v>248.46</v>
      </c>
    </row>
    <row r="272" spans="3:6" x14ac:dyDescent="0.25">
      <c r="C272" t="s">
        <v>115</v>
      </c>
      <c r="D272">
        <v>2026</v>
      </c>
      <c r="E272" t="s">
        <v>143</v>
      </c>
      <c r="F272">
        <v>767.07</v>
      </c>
    </row>
    <row r="273" spans="3:6" x14ac:dyDescent="0.25">
      <c r="C273" t="s">
        <v>115</v>
      </c>
      <c r="D273">
        <v>2026</v>
      </c>
      <c r="E273" t="s">
        <v>144</v>
      </c>
      <c r="F273">
        <v>475.45</v>
      </c>
    </row>
    <row r="274" spans="3:6" x14ac:dyDescent="0.25">
      <c r="C274" t="s">
        <v>115</v>
      </c>
      <c r="D274">
        <v>2026</v>
      </c>
      <c r="E274" t="s">
        <v>145</v>
      </c>
      <c r="F274">
        <v>23.36</v>
      </c>
    </row>
    <row r="275" spans="3:6" x14ac:dyDescent="0.25">
      <c r="C275" t="s">
        <v>115</v>
      </c>
      <c r="D275">
        <v>2027</v>
      </c>
      <c r="E275" t="s">
        <v>146</v>
      </c>
      <c r="F275">
        <v>0.28000000000000003</v>
      </c>
    </row>
    <row r="276" spans="3:6" x14ac:dyDescent="0.25">
      <c r="C276" t="s">
        <v>115</v>
      </c>
      <c r="D276">
        <v>2027</v>
      </c>
      <c r="E276" t="s">
        <v>142</v>
      </c>
      <c r="F276">
        <v>254.23</v>
      </c>
    </row>
    <row r="277" spans="3:6" x14ac:dyDescent="0.25">
      <c r="C277" t="s">
        <v>115</v>
      </c>
      <c r="D277">
        <v>2027</v>
      </c>
      <c r="E277" t="s">
        <v>143</v>
      </c>
      <c r="F277">
        <v>785</v>
      </c>
    </row>
    <row r="278" spans="3:6" x14ac:dyDescent="0.25">
      <c r="C278" t="s">
        <v>115</v>
      </c>
      <c r="D278">
        <v>2027</v>
      </c>
      <c r="E278" t="s">
        <v>144</v>
      </c>
      <c r="F278">
        <v>495.53</v>
      </c>
    </row>
    <row r="279" spans="3:6" x14ac:dyDescent="0.25">
      <c r="C279" t="s">
        <v>115</v>
      </c>
      <c r="D279">
        <v>2027</v>
      </c>
      <c r="E279" t="s">
        <v>145</v>
      </c>
      <c r="F279">
        <v>23.73</v>
      </c>
    </row>
    <row r="280" spans="3:6" x14ac:dyDescent="0.25">
      <c r="C280" t="s">
        <v>115</v>
      </c>
      <c r="D280">
        <v>2028</v>
      </c>
      <c r="E280" t="s">
        <v>146</v>
      </c>
      <c r="F280">
        <v>0.32</v>
      </c>
    </row>
    <row r="281" spans="3:6" x14ac:dyDescent="0.25">
      <c r="C281" t="s">
        <v>115</v>
      </c>
      <c r="D281">
        <v>2028</v>
      </c>
      <c r="E281" t="s">
        <v>142</v>
      </c>
      <c r="F281">
        <v>259.8</v>
      </c>
    </row>
    <row r="282" spans="3:6" x14ac:dyDescent="0.25">
      <c r="C282" t="s">
        <v>115</v>
      </c>
      <c r="D282">
        <v>2028</v>
      </c>
      <c r="E282" t="s">
        <v>143</v>
      </c>
      <c r="F282">
        <v>796.69</v>
      </c>
    </row>
    <row r="283" spans="3:6" x14ac:dyDescent="0.25">
      <c r="C283" t="s">
        <v>115</v>
      </c>
      <c r="D283">
        <v>2028</v>
      </c>
      <c r="E283" t="s">
        <v>144</v>
      </c>
      <c r="F283">
        <v>516.11</v>
      </c>
    </row>
    <row r="284" spans="3:6" x14ac:dyDescent="0.25">
      <c r="C284" t="s">
        <v>115</v>
      </c>
      <c r="D284">
        <v>2028</v>
      </c>
      <c r="E284" t="s">
        <v>145</v>
      </c>
      <c r="F284">
        <v>24.03</v>
      </c>
    </row>
    <row r="285" spans="3:6" x14ac:dyDescent="0.25">
      <c r="C285" t="s">
        <v>115</v>
      </c>
      <c r="D285">
        <v>2029</v>
      </c>
      <c r="E285" t="s">
        <v>146</v>
      </c>
      <c r="F285">
        <v>0.35</v>
      </c>
    </row>
    <row r="286" spans="3:6" x14ac:dyDescent="0.25">
      <c r="C286" t="s">
        <v>115</v>
      </c>
      <c r="D286">
        <v>2029</v>
      </c>
      <c r="E286" t="s">
        <v>142</v>
      </c>
      <c r="F286">
        <v>265.42</v>
      </c>
    </row>
    <row r="287" spans="3:6" x14ac:dyDescent="0.25">
      <c r="C287" t="s">
        <v>115</v>
      </c>
      <c r="D287">
        <v>2029</v>
      </c>
      <c r="E287" t="s">
        <v>143</v>
      </c>
      <c r="F287">
        <v>820.18</v>
      </c>
    </row>
    <row r="288" spans="3:6" x14ac:dyDescent="0.25">
      <c r="C288" t="s">
        <v>115</v>
      </c>
      <c r="D288">
        <v>2029</v>
      </c>
      <c r="E288" t="s">
        <v>144</v>
      </c>
      <c r="F288">
        <v>537.15</v>
      </c>
    </row>
    <row r="289" spans="3:6" x14ac:dyDescent="0.25">
      <c r="C289" t="s">
        <v>115</v>
      </c>
      <c r="D289">
        <v>2029</v>
      </c>
      <c r="E289" t="s">
        <v>145</v>
      </c>
      <c r="F289">
        <v>24.42</v>
      </c>
    </row>
    <row r="290" spans="3:6" x14ac:dyDescent="0.25">
      <c r="C290" t="s">
        <v>115</v>
      </c>
      <c r="D290">
        <v>2030</v>
      </c>
      <c r="E290" t="s">
        <v>146</v>
      </c>
      <c r="F290">
        <v>0.39</v>
      </c>
    </row>
    <row r="291" spans="3:6" x14ac:dyDescent="0.25">
      <c r="C291" t="s">
        <v>115</v>
      </c>
      <c r="D291">
        <v>2030</v>
      </c>
      <c r="E291" t="s">
        <v>142</v>
      </c>
      <c r="F291">
        <v>271.11</v>
      </c>
    </row>
    <row r="292" spans="3:6" x14ac:dyDescent="0.25">
      <c r="C292" t="s">
        <v>115</v>
      </c>
      <c r="D292">
        <v>2030</v>
      </c>
      <c r="E292" t="s">
        <v>143</v>
      </c>
      <c r="F292">
        <v>835.04</v>
      </c>
    </row>
    <row r="293" spans="3:6" x14ac:dyDescent="0.25">
      <c r="C293" t="s">
        <v>115</v>
      </c>
      <c r="D293">
        <v>2030</v>
      </c>
      <c r="E293" t="s">
        <v>144</v>
      </c>
      <c r="F293">
        <v>558.45000000000005</v>
      </c>
    </row>
    <row r="294" spans="3:6" x14ac:dyDescent="0.25">
      <c r="C294" t="s">
        <v>115</v>
      </c>
      <c r="D294">
        <v>2030</v>
      </c>
      <c r="E294" t="s">
        <v>145</v>
      </c>
      <c r="F294">
        <v>24.77</v>
      </c>
    </row>
    <row r="295" spans="3:6" x14ac:dyDescent="0.25">
      <c r="C295" t="s">
        <v>115</v>
      </c>
      <c r="D295">
        <v>2031</v>
      </c>
      <c r="E295" t="s">
        <v>146</v>
      </c>
      <c r="F295">
        <v>0.43</v>
      </c>
    </row>
    <row r="296" spans="3:6" x14ac:dyDescent="0.25">
      <c r="C296" t="s">
        <v>115</v>
      </c>
      <c r="D296">
        <v>2031</v>
      </c>
      <c r="E296" t="s">
        <v>142</v>
      </c>
      <c r="F296">
        <v>278.33</v>
      </c>
    </row>
    <row r="297" spans="3:6" x14ac:dyDescent="0.25">
      <c r="C297" t="s">
        <v>115</v>
      </c>
      <c r="D297">
        <v>2031</v>
      </c>
      <c r="E297" t="s">
        <v>143</v>
      </c>
      <c r="F297">
        <v>859.14</v>
      </c>
    </row>
    <row r="298" spans="3:6" x14ac:dyDescent="0.25">
      <c r="C298" t="s">
        <v>115</v>
      </c>
      <c r="D298">
        <v>2031</v>
      </c>
      <c r="E298" t="s">
        <v>144</v>
      </c>
      <c r="F298">
        <v>581.85</v>
      </c>
    </row>
    <row r="299" spans="3:6" x14ac:dyDescent="0.25">
      <c r="C299" t="s">
        <v>115</v>
      </c>
      <c r="D299">
        <v>2031</v>
      </c>
      <c r="E299" t="s">
        <v>145</v>
      </c>
      <c r="F299">
        <v>25.2</v>
      </c>
    </row>
    <row r="300" spans="3:6" x14ac:dyDescent="0.25">
      <c r="C300" t="s">
        <v>115</v>
      </c>
      <c r="D300">
        <v>2032</v>
      </c>
      <c r="E300" t="s">
        <v>146</v>
      </c>
      <c r="F300">
        <v>0.47</v>
      </c>
    </row>
    <row r="301" spans="3:6" x14ac:dyDescent="0.25">
      <c r="C301" t="s">
        <v>115</v>
      </c>
      <c r="D301">
        <v>2032</v>
      </c>
      <c r="E301" t="s">
        <v>142</v>
      </c>
      <c r="F301">
        <v>285.61</v>
      </c>
    </row>
    <row r="302" spans="3:6" x14ac:dyDescent="0.25">
      <c r="C302" t="s">
        <v>115</v>
      </c>
      <c r="D302">
        <v>2032</v>
      </c>
      <c r="E302" t="s">
        <v>143</v>
      </c>
      <c r="F302">
        <v>875.84</v>
      </c>
    </row>
    <row r="303" spans="3:6" x14ac:dyDescent="0.25">
      <c r="C303" t="s">
        <v>115</v>
      </c>
      <c r="D303">
        <v>2032</v>
      </c>
      <c r="E303" t="s">
        <v>144</v>
      </c>
      <c r="F303">
        <v>606.1</v>
      </c>
    </row>
    <row r="304" spans="3:6" x14ac:dyDescent="0.25">
      <c r="C304" t="s">
        <v>115</v>
      </c>
      <c r="D304">
        <v>2032</v>
      </c>
      <c r="E304" t="s">
        <v>145</v>
      </c>
      <c r="F304">
        <v>25.58</v>
      </c>
    </row>
    <row r="305" spans="3:6" x14ac:dyDescent="0.25">
      <c r="C305" t="s">
        <v>115</v>
      </c>
      <c r="D305">
        <v>2033</v>
      </c>
      <c r="E305" t="s">
        <v>146</v>
      </c>
      <c r="F305">
        <v>0.51</v>
      </c>
    </row>
    <row r="306" spans="3:6" x14ac:dyDescent="0.25">
      <c r="C306" t="s">
        <v>115</v>
      </c>
      <c r="D306">
        <v>2033</v>
      </c>
      <c r="E306" t="s">
        <v>142</v>
      </c>
      <c r="F306">
        <v>293.07</v>
      </c>
    </row>
    <row r="307" spans="3:6" x14ac:dyDescent="0.25">
      <c r="C307" t="s">
        <v>115</v>
      </c>
      <c r="D307">
        <v>2033</v>
      </c>
      <c r="E307" t="s">
        <v>143</v>
      </c>
      <c r="F307">
        <v>899.55</v>
      </c>
    </row>
    <row r="308" spans="3:6" x14ac:dyDescent="0.25">
      <c r="C308" t="s">
        <v>115</v>
      </c>
      <c r="D308">
        <v>2033</v>
      </c>
      <c r="E308" t="s">
        <v>144</v>
      </c>
      <c r="F308">
        <v>631.16</v>
      </c>
    </row>
    <row r="309" spans="3:6" x14ac:dyDescent="0.25">
      <c r="C309" t="s">
        <v>115</v>
      </c>
      <c r="D309">
        <v>2033</v>
      </c>
      <c r="E309" t="s">
        <v>145</v>
      </c>
      <c r="F309">
        <v>26.05</v>
      </c>
    </row>
    <row r="310" spans="3:6" x14ac:dyDescent="0.25">
      <c r="C310" t="s">
        <v>115</v>
      </c>
      <c r="D310">
        <v>2034</v>
      </c>
      <c r="E310" t="s">
        <v>146</v>
      </c>
      <c r="F310">
        <v>0.56000000000000005</v>
      </c>
    </row>
    <row r="311" spans="3:6" x14ac:dyDescent="0.25">
      <c r="C311" t="s">
        <v>115</v>
      </c>
      <c r="D311">
        <v>2034</v>
      </c>
      <c r="E311" t="s">
        <v>142</v>
      </c>
      <c r="F311">
        <v>300.73</v>
      </c>
    </row>
    <row r="312" spans="3:6" x14ac:dyDescent="0.25">
      <c r="C312" t="s">
        <v>115</v>
      </c>
      <c r="D312">
        <v>2034</v>
      </c>
      <c r="E312" t="s">
        <v>143</v>
      </c>
      <c r="F312">
        <v>911.02</v>
      </c>
    </row>
    <row r="313" spans="3:6" x14ac:dyDescent="0.25">
      <c r="C313" t="s">
        <v>115</v>
      </c>
      <c r="D313">
        <v>2034</v>
      </c>
      <c r="E313" t="s">
        <v>144</v>
      </c>
      <c r="F313">
        <v>656.98</v>
      </c>
    </row>
    <row r="314" spans="3:6" x14ac:dyDescent="0.25">
      <c r="C314" t="s">
        <v>115</v>
      </c>
      <c r="D314">
        <v>2034</v>
      </c>
      <c r="E314" t="s">
        <v>145</v>
      </c>
      <c r="F314">
        <v>26.5</v>
      </c>
    </row>
    <row r="315" spans="3:6" x14ac:dyDescent="0.25">
      <c r="C315" t="s">
        <v>115</v>
      </c>
      <c r="D315">
        <v>2035</v>
      </c>
      <c r="E315" t="s">
        <v>146</v>
      </c>
      <c r="F315">
        <v>0.6</v>
      </c>
    </row>
    <row r="316" spans="3:6" x14ac:dyDescent="0.25">
      <c r="C316" t="s">
        <v>115</v>
      </c>
      <c r="D316">
        <v>2035</v>
      </c>
      <c r="E316" t="s">
        <v>142</v>
      </c>
      <c r="F316">
        <v>308.57</v>
      </c>
    </row>
    <row r="317" spans="3:6" x14ac:dyDescent="0.25">
      <c r="C317" t="s">
        <v>115</v>
      </c>
      <c r="D317">
        <v>2035</v>
      </c>
      <c r="E317" t="s">
        <v>143</v>
      </c>
      <c r="F317">
        <v>937.54</v>
      </c>
    </row>
    <row r="318" spans="3:6" x14ac:dyDescent="0.25">
      <c r="C318" t="s">
        <v>115</v>
      </c>
      <c r="D318">
        <v>2035</v>
      </c>
      <c r="E318" t="s">
        <v>144</v>
      </c>
      <c r="F318">
        <v>683.81</v>
      </c>
    </row>
    <row r="319" spans="3:6" x14ac:dyDescent="0.25">
      <c r="C319" t="s">
        <v>115</v>
      </c>
      <c r="D319">
        <v>2035</v>
      </c>
      <c r="E319" t="s">
        <v>145</v>
      </c>
      <c r="F319">
        <v>27.04</v>
      </c>
    </row>
    <row r="320" spans="3:6" x14ac:dyDescent="0.25">
      <c r="C320" t="s">
        <v>115</v>
      </c>
      <c r="D320">
        <v>2036</v>
      </c>
      <c r="E320" t="s">
        <v>146</v>
      </c>
      <c r="F320">
        <v>0.64</v>
      </c>
    </row>
    <row r="321" spans="3:6" x14ac:dyDescent="0.25">
      <c r="C321" t="s">
        <v>115</v>
      </c>
      <c r="D321">
        <v>2036</v>
      </c>
      <c r="E321" t="s">
        <v>142</v>
      </c>
      <c r="F321">
        <v>314.87</v>
      </c>
    </row>
    <row r="322" spans="3:6" x14ac:dyDescent="0.25">
      <c r="C322" t="s">
        <v>115</v>
      </c>
      <c r="D322">
        <v>2036</v>
      </c>
      <c r="E322" t="s">
        <v>143</v>
      </c>
      <c r="F322">
        <v>955.98</v>
      </c>
    </row>
    <row r="323" spans="3:6" x14ac:dyDescent="0.25">
      <c r="C323" t="s">
        <v>115</v>
      </c>
      <c r="D323">
        <v>2036</v>
      </c>
      <c r="E323" t="s">
        <v>144</v>
      </c>
      <c r="F323">
        <v>708.43</v>
      </c>
    </row>
    <row r="324" spans="3:6" x14ac:dyDescent="0.25">
      <c r="C324" t="s">
        <v>115</v>
      </c>
      <c r="D324">
        <v>2036</v>
      </c>
      <c r="E324" t="s">
        <v>145</v>
      </c>
      <c r="F324">
        <v>27.68</v>
      </c>
    </row>
    <row r="325" spans="3:6" x14ac:dyDescent="0.25">
      <c r="C325" t="s">
        <v>115</v>
      </c>
      <c r="D325">
        <v>2037</v>
      </c>
      <c r="E325" t="s">
        <v>146</v>
      </c>
      <c r="F325">
        <v>0.68</v>
      </c>
    </row>
    <row r="326" spans="3:6" x14ac:dyDescent="0.25">
      <c r="C326" t="s">
        <v>115</v>
      </c>
      <c r="D326">
        <v>2037</v>
      </c>
      <c r="E326" t="s">
        <v>142</v>
      </c>
      <c r="F326">
        <v>321.20999999999998</v>
      </c>
    </row>
    <row r="327" spans="3:6" x14ac:dyDescent="0.25">
      <c r="C327" t="s">
        <v>115</v>
      </c>
      <c r="D327">
        <v>2037</v>
      </c>
      <c r="E327" t="s">
        <v>143</v>
      </c>
      <c r="F327">
        <v>983.53</v>
      </c>
    </row>
    <row r="328" spans="3:6" x14ac:dyDescent="0.25">
      <c r="C328" t="s">
        <v>115</v>
      </c>
      <c r="D328">
        <v>2037</v>
      </c>
      <c r="E328" t="s">
        <v>144</v>
      </c>
      <c r="F328">
        <v>733.76</v>
      </c>
    </row>
    <row r="329" spans="3:6" x14ac:dyDescent="0.25">
      <c r="C329" t="s">
        <v>115</v>
      </c>
      <c r="D329">
        <v>2037</v>
      </c>
      <c r="E329" t="s">
        <v>145</v>
      </c>
      <c r="F329">
        <v>28.36</v>
      </c>
    </row>
    <row r="330" spans="3:6" x14ac:dyDescent="0.25">
      <c r="C330" t="s">
        <v>115</v>
      </c>
      <c r="D330">
        <v>2038</v>
      </c>
      <c r="E330" t="s">
        <v>146</v>
      </c>
      <c r="F330">
        <v>0.73</v>
      </c>
    </row>
    <row r="331" spans="3:6" x14ac:dyDescent="0.25">
      <c r="C331" t="s">
        <v>115</v>
      </c>
      <c r="D331">
        <v>2038</v>
      </c>
      <c r="E331" t="s">
        <v>142</v>
      </c>
      <c r="F331">
        <v>327.57</v>
      </c>
    </row>
    <row r="332" spans="3:6" x14ac:dyDescent="0.25">
      <c r="C332" t="s">
        <v>115</v>
      </c>
      <c r="D332">
        <v>2038</v>
      </c>
      <c r="E332" t="s">
        <v>143</v>
      </c>
      <c r="F332">
        <v>1008.95</v>
      </c>
    </row>
    <row r="333" spans="3:6" x14ac:dyDescent="0.25">
      <c r="C333" t="s">
        <v>115</v>
      </c>
      <c r="D333">
        <v>2038</v>
      </c>
      <c r="E333" t="s">
        <v>144</v>
      </c>
      <c r="F333">
        <v>759.82</v>
      </c>
    </row>
    <row r="334" spans="3:6" x14ac:dyDescent="0.25">
      <c r="C334" t="s">
        <v>115</v>
      </c>
      <c r="D334">
        <v>2038</v>
      </c>
      <c r="E334" t="s">
        <v>145</v>
      </c>
      <c r="F334">
        <v>29.02</v>
      </c>
    </row>
    <row r="335" spans="3:6" x14ac:dyDescent="0.25">
      <c r="C335" t="s">
        <v>115</v>
      </c>
      <c r="D335">
        <v>2039</v>
      </c>
      <c r="E335" t="s">
        <v>146</v>
      </c>
      <c r="F335">
        <v>0.77</v>
      </c>
    </row>
    <row r="336" spans="3:6" x14ac:dyDescent="0.25">
      <c r="C336" t="s">
        <v>115</v>
      </c>
      <c r="D336">
        <v>2039</v>
      </c>
      <c r="E336" t="s">
        <v>142</v>
      </c>
      <c r="F336">
        <v>334</v>
      </c>
    </row>
    <row r="337" spans="3:6" x14ac:dyDescent="0.25">
      <c r="C337" t="s">
        <v>115</v>
      </c>
      <c r="D337">
        <v>2039</v>
      </c>
      <c r="E337" t="s">
        <v>143</v>
      </c>
      <c r="F337">
        <v>1031.6199999999999</v>
      </c>
    </row>
    <row r="338" spans="3:6" x14ac:dyDescent="0.25">
      <c r="C338" t="s">
        <v>115</v>
      </c>
      <c r="D338">
        <v>2039</v>
      </c>
      <c r="E338" t="s">
        <v>144</v>
      </c>
      <c r="F338">
        <v>786.67</v>
      </c>
    </row>
    <row r="339" spans="3:6" x14ac:dyDescent="0.25">
      <c r="C339" t="s">
        <v>115</v>
      </c>
      <c r="D339">
        <v>2039</v>
      </c>
      <c r="E339" t="s">
        <v>145</v>
      </c>
      <c r="F339">
        <v>29.79</v>
      </c>
    </row>
    <row r="340" spans="3:6" x14ac:dyDescent="0.25">
      <c r="C340" t="s">
        <v>115</v>
      </c>
      <c r="D340">
        <v>2040</v>
      </c>
      <c r="E340" t="s">
        <v>146</v>
      </c>
      <c r="F340">
        <v>0.81</v>
      </c>
    </row>
    <row r="341" spans="3:6" x14ac:dyDescent="0.25">
      <c r="C341" t="s">
        <v>115</v>
      </c>
      <c r="D341">
        <v>2040</v>
      </c>
      <c r="E341" t="s">
        <v>142</v>
      </c>
      <c r="F341">
        <v>340.44</v>
      </c>
    </row>
    <row r="342" spans="3:6" x14ac:dyDescent="0.25">
      <c r="C342" t="s">
        <v>115</v>
      </c>
      <c r="D342">
        <v>2040</v>
      </c>
      <c r="E342" t="s">
        <v>143</v>
      </c>
      <c r="F342">
        <v>1057.4000000000001</v>
      </c>
    </row>
    <row r="343" spans="3:6" x14ac:dyDescent="0.25">
      <c r="C343" t="s">
        <v>115</v>
      </c>
      <c r="D343">
        <v>2040</v>
      </c>
      <c r="E343" t="s">
        <v>144</v>
      </c>
      <c r="F343">
        <v>814.1</v>
      </c>
    </row>
    <row r="344" spans="3:6" x14ac:dyDescent="0.25">
      <c r="C344" t="s">
        <v>115</v>
      </c>
      <c r="D344">
        <v>2040</v>
      </c>
      <c r="E344" t="s">
        <v>145</v>
      </c>
      <c r="F344">
        <v>30.64</v>
      </c>
    </row>
    <row r="345" spans="3:6" x14ac:dyDescent="0.25">
      <c r="C345" t="s">
        <v>115</v>
      </c>
      <c r="D345">
        <v>2041</v>
      </c>
      <c r="E345" t="s">
        <v>146</v>
      </c>
      <c r="F345">
        <v>0.85</v>
      </c>
    </row>
    <row r="346" spans="3:6" x14ac:dyDescent="0.25">
      <c r="C346" t="s">
        <v>115</v>
      </c>
      <c r="D346">
        <v>2041</v>
      </c>
      <c r="E346" t="s">
        <v>142</v>
      </c>
      <c r="F346">
        <v>346.55</v>
      </c>
    </row>
    <row r="347" spans="3:6" x14ac:dyDescent="0.25">
      <c r="C347" t="s">
        <v>115</v>
      </c>
      <c r="D347">
        <v>2041</v>
      </c>
      <c r="E347" t="s">
        <v>143</v>
      </c>
      <c r="F347">
        <v>1083.42</v>
      </c>
    </row>
    <row r="348" spans="3:6" x14ac:dyDescent="0.25">
      <c r="C348" t="s">
        <v>115</v>
      </c>
      <c r="D348">
        <v>2041</v>
      </c>
      <c r="E348" t="s">
        <v>144</v>
      </c>
      <c r="F348">
        <v>841.06</v>
      </c>
    </row>
    <row r="349" spans="3:6" x14ac:dyDescent="0.25">
      <c r="C349" t="s">
        <v>115</v>
      </c>
      <c r="D349">
        <v>2041</v>
      </c>
      <c r="E349" t="s">
        <v>145</v>
      </c>
      <c r="F349">
        <v>31.51</v>
      </c>
    </row>
    <row r="350" spans="3:6" x14ac:dyDescent="0.25">
      <c r="C350" t="s">
        <v>115</v>
      </c>
      <c r="D350">
        <v>2042</v>
      </c>
      <c r="E350" t="s">
        <v>146</v>
      </c>
      <c r="F350">
        <v>0.89</v>
      </c>
    </row>
    <row r="351" spans="3:6" x14ac:dyDescent="0.25">
      <c r="C351" t="s">
        <v>115</v>
      </c>
      <c r="D351">
        <v>2042</v>
      </c>
      <c r="E351" t="s">
        <v>142</v>
      </c>
      <c r="F351">
        <v>352.64</v>
      </c>
    </row>
    <row r="352" spans="3:6" x14ac:dyDescent="0.25">
      <c r="C352" t="s">
        <v>115</v>
      </c>
      <c r="D352">
        <v>2042</v>
      </c>
      <c r="E352" t="s">
        <v>143</v>
      </c>
      <c r="F352">
        <v>1107.3699999999999</v>
      </c>
    </row>
    <row r="353" spans="3:6" x14ac:dyDescent="0.25">
      <c r="C353" t="s">
        <v>115</v>
      </c>
      <c r="D353">
        <v>2042</v>
      </c>
      <c r="E353" t="s">
        <v>144</v>
      </c>
      <c r="F353">
        <v>868.57</v>
      </c>
    </row>
    <row r="354" spans="3:6" x14ac:dyDescent="0.25">
      <c r="C354" t="s">
        <v>115</v>
      </c>
      <c r="D354">
        <v>2042</v>
      </c>
      <c r="E354" t="s">
        <v>145</v>
      </c>
      <c r="F354">
        <v>32.44</v>
      </c>
    </row>
    <row r="355" spans="3:6" x14ac:dyDescent="0.25">
      <c r="C355" t="s">
        <v>115</v>
      </c>
      <c r="D355">
        <v>2043</v>
      </c>
      <c r="E355" t="s">
        <v>146</v>
      </c>
      <c r="F355">
        <v>0.93</v>
      </c>
    </row>
    <row r="356" spans="3:6" x14ac:dyDescent="0.25">
      <c r="C356" t="s">
        <v>115</v>
      </c>
      <c r="D356">
        <v>2043</v>
      </c>
      <c r="E356" t="s">
        <v>142</v>
      </c>
      <c r="F356">
        <v>358.73</v>
      </c>
    </row>
    <row r="357" spans="3:6" x14ac:dyDescent="0.25">
      <c r="C357" t="s">
        <v>115</v>
      </c>
      <c r="D357">
        <v>2043</v>
      </c>
      <c r="E357" t="s">
        <v>143</v>
      </c>
      <c r="F357">
        <v>1132.81</v>
      </c>
    </row>
    <row r="358" spans="3:6" x14ac:dyDescent="0.25">
      <c r="C358" t="s">
        <v>115</v>
      </c>
      <c r="D358">
        <v>2043</v>
      </c>
      <c r="E358" t="s">
        <v>144</v>
      </c>
      <c r="F358">
        <v>896.39</v>
      </c>
    </row>
    <row r="359" spans="3:6" x14ac:dyDescent="0.25">
      <c r="C359" t="s">
        <v>115</v>
      </c>
      <c r="D359">
        <v>2043</v>
      </c>
      <c r="E359" t="s">
        <v>145</v>
      </c>
      <c r="F359">
        <v>33.47</v>
      </c>
    </row>
    <row r="360" spans="3:6" x14ac:dyDescent="0.25">
      <c r="C360" t="s">
        <v>115</v>
      </c>
      <c r="D360">
        <v>2044</v>
      </c>
      <c r="E360" t="s">
        <v>146</v>
      </c>
      <c r="F360">
        <v>0.97</v>
      </c>
    </row>
    <row r="361" spans="3:6" x14ac:dyDescent="0.25">
      <c r="C361" t="s">
        <v>115</v>
      </c>
      <c r="D361">
        <v>2044</v>
      </c>
      <c r="E361" t="s">
        <v>142</v>
      </c>
      <c r="F361">
        <v>364.81</v>
      </c>
    </row>
    <row r="362" spans="3:6" x14ac:dyDescent="0.25">
      <c r="C362" t="s">
        <v>115</v>
      </c>
      <c r="D362">
        <v>2044</v>
      </c>
      <c r="E362" t="s">
        <v>143</v>
      </c>
      <c r="F362">
        <v>1163.01</v>
      </c>
    </row>
    <row r="363" spans="3:6" x14ac:dyDescent="0.25">
      <c r="C363" t="s">
        <v>115</v>
      </c>
      <c r="D363">
        <v>2044</v>
      </c>
      <c r="E363" t="s">
        <v>144</v>
      </c>
      <c r="F363">
        <v>924.64</v>
      </c>
    </row>
    <row r="364" spans="3:6" x14ac:dyDescent="0.25">
      <c r="C364" t="s">
        <v>115</v>
      </c>
      <c r="D364">
        <v>2044</v>
      </c>
      <c r="E364" t="s">
        <v>145</v>
      </c>
      <c r="F364">
        <v>34.549999999999997</v>
      </c>
    </row>
    <row r="365" spans="3:6" x14ac:dyDescent="0.25">
      <c r="C365" t="s">
        <v>115</v>
      </c>
      <c r="D365">
        <v>2045</v>
      </c>
      <c r="E365" t="s">
        <v>146</v>
      </c>
      <c r="F365">
        <v>1.01</v>
      </c>
    </row>
    <row r="366" spans="3:6" x14ac:dyDescent="0.25">
      <c r="C366" t="s">
        <v>115</v>
      </c>
      <c r="D366">
        <v>2045</v>
      </c>
      <c r="E366" t="s">
        <v>142</v>
      </c>
      <c r="F366">
        <v>370.89</v>
      </c>
    </row>
    <row r="367" spans="3:6" x14ac:dyDescent="0.25">
      <c r="C367" t="s">
        <v>115</v>
      </c>
      <c r="D367">
        <v>2045</v>
      </c>
      <c r="E367" t="s">
        <v>143</v>
      </c>
      <c r="F367">
        <v>1187.54</v>
      </c>
    </row>
    <row r="368" spans="3:6" x14ac:dyDescent="0.25">
      <c r="C368" t="s">
        <v>115</v>
      </c>
      <c r="D368">
        <v>2045</v>
      </c>
      <c r="E368" t="s">
        <v>144</v>
      </c>
      <c r="F368">
        <v>953.55</v>
      </c>
    </row>
    <row r="369" spans="3:6" x14ac:dyDescent="0.25">
      <c r="C369" t="s">
        <v>115</v>
      </c>
      <c r="D369">
        <v>2045</v>
      </c>
      <c r="E369" t="s">
        <v>145</v>
      </c>
      <c r="F369">
        <v>35.68</v>
      </c>
    </row>
    <row r="370" spans="3:6" x14ac:dyDescent="0.25">
      <c r="C370" t="s">
        <v>115</v>
      </c>
      <c r="D370">
        <v>2046</v>
      </c>
      <c r="E370" t="s">
        <v>146</v>
      </c>
      <c r="F370">
        <v>1.06</v>
      </c>
    </row>
    <row r="371" spans="3:6" x14ac:dyDescent="0.25">
      <c r="C371" t="s">
        <v>115</v>
      </c>
      <c r="D371">
        <v>2046</v>
      </c>
      <c r="E371" t="s">
        <v>142</v>
      </c>
      <c r="F371">
        <v>378.73</v>
      </c>
    </row>
    <row r="372" spans="3:6" x14ac:dyDescent="0.25">
      <c r="C372" t="s">
        <v>115</v>
      </c>
      <c r="D372">
        <v>2046</v>
      </c>
      <c r="E372" t="s">
        <v>143</v>
      </c>
      <c r="F372">
        <v>1221.08</v>
      </c>
    </row>
    <row r="373" spans="3:6" x14ac:dyDescent="0.25">
      <c r="C373" t="s">
        <v>115</v>
      </c>
      <c r="D373">
        <v>2046</v>
      </c>
      <c r="E373" t="s">
        <v>144</v>
      </c>
      <c r="F373">
        <v>985.57</v>
      </c>
    </row>
    <row r="374" spans="3:6" x14ac:dyDescent="0.25">
      <c r="C374" t="s">
        <v>115</v>
      </c>
      <c r="D374">
        <v>2046</v>
      </c>
      <c r="E374" t="s">
        <v>145</v>
      </c>
      <c r="F374">
        <v>36.880000000000003</v>
      </c>
    </row>
    <row r="375" spans="3:6" x14ac:dyDescent="0.25">
      <c r="C375" t="s">
        <v>115</v>
      </c>
      <c r="D375">
        <v>2047</v>
      </c>
      <c r="E375" t="s">
        <v>146</v>
      </c>
      <c r="F375">
        <v>1.1000000000000001</v>
      </c>
    </row>
    <row r="376" spans="3:6" x14ac:dyDescent="0.25">
      <c r="C376" t="s">
        <v>115</v>
      </c>
      <c r="D376">
        <v>2047</v>
      </c>
      <c r="E376" t="s">
        <v>142</v>
      </c>
      <c r="F376">
        <v>386.63</v>
      </c>
    </row>
    <row r="377" spans="3:6" x14ac:dyDescent="0.25">
      <c r="C377" t="s">
        <v>115</v>
      </c>
      <c r="D377">
        <v>2047</v>
      </c>
      <c r="E377" t="s">
        <v>143</v>
      </c>
      <c r="F377">
        <v>1244.21</v>
      </c>
    </row>
    <row r="378" spans="3:6" x14ac:dyDescent="0.25">
      <c r="C378" t="s">
        <v>115</v>
      </c>
      <c r="D378">
        <v>2047</v>
      </c>
      <c r="E378" t="s">
        <v>144</v>
      </c>
      <c r="F378">
        <v>1018.86</v>
      </c>
    </row>
    <row r="379" spans="3:6" x14ac:dyDescent="0.25">
      <c r="C379" t="s">
        <v>115</v>
      </c>
      <c r="D379">
        <v>2047</v>
      </c>
      <c r="E379" t="s">
        <v>145</v>
      </c>
      <c r="F379">
        <v>38.119999999999997</v>
      </c>
    </row>
    <row r="380" spans="3:6" x14ac:dyDescent="0.25">
      <c r="C380" t="s">
        <v>115</v>
      </c>
      <c r="D380">
        <v>2048</v>
      </c>
      <c r="E380" t="s">
        <v>146</v>
      </c>
      <c r="F380">
        <v>1.1399999999999999</v>
      </c>
    </row>
    <row r="381" spans="3:6" x14ac:dyDescent="0.25">
      <c r="C381" t="s">
        <v>115</v>
      </c>
      <c r="D381">
        <v>2048</v>
      </c>
      <c r="E381" t="s">
        <v>142</v>
      </c>
      <c r="F381">
        <v>394.62</v>
      </c>
    </row>
    <row r="382" spans="3:6" x14ac:dyDescent="0.25">
      <c r="C382" t="s">
        <v>115</v>
      </c>
      <c r="D382">
        <v>2048</v>
      </c>
      <c r="E382" t="s">
        <v>143</v>
      </c>
      <c r="F382">
        <v>1274.54</v>
      </c>
    </row>
    <row r="383" spans="3:6" x14ac:dyDescent="0.25">
      <c r="C383" t="s">
        <v>115</v>
      </c>
      <c r="D383">
        <v>2048</v>
      </c>
      <c r="E383" t="s">
        <v>144</v>
      </c>
      <c r="F383">
        <v>1053.43</v>
      </c>
    </row>
    <row r="384" spans="3:6" x14ac:dyDescent="0.25">
      <c r="C384" t="s">
        <v>115</v>
      </c>
      <c r="D384">
        <v>2048</v>
      </c>
      <c r="E384" t="s">
        <v>145</v>
      </c>
      <c r="F384">
        <v>39.409999999999997</v>
      </c>
    </row>
    <row r="385" spans="3:6" x14ac:dyDescent="0.25">
      <c r="C385" t="s">
        <v>115</v>
      </c>
      <c r="D385">
        <v>2049</v>
      </c>
      <c r="E385" t="s">
        <v>146</v>
      </c>
      <c r="F385">
        <v>1.18</v>
      </c>
    </row>
    <row r="386" spans="3:6" x14ac:dyDescent="0.25">
      <c r="C386" t="s">
        <v>115</v>
      </c>
      <c r="D386">
        <v>2049</v>
      </c>
      <c r="E386" t="s">
        <v>142</v>
      </c>
      <c r="F386">
        <v>402.75</v>
      </c>
    </row>
    <row r="387" spans="3:6" x14ac:dyDescent="0.25">
      <c r="C387" t="s">
        <v>115</v>
      </c>
      <c r="D387">
        <v>2049</v>
      </c>
      <c r="E387" t="s">
        <v>143</v>
      </c>
      <c r="F387">
        <v>1301.97</v>
      </c>
    </row>
    <row r="388" spans="3:6" x14ac:dyDescent="0.25">
      <c r="C388" t="s">
        <v>115</v>
      </c>
      <c r="D388">
        <v>2049</v>
      </c>
      <c r="E388" t="s">
        <v>144</v>
      </c>
      <c r="F388">
        <v>1089.01</v>
      </c>
    </row>
    <row r="389" spans="3:6" x14ac:dyDescent="0.25">
      <c r="C389" t="s">
        <v>115</v>
      </c>
      <c r="D389">
        <v>2049</v>
      </c>
      <c r="E389" t="s">
        <v>145</v>
      </c>
      <c r="F389">
        <v>41.09</v>
      </c>
    </row>
    <row r="390" spans="3:6" x14ac:dyDescent="0.25">
      <c r="C390" t="s">
        <v>115</v>
      </c>
      <c r="D390">
        <v>2050</v>
      </c>
      <c r="E390" t="s">
        <v>146</v>
      </c>
      <c r="F390">
        <v>1.23</v>
      </c>
    </row>
    <row r="391" spans="3:6" x14ac:dyDescent="0.25">
      <c r="C391" t="s">
        <v>115</v>
      </c>
      <c r="D391">
        <v>2050</v>
      </c>
      <c r="E391" t="s">
        <v>142</v>
      </c>
      <c r="F391">
        <v>411.03</v>
      </c>
    </row>
    <row r="392" spans="3:6" x14ac:dyDescent="0.25">
      <c r="C392" t="s">
        <v>115</v>
      </c>
      <c r="D392">
        <v>2050</v>
      </c>
      <c r="E392" t="s">
        <v>143</v>
      </c>
      <c r="F392">
        <v>1335.6</v>
      </c>
    </row>
    <row r="393" spans="3:6" x14ac:dyDescent="0.25">
      <c r="C393" t="s">
        <v>115</v>
      </c>
      <c r="D393">
        <v>2050</v>
      </c>
      <c r="E393" t="s">
        <v>144</v>
      </c>
      <c r="F393">
        <v>1126.05</v>
      </c>
    </row>
    <row r="394" spans="3:6" x14ac:dyDescent="0.25">
      <c r="C394" t="s">
        <v>115</v>
      </c>
      <c r="D394">
        <v>2050</v>
      </c>
      <c r="E394" t="s">
        <v>145</v>
      </c>
      <c r="F394">
        <v>43.19</v>
      </c>
    </row>
    <row r="395" spans="3:6" x14ac:dyDescent="0.25">
      <c r="C395" t="s">
        <v>116</v>
      </c>
      <c r="D395">
        <v>2010</v>
      </c>
      <c r="E395" t="s">
        <v>142</v>
      </c>
      <c r="F395">
        <v>244.59</v>
      </c>
    </row>
    <row r="396" spans="3:6" x14ac:dyDescent="0.25">
      <c r="C396" t="s">
        <v>116</v>
      </c>
      <c r="D396">
        <v>2010</v>
      </c>
      <c r="E396" t="s">
        <v>143</v>
      </c>
      <c r="F396">
        <v>383.27</v>
      </c>
    </row>
    <row r="397" spans="3:6" x14ac:dyDescent="0.25">
      <c r="C397" t="s">
        <v>116</v>
      </c>
      <c r="D397">
        <v>2010</v>
      </c>
      <c r="E397" t="s">
        <v>144</v>
      </c>
      <c r="F397">
        <v>255.78</v>
      </c>
    </row>
    <row r="398" spans="3:6" x14ac:dyDescent="0.25">
      <c r="C398" t="s">
        <v>116</v>
      </c>
      <c r="D398">
        <v>2010</v>
      </c>
      <c r="E398" t="s">
        <v>145</v>
      </c>
      <c r="F398">
        <v>13.02</v>
      </c>
    </row>
    <row r="399" spans="3:6" x14ac:dyDescent="0.25">
      <c r="C399" t="s">
        <v>116</v>
      </c>
      <c r="D399">
        <v>2011</v>
      </c>
      <c r="E399" t="s">
        <v>142</v>
      </c>
      <c r="F399">
        <v>247.18</v>
      </c>
    </row>
    <row r="400" spans="3:6" x14ac:dyDescent="0.25">
      <c r="C400" t="s">
        <v>116</v>
      </c>
      <c r="D400">
        <v>2011</v>
      </c>
      <c r="E400" t="s">
        <v>143</v>
      </c>
      <c r="F400">
        <v>374.78</v>
      </c>
    </row>
    <row r="401" spans="3:6" x14ac:dyDescent="0.25">
      <c r="C401" t="s">
        <v>116</v>
      </c>
      <c r="D401">
        <v>2011</v>
      </c>
      <c r="E401" t="s">
        <v>144</v>
      </c>
      <c r="F401">
        <v>263.77</v>
      </c>
    </row>
    <row r="402" spans="3:6" x14ac:dyDescent="0.25">
      <c r="C402" t="s">
        <v>116</v>
      </c>
      <c r="D402">
        <v>2011</v>
      </c>
      <c r="E402" t="s">
        <v>145</v>
      </c>
      <c r="F402">
        <v>13.68</v>
      </c>
    </row>
    <row r="403" spans="3:6" x14ac:dyDescent="0.25">
      <c r="C403" t="s">
        <v>116</v>
      </c>
      <c r="D403">
        <v>2012</v>
      </c>
      <c r="E403" t="s">
        <v>142</v>
      </c>
      <c r="F403">
        <v>247.31</v>
      </c>
    </row>
    <row r="404" spans="3:6" x14ac:dyDescent="0.25">
      <c r="C404" t="s">
        <v>116</v>
      </c>
      <c r="D404">
        <v>2012</v>
      </c>
      <c r="E404" t="s">
        <v>143</v>
      </c>
      <c r="F404">
        <v>374.11</v>
      </c>
    </row>
    <row r="405" spans="3:6" x14ac:dyDescent="0.25">
      <c r="C405" t="s">
        <v>116</v>
      </c>
      <c r="D405">
        <v>2012</v>
      </c>
      <c r="E405" t="s">
        <v>144</v>
      </c>
      <c r="F405">
        <v>260.19</v>
      </c>
    </row>
    <row r="406" spans="3:6" x14ac:dyDescent="0.25">
      <c r="C406" t="s">
        <v>116</v>
      </c>
      <c r="D406">
        <v>2012</v>
      </c>
      <c r="E406" t="s">
        <v>145</v>
      </c>
      <c r="F406">
        <v>14.52</v>
      </c>
    </row>
    <row r="407" spans="3:6" x14ac:dyDescent="0.25">
      <c r="C407" t="s">
        <v>116</v>
      </c>
      <c r="D407">
        <v>2013</v>
      </c>
      <c r="E407" t="s">
        <v>142</v>
      </c>
      <c r="F407">
        <v>257.23</v>
      </c>
    </row>
    <row r="408" spans="3:6" x14ac:dyDescent="0.25">
      <c r="C408" t="s">
        <v>116</v>
      </c>
      <c r="D408">
        <v>2013</v>
      </c>
      <c r="E408" t="s">
        <v>143</v>
      </c>
      <c r="F408">
        <v>360.83</v>
      </c>
    </row>
    <row r="409" spans="3:6" x14ac:dyDescent="0.25">
      <c r="C409" t="s">
        <v>116</v>
      </c>
      <c r="D409">
        <v>2013</v>
      </c>
      <c r="E409" t="s">
        <v>144</v>
      </c>
      <c r="F409">
        <v>259.13</v>
      </c>
    </row>
    <row r="410" spans="3:6" x14ac:dyDescent="0.25">
      <c r="C410" t="s">
        <v>116</v>
      </c>
      <c r="D410">
        <v>2013</v>
      </c>
      <c r="E410" t="s">
        <v>145</v>
      </c>
      <c r="F410">
        <v>15.96</v>
      </c>
    </row>
    <row r="411" spans="3:6" x14ac:dyDescent="0.25">
      <c r="C411" t="s">
        <v>116</v>
      </c>
      <c r="D411">
        <v>2014</v>
      </c>
      <c r="E411" t="s">
        <v>142</v>
      </c>
      <c r="F411">
        <v>259.16000000000003</v>
      </c>
    </row>
    <row r="412" spans="3:6" x14ac:dyDescent="0.25">
      <c r="C412" t="s">
        <v>116</v>
      </c>
      <c r="D412">
        <v>2014</v>
      </c>
      <c r="E412" t="s">
        <v>143</v>
      </c>
      <c r="F412">
        <v>370.48</v>
      </c>
    </row>
    <row r="413" spans="3:6" x14ac:dyDescent="0.25">
      <c r="C413" t="s">
        <v>116</v>
      </c>
      <c r="D413">
        <v>2014</v>
      </c>
      <c r="E413" t="s">
        <v>144</v>
      </c>
      <c r="F413">
        <v>251.11</v>
      </c>
    </row>
    <row r="414" spans="3:6" x14ac:dyDescent="0.25">
      <c r="C414" t="s">
        <v>116</v>
      </c>
      <c r="D414">
        <v>2014</v>
      </c>
      <c r="E414" t="s">
        <v>145</v>
      </c>
      <c r="F414">
        <v>16.47</v>
      </c>
    </row>
    <row r="415" spans="3:6" x14ac:dyDescent="0.25">
      <c r="C415" t="s">
        <v>116</v>
      </c>
      <c r="D415">
        <v>2015</v>
      </c>
      <c r="E415" t="s">
        <v>142</v>
      </c>
      <c r="F415">
        <v>273.88</v>
      </c>
    </row>
    <row r="416" spans="3:6" x14ac:dyDescent="0.25">
      <c r="C416" t="s">
        <v>116</v>
      </c>
      <c r="D416">
        <v>2015</v>
      </c>
      <c r="E416" t="s">
        <v>143</v>
      </c>
      <c r="F416">
        <v>353.47</v>
      </c>
    </row>
    <row r="417" spans="3:6" x14ac:dyDescent="0.25">
      <c r="C417" t="s">
        <v>116</v>
      </c>
      <c r="D417">
        <v>2015</v>
      </c>
      <c r="E417" t="s">
        <v>144</v>
      </c>
      <c r="F417">
        <v>256.8</v>
      </c>
    </row>
    <row r="418" spans="3:6" x14ac:dyDescent="0.25">
      <c r="C418" t="s">
        <v>116</v>
      </c>
      <c r="D418">
        <v>2015</v>
      </c>
      <c r="E418" t="s">
        <v>145</v>
      </c>
      <c r="F418">
        <v>20.74</v>
      </c>
    </row>
    <row r="419" spans="3:6" x14ac:dyDescent="0.25">
      <c r="C419" t="s">
        <v>116</v>
      </c>
      <c r="D419">
        <v>2016</v>
      </c>
      <c r="E419" t="s">
        <v>142</v>
      </c>
      <c r="F419">
        <v>273.97000000000003</v>
      </c>
    </row>
    <row r="420" spans="3:6" x14ac:dyDescent="0.25">
      <c r="C420" t="s">
        <v>116</v>
      </c>
      <c r="D420">
        <v>2016</v>
      </c>
      <c r="E420" t="s">
        <v>143</v>
      </c>
      <c r="F420">
        <v>356.98</v>
      </c>
    </row>
    <row r="421" spans="3:6" x14ac:dyDescent="0.25">
      <c r="C421" t="s">
        <v>116</v>
      </c>
      <c r="D421">
        <v>2016</v>
      </c>
      <c r="E421" t="s">
        <v>144</v>
      </c>
      <c r="F421">
        <v>255.18</v>
      </c>
    </row>
    <row r="422" spans="3:6" x14ac:dyDescent="0.25">
      <c r="C422" t="s">
        <v>116</v>
      </c>
      <c r="D422">
        <v>2016</v>
      </c>
      <c r="E422" t="s">
        <v>145</v>
      </c>
      <c r="F422">
        <v>21.95</v>
      </c>
    </row>
    <row r="423" spans="3:6" x14ac:dyDescent="0.25">
      <c r="C423" t="s">
        <v>116</v>
      </c>
      <c r="D423">
        <v>2017</v>
      </c>
      <c r="E423" t="s">
        <v>142</v>
      </c>
      <c r="F423">
        <v>285.68</v>
      </c>
    </row>
    <row r="424" spans="3:6" x14ac:dyDescent="0.25">
      <c r="C424" t="s">
        <v>116</v>
      </c>
      <c r="D424">
        <v>2017</v>
      </c>
      <c r="E424" t="s">
        <v>143</v>
      </c>
      <c r="F424">
        <v>357.9</v>
      </c>
    </row>
    <row r="425" spans="3:6" x14ac:dyDescent="0.25">
      <c r="C425" t="s">
        <v>116</v>
      </c>
      <c r="D425">
        <v>2017</v>
      </c>
      <c r="E425" t="s">
        <v>144</v>
      </c>
      <c r="F425">
        <v>260.69</v>
      </c>
    </row>
    <row r="426" spans="3:6" x14ac:dyDescent="0.25">
      <c r="C426" t="s">
        <v>116</v>
      </c>
      <c r="D426">
        <v>2017</v>
      </c>
      <c r="E426" t="s">
        <v>145</v>
      </c>
      <c r="F426">
        <v>21.57</v>
      </c>
    </row>
    <row r="427" spans="3:6" x14ac:dyDescent="0.25">
      <c r="C427" t="s">
        <v>116</v>
      </c>
      <c r="D427">
        <v>2018</v>
      </c>
      <c r="E427" t="s">
        <v>142</v>
      </c>
      <c r="F427">
        <v>293.02999999999997</v>
      </c>
    </row>
    <row r="428" spans="3:6" x14ac:dyDescent="0.25">
      <c r="C428" t="s">
        <v>116</v>
      </c>
      <c r="D428">
        <v>2018</v>
      </c>
      <c r="E428" t="s">
        <v>143</v>
      </c>
      <c r="F428">
        <v>356.99</v>
      </c>
    </row>
    <row r="429" spans="3:6" x14ac:dyDescent="0.25">
      <c r="C429" t="s">
        <v>116</v>
      </c>
      <c r="D429">
        <v>2018</v>
      </c>
      <c r="E429" t="s">
        <v>144</v>
      </c>
      <c r="F429">
        <v>264.5</v>
      </c>
    </row>
    <row r="430" spans="3:6" x14ac:dyDescent="0.25">
      <c r="C430" t="s">
        <v>116</v>
      </c>
      <c r="D430">
        <v>2018</v>
      </c>
      <c r="E430" t="s">
        <v>145</v>
      </c>
      <c r="F430">
        <v>22.15</v>
      </c>
    </row>
    <row r="431" spans="3:6" x14ac:dyDescent="0.25">
      <c r="C431" t="s">
        <v>116</v>
      </c>
      <c r="D431">
        <v>2019</v>
      </c>
      <c r="E431" t="s">
        <v>146</v>
      </c>
      <c r="F431">
        <v>1.24</v>
      </c>
    </row>
    <row r="432" spans="3:6" x14ac:dyDescent="0.25">
      <c r="C432" t="s">
        <v>116</v>
      </c>
      <c r="D432">
        <v>2019</v>
      </c>
      <c r="E432" t="s">
        <v>142</v>
      </c>
      <c r="F432">
        <v>298.7</v>
      </c>
    </row>
    <row r="433" spans="3:6" x14ac:dyDescent="0.25">
      <c r="C433" t="s">
        <v>116</v>
      </c>
      <c r="D433">
        <v>2019</v>
      </c>
      <c r="E433" t="s">
        <v>143</v>
      </c>
      <c r="F433">
        <v>370.02</v>
      </c>
    </row>
    <row r="434" spans="3:6" x14ac:dyDescent="0.25">
      <c r="C434" t="s">
        <v>116</v>
      </c>
      <c r="D434">
        <v>2019</v>
      </c>
      <c r="E434" t="s">
        <v>144</v>
      </c>
      <c r="F434">
        <v>265.10000000000002</v>
      </c>
    </row>
    <row r="435" spans="3:6" x14ac:dyDescent="0.25">
      <c r="C435" t="s">
        <v>116</v>
      </c>
      <c r="D435">
        <v>2019</v>
      </c>
      <c r="E435" t="s">
        <v>145</v>
      </c>
      <c r="F435">
        <v>41.1</v>
      </c>
    </row>
    <row r="436" spans="3:6" x14ac:dyDescent="0.25">
      <c r="C436" t="s">
        <v>116</v>
      </c>
      <c r="D436">
        <v>2020</v>
      </c>
      <c r="E436" t="s">
        <v>146</v>
      </c>
      <c r="F436">
        <v>1.1599999999999999</v>
      </c>
    </row>
    <row r="437" spans="3:6" x14ac:dyDescent="0.25">
      <c r="C437" t="s">
        <v>116</v>
      </c>
      <c r="D437">
        <v>2020</v>
      </c>
      <c r="E437" t="s">
        <v>142</v>
      </c>
      <c r="F437">
        <v>293.75</v>
      </c>
    </row>
    <row r="438" spans="3:6" x14ac:dyDescent="0.25">
      <c r="C438" t="s">
        <v>116</v>
      </c>
      <c r="D438">
        <v>2020</v>
      </c>
      <c r="E438" t="s">
        <v>143</v>
      </c>
      <c r="F438">
        <v>366.72</v>
      </c>
    </row>
    <row r="439" spans="3:6" x14ac:dyDescent="0.25">
      <c r="C439" t="s">
        <v>116</v>
      </c>
      <c r="D439">
        <v>2020</v>
      </c>
      <c r="E439" t="s">
        <v>144</v>
      </c>
      <c r="F439">
        <v>269.43</v>
      </c>
    </row>
    <row r="440" spans="3:6" x14ac:dyDescent="0.25">
      <c r="C440" t="s">
        <v>116</v>
      </c>
      <c r="D440">
        <v>2020</v>
      </c>
      <c r="E440" t="s">
        <v>145</v>
      </c>
      <c r="F440">
        <v>37.659999999999997</v>
      </c>
    </row>
    <row r="441" spans="3:6" x14ac:dyDescent="0.25">
      <c r="C441" t="s">
        <v>116</v>
      </c>
      <c r="D441">
        <v>2021</v>
      </c>
      <c r="E441" t="s">
        <v>146</v>
      </c>
      <c r="F441">
        <v>1.1599999999999999</v>
      </c>
    </row>
    <row r="442" spans="3:6" x14ac:dyDescent="0.25">
      <c r="C442" t="s">
        <v>116</v>
      </c>
      <c r="D442">
        <v>2021</v>
      </c>
      <c r="E442" t="s">
        <v>142</v>
      </c>
      <c r="F442">
        <v>300.72000000000003</v>
      </c>
    </row>
    <row r="443" spans="3:6" x14ac:dyDescent="0.25">
      <c r="C443" t="s">
        <v>116</v>
      </c>
      <c r="D443">
        <v>2021</v>
      </c>
      <c r="E443" t="s">
        <v>143</v>
      </c>
      <c r="F443">
        <v>370.13</v>
      </c>
    </row>
    <row r="444" spans="3:6" x14ac:dyDescent="0.25">
      <c r="C444" t="s">
        <v>116</v>
      </c>
      <c r="D444">
        <v>2021</v>
      </c>
      <c r="E444" t="s">
        <v>144</v>
      </c>
      <c r="F444">
        <v>264.7</v>
      </c>
    </row>
    <row r="445" spans="3:6" x14ac:dyDescent="0.25">
      <c r="C445" t="s">
        <v>116</v>
      </c>
      <c r="D445">
        <v>2021</v>
      </c>
      <c r="E445" t="s">
        <v>145</v>
      </c>
      <c r="F445">
        <v>40.340000000000003</v>
      </c>
    </row>
    <row r="446" spans="3:6" x14ac:dyDescent="0.25">
      <c r="C446" t="s">
        <v>116</v>
      </c>
      <c r="D446">
        <v>2022</v>
      </c>
      <c r="E446" t="s">
        <v>146</v>
      </c>
      <c r="F446">
        <v>1.24</v>
      </c>
    </row>
    <row r="447" spans="3:6" x14ac:dyDescent="0.25">
      <c r="C447" t="s">
        <v>116</v>
      </c>
      <c r="D447">
        <v>2022</v>
      </c>
      <c r="E447" t="s">
        <v>142</v>
      </c>
      <c r="F447">
        <v>306.81</v>
      </c>
    </row>
    <row r="448" spans="3:6" x14ac:dyDescent="0.25">
      <c r="C448" t="s">
        <v>116</v>
      </c>
      <c r="D448">
        <v>2022</v>
      </c>
      <c r="E448" t="s">
        <v>143</v>
      </c>
      <c r="F448">
        <v>379.46</v>
      </c>
    </row>
    <row r="449" spans="3:6" x14ac:dyDescent="0.25">
      <c r="C449" t="s">
        <v>116</v>
      </c>
      <c r="D449">
        <v>2022</v>
      </c>
      <c r="E449" t="s">
        <v>144</v>
      </c>
      <c r="F449">
        <v>266.33999999999997</v>
      </c>
    </row>
    <row r="450" spans="3:6" x14ac:dyDescent="0.25">
      <c r="C450" t="s">
        <v>116</v>
      </c>
      <c r="D450">
        <v>2022</v>
      </c>
      <c r="E450" t="s">
        <v>145</v>
      </c>
      <c r="F450">
        <v>43.27</v>
      </c>
    </row>
    <row r="451" spans="3:6" x14ac:dyDescent="0.25">
      <c r="C451" t="s">
        <v>116</v>
      </c>
      <c r="D451">
        <v>2023</v>
      </c>
      <c r="E451" t="s">
        <v>146</v>
      </c>
      <c r="F451">
        <v>1.27</v>
      </c>
    </row>
    <row r="452" spans="3:6" x14ac:dyDescent="0.25">
      <c r="C452" t="s">
        <v>116</v>
      </c>
      <c r="D452">
        <v>2023</v>
      </c>
      <c r="E452" t="s">
        <v>142</v>
      </c>
      <c r="F452">
        <v>310.89999999999998</v>
      </c>
    </row>
    <row r="453" spans="3:6" x14ac:dyDescent="0.25">
      <c r="C453" t="s">
        <v>116</v>
      </c>
      <c r="D453">
        <v>2023</v>
      </c>
      <c r="E453" t="s">
        <v>143</v>
      </c>
      <c r="F453">
        <v>390.35</v>
      </c>
    </row>
    <row r="454" spans="3:6" x14ac:dyDescent="0.25">
      <c r="C454" t="s">
        <v>116</v>
      </c>
      <c r="D454">
        <v>2023</v>
      </c>
      <c r="E454" t="s">
        <v>144</v>
      </c>
      <c r="F454">
        <v>267.3</v>
      </c>
    </row>
    <row r="455" spans="3:6" x14ac:dyDescent="0.25">
      <c r="C455" t="s">
        <v>116</v>
      </c>
      <c r="D455">
        <v>2023</v>
      </c>
      <c r="E455" t="s">
        <v>145</v>
      </c>
      <c r="F455">
        <v>45.9</v>
      </c>
    </row>
    <row r="456" spans="3:6" x14ac:dyDescent="0.25">
      <c r="C456" t="s">
        <v>116</v>
      </c>
      <c r="D456">
        <v>2024</v>
      </c>
      <c r="E456" t="s">
        <v>146</v>
      </c>
      <c r="F456">
        <v>1.3</v>
      </c>
    </row>
    <row r="457" spans="3:6" x14ac:dyDescent="0.25">
      <c r="C457" t="s">
        <v>116</v>
      </c>
      <c r="D457">
        <v>2024</v>
      </c>
      <c r="E457" t="s">
        <v>142</v>
      </c>
      <c r="F457">
        <v>315.35000000000002</v>
      </c>
    </row>
    <row r="458" spans="3:6" x14ac:dyDescent="0.25">
      <c r="C458" t="s">
        <v>116</v>
      </c>
      <c r="D458">
        <v>2024</v>
      </c>
      <c r="E458" t="s">
        <v>143</v>
      </c>
      <c r="F458">
        <v>400.43</v>
      </c>
    </row>
    <row r="459" spans="3:6" x14ac:dyDescent="0.25">
      <c r="C459" t="s">
        <v>116</v>
      </c>
      <c r="D459">
        <v>2024</v>
      </c>
      <c r="E459" t="s">
        <v>144</v>
      </c>
      <c r="F459">
        <v>267.75</v>
      </c>
    </row>
    <row r="460" spans="3:6" x14ac:dyDescent="0.25">
      <c r="C460" t="s">
        <v>116</v>
      </c>
      <c r="D460">
        <v>2024</v>
      </c>
      <c r="E460" t="s">
        <v>145</v>
      </c>
      <c r="F460">
        <v>48.64</v>
      </c>
    </row>
    <row r="461" spans="3:6" x14ac:dyDescent="0.25">
      <c r="C461" t="s">
        <v>116</v>
      </c>
      <c r="D461">
        <v>2025</v>
      </c>
      <c r="E461" t="s">
        <v>146</v>
      </c>
      <c r="F461">
        <v>1.32</v>
      </c>
    </row>
    <row r="462" spans="3:6" x14ac:dyDescent="0.25">
      <c r="C462" t="s">
        <v>116</v>
      </c>
      <c r="D462">
        <v>2025</v>
      </c>
      <c r="E462" t="s">
        <v>142</v>
      </c>
      <c r="F462">
        <v>320.56</v>
      </c>
    </row>
    <row r="463" spans="3:6" x14ac:dyDescent="0.25">
      <c r="C463" t="s">
        <v>116</v>
      </c>
      <c r="D463">
        <v>2025</v>
      </c>
      <c r="E463" t="s">
        <v>143</v>
      </c>
      <c r="F463">
        <v>413.73</v>
      </c>
    </row>
    <row r="464" spans="3:6" x14ac:dyDescent="0.25">
      <c r="C464" t="s">
        <v>116</v>
      </c>
      <c r="D464">
        <v>2025</v>
      </c>
      <c r="E464" t="s">
        <v>144</v>
      </c>
      <c r="F464">
        <v>268.45</v>
      </c>
    </row>
    <row r="465" spans="3:6" x14ac:dyDescent="0.25">
      <c r="C465" t="s">
        <v>116</v>
      </c>
      <c r="D465">
        <v>2025</v>
      </c>
      <c r="E465" t="s">
        <v>145</v>
      </c>
      <c r="F465">
        <v>51.68</v>
      </c>
    </row>
    <row r="466" spans="3:6" x14ac:dyDescent="0.25">
      <c r="C466" t="s">
        <v>116</v>
      </c>
      <c r="D466">
        <v>2026</v>
      </c>
      <c r="E466" t="s">
        <v>146</v>
      </c>
      <c r="F466">
        <v>1.34</v>
      </c>
    </row>
    <row r="467" spans="3:6" x14ac:dyDescent="0.25">
      <c r="C467" t="s">
        <v>116</v>
      </c>
      <c r="D467">
        <v>2026</v>
      </c>
      <c r="E467" t="s">
        <v>142</v>
      </c>
      <c r="F467">
        <v>326.67</v>
      </c>
    </row>
    <row r="468" spans="3:6" x14ac:dyDescent="0.25">
      <c r="C468" t="s">
        <v>116</v>
      </c>
      <c r="D468">
        <v>2026</v>
      </c>
      <c r="E468" t="s">
        <v>143</v>
      </c>
      <c r="F468">
        <v>426.34</v>
      </c>
    </row>
    <row r="469" spans="3:6" x14ac:dyDescent="0.25">
      <c r="C469" t="s">
        <v>116</v>
      </c>
      <c r="D469">
        <v>2026</v>
      </c>
      <c r="E469" t="s">
        <v>144</v>
      </c>
      <c r="F469">
        <v>269.64999999999998</v>
      </c>
    </row>
    <row r="470" spans="3:6" x14ac:dyDescent="0.25">
      <c r="C470" t="s">
        <v>116</v>
      </c>
      <c r="D470">
        <v>2026</v>
      </c>
      <c r="E470" t="s">
        <v>145</v>
      </c>
      <c r="F470">
        <v>54.62</v>
      </c>
    </row>
    <row r="471" spans="3:6" x14ac:dyDescent="0.25">
      <c r="C471" t="s">
        <v>116</v>
      </c>
      <c r="D471">
        <v>2027</v>
      </c>
      <c r="E471" t="s">
        <v>146</v>
      </c>
      <c r="F471">
        <v>1.35</v>
      </c>
    </row>
    <row r="472" spans="3:6" x14ac:dyDescent="0.25">
      <c r="C472" t="s">
        <v>116</v>
      </c>
      <c r="D472">
        <v>2027</v>
      </c>
      <c r="E472" t="s">
        <v>142</v>
      </c>
      <c r="F472">
        <v>332.89</v>
      </c>
    </row>
    <row r="473" spans="3:6" x14ac:dyDescent="0.25">
      <c r="C473" t="s">
        <v>116</v>
      </c>
      <c r="D473">
        <v>2027</v>
      </c>
      <c r="E473" t="s">
        <v>143</v>
      </c>
      <c r="F473">
        <v>438.97</v>
      </c>
    </row>
    <row r="474" spans="3:6" x14ac:dyDescent="0.25">
      <c r="C474" t="s">
        <v>116</v>
      </c>
      <c r="D474">
        <v>2027</v>
      </c>
      <c r="E474" t="s">
        <v>144</v>
      </c>
      <c r="F474">
        <v>271.02999999999997</v>
      </c>
    </row>
    <row r="475" spans="3:6" x14ac:dyDescent="0.25">
      <c r="C475" t="s">
        <v>116</v>
      </c>
      <c r="D475">
        <v>2027</v>
      </c>
      <c r="E475" t="s">
        <v>145</v>
      </c>
      <c r="F475">
        <v>57.95</v>
      </c>
    </row>
    <row r="476" spans="3:6" x14ac:dyDescent="0.25">
      <c r="C476" t="s">
        <v>116</v>
      </c>
      <c r="D476">
        <v>2028</v>
      </c>
      <c r="E476" t="s">
        <v>146</v>
      </c>
      <c r="F476">
        <v>1.37</v>
      </c>
    </row>
    <row r="477" spans="3:6" x14ac:dyDescent="0.25">
      <c r="C477" t="s">
        <v>116</v>
      </c>
      <c r="D477">
        <v>2028</v>
      </c>
      <c r="E477" t="s">
        <v>142</v>
      </c>
      <c r="F477">
        <v>339.21</v>
      </c>
    </row>
    <row r="478" spans="3:6" x14ac:dyDescent="0.25">
      <c r="C478" t="s">
        <v>116</v>
      </c>
      <c r="D478">
        <v>2028</v>
      </c>
      <c r="E478" t="s">
        <v>143</v>
      </c>
      <c r="F478">
        <v>451.82</v>
      </c>
    </row>
    <row r="479" spans="3:6" x14ac:dyDescent="0.25">
      <c r="C479" t="s">
        <v>116</v>
      </c>
      <c r="D479">
        <v>2028</v>
      </c>
      <c r="E479" t="s">
        <v>144</v>
      </c>
      <c r="F479">
        <v>272.32</v>
      </c>
    </row>
    <row r="480" spans="3:6" x14ac:dyDescent="0.25">
      <c r="C480" t="s">
        <v>116</v>
      </c>
      <c r="D480">
        <v>2028</v>
      </c>
      <c r="E480" t="s">
        <v>145</v>
      </c>
      <c r="F480">
        <v>61.37</v>
      </c>
    </row>
    <row r="481" spans="3:6" x14ac:dyDescent="0.25">
      <c r="C481" t="s">
        <v>116</v>
      </c>
      <c r="D481">
        <v>2029</v>
      </c>
      <c r="E481" t="s">
        <v>146</v>
      </c>
      <c r="F481">
        <v>1.38</v>
      </c>
    </row>
    <row r="482" spans="3:6" x14ac:dyDescent="0.25">
      <c r="C482" t="s">
        <v>116</v>
      </c>
      <c r="D482">
        <v>2029</v>
      </c>
      <c r="E482" t="s">
        <v>142</v>
      </c>
      <c r="F482">
        <v>345.75</v>
      </c>
    </row>
    <row r="483" spans="3:6" x14ac:dyDescent="0.25">
      <c r="C483" t="s">
        <v>116</v>
      </c>
      <c r="D483">
        <v>2029</v>
      </c>
      <c r="E483" t="s">
        <v>143</v>
      </c>
      <c r="F483">
        <v>465.68</v>
      </c>
    </row>
    <row r="484" spans="3:6" x14ac:dyDescent="0.25">
      <c r="C484" t="s">
        <v>116</v>
      </c>
      <c r="D484">
        <v>2029</v>
      </c>
      <c r="E484" t="s">
        <v>144</v>
      </c>
      <c r="F484">
        <v>273.62</v>
      </c>
    </row>
    <row r="485" spans="3:6" x14ac:dyDescent="0.25">
      <c r="C485" t="s">
        <v>116</v>
      </c>
      <c r="D485">
        <v>2029</v>
      </c>
      <c r="E485" t="s">
        <v>145</v>
      </c>
      <c r="F485">
        <v>64.84</v>
      </c>
    </row>
    <row r="486" spans="3:6" x14ac:dyDescent="0.25">
      <c r="C486" t="s">
        <v>116</v>
      </c>
      <c r="D486">
        <v>2030</v>
      </c>
      <c r="E486" t="s">
        <v>146</v>
      </c>
      <c r="F486">
        <v>1.4</v>
      </c>
    </row>
    <row r="487" spans="3:6" x14ac:dyDescent="0.25">
      <c r="C487" t="s">
        <v>116</v>
      </c>
      <c r="D487">
        <v>2030</v>
      </c>
      <c r="E487" t="s">
        <v>142</v>
      </c>
      <c r="F487">
        <v>352.25</v>
      </c>
    </row>
    <row r="488" spans="3:6" x14ac:dyDescent="0.25">
      <c r="C488" t="s">
        <v>116</v>
      </c>
      <c r="D488">
        <v>2030</v>
      </c>
      <c r="E488" t="s">
        <v>143</v>
      </c>
      <c r="F488">
        <v>477.37</v>
      </c>
    </row>
    <row r="489" spans="3:6" x14ac:dyDescent="0.25">
      <c r="C489" t="s">
        <v>116</v>
      </c>
      <c r="D489">
        <v>2030</v>
      </c>
      <c r="E489" t="s">
        <v>144</v>
      </c>
      <c r="F489">
        <v>274.86</v>
      </c>
    </row>
    <row r="490" spans="3:6" x14ac:dyDescent="0.25">
      <c r="C490" t="s">
        <v>116</v>
      </c>
      <c r="D490">
        <v>2030</v>
      </c>
      <c r="E490" t="s">
        <v>145</v>
      </c>
      <c r="F490">
        <v>68.23</v>
      </c>
    </row>
    <row r="491" spans="3:6" x14ac:dyDescent="0.25">
      <c r="C491" t="s">
        <v>116</v>
      </c>
      <c r="D491">
        <v>2031</v>
      </c>
      <c r="E491" t="s">
        <v>146</v>
      </c>
      <c r="F491">
        <v>1.41</v>
      </c>
    </row>
    <row r="492" spans="3:6" x14ac:dyDescent="0.25">
      <c r="C492" t="s">
        <v>116</v>
      </c>
      <c r="D492">
        <v>2031</v>
      </c>
      <c r="E492" t="s">
        <v>142</v>
      </c>
      <c r="F492">
        <v>357.42</v>
      </c>
    </row>
    <row r="493" spans="3:6" x14ac:dyDescent="0.25">
      <c r="C493" t="s">
        <v>116</v>
      </c>
      <c r="D493">
        <v>2031</v>
      </c>
      <c r="E493" t="s">
        <v>143</v>
      </c>
      <c r="F493">
        <v>489.24</v>
      </c>
    </row>
    <row r="494" spans="3:6" x14ac:dyDescent="0.25">
      <c r="C494" t="s">
        <v>116</v>
      </c>
      <c r="D494">
        <v>2031</v>
      </c>
      <c r="E494" t="s">
        <v>144</v>
      </c>
      <c r="F494">
        <v>276.11</v>
      </c>
    </row>
    <row r="495" spans="3:6" x14ac:dyDescent="0.25">
      <c r="C495" t="s">
        <v>116</v>
      </c>
      <c r="D495">
        <v>2031</v>
      </c>
      <c r="E495" t="s">
        <v>145</v>
      </c>
      <c r="F495">
        <v>71.45</v>
      </c>
    </row>
    <row r="496" spans="3:6" x14ac:dyDescent="0.25">
      <c r="C496" t="s">
        <v>116</v>
      </c>
      <c r="D496">
        <v>2032</v>
      </c>
      <c r="E496" t="s">
        <v>146</v>
      </c>
      <c r="F496">
        <v>1.42</v>
      </c>
    </row>
    <row r="497" spans="3:6" x14ac:dyDescent="0.25">
      <c r="C497" t="s">
        <v>116</v>
      </c>
      <c r="D497">
        <v>2032</v>
      </c>
      <c r="E497" t="s">
        <v>142</v>
      </c>
      <c r="F497">
        <v>362.59</v>
      </c>
    </row>
    <row r="498" spans="3:6" x14ac:dyDescent="0.25">
      <c r="C498" t="s">
        <v>116</v>
      </c>
      <c r="D498">
        <v>2032</v>
      </c>
      <c r="E498" t="s">
        <v>143</v>
      </c>
      <c r="F498">
        <v>500.94</v>
      </c>
    </row>
    <row r="499" spans="3:6" x14ac:dyDescent="0.25">
      <c r="C499" t="s">
        <v>116</v>
      </c>
      <c r="D499">
        <v>2032</v>
      </c>
      <c r="E499" t="s">
        <v>144</v>
      </c>
      <c r="F499">
        <v>277.47000000000003</v>
      </c>
    </row>
    <row r="500" spans="3:6" x14ac:dyDescent="0.25">
      <c r="C500" t="s">
        <v>116</v>
      </c>
      <c r="D500">
        <v>2032</v>
      </c>
      <c r="E500" t="s">
        <v>145</v>
      </c>
      <c r="F500">
        <v>74.790000000000006</v>
      </c>
    </row>
    <row r="501" spans="3:6" x14ac:dyDescent="0.25">
      <c r="C501" t="s">
        <v>116</v>
      </c>
      <c r="D501">
        <v>2033</v>
      </c>
      <c r="E501" t="s">
        <v>146</v>
      </c>
      <c r="F501">
        <v>1.44</v>
      </c>
    </row>
    <row r="502" spans="3:6" x14ac:dyDescent="0.25">
      <c r="C502" t="s">
        <v>116</v>
      </c>
      <c r="D502">
        <v>2033</v>
      </c>
      <c r="E502" t="s">
        <v>142</v>
      </c>
      <c r="F502">
        <v>367.9</v>
      </c>
    </row>
    <row r="503" spans="3:6" x14ac:dyDescent="0.25">
      <c r="C503" t="s">
        <v>116</v>
      </c>
      <c r="D503">
        <v>2033</v>
      </c>
      <c r="E503" t="s">
        <v>143</v>
      </c>
      <c r="F503">
        <v>513.84</v>
      </c>
    </row>
    <row r="504" spans="3:6" x14ac:dyDescent="0.25">
      <c r="C504" t="s">
        <v>116</v>
      </c>
      <c r="D504">
        <v>2033</v>
      </c>
      <c r="E504" t="s">
        <v>144</v>
      </c>
      <c r="F504">
        <v>278.87</v>
      </c>
    </row>
    <row r="505" spans="3:6" x14ac:dyDescent="0.25">
      <c r="C505" t="s">
        <v>116</v>
      </c>
      <c r="D505">
        <v>2033</v>
      </c>
      <c r="E505" t="s">
        <v>145</v>
      </c>
      <c r="F505">
        <v>78.36</v>
      </c>
    </row>
    <row r="506" spans="3:6" x14ac:dyDescent="0.25">
      <c r="C506" t="s">
        <v>116</v>
      </c>
      <c r="D506">
        <v>2034</v>
      </c>
      <c r="E506" t="s">
        <v>146</v>
      </c>
      <c r="F506">
        <v>1.45</v>
      </c>
    </row>
    <row r="507" spans="3:6" x14ac:dyDescent="0.25">
      <c r="C507" t="s">
        <v>116</v>
      </c>
      <c r="D507">
        <v>2034</v>
      </c>
      <c r="E507" t="s">
        <v>142</v>
      </c>
      <c r="F507">
        <v>373.24</v>
      </c>
    </row>
    <row r="508" spans="3:6" x14ac:dyDescent="0.25">
      <c r="C508" t="s">
        <v>116</v>
      </c>
      <c r="D508">
        <v>2034</v>
      </c>
      <c r="E508" t="s">
        <v>143</v>
      </c>
      <c r="F508">
        <v>524.30999999999995</v>
      </c>
    </row>
    <row r="509" spans="3:6" x14ac:dyDescent="0.25">
      <c r="C509" t="s">
        <v>116</v>
      </c>
      <c r="D509">
        <v>2034</v>
      </c>
      <c r="E509" t="s">
        <v>144</v>
      </c>
      <c r="F509">
        <v>280.2</v>
      </c>
    </row>
    <row r="510" spans="3:6" x14ac:dyDescent="0.25">
      <c r="C510" t="s">
        <v>116</v>
      </c>
      <c r="D510">
        <v>2034</v>
      </c>
      <c r="E510" t="s">
        <v>145</v>
      </c>
      <c r="F510">
        <v>81.790000000000006</v>
      </c>
    </row>
    <row r="511" spans="3:6" x14ac:dyDescent="0.25">
      <c r="C511" t="s">
        <v>116</v>
      </c>
      <c r="D511">
        <v>2035</v>
      </c>
      <c r="E511" t="s">
        <v>146</v>
      </c>
      <c r="F511">
        <v>1.47</v>
      </c>
    </row>
    <row r="512" spans="3:6" x14ac:dyDescent="0.25">
      <c r="C512" t="s">
        <v>116</v>
      </c>
      <c r="D512">
        <v>2035</v>
      </c>
      <c r="E512" t="s">
        <v>142</v>
      </c>
      <c r="F512">
        <v>378.67</v>
      </c>
    </row>
    <row r="513" spans="3:6" x14ac:dyDescent="0.25">
      <c r="C513" t="s">
        <v>116</v>
      </c>
      <c r="D513">
        <v>2035</v>
      </c>
      <c r="E513" t="s">
        <v>143</v>
      </c>
      <c r="F513">
        <v>535.29</v>
      </c>
    </row>
    <row r="514" spans="3:6" x14ac:dyDescent="0.25">
      <c r="C514" t="s">
        <v>116</v>
      </c>
      <c r="D514">
        <v>2035</v>
      </c>
      <c r="E514" t="s">
        <v>144</v>
      </c>
      <c r="F514">
        <v>281.52</v>
      </c>
    </row>
    <row r="515" spans="3:6" x14ac:dyDescent="0.25">
      <c r="C515" t="s">
        <v>116</v>
      </c>
      <c r="D515">
        <v>2035</v>
      </c>
      <c r="E515" t="s">
        <v>145</v>
      </c>
      <c r="F515">
        <v>85.04</v>
      </c>
    </row>
    <row r="516" spans="3:6" x14ac:dyDescent="0.25">
      <c r="C516" t="s">
        <v>116</v>
      </c>
      <c r="D516">
        <v>2036</v>
      </c>
      <c r="E516" t="s">
        <v>146</v>
      </c>
      <c r="F516">
        <v>1.48</v>
      </c>
    </row>
    <row r="517" spans="3:6" x14ac:dyDescent="0.25">
      <c r="C517" t="s">
        <v>116</v>
      </c>
      <c r="D517">
        <v>2036</v>
      </c>
      <c r="E517" t="s">
        <v>142</v>
      </c>
      <c r="F517">
        <v>383.92</v>
      </c>
    </row>
    <row r="518" spans="3:6" x14ac:dyDescent="0.25">
      <c r="C518" t="s">
        <v>116</v>
      </c>
      <c r="D518">
        <v>2036</v>
      </c>
      <c r="E518" t="s">
        <v>143</v>
      </c>
      <c r="F518">
        <v>546.20000000000005</v>
      </c>
    </row>
    <row r="519" spans="3:6" x14ac:dyDescent="0.25">
      <c r="C519" t="s">
        <v>116</v>
      </c>
      <c r="D519">
        <v>2036</v>
      </c>
      <c r="E519" t="s">
        <v>144</v>
      </c>
      <c r="F519">
        <v>282.72000000000003</v>
      </c>
    </row>
    <row r="520" spans="3:6" x14ac:dyDescent="0.25">
      <c r="C520" t="s">
        <v>116</v>
      </c>
      <c r="D520">
        <v>2036</v>
      </c>
      <c r="E520" t="s">
        <v>145</v>
      </c>
      <c r="F520">
        <v>88.6</v>
      </c>
    </row>
    <row r="521" spans="3:6" x14ac:dyDescent="0.25">
      <c r="C521" t="s">
        <v>116</v>
      </c>
      <c r="D521">
        <v>2037</v>
      </c>
      <c r="E521" t="s">
        <v>146</v>
      </c>
      <c r="F521">
        <v>1.5</v>
      </c>
    </row>
    <row r="522" spans="3:6" x14ac:dyDescent="0.25">
      <c r="C522" t="s">
        <v>116</v>
      </c>
      <c r="D522">
        <v>2037</v>
      </c>
      <c r="E522" t="s">
        <v>142</v>
      </c>
      <c r="F522">
        <v>388.93</v>
      </c>
    </row>
    <row r="523" spans="3:6" x14ac:dyDescent="0.25">
      <c r="C523" t="s">
        <v>116</v>
      </c>
      <c r="D523">
        <v>2037</v>
      </c>
      <c r="E523" t="s">
        <v>143</v>
      </c>
      <c r="F523">
        <v>557.16999999999996</v>
      </c>
    </row>
    <row r="524" spans="3:6" x14ac:dyDescent="0.25">
      <c r="C524" t="s">
        <v>116</v>
      </c>
      <c r="D524">
        <v>2037</v>
      </c>
      <c r="E524" t="s">
        <v>144</v>
      </c>
      <c r="F524">
        <v>283.81</v>
      </c>
    </row>
    <row r="525" spans="3:6" x14ac:dyDescent="0.25">
      <c r="C525" t="s">
        <v>116</v>
      </c>
      <c r="D525">
        <v>2037</v>
      </c>
      <c r="E525" t="s">
        <v>145</v>
      </c>
      <c r="F525">
        <v>91.86</v>
      </c>
    </row>
    <row r="526" spans="3:6" x14ac:dyDescent="0.25">
      <c r="C526" t="s">
        <v>116</v>
      </c>
      <c r="D526">
        <v>2038</v>
      </c>
      <c r="E526" t="s">
        <v>146</v>
      </c>
      <c r="F526">
        <v>1.51</v>
      </c>
    </row>
    <row r="527" spans="3:6" x14ac:dyDescent="0.25">
      <c r="C527" t="s">
        <v>116</v>
      </c>
      <c r="D527">
        <v>2038</v>
      </c>
      <c r="E527" t="s">
        <v>142</v>
      </c>
      <c r="F527">
        <v>393.7</v>
      </c>
    </row>
    <row r="528" spans="3:6" x14ac:dyDescent="0.25">
      <c r="C528" t="s">
        <v>116</v>
      </c>
      <c r="D528">
        <v>2038</v>
      </c>
      <c r="E528" t="s">
        <v>143</v>
      </c>
      <c r="F528">
        <v>568.26</v>
      </c>
    </row>
    <row r="529" spans="3:6" x14ac:dyDescent="0.25">
      <c r="C529" t="s">
        <v>116</v>
      </c>
      <c r="D529">
        <v>2038</v>
      </c>
      <c r="E529" t="s">
        <v>144</v>
      </c>
      <c r="F529">
        <v>284.79000000000002</v>
      </c>
    </row>
    <row r="530" spans="3:6" x14ac:dyDescent="0.25">
      <c r="C530" t="s">
        <v>116</v>
      </c>
      <c r="D530">
        <v>2038</v>
      </c>
      <c r="E530" t="s">
        <v>145</v>
      </c>
      <c r="F530">
        <v>95.21</v>
      </c>
    </row>
    <row r="531" spans="3:6" x14ac:dyDescent="0.25">
      <c r="C531" t="s">
        <v>116</v>
      </c>
      <c r="D531">
        <v>2039</v>
      </c>
      <c r="E531" t="s">
        <v>146</v>
      </c>
      <c r="F531">
        <v>1.53</v>
      </c>
    </row>
    <row r="532" spans="3:6" x14ac:dyDescent="0.25">
      <c r="C532" t="s">
        <v>116</v>
      </c>
      <c r="D532">
        <v>2039</v>
      </c>
      <c r="E532" t="s">
        <v>142</v>
      </c>
      <c r="F532">
        <v>398.35</v>
      </c>
    </row>
    <row r="533" spans="3:6" x14ac:dyDescent="0.25">
      <c r="C533" t="s">
        <v>116</v>
      </c>
      <c r="D533">
        <v>2039</v>
      </c>
      <c r="E533" t="s">
        <v>143</v>
      </c>
      <c r="F533">
        <v>577.77</v>
      </c>
    </row>
    <row r="534" spans="3:6" x14ac:dyDescent="0.25">
      <c r="C534" t="s">
        <v>116</v>
      </c>
      <c r="D534">
        <v>2039</v>
      </c>
      <c r="E534" t="s">
        <v>144</v>
      </c>
      <c r="F534">
        <v>285.7</v>
      </c>
    </row>
    <row r="535" spans="3:6" x14ac:dyDescent="0.25">
      <c r="C535" t="s">
        <v>116</v>
      </c>
      <c r="D535">
        <v>2039</v>
      </c>
      <c r="E535" t="s">
        <v>145</v>
      </c>
      <c r="F535">
        <v>98.38</v>
      </c>
    </row>
    <row r="536" spans="3:6" x14ac:dyDescent="0.25">
      <c r="C536" t="s">
        <v>116</v>
      </c>
      <c r="D536">
        <v>2040</v>
      </c>
      <c r="E536" t="s">
        <v>146</v>
      </c>
      <c r="F536">
        <v>1.54</v>
      </c>
    </row>
    <row r="537" spans="3:6" x14ac:dyDescent="0.25">
      <c r="C537" t="s">
        <v>116</v>
      </c>
      <c r="D537">
        <v>2040</v>
      </c>
      <c r="E537" t="s">
        <v>142</v>
      </c>
      <c r="F537">
        <v>402.84</v>
      </c>
    </row>
    <row r="538" spans="3:6" x14ac:dyDescent="0.25">
      <c r="C538" t="s">
        <v>116</v>
      </c>
      <c r="D538">
        <v>2040</v>
      </c>
      <c r="E538" t="s">
        <v>143</v>
      </c>
      <c r="F538">
        <v>588.11</v>
      </c>
    </row>
    <row r="539" spans="3:6" x14ac:dyDescent="0.25">
      <c r="C539" t="s">
        <v>116</v>
      </c>
      <c r="D539">
        <v>2040</v>
      </c>
      <c r="E539" t="s">
        <v>144</v>
      </c>
      <c r="F539">
        <v>286.44</v>
      </c>
    </row>
    <row r="540" spans="3:6" x14ac:dyDescent="0.25">
      <c r="C540" t="s">
        <v>116</v>
      </c>
      <c r="D540">
        <v>2040</v>
      </c>
      <c r="E540" t="s">
        <v>145</v>
      </c>
      <c r="F540">
        <v>101.48</v>
      </c>
    </row>
    <row r="541" spans="3:6" x14ac:dyDescent="0.25">
      <c r="C541" t="s">
        <v>116</v>
      </c>
      <c r="D541">
        <v>2041</v>
      </c>
      <c r="E541" t="s">
        <v>146</v>
      </c>
      <c r="F541">
        <v>1.55</v>
      </c>
    </row>
    <row r="542" spans="3:6" x14ac:dyDescent="0.25">
      <c r="C542" t="s">
        <v>116</v>
      </c>
      <c r="D542">
        <v>2041</v>
      </c>
      <c r="E542" t="s">
        <v>142</v>
      </c>
      <c r="F542">
        <v>407.93</v>
      </c>
    </row>
    <row r="543" spans="3:6" x14ac:dyDescent="0.25">
      <c r="C543" t="s">
        <v>116</v>
      </c>
      <c r="D543">
        <v>2041</v>
      </c>
      <c r="E543" t="s">
        <v>143</v>
      </c>
      <c r="F543">
        <v>599.66999999999996</v>
      </c>
    </row>
    <row r="544" spans="3:6" x14ac:dyDescent="0.25">
      <c r="C544" t="s">
        <v>116</v>
      </c>
      <c r="D544">
        <v>2041</v>
      </c>
      <c r="E544" t="s">
        <v>144</v>
      </c>
      <c r="F544">
        <v>287.26</v>
      </c>
    </row>
    <row r="545" spans="3:6" x14ac:dyDescent="0.25">
      <c r="C545" t="s">
        <v>116</v>
      </c>
      <c r="D545">
        <v>2041</v>
      </c>
      <c r="E545" t="s">
        <v>145</v>
      </c>
      <c r="F545">
        <v>104.65</v>
      </c>
    </row>
    <row r="546" spans="3:6" x14ac:dyDescent="0.25">
      <c r="C546" t="s">
        <v>116</v>
      </c>
      <c r="D546">
        <v>2042</v>
      </c>
      <c r="E546" t="s">
        <v>146</v>
      </c>
      <c r="F546">
        <v>1.57</v>
      </c>
    </row>
    <row r="547" spans="3:6" x14ac:dyDescent="0.25">
      <c r="C547" t="s">
        <v>116</v>
      </c>
      <c r="D547">
        <v>2042</v>
      </c>
      <c r="E547" t="s">
        <v>142</v>
      </c>
      <c r="F547">
        <v>413.17</v>
      </c>
    </row>
    <row r="548" spans="3:6" x14ac:dyDescent="0.25">
      <c r="C548" t="s">
        <v>116</v>
      </c>
      <c r="D548">
        <v>2042</v>
      </c>
      <c r="E548" t="s">
        <v>143</v>
      </c>
      <c r="F548">
        <v>609.76</v>
      </c>
    </row>
    <row r="549" spans="3:6" x14ac:dyDescent="0.25">
      <c r="C549" t="s">
        <v>116</v>
      </c>
      <c r="D549">
        <v>2042</v>
      </c>
      <c r="E549" t="s">
        <v>144</v>
      </c>
      <c r="F549">
        <v>288.12</v>
      </c>
    </row>
    <row r="550" spans="3:6" x14ac:dyDescent="0.25">
      <c r="C550" t="s">
        <v>116</v>
      </c>
      <c r="D550">
        <v>2042</v>
      </c>
      <c r="E550" t="s">
        <v>145</v>
      </c>
      <c r="F550">
        <v>107.65</v>
      </c>
    </row>
    <row r="551" spans="3:6" x14ac:dyDescent="0.25">
      <c r="C551" t="s">
        <v>116</v>
      </c>
      <c r="D551">
        <v>2043</v>
      </c>
      <c r="E551" t="s">
        <v>146</v>
      </c>
      <c r="F551">
        <v>1.58</v>
      </c>
    </row>
    <row r="552" spans="3:6" x14ac:dyDescent="0.25">
      <c r="C552" t="s">
        <v>116</v>
      </c>
      <c r="D552">
        <v>2043</v>
      </c>
      <c r="E552" t="s">
        <v>142</v>
      </c>
      <c r="F552">
        <v>418.33</v>
      </c>
    </row>
    <row r="553" spans="3:6" x14ac:dyDescent="0.25">
      <c r="C553" t="s">
        <v>116</v>
      </c>
      <c r="D553">
        <v>2043</v>
      </c>
      <c r="E553" t="s">
        <v>143</v>
      </c>
      <c r="F553">
        <v>620.65</v>
      </c>
    </row>
    <row r="554" spans="3:6" x14ac:dyDescent="0.25">
      <c r="C554" t="s">
        <v>116</v>
      </c>
      <c r="D554">
        <v>2043</v>
      </c>
      <c r="E554" t="s">
        <v>144</v>
      </c>
      <c r="F554">
        <v>288.92</v>
      </c>
    </row>
    <row r="555" spans="3:6" x14ac:dyDescent="0.25">
      <c r="C555" t="s">
        <v>116</v>
      </c>
      <c r="D555">
        <v>2043</v>
      </c>
      <c r="E555" t="s">
        <v>145</v>
      </c>
      <c r="F555">
        <v>110.72</v>
      </c>
    </row>
    <row r="556" spans="3:6" x14ac:dyDescent="0.25">
      <c r="C556" t="s">
        <v>116</v>
      </c>
      <c r="D556">
        <v>2044</v>
      </c>
      <c r="E556" t="s">
        <v>146</v>
      </c>
      <c r="F556">
        <v>1.59</v>
      </c>
    </row>
    <row r="557" spans="3:6" x14ac:dyDescent="0.25">
      <c r="C557" t="s">
        <v>116</v>
      </c>
      <c r="D557">
        <v>2044</v>
      </c>
      <c r="E557" t="s">
        <v>142</v>
      </c>
      <c r="F557">
        <v>423.59</v>
      </c>
    </row>
    <row r="558" spans="3:6" x14ac:dyDescent="0.25">
      <c r="C558" t="s">
        <v>116</v>
      </c>
      <c r="D558">
        <v>2044</v>
      </c>
      <c r="E558" t="s">
        <v>143</v>
      </c>
      <c r="F558">
        <v>631.28</v>
      </c>
    </row>
    <row r="559" spans="3:6" x14ac:dyDescent="0.25">
      <c r="C559" t="s">
        <v>116</v>
      </c>
      <c r="D559">
        <v>2044</v>
      </c>
      <c r="E559" t="s">
        <v>144</v>
      </c>
      <c r="F559">
        <v>289.76</v>
      </c>
    </row>
    <row r="560" spans="3:6" x14ac:dyDescent="0.25">
      <c r="C560" t="s">
        <v>116</v>
      </c>
      <c r="D560">
        <v>2044</v>
      </c>
      <c r="E560" t="s">
        <v>145</v>
      </c>
      <c r="F560">
        <v>113.64</v>
      </c>
    </row>
    <row r="561" spans="3:6" x14ac:dyDescent="0.25">
      <c r="C561" t="s">
        <v>116</v>
      </c>
      <c r="D561">
        <v>2045</v>
      </c>
      <c r="E561" t="s">
        <v>146</v>
      </c>
      <c r="F561">
        <v>1.61</v>
      </c>
    </row>
    <row r="562" spans="3:6" x14ac:dyDescent="0.25">
      <c r="C562" t="s">
        <v>116</v>
      </c>
      <c r="D562">
        <v>2045</v>
      </c>
      <c r="E562" t="s">
        <v>142</v>
      </c>
      <c r="F562">
        <v>429.17</v>
      </c>
    </row>
    <row r="563" spans="3:6" x14ac:dyDescent="0.25">
      <c r="C563" t="s">
        <v>116</v>
      </c>
      <c r="D563">
        <v>2045</v>
      </c>
      <c r="E563" t="s">
        <v>143</v>
      </c>
      <c r="F563">
        <v>640.07000000000005</v>
      </c>
    </row>
    <row r="564" spans="3:6" x14ac:dyDescent="0.25">
      <c r="C564" t="s">
        <v>116</v>
      </c>
      <c r="D564">
        <v>2045</v>
      </c>
      <c r="E564" t="s">
        <v>144</v>
      </c>
      <c r="F564">
        <v>290.66000000000003</v>
      </c>
    </row>
    <row r="565" spans="3:6" x14ac:dyDescent="0.25">
      <c r="C565" t="s">
        <v>116</v>
      </c>
      <c r="D565">
        <v>2045</v>
      </c>
      <c r="E565" t="s">
        <v>145</v>
      </c>
      <c r="F565">
        <v>116.22</v>
      </c>
    </row>
    <row r="566" spans="3:6" x14ac:dyDescent="0.25">
      <c r="C566" t="s">
        <v>116</v>
      </c>
      <c r="D566">
        <v>2046</v>
      </c>
      <c r="E566" t="s">
        <v>146</v>
      </c>
      <c r="F566">
        <v>1.62</v>
      </c>
    </row>
    <row r="567" spans="3:6" x14ac:dyDescent="0.25">
      <c r="C567" t="s">
        <v>116</v>
      </c>
      <c r="D567">
        <v>2046</v>
      </c>
      <c r="E567" t="s">
        <v>142</v>
      </c>
      <c r="F567">
        <v>434</v>
      </c>
    </row>
    <row r="568" spans="3:6" x14ac:dyDescent="0.25">
      <c r="C568" t="s">
        <v>116</v>
      </c>
      <c r="D568">
        <v>2046</v>
      </c>
      <c r="E568" t="s">
        <v>143</v>
      </c>
      <c r="F568">
        <v>649.15</v>
      </c>
    </row>
    <row r="569" spans="3:6" x14ac:dyDescent="0.25">
      <c r="C569" t="s">
        <v>116</v>
      </c>
      <c r="D569">
        <v>2046</v>
      </c>
      <c r="E569" t="s">
        <v>144</v>
      </c>
      <c r="F569">
        <v>291.42</v>
      </c>
    </row>
    <row r="570" spans="3:6" x14ac:dyDescent="0.25">
      <c r="C570" t="s">
        <v>116</v>
      </c>
      <c r="D570">
        <v>2046</v>
      </c>
      <c r="E570" t="s">
        <v>145</v>
      </c>
      <c r="F570">
        <v>118.83</v>
      </c>
    </row>
    <row r="571" spans="3:6" x14ac:dyDescent="0.25">
      <c r="C571" t="s">
        <v>116</v>
      </c>
      <c r="D571">
        <v>2047</v>
      </c>
      <c r="E571" t="s">
        <v>146</v>
      </c>
      <c r="F571">
        <v>1.63</v>
      </c>
    </row>
    <row r="572" spans="3:6" x14ac:dyDescent="0.25">
      <c r="C572" t="s">
        <v>116</v>
      </c>
      <c r="D572">
        <v>2047</v>
      </c>
      <c r="E572" t="s">
        <v>142</v>
      </c>
      <c r="F572">
        <v>438.73</v>
      </c>
    </row>
    <row r="573" spans="3:6" x14ac:dyDescent="0.25">
      <c r="C573" t="s">
        <v>116</v>
      </c>
      <c r="D573">
        <v>2047</v>
      </c>
      <c r="E573" t="s">
        <v>143</v>
      </c>
      <c r="F573">
        <v>657.9</v>
      </c>
    </row>
    <row r="574" spans="3:6" x14ac:dyDescent="0.25">
      <c r="C574" t="s">
        <v>116</v>
      </c>
      <c r="D574">
        <v>2047</v>
      </c>
      <c r="E574" t="s">
        <v>144</v>
      </c>
      <c r="F574">
        <v>292.18</v>
      </c>
    </row>
    <row r="575" spans="3:6" x14ac:dyDescent="0.25">
      <c r="C575" t="s">
        <v>116</v>
      </c>
      <c r="D575">
        <v>2047</v>
      </c>
      <c r="E575" t="s">
        <v>145</v>
      </c>
      <c r="F575">
        <v>121.32</v>
      </c>
    </row>
    <row r="576" spans="3:6" x14ac:dyDescent="0.25">
      <c r="C576" t="s">
        <v>116</v>
      </c>
      <c r="D576">
        <v>2048</v>
      </c>
      <c r="E576" t="s">
        <v>146</v>
      </c>
      <c r="F576">
        <v>1.65</v>
      </c>
    </row>
    <row r="577" spans="3:6" x14ac:dyDescent="0.25">
      <c r="C577" t="s">
        <v>116</v>
      </c>
      <c r="D577">
        <v>2048</v>
      </c>
      <c r="E577" t="s">
        <v>142</v>
      </c>
      <c r="F577">
        <v>443.6</v>
      </c>
    </row>
    <row r="578" spans="3:6" x14ac:dyDescent="0.25">
      <c r="C578" t="s">
        <v>116</v>
      </c>
      <c r="D578">
        <v>2048</v>
      </c>
      <c r="E578" t="s">
        <v>143</v>
      </c>
      <c r="F578">
        <v>668.41</v>
      </c>
    </row>
    <row r="579" spans="3:6" x14ac:dyDescent="0.25">
      <c r="C579" t="s">
        <v>116</v>
      </c>
      <c r="D579">
        <v>2048</v>
      </c>
      <c r="E579" t="s">
        <v>144</v>
      </c>
      <c r="F579">
        <v>292.99</v>
      </c>
    </row>
    <row r="580" spans="3:6" x14ac:dyDescent="0.25">
      <c r="C580" t="s">
        <v>116</v>
      </c>
      <c r="D580">
        <v>2048</v>
      </c>
      <c r="E580" t="s">
        <v>145</v>
      </c>
      <c r="F580">
        <v>123.62</v>
      </c>
    </row>
    <row r="581" spans="3:6" x14ac:dyDescent="0.25">
      <c r="C581" t="s">
        <v>116</v>
      </c>
      <c r="D581">
        <v>2049</v>
      </c>
      <c r="E581" t="s">
        <v>146</v>
      </c>
      <c r="F581">
        <v>1.66</v>
      </c>
    </row>
    <row r="582" spans="3:6" x14ac:dyDescent="0.25">
      <c r="C582" t="s">
        <v>116</v>
      </c>
      <c r="D582">
        <v>2049</v>
      </c>
      <c r="E582" t="s">
        <v>142</v>
      </c>
      <c r="F582">
        <v>448.46</v>
      </c>
    </row>
    <row r="583" spans="3:6" x14ac:dyDescent="0.25">
      <c r="C583" t="s">
        <v>116</v>
      </c>
      <c r="D583">
        <v>2049</v>
      </c>
      <c r="E583" t="s">
        <v>143</v>
      </c>
      <c r="F583">
        <v>677.59</v>
      </c>
    </row>
    <row r="584" spans="3:6" x14ac:dyDescent="0.25">
      <c r="C584" t="s">
        <v>116</v>
      </c>
      <c r="D584">
        <v>2049</v>
      </c>
      <c r="E584" t="s">
        <v>144</v>
      </c>
      <c r="F584">
        <v>293.77</v>
      </c>
    </row>
    <row r="585" spans="3:6" x14ac:dyDescent="0.25">
      <c r="C585" t="s">
        <v>116</v>
      </c>
      <c r="D585">
        <v>2049</v>
      </c>
      <c r="E585" t="s">
        <v>145</v>
      </c>
      <c r="F585">
        <v>125.76</v>
      </c>
    </row>
    <row r="586" spans="3:6" x14ac:dyDescent="0.25">
      <c r="C586" t="s">
        <v>116</v>
      </c>
      <c r="D586">
        <v>2050</v>
      </c>
      <c r="E586" t="s">
        <v>146</v>
      </c>
      <c r="F586">
        <v>1.67</v>
      </c>
    </row>
    <row r="587" spans="3:6" x14ac:dyDescent="0.25">
      <c r="C587" t="s">
        <v>116</v>
      </c>
      <c r="D587">
        <v>2050</v>
      </c>
      <c r="E587" t="s">
        <v>142</v>
      </c>
      <c r="F587">
        <v>453.46</v>
      </c>
    </row>
    <row r="588" spans="3:6" x14ac:dyDescent="0.25">
      <c r="C588" t="s">
        <v>116</v>
      </c>
      <c r="D588">
        <v>2050</v>
      </c>
      <c r="E588" t="s">
        <v>143</v>
      </c>
      <c r="F588">
        <v>686.71</v>
      </c>
    </row>
    <row r="589" spans="3:6" x14ac:dyDescent="0.25">
      <c r="C589" t="s">
        <v>116</v>
      </c>
      <c r="D589">
        <v>2050</v>
      </c>
      <c r="E589" t="s">
        <v>144</v>
      </c>
      <c r="F589">
        <v>294.56</v>
      </c>
    </row>
    <row r="590" spans="3:6" x14ac:dyDescent="0.25">
      <c r="C590" t="s">
        <v>116</v>
      </c>
      <c r="D590">
        <v>2050</v>
      </c>
      <c r="E590" t="s">
        <v>145</v>
      </c>
      <c r="F590">
        <v>127.71</v>
      </c>
    </row>
    <row r="591" spans="3:6" x14ac:dyDescent="0.25">
      <c r="C591" t="s">
        <v>117</v>
      </c>
      <c r="D591">
        <v>2010</v>
      </c>
      <c r="E591" t="s">
        <v>142</v>
      </c>
      <c r="F591">
        <v>423.4</v>
      </c>
    </row>
    <row r="592" spans="3:6" x14ac:dyDescent="0.25">
      <c r="C592" t="s">
        <v>117</v>
      </c>
      <c r="D592">
        <v>2010</v>
      </c>
      <c r="E592" t="s">
        <v>143</v>
      </c>
      <c r="F592">
        <v>694.26</v>
      </c>
    </row>
    <row r="593" spans="3:6" x14ac:dyDescent="0.25">
      <c r="C593" t="s">
        <v>117</v>
      </c>
      <c r="D593">
        <v>2010</v>
      </c>
      <c r="E593" t="s">
        <v>144</v>
      </c>
      <c r="F593">
        <v>430.41</v>
      </c>
    </row>
    <row r="594" spans="3:6" x14ac:dyDescent="0.25">
      <c r="C594" t="s">
        <v>117</v>
      </c>
      <c r="D594">
        <v>2010</v>
      </c>
      <c r="E594" t="s">
        <v>145</v>
      </c>
      <c r="F594">
        <v>6.6</v>
      </c>
    </row>
    <row r="595" spans="3:6" x14ac:dyDescent="0.25">
      <c r="C595" t="s">
        <v>117</v>
      </c>
      <c r="D595">
        <v>2011</v>
      </c>
      <c r="E595" t="s">
        <v>142</v>
      </c>
      <c r="F595">
        <v>446.96</v>
      </c>
    </row>
    <row r="596" spans="3:6" x14ac:dyDescent="0.25">
      <c r="C596" t="s">
        <v>117</v>
      </c>
      <c r="D596">
        <v>2011</v>
      </c>
      <c r="E596" t="s">
        <v>143</v>
      </c>
      <c r="F596">
        <v>705.65</v>
      </c>
    </row>
    <row r="597" spans="3:6" x14ac:dyDescent="0.25">
      <c r="C597" t="s">
        <v>117</v>
      </c>
      <c r="D597">
        <v>2011</v>
      </c>
      <c r="E597" t="s">
        <v>144</v>
      </c>
      <c r="F597">
        <v>445.94</v>
      </c>
    </row>
    <row r="598" spans="3:6" x14ac:dyDescent="0.25">
      <c r="C598" t="s">
        <v>117</v>
      </c>
      <c r="D598">
        <v>2011</v>
      </c>
      <c r="E598" t="s">
        <v>145</v>
      </c>
      <c r="F598">
        <v>10.14</v>
      </c>
    </row>
    <row r="599" spans="3:6" x14ac:dyDescent="0.25">
      <c r="C599" t="s">
        <v>117</v>
      </c>
      <c r="D599">
        <v>2012</v>
      </c>
      <c r="E599" t="s">
        <v>142</v>
      </c>
      <c r="F599">
        <v>474.77</v>
      </c>
    </row>
    <row r="600" spans="3:6" x14ac:dyDescent="0.25">
      <c r="C600" t="s">
        <v>117</v>
      </c>
      <c r="D600">
        <v>2012</v>
      </c>
      <c r="E600" t="s">
        <v>143</v>
      </c>
      <c r="F600">
        <v>714.95</v>
      </c>
    </row>
    <row r="601" spans="3:6" x14ac:dyDescent="0.25">
      <c r="C601" t="s">
        <v>117</v>
      </c>
      <c r="D601">
        <v>2012</v>
      </c>
      <c r="E601" t="s">
        <v>144</v>
      </c>
      <c r="F601">
        <v>466.97</v>
      </c>
    </row>
    <row r="602" spans="3:6" x14ac:dyDescent="0.25">
      <c r="C602" t="s">
        <v>117</v>
      </c>
      <c r="D602">
        <v>2012</v>
      </c>
      <c r="E602" t="s">
        <v>145</v>
      </c>
      <c r="F602">
        <v>11.03</v>
      </c>
    </row>
    <row r="603" spans="3:6" x14ac:dyDescent="0.25">
      <c r="C603" t="s">
        <v>117</v>
      </c>
      <c r="D603">
        <v>2013</v>
      </c>
      <c r="E603" t="s">
        <v>142</v>
      </c>
      <c r="F603">
        <v>503.81</v>
      </c>
    </row>
    <row r="604" spans="3:6" x14ac:dyDescent="0.25">
      <c r="C604" t="s">
        <v>117</v>
      </c>
      <c r="D604">
        <v>2013</v>
      </c>
      <c r="E604" t="s">
        <v>143</v>
      </c>
      <c r="F604">
        <v>707.41</v>
      </c>
    </row>
    <row r="605" spans="3:6" x14ac:dyDescent="0.25">
      <c r="C605" t="s">
        <v>117</v>
      </c>
      <c r="D605">
        <v>2013</v>
      </c>
      <c r="E605" t="s">
        <v>144</v>
      </c>
      <c r="F605">
        <v>500.46</v>
      </c>
    </row>
    <row r="606" spans="3:6" x14ac:dyDescent="0.25">
      <c r="C606" t="s">
        <v>117</v>
      </c>
      <c r="D606">
        <v>2013</v>
      </c>
      <c r="E606" t="s">
        <v>145</v>
      </c>
      <c r="F606">
        <v>10.39</v>
      </c>
    </row>
    <row r="607" spans="3:6" x14ac:dyDescent="0.25">
      <c r="C607" t="s">
        <v>117</v>
      </c>
      <c r="D607">
        <v>2014</v>
      </c>
      <c r="E607" t="s">
        <v>142</v>
      </c>
      <c r="F607">
        <v>539.41999999999996</v>
      </c>
    </row>
    <row r="608" spans="3:6" x14ac:dyDescent="0.25">
      <c r="C608" t="s">
        <v>117</v>
      </c>
      <c r="D608">
        <v>2014</v>
      </c>
      <c r="E608" t="s">
        <v>143</v>
      </c>
      <c r="F608">
        <v>683.38</v>
      </c>
    </row>
    <row r="609" spans="3:6" x14ac:dyDescent="0.25">
      <c r="C609" t="s">
        <v>117</v>
      </c>
      <c r="D609">
        <v>2014</v>
      </c>
      <c r="E609" t="s">
        <v>144</v>
      </c>
      <c r="F609">
        <v>534.48</v>
      </c>
    </row>
    <row r="610" spans="3:6" x14ac:dyDescent="0.25">
      <c r="C610" t="s">
        <v>117</v>
      </c>
      <c r="D610">
        <v>2014</v>
      </c>
      <c r="E610" t="s">
        <v>145</v>
      </c>
      <c r="F610">
        <v>11.3</v>
      </c>
    </row>
    <row r="611" spans="3:6" x14ac:dyDescent="0.25">
      <c r="C611" t="s">
        <v>117</v>
      </c>
      <c r="D611">
        <v>2015</v>
      </c>
      <c r="E611" t="s">
        <v>142</v>
      </c>
      <c r="F611">
        <v>547.65</v>
      </c>
    </row>
    <row r="612" spans="3:6" x14ac:dyDescent="0.25">
      <c r="C612" t="s">
        <v>117</v>
      </c>
      <c r="D612">
        <v>2015</v>
      </c>
      <c r="E612" t="s">
        <v>143</v>
      </c>
      <c r="F612">
        <v>644.94000000000005</v>
      </c>
    </row>
    <row r="613" spans="3:6" x14ac:dyDescent="0.25">
      <c r="C613" t="s">
        <v>117</v>
      </c>
      <c r="D613">
        <v>2015</v>
      </c>
      <c r="E613" t="s">
        <v>144</v>
      </c>
      <c r="F613">
        <v>536.35</v>
      </c>
    </row>
    <row r="614" spans="3:6" x14ac:dyDescent="0.25">
      <c r="C614" t="s">
        <v>117</v>
      </c>
      <c r="D614">
        <v>2015</v>
      </c>
      <c r="E614" t="s">
        <v>145</v>
      </c>
      <c r="F614">
        <v>11.31</v>
      </c>
    </row>
    <row r="615" spans="3:6" x14ac:dyDescent="0.25">
      <c r="C615" t="s">
        <v>117</v>
      </c>
      <c r="D615">
        <v>2016</v>
      </c>
      <c r="E615" t="s">
        <v>142</v>
      </c>
      <c r="F615">
        <v>544.70000000000005</v>
      </c>
    </row>
    <row r="616" spans="3:6" x14ac:dyDescent="0.25">
      <c r="C616" t="s">
        <v>117</v>
      </c>
      <c r="D616">
        <v>2016</v>
      </c>
      <c r="E616" t="s">
        <v>143</v>
      </c>
      <c r="F616">
        <v>639.11</v>
      </c>
    </row>
    <row r="617" spans="3:6" x14ac:dyDescent="0.25">
      <c r="C617" t="s">
        <v>117</v>
      </c>
      <c r="D617">
        <v>2016</v>
      </c>
      <c r="E617" t="s">
        <v>144</v>
      </c>
      <c r="F617">
        <v>547.38</v>
      </c>
    </row>
    <row r="618" spans="3:6" x14ac:dyDescent="0.25">
      <c r="C618" t="s">
        <v>117</v>
      </c>
      <c r="D618">
        <v>2016</v>
      </c>
      <c r="E618" t="s">
        <v>145</v>
      </c>
      <c r="F618">
        <v>10.44</v>
      </c>
    </row>
    <row r="619" spans="3:6" x14ac:dyDescent="0.25">
      <c r="C619" t="s">
        <v>117</v>
      </c>
      <c r="D619">
        <v>2017</v>
      </c>
      <c r="E619" t="s">
        <v>142</v>
      </c>
      <c r="F619">
        <v>547.6</v>
      </c>
    </row>
    <row r="620" spans="3:6" x14ac:dyDescent="0.25">
      <c r="C620" t="s">
        <v>117</v>
      </c>
      <c r="D620">
        <v>2017</v>
      </c>
      <c r="E620" t="s">
        <v>143</v>
      </c>
      <c r="F620">
        <v>653.21</v>
      </c>
    </row>
    <row r="621" spans="3:6" x14ac:dyDescent="0.25">
      <c r="C621" t="s">
        <v>117</v>
      </c>
      <c r="D621">
        <v>2017</v>
      </c>
      <c r="E621" t="s">
        <v>144</v>
      </c>
      <c r="F621">
        <v>551.41999999999996</v>
      </c>
    </row>
    <row r="622" spans="3:6" x14ac:dyDescent="0.25">
      <c r="C622" t="s">
        <v>117</v>
      </c>
      <c r="D622">
        <v>2017</v>
      </c>
      <c r="E622" t="s">
        <v>145</v>
      </c>
      <c r="F622">
        <v>10.73</v>
      </c>
    </row>
    <row r="623" spans="3:6" x14ac:dyDescent="0.25">
      <c r="C623" t="s">
        <v>117</v>
      </c>
      <c r="D623">
        <v>2018</v>
      </c>
      <c r="E623" t="s">
        <v>142</v>
      </c>
      <c r="F623">
        <v>560.95000000000005</v>
      </c>
    </row>
    <row r="624" spans="3:6" x14ac:dyDescent="0.25">
      <c r="C624" t="s">
        <v>117</v>
      </c>
      <c r="D624">
        <v>2018</v>
      </c>
      <c r="E624" t="s">
        <v>143</v>
      </c>
      <c r="F624">
        <v>662.51</v>
      </c>
    </row>
    <row r="625" spans="3:6" x14ac:dyDescent="0.25">
      <c r="C625" t="s">
        <v>117</v>
      </c>
      <c r="D625">
        <v>2018</v>
      </c>
      <c r="E625" t="s">
        <v>144</v>
      </c>
      <c r="F625">
        <v>568.48</v>
      </c>
    </row>
    <row r="626" spans="3:6" x14ac:dyDescent="0.25">
      <c r="C626" t="s">
        <v>117</v>
      </c>
      <c r="D626">
        <v>2018</v>
      </c>
      <c r="E626" t="s">
        <v>145</v>
      </c>
      <c r="F626">
        <v>11.71</v>
      </c>
    </row>
    <row r="627" spans="3:6" x14ac:dyDescent="0.25">
      <c r="C627" t="s">
        <v>117</v>
      </c>
      <c r="D627">
        <v>2019</v>
      </c>
      <c r="E627" t="s">
        <v>142</v>
      </c>
      <c r="F627">
        <v>568.24</v>
      </c>
    </row>
    <row r="628" spans="3:6" x14ac:dyDescent="0.25">
      <c r="C628" t="s">
        <v>117</v>
      </c>
      <c r="D628">
        <v>2019</v>
      </c>
      <c r="E628" t="s">
        <v>143</v>
      </c>
      <c r="F628">
        <v>671.69</v>
      </c>
    </row>
    <row r="629" spans="3:6" x14ac:dyDescent="0.25">
      <c r="C629" t="s">
        <v>117</v>
      </c>
      <c r="D629">
        <v>2019</v>
      </c>
      <c r="E629" t="s">
        <v>144</v>
      </c>
      <c r="F629">
        <v>575.80999999999995</v>
      </c>
    </row>
    <row r="630" spans="3:6" x14ac:dyDescent="0.25">
      <c r="C630" t="s">
        <v>117</v>
      </c>
      <c r="D630">
        <v>2019</v>
      </c>
      <c r="E630" t="s">
        <v>145</v>
      </c>
      <c r="F630">
        <v>27.75</v>
      </c>
    </row>
    <row r="631" spans="3:6" x14ac:dyDescent="0.25">
      <c r="C631" t="s">
        <v>117</v>
      </c>
      <c r="D631">
        <v>2020</v>
      </c>
      <c r="E631" t="s">
        <v>142</v>
      </c>
      <c r="F631">
        <v>546.51</v>
      </c>
    </row>
    <row r="632" spans="3:6" x14ac:dyDescent="0.25">
      <c r="C632" t="s">
        <v>117</v>
      </c>
      <c r="D632">
        <v>2020</v>
      </c>
      <c r="E632" t="s">
        <v>143</v>
      </c>
      <c r="F632">
        <v>672.86</v>
      </c>
    </row>
    <row r="633" spans="3:6" x14ac:dyDescent="0.25">
      <c r="C633" t="s">
        <v>117</v>
      </c>
      <c r="D633">
        <v>2020</v>
      </c>
      <c r="E633" t="s">
        <v>144</v>
      </c>
      <c r="F633">
        <v>562.9</v>
      </c>
    </row>
    <row r="634" spans="3:6" x14ac:dyDescent="0.25">
      <c r="C634" t="s">
        <v>117</v>
      </c>
      <c r="D634">
        <v>2020</v>
      </c>
      <c r="E634" t="s">
        <v>145</v>
      </c>
      <c r="F634">
        <v>27.55</v>
      </c>
    </row>
    <row r="635" spans="3:6" x14ac:dyDescent="0.25">
      <c r="C635" t="s">
        <v>117</v>
      </c>
      <c r="D635">
        <v>2021</v>
      </c>
      <c r="E635" t="s">
        <v>146</v>
      </c>
      <c r="F635">
        <v>0.17</v>
      </c>
    </row>
    <row r="636" spans="3:6" x14ac:dyDescent="0.25">
      <c r="C636" t="s">
        <v>117</v>
      </c>
      <c r="D636">
        <v>2021</v>
      </c>
      <c r="E636" t="s">
        <v>142</v>
      </c>
      <c r="F636">
        <v>560.02</v>
      </c>
    </row>
    <row r="637" spans="3:6" x14ac:dyDescent="0.25">
      <c r="C637" t="s">
        <v>117</v>
      </c>
      <c r="D637">
        <v>2021</v>
      </c>
      <c r="E637" t="s">
        <v>143</v>
      </c>
      <c r="F637">
        <v>695.23</v>
      </c>
    </row>
    <row r="638" spans="3:6" x14ac:dyDescent="0.25">
      <c r="C638" t="s">
        <v>117</v>
      </c>
      <c r="D638">
        <v>2021</v>
      </c>
      <c r="E638" t="s">
        <v>144</v>
      </c>
      <c r="F638">
        <v>548.02</v>
      </c>
    </row>
    <row r="639" spans="3:6" x14ac:dyDescent="0.25">
      <c r="C639" t="s">
        <v>117</v>
      </c>
      <c r="D639">
        <v>2021</v>
      </c>
      <c r="E639" t="s">
        <v>145</v>
      </c>
      <c r="F639">
        <v>28.61</v>
      </c>
    </row>
    <row r="640" spans="3:6" x14ac:dyDescent="0.25">
      <c r="C640" t="s">
        <v>117</v>
      </c>
      <c r="D640">
        <v>2022</v>
      </c>
      <c r="E640" t="s">
        <v>146</v>
      </c>
      <c r="F640">
        <v>0.24</v>
      </c>
    </row>
    <row r="641" spans="3:6" x14ac:dyDescent="0.25">
      <c r="C641" t="s">
        <v>117</v>
      </c>
      <c r="D641">
        <v>2022</v>
      </c>
      <c r="E641" t="s">
        <v>142</v>
      </c>
      <c r="F641">
        <v>570.35</v>
      </c>
    </row>
    <row r="642" spans="3:6" x14ac:dyDescent="0.25">
      <c r="C642" t="s">
        <v>117</v>
      </c>
      <c r="D642">
        <v>2022</v>
      </c>
      <c r="E642" t="s">
        <v>143</v>
      </c>
      <c r="F642">
        <v>710.23</v>
      </c>
    </row>
    <row r="643" spans="3:6" x14ac:dyDescent="0.25">
      <c r="C643" t="s">
        <v>117</v>
      </c>
      <c r="D643">
        <v>2022</v>
      </c>
      <c r="E643" t="s">
        <v>144</v>
      </c>
      <c r="F643">
        <v>570</v>
      </c>
    </row>
    <row r="644" spans="3:6" x14ac:dyDescent="0.25">
      <c r="C644" t="s">
        <v>117</v>
      </c>
      <c r="D644">
        <v>2022</v>
      </c>
      <c r="E644" t="s">
        <v>145</v>
      </c>
      <c r="F644">
        <v>29.67</v>
      </c>
    </row>
    <row r="645" spans="3:6" x14ac:dyDescent="0.25">
      <c r="C645" t="s">
        <v>117</v>
      </c>
      <c r="D645">
        <v>2023</v>
      </c>
      <c r="E645" t="s">
        <v>146</v>
      </c>
      <c r="F645">
        <v>0.31</v>
      </c>
    </row>
    <row r="646" spans="3:6" x14ac:dyDescent="0.25">
      <c r="C646" t="s">
        <v>117</v>
      </c>
      <c r="D646">
        <v>2023</v>
      </c>
      <c r="E646" t="s">
        <v>142</v>
      </c>
      <c r="F646">
        <v>579.27</v>
      </c>
    </row>
    <row r="647" spans="3:6" x14ac:dyDescent="0.25">
      <c r="C647" t="s">
        <v>117</v>
      </c>
      <c r="D647">
        <v>2023</v>
      </c>
      <c r="E647" t="s">
        <v>143</v>
      </c>
      <c r="F647">
        <v>724.67</v>
      </c>
    </row>
    <row r="648" spans="3:6" x14ac:dyDescent="0.25">
      <c r="C648" t="s">
        <v>117</v>
      </c>
      <c r="D648">
        <v>2023</v>
      </c>
      <c r="E648" t="s">
        <v>144</v>
      </c>
      <c r="F648">
        <v>578.61</v>
      </c>
    </row>
    <row r="649" spans="3:6" x14ac:dyDescent="0.25">
      <c r="C649" t="s">
        <v>117</v>
      </c>
      <c r="D649">
        <v>2023</v>
      </c>
      <c r="E649" t="s">
        <v>145</v>
      </c>
      <c r="F649">
        <v>30.47</v>
      </c>
    </row>
    <row r="650" spans="3:6" x14ac:dyDescent="0.25">
      <c r="C650" t="s">
        <v>117</v>
      </c>
      <c r="D650">
        <v>2024</v>
      </c>
      <c r="E650" t="s">
        <v>146</v>
      </c>
      <c r="F650">
        <v>0.39</v>
      </c>
    </row>
    <row r="651" spans="3:6" x14ac:dyDescent="0.25">
      <c r="C651" t="s">
        <v>117</v>
      </c>
      <c r="D651">
        <v>2024</v>
      </c>
      <c r="E651" t="s">
        <v>142</v>
      </c>
      <c r="F651">
        <v>588.17999999999995</v>
      </c>
    </row>
    <row r="652" spans="3:6" x14ac:dyDescent="0.25">
      <c r="C652" t="s">
        <v>117</v>
      </c>
      <c r="D652">
        <v>2024</v>
      </c>
      <c r="E652" t="s">
        <v>143</v>
      </c>
      <c r="F652">
        <v>737.67</v>
      </c>
    </row>
    <row r="653" spans="3:6" x14ac:dyDescent="0.25">
      <c r="C653" t="s">
        <v>117</v>
      </c>
      <c r="D653">
        <v>2024</v>
      </c>
      <c r="E653" t="s">
        <v>144</v>
      </c>
      <c r="F653">
        <v>588.54999999999995</v>
      </c>
    </row>
    <row r="654" spans="3:6" x14ac:dyDescent="0.25">
      <c r="C654" t="s">
        <v>117</v>
      </c>
      <c r="D654">
        <v>2024</v>
      </c>
      <c r="E654" t="s">
        <v>145</v>
      </c>
      <c r="F654">
        <v>31.05</v>
      </c>
    </row>
    <row r="655" spans="3:6" x14ac:dyDescent="0.25">
      <c r="C655" t="s">
        <v>117</v>
      </c>
      <c r="D655">
        <v>2025</v>
      </c>
      <c r="E655" t="s">
        <v>146</v>
      </c>
      <c r="F655">
        <v>0.47</v>
      </c>
    </row>
    <row r="656" spans="3:6" x14ac:dyDescent="0.25">
      <c r="C656" t="s">
        <v>117</v>
      </c>
      <c r="D656">
        <v>2025</v>
      </c>
      <c r="E656" t="s">
        <v>142</v>
      </c>
      <c r="F656">
        <v>596.94000000000005</v>
      </c>
    </row>
    <row r="657" spans="3:6" x14ac:dyDescent="0.25">
      <c r="C657" t="s">
        <v>117</v>
      </c>
      <c r="D657">
        <v>2025</v>
      </c>
      <c r="E657" t="s">
        <v>143</v>
      </c>
      <c r="F657">
        <v>750.15</v>
      </c>
    </row>
    <row r="658" spans="3:6" x14ac:dyDescent="0.25">
      <c r="C658" t="s">
        <v>117</v>
      </c>
      <c r="D658">
        <v>2025</v>
      </c>
      <c r="E658" t="s">
        <v>144</v>
      </c>
      <c r="F658">
        <v>600.41999999999996</v>
      </c>
    </row>
    <row r="659" spans="3:6" x14ac:dyDescent="0.25">
      <c r="C659" t="s">
        <v>117</v>
      </c>
      <c r="D659">
        <v>2025</v>
      </c>
      <c r="E659" t="s">
        <v>145</v>
      </c>
      <c r="F659">
        <v>31.57</v>
      </c>
    </row>
    <row r="660" spans="3:6" x14ac:dyDescent="0.25">
      <c r="C660" t="s">
        <v>117</v>
      </c>
      <c r="D660">
        <v>2026</v>
      </c>
      <c r="E660" t="s">
        <v>146</v>
      </c>
      <c r="F660">
        <v>0.55000000000000004</v>
      </c>
    </row>
    <row r="661" spans="3:6" x14ac:dyDescent="0.25">
      <c r="C661" t="s">
        <v>117</v>
      </c>
      <c r="D661">
        <v>2026</v>
      </c>
      <c r="E661" t="s">
        <v>142</v>
      </c>
      <c r="F661">
        <v>604.02</v>
      </c>
    </row>
    <row r="662" spans="3:6" x14ac:dyDescent="0.25">
      <c r="C662" t="s">
        <v>117</v>
      </c>
      <c r="D662">
        <v>2026</v>
      </c>
      <c r="E662" t="s">
        <v>143</v>
      </c>
      <c r="F662">
        <v>762.88</v>
      </c>
    </row>
    <row r="663" spans="3:6" x14ac:dyDescent="0.25">
      <c r="C663" t="s">
        <v>117</v>
      </c>
      <c r="D663">
        <v>2026</v>
      </c>
      <c r="E663" t="s">
        <v>144</v>
      </c>
      <c r="F663">
        <v>610.46</v>
      </c>
    </row>
    <row r="664" spans="3:6" x14ac:dyDescent="0.25">
      <c r="C664" t="s">
        <v>117</v>
      </c>
      <c r="D664">
        <v>2026</v>
      </c>
      <c r="E664" t="s">
        <v>145</v>
      </c>
      <c r="F664">
        <v>32.06</v>
      </c>
    </row>
    <row r="665" spans="3:6" x14ac:dyDescent="0.25">
      <c r="C665" t="s">
        <v>117</v>
      </c>
      <c r="D665">
        <v>2027</v>
      </c>
      <c r="E665" t="s">
        <v>146</v>
      </c>
      <c r="F665">
        <v>0.62</v>
      </c>
    </row>
    <row r="666" spans="3:6" x14ac:dyDescent="0.25">
      <c r="C666" t="s">
        <v>117</v>
      </c>
      <c r="D666">
        <v>2027</v>
      </c>
      <c r="E666" t="s">
        <v>142</v>
      </c>
      <c r="F666">
        <v>610.71</v>
      </c>
    </row>
    <row r="667" spans="3:6" x14ac:dyDescent="0.25">
      <c r="C667" t="s">
        <v>117</v>
      </c>
      <c r="D667">
        <v>2027</v>
      </c>
      <c r="E667" t="s">
        <v>143</v>
      </c>
      <c r="F667">
        <v>774.87</v>
      </c>
    </row>
    <row r="668" spans="3:6" x14ac:dyDescent="0.25">
      <c r="C668" t="s">
        <v>117</v>
      </c>
      <c r="D668">
        <v>2027</v>
      </c>
      <c r="E668" t="s">
        <v>144</v>
      </c>
      <c r="F668">
        <v>620.16</v>
      </c>
    </row>
    <row r="669" spans="3:6" x14ac:dyDescent="0.25">
      <c r="C669" t="s">
        <v>117</v>
      </c>
      <c r="D669">
        <v>2027</v>
      </c>
      <c r="E669" t="s">
        <v>145</v>
      </c>
      <c r="F669">
        <v>32.6</v>
      </c>
    </row>
    <row r="670" spans="3:6" x14ac:dyDescent="0.25">
      <c r="C670" t="s">
        <v>117</v>
      </c>
      <c r="D670">
        <v>2028</v>
      </c>
      <c r="E670" t="s">
        <v>146</v>
      </c>
      <c r="F670">
        <v>0.69</v>
      </c>
    </row>
    <row r="671" spans="3:6" x14ac:dyDescent="0.25">
      <c r="C671" t="s">
        <v>117</v>
      </c>
      <c r="D671">
        <v>2028</v>
      </c>
      <c r="E671" t="s">
        <v>142</v>
      </c>
      <c r="F671">
        <v>616.86</v>
      </c>
    </row>
    <row r="672" spans="3:6" x14ac:dyDescent="0.25">
      <c r="C672" t="s">
        <v>117</v>
      </c>
      <c r="D672">
        <v>2028</v>
      </c>
      <c r="E672" t="s">
        <v>143</v>
      </c>
      <c r="F672">
        <v>785.52</v>
      </c>
    </row>
    <row r="673" spans="3:6" x14ac:dyDescent="0.25">
      <c r="C673" t="s">
        <v>117</v>
      </c>
      <c r="D673">
        <v>2028</v>
      </c>
      <c r="E673" t="s">
        <v>144</v>
      </c>
      <c r="F673">
        <v>629.54</v>
      </c>
    </row>
    <row r="674" spans="3:6" x14ac:dyDescent="0.25">
      <c r="C674" t="s">
        <v>117</v>
      </c>
      <c r="D674">
        <v>2028</v>
      </c>
      <c r="E674" t="s">
        <v>145</v>
      </c>
      <c r="F674">
        <v>33.07</v>
      </c>
    </row>
    <row r="675" spans="3:6" x14ac:dyDescent="0.25">
      <c r="C675" t="s">
        <v>117</v>
      </c>
      <c r="D675">
        <v>2029</v>
      </c>
      <c r="E675" t="s">
        <v>146</v>
      </c>
      <c r="F675">
        <v>0.74</v>
      </c>
    </row>
    <row r="676" spans="3:6" x14ac:dyDescent="0.25">
      <c r="C676" t="s">
        <v>117</v>
      </c>
      <c r="D676">
        <v>2029</v>
      </c>
      <c r="E676" t="s">
        <v>142</v>
      </c>
      <c r="F676">
        <v>622.77</v>
      </c>
    </row>
    <row r="677" spans="3:6" x14ac:dyDescent="0.25">
      <c r="C677" t="s">
        <v>117</v>
      </c>
      <c r="D677">
        <v>2029</v>
      </c>
      <c r="E677" t="s">
        <v>143</v>
      </c>
      <c r="F677">
        <v>795.13</v>
      </c>
    </row>
    <row r="678" spans="3:6" x14ac:dyDescent="0.25">
      <c r="C678" t="s">
        <v>117</v>
      </c>
      <c r="D678">
        <v>2029</v>
      </c>
      <c r="E678" t="s">
        <v>144</v>
      </c>
      <c r="F678">
        <v>638.73</v>
      </c>
    </row>
    <row r="679" spans="3:6" x14ac:dyDescent="0.25">
      <c r="C679" t="s">
        <v>117</v>
      </c>
      <c r="D679">
        <v>2029</v>
      </c>
      <c r="E679" t="s">
        <v>145</v>
      </c>
      <c r="F679">
        <v>33.64</v>
      </c>
    </row>
    <row r="680" spans="3:6" x14ac:dyDescent="0.25">
      <c r="C680" t="s">
        <v>117</v>
      </c>
      <c r="D680">
        <v>2030</v>
      </c>
      <c r="E680" t="s">
        <v>146</v>
      </c>
      <c r="F680">
        <v>0.8</v>
      </c>
    </row>
    <row r="681" spans="3:6" x14ac:dyDescent="0.25">
      <c r="C681" t="s">
        <v>117</v>
      </c>
      <c r="D681">
        <v>2030</v>
      </c>
      <c r="E681" t="s">
        <v>142</v>
      </c>
      <c r="F681">
        <v>628.85</v>
      </c>
    </row>
    <row r="682" spans="3:6" x14ac:dyDescent="0.25">
      <c r="C682" t="s">
        <v>117</v>
      </c>
      <c r="D682">
        <v>2030</v>
      </c>
      <c r="E682" t="s">
        <v>143</v>
      </c>
      <c r="F682">
        <v>804.01</v>
      </c>
    </row>
    <row r="683" spans="3:6" x14ac:dyDescent="0.25">
      <c r="C683" t="s">
        <v>117</v>
      </c>
      <c r="D683">
        <v>2030</v>
      </c>
      <c r="E683" t="s">
        <v>144</v>
      </c>
      <c r="F683">
        <v>647.88</v>
      </c>
    </row>
    <row r="684" spans="3:6" x14ac:dyDescent="0.25">
      <c r="C684" t="s">
        <v>117</v>
      </c>
      <c r="D684">
        <v>2030</v>
      </c>
      <c r="E684" t="s">
        <v>145</v>
      </c>
      <c r="F684">
        <v>34.200000000000003</v>
      </c>
    </row>
    <row r="685" spans="3:6" x14ac:dyDescent="0.25">
      <c r="C685" t="s">
        <v>117</v>
      </c>
      <c r="D685">
        <v>2031</v>
      </c>
      <c r="E685" t="s">
        <v>146</v>
      </c>
      <c r="F685">
        <v>0.86</v>
      </c>
    </row>
    <row r="686" spans="3:6" x14ac:dyDescent="0.25">
      <c r="C686" t="s">
        <v>117</v>
      </c>
      <c r="D686">
        <v>2031</v>
      </c>
      <c r="E686" t="s">
        <v>142</v>
      </c>
      <c r="F686">
        <v>639.45000000000005</v>
      </c>
    </row>
    <row r="687" spans="3:6" x14ac:dyDescent="0.25">
      <c r="C687" t="s">
        <v>117</v>
      </c>
      <c r="D687">
        <v>2031</v>
      </c>
      <c r="E687" t="s">
        <v>143</v>
      </c>
      <c r="F687">
        <v>811.57</v>
      </c>
    </row>
    <row r="688" spans="3:6" x14ac:dyDescent="0.25">
      <c r="C688" t="s">
        <v>117</v>
      </c>
      <c r="D688">
        <v>2031</v>
      </c>
      <c r="E688" t="s">
        <v>144</v>
      </c>
      <c r="F688">
        <v>660.24</v>
      </c>
    </row>
    <row r="689" spans="3:6" x14ac:dyDescent="0.25">
      <c r="C689" t="s">
        <v>117</v>
      </c>
      <c r="D689">
        <v>2031</v>
      </c>
      <c r="E689" t="s">
        <v>145</v>
      </c>
      <c r="F689">
        <v>34.979999999999997</v>
      </c>
    </row>
    <row r="690" spans="3:6" x14ac:dyDescent="0.25">
      <c r="C690" t="s">
        <v>117</v>
      </c>
      <c r="D690">
        <v>2032</v>
      </c>
      <c r="E690" t="s">
        <v>146</v>
      </c>
      <c r="F690">
        <v>0.92</v>
      </c>
    </row>
    <row r="691" spans="3:6" x14ac:dyDescent="0.25">
      <c r="C691" t="s">
        <v>117</v>
      </c>
      <c r="D691">
        <v>2032</v>
      </c>
      <c r="E691" t="s">
        <v>142</v>
      </c>
      <c r="F691">
        <v>649.91</v>
      </c>
    </row>
    <row r="692" spans="3:6" x14ac:dyDescent="0.25">
      <c r="C692" t="s">
        <v>117</v>
      </c>
      <c r="D692">
        <v>2032</v>
      </c>
      <c r="E692" t="s">
        <v>143</v>
      </c>
      <c r="F692">
        <v>819.17</v>
      </c>
    </row>
    <row r="693" spans="3:6" x14ac:dyDescent="0.25">
      <c r="C693" t="s">
        <v>117</v>
      </c>
      <c r="D693">
        <v>2032</v>
      </c>
      <c r="E693" t="s">
        <v>144</v>
      </c>
      <c r="F693">
        <v>672.65</v>
      </c>
    </row>
    <row r="694" spans="3:6" x14ac:dyDescent="0.25">
      <c r="C694" t="s">
        <v>117</v>
      </c>
      <c r="D694">
        <v>2032</v>
      </c>
      <c r="E694" t="s">
        <v>145</v>
      </c>
      <c r="F694">
        <v>35.76</v>
      </c>
    </row>
    <row r="695" spans="3:6" x14ac:dyDescent="0.25">
      <c r="C695" t="s">
        <v>117</v>
      </c>
      <c r="D695">
        <v>2033</v>
      </c>
      <c r="E695" t="s">
        <v>146</v>
      </c>
      <c r="F695">
        <v>0.96</v>
      </c>
    </row>
    <row r="696" spans="3:6" x14ac:dyDescent="0.25">
      <c r="C696" t="s">
        <v>117</v>
      </c>
      <c r="D696">
        <v>2033</v>
      </c>
      <c r="E696" t="s">
        <v>142</v>
      </c>
      <c r="F696">
        <v>659.88</v>
      </c>
    </row>
    <row r="697" spans="3:6" x14ac:dyDescent="0.25">
      <c r="C697" t="s">
        <v>117</v>
      </c>
      <c r="D697">
        <v>2033</v>
      </c>
      <c r="E697" t="s">
        <v>143</v>
      </c>
      <c r="F697">
        <v>826.97</v>
      </c>
    </row>
    <row r="698" spans="3:6" x14ac:dyDescent="0.25">
      <c r="C698" t="s">
        <v>117</v>
      </c>
      <c r="D698">
        <v>2033</v>
      </c>
      <c r="E698" t="s">
        <v>144</v>
      </c>
      <c r="F698">
        <v>684.97</v>
      </c>
    </row>
    <row r="699" spans="3:6" x14ac:dyDescent="0.25">
      <c r="C699" t="s">
        <v>117</v>
      </c>
      <c r="D699">
        <v>2033</v>
      </c>
      <c r="E699" t="s">
        <v>145</v>
      </c>
      <c r="F699">
        <v>36.770000000000003</v>
      </c>
    </row>
    <row r="700" spans="3:6" x14ac:dyDescent="0.25">
      <c r="C700" t="s">
        <v>117</v>
      </c>
      <c r="D700">
        <v>2034</v>
      </c>
      <c r="E700" t="s">
        <v>146</v>
      </c>
      <c r="F700">
        <v>1.01</v>
      </c>
    </row>
    <row r="701" spans="3:6" x14ac:dyDescent="0.25">
      <c r="C701" t="s">
        <v>117</v>
      </c>
      <c r="D701">
        <v>2034</v>
      </c>
      <c r="E701" t="s">
        <v>142</v>
      </c>
      <c r="F701">
        <v>669.63</v>
      </c>
    </row>
    <row r="702" spans="3:6" x14ac:dyDescent="0.25">
      <c r="C702" t="s">
        <v>117</v>
      </c>
      <c r="D702">
        <v>2034</v>
      </c>
      <c r="E702" t="s">
        <v>143</v>
      </c>
      <c r="F702">
        <v>834.87</v>
      </c>
    </row>
    <row r="703" spans="3:6" x14ac:dyDescent="0.25">
      <c r="C703" t="s">
        <v>117</v>
      </c>
      <c r="D703">
        <v>2034</v>
      </c>
      <c r="E703" t="s">
        <v>144</v>
      </c>
      <c r="F703">
        <v>697.34</v>
      </c>
    </row>
    <row r="704" spans="3:6" x14ac:dyDescent="0.25">
      <c r="C704" t="s">
        <v>117</v>
      </c>
      <c r="D704">
        <v>2034</v>
      </c>
      <c r="E704" t="s">
        <v>145</v>
      </c>
      <c r="F704">
        <v>37.799999999999997</v>
      </c>
    </row>
    <row r="705" spans="3:6" x14ac:dyDescent="0.25">
      <c r="C705" t="s">
        <v>117</v>
      </c>
      <c r="D705">
        <v>2035</v>
      </c>
      <c r="E705" t="s">
        <v>146</v>
      </c>
      <c r="F705">
        <v>1.05</v>
      </c>
    </row>
    <row r="706" spans="3:6" x14ac:dyDescent="0.25">
      <c r="C706" t="s">
        <v>117</v>
      </c>
      <c r="D706">
        <v>2035</v>
      </c>
      <c r="E706" t="s">
        <v>142</v>
      </c>
      <c r="F706">
        <v>678.97</v>
      </c>
    </row>
    <row r="707" spans="3:6" x14ac:dyDescent="0.25">
      <c r="C707" t="s">
        <v>117</v>
      </c>
      <c r="D707">
        <v>2035</v>
      </c>
      <c r="E707" t="s">
        <v>143</v>
      </c>
      <c r="F707">
        <v>842.28</v>
      </c>
    </row>
    <row r="708" spans="3:6" x14ac:dyDescent="0.25">
      <c r="C708" t="s">
        <v>117</v>
      </c>
      <c r="D708">
        <v>2035</v>
      </c>
      <c r="E708" t="s">
        <v>144</v>
      </c>
      <c r="F708">
        <v>709.53</v>
      </c>
    </row>
    <row r="709" spans="3:6" x14ac:dyDescent="0.25">
      <c r="C709" t="s">
        <v>117</v>
      </c>
      <c r="D709">
        <v>2035</v>
      </c>
      <c r="E709" t="s">
        <v>145</v>
      </c>
      <c r="F709">
        <v>38.96</v>
      </c>
    </row>
    <row r="710" spans="3:6" x14ac:dyDescent="0.25">
      <c r="C710" t="s">
        <v>117</v>
      </c>
      <c r="D710">
        <v>2036</v>
      </c>
      <c r="E710" t="s">
        <v>146</v>
      </c>
      <c r="F710">
        <v>1.08</v>
      </c>
    </row>
    <row r="711" spans="3:6" x14ac:dyDescent="0.25">
      <c r="C711" t="s">
        <v>117</v>
      </c>
      <c r="D711">
        <v>2036</v>
      </c>
      <c r="E711" t="s">
        <v>142</v>
      </c>
      <c r="F711">
        <v>688.94</v>
      </c>
    </row>
    <row r="712" spans="3:6" x14ac:dyDescent="0.25">
      <c r="C712" t="s">
        <v>117</v>
      </c>
      <c r="D712">
        <v>2036</v>
      </c>
      <c r="E712" t="s">
        <v>143</v>
      </c>
      <c r="F712">
        <v>849.01</v>
      </c>
    </row>
    <row r="713" spans="3:6" x14ac:dyDescent="0.25">
      <c r="C713" t="s">
        <v>117</v>
      </c>
      <c r="D713">
        <v>2036</v>
      </c>
      <c r="E713" t="s">
        <v>144</v>
      </c>
      <c r="F713">
        <v>722.82</v>
      </c>
    </row>
    <row r="714" spans="3:6" x14ac:dyDescent="0.25">
      <c r="C714" t="s">
        <v>117</v>
      </c>
      <c r="D714">
        <v>2036</v>
      </c>
      <c r="E714" t="s">
        <v>145</v>
      </c>
      <c r="F714">
        <v>40.21</v>
      </c>
    </row>
    <row r="715" spans="3:6" x14ac:dyDescent="0.25">
      <c r="C715" t="s">
        <v>117</v>
      </c>
      <c r="D715">
        <v>2037</v>
      </c>
      <c r="E715" t="s">
        <v>146</v>
      </c>
      <c r="F715">
        <v>1.1000000000000001</v>
      </c>
    </row>
    <row r="716" spans="3:6" x14ac:dyDescent="0.25">
      <c r="C716" t="s">
        <v>117</v>
      </c>
      <c r="D716">
        <v>2037</v>
      </c>
      <c r="E716" t="s">
        <v>142</v>
      </c>
      <c r="F716">
        <v>698.65</v>
      </c>
    </row>
    <row r="717" spans="3:6" x14ac:dyDescent="0.25">
      <c r="C717" t="s">
        <v>117</v>
      </c>
      <c r="D717">
        <v>2037</v>
      </c>
      <c r="E717" t="s">
        <v>143</v>
      </c>
      <c r="F717">
        <v>854.8</v>
      </c>
    </row>
    <row r="718" spans="3:6" x14ac:dyDescent="0.25">
      <c r="C718" t="s">
        <v>117</v>
      </c>
      <c r="D718">
        <v>2037</v>
      </c>
      <c r="E718" t="s">
        <v>144</v>
      </c>
      <c r="F718">
        <v>736.09</v>
      </c>
    </row>
    <row r="719" spans="3:6" x14ac:dyDescent="0.25">
      <c r="C719" t="s">
        <v>117</v>
      </c>
      <c r="D719">
        <v>2037</v>
      </c>
      <c r="E719" t="s">
        <v>145</v>
      </c>
      <c r="F719">
        <v>41.52</v>
      </c>
    </row>
    <row r="720" spans="3:6" x14ac:dyDescent="0.25">
      <c r="C720" t="s">
        <v>117</v>
      </c>
      <c r="D720">
        <v>2038</v>
      </c>
      <c r="E720" t="s">
        <v>146</v>
      </c>
      <c r="F720">
        <v>1.1200000000000001</v>
      </c>
    </row>
    <row r="721" spans="3:6" x14ac:dyDescent="0.25">
      <c r="C721" t="s">
        <v>117</v>
      </c>
      <c r="D721">
        <v>2038</v>
      </c>
      <c r="E721" t="s">
        <v>142</v>
      </c>
      <c r="F721">
        <v>708.17</v>
      </c>
    </row>
    <row r="722" spans="3:6" x14ac:dyDescent="0.25">
      <c r="C722" t="s">
        <v>117</v>
      </c>
      <c r="D722">
        <v>2038</v>
      </c>
      <c r="E722" t="s">
        <v>143</v>
      </c>
      <c r="F722">
        <v>859.89</v>
      </c>
    </row>
    <row r="723" spans="3:6" x14ac:dyDescent="0.25">
      <c r="C723" t="s">
        <v>117</v>
      </c>
      <c r="D723">
        <v>2038</v>
      </c>
      <c r="E723" t="s">
        <v>144</v>
      </c>
      <c r="F723">
        <v>749.46</v>
      </c>
    </row>
    <row r="724" spans="3:6" x14ac:dyDescent="0.25">
      <c r="C724" t="s">
        <v>117</v>
      </c>
      <c r="D724">
        <v>2038</v>
      </c>
      <c r="E724" t="s">
        <v>145</v>
      </c>
      <c r="F724">
        <v>42.87</v>
      </c>
    </row>
    <row r="725" spans="3:6" x14ac:dyDescent="0.25">
      <c r="C725" t="s">
        <v>117</v>
      </c>
      <c r="D725">
        <v>2039</v>
      </c>
      <c r="E725" t="s">
        <v>146</v>
      </c>
      <c r="F725">
        <v>1.1399999999999999</v>
      </c>
    </row>
    <row r="726" spans="3:6" x14ac:dyDescent="0.25">
      <c r="C726" t="s">
        <v>117</v>
      </c>
      <c r="D726">
        <v>2039</v>
      </c>
      <c r="E726" t="s">
        <v>142</v>
      </c>
      <c r="F726">
        <v>717.35</v>
      </c>
    </row>
    <row r="727" spans="3:6" x14ac:dyDescent="0.25">
      <c r="C727" t="s">
        <v>117</v>
      </c>
      <c r="D727">
        <v>2039</v>
      </c>
      <c r="E727" t="s">
        <v>143</v>
      </c>
      <c r="F727">
        <v>864.27</v>
      </c>
    </row>
    <row r="728" spans="3:6" x14ac:dyDescent="0.25">
      <c r="C728" t="s">
        <v>117</v>
      </c>
      <c r="D728">
        <v>2039</v>
      </c>
      <c r="E728" t="s">
        <v>144</v>
      </c>
      <c r="F728">
        <v>762.92</v>
      </c>
    </row>
    <row r="729" spans="3:6" x14ac:dyDescent="0.25">
      <c r="C729" t="s">
        <v>117</v>
      </c>
      <c r="D729">
        <v>2039</v>
      </c>
      <c r="E729" t="s">
        <v>145</v>
      </c>
      <c r="F729">
        <v>44.39</v>
      </c>
    </row>
    <row r="730" spans="3:6" x14ac:dyDescent="0.25">
      <c r="C730" t="s">
        <v>117</v>
      </c>
      <c r="D730">
        <v>2040</v>
      </c>
      <c r="E730" t="s">
        <v>146</v>
      </c>
      <c r="F730">
        <v>1.1499999999999999</v>
      </c>
    </row>
    <row r="731" spans="3:6" x14ac:dyDescent="0.25">
      <c r="C731" t="s">
        <v>117</v>
      </c>
      <c r="D731">
        <v>2040</v>
      </c>
      <c r="E731" t="s">
        <v>142</v>
      </c>
      <c r="F731">
        <v>726.67</v>
      </c>
    </row>
    <row r="732" spans="3:6" x14ac:dyDescent="0.25">
      <c r="C732" t="s">
        <v>117</v>
      </c>
      <c r="D732">
        <v>2040</v>
      </c>
      <c r="E732" t="s">
        <v>143</v>
      </c>
      <c r="F732">
        <v>868.23</v>
      </c>
    </row>
    <row r="733" spans="3:6" x14ac:dyDescent="0.25">
      <c r="C733" t="s">
        <v>117</v>
      </c>
      <c r="D733">
        <v>2040</v>
      </c>
      <c r="E733" t="s">
        <v>144</v>
      </c>
      <c r="F733">
        <v>776.6</v>
      </c>
    </row>
    <row r="734" spans="3:6" x14ac:dyDescent="0.25">
      <c r="C734" t="s">
        <v>117</v>
      </c>
      <c r="D734">
        <v>2040</v>
      </c>
      <c r="E734" t="s">
        <v>145</v>
      </c>
      <c r="F734">
        <v>46.05</v>
      </c>
    </row>
    <row r="735" spans="3:6" x14ac:dyDescent="0.25">
      <c r="C735" t="s">
        <v>117</v>
      </c>
      <c r="D735">
        <v>2041</v>
      </c>
      <c r="E735" t="s">
        <v>146</v>
      </c>
      <c r="F735">
        <v>1.1599999999999999</v>
      </c>
    </row>
    <row r="736" spans="3:6" x14ac:dyDescent="0.25">
      <c r="C736" t="s">
        <v>117</v>
      </c>
      <c r="D736">
        <v>2041</v>
      </c>
      <c r="E736" t="s">
        <v>142</v>
      </c>
      <c r="F736">
        <v>730.58</v>
      </c>
    </row>
    <row r="737" spans="3:6" x14ac:dyDescent="0.25">
      <c r="C737" t="s">
        <v>117</v>
      </c>
      <c r="D737">
        <v>2041</v>
      </c>
      <c r="E737" t="s">
        <v>143</v>
      </c>
      <c r="F737">
        <v>871.83</v>
      </c>
    </row>
    <row r="738" spans="3:6" x14ac:dyDescent="0.25">
      <c r="C738" t="s">
        <v>117</v>
      </c>
      <c r="D738">
        <v>2041</v>
      </c>
      <c r="E738" t="s">
        <v>144</v>
      </c>
      <c r="F738">
        <v>784.19</v>
      </c>
    </row>
    <row r="739" spans="3:6" x14ac:dyDescent="0.25">
      <c r="C739" t="s">
        <v>117</v>
      </c>
      <c r="D739">
        <v>2041</v>
      </c>
      <c r="E739" t="s">
        <v>145</v>
      </c>
      <c r="F739">
        <v>47.75</v>
      </c>
    </row>
    <row r="740" spans="3:6" x14ac:dyDescent="0.25">
      <c r="C740" t="s">
        <v>117</v>
      </c>
      <c r="D740">
        <v>2042</v>
      </c>
      <c r="E740" t="s">
        <v>146</v>
      </c>
      <c r="F740">
        <v>1.17</v>
      </c>
    </row>
    <row r="741" spans="3:6" x14ac:dyDescent="0.25">
      <c r="C741" t="s">
        <v>117</v>
      </c>
      <c r="D741">
        <v>2042</v>
      </c>
      <c r="E741" t="s">
        <v>142</v>
      </c>
      <c r="F741">
        <v>734.24</v>
      </c>
    </row>
    <row r="742" spans="3:6" x14ac:dyDescent="0.25">
      <c r="C742" t="s">
        <v>117</v>
      </c>
      <c r="D742">
        <v>2042</v>
      </c>
      <c r="E742" t="s">
        <v>143</v>
      </c>
      <c r="F742">
        <v>875.03</v>
      </c>
    </row>
    <row r="743" spans="3:6" x14ac:dyDescent="0.25">
      <c r="C743" t="s">
        <v>117</v>
      </c>
      <c r="D743">
        <v>2042</v>
      </c>
      <c r="E743" t="s">
        <v>144</v>
      </c>
      <c r="F743">
        <v>791.73</v>
      </c>
    </row>
    <row r="744" spans="3:6" x14ac:dyDescent="0.25">
      <c r="C744" t="s">
        <v>117</v>
      </c>
      <c r="D744">
        <v>2042</v>
      </c>
      <c r="E744" t="s">
        <v>145</v>
      </c>
      <c r="F744">
        <v>49.51</v>
      </c>
    </row>
    <row r="745" spans="3:6" x14ac:dyDescent="0.25">
      <c r="C745" t="s">
        <v>117</v>
      </c>
      <c r="D745">
        <v>2043</v>
      </c>
      <c r="E745" t="s">
        <v>146</v>
      </c>
      <c r="F745">
        <v>1.18</v>
      </c>
    </row>
    <row r="746" spans="3:6" x14ac:dyDescent="0.25">
      <c r="C746" t="s">
        <v>117</v>
      </c>
      <c r="D746">
        <v>2043</v>
      </c>
      <c r="E746" t="s">
        <v>142</v>
      </c>
      <c r="F746">
        <v>737.65</v>
      </c>
    </row>
    <row r="747" spans="3:6" x14ac:dyDescent="0.25">
      <c r="C747" t="s">
        <v>117</v>
      </c>
      <c r="D747">
        <v>2043</v>
      </c>
      <c r="E747" t="s">
        <v>143</v>
      </c>
      <c r="F747">
        <v>877.83</v>
      </c>
    </row>
    <row r="748" spans="3:6" x14ac:dyDescent="0.25">
      <c r="C748" t="s">
        <v>117</v>
      </c>
      <c r="D748">
        <v>2043</v>
      </c>
      <c r="E748" t="s">
        <v>144</v>
      </c>
      <c r="F748">
        <v>799.24</v>
      </c>
    </row>
    <row r="749" spans="3:6" x14ac:dyDescent="0.25">
      <c r="C749" t="s">
        <v>117</v>
      </c>
      <c r="D749">
        <v>2043</v>
      </c>
      <c r="E749" t="s">
        <v>145</v>
      </c>
      <c r="F749">
        <v>51.34</v>
      </c>
    </row>
    <row r="750" spans="3:6" x14ac:dyDescent="0.25">
      <c r="C750" t="s">
        <v>117</v>
      </c>
      <c r="D750">
        <v>2044</v>
      </c>
      <c r="E750" t="s">
        <v>146</v>
      </c>
      <c r="F750">
        <v>1.18</v>
      </c>
    </row>
    <row r="751" spans="3:6" x14ac:dyDescent="0.25">
      <c r="C751" t="s">
        <v>117</v>
      </c>
      <c r="D751">
        <v>2044</v>
      </c>
      <c r="E751" t="s">
        <v>142</v>
      </c>
      <c r="F751">
        <v>740.83</v>
      </c>
    </row>
    <row r="752" spans="3:6" x14ac:dyDescent="0.25">
      <c r="C752" t="s">
        <v>117</v>
      </c>
      <c r="D752">
        <v>2044</v>
      </c>
      <c r="E752" t="s">
        <v>143</v>
      </c>
      <c r="F752">
        <v>880.31</v>
      </c>
    </row>
    <row r="753" spans="3:6" x14ac:dyDescent="0.25">
      <c r="C753" t="s">
        <v>117</v>
      </c>
      <c r="D753">
        <v>2044</v>
      </c>
      <c r="E753" t="s">
        <v>144</v>
      </c>
      <c r="F753">
        <v>806.66</v>
      </c>
    </row>
    <row r="754" spans="3:6" x14ac:dyDescent="0.25">
      <c r="C754" t="s">
        <v>117</v>
      </c>
      <c r="D754">
        <v>2044</v>
      </c>
      <c r="E754" t="s">
        <v>145</v>
      </c>
      <c r="F754">
        <v>53.25</v>
      </c>
    </row>
    <row r="755" spans="3:6" x14ac:dyDescent="0.25">
      <c r="C755" t="s">
        <v>117</v>
      </c>
      <c r="D755">
        <v>2045</v>
      </c>
      <c r="E755" t="s">
        <v>146</v>
      </c>
      <c r="F755">
        <v>1.19</v>
      </c>
    </row>
    <row r="756" spans="3:6" x14ac:dyDescent="0.25">
      <c r="C756" t="s">
        <v>117</v>
      </c>
      <c r="D756">
        <v>2045</v>
      </c>
      <c r="E756" t="s">
        <v>142</v>
      </c>
      <c r="F756">
        <v>743.83</v>
      </c>
    </row>
    <row r="757" spans="3:6" x14ac:dyDescent="0.25">
      <c r="C757" t="s">
        <v>117</v>
      </c>
      <c r="D757">
        <v>2045</v>
      </c>
      <c r="E757" t="s">
        <v>143</v>
      </c>
      <c r="F757">
        <v>882.59</v>
      </c>
    </row>
    <row r="758" spans="3:6" x14ac:dyDescent="0.25">
      <c r="C758" t="s">
        <v>117</v>
      </c>
      <c r="D758">
        <v>2045</v>
      </c>
      <c r="E758" t="s">
        <v>144</v>
      </c>
      <c r="F758">
        <v>814.05</v>
      </c>
    </row>
    <row r="759" spans="3:6" x14ac:dyDescent="0.25">
      <c r="C759" t="s">
        <v>117</v>
      </c>
      <c r="D759">
        <v>2045</v>
      </c>
      <c r="E759" t="s">
        <v>145</v>
      </c>
      <c r="F759">
        <v>55.25</v>
      </c>
    </row>
    <row r="760" spans="3:6" x14ac:dyDescent="0.25">
      <c r="C760" t="s">
        <v>117</v>
      </c>
      <c r="D760">
        <v>2046</v>
      </c>
      <c r="E760" t="s">
        <v>146</v>
      </c>
      <c r="F760">
        <v>1.19</v>
      </c>
    </row>
    <row r="761" spans="3:6" x14ac:dyDescent="0.25">
      <c r="C761" t="s">
        <v>117</v>
      </c>
      <c r="D761">
        <v>2046</v>
      </c>
      <c r="E761" t="s">
        <v>142</v>
      </c>
      <c r="F761">
        <v>750.99</v>
      </c>
    </row>
    <row r="762" spans="3:6" x14ac:dyDescent="0.25">
      <c r="C762" t="s">
        <v>117</v>
      </c>
      <c r="D762">
        <v>2046</v>
      </c>
      <c r="E762" t="s">
        <v>143</v>
      </c>
      <c r="F762">
        <v>884.33</v>
      </c>
    </row>
    <row r="763" spans="3:6" x14ac:dyDescent="0.25">
      <c r="C763" t="s">
        <v>117</v>
      </c>
      <c r="D763">
        <v>2046</v>
      </c>
      <c r="E763" t="s">
        <v>144</v>
      </c>
      <c r="F763">
        <v>826.77</v>
      </c>
    </row>
    <row r="764" spans="3:6" x14ac:dyDescent="0.25">
      <c r="C764" t="s">
        <v>117</v>
      </c>
      <c r="D764">
        <v>2046</v>
      </c>
      <c r="E764" t="s">
        <v>145</v>
      </c>
      <c r="F764">
        <v>57.3</v>
      </c>
    </row>
    <row r="765" spans="3:6" x14ac:dyDescent="0.25">
      <c r="C765" t="s">
        <v>117</v>
      </c>
      <c r="D765">
        <v>2047</v>
      </c>
      <c r="E765" t="s">
        <v>146</v>
      </c>
      <c r="F765">
        <v>1.19</v>
      </c>
    </row>
    <row r="766" spans="3:6" x14ac:dyDescent="0.25">
      <c r="C766" t="s">
        <v>117</v>
      </c>
      <c r="D766">
        <v>2047</v>
      </c>
      <c r="E766" t="s">
        <v>142</v>
      </c>
      <c r="F766">
        <v>758.11</v>
      </c>
    </row>
    <row r="767" spans="3:6" x14ac:dyDescent="0.25">
      <c r="C767" t="s">
        <v>117</v>
      </c>
      <c r="D767">
        <v>2047</v>
      </c>
      <c r="E767" t="s">
        <v>143</v>
      </c>
      <c r="F767">
        <v>885.87</v>
      </c>
    </row>
    <row r="768" spans="3:6" x14ac:dyDescent="0.25">
      <c r="C768" t="s">
        <v>117</v>
      </c>
      <c r="D768">
        <v>2047</v>
      </c>
      <c r="E768" t="s">
        <v>144</v>
      </c>
      <c r="F768">
        <v>839.69</v>
      </c>
    </row>
    <row r="769" spans="3:6" x14ac:dyDescent="0.25">
      <c r="C769" t="s">
        <v>117</v>
      </c>
      <c r="D769">
        <v>2047</v>
      </c>
      <c r="E769" t="s">
        <v>145</v>
      </c>
      <c r="F769">
        <v>59.4</v>
      </c>
    </row>
    <row r="770" spans="3:6" x14ac:dyDescent="0.25">
      <c r="C770" t="s">
        <v>117</v>
      </c>
      <c r="D770">
        <v>2048</v>
      </c>
      <c r="E770" t="s">
        <v>146</v>
      </c>
      <c r="F770">
        <v>1.18</v>
      </c>
    </row>
    <row r="771" spans="3:6" x14ac:dyDescent="0.25">
      <c r="C771" t="s">
        <v>117</v>
      </c>
      <c r="D771">
        <v>2048</v>
      </c>
      <c r="E771" t="s">
        <v>142</v>
      </c>
      <c r="F771">
        <v>765.19</v>
      </c>
    </row>
    <row r="772" spans="3:6" x14ac:dyDescent="0.25">
      <c r="C772" t="s">
        <v>117</v>
      </c>
      <c r="D772">
        <v>2048</v>
      </c>
      <c r="E772" t="s">
        <v>143</v>
      </c>
      <c r="F772">
        <v>887.31</v>
      </c>
    </row>
    <row r="773" spans="3:6" x14ac:dyDescent="0.25">
      <c r="C773" t="s">
        <v>117</v>
      </c>
      <c r="D773">
        <v>2048</v>
      </c>
      <c r="E773" t="s">
        <v>144</v>
      </c>
      <c r="F773">
        <v>852.84</v>
      </c>
    </row>
    <row r="774" spans="3:6" x14ac:dyDescent="0.25">
      <c r="C774" t="s">
        <v>117</v>
      </c>
      <c r="D774">
        <v>2048</v>
      </c>
      <c r="E774" t="s">
        <v>145</v>
      </c>
      <c r="F774">
        <v>61.49</v>
      </c>
    </row>
    <row r="775" spans="3:6" x14ac:dyDescent="0.25">
      <c r="C775" t="s">
        <v>117</v>
      </c>
      <c r="D775">
        <v>2049</v>
      </c>
      <c r="E775" t="s">
        <v>146</v>
      </c>
      <c r="F775">
        <v>1.18</v>
      </c>
    </row>
    <row r="776" spans="3:6" x14ac:dyDescent="0.25">
      <c r="C776" t="s">
        <v>117</v>
      </c>
      <c r="D776">
        <v>2049</v>
      </c>
      <c r="E776" t="s">
        <v>142</v>
      </c>
      <c r="F776">
        <v>772.22</v>
      </c>
    </row>
    <row r="777" spans="3:6" x14ac:dyDescent="0.25">
      <c r="C777" t="s">
        <v>117</v>
      </c>
      <c r="D777">
        <v>2049</v>
      </c>
      <c r="E777" t="s">
        <v>143</v>
      </c>
      <c r="F777">
        <v>888.51</v>
      </c>
    </row>
    <row r="778" spans="3:6" x14ac:dyDescent="0.25">
      <c r="C778" t="s">
        <v>117</v>
      </c>
      <c r="D778">
        <v>2049</v>
      </c>
      <c r="E778" t="s">
        <v>144</v>
      </c>
      <c r="F778">
        <v>866.14</v>
      </c>
    </row>
    <row r="779" spans="3:6" x14ac:dyDescent="0.25">
      <c r="C779" t="s">
        <v>117</v>
      </c>
      <c r="D779">
        <v>2049</v>
      </c>
      <c r="E779" t="s">
        <v>145</v>
      </c>
      <c r="F779">
        <v>63.52</v>
      </c>
    </row>
    <row r="780" spans="3:6" x14ac:dyDescent="0.25">
      <c r="C780" t="s">
        <v>117</v>
      </c>
      <c r="D780">
        <v>2050</v>
      </c>
      <c r="E780" t="s">
        <v>146</v>
      </c>
      <c r="F780">
        <v>1.18</v>
      </c>
    </row>
    <row r="781" spans="3:6" x14ac:dyDescent="0.25">
      <c r="C781" t="s">
        <v>117</v>
      </c>
      <c r="D781">
        <v>2050</v>
      </c>
      <c r="E781" t="s">
        <v>142</v>
      </c>
      <c r="F781">
        <v>779.2</v>
      </c>
    </row>
    <row r="782" spans="3:6" x14ac:dyDescent="0.25">
      <c r="C782" t="s">
        <v>117</v>
      </c>
      <c r="D782">
        <v>2050</v>
      </c>
      <c r="E782" t="s">
        <v>143</v>
      </c>
      <c r="F782">
        <v>889.47</v>
      </c>
    </row>
    <row r="783" spans="3:6" x14ac:dyDescent="0.25">
      <c r="C783" t="s">
        <v>117</v>
      </c>
      <c r="D783">
        <v>2050</v>
      </c>
      <c r="E783" t="s">
        <v>144</v>
      </c>
      <c r="F783">
        <v>879.53</v>
      </c>
    </row>
    <row r="784" spans="3:6" x14ac:dyDescent="0.25">
      <c r="C784" t="s">
        <v>117</v>
      </c>
      <c r="D784">
        <v>2050</v>
      </c>
      <c r="E784" t="s">
        <v>145</v>
      </c>
      <c r="F784">
        <v>65.52</v>
      </c>
    </row>
    <row r="785" spans="3:6" x14ac:dyDescent="0.25">
      <c r="C785" t="s">
        <v>118</v>
      </c>
      <c r="D785">
        <v>2010</v>
      </c>
      <c r="E785" t="s">
        <v>142</v>
      </c>
      <c r="F785">
        <v>482.04</v>
      </c>
    </row>
    <row r="786" spans="3:6" x14ac:dyDescent="0.25">
      <c r="C786" t="s">
        <v>118</v>
      </c>
      <c r="D786">
        <v>2010</v>
      </c>
      <c r="E786" t="s">
        <v>143</v>
      </c>
      <c r="F786">
        <v>716.29</v>
      </c>
    </row>
    <row r="787" spans="3:6" x14ac:dyDescent="0.25">
      <c r="C787" t="s">
        <v>118</v>
      </c>
      <c r="D787">
        <v>2010</v>
      </c>
      <c r="E787" t="s">
        <v>144</v>
      </c>
      <c r="F787">
        <v>609.96</v>
      </c>
    </row>
    <row r="788" spans="3:6" x14ac:dyDescent="0.25">
      <c r="C788" t="s">
        <v>118</v>
      </c>
      <c r="D788">
        <v>2010</v>
      </c>
      <c r="E788" t="s">
        <v>145</v>
      </c>
      <c r="F788">
        <v>15.5</v>
      </c>
    </row>
    <row r="789" spans="3:6" x14ac:dyDescent="0.25">
      <c r="C789" t="s">
        <v>118</v>
      </c>
      <c r="D789">
        <v>2011</v>
      </c>
      <c r="E789" t="s">
        <v>142</v>
      </c>
      <c r="F789">
        <v>502.07</v>
      </c>
    </row>
    <row r="790" spans="3:6" x14ac:dyDescent="0.25">
      <c r="C790" t="s">
        <v>118</v>
      </c>
      <c r="D790">
        <v>2011</v>
      </c>
      <c r="E790" t="s">
        <v>143</v>
      </c>
      <c r="F790">
        <v>722.14</v>
      </c>
    </row>
    <row r="791" spans="3:6" x14ac:dyDescent="0.25">
      <c r="C791" t="s">
        <v>118</v>
      </c>
      <c r="D791">
        <v>2011</v>
      </c>
      <c r="E791" t="s">
        <v>144</v>
      </c>
      <c r="F791">
        <v>642.20000000000005</v>
      </c>
    </row>
    <row r="792" spans="3:6" x14ac:dyDescent="0.25">
      <c r="C792" t="s">
        <v>118</v>
      </c>
      <c r="D792">
        <v>2011</v>
      </c>
      <c r="E792" t="s">
        <v>145</v>
      </c>
      <c r="F792">
        <v>16.12</v>
      </c>
    </row>
    <row r="793" spans="3:6" x14ac:dyDescent="0.25">
      <c r="C793" t="s">
        <v>118</v>
      </c>
      <c r="D793">
        <v>2012</v>
      </c>
      <c r="E793" t="s">
        <v>142</v>
      </c>
      <c r="F793">
        <v>496.51</v>
      </c>
    </row>
    <row r="794" spans="3:6" x14ac:dyDescent="0.25">
      <c r="C794" t="s">
        <v>118</v>
      </c>
      <c r="D794">
        <v>2012</v>
      </c>
      <c r="E794" t="s">
        <v>143</v>
      </c>
      <c r="F794">
        <v>702.75</v>
      </c>
    </row>
    <row r="795" spans="3:6" x14ac:dyDescent="0.25">
      <c r="C795" t="s">
        <v>118</v>
      </c>
      <c r="D795">
        <v>2012</v>
      </c>
      <c r="E795" t="s">
        <v>144</v>
      </c>
      <c r="F795">
        <v>637.37</v>
      </c>
    </row>
    <row r="796" spans="3:6" x14ac:dyDescent="0.25">
      <c r="C796" t="s">
        <v>118</v>
      </c>
      <c r="D796">
        <v>2012</v>
      </c>
      <c r="E796" t="s">
        <v>145</v>
      </c>
      <c r="F796">
        <v>16.489999999999998</v>
      </c>
    </row>
    <row r="797" spans="3:6" x14ac:dyDescent="0.25">
      <c r="C797" t="s">
        <v>118</v>
      </c>
      <c r="D797">
        <v>2013</v>
      </c>
      <c r="E797" t="s">
        <v>142</v>
      </c>
      <c r="F797">
        <v>513.24</v>
      </c>
    </row>
    <row r="798" spans="3:6" x14ac:dyDescent="0.25">
      <c r="C798" t="s">
        <v>118</v>
      </c>
      <c r="D798">
        <v>2013</v>
      </c>
      <c r="E798" t="s">
        <v>143</v>
      </c>
      <c r="F798">
        <v>715.07</v>
      </c>
    </row>
    <row r="799" spans="3:6" x14ac:dyDescent="0.25">
      <c r="C799" t="s">
        <v>118</v>
      </c>
      <c r="D799">
        <v>2013</v>
      </c>
      <c r="E799" t="s">
        <v>144</v>
      </c>
      <c r="F799">
        <v>668.26</v>
      </c>
    </row>
    <row r="800" spans="3:6" x14ac:dyDescent="0.25">
      <c r="C800" t="s">
        <v>118</v>
      </c>
      <c r="D800">
        <v>2013</v>
      </c>
      <c r="E800" t="s">
        <v>145</v>
      </c>
      <c r="F800">
        <v>21.54</v>
      </c>
    </row>
    <row r="801" spans="3:6" x14ac:dyDescent="0.25">
      <c r="C801" t="s">
        <v>118</v>
      </c>
      <c r="D801">
        <v>2014</v>
      </c>
      <c r="E801" t="s">
        <v>142</v>
      </c>
      <c r="F801">
        <v>524.38</v>
      </c>
    </row>
    <row r="802" spans="3:6" x14ac:dyDescent="0.25">
      <c r="C802" t="s">
        <v>118</v>
      </c>
      <c r="D802">
        <v>2014</v>
      </c>
      <c r="E802" t="s">
        <v>143</v>
      </c>
      <c r="F802">
        <v>701.83</v>
      </c>
    </row>
    <row r="803" spans="3:6" x14ac:dyDescent="0.25">
      <c r="C803" t="s">
        <v>118</v>
      </c>
      <c r="D803">
        <v>2014</v>
      </c>
      <c r="E803" t="s">
        <v>144</v>
      </c>
      <c r="F803">
        <v>662.94</v>
      </c>
    </row>
    <row r="804" spans="3:6" x14ac:dyDescent="0.25">
      <c r="C804" t="s">
        <v>118</v>
      </c>
      <c r="D804">
        <v>2014</v>
      </c>
      <c r="E804" t="s">
        <v>145</v>
      </c>
      <c r="F804">
        <v>23</v>
      </c>
    </row>
    <row r="805" spans="3:6" x14ac:dyDescent="0.25">
      <c r="C805" t="s">
        <v>118</v>
      </c>
      <c r="D805">
        <v>2015</v>
      </c>
      <c r="E805" t="s">
        <v>142</v>
      </c>
      <c r="F805">
        <v>521.04999999999995</v>
      </c>
    </row>
    <row r="806" spans="3:6" x14ac:dyDescent="0.25">
      <c r="C806" t="s">
        <v>118</v>
      </c>
      <c r="D806">
        <v>2015</v>
      </c>
      <c r="E806" t="s">
        <v>143</v>
      </c>
      <c r="F806">
        <v>667.77</v>
      </c>
    </row>
    <row r="807" spans="3:6" x14ac:dyDescent="0.25">
      <c r="C807" t="s">
        <v>118</v>
      </c>
      <c r="D807">
        <v>2015</v>
      </c>
      <c r="E807" t="s">
        <v>144</v>
      </c>
      <c r="F807">
        <v>649.80999999999995</v>
      </c>
    </row>
    <row r="808" spans="3:6" x14ac:dyDescent="0.25">
      <c r="C808" t="s">
        <v>118</v>
      </c>
      <c r="D808">
        <v>2015</v>
      </c>
      <c r="E808" t="s">
        <v>145</v>
      </c>
      <c r="F808">
        <v>25.64</v>
      </c>
    </row>
    <row r="809" spans="3:6" x14ac:dyDescent="0.25">
      <c r="C809" t="s">
        <v>118</v>
      </c>
      <c r="D809">
        <v>2016</v>
      </c>
      <c r="E809" t="s">
        <v>142</v>
      </c>
      <c r="F809">
        <v>523.46</v>
      </c>
    </row>
    <row r="810" spans="3:6" x14ac:dyDescent="0.25">
      <c r="C810" t="s">
        <v>118</v>
      </c>
      <c r="D810">
        <v>2016</v>
      </c>
      <c r="E810" t="s">
        <v>143</v>
      </c>
      <c r="F810">
        <v>689.71</v>
      </c>
    </row>
    <row r="811" spans="3:6" x14ac:dyDescent="0.25">
      <c r="C811" t="s">
        <v>118</v>
      </c>
      <c r="D811">
        <v>2016</v>
      </c>
      <c r="E811" t="s">
        <v>144</v>
      </c>
      <c r="F811">
        <v>636.97</v>
      </c>
    </row>
    <row r="812" spans="3:6" x14ac:dyDescent="0.25">
      <c r="C812" t="s">
        <v>118</v>
      </c>
      <c r="D812">
        <v>2016</v>
      </c>
      <c r="E812" t="s">
        <v>145</v>
      </c>
      <c r="F812">
        <v>28.89</v>
      </c>
    </row>
    <row r="813" spans="3:6" x14ac:dyDescent="0.25">
      <c r="C813" t="s">
        <v>118</v>
      </c>
      <c r="D813">
        <v>2017</v>
      </c>
      <c r="E813" t="s">
        <v>142</v>
      </c>
      <c r="F813">
        <v>543.12</v>
      </c>
    </row>
    <row r="814" spans="3:6" x14ac:dyDescent="0.25">
      <c r="C814" t="s">
        <v>118</v>
      </c>
      <c r="D814">
        <v>2017</v>
      </c>
      <c r="E814" t="s">
        <v>143</v>
      </c>
      <c r="F814">
        <v>690.75</v>
      </c>
    </row>
    <row r="815" spans="3:6" x14ac:dyDescent="0.25">
      <c r="C815" t="s">
        <v>118</v>
      </c>
      <c r="D815">
        <v>2017</v>
      </c>
      <c r="E815" t="s">
        <v>144</v>
      </c>
      <c r="F815">
        <v>624.15</v>
      </c>
    </row>
    <row r="816" spans="3:6" x14ac:dyDescent="0.25">
      <c r="C816" t="s">
        <v>118</v>
      </c>
      <c r="D816">
        <v>2017</v>
      </c>
      <c r="E816" t="s">
        <v>145</v>
      </c>
      <c r="F816">
        <v>29.23</v>
      </c>
    </row>
    <row r="817" spans="3:6" x14ac:dyDescent="0.25">
      <c r="C817" t="s">
        <v>118</v>
      </c>
      <c r="D817">
        <v>2018</v>
      </c>
      <c r="E817" t="s">
        <v>142</v>
      </c>
      <c r="F817">
        <v>546.37</v>
      </c>
    </row>
    <row r="818" spans="3:6" x14ac:dyDescent="0.25">
      <c r="C818" t="s">
        <v>118</v>
      </c>
      <c r="D818">
        <v>2018</v>
      </c>
      <c r="E818" t="s">
        <v>143</v>
      </c>
      <c r="F818">
        <v>701.23</v>
      </c>
    </row>
    <row r="819" spans="3:6" x14ac:dyDescent="0.25">
      <c r="C819" t="s">
        <v>118</v>
      </c>
      <c r="D819">
        <v>2018</v>
      </c>
      <c r="E819" t="s">
        <v>144</v>
      </c>
      <c r="F819">
        <v>630.04</v>
      </c>
    </row>
    <row r="820" spans="3:6" x14ac:dyDescent="0.25">
      <c r="C820" t="s">
        <v>118</v>
      </c>
      <c r="D820">
        <v>2018</v>
      </c>
      <c r="E820" t="s">
        <v>145</v>
      </c>
      <c r="F820">
        <v>29.04</v>
      </c>
    </row>
    <row r="821" spans="3:6" x14ac:dyDescent="0.25">
      <c r="C821" t="s">
        <v>118</v>
      </c>
      <c r="D821">
        <v>2019</v>
      </c>
      <c r="E821" t="s">
        <v>147</v>
      </c>
      <c r="F821">
        <v>0.69</v>
      </c>
    </row>
    <row r="822" spans="3:6" x14ac:dyDescent="0.25">
      <c r="C822" t="s">
        <v>118</v>
      </c>
      <c r="D822">
        <v>2019</v>
      </c>
      <c r="E822" t="s">
        <v>146</v>
      </c>
      <c r="F822">
        <v>13.4</v>
      </c>
    </row>
    <row r="823" spans="3:6" x14ac:dyDescent="0.25">
      <c r="C823" t="s">
        <v>118</v>
      </c>
      <c r="D823">
        <v>2019</v>
      </c>
      <c r="E823" t="s">
        <v>142</v>
      </c>
      <c r="F823">
        <v>555.05999999999995</v>
      </c>
    </row>
    <row r="824" spans="3:6" x14ac:dyDescent="0.25">
      <c r="C824" t="s">
        <v>118</v>
      </c>
      <c r="D824">
        <v>2019</v>
      </c>
      <c r="E824" t="s">
        <v>143</v>
      </c>
      <c r="F824">
        <v>671.64</v>
      </c>
    </row>
    <row r="825" spans="3:6" x14ac:dyDescent="0.25">
      <c r="C825" t="s">
        <v>118</v>
      </c>
      <c r="D825">
        <v>2019</v>
      </c>
      <c r="E825" t="s">
        <v>144</v>
      </c>
      <c r="F825">
        <v>631.77</v>
      </c>
    </row>
    <row r="826" spans="3:6" x14ac:dyDescent="0.25">
      <c r="C826" t="s">
        <v>118</v>
      </c>
      <c r="D826">
        <v>2019</v>
      </c>
      <c r="E826" t="s">
        <v>145</v>
      </c>
      <c r="F826">
        <v>2.4900000000000002</v>
      </c>
    </row>
    <row r="827" spans="3:6" x14ac:dyDescent="0.25">
      <c r="C827" t="s">
        <v>118</v>
      </c>
      <c r="D827">
        <v>2020</v>
      </c>
      <c r="E827" t="s">
        <v>147</v>
      </c>
      <c r="F827">
        <v>0.69</v>
      </c>
    </row>
    <row r="828" spans="3:6" x14ac:dyDescent="0.25">
      <c r="C828" t="s">
        <v>118</v>
      </c>
      <c r="D828">
        <v>2020</v>
      </c>
      <c r="E828" t="s">
        <v>146</v>
      </c>
      <c r="F828">
        <v>12.39</v>
      </c>
    </row>
    <row r="829" spans="3:6" x14ac:dyDescent="0.25">
      <c r="C829" t="s">
        <v>118</v>
      </c>
      <c r="D829">
        <v>2020</v>
      </c>
      <c r="E829" t="s">
        <v>142</v>
      </c>
      <c r="F829">
        <v>533.25</v>
      </c>
    </row>
    <row r="830" spans="3:6" x14ac:dyDescent="0.25">
      <c r="C830" t="s">
        <v>118</v>
      </c>
      <c r="D830">
        <v>2020</v>
      </c>
      <c r="E830" t="s">
        <v>143</v>
      </c>
      <c r="F830">
        <v>623.02</v>
      </c>
    </row>
    <row r="831" spans="3:6" x14ac:dyDescent="0.25">
      <c r="C831" t="s">
        <v>118</v>
      </c>
      <c r="D831">
        <v>2020</v>
      </c>
      <c r="E831" t="s">
        <v>144</v>
      </c>
      <c r="F831">
        <v>662.64</v>
      </c>
    </row>
    <row r="832" spans="3:6" x14ac:dyDescent="0.25">
      <c r="C832" t="s">
        <v>118</v>
      </c>
      <c r="D832">
        <v>2020</v>
      </c>
      <c r="E832" t="s">
        <v>145</v>
      </c>
      <c r="F832">
        <v>2.64</v>
      </c>
    </row>
    <row r="833" spans="3:6" x14ac:dyDescent="0.25">
      <c r="C833" t="s">
        <v>118</v>
      </c>
      <c r="D833">
        <v>2021</v>
      </c>
      <c r="E833" t="s">
        <v>147</v>
      </c>
      <c r="F833">
        <v>0.72</v>
      </c>
    </row>
    <row r="834" spans="3:6" x14ac:dyDescent="0.25">
      <c r="C834" t="s">
        <v>118</v>
      </c>
      <c r="D834">
        <v>2021</v>
      </c>
      <c r="E834" t="s">
        <v>146</v>
      </c>
      <c r="F834">
        <v>13.41</v>
      </c>
    </row>
    <row r="835" spans="3:6" x14ac:dyDescent="0.25">
      <c r="C835" t="s">
        <v>118</v>
      </c>
      <c r="D835">
        <v>2021</v>
      </c>
      <c r="E835" t="s">
        <v>142</v>
      </c>
      <c r="F835">
        <v>562.25</v>
      </c>
    </row>
    <row r="836" spans="3:6" x14ac:dyDescent="0.25">
      <c r="C836" t="s">
        <v>118</v>
      </c>
      <c r="D836">
        <v>2021</v>
      </c>
      <c r="E836" t="s">
        <v>143</v>
      </c>
      <c r="F836">
        <v>622.46</v>
      </c>
    </row>
    <row r="837" spans="3:6" x14ac:dyDescent="0.25">
      <c r="C837" t="s">
        <v>118</v>
      </c>
      <c r="D837">
        <v>2021</v>
      </c>
      <c r="E837" t="s">
        <v>144</v>
      </c>
      <c r="F837">
        <v>655.83</v>
      </c>
    </row>
    <row r="838" spans="3:6" x14ac:dyDescent="0.25">
      <c r="C838" t="s">
        <v>118</v>
      </c>
      <c r="D838">
        <v>2021</v>
      </c>
      <c r="E838" t="s">
        <v>145</v>
      </c>
      <c r="F838">
        <v>3.28</v>
      </c>
    </row>
    <row r="839" spans="3:6" x14ac:dyDescent="0.25">
      <c r="C839" t="s">
        <v>118</v>
      </c>
      <c r="D839">
        <v>2022</v>
      </c>
      <c r="E839" t="s">
        <v>147</v>
      </c>
      <c r="F839">
        <v>0.74</v>
      </c>
    </row>
    <row r="840" spans="3:6" x14ac:dyDescent="0.25">
      <c r="C840" t="s">
        <v>118</v>
      </c>
      <c r="D840">
        <v>2022</v>
      </c>
      <c r="E840" t="s">
        <v>146</v>
      </c>
      <c r="F840">
        <v>14.41</v>
      </c>
    </row>
    <row r="841" spans="3:6" x14ac:dyDescent="0.25">
      <c r="C841" t="s">
        <v>118</v>
      </c>
      <c r="D841">
        <v>2022</v>
      </c>
      <c r="E841" t="s">
        <v>142</v>
      </c>
      <c r="F841">
        <v>590.05999999999995</v>
      </c>
    </row>
    <row r="842" spans="3:6" x14ac:dyDescent="0.25">
      <c r="C842" t="s">
        <v>118</v>
      </c>
      <c r="D842">
        <v>2022</v>
      </c>
      <c r="E842" t="s">
        <v>143</v>
      </c>
      <c r="F842">
        <v>653.22</v>
      </c>
    </row>
    <row r="843" spans="3:6" x14ac:dyDescent="0.25">
      <c r="C843" t="s">
        <v>118</v>
      </c>
      <c r="D843">
        <v>2022</v>
      </c>
      <c r="E843" t="s">
        <v>144</v>
      </c>
      <c r="F843">
        <v>650.21</v>
      </c>
    </row>
    <row r="844" spans="3:6" x14ac:dyDescent="0.25">
      <c r="C844" t="s">
        <v>118</v>
      </c>
      <c r="D844">
        <v>2022</v>
      </c>
      <c r="E844" t="s">
        <v>145</v>
      </c>
      <c r="F844">
        <v>3.73</v>
      </c>
    </row>
    <row r="845" spans="3:6" x14ac:dyDescent="0.25">
      <c r="C845" t="s">
        <v>118</v>
      </c>
      <c r="D845">
        <v>2023</v>
      </c>
      <c r="E845" t="s">
        <v>147</v>
      </c>
      <c r="F845">
        <v>0.75</v>
      </c>
    </row>
    <row r="846" spans="3:6" x14ac:dyDescent="0.25">
      <c r="C846" t="s">
        <v>118</v>
      </c>
      <c r="D846">
        <v>2023</v>
      </c>
      <c r="E846" t="s">
        <v>146</v>
      </c>
      <c r="F846">
        <v>14.99</v>
      </c>
    </row>
    <row r="847" spans="3:6" x14ac:dyDescent="0.25">
      <c r="C847" t="s">
        <v>118</v>
      </c>
      <c r="D847">
        <v>2023</v>
      </c>
      <c r="E847" t="s">
        <v>142</v>
      </c>
      <c r="F847">
        <v>606.61</v>
      </c>
    </row>
    <row r="848" spans="3:6" x14ac:dyDescent="0.25">
      <c r="C848" t="s">
        <v>118</v>
      </c>
      <c r="D848">
        <v>2023</v>
      </c>
      <c r="E848" t="s">
        <v>143</v>
      </c>
      <c r="F848">
        <v>671.89</v>
      </c>
    </row>
    <row r="849" spans="3:6" x14ac:dyDescent="0.25">
      <c r="C849" t="s">
        <v>118</v>
      </c>
      <c r="D849">
        <v>2023</v>
      </c>
      <c r="E849" t="s">
        <v>144</v>
      </c>
      <c r="F849">
        <v>654.05999999999995</v>
      </c>
    </row>
    <row r="850" spans="3:6" x14ac:dyDescent="0.25">
      <c r="C850" t="s">
        <v>118</v>
      </c>
      <c r="D850">
        <v>2023</v>
      </c>
      <c r="E850" t="s">
        <v>145</v>
      </c>
      <c r="F850">
        <v>4.09</v>
      </c>
    </row>
    <row r="851" spans="3:6" x14ac:dyDescent="0.25">
      <c r="C851" t="s">
        <v>118</v>
      </c>
      <c r="D851">
        <v>2024</v>
      </c>
      <c r="E851" t="s">
        <v>147</v>
      </c>
      <c r="F851">
        <v>0.76</v>
      </c>
    </row>
    <row r="852" spans="3:6" x14ac:dyDescent="0.25">
      <c r="C852" t="s">
        <v>118</v>
      </c>
      <c r="D852">
        <v>2024</v>
      </c>
      <c r="E852" t="s">
        <v>146</v>
      </c>
      <c r="F852">
        <v>15.26</v>
      </c>
    </row>
    <row r="853" spans="3:6" x14ac:dyDescent="0.25">
      <c r="C853" t="s">
        <v>118</v>
      </c>
      <c r="D853">
        <v>2024</v>
      </c>
      <c r="E853" t="s">
        <v>142</v>
      </c>
      <c r="F853">
        <v>616.88</v>
      </c>
    </row>
    <row r="854" spans="3:6" x14ac:dyDescent="0.25">
      <c r="C854" t="s">
        <v>118</v>
      </c>
      <c r="D854">
        <v>2024</v>
      </c>
      <c r="E854" t="s">
        <v>143</v>
      </c>
      <c r="F854">
        <v>683.91</v>
      </c>
    </row>
    <row r="855" spans="3:6" x14ac:dyDescent="0.25">
      <c r="C855" t="s">
        <v>118</v>
      </c>
      <c r="D855">
        <v>2024</v>
      </c>
      <c r="E855" t="s">
        <v>144</v>
      </c>
      <c r="F855">
        <v>655.73</v>
      </c>
    </row>
    <row r="856" spans="3:6" x14ac:dyDescent="0.25">
      <c r="C856" t="s">
        <v>118</v>
      </c>
      <c r="D856">
        <v>2024</v>
      </c>
      <c r="E856" t="s">
        <v>145</v>
      </c>
      <c r="F856">
        <v>5.07</v>
      </c>
    </row>
    <row r="857" spans="3:6" x14ac:dyDescent="0.25">
      <c r="C857" t="s">
        <v>118</v>
      </c>
      <c r="D857">
        <v>2025</v>
      </c>
      <c r="E857" t="s">
        <v>147</v>
      </c>
      <c r="F857">
        <v>0.76</v>
      </c>
    </row>
    <row r="858" spans="3:6" x14ac:dyDescent="0.25">
      <c r="C858" t="s">
        <v>118</v>
      </c>
      <c r="D858">
        <v>2025</v>
      </c>
      <c r="E858" t="s">
        <v>146</v>
      </c>
      <c r="F858">
        <v>15.34</v>
      </c>
    </row>
    <row r="859" spans="3:6" x14ac:dyDescent="0.25">
      <c r="C859" t="s">
        <v>118</v>
      </c>
      <c r="D859">
        <v>2025</v>
      </c>
      <c r="E859" t="s">
        <v>142</v>
      </c>
      <c r="F859">
        <v>625.80999999999995</v>
      </c>
    </row>
    <row r="860" spans="3:6" x14ac:dyDescent="0.25">
      <c r="C860" t="s">
        <v>118</v>
      </c>
      <c r="D860">
        <v>2025</v>
      </c>
      <c r="E860" t="s">
        <v>143</v>
      </c>
      <c r="F860">
        <v>689.6</v>
      </c>
    </row>
    <row r="861" spans="3:6" x14ac:dyDescent="0.25">
      <c r="C861" t="s">
        <v>118</v>
      </c>
      <c r="D861">
        <v>2025</v>
      </c>
      <c r="E861" t="s">
        <v>144</v>
      </c>
      <c r="F861">
        <v>657.41</v>
      </c>
    </row>
    <row r="862" spans="3:6" x14ac:dyDescent="0.25">
      <c r="C862" t="s">
        <v>118</v>
      </c>
      <c r="D862">
        <v>2025</v>
      </c>
      <c r="E862" t="s">
        <v>145</v>
      </c>
      <c r="F862">
        <v>6.67</v>
      </c>
    </row>
    <row r="863" spans="3:6" x14ac:dyDescent="0.25">
      <c r="C863" t="s">
        <v>118</v>
      </c>
      <c r="D863">
        <v>2026</v>
      </c>
      <c r="E863" t="s">
        <v>147</v>
      </c>
      <c r="F863">
        <v>0.76</v>
      </c>
    </row>
    <row r="864" spans="3:6" x14ac:dyDescent="0.25">
      <c r="C864" t="s">
        <v>118</v>
      </c>
      <c r="D864">
        <v>2026</v>
      </c>
      <c r="E864" t="s">
        <v>146</v>
      </c>
      <c r="F864">
        <v>15.46</v>
      </c>
    </row>
    <row r="865" spans="3:6" x14ac:dyDescent="0.25">
      <c r="C865" t="s">
        <v>118</v>
      </c>
      <c r="D865">
        <v>2026</v>
      </c>
      <c r="E865" t="s">
        <v>142</v>
      </c>
      <c r="F865">
        <v>634.85</v>
      </c>
    </row>
    <row r="866" spans="3:6" x14ac:dyDescent="0.25">
      <c r="C866" t="s">
        <v>118</v>
      </c>
      <c r="D866">
        <v>2026</v>
      </c>
      <c r="E866" t="s">
        <v>143</v>
      </c>
      <c r="F866">
        <v>698.97</v>
      </c>
    </row>
    <row r="867" spans="3:6" x14ac:dyDescent="0.25">
      <c r="C867" t="s">
        <v>118</v>
      </c>
      <c r="D867">
        <v>2026</v>
      </c>
      <c r="E867" t="s">
        <v>144</v>
      </c>
      <c r="F867">
        <v>661.41</v>
      </c>
    </row>
    <row r="868" spans="3:6" x14ac:dyDescent="0.25">
      <c r="C868" t="s">
        <v>118</v>
      </c>
      <c r="D868">
        <v>2026</v>
      </c>
      <c r="E868" t="s">
        <v>145</v>
      </c>
      <c r="F868">
        <v>8.11</v>
      </c>
    </row>
    <row r="869" spans="3:6" x14ac:dyDescent="0.25">
      <c r="C869" t="s">
        <v>118</v>
      </c>
      <c r="D869">
        <v>2027</v>
      </c>
      <c r="E869" t="s">
        <v>147</v>
      </c>
      <c r="F869">
        <v>0.77</v>
      </c>
    </row>
    <row r="870" spans="3:6" x14ac:dyDescent="0.25">
      <c r="C870" t="s">
        <v>118</v>
      </c>
      <c r="D870">
        <v>2027</v>
      </c>
      <c r="E870" t="s">
        <v>146</v>
      </c>
      <c r="F870">
        <v>15.62</v>
      </c>
    </row>
    <row r="871" spans="3:6" x14ac:dyDescent="0.25">
      <c r="C871" t="s">
        <v>118</v>
      </c>
      <c r="D871">
        <v>2027</v>
      </c>
      <c r="E871" t="s">
        <v>142</v>
      </c>
      <c r="F871">
        <v>642.86</v>
      </c>
    </row>
    <row r="872" spans="3:6" x14ac:dyDescent="0.25">
      <c r="C872" t="s">
        <v>118</v>
      </c>
      <c r="D872">
        <v>2027</v>
      </c>
      <c r="E872" t="s">
        <v>143</v>
      </c>
      <c r="F872">
        <v>706.8</v>
      </c>
    </row>
    <row r="873" spans="3:6" x14ac:dyDescent="0.25">
      <c r="C873" t="s">
        <v>118</v>
      </c>
      <c r="D873">
        <v>2027</v>
      </c>
      <c r="E873" t="s">
        <v>144</v>
      </c>
      <c r="F873">
        <v>665.45</v>
      </c>
    </row>
    <row r="874" spans="3:6" x14ac:dyDescent="0.25">
      <c r="C874" t="s">
        <v>118</v>
      </c>
      <c r="D874">
        <v>2027</v>
      </c>
      <c r="E874" t="s">
        <v>145</v>
      </c>
      <c r="F874">
        <v>9.59</v>
      </c>
    </row>
    <row r="875" spans="3:6" x14ac:dyDescent="0.25">
      <c r="C875" t="s">
        <v>118</v>
      </c>
      <c r="D875">
        <v>2028</v>
      </c>
      <c r="E875" t="s">
        <v>147</v>
      </c>
      <c r="F875">
        <v>0.77</v>
      </c>
    </row>
    <row r="876" spans="3:6" x14ac:dyDescent="0.25">
      <c r="C876" t="s">
        <v>118</v>
      </c>
      <c r="D876">
        <v>2028</v>
      </c>
      <c r="E876" t="s">
        <v>146</v>
      </c>
      <c r="F876">
        <v>15.81</v>
      </c>
    </row>
    <row r="877" spans="3:6" x14ac:dyDescent="0.25">
      <c r="C877" t="s">
        <v>118</v>
      </c>
      <c r="D877">
        <v>2028</v>
      </c>
      <c r="E877" t="s">
        <v>142</v>
      </c>
      <c r="F877">
        <v>650.95000000000005</v>
      </c>
    </row>
    <row r="878" spans="3:6" x14ac:dyDescent="0.25">
      <c r="C878" t="s">
        <v>118</v>
      </c>
      <c r="D878">
        <v>2028</v>
      </c>
      <c r="E878" t="s">
        <v>143</v>
      </c>
      <c r="F878">
        <v>719.12</v>
      </c>
    </row>
    <row r="879" spans="3:6" x14ac:dyDescent="0.25">
      <c r="C879" t="s">
        <v>118</v>
      </c>
      <c r="D879">
        <v>2028</v>
      </c>
      <c r="E879" t="s">
        <v>144</v>
      </c>
      <c r="F879">
        <v>669.51</v>
      </c>
    </row>
    <row r="880" spans="3:6" x14ac:dyDescent="0.25">
      <c r="C880" t="s">
        <v>118</v>
      </c>
      <c r="D880">
        <v>2028</v>
      </c>
      <c r="E880" t="s">
        <v>145</v>
      </c>
      <c r="F880">
        <v>11.24</v>
      </c>
    </row>
    <row r="881" spans="3:6" x14ac:dyDescent="0.25">
      <c r="C881" t="s">
        <v>118</v>
      </c>
      <c r="D881">
        <v>2029</v>
      </c>
      <c r="E881" t="s">
        <v>147</v>
      </c>
      <c r="F881">
        <v>0.77</v>
      </c>
    </row>
    <row r="882" spans="3:6" x14ac:dyDescent="0.25">
      <c r="C882" t="s">
        <v>118</v>
      </c>
      <c r="D882">
        <v>2029</v>
      </c>
      <c r="E882" t="s">
        <v>146</v>
      </c>
      <c r="F882">
        <v>16.010000000000002</v>
      </c>
    </row>
    <row r="883" spans="3:6" x14ac:dyDescent="0.25">
      <c r="C883" t="s">
        <v>118</v>
      </c>
      <c r="D883">
        <v>2029</v>
      </c>
      <c r="E883" t="s">
        <v>142</v>
      </c>
      <c r="F883">
        <v>659.24</v>
      </c>
    </row>
    <row r="884" spans="3:6" x14ac:dyDescent="0.25">
      <c r="C884" t="s">
        <v>118</v>
      </c>
      <c r="D884">
        <v>2029</v>
      </c>
      <c r="E884" t="s">
        <v>143</v>
      </c>
      <c r="F884">
        <v>725.53</v>
      </c>
    </row>
    <row r="885" spans="3:6" x14ac:dyDescent="0.25">
      <c r="C885" t="s">
        <v>118</v>
      </c>
      <c r="D885">
        <v>2029</v>
      </c>
      <c r="E885" t="s">
        <v>144</v>
      </c>
      <c r="F885">
        <v>673.64</v>
      </c>
    </row>
    <row r="886" spans="3:6" x14ac:dyDescent="0.25">
      <c r="C886" t="s">
        <v>118</v>
      </c>
      <c r="D886">
        <v>2029</v>
      </c>
      <c r="E886" t="s">
        <v>145</v>
      </c>
      <c r="F886">
        <v>13.39</v>
      </c>
    </row>
    <row r="887" spans="3:6" x14ac:dyDescent="0.25">
      <c r="C887" t="s">
        <v>118</v>
      </c>
      <c r="D887">
        <v>2030</v>
      </c>
      <c r="E887" t="s">
        <v>147</v>
      </c>
      <c r="F887">
        <v>0.78</v>
      </c>
    </row>
    <row r="888" spans="3:6" x14ac:dyDescent="0.25">
      <c r="C888" t="s">
        <v>118</v>
      </c>
      <c r="D888">
        <v>2030</v>
      </c>
      <c r="E888" t="s">
        <v>146</v>
      </c>
      <c r="F888">
        <v>16.27</v>
      </c>
    </row>
    <row r="889" spans="3:6" x14ac:dyDescent="0.25">
      <c r="C889" t="s">
        <v>118</v>
      </c>
      <c r="D889">
        <v>2030</v>
      </c>
      <c r="E889" t="s">
        <v>142</v>
      </c>
      <c r="F889">
        <v>668.02</v>
      </c>
    </row>
    <row r="890" spans="3:6" x14ac:dyDescent="0.25">
      <c r="C890" t="s">
        <v>118</v>
      </c>
      <c r="D890">
        <v>2030</v>
      </c>
      <c r="E890" t="s">
        <v>143</v>
      </c>
      <c r="F890">
        <v>736.65</v>
      </c>
    </row>
    <row r="891" spans="3:6" x14ac:dyDescent="0.25">
      <c r="C891" t="s">
        <v>118</v>
      </c>
      <c r="D891">
        <v>2030</v>
      </c>
      <c r="E891" t="s">
        <v>144</v>
      </c>
      <c r="F891">
        <v>677.74</v>
      </c>
    </row>
    <row r="892" spans="3:6" x14ac:dyDescent="0.25">
      <c r="C892" t="s">
        <v>118</v>
      </c>
      <c r="D892">
        <v>2030</v>
      </c>
      <c r="E892" t="s">
        <v>145</v>
      </c>
      <c r="F892">
        <v>15.87</v>
      </c>
    </row>
    <row r="893" spans="3:6" x14ac:dyDescent="0.25">
      <c r="C893" t="s">
        <v>118</v>
      </c>
      <c r="D893">
        <v>2031</v>
      </c>
      <c r="E893" t="s">
        <v>147</v>
      </c>
      <c r="F893">
        <v>0.78</v>
      </c>
    </row>
    <row r="894" spans="3:6" x14ac:dyDescent="0.25">
      <c r="C894" t="s">
        <v>118</v>
      </c>
      <c r="D894">
        <v>2031</v>
      </c>
      <c r="E894" t="s">
        <v>146</v>
      </c>
      <c r="F894">
        <v>16.57</v>
      </c>
    </row>
    <row r="895" spans="3:6" x14ac:dyDescent="0.25">
      <c r="C895" t="s">
        <v>118</v>
      </c>
      <c r="D895">
        <v>2031</v>
      </c>
      <c r="E895" t="s">
        <v>142</v>
      </c>
      <c r="F895">
        <v>675.99</v>
      </c>
    </row>
    <row r="896" spans="3:6" x14ac:dyDescent="0.25">
      <c r="C896" t="s">
        <v>118</v>
      </c>
      <c r="D896">
        <v>2031</v>
      </c>
      <c r="E896" t="s">
        <v>143</v>
      </c>
      <c r="F896">
        <v>746.43</v>
      </c>
    </row>
    <row r="897" spans="3:6" x14ac:dyDescent="0.25">
      <c r="C897" t="s">
        <v>118</v>
      </c>
      <c r="D897">
        <v>2031</v>
      </c>
      <c r="E897" t="s">
        <v>144</v>
      </c>
      <c r="F897">
        <v>681.02</v>
      </c>
    </row>
    <row r="898" spans="3:6" x14ac:dyDescent="0.25">
      <c r="C898" t="s">
        <v>118</v>
      </c>
      <c r="D898">
        <v>2031</v>
      </c>
      <c r="E898" t="s">
        <v>145</v>
      </c>
      <c r="F898">
        <v>18.989999999999998</v>
      </c>
    </row>
    <row r="899" spans="3:6" x14ac:dyDescent="0.25">
      <c r="C899" t="s">
        <v>118</v>
      </c>
      <c r="D899">
        <v>2032</v>
      </c>
      <c r="E899" t="s">
        <v>147</v>
      </c>
      <c r="F899">
        <v>0.79</v>
      </c>
    </row>
    <row r="900" spans="3:6" x14ac:dyDescent="0.25">
      <c r="C900" t="s">
        <v>118</v>
      </c>
      <c r="D900">
        <v>2032</v>
      </c>
      <c r="E900" t="s">
        <v>146</v>
      </c>
      <c r="F900">
        <v>16.88</v>
      </c>
    </row>
    <row r="901" spans="3:6" x14ac:dyDescent="0.25">
      <c r="C901" t="s">
        <v>118</v>
      </c>
      <c r="D901">
        <v>2032</v>
      </c>
      <c r="E901" t="s">
        <v>142</v>
      </c>
      <c r="F901">
        <v>684.05</v>
      </c>
    </row>
    <row r="902" spans="3:6" x14ac:dyDescent="0.25">
      <c r="C902" t="s">
        <v>118</v>
      </c>
      <c r="D902">
        <v>2032</v>
      </c>
      <c r="E902" t="s">
        <v>143</v>
      </c>
      <c r="F902">
        <v>758.4</v>
      </c>
    </row>
    <row r="903" spans="3:6" x14ac:dyDescent="0.25">
      <c r="C903" t="s">
        <v>118</v>
      </c>
      <c r="D903">
        <v>2032</v>
      </c>
      <c r="E903" t="s">
        <v>144</v>
      </c>
      <c r="F903">
        <v>684.88</v>
      </c>
    </row>
    <row r="904" spans="3:6" x14ac:dyDescent="0.25">
      <c r="C904" t="s">
        <v>118</v>
      </c>
      <c r="D904">
        <v>2032</v>
      </c>
      <c r="E904" t="s">
        <v>145</v>
      </c>
      <c r="F904">
        <v>22.69</v>
      </c>
    </row>
    <row r="905" spans="3:6" x14ac:dyDescent="0.25">
      <c r="C905" t="s">
        <v>118</v>
      </c>
      <c r="D905">
        <v>2033</v>
      </c>
      <c r="E905" t="s">
        <v>147</v>
      </c>
      <c r="F905">
        <v>0.8</v>
      </c>
    </row>
    <row r="906" spans="3:6" x14ac:dyDescent="0.25">
      <c r="C906" t="s">
        <v>118</v>
      </c>
      <c r="D906">
        <v>2033</v>
      </c>
      <c r="E906" t="s">
        <v>146</v>
      </c>
      <c r="F906">
        <v>17.2</v>
      </c>
    </row>
    <row r="907" spans="3:6" x14ac:dyDescent="0.25">
      <c r="C907" t="s">
        <v>118</v>
      </c>
      <c r="D907">
        <v>2033</v>
      </c>
      <c r="E907" t="s">
        <v>142</v>
      </c>
      <c r="F907">
        <v>692.12</v>
      </c>
    </row>
    <row r="908" spans="3:6" x14ac:dyDescent="0.25">
      <c r="C908" t="s">
        <v>118</v>
      </c>
      <c r="D908">
        <v>2033</v>
      </c>
      <c r="E908" t="s">
        <v>143</v>
      </c>
      <c r="F908">
        <v>765.07</v>
      </c>
    </row>
    <row r="909" spans="3:6" x14ac:dyDescent="0.25">
      <c r="C909" t="s">
        <v>118</v>
      </c>
      <c r="D909">
        <v>2033</v>
      </c>
      <c r="E909" t="s">
        <v>144</v>
      </c>
      <c r="F909">
        <v>688.62</v>
      </c>
    </row>
    <row r="910" spans="3:6" x14ac:dyDescent="0.25">
      <c r="C910" t="s">
        <v>118</v>
      </c>
      <c r="D910">
        <v>2033</v>
      </c>
      <c r="E910" t="s">
        <v>145</v>
      </c>
      <c r="F910">
        <v>26.86</v>
      </c>
    </row>
    <row r="911" spans="3:6" x14ac:dyDescent="0.25">
      <c r="C911" t="s">
        <v>118</v>
      </c>
      <c r="D911">
        <v>2034</v>
      </c>
      <c r="E911" t="s">
        <v>147</v>
      </c>
      <c r="F911">
        <v>0.8</v>
      </c>
    </row>
    <row r="912" spans="3:6" x14ac:dyDescent="0.25">
      <c r="C912" t="s">
        <v>118</v>
      </c>
      <c r="D912">
        <v>2034</v>
      </c>
      <c r="E912" t="s">
        <v>146</v>
      </c>
      <c r="F912">
        <v>17.54</v>
      </c>
    </row>
    <row r="913" spans="3:6" x14ac:dyDescent="0.25">
      <c r="C913" t="s">
        <v>118</v>
      </c>
      <c r="D913">
        <v>2034</v>
      </c>
      <c r="E913" t="s">
        <v>142</v>
      </c>
      <c r="F913">
        <v>700.44</v>
      </c>
    </row>
    <row r="914" spans="3:6" x14ac:dyDescent="0.25">
      <c r="C914" t="s">
        <v>118</v>
      </c>
      <c r="D914">
        <v>2034</v>
      </c>
      <c r="E914" t="s">
        <v>143</v>
      </c>
      <c r="F914">
        <v>777.95</v>
      </c>
    </row>
    <row r="915" spans="3:6" x14ac:dyDescent="0.25">
      <c r="C915" t="s">
        <v>118</v>
      </c>
      <c r="D915">
        <v>2034</v>
      </c>
      <c r="E915" t="s">
        <v>144</v>
      </c>
      <c r="F915">
        <v>692.35</v>
      </c>
    </row>
    <row r="916" spans="3:6" x14ac:dyDescent="0.25">
      <c r="C916" t="s">
        <v>118</v>
      </c>
      <c r="D916">
        <v>2034</v>
      </c>
      <c r="E916" t="s">
        <v>145</v>
      </c>
      <c r="F916">
        <v>31.63</v>
      </c>
    </row>
    <row r="917" spans="3:6" x14ac:dyDescent="0.25">
      <c r="C917" t="s">
        <v>118</v>
      </c>
      <c r="D917">
        <v>2035</v>
      </c>
      <c r="E917" t="s">
        <v>147</v>
      </c>
      <c r="F917">
        <v>0.81</v>
      </c>
    </row>
    <row r="918" spans="3:6" x14ac:dyDescent="0.25">
      <c r="C918" t="s">
        <v>118</v>
      </c>
      <c r="D918">
        <v>2035</v>
      </c>
      <c r="E918" t="s">
        <v>146</v>
      </c>
      <c r="F918">
        <v>17.89</v>
      </c>
    </row>
    <row r="919" spans="3:6" x14ac:dyDescent="0.25">
      <c r="C919" t="s">
        <v>118</v>
      </c>
      <c r="D919">
        <v>2035</v>
      </c>
      <c r="E919" t="s">
        <v>142</v>
      </c>
      <c r="F919">
        <v>708.73</v>
      </c>
    </row>
    <row r="920" spans="3:6" x14ac:dyDescent="0.25">
      <c r="C920" t="s">
        <v>118</v>
      </c>
      <c r="D920">
        <v>2035</v>
      </c>
      <c r="E920" t="s">
        <v>143</v>
      </c>
      <c r="F920">
        <v>788.34</v>
      </c>
    </row>
    <row r="921" spans="3:6" x14ac:dyDescent="0.25">
      <c r="C921" t="s">
        <v>118</v>
      </c>
      <c r="D921">
        <v>2035</v>
      </c>
      <c r="E921" t="s">
        <v>144</v>
      </c>
      <c r="F921">
        <v>696.01</v>
      </c>
    </row>
    <row r="922" spans="3:6" x14ac:dyDescent="0.25">
      <c r="C922" t="s">
        <v>118</v>
      </c>
      <c r="D922">
        <v>2035</v>
      </c>
      <c r="E922" t="s">
        <v>145</v>
      </c>
      <c r="F922">
        <v>36.619999999999997</v>
      </c>
    </row>
    <row r="923" spans="3:6" x14ac:dyDescent="0.25">
      <c r="C923" t="s">
        <v>118</v>
      </c>
      <c r="D923">
        <v>2036</v>
      </c>
      <c r="E923" t="s">
        <v>147</v>
      </c>
      <c r="F923">
        <v>0.81</v>
      </c>
    </row>
    <row r="924" spans="3:6" x14ac:dyDescent="0.25">
      <c r="C924" t="s">
        <v>118</v>
      </c>
      <c r="D924">
        <v>2036</v>
      </c>
      <c r="E924" t="s">
        <v>146</v>
      </c>
      <c r="F924">
        <v>18.23</v>
      </c>
    </row>
    <row r="925" spans="3:6" x14ac:dyDescent="0.25">
      <c r="C925" t="s">
        <v>118</v>
      </c>
      <c r="D925">
        <v>2036</v>
      </c>
      <c r="E925" t="s">
        <v>142</v>
      </c>
      <c r="F925">
        <v>716.63</v>
      </c>
    </row>
    <row r="926" spans="3:6" x14ac:dyDescent="0.25">
      <c r="C926" t="s">
        <v>118</v>
      </c>
      <c r="D926">
        <v>2036</v>
      </c>
      <c r="E926" t="s">
        <v>143</v>
      </c>
      <c r="F926">
        <v>797.57</v>
      </c>
    </row>
    <row r="927" spans="3:6" x14ac:dyDescent="0.25">
      <c r="C927" t="s">
        <v>118</v>
      </c>
      <c r="D927">
        <v>2036</v>
      </c>
      <c r="E927" t="s">
        <v>144</v>
      </c>
      <c r="F927">
        <v>699.68</v>
      </c>
    </row>
    <row r="928" spans="3:6" x14ac:dyDescent="0.25">
      <c r="C928" t="s">
        <v>118</v>
      </c>
      <c r="D928">
        <v>2036</v>
      </c>
      <c r="E928" t="s">
        <v>145</v>
      </c>
      <c r="F928">
        <v>42.22</v>
      </c>
    </row>
    <row r="929" spans="3:6" x14ac:dyDescent="0.25">
      <c r="C929" t="s">
        <v>118</v>
      </c>
      <c r="D929">
        <v>2037</v>
      </c>
      <c r="E929" t="s">
        <v>147</v>
      </c>
      <c r="F929">
        <v>0.82</v>
      </c>
    </row>
    <row r="930" spans="3:6" x14ac:dyDescent="0.25">
      <c r="C930" t="s">
        <v>118</v>
      </c>
      <c r="D930">
        <v>2037</v>
      </c>
      <c r="E930" t="s">
        <v>146</v>
      </c>
      <c r="F930">
        <v>18.59</v>
      </c>
    </row>
    <row r="931" spans="3:6" x14ac:dyDescent="0.25">
      <c r="C931" t="s">
        <v>118</v>
      </c>
      <c r="D931">
        <v>2037</v>
      </c>
      <c r="E931" t="s">
        <v>142</v>
      </c>
      <c r="F931">
        <v>724.77</v>
      </c>
    </row>
    <row r="932" spans="3:6" x14ac:dyDescent="0.25">
      <c r="C932" t="s">
        <v>118</v>
      </c>
      <c r="D932">
        <v>2037</v>
      </c>
      <c r="E932" t="s">
        <v>143</v>
      </c>
      <c r="F932">
        <v>806.15</v>
      </c>
    </row>
    <row r="933" spans="3:6" x14ac:dyDescent="0.25">
      <c r="C933" t="s">
        <v>118</v>
      </c>
      <c r="D933">
        <v>2037</v>
      </c>
      <c r="E933" t="s">
        <v>144</v>
      </c>
      <c r="F933">
        <v>703.31</v>
      </c>
    </row>
    <row r="934" spans="3:6" x14ac:dyDescent="0.25">
      <c r="C934" t="s">
        <v>118</v>
      </c>
      <c r="D934">
        <v>2037</v>
      </c>
      <c r="E934" t="s">
        <v>145</v>
      </c>
      <c r="F934">
        <v>47.29</v>
      </c>
    </row>
    <row r="935" spans="3:6" x14ac:dyDescent="0.25">
      <c r="C935" t="s">
        <v>118</v>
      </c>
      <c r="D935">
        <v>2038</v>
      </c>
      <c r="E935" t="s">
        <v>147</v>
      </c>
      <c r="F935">
        <v>0.83</v>
      </c>
    </row>
    <row r="936" spans="3:6" x14ac:dyDescent="0.25">
      <c r="C936" t="s">
        <v>118</v>
      </c>
      <c r="D936">
        <v>2038</v>
      </c>
      <c r="E936" t="s">
        <v>146</v>
      </c>
      <c r="F936">
        <v>18.96</v>
      </c>
    </row>
    <row r="937" spans="3:6" x14ac:dyDescent="0.25">
      <c r="C937" t="s">
        <v>118</v>
      </c>
      <c r="D937">
        <v>2038</v>
      </c>
      <c r="E937" t="s">
        <v>142</v>
      </c>
      <c r="F937">
        <v>733.18</v>
      </c>
    </row>
    <row r="938" spans="3:6" x14ac:dyDescent="0.25">
      <c r="C938" t="s">
        <v>118</v>
      </c>
      <c r="D938">
        <v>2038</v>
      </c>
      <c r="E938" t="s">
        <v>143</v>
      </c>
      <c r="F938">
        <v>817.06</v>
      </c>
    </row>
    <row r="939" spans="3:6" x14ac:dyDescent="0.25">
      <c r="C939" t="s">
        <v>118</v>
      </c>
      <c r="D939">
        <v>2038</v>
      </c>
      <c r="E939" t="s">
        <v>144</v>
      </c>
      <c r="F939">
        <v>706.93</v>
      </c>
    </row>
    <row r="940" spans="3:6" x14ac:dyDescent="0.25">
      <c r="C940" t="s">
        <v>118</v>
      </c>
      <c r="D940">
        <v>2038</v>
      </c>
      <c r="E940" t="s">
        <v>145</v>
      </c>
      <c r="F940">
        <v>52.74</v>
      </c>
    </row>
    <row r="941" spans="3:6" x14ac:dyDescent="0.25">
      <c r="C941" t="s">
        <v>118</v>
      </c>
      <c r="D941">
        <v>2039</v>
      </c>
      <c r="E941" t="s">
        <v>147</v>
      </c>
      <c r="F941">
        <v>0.83</v>
      </c>
    </row>
    <row r="942" spans="3:6" x14ac:dyDescent="0.25">
      <c r="C942" t="s">
        <v>118</v>
      </c>
      <c r="D942">
        <v>2039</v>
      </c>
      <c r="E942" t="s">
        <v>146</v>
      </c>
      <c r="F942">
        <v>19.34</v>
      </c>
    </row>
    <row r="943" spans="3:6" x14ac:dyDescent="0.25">
      <c r="C943" t="s">
        <v>118</v>
      </c>
      <c r="D943">
        <v>2039</v>
      </c>
      <c r="E943" t="s">
        <v>142</v>
      </c>
      <c r="F943">
        <v>741.74</v>
      </c>
    </row>
    <row r="944" spans="3:6" x14ac:dyDescent="0.25">
      <c r="C944" t="s">
        <v>118</v>
      </c>
      <c r="D944">
        <v>2039</v>
      </c>
      <c r="E944" t="s">
        <v>143</v>
      </c>
      <c r="F944">
        <v>827.54</v>
      </c>
    </row>
    <row r="945" spans="3:6" x14ac:dyDescent="0.25">
      <c r="C945" t="s">
        <v>118</v>
      </c>
      <c r="D945">
        <v>2039</v>
      </c>
      <c r="E945" t="s">
        <v>144</v>
      </c>
      <c r="F945">
        <v>710.55</v>
      </c>
    </row>
    <row r="946" spans="3:6" x14ac:dyDescent="0.25">
      <c r="C946" t="s">
        <v>118</v>
      </c>
      <c r="D946">
        <v>2039</v>
      </c>
      <c r="E946" t="s">
        <v>145</v>
      </c>
      <c r="F946">
        <v>58.13</v>
      </c>
    </row>
    <row r="947" spans="3:6" x14ac:dyDescent="0.25">
      <c r="C947" t="s">
        <v>118</v>
      </c>
      <c r="D947">
        <v>2040</v>
      </c>
      <c r="E947" t="s">
        <v>147</v>
      </c>
      <c r="F947">
        <v>0.84</v>
      </c>
    </row>
    <row r="948" spans="3:6" x14ac:dyDescent="0.25">
      <c r="C948" t="s">
        <v>118</v>
      </c>
      <c r="D948">
        <v>2040</v>
      </c>
      <c r="E948" t="s">
        <v>146</v>
      </c>
      <c r="F948">
        <v>19.739999999999998</v>
      </c>
    </row>
    <row r="949" spans="3:6" x14ac:dyDescent="0.25">
      <c r="C949" t="s">
        <v>118</v>
      </c>
      <c r="D949">
        <v>2040</v>
      </c>
      <c r="E949" t="s">
        <v>142</v>
      </c>
      <c r="F949">
        <v>750.45</v>
      </c>
    </row>
    <row r="950" spans="3:6" x14ac:dyDescent="0.25">
      <c r="C950" t="s">
        <v>118</v>
      </c>
      <c r="D950">
        <v>2040</v>
      </c>
      <c r="E950" t="s">
        <v>143</v>
      </c>
      <c r="F950">
        <v>838.02</v>
      </c>
    </row>
    <row r="951" spans="3:6" x14ac:dyDescent="0.25">
      <c r="C951" t="s">
        <v>118</v>
      </c>
      <c r="D951">
        <v>2040</v>
      </c>
      <c r="E951" t="s">
        <v>144</v>
      </c>
      <c r="F951">
        <v>714.15</v>
      </c>
    </row>
    <row r="952" spans="3:6" x14ac:dyDescent="0.25">
      <c r="C952" t="s">
        <v>118</v>
      </c>
      <c r="D952">
        <v>2040</v>
      </c>
      <c r="E952" t="s">
        <v>145</v>
      </c>
      <c r="F952">
        <v>63.48</v>
      </c>
    </row>
    <row r="953" spans="3:6" x14ac:dyDescent="0.25">
      <c r="C953" t="s">
        <v>118</v>
      </c>
      <c r="D953">
        <v>2041</v>
      </c>
      <c r="E953" t="s">
        <v>147</v>
      </c>
      <c r="F953">
        <v>0.84</v>
      </c>
    </row>
    <row r="954" spans="3:6" x14ac:dyDescent="0.25">
      <c r="C954" t="s">
        <v>118</v>
      </c>
      <c r="D954">
        <v>2041</v>
      </c>
      <c r="E954" t="s">
        <v>146</v>
      </c>
      <c r="F954">
        <v>20.170000000000002</v>
      </c>
    </row>
    <row r="955" spans="3:6" x14ac:dyDescent="0.25">
      <c r="C955" t="s">
        <v>118</v>
      </c>
      <c r="D955">
        <v>2041</v>
      </c>
      <c r="E955" t="s">
        <v>142</v>
      </c>
      <c r="F955">
        <v>759.46</v>
      </c>
    </row>
    <row r="956" spans="3:6" x14ac:dyDescent="0.25">
      <c r="C956" t="s">
        <v>118</v>
      </c>
      <c r="D956">
        <v>2041</v>
      </c>
      <c r="E956" t="s">
        <v>143</v>
      </c>
      <c r="F956">
        <v>847.99</v>
      </c>
    </row>
    <row r="957" spans="3:6" x14ac:dyDescent="0.25">
      <c r="C957" t="s">
        <v>118</v>
      </c>
      <c r="D957">
        <v>2041</v>
      </c>
      <c r="E957" t="s">
        <v>144</v>
      </c>
      <c r="F957">
        <v>717.93</v>
      </c>
    </row>
    <row r="958" spans="3:6" x14ac:dyDescent="0.25">
      <c r="C958" t="s">
        <v>118</v>
      </c>
      <c r="D958">
        <v>2041</v>
      </c>
      <c r="E958" t="s">
        <v>145</v>
      </c>
      <c r="F958">
        <v>68.63</v>
      </c>
    </row>
    <row r="959" spans="3:6" x14ac:dyDescent="0.25">
      <c r="C959" t="s">
        <v>118</v>
      </c>
      <c r="D959">
        <v>2042</v>
      </c>
      <c r="E959" t="s">
        <v>147</v>
      </c>
      <c r="F959">
        <v>0.85</v>
      </c>
    </row>
    <row r="960" spans="3:6" x14ac:dyDescent="0.25">
      <c r="C960" t="s">
        <v>118</v>
      </c>
      <c r="D960">
        <v>2042</v>
      </c>
      <c r="E960" t="s">
        <v>146</v>
      </c>
      <c r="F960">
        <v>20.59</v>
      </c>
    </row>
    <row r="961" spans="3:6" x14ac:dyDescent="0.25">
      <c r="C961" t="s">
        <v>118</v>
      </c>
      <c r="D961">
        <v>2042</v>
      </c>
      <c r="E961" t="s">
        <v>142</v>
      </c>
      <c r="F961">
        <v>768.55</v>
      </c>
    </row>
    <row r="962" spans="3:6" x14ac:dyDescent="0.25">
      <c r="C962" t="s">
        <v>118</v>
      </c>
      <c r="D962">
        <v>2042</v>
      </c>
      <c r="E962" t="s">
        <v>143</v>
      </c>
      <c r="F962">
        <v>860.88</v>
      </c>
    </row>
    <row r="963" spans="3:6" x14ac:dyDescent="0.25">
      <c r="C963" t="s">
        <v>118</v>
      </c>
      <c r="D963">
        <v>2042</v>
      </c>
      <c r="E963" t="s">
        <v>144</v>
      </c>
      <c r="F963">
        <v>721.61</v>
      </c>
    </row>
    <row r="964" spans="3:6" x14ac:dyDescent="0.25">
      <c r="C964" t="s">
        <v>118</v>
      </c>
      <c r="D964">
        <v>2042</v>
      </c>
      <c r="E964" t="s">
        <v>145</v>
      </c>
      <c r="F964">
        <v>73.540000000000006</v>
      </c>
    </row>
    <row r="965" spans="3:6" x14ac:dyDescent="0.25">
      <c r="C965" t="s">
        <v>118</v>
      </c>
      <c r="D965">
        <v>2043</v>
      </c>
      <c r="E965" t="s">
        <v>147</v>
      </c>
      <c r="F965">
        <v>0.86</v>
      </c>
    </row>
    <row r="966" spans="3:6" x14ac:dyDescent="0.25">
      <c r="C966" t="s">
        <v>118</v>
      </c>
      <c r="D966">
        <v>2043</v>
      </c>
      <c r="E966" t="s">
        <v>146</v>
      </c>
      <c r="F966">
        <v>21.03</v>
      </c>
    </row>
    <row r="967" spans="3:6" x14ac:dyDescent="0.25">
      <c r="C967" t="s">
        <v>118</v>
      </c>
      <c r="D967">
        <v>2043</v>
      </c>
      <c r="E967" t="s">
        <v>142</v>
      </c>
      <c r="F967">
        <v>777.74</v>
      </c>
    </row>
    <row r="968" spans="3:6" x14ac:dyDescent="0.25">
      <c r="C968" t="s">
        <v>118</v>
      </c>
      <c r="D968">
        <v>2043</v>
      </c>
      <c r="E968" t="s">
        <v>143</v>
      </c>
      <c r="F968">
        <v>872.57</v>
      </c>
    </row>
    <row r="969" spans="3:6" x14ac:dyDescent="0.25">
      <c r="C969" t="s">
        <v>118</v>
      </c>
      <c r="D969">
        <v>2043</v>
      </c>
      <c r="E969" t="s">
        <v>144</v>
      </c>
      <c r="F969">
        <v>725.31</v>
      </c>
    </row>
    <row r="970" spans="3:6" x14ac:dyDescent="0.25">
      <c r="C970" t="s">
        <v>118</v>
      </c>
      <c r="D970">
        <v>2043</v>
      </c>
      <c r="E970" t="s">
        <v>145</v>
      </c>
      <c r="F970">
        <v>78.28</v>
      </c>
    </row>
    <row r="971" spans="3:6" x14ac:dyDescent="0.25">
      <c r="C971" t="s">
        <v>118</v>
      </c>
      <c r="D971">
        <v>2044</v>
      </c>
      <c r="E971" t="s">
        <v>147</v>
      </c>
      <c r="F971">
        <v>0.86</v>
      </c>
    </row>
    <row r="972" spans="3:6" x14ac:dyDescent="0.25">
      <c r="C972" t="s">
        <v>118</v>
      </c>
      <c r="D972">
        <v>2044</v>
      </c>
      <c r="E972" t="s">
        <v>146</v>
      </c>
      <c r="F972">
        <v>21.46</v>
      </c>
    </row>
    <row r="973" spans="3:6" x14ac:dyDescent="0.25">
      <c r="C973" t="s">
        <v>118</v>
      </c>
      <c r="D973">
        <v>2044</v>
      </c>
      <c r="E973" t="s">
        <v>142</v>
      </c>
      <c r="F973">
        <v>786.88</v>
      </c>
    </row>
    <row r="974" spans="3:6" x14ac:dyDescent="0.25">
      <c r="C974" t="s">
        <v>118</v>
      </c>
      <c r="D974">
        <v>2044</v>
      </c>
      <c r="E974" t="s">
        <v>143</v>
      </c>
      <c r="F974">
        <v>883.47</v>
      </c>
    </row>
    <row r="975" spans="3:6" x14ac:dyDescent="0.25">
      <c r="C975" t="s">
        <v>118</v>
      </c>
      <c r="D975">
        <v>2044</v>
      </c>
      <c r="E975" t="s">
        <v>144</v>
      </c>
      <c r="F975">
        <v>728.93</v>
      </c>
    </row>
    <row r="976" spans="3:6" x14ac:dyDescent="0.25">
      <c r="C976" t="s">
        <v>118</v>
      </c>
      <c r="D976">
        <v>2044</v>
      </c>
      <c r="E976" t="s">
        <v>145</v>
      </c>
      <c r="F976">
        <v>82.82</v>
      </c>
    </row>
    <row r="977" spans="3:6" x14ac:dyDescent="0.25">
      <c r="C977" t="s">
        <v>118</v>
      </c>
      <c r="D977">
        <v>2045</v>
      </c>
      <c r="E977" t="s">
        <v>147</v>
      </c>
      <c r="F977">
        <v>0.87</v>
      </c>
    </row>
    <row r="978" spans="3:6" x14ac:dyDescent="0.25">
      <c r="C978" t="s">
        <v>118</v>
      </c>
      <c r="D978">
        <v>2045</v>
      </c>
      <c r="E978" t="s">
        <v>146</v>
      </c>
      <c r="F978">
        <v>21.9</v>
      </c>
    </row>
    <row r="979" spans="3:6" x14ac:dyDescent="0.25">
      <c r="C979" t="s">
        <v>118</v>
      </c>
      <c r="D979">
        <v>2045</v>
      </c>
      <c r="E979" t="s">
        <v>142</v>
      </c>
      <c r="F979">
        <v>795.92</v>
      </c>
    </row>
    <row r="980" spans="3:6" x14ac:dyDescent="0.25">
      <c r="C980" t="s">
        <v>118</v>
      </c>
      <c r="D980">
        <v>2045</v>
      </c>
      <c r="E980" t="s">
        <v>143</v>
      </c>
      <c r="F980">
        <v>897.41</v>
      </c>
    </row>
    <row r="981" spans="3:6" x14ac:dyDescent="0.25">
      <c r="C981" t="s">
        <v>118</v>
      </c>
      <c r="D981">
        <v>2045</v>
      </c>
      <c r="E981" t="s">
        <v>144</v>
      </c>
      <c r="F981">
        <v>732.49</v>
      </c>
    </row>
    <row r="982" spans="3:6" x14ac:dyDescent="0.25">
      <c r="C982" t="s">
        <v>118</v>
      </c>
      <c r="D982">
        <v>2045</v>
      </c>
      <c r="E982" t="s">
        <v>145</v>
      </c>
      <c r="F982">
        <v>87.08</v>
      </c>
    </row>
    <row r="983" spans="3:6" x14ac:dyDescent="0.25">
      <c r="C983" t="s">
        <v>118</v>
      </c>
      <c r="D983">
        <v>2046</v>
      </c>
      <c r="E983" t="s">
        <v>147</v>
      </c>
      <c r="F983">
        <v>0.87</v>
      </c>
    </row>
    <row r="984" spans="3:6" x14ac:dyDescent="0.25">
      <c r="C984" t="s">
        <v>118</v>
      </c>
      <c r="D984">
        <v>2046</v>
      </c>
      <c r="E984" t="s">
        <v>146</v>
      </c>
      <c r="F984">
        <v>22.33</v>
      </c>
    </row>
    <row r="985" spans="3:6" x14ac:dyDescent="0.25">
      <c r="C985" t="s">
        <v>118</v>
      </c>
      <c r="D985">
        <v>2046</v>
      </c>
      <c r="E985" t="s">
        <v>142</v>
      </c>
      <c r="F985">
        <v>803.02</v>
      </c>
    </row>
    <row r="986" spans="3:6" x14ac:dyDescent="0.25">
      <c r="C986" t="s">
        <v>118</v>
      </c>
      <c r="D986">
        <v>2046</v>
      </c>
      <c r="E986" t="s">
        <v>143</v>
      </c>
      <c r="F986">
        <v>906.65</v>
      </c>
    </row>
    <row r="987" spans="3:6" x14ac:dyDescent="0.25">
      <c r="C987" t="s">
        <v>118</v>
      </c>
      <c r="D987">
        <v>2046</v>
      </c>
      <c r="E987" t="s">
        <v>144</v>
      </c>
      <c r="F987">
        <v>733.72</v>
      </c>
    </row>
    <row r="988" spans="3:6" x14ac:dyDescent="0.25">
      <c r="C988" t="s">
        <v>118</v>
      </c>
      <c r="D988">
        <v>2046</v>
      </c>
      <c r="E988" t="s">
        <v>145</v>
      </c>
      <c r="F988">
        <v>91.17</v>
      </c>
    </row>
    <row r="989" spans="3:6" x14ac:dyDescent="0.25">
      <c r="C989" t="s">
        <v>118</v>
      </c>
      <c r="D989">
        <v>2047</v>
      </c>
      <c r="E989" t="s">
        <v>147</v>
      </c>
      <c r="F989">
        <v>0.88</v>
      </c>
    </row>
    <row r="990" spans="3:6" x14ac:dyDescent="0.25">
      <c r="C990" t="s">
        <v>118</v>
      </c>
      <c r="D990">
        <v>2047</v>
      </c>
      <c r="E990" t="s">
        <v>146</v>
      </c>
      <c r="F990">
        <v>22.75</v>
      </c>
    </row>
    <row r="991" spans="3:6" x14ac:dyDescent="0.25">
      <c r="C991" t="s">
        <v>118</v>
      </c>
      <c r="D991">
        <v>2047</v>
      </c>
      <c r="E991" t="s">
        <v>142</v>
      </c>
      <c r="F991">
        <v>810.22</v>
      </c>
    </row>
    <row r="992" spans="3:6" x14ac:dyDescent="0.25">
      <c r="C992" t="s">
        <v>118</v>
      </c>
      <c r="D992">
        <v>2047</v>
      </c>
      <c r="E992" t="s">
        <v>143</v>
      </c>
      <c r="F992">
        <v>921.15</v>
      </c>
    </row>
    <row r="993" spans="3:6" x14ac:dyDescent="0.25">
      <c r="C993" t="s">
        <v>118</v>
      </c>
      <c r="D993">
        <v>2047</v>
      </c>
      <c r="E993" t="s">
        <v>144</v>
      </c>
      <c r="F993">
        <v>734.9</v>
      </c>
    </row>
    <row r="994" spans="3:6" x14ac:dyDescent="0.25">
      <c r="C994" t="s">
        <v>118</v>
      </c>
      <c r="D994">
        <v>2047</v>
      </c>
      <c r="E994" t="s">
        <v>145</v>
      </c>
      <c r="F994">
        <v>94.91</v>
      </c>
    </row>
    <row r="995" spans="3:6" x14ac:dyDescent="0.25">
      <c r="C995" t="s">
        <v>118</v>
      </c>
      <c r="D995">
        <v>2048</v>
      </c>
      <c r="E995" t="s">
        <v>147</v>
      </c>
      <c r="F995">
        <v>0.89</v>
      </c>
    </row>
    <row r="996" spans="3:6" x14ac:dyDescent="0.25">
      <c r="C996" t="s">
        <v>118</v>
      </c>
      <c r="D996">
        <v>2048</v>
      </c>
      <c r="E996" t="s">
        <v>146</v>
      </c>
      <c r="F996">
        <v>23.19</v>
      </c>
    </row>
    <row r="997" spans="3:6" x14ac:dyDescent="0.25">
      <c r="C997" t="s">
        <v>118</v>
      </c>
      <c r="D997">
        <v>2048</v>
      </c>
      <c r="E997" t="s">
        <v>142</v>
      </c>
      <c r="F997">
        <v>817.42</v>
      </c>
    </row>
    <row r="998" spans="3:6" x14ac:dyDescent="0.25">
      <c r="C998" t="s">
        <v>118</v>
      </c>
      <c r="D998">
        <v>2048</v>
      </c>
      <c r="E998" t="s">
        <v>143</v>
      </c>
      <c r="F998">
        <v>929.75</v>
      </c>
    </row>
    <row r="999" spans="3:6" x14ac:dyDescent="0.25">
      <c r="C999" t="s">
        <v>118</v>
      </c>
      <c r="D999">
        <v>2048</v>
      </c>
      <c r="E999" t="s">
        <v>144</v>
      </c>
      <c r="F999">
        <v>736.07</v>
      </c>
    </row>
    <row r="1000" spans="3:6" x14ac:dyDescent="0.25">
      <c r="C1000" t="s">
        <v>118</v>
      </c>
      <c r="D1000">
        <v>2048</v>
      </c>
      <c r="E1000" t="s">
        <v>145</v>
      </c>
      <c r="F1000">
        <v>98.43</v>
      </c>
    </row>
    <row r="1001" spans="3:6" x14ac:dyDescent="0.25">
      <c r="C1001" t="s">
        <v>118</v>
      </c>
      <c r="D1001">
        <v>2049</v>
      </c>
      <c r="E1001" t="s">
        <v>147</v>
      </c>
      <c r="F1001">
        <v>0.89</v>
      </c>
    </row>
    <row r="1002" spans="3:6" x14ac:dyDescent="0.25">
      <c r="C1002" t="s">
        <v>118</v>
      </c>
      <c r="D1002">
        <v>2049</v>
      </c>
      <c r="E1002" t="s">
        <v>146</v>
      </c>
      <c r="F1002">
        <v>23.63</v>
      </c>
    </row>
    <row r="1003" spans="3:6" x14ac:dyDescent="0.25">
      <c r="C1003" t="s">
        <v>118</v>
      </c>
      <c r="D1003">
        <v>2049</v>
      </c>
      <c r="E1003" t="s">
        <v>142</v>
      </c>
      <c r="F1003">
        <v>824.62</v>
      </c>
    </row>
    <row r="1004" spans="3:6" x14ac:dyDescent="0.25">
      <c r="C1004" t="s">
        <v>118</v>
      </c>
      <c r="D1004">
        <v>2049</v>
      </c>
      <c r="E1004" t="s">
        <v>143</v>
      </c>
      <c r="F1004">
        <v>945.07</v>
      </c>
    </row>
    <row r="1005" spans="3:6" x14ac:dyDescent="0.25">
      <c r="C1005" t="s">
        <v>118</v>
      </c>
      <c r="D1005">
        <v>2049</v>
      </c>
      <c r="E1005" t="s">
        <v>144</v>
      </c>
      <c r="F1005">
        <v>737.21</v>
      </c>
    </row>
    <row r="1006" spans="3:6" x14ac:dyDescent="0.25">
      <c r="C1006" t="s">
        <v>118</v>
      </c>
      <c r="D1006">
        <v>2049</v>
      </c>
      <c r="E1006" t="s">
        <v>145</v>
      </c>
      <c r="F1006">
        <v>101.54</v>
      </c>
    </row>
    <row r="1007" spans="3:6" x14ac:dyDescent="0.25">
      <c r="C1007" t="s">
        <v>118</v>
      </c>
      <c r="D1007">
        <v>2050</v>
      </c>
      <c r="E1007" t="s">
        <v>147</v>
      </c>
      <c r="F1007">
        <v>0.9</v>
      </c>
    </row>
    <row r="1008" spans="3:6" x14ac:dyDescent="0.25">
      <c r="C1008" t="s">
        <v>118</v>
      </c>
      <c r="D1008">
        <v>2050</v>
      </c>
      <c r="E1008" t="s">
        <v>146</v>
      </c>
      <c r="F1008">
        <v>24.06</v>
      </c>
    </row>
    <row r="1009" spans="3:6" x14ac:dyDescent="0.25">
      <c r="C1009" t="s">
        <v>118</v>
      </c>
      <c r="D1009">
        <v>2050</v>
      </c>
      <c r="E1009" t="s">
        <v>142</v>
      </c>
      <c r="F1009">
        <v>831.74</v>
      </c>
    </row>
    <row r="1010" spans="3:6" x14ac:dyDescent="0.25">
      <c r="C1010" t="s">
        <v>118</v>
      </c>
      <c r="D1010">
        <v>2050</v>
      </c>
      <c r="E1010" t="s">
        <v>143</v>
      </c>
      <c r="F1010">
        <v>954.35</v>
      </c>
    </row>
    <row r="1011" spans="3:6" x14ac:dyDescent="0.25">
      <c r="C1011" t="s">
        <v>118</v>
      </c>
      <c r="D1011">
        <v>2050</v>
      </c>
      <c r="E1011" t="s">
        <v>144</v>
      </c>
      <c r="F1011">
        <v>738.33</v>
      </c>
    </row>
    <row r="1012" spans="3:6" x14ac:dyDescent="0.25">
      <c r="C1012" t="s">
        <v>118</v>
      </c>
      <c r="D1012">
        <v>2050</v>
      </c>
      <c r="E1012" t="s">
        <v>145</v>
      </c>
      <c r="F1012">
        <v>104.35</v>
      </c>
    </row>
    <row r="1013" spans="3:6" x14ac:dyDescent="0.25">
      <c r="C1013" t="s">
        <v>119</v>
      </c>
      <c r="D1013">
        <v>2010</v>
      </c>
      <c r="E1013" t="s">
        <v>142</v>
      </c>
      <c r="F1013">
        <v>672.28</v>
      </c>
    </row>
    <row r="1014" spans="3:6" x14ac:dyDescent="0.25">
      <c r="C1014" t="s">
        <v>119</v>
      </c>
      <c r="D1014">
        <v>2010</v>
      </c>
      <c r="E1014" t="s">
        <v>143</v>
      </c>
      <c r="F1014">
        <v>9978.76</v>
      </c>
    </row>
    <row r="1015" spans="3:6" x14ac:dyDescent="0.25">
      <c r="C1015" t="s">
        <v>119</v>
      </c>
      <c r="D1015">
        <v>2010</v>
      </c>
      <c r="E1015" t="s">
        <v>144</v>
      </c>
      <c r="F1015">
        <v>1794.69</v>
      </c>
    </row>
    <row r="1016" spans="3:6" x14ac:dyDescent="0.25">
      <c r="C1016" t="s">
        <v>119</v>
      </c>
      <c r="D1016">
        <v>2010</v>
      </c>
      <c r="E1016" t="s">
        <v>145</v>
      </c>
      <c r="F1016">
        <v>225.35</v>
      </c>
    </row>
    <row r="1017" spans="3:6" x14ac:dyDescent="0.25">
      <c r="C1017" t="s">
        <v>119</v>
      </c>
      <c r="D1017">
        <v>2011</v>
      </c>
      <c r="E1017" t="s">
        <v>142</v>
      </c>
      <c r="F1017">
        <v>773.17</v>
      </c>
    </row>
    <row r="1018" spans="3:6" x14ac:dyDescent="0.25">
      <c r="C1018" t="s">
        <v>119</v>
      </c>
      <c r="D1018">
        <v>2011</v>
      </c>
      <c r="E1018" t="s">
        <v>143</v>
      </c>
      <c r="F1018">
        <v>11262.81</v>
      </c>
    </row>
    <row r="1019" spans="3:6" x14ac:dyDescent="0.25">
      <c r="C1019" t="s">
        <v>119</v>
      </c>
      <c r="D1019">
        <v>2011</v>
      </c>
      <c r="E1019" t="s">
        <v>144</v>
      </c>
      <c r="F1019">
        <v>1970.41</v>
      </c>
    </row>
    <row r="1020" spans="3:6" x14ac:dyDescent="0.25">
      <c r="C1020" t="s">
        <v>119</v>
      </c>
      <c r="D1020">
        <v>2011</v>
      </c>
      <c r="E1020" t="s">
        <v>145</v>
      </c>
      <c r="F1020">
        <v>251.99</v>
      </c>
    </row>
    <row r="1021" spans="3:6" x14ac:dyDescent="0.25">
      <c r="C1021" t="s">
        <v>119</v>
      </c>
      <c r="D1021">
        <v>2012</v>
      </c>
      <c r="E1021" t="s">
        <v>142</v>
      </c>
      <c r="F1021">
        <v>862.91</v>
      </c>
    </row>
    <row r="1022" spans="3:6" x14ac:dyDescent="0.25">
      <c r="C1022" t="s">
        <v>119</v>
      </c>
      <c r="D1022">
        <v>2012</v>
      </c>
      <c r="E1022" t="s">
        <v>143</v>
      </c>
      <c r="F1022">
        <v>11795.89</v>
      </c>
    </row>
    <row r="1023" spans="3:6" x14ac:dyDescent="0.25">
      <c r="C1023" t="s">
        <v>119</v>
      </c>
      <c r="D1023">
        <v>2012</v>
      </c>
      <c r="E1023" t="s">
        <v>144</v>
      </c>
      <c r="F1023">
        <v>2196.9299999999998</v>
      </c>
    </row>
    <row r="1024" spans="3:6" x14ac:dyDescent="0.25">
      <c r="C1024" t="s">
        <v>119</v>
      </c>
      <c r="D1024">
        <v>2012</v>
      </c>
      <c r="E1024" t="s">
        <v>145</v>
      </c>
      <c r="F1024">
        <v>276.99</v>
      </c>
    </row>
    <row r="1025" spans="3:6" x14ac:dyDescent="0.25">
      <c r="C1025" t="s">
        <v>119</v>
      </c>
      <c r="D1025">
        <v>2013</v>
      </c>
      <c r="E1025" t="s">
        <v>142</v>
      </c>
      <c r="F1025">
        <v>955.09</v>
      </c>
    </row>
    <row r="1026" spans="3:6" x14ac:dyDescent="0.25">
      <c r="C1026" t="s">
        <v>119</v>
      </c>
      <c r="D1026">
        <v>2013</v>
      </c>
      <c r="E1026" t="s">
        <v>143</v>
      </c>
      <c r="F1026">
        <v>12786.7</v>
      </c>
    </row>
    <row r="1027" spans="3:6" x14ac:dyDescent="0.25">
      <c r="C1027" t="s">
        <v>119</v>
      </c>
      <c r="D1027">
        <v>2013</v>
      </c>
      <c r="E1027" t="s">
        <v>144</v>
      </c>
      <c r="F1027">
        <v>2488.2800000000002</v>
      </c>
    </row>
    <row r="1028" spans="3:6" x14ac:dyDescent="0.25">
      <c r="C1028" t="s">
        <v>119</v>
      </c>
      <c r="D1028">
        <v>2013</v>
      </c>
      <c r="E1028" t="s">
        <v>145</v>
      </c>
      <c r="F1028">
        <v>302.3</v>
      </c>
    </row>
    <row r="1029" spans="3:6" x14ac:dyDescent="0.25">
      <c r="C1029" t="s">
        <v>119</v>
      </c>
      <c r="D1029">
        <v>2014</v>
      </c>
      <c r="E1029" t="s">
        <v>142</v>
      </c>
      <c r="F1029">
        <v>1025.51</v>
      </c>
    </row>
    <row r="1030" spans="3:6" x14ac:dyDescent="0.25">
      <c r="C1030" t="s">
        <v>119</v>
      </c>
      <c r="D1030">
        <v>2014</v>
      </c>
      <c r="E1030" t="s">
        <v>143</v>
      </c>
      <c r="F1030">
        <v>13360.95</v>
      </c>
    </row>
    <row r="1031" spans="3:6" x14ac:dyDescent="0.25">
      <c r="C1031" t="s">
        <v>119</v>
      </c>
      <c r="D1031">
        <v>2014</v>
      </c>
      <c r="E1031" t="s">
        <v>144</v>
      </c>
      <c r="F1031">
        <v>2576.84</v>
      </c>
    </row>
    <row r="1032" spans="3:6" x14ac:dyDescent="0.25">
      <c r="C1032" t="s">
        <v>119</v>
      </c>
      <c r="D1032">
        <v>2014</v>
      </c>
      <c r="E1032" t="s">
        <v>145</v>
      </c>
      <c r="F1032">
        <v>323.66000000000003</v>
      </c>
    </row>
    <row r="1033" spans="3:6" x14ac:dyDescent="0.25">
      <c r="C1033" t="s">
        <v>119</v>
      </c>
      <c r="D1033">
        <v>2015</v>
      </c>
      <c r="E1033" t="s">
        <v>142</v>
      </c>
      <c r="F1033">
        <v>1105.5999999999999</v>
      </c>
    </row>
    <row r="1034" spans="3:6" x14ac:dyDescent="0.25">
      <c r="C1034" t="s">
        <v>119</v>
      </c>
      <c r="D1034">
        <v>2015</v>
      </c>
      <c r="E1034" t="s">
        <v>143</v>
      </c>
      <c r="F1034">
        <v>13708.25</v>
      </c>
    </row>
    <row r="1035" spans="3:6" x14ac:dyDescent="0.25">
      <c r="C1035" t="s">
        <v>119</v>
      </c>
      <c r="D1035">
        <v>2015</v>
      </c>
      <c r="E1035" t="s">
        <v>144</v>
      </c>
      <c r="F1035">
        <v>2745.08</v>
      </c>
    </row>
    <row r="1036" spans="3:6" x14ac:dyDescent="0.25">
      <c r="C1036" t="s">
        <v>119</v>
      </c>
      <c r="D1036">
        <v>2015</v>
      </c>
      <c r="E1036" t="s">
        <v>145</v>
      </c>
      <c r="F1036">
        <v>358.32</v>
      </c>
    </row>
    <row r="1037" spans="3:6" x14ac:dyDescent="0.25">
      <c r="C1037" t="s">
        <v>119</v>
      </c>
      <c r="D1037">
        <v>2016</v>
      </c>
      <c r="E1037" t="s">
        <v>142</v>
      </c>
      <c r="F1037">
        <v>1228.69</v>
      </c>
    </row>
    <row r="1038" spans="3:6" x14ac:dyDescent="0.25">
      <c r="C1038" t="s">
        <v>119</v>
      </c>
      <c r="D1038">
        <v>2016</v>
      </c>
      <c r="E1038" t="s">
        <v>143</v>
      </c>
      <c r="F1038">
        <v>14235.39</v>
      </c>
    </row>
    <row r="1039" spans="3:6" x14ac:dyDescent="0.25">
      <c r="C1039" t="s">
        <v>119</v>
      </c>
      <c r="D1039">
        <v>2016</v>
      </c>
      <c r="E1039" t="s">
        <v>144</v>
      </c>
      <c r="F1039">
        <v>3107.53</v>
      </c>
    </row>
    <row r="1040" spans="3:6" x14ac:dyDescent="0.25">
      <c r="C1040" t="s">
        <v>119</v>
      </c>
      <c r="D1040">
        <v>2016</v>
      </c>
      <c r="E1040" t="s">
        <v>145</v>
      </c>
      <c r="F1040">
        <v>415.5</v>
      </c>
    </row>
    <row r="1041" spans="3:6" x14ac:dyDescent="0.25">
      <c r="C1041" t="s">
        <v>119</v>
      </c>
      <c r="D1041">
        <v>2017</v>
      </c>
      <c r="E1041" t="s">
        <v>142</v>
      </c>
      <c r="F1041">
        <v>1384.84</v>
      </c>
    </row>
    <row r="1042" spans="3:6" x14ac:dyDescent="0.25">
      <c r="C1042" t="s">
        <v>119</v>
      </c>
      <c r="D1042">
        <v>2017</v>
      </c>
      <c r="E1042" t="s">
        <v>143</v>
      </c>
      <c r="F1042">
        <v>14999.49</v>
      </c>
    </row>
    <row r="1043" spans="3:6" x14ac:dyDescent="0.25">
      <c r="C1043" t="s">
        <v>119</v>
      </c>
      <c r="D1043">
        <v>2017</v>
      </c>
      <c r="E1043" t="s">
        <v>144</v>
      </c>
      <c r="F1043">
        <v>3435.27</v>
      </c>
    </row>
    <row r="1044" spans="3:6" x14ac:dyDescent="0.25">
      <c r="C1044" t="s">
        <v>119</v>
      </c>
      <c r="D1044">
        <v>2017</v>
      </c>
      <c r="E1044" t="s">
        <v>145</v>
      </c>
      <c r="F1044">
        <v>484.85</v>
      </c>
    </row>
    <row r="1045" spans="3:6" x14ac:dyDescent="0.25">
      <c r="C1045" t="s">
        <v>119</v>
      </c>
      <c r="D1045">
        <v>2018</v>
      </c>
      <c r="E1045" t="s">
        <v>142</v>
      </c>
      <c r="F1045">
        <v>1597.54</v>
      </c>
    </row>
    <row r="1046" spans="3:6" x14ac:dyDescent="0.25">
      <c r="C1046" t="s">
        <v>119</v>
      </c>
      <c r="D1046">
        <v>2018</v>
      </c>
      <c r="E1046" t="s">
        <v>143</v>
      </c>
      <c r="F1046">
        <v>16130.92</v>
      </c>
    </row>
    <row r="1047" spans="3:6" x14ac:dyDescent="0.25">
      <c r="C1047" t="s">
        <v>119</v>
      </c>
      <c r="D1047">
        <v>2018</v>
      </c>
      <c r="E1047" t="s">
        <v>144</v>
      </c>
      <c r="F1047">
        <v>3748.63</v>
      </c>
    </row>
    <row r="1048" spans="3:6" x14ac:dyDescent="0.25">
      <c r="C1048" t="s">
        <v>119</v>
      </c>
      <c r="D1048">
        <v>2018</v>
      </c>
      <c r="E1048" t="s">
        <v>145</v>
      </c>
      <c r="F1048">
        <v>541.13</v>
      </c>
    </row>
    <row r="1049" spans="3:6" x14ac:dyDescent="0.25">
      <c r="C1049" t="s">
        <v>119</v>
      </c>
      <c r="D1049">
        <v>2019</v>
      </c>
      <c r="E1049" t="s">
        <v>147</v>
      </c>
      <c r="F1049">
        <v>56.33</v>
      </c>
    </row>
    <row r="1050" spans="3:6" x14ac:dyDescent="0.25">
      <c r="C1050" t="s">
        <v>119</v>
      </c>
      <c r="D1050">
        <v>2019</v>
      </c>
      <c r="E1050" t="s">
        <v>148</v>
      </c>
      <c r="F1050">
        <v>541.62</v>
      </c>
    </row>
    <row r="1051" spans="3:6" x14ac:dyDescent="0.25">
      <c r="C1051" t="s">
        <v>119</v>
      </c>
      <c r="D1051">
        <v>2019</v>
      </c>
      <c r="E1051" t="s">
        <v>146</v>
      </c>
      <c r="F1051">
        <v>1675.55</v>
      </c>
    </row>
    <row r="1052" spans="3:6" x14ac:dyDescent="0.25">
      <c r="C1052" t="s">
        <v>119</v>
      </c>
      <c r="D1052">
        <v>2019</v>
      </c>
      <c r="E1052" t="s">
        <v>142</v>
      </c>
      <c r="F1052">
        <v>1675.85</v>
      </c>
    </row>
    <row r="1053" spans="3:6" x14ac:dyDescent="0.25">
      <c r="C1053" t="s">
        <v>119</v>
      </c>
      <c r="D1053">
        <v>2019</v>
      </c>
      <c r="E1053" t="s">
        <v>143</v>
      </c>
      <c r="F1053">
        <v>16487.41</v>
      </c>
    </row>
    <row r="1054" spans="3:6" x14ac:dyDescent="0.25">
      <c r="C1054" t="s">
        <v>119</v>
      </c>
      <c r="D1054">
        <v>2019</v>
      </c>
      <c r="E1054" t="s">
        <v>144</v>
      </c>
      <c r="F1054">
        <v>3940.78</v>
      </c>
    </row>
    <row r="1055" spans="3:6" x14ac:dyDescent="0.25">
      <c r="C1055" t="s">
        <v>119</v>
      </c>
      <c r="D1055">
        <v>2019</v>
      </c>
      <c r="E1055" t="s">
        <v>145</v>
      </c>
      <c r="F1055">
        <v>663.25</v>
      </c>
    </row>
    <row r="1056" spans="3:6" x14ac:dyDescent="0.25">
      <c r="C1056" t="s">
        <v>119</v>
      </c>
      <c r="D1056">
        <v>2020</v>
      </c>
      <c r="E1056" t="s">
        <v>147</v>
      </c>
      <c r="F1056">
        <v>55.93</v>
      </c>
    </row>
    <row r="1057" spans="3:6" x14ac:dyDescent="0.25">
      <c r="C1057" t="s">
        <v>119</v>
      </c>
      <c r="D1057">
        <v>2020</v>
      </c>
      <c r="E1057" t="s">
        <v>148</v>
      </c>
      <c r="F1057">
        <v>536.92999999999995</v>
      </c>
    </row>
    <row r="1058" spans="3:6" x14ac:dyDescent="0.25">
      <c r="C1058" t="s">
        <v>119</v>
      </c>
      <c r="D1058">
        <v>2020</v>
      </c>
      <c r="E1058" t="s">
        <v>146</v>
      </c>
      <c r="F1058">
        <v>1646.52</v>
      </c>
    </row>
    <row r="1059" spans="3:6" x14ac:dyDescent="0.25">
      <c r="C1059" t="s">
        <v>119</v>
      </c>
      <c r="D1059">
        <v>2020</v>
      </c>
      <c r="E1059" t="s">
        <v>142</v>
      </c>
      <c r="F1059">
        <v>1717.48</v>
      </c>
    </row>
    <row r="1060" spans="3:6" x14ac:dyDescent="0.25">
      <c r="C1060" t="s">
        <v>119</v>
      </c>
      <c r="D1060">
        <v>2020</v>
      </c>
      <c r="E1060" t="s">
        <v>143</v>
      </c>
      <c r="F1060">
        <v>15948.32</v>
      </c>
    </row>
    <row r="1061" spans="3:6" x14ac:dyDescent="0.25">
      <c r="C1061" t="s">
        <v>119</v>
      </c>
      <c r="D1061">
        <v>2020</v>
      </c>
      <c r="E1061" t="s">
        <v>144</v>
      </c>
      <c r="F1061">
        <v>4021.24</v>
      </c>
    </row>
    <row r="1062" spans="3:6" x14ac:dyDescent="0.25">
      <c r="C1062" t="s">
        <v>119</v>
      </c>
      <c r="D1062">
        <v>2020</v>
      </c>
      <c r="E1062" t="s">
        <v>145</v>
      </c>
      <c r="F1062">
        <v>689.81</v>
      </c>
    </row>
    <row r="1063" spans="3:6" x14ac:dyDescent="0.25">
      <c r="C1063" t="s">
        <v>119</v>
      </c>
      <c r="D1063">
        <v>2021</v>
      </c>
      <c r="E1063" t="s">
        <v>147</v>
      </c>
      <c r="F1063">
        <v>58.22</v>
      </c>
    </row>
    <row r="1064" spans="3:6" x14ac:dyDescent="0.25">
      <c r="C1064" t="s">
        <v>119</v>
      </c>
      <c r="D1064">
        <v>2021</v>
      </c>
      <c r="E1064" t="s">
        <v>148</v>
      </c>
      <c r="F1064">
        <v>556.80999999999995</v>
      </c>
    </row>
    <row r="1065" spans="3:6" x14ac:dyDescent="0.25">
      <c r="C1065" t="s">
        <v>119</v>
      </c>
      <c r="D1065">
        <v>2021</v>
      </c>
      <c r="E1065" t="s">
        <v>146</v>
      </c>
      <c r="F1065">
        <v>1790.53</v>
      </c>
    </row>
    <row r="1066" spans="3:6" x14ac:dyDescent="0.25">
      <c r="C1066" t="s">
        <v>119</v>
      </c>
      <c r="D1066">
        <v>2021</v>
      </c>
      <c r="E1066" t="s">
        <v>142</v>
      </c>
      <c r="F1066">
        <v>1853.38</v>
      </c>
    </row>
    <row r="1067" spans="3:6" x14ac:dyDescent="0.25">
      <c r="C1067" t="s">
        <v>119</v>
      </c>
      <c r="D1067">
        <v>2021</v>
      </c>
      <c r="E1067" t="s">
        <v>143</v>
      </c>
      <c r="F1067">
        <v>17858.5</v>
      </c>
    </row>
    <row r="1068" spans="3:6" x14ac:dyDescent="0.25">
      <c r="C1068" t="s">
        <v>119</v>
      </c>
      <c r="D1068">
        <v>2021</v>
      </c>
      <c r="E1068" t="s">
        <v>144</v>
      </c>
      <c r="F1068">
        <v>4284.46</v>
      </c>
    </row>
    <row r="1069" spans="3:6" x14ac:dyDescent="0.25">
      <c r="C1069" t="s">
        <v>119</v>
      </c>
      <c r="D1069">
        <v>2021</v>
      </c>
      <c r="E1069" t="s">
        <v>145</v>
      </c>
      <c r="F1069">
        <v>737.48</v>
      </c>
    </row>
    <row r="1070" spans="3:6" x14ac:dyDescent="0.25">
      <c r="C1070" t="s">
        <v>119</v>
      </c>
      <c r="D1070">
        <v>2022</v>
      </c>
      <c r="E1070" t="s">
        <v>147</v>
      </c>
      <c r="F1070">
        <v>58.91</v>
      </c>
    </row>
    <row r="1071" spans="3:6" x14ac:dyDescent="0.25">
      <c r="C1071" t="s">
        <v>119</v>
      </c>
      <c r="D1071">
        <v>2022</v>
      </c>
      <c r="E1071" t="s">
        <v>148</v>
      </c>
      <c r="F1071">
        <v>561.73</v>
      </c>
    </row>
    <row r="1072" spans="3:6" x14ac:dyDescent="0.25">
      <c r="C1072" t="s">
        <v>119</v>
      </c>
      <c r="D1072">
        <v>2022</v>
      </c>
      <c r="E1072" t="s">
        <v>146</v>
      </c>
      <c r="F1072">
        <v>1846.61</v>
      </c>
    </row>
    <row r="1073" spans="3:6" x14ac:dyDescent="0.25">
      <c r="C1073" t="s">
        <v>119</v>
      </c>
      <c r="D1073">
        <v>2022</v>
      </c>
      <c r="E1073" t="s">
        <v>142</v>
      </c>
      <c r="F1073">
        <v>1937.52</v>
      </c>
    </row>
    <row r="1074" spans="3:6" x14ac:dyDescent="0.25">
      <c r="C1074" t="s">
        <v>119</v>
      </c>
      <c r="D1074">
        <v>2022</v>
      </c>
      <c r="E1074" t="s">
        <v>143</v>
      </c>
      <c r="F1074">
        <v>17740.96</v>
      </c>
    </row>
    <row r="1075" spans="3:6" x14ac:dyDescent="0.25">
      <c r="C1075" t="s">
        <v>119</v>
      </c>
      <c r="D1075">
        <v>2022</v>
      </c>
      <c r="E1075" t="s">
        <v>144</v>
      </c>
      <c r="F1075">
        <v>4481.25</v>
      </c>
    </row>
    <row r="1076" spans="3:6" x14ac:dyDescent="0.25">
      <c r="C1076" t="s">
        <v>119</v>
      </c>
      <c r="D1076">
        <v>2022</v>
      </c>
      <c r="E1076" t="s">
        <v>145</v>
      </c>
      <c r="F1076">
        <v>776.14</v>
      </c>
    </row>
    <row r="1077" spans="3:6" x14ac:dyDescent="0.25">
      <c r="C1077" t="s">
        <v>119</v>
      </c>
      <c r="D1077">
        <v>2023</v>
      </c>
      <c r="E1077" t="s">
        <v>147</v>
      </c>
      <c r="F1077">
        <v>59.14</v>
      </c>
    </row>
    <row r="1078" spans="3:6" x14ac:dyDescent="0.25">
      <c r="C1078" t="s">
        <v>119</v>
      </c>
      <c r="D1078">
        <v>2023</v>
      </c>
      <c r="E1078" t="s">
        <v>148</v>
      </c>
      <c r="F1078">
        <v>562.28</v>
      </c>
    </row>
    <row r="1079" spans="3:6" x14ac:dyDescent="0.25">
      <c r="C1079" t="s">
        <v>119</v>
      </c>
      <c r="D1079">
        <v>2023</v>
      </c>
      <c r="E1079" t="s">
        <v>146</v>
      </c>
      <c r="F1079">
        <v>1873.77</v>
      </c>
    </row>
    <row r="1080" spans="3:6" x14ac:dyDescent="0.25">
      <c r="C1080" t="s">
        <v>119</v>
      </c>
      <c r="D1080">
        <v>2023</v>
      </c>
      <c r="E1080" t="s">
        <v>142</v>
      </c>
      <c r="F1080">
        <v>2017.69</v>
      </c>
    </row>
    <row r="1081" spans="3:6" x14ac:dyDescent="0.25">
      <c r="C1081" t="s">
        <v>119</v>
      </c>
      <c r="D1081">
        <v>2023</v>
      </c>
      <c r="E1081" t="s">
        <v>143</v>
      </c>
      <c r="F1081">
        <v>17763.84</v>
      </c>
    </row>
    <row r="1082" spans="3:6" x14ac:dyDescent="0.25">
      <c r="C1082" t="s">
        <v>119</v>
      </c>
      <c r="D1082">
        <v>2023</v>
      </c>
      <c r="E1082" t="s">
        <v>144</v>
      </c>
      <c r="F1082">
        <v>4658.62</v>
      </c>
    </row>
    <row r="1083" spans="3:6" x14ac:dyDescent="0.25">
      <c r="C1083" t="s">
        <v>119</v>
      </c>
      <c r="D1083">
        <v>2023</v>
      </c>
      <c r="E1083" t="s">
        <v>145</v>
      </c>
      <c r="F1083">
        <v>810.52</v>
      </c>
    </row>
    <row r="1084" spans="3:6" x14ac:dyDescent="0.25">
      <c r="C1084" t="s">
        <v>119</v>
      </c>
      <c r="D1084">
        <v>2024</v>
      </c>
      <c r="E1084" t="s">
        <v>147</v>
      </c>
      <c r="F1084">
        <v>59.23</v>
      </c>
    </row>
    <row r="1085" spans="3:6" x14ac:dyDescent="0.25">
      <c r="C1085" t="s">
        <v>119</v>
      </c>
      <c r="D1085">
        <v>2024</v>
      </c>
      <c r="E1085" t="s">
        <v>148</v>
      </c>
      <c r="F1085">
        <v>561.48</v>
      </c>
    </row>
    <row r="1086" spans="3:6" x14ac:dyDescent="0.25">
      <c r="C1086" t="s">
        <v>119</v>
      </c>
      <c r="D1086">
        <v>2024</v>
      </c>
      <c r="E1086" t="s">
        <v>146</v>
      </c>
      <c r="F1086">
        <v>1889.74</v>
      </c>
    </row>
    <row r="1087" spans="3:6" x14ac:dyDescent="0.25">
      <c r="C1087" t="s">
        <v>119</v>
      </c>
      <c r="D1087">
        <v>2024</v>
      </c>
      <c r="E1087" t="s">
        <v>142</v>
      </c>
      <c r="F1087">
        <v>2101.67</v>
      </c>
    </row>
    <row r="1088" spans="3:6" x14ac:dyDescent="0.25">
      <c r="C1088" t="s">
        <v>119</v>
      </c>
      <c r="D1088">
        <v>2024</v>
      </c>
      <c r="E1088" t="s">
        <v>143</v>
      </c>
      <c r="F1088">
        <v>17646.68</v>
      </c>
    </row>
    <row r="1089" spans="3:6" x14ac:dyDescent="0.25">
      <c r="C1089" t="s">
        <v>119</v>
      </c>
      <c r="D1089">
        <v>2024</v>
      </c>
      <c r="E1089" t="s">
        <v>144</v>
      </c>
      <c r="F1089">
        <v>4836.76</v>
      </c>
    </row>
    <row r="1090" spans="3:6" x14ac:dyDescent="0.25">
      <c r="C1090" t="s">
        <v>119</v>
      </c>
      <c r="D1090">
        <v>2024</v>
      </c>
      <c r="E1090" t="s">
        <v>145</v>
      </c>
      <c r="F1090">
        <v>844.97</v>
      </c>
    </row>
    <row r="1091" spans="3:6" x14ac:dyDescent="0.25">
      <c r="C1091" t="s">
        <v>119</v>
      </c>
      <c r="D1091">
        <v>2025</v>
      </c>
      <c r="E1091" t="s">
        <v>147</v>
      </c>
      <c r="F1091">
        <v>59.33</v>
      </c>
    </row>
    <row r="1092" spans="3:6" x14ac:dyDescent="0.25">
      <c r="C1092" t="s">
        <v>119</v>
      </c>
      <c r="D1092">
        <v>2025</v>
      </c>
      <c r="E1092" t="s">
        <v>148</v>
      </c>
      <c r="F1092">
        <v>560.79</v>
      </c>
    </row>
    <row r="1093" spans="3:6" x14ac:dyDescent="0.25">
      <c r="C1093" t="s">
        <v>119</v>
      </c>
      <c r="D1093">
        <v>2025</v>
      </c>
      <c r="E1093" t="s">
        <v>146</v>
      </c>
      <c r="F1093">
        <v>1904.88</v>
      </c>
    </row>
    <row r="1094" spans="3:6" x14ac:dyDescent="0.25">
      <c r="C1094" t="s">
        <v>119</v>
      </c>
      <c r="D1094">
        <v>2025</v>
      </c>
      <c r="E1094" t="s">
        <v>142</v>
      </c>
      <c r="F1094">
        <v>2188.0700000000002</v>
      </c>
    </row>
    <row r="1095" spans="3:6" x14ac:dyDescent="0.25">
      <c r="C1095" t="s">
        <v>119</v>
      </c>
      <c r="D1095">
        <v>2025</v>
      </c>
      <c r="E1095" t="s">
        <v>143</v>
      </c>
      <c r="F1095">
        <v>17736.21</v>
      </c>
    </row>
    <row r="1096" spans="3:6" x14ac:dyDescent="0.25">
      <c r="C1096" t="s">
        <v>119</v>
      </c>
      <c r="D1096">
        <v>2025</v>
      </c>
      <c r="E1096" t="s">
        <v>144</v>
      </c>
      <c r="F1096">
        <v>5018.26</v>
      </c>
    </row>
    <row r="1097" spans="3:6" x14ac:dyDescent="0.25">
      <c r="C1097" t="s">
        <v>119</v>
      </c>
      <c r="D1097">
        <v>2025</v>
      </c>
      <c r="E1097" t="s">
        <v>145</v>
      </c>
      <c r="F1097">
        <v>882.63</v>
      </c>
    </row>
    <row r="1098" spans="3:6" x14ac:dyDescent="0.25">
      <c r="C1098" t="s">
        <v>119</v>
      </c>
      <c r="D1098">
        <v>2026</v>
      </c>
      <c r="E1098" t="s">
        <v>147</v>
      </c>
      <c r="F1098">
        <v>59.5</v>
      </c>
    </row>
    <row r="1099" spans="3:6" x14ac:dyDescent="0.25">
      <c r="C1099" t="s">
        <v>119</v>
      </c>
      <c r="D1099">
        <v>2026</v>
      </c>
      <c r="E1099" t="s">
        <v>148</v>
      </c>
      <c r="F1099">
        <v>560.96</v>
      </c>
    </row>
    <row r="1100" spans="3:6" x14ac:dyDescent="0.25">
      <c r="C1100" t="s">
        <v>119</v>
      </c>
      <c r="D1100">
        <v>2026</v>
      </c>
      <c r="E1100" t="s">
        <v>146</v>
      </c>
      <c r="F1100">
        <v>1923.81</v>
      </c>
    </row>
    <row r="1101" spans="3:6" x14ac:dyDescent="0.25">
      <c r="C1101" t="s">
        <v>119</v>
      </c>
      <c r="D1101">
        <v>2026</v>
      </c>
      <c r="E1101" t="s">
        <v>142</v>
      </c>
      <c r="F1101">
        <v>2273.1999999999998</v>
      </c>
    </row>
    <row r="1102" spans="3:6" x14ac:dyDescent="0.25">
      <c r="C1102" t="s">
        <v>119</v>
      </c>
      <c r="D1102">
        <v>2026</v>
      </c>
      <c r="E1102" t="s">
        <v>143</v>
      </c>
      <c r="F1102">
        <v>17631.61</v>
      </c>
    </row>
    <row r="1103" spans="3:6" x14ac:dyDescent="0.25">
      <c r="C1103" t="s">
        <v>119</v>
      </c>
      <c r="D1103">
        <v>2026</v>
      </c>
      <c r="E1103" t="s">
        <v>144</v>
      </c>
      <c r="F1103">
        <v>5201.2</v>
      </c>
    </row>
    <row r="1104" spans="3:6" x14ac:dyDescent="0.25">
      <c r="C1104" t="s">
        <v>119</v>
      </c>
      <c r="D1104">
        <v>2026</v>
      </c>
      <c r="E1104" t="s">
        <v>145</v>
      </c>
      <c r="F1104">
        <v>920.53</v>
      </c>
    </row>
    <row r="1105" spans="3:6" x14ac:dyDescent="0.25">
      <c r="C1105" t="s">
        <v>119</v>
      </c>
      <c r="D1105">
        <v>2027</v>
      </c>
      <c r="E1105" t="s">
        <v>147</v>
      </c>
      <c r="F1105">
        <v>59.69</v>
      </c>
    </row>
    <row r="1106" spans="3:6" x14ac:dyDescent="0.25">
      <c r="C1106" t="s">
        <v>119</v>
      </c>
      <c r="D1106">
        <v>2027</v>
      </c>
      <c r="E1106" t="s">
        <v>148</v>
      </c>
      <c r="F1106">
        <v>561.35</v>
      </c>
    </row>
    <row r="1107" spans="3:6" x14ac:dyDescent="0.25">
      <c r="C1107" t="s">
        <v>119</v>
      </c>
      <c r="D1107">
        <v>2027</v>
      </c>
      <c r="E1107" t="s">
        <v>146</v>
      </c>
      <c r="F1107">
        <v>1942.63</v>
      </c>
    </row>
    <row r="1108" spans="3:6" x14ac:dyDescent="0.25">
      <c r="C1108" t="s">
        <v>119</v>
      </c>
      <c r="D1108">
        <v>2027</v>
      </c>
      <c r="E1108" t="s">
        <v>142</v>
      </c>
      <c r="F1108">
        <v>2356.48</v>
      </c>
    </row>
    <row r="1109" spans="3:6" x14ac:dyDescent="0.25">
      <c r="C1109" t="s">
        <v>119</v>
      </c>
      <c r="D1109">
        <v>2027</v>
      </c>
      <c r="E1109" t="s">
        <v>143</v>
      </c>
      <c r="F1109">
        <v>17687.79</v>
      </c>
    </row>
    <row r="1110" spans="3:6" x14ac:dyDescent="0.25">
      <c r="C1110" t="s">
        <v>119</v>
      </c>
      <c r="D1110">
        <v>2027</v>
      </c>
      <c r="E1110" t="s">
        <v>144</v>
      </c>
      <c r="F1110">
        <v>5389.01</v>
      </c>
    </row>
    <row r="1111" spans="3:6" x14ac:dyDescent="0.25">
      <c r="C1111" t="s">
        <v>119</v>
      </c>
      <c r="D1111">
        <v>2027</v>
      </c>
      <c r="E1111" t="s">
        <v>145</v>
      </c>
      <c r="F1111">
        <v>964.26</v>
      </c>
    </row>
    <row r="1112" spans="3:6" x14ac:dyDescent="0.25">
      <c r="C1112" t="s">
        <v>119</v>
      </c>
      <c r="D1112">
        <v>2028</v>
      </c>
      <c r="E1112" t="s">
        <v>147</v>
      </c>
      <c r="F1112">
        <v>59.91</v>
      </c>
    </row>
    <row r="1113" spans="3:6" x14ac:dyDescent="0.25">
      <c r="C1113" t="s">
        <v>119</v>
      </c>
      <c r="D1113">
        <v>2028</v>
      </c>
      <c r="E1113" t="s">
        <v>148</v>
      </c>
      <c r="F1113">
        <v>562.25</v>
      </c>
    </row>
    <row r="1114" spans="3:6" x14ac:dyDescent="0.25">
      <c r="C1114" t="s">
        <v>119</v>
      </c>
      <c r="D1114">
        <v>2028</v>
      </c>
      <c r="E1114" t="s">
        <v>146</v>
      </c>
      <c r="F1114">
        <v>1963.53</v>
      </c>
    </row>
    <row r="1115" spans="3:6" x14ac:dyDescent="0.25">
      <c r="C1115" t="s">
        <v>119</v>
      </c>
      <c r="D1115">
        <v>2028</v>
      </c>
      <c r="E1115" t="s">
        <v>142</v>
      </c>
      <c r="F1115">
        <v>2439.59</v>
      </c>
    </row>
    <row r="1116" spans="3:6" x14ac:dyDescent="0.25">
      <c r="C1116" t="s">
        <v>119</v>
      </c>
      <c r="D1116">
        <v>2028</v>
      </c>
      <c r="E1116" t="s">
        <v>143</v>
      </c>
      <c r="F1116">
        <v>17628.48</v>
      </c>
    </row>
    <row r="1117" spans="3:6" x14ac:dyDescent="0.25">
      <c r="C1117" t="s">
        <v>119</v>
      </c>
      <c r="D1117">
        <v>2028</v>
      </c>
      <c r="E1117" t="s">
        <v>144</v>
      </c>
      <c r="F1117">
        <v>5577.16</v>
      </c>
    </row>
    <row r="1118" spans="3:6" x14ac:dyDescent="0.25">
      <c r="C1118" t="s">
        <v>119</v>
      </c>
      <c r="D1118">
        <v>2028</v>
      </c>
      <c r="E1118" t="s">
        <v>145</v>
      </c>
      <c r="F1118">
        <v>1006.59</v>
      </c>
    </row>
    <row r="1119" spans="3:6" x14ac:dyDescent="0.25">
      <c r="C1119" t="s">
        <v>119</v>
      </c>
      <c r="D1119">
        <v>2029</v>
      </c>
      <c r="E1119" t="s">
        <v>147</v>
      </c>
      <c r="F1119">
        <v>60.16</v>
      </c>
    </row>
    <row r="1120" spans="3:6" x14ac:dyDescent="0.25">
      <c r="C1120" t="s">
        <v>119</v>
      </c>
      <c r="D1120">
        <v>2029</v>
      </c>
      <c r="E1120" t="s">
        <v>148</v>
      </c>
      <c r="F1120">
        <v>563.37</v>
      </c>
    </row>
    <row r="1121" spans="3:6" x14ac:dyDescent="0.25">
      <c r="C1121" t="s">
        <v>119</v>
      </c>
      <c r="D1121">
        <v>2029</v>
      </c>
      <c r="E1121" t="s">
        <v>146</v>
      </c>
      <c r="F1121">
        <v>1985.11</v>
      </c>
    </row>
    <row r="1122" spans="3:6" x14ac:dyDescent="0.25">
      <c r="C1122" t="s">
        <v>119</v>
      </c>
      <c r="D1122">
        <v>2029</v>
      </c>
      <c r="E1122" t="s">
        <v>142</v>
      </c>
      <c r="F1122">
        <v>2523</v>
      </c>
    </row>
    <row r="1123" spans="3:6" x14ac:dyDescent="0.25">
      <c r="C1123" t="s">
        <v>119</v>
      </c>
      <c r="D1123">
        <v>2029</v>
      </c>
      <c r="E1123" t="s">
        <v>143</v>
      </c>
      <c r="F1123">
        <v>17773.75</v>
      </c>
    </row>
    <row r="1124" spans="3:6" x14ac:dyDescent="0.25">
      <c r="C1124" t="s">
        <v>119</v>
      </c>
      <c r="D1124">
        <v>2029</v>
      </c>
      <c r="E1124" t="s">
        <v>144</v>
      </c>
      <c r="F1124">
        <v>5767.36</v>
      </c>
    </row>
    <row r="1125" spans="3:6" x14ac:dyDescent="0.25">
      <c r="C1125" t="s">
        <v>119</v>
      </c>
      <c r="D1125">
        <v>2029</v>
      </c>
      <c r="E1125" t="s">
        <v>145</v>
      </c>
      <c r="F1125">
        <v>1054.6099999999999</v>
      </c>
    </row>
    <row r="1126" spans="3:6" x14ac:dyDescent="0.25">
      <c r="C1126" t="s">
        <v>119</v>
      </c>
      <c r="D1126">
        <v>2030</v>
      </c>
      <c r="E1126" t="s">
        <v>147</v>
      </c>
      <c r="F1126">
        <v>60.41</v>
      </c>
    </row>
    <row r="1127" spans="3:6" x14ac:dyDescent="0.25">
      <c r="C1127" t="s">
        <v>119</v>
      </c>
      <c r="D1127">
        <v>2030</v>
      </c>
      <c r="E1127" t="s">
        <v>148</v>
      </c>
      <c r="F1127">
        <v>564.51</v>
      </c>
    </row>
    <row r="1128" spans="3:6" x14ac:dyDescent="0.25">
      <c r="C1128" t="s">
        <v>119</v>
      </c>
      <c r="D1128">
        <v>2030</v>
      </c>
      <c r="E1128" t="s">
        <v>146</v>
      </c>
      <c r="F1128">
        <v>2006.97</v>
      </c>
    </row>
    <row r="1129" spans="3:6" x14ac:dyDescent="0.25">
      <c r="C1129" t="s">
        <v>119</v>
      </c>
      <c r="D1129">
        <v>2030</v>
      </c>
      <c r="E1129" t="s">
        <v>142</v>
      </c>
      <c r="F1129">
        <v>2606.62</v>
      </c>
    </row>
    <row r="1130" spans="3:6" x14ac:dyDescent="0.25">
      <c r="C1130" t="s">
        <v>119</v>
      </c>
      <c r="D1130">
        <v>2030</v>
      </c>
      <c r="E1130" t="s">
        <v>143</v>
      </c>
      <c r="F1130">
        <v>17774.03</v>
      </c>
    </row>
    <row r="1131" spans="3:6" x14ac:dyDescent="0.25">
      <c r="C1131" t="s">
        <v>119</v>
      </c>
      <c r="D1131">
        <v>2030</v>
      </c>
      <c r="E1131" t="s">
        <v>144</v>
      </c>
      <c r="F1131">
        <v>5956.46</v>
      </c>
    </row>
    <row r="1132" spans="3:6" x14ac:dyDescent="0.25">
      <c r="C1132" t="s">
        <v>119</v>
      </c>
      <c r="D1132">
        <v>2030</v>
      </c>
      <c r="E1132" t="s">
        <v>145</v>
      </c>
      <c r="F1132">
        <v>1111.3599999999999</v>
      </c>
    </row>
    <row r="1133" spans="3:6" x14ac:dyDescent="0.25">
      <c r="C1133" t="s">
        <v>119</v>
      </c>
      <c r="D1133">
        <v>2031</v>
      </c>
      <c r="E1133" t="s">
        <v>147</v>
      </c>
      <c r="F1133">
        <v>60.62</v>
      </c>
    </row>
    <row r="1134" spans="3:6" x14ac:dyDescent="0.25">
      <c r="C1134" t="s">
        <v>119</v>
      </c>
      <c r="D1134">
        <v>2031</v>
      </c>
      <c r="E1134" t="s">
        <v>148</v>
      </c>
      <c r="F1134">
        <v>565.39</v>
      </c>
    </row>
    <row r="1135" spans="3:6" x14ac:dyDescent="0.25">
      <c r="C1135" t="s">
        <v>119</v>
      </c>
      <c r="D1135">
        <v>2031</v>
      </c>
      <c r="E1135" t="s">
        <v>146</v>
      </c>
      <c r="F1135">
        <v>2027.24</v>
      </c>
    </row>
    <row r="1136" spans="3:6" x14ac:dyDescent="0.25">
      <c r="C1136" t="s">
        <v>119</v>
      </c>
      <c r="D1136">
        <v>2031</v>
      </c>
      <c r="E1136" t="s">
        <v>142</v>
      </c>
      <c r="F1136">
        <v>2689.76</v>
      </c>
    </row>
    <row r="1137" spans="3:6" x14ac:dyDescent="0.25">
      <c r="C1137" t="s">
        <v>119</v>
      </c>
      <c r="D1137">
        <v>2031</v>
      </c>
      <c r="E1137" t="s">
        <v>143</v>
      </c>
      <c r="F1137">
        <v>17922.72</v>
      </c>
    </row>
    <row r="1138" spans="3:6" x14ac:dyDescent="0.25">
      <c r="C1138" t="s">
        <v>119</v>
      </c>
      <c r="D1138">
        <v>2031</v>
      </c>
      <c r="E1138" t="s">
        <v>144</v>
      </c>
      <c r="F1138">
        <v>6146.79</v>
      </c>
    </row>
    <row r="1139" spans="3:6" x14ac:dyDescent="0.25">
      <c r="C1139" t="s">
        <v>119</v>
      </c>
      <c r="D1139">
        <v>2031</v>
      </c>
      <c r="E1139" t="s">
        <v>145</v>
      </c>
      <c r="F1139">
        <v>1175.0899999999999</v>
      </c>
    </row>
    <row r="1140" spans="3:6" x14ac:dyDescent="0.25">
      <c r="C1140" t="s">
        <v>119</v>
      </c>
      <c r="D1140">
        <v>2032</v>
      </c>
      <c r="E1140" t="s">
        <v>147</v>
      </c>
      <c r="F1140">
        <v>60.81</v>
      </c>
    </row>
    <row r="1141" spans="3:6" x14ac:dyDescent="0.25">
      <c r="C1141" t="s">
        <v>119</v>
      </c>
      <c r="D1141">
        <v>2032</v>
      </c>
      <c r="E1141" t="s">
        <v>148</v>
      </c>
      <c r="F1141">
        <v>566.02</v>
      </c>
    </row>
    <row r="1142" spans="3:6" x14ac:dyDescent="0.25">
      <c r="C1142" t="s">
        <v>119</v>
      </c>
      <c r="D1142">
        <v>2032</v>
      </c>
      <c r="E1142" t="s">
        <v>146</v>
      </c>
      <c r="F1142">
        <v>2045.98</v>
      </c>
    </row>
    <row r="1143" spans="3:6" x14ac:dyDescent="0.25">
      <c r="C1143" t="s">
        <v>119</v>
      </c>
      <c r="D1143">
        <v>2032</v>
      </c>
      <c r="E1143" t="s">
        <v>142</v>
      </c>
      <c r="F1143">
        <v>2772.29</v>
      </c>
    </row>
    <row r="1144" spans="3:6" x14ac:dyDescent="0.25">
      <c r="C1144" t="s">
        <v>119</v>
      </c>
      <c r="D1144">
        <v>2032</v>
      </c>
      <c r="E1144" t="s">
        <v>143</v>
      </c>
      <c r="F1144">
        <v>17882.28</v>
      </c>
    </row>
    <row r="1145" spans="3:6" x14ac:dyDescent="0.25">
      <c r="C1145" t="s">
        <v>119</v>
      </c>
      <c r="D1145">
        <v>2032</v>
      </c>
      <c r="E1145" t="s">
        <v>144</v>
      </c>
      <c r="F1145">
        <v>6337.01</v>
      </c>
    </row>
    <row r="1146" spans="3:6" x14ac:dyDescent="0.25">
      <c r="C1146" t="s">
        <v>119</v>
      </c>
      <c r="D1146">
        <v>2032</v>
      </c>
      <c r="E1146" t="s">
        <v>145</v>
      </c>
      <c r="F1146">
        <v>1245.25</v>
      </c>
    </row>
    <row r="1147" spans="3:6" x14ac:dyDescent="0.25">
      <c r="C1147" t="s">
        <v>119</v>
      </c>
      <c r="D1147">
        <v>2033</v>
      </c>
      <c r="E1147" t="s">
        <v>147</v>
      </c>
      <c r="F1147">
        <v>60.97</v>
      </c>
    </row>
    <row r="1148" spans="3:6" x14ac:dyDescent="0.25">
      <c r="C1148" t="s">
        <v>119</v>
      </c>
      <c r="D1148">
        <v>2033</v>
      </c>
      <c r="E1148" t="s">
        <v>148</v>
      </c>
      <c r="F1148">
        <v>566.39</v>
      </c>
    </row>
    <row r="1149" spans="3:6" x14ac:dyDescent="0.25">
      <c r="C1149" t="s">
        <v>119</v>
      </c>
      <c r="D1149">
        <v>2033</v>
      </c>
      <c r="E1149" t="s">
        <v>146</v>
      </c>
      <c r="F1149">
        <v>2062.5100000000002</v>
      </c>
    </row>
    <row r="1150" spans="3:6" x14ac:dyDescent="0.25">
      <c r="C1150" t="s">
        <v>119</v>
      </c>
      <c r="D1150">
        <v>2033</v>
      </c>
      <c r="E1150" t="s">
        <v>142</v>
      </c>
      <c r="F1150">
        <v>2854.48</v>
      </c>
    </row>
    <row r="1151" spans="3:6" x14ac:dyDescent="0.25">
      <c r="C1151" t="s">
        <v>119</v>
      </c>
      <c r="D1151">
        <v>2033</v>
      </c>
      <c r="E1151" t="s">
        <v>143</v>
      </c>
      <c r="F1151">
        <v>18093.810000000001</v>
      </c>
    </row>
    <row r="1152" spans="3:6" x14ac:dyDescent="0.25">
      <c r="C1152" t="s">
        <v>119</v>
      </c>
      <c r="D1152">
        <v>2033</v>
      </c>
      <c r="E1152" t="s">
        <v>144</v>
      </c>
      <c r="F1152">
        <v>6531.34</v>
      </c>
    </row>
    <row r="1153" spans="3:6" x14ac:dyDescent="0.25">
      <c r="C1153" t="s">
        <v>119</v>
      </c>
      <c r="D1153">
        <v>2033</v>
      </c>
      <c r="E1153" t="s">
        <v>145</v>
      </c>
      <c r="F1153">
        <v>1322.09</v>
      </c>
    </row>
    <row r="1154" spans="3:6" x14ac:dyDescent="0.25">
      <c r="C1154" t="s">
        <v>119</v>
      </c>
      <c r="D1154">
        <v>2034</v>
      </c>
      <c r="E1154" t="s">
        <v>147</v>
      </c>
      <c r="F1154">
        <v>61.13</v>
      </c>
    </row>
    <row r="1155" spans="3:6" x14ac:dyDescent="0.25">
      <c r="C1155" t="s">
        <v>119</v>
      </c>
      <c r="D1155">
        <v>2034</v>
      </c>
      <c r="E1155" t="s">
        <v>148</v>
      </c>
      <c r="F1155">
        <v>566.78</v>
      </c>
    </row>
    <row r="1156" spans="3:6" x14ac:dyDescent="0.25">
      <c r="C1156" t="s">
        <v>119</v>
      </c>
      <c r="D1156">
        <v>2034</v>
      </c>
      <c r="E1156" t="s">
        <v>146</v>
      </c>
      <c r="F1156">
        <v>2078.5300000000002</v>
      </c>
    </row>
    <row r="1157" spans="3:6" x14ac:dyDescent="0.25">
      <c r="C1157" t="s">
        <v>119</v>
      </c>
      <c r="D1157">
        <v>2034</v>
      </c>
      <c r="E1157" t="s">
        <v>142</v>
      </c>
      <c r="F1157">
        <v>2936.45</v>
      </c>
    </row>
    <row r="1158" spans="3:6" x14ac:dyDescent="0.25">
      <c r="C1158" t="s">
        <v>119</v>
      </c>
      <c r="D1158">
        <v>2034</v>
      </c>
      <c r="E1158" t="s">
        <v>143</v>
      </c>
      <c r="F1158">
        <v>18024.45</v>
      </c>
    </row>
    <row r="1159" spans="3:6" x14ac:dyDescent="0.25">
      <c r="C1159" t="s">
        <v>119</v>
      </c>
      <c r="D1159">
        <v>2034</v>
      </c>
      <c r="E1159" t="s">
        <v>144</v>
      </c>
      <c r="F1159">
        <v>6725.12</v>
      </c>
    </row>
    <row r="1160" spans="3:6" x14ac:dyDescent="0.25">
      <c r="C1160" t="s">
        <v>119</v>
      </c>
      <c r="D1160">
        <v>2034</v>
      </c>
      <c r="E1160" t="s">
        <v>145</v>
      </c>
      <c r="F1160">
        <v>1403.46</v>
      </c>
    </row>
    <row r="1161" spans="3:6" x14ac:dyDescent="0.25">
      <c r="C1161" t="s">
        <v>119</v>
      </c>
      <c r="D1161">
        <v>2035</v>
      </c>
      <c r="E1161" t="s">
        <v>147</v>
      </c>
      <c r="F1161">
        <v>61.27</v>
      </c>
    </row>
    <row r="1162" spans="3:6" x14ac:dyDescent="0.25">
      <c r="C1162" t="s">
        <v>119</v>
      </c>
      <c r="D1162">
        <v>2035</v>
      </c>
      <c r="E1162" t="s">
        <v>148</v>
      </c>
      <c r="F1162">
        <v>567.09</v>
      </c>
    </row>
    <row r="1163" spans="3:6" x14ac:dyDescent="0.25">
      <c r="C1163" t="s">
        <v>119</v>
      </c>
      <c r="D1163">
        <v>2035</v>
      </c>
      <c r="E1163" t="s">
        <v>146</v>
      </c>
      <c r="F1163">
        <v>2093.69</v>
      </c>
    </row>
    <row r="1164" spans="3:6" x14ac:dyDescent="0.25">
      <c r="C1164" t="s">
        <v>119</v>
      </c>
      <c r="D1164">
        <v>2035</v>
      </c>
      <c r="E1164" t="s">
        <v>142</v>
      </c>
      <c r="F1164">
        <v>3018.44</v>
      </c>
    </row>
    <row r="1165" spans="3:6" x14ac:dyDescent="0.25">
      <c r="C1165" t="s">
        <v>119</v>
      </c>
      <c r="D1165">
        <v>2035</v>
      </c>
      <c r="E1165" t="s">
        <v>143</v>
      </c>
      <c r="F1165">
        <v>18091.3</v>
      </c>
    </row>
    <row r="1166" spans="3:6" x14ac:dyDescent="0.25">
      <c r="C1166" t="s">
        <v>119</v>
      </c>
      <c r="D1166">
        <v>2035</v>
      </c>
      <c r="E1166" t="s">
        <v>144</v>
      </c>
      <c r="F1166">
        <v>6921.88</v>
      </c>
    </row>
    <row r="1167" spans="3:6" x14ac:dyDescent="0.25">
      <c r="C1167" t="s">
        <v>119</v>
      </c>
      <c r="D1167">
        <v>2035</v>
      </c>
      <c r="E1167" t="s">
        <v>145</v>
      </c>
      <c r="F1167">
        <v>1492.45</v>
      </c>
    </row>
    <row r="1168" spans="3:6" x14ac:dyDescent="0.25">
      <c r="C1168" t="s">
        <v>119</v>
      </c>
      <c r="D1168">
        <v>2036</v>
      </c>
      <c r="E1168" t="s">
        <v>147</v>
      </c>
      <c r="F1168">
        <v>61.4</v>
      </c>
    </row>
    <row r="1169" spans="3:6" x14ac:dyDescent="0.25">
      <c r="C1169" t="s">
        <v>119</v>
      </c>
      <c r="D1169">
        <v>2036</v>
      </c>
      <c r="E1169" t="s">
        <v>148</v>
      </c>
      <c r="F1169">
        <v>567.30999999999995</v>
      </c>
    </row>
    <row r="1170" spans="3:6" x14ac:dyDescent="0.25">
      <c r="C1170" t="s">
        <v>119</v>
      </c>
      <c r="D1170">
        <v>2036</v>
      </c>
      <c r="E1170" t="s">
        <v>146</v>
      </c>
      <c r="F1170">
        <v>2107.0100000000002</v>
      </c>
    </row>
    <row r="1171" spans="3:6" x14ac:dyDescent="0.25">
      <c r="C1171" t="s">
        <v>119</v>
      </c>
      <c r="D1171">
        <v>2036</v>
      </c>
      <c r="E1171" t="s">
        <v>142</v>
      </c>
      <c r="F1171">
        <v>3120.92</v>
      </c>
    </row>
    <row r="1172" spans="3:6" x14ac:dyDescent="0.25">
      <c r="C1172" t="s">
        <v>119</v>
      </c>
      <c r="D1172">
        <v>2036</v>
      </c>
      <c r="E1172" t="s">
        <v>143</v>
      </c>
      <c r="F1172">
        <v>18264.71</v>
      </c>
    </row>
    <row r="1173" spans="3:6" x14ac:dyDescent="0.25">
      <c r="C1173" t="s">
        <v>119</v>
      </c>
      <c r="D1173">
        <v>2036</v>
      </c>
      <c r="E1173" t="s">
        <v>144</v>
      </c>
      <c r="F1173">
        <v>7154.77</v>
      </c>
    </row>
    <row r="1174" spans="3:6" x14ac:dyDescent="0.25">
      <c r="C1174" t="s">
        <v>119</v>
      </c>
      <c r="D1174">
        <v>2036</v>
      </c>
      <c r="E1174" t="s">
        <v>145</v>
      </c>
      <c r="F1174">
        <v>1576.4</v>
      </c>
    </row>
    <row r="1175" spans="3:6" x14ac:dyDescent="0.25">
      <c r="C1175" t="s">
        <v>119</v>
      </c>
      <c r="D1175">
        <v>2037</v>
      </c>
      <c r="E1175" t="s">
        <v>147</v>
      </c>
      <c r="F1175">
        <v>61.5</v>
      </c>
    </row>
    <row r="1176" spans="3:6" x14ac:dyDescent="0.25">
      <c r="C1176" t="s">
        <v>119</v>
      </c>
      <c r="D1176">
        <v>2037</v>
      </c>
      <c r="E1176" t="s">
        <v>148</v>
      </c>
      <c r="F1176">
        <v>567.27</v>
      </c>
    </row>
    <row r="1177" spans="3:6" x14ac:dyDescent="0.25">
      <c r="C1177" t="s">
        <v>119</v>
      </c>
      <c r="D1177">
        <v>2037</v>
      </c>
      <c r="E1177" t="s">
        <v>146</v>
      </c>
      <c r="F1177">
        <v>2118.2399999999998</v>
      </c>
    </row>
    <row r="1178" spans="3:6" x14ac:dyDescent="0.25">
      <c r="C1178" t="s">
        <v>119</v>
      </c>
      <c r="D1178">
        <v>2037</v>
      </c>
      <c r="E1178" t="s">
        <v>142</v>
      </c>
      <c r="F1178">
        <v>3223.93</v>
      </c>
    </row>
    <row r="1179" spans="3:6" x14ac:dyDescent="0.25">
      <c r="C1179" t="s">
        <v>119</v>
      </c>
      <c r="D1179">
        <v>2037</v>
      </c>
      <c r="E1179" t="s">
        <v>143</v>
      </c>
      <c r="F1179">
        <v>18260.169999999998</v>
      </c>
    </row>
    <row r="1180" spans="3:6" x14ac:dyDescent="0.25">
      <c r="C1180" t="s">
        <v>119</v>
      </c>
      <c r="D1180">
        <v>2037</v>
      </c>
      <c r="E1180" t="s">
        <v>144</v>
      </c>
      <c r="F1180">
        <v>7390.64</v>
      </c>
    </row>
    <row r="1181" spans="3:6" x14ac:dyDescent="0.25">
      <c r="C1181" t="s">
        <v>119</v>
      </c>
      <c r="D1181">
        <v>2037</v>
      </c>
      <c r="E1181" t="s">
        <v>145</v>
      </c>
      <c r="F1181">
        <v>1653.92</v>
      </c>
    </row>
    <row r="1182" spans="3:6" x14ac:dyDescent="0.25">
      <c r="C1182" t="s">
        <v>119</v>
      </c>
      <c r="D1182">
        <v>2038</v>
      </c>
      <c r="E1182" t="s">
        <v>147</v>
      </c>
      <c r="F1182">
        <v>61.59</v>
      </c>
    </row>
    <row r="1183" spans="3:6" x14ac:dyDescent="0.25">
      <c r="C1183" t="s">
        <v>119</v>
      </c>
      <c r="D1183">
        <v>2038</v>
      </c>
      <c r="E1183" t="s">
        <v>148</v>
      </c>
      <c r="F1183">
        <v>567.14</v>
      </c>
    </row>
    <row r="1184" spans="3:6" x14ac:dyDescent="0.25">
      <c r="C1184" t="s">
        <v>119</v>
      </c>
      <c r="D1184">
        <v>2038</v>
      </c>
      <c r="E1184" t="s">
        <v>146</v>
      </c>
      <c r="F1184">
        <v>2127.39</v>
      </c>
    </row>
    <row r="1185" spans="3:6" x14ac:dyDescent="0.25">
      <c r="C1185" t="s">
        <v>119</v>
      </c>
      <c r="D1185">
        <v>2038</v>
      </c>
      <c r="E1185" t="s">
        <v>142</v>
      </c>
      <c r="F1185">
        <v>3327.84</v>
      </c>
    </row>
    <row r="1186" spans="3:6" x14ac:dyDescent="0.25">
      <c r="C1186" t="s">
        <v>119</v>
      </c>
      <c r="D1186">
        <v>2038</v>
      </c>
      <c r="E1186" t="s">
        <v>143</v>
      </c>
      <c r="F1186">
        <v>18311.77</v>
      </c>
    </row>
    <row r="1187" spans="3:6" x14ac:dyDescent="0.25">
      <c r="C1187" t="s">
        <v>119</v>
      </c>
      <c r="D1187">
        <v>2038</v>
      </c>
      <c r="E1187" t="s">
        <v>144</v>
      </c>
      <c r="F1187">
        <v>7629.24</v>
      </c>
    </row>
    <row r="1188" spans="3:6" x14ac:dyDescent="0.25">
      <c r="C1188" t="s">
        <v>119</v>
      </c>
      <c r="D1188">
        <v>2038</v>
      </c>
      <c r="E1188" t="s">
        <v>145</v>
      </c>
      <c r="F1188">
        <v>1731.58</v>
      </c>
    </row>
    <row r="1189" spans="3:6" x14ac:dyDescent="0.25">
      <c r="C1189" t="s">
        <v>119</v>
      </c>
      <c r="D1189">
        <v>2039</v>
      </c>
      <c r="E1189" t="s">
        <v>147</v>
      </c>
      <c r="F1189">
        <v>61.66</v>
      </c>
    </row>
    <row r="1190" spans="3:6" x14ac:dyDescent="0.25">
      <c r="C1190" t="s">
        <v>119</v>
      </c>
      <c r="D1190">
        <v>2039</v>
      </c>
      <c r="E1190" t="s">
        <v>148</v>
      </c>
      <c r="F1190">
        <v>566.86</v>
      </c>
    </row>
    <row r="1191" spans="3:6" x14ac:dyDescent="0.25">
      <c r="C1191" t="s">
        <v>119</v>
      </c>
      <c r="D1191">
        <v>2039</v>
      </c>
      <c r="E1191" t="s">
        <v>146</v>
      </c>
      <c r="F1191">
        <v>2136.2600000000002</v>
      </c>
    </row>
    <row r="1192" spans="3:6" x14ac:dyDescent="0.25">
      <c r="C1192" t="s">
        <v>119</v>
      </c>
      <c r="D1192">
        <v>2039</v>
      </c>
      <c r="E1192" t="s">
        <v>142</v>
      </c>
      <c r="F1192">
        <v>3433.42</v>
      </c>
    </row>
    <row r="1193" spans="3:6" x14ac:dyDescent="0.25">
      <c r="C1193" t="s">
        <v>119</v>
      </c>
      <c r="D1193">
        <v>2039</v>
      </c>
      <c r="E1193" t="s">
        <v>143</v>
      </c>
      <c r="F1193">
        <v>18309.23</v>
      </c>
    </row>
    <row r="1194" spans="3:6" x14ac:dyDescent="0.25">
      <c r="C1194" t="s">
        <v>119</v>
      </c>
      <c r="D1194">
        <v>2039</v>
      </c>
      <c r="E1194" t="s">
        <v>144</v>
      </c>
      <c r="F1194">
        <v>7875.92</v>
      </c>
    </row>
    <row r="1195" spans="3:6" x14ac:dyDescent="0.25">
      <c r="C1195" t="s">
        <v>119</v>
      </c>
      <c r="D1195">
        <v>2039</v>
      </c>
      <c r="E1195" t="s">
        <v>145</v>
      </c>
      <c r="F1195">
        <v>1808.2</v>
      </c>
    </row>
    <row r="1196" spans="3:6" x14ac:dyDescent="0.25">
      <c r="C1196" t="s">
        <v>119</v>
      </c>
      <c r="D1196">
        <v>2040</v>
      </c>
      <c r="E1196" t="s">
        <v>147</v>
      </c>
      <c r="F1196">
        <v>61.74</v>
      </c>
    </row>
    <row r="1197" spans="3:6" x14ac:dyDescent="0.25">
      <c r="C1197" t="s">
        <v>119</v>
      </c>
      <c r="D1197">
        <v>2040</v>
      </c>
      <c r="E1197" t="s">
        <v>148</v>
      </c>
      <c r="F1197">
        <v>566.74</v>
      </c>
    </row>
    <row r="1198" spans="3:6" x14ac:dyDescent="0.25">
      <c r="C1198" t="s">
        <v>119</v>
      </c>
      <c r="D1198">
        <v>2040</v>
      </c>
      <c r="E1198" t="s">
        <v>146</v>
      </c>
      <c r="F1198">
        <v>2144.96</v>
      </c>
    </row>
    <row r="1199" spans="3:6" x14ac:dyDescent="0.25">
      <c r="C1199" t="s">
        <v>119</v>
      </c>
      <c r="D1199">
        <v>2040</v>
      </c>
      <c r="E1199" t="s">
        <v>142</v>
      </c>
      <c r="F1199">
        <v>3541.05</v>
      </c>
    </row>
    <row r="1200" spans="3:6" x14ac:dyDescent="0.25">
      <c r="C1200" t="s">
        <v>119</v>
      </c>
      <c r="D1200">
        <v>2040</v>
      </c>
      <c r="E1200" t="s">
        <v>143</v>
      </c>
      <c r="F1200">
        <v>18326.45</v>
      </c>
    </row>
    <row r="1201" spans="3:6" x14ac:dyDescent="0.25">
      <c r="C1201" t="s">
        <v>119</v>
      </c>
      <c r="D1201">
        <v>2040</v>
      </c>
      <c r="E1201" t="s">
        <v>144</v>
      </c>
      <c r="F1201">
        <v>8120.24</v>
      </c>
    </row>
    <row r="1202" spans="3:6" x14ac:dyDescent="0.25">
      <c r="C1202" t="s">
        <v>119</v>
      </c>
      <c r="D1202">
        <v>2040</v>
      </c>
      <c r="E1202" t="s">
        <v>145</v>
      </c>
      <c r="F1202">
        <v>1882.91</v>
      </c>
    </row>
    <row r="1203" spans="3:6" x14ac:dyDescent="0.25">
      <c r="C1203" t="s">
        <v>119</v>
      </c>
      <c r="D1203">
        <v>2041</v>
      </c>
      <c r="E1203" t="s">
        <v>147</v>
      </c>
      <c r="F1203">
        <v>61.81</v>
      </c>
    </row>
    <row r="1204" spans="3:6" x14ac:dyDescent="0.25">
      <c r="C1204" t="s">
        <v>119</v>
      </c>
      <c r="D1204">
        <v>2041</v>
      </c>
      <c r="E1204" t="s">
        <v>148</v>
      </c>
      <c r="F1204">
        <v>566.49</v>
      </c>
    </row>
    <row r="1205" spans="3:6" x14ac:dyDescent="0.25">
      <c r="C1205" t="s">
        <v>119</v>
      </c>
      <c r="D1205">
        <v>2041</v>
      </c>
      <c r="E1205" t="s">
        <v>146</v>
      </c>
      <c r="F1205">
        <v>2153.2800000000002</v>
      </c>
    </row>
    <row r="1206" spans="3:6" x14ac:dyDescent="0.25">
      <c r="C1206" t="s">
        <v>119</v>
      </c>
      <c r="D1206">
        <v>2041</v>
      </c>
      <c r="E1206" t="s">
        <v>142</v>
      </c>
      <c r="F1206">
        <v>3660.15</v>
      </c>
    </row>
    <row r="1207" spans="3:6" x14ac:dyDescent="0.25">
      <c r="C1207" t="s">
        <v>119</v>
      </c>
      <c r="D1207">
        <v>2041</v>
      </c>
      <c r="E1207" t="s">
        <v>143</v>
      </c>
      <c r="F1207">
        <v>18392.79</v>
      </c>
    </row>
    <row r="1208" spans="3:6" x14ac:dyDescent="0.25">
      <c r="C1208" t="s">
        <v>119</v>
      </c>
      <c r="D1208">
        <v>2041</v>
      </c>
      <c r="E1208" t="s">
        <v>144</v>
      </c>
      <c r="F1208">
        <v>8389.3799999999992</v>
      </c>
    </row>
    <row r="1209" spans="3:6" x14ac:dyDescent="0.25">
      <c r="C1209" t="s">
        <v>119</v>
      </c>
      <c r="D1209">
        <v>2041</v>
      </c>
      <c r="E1209" t="s">
        <v>145</v>
      </c>
      <c r="F1209">
        <v>1957.49</v>
      </c>
    </row>
    <row r="1210" spans="3:6" x14ac:dyDescent="0.25">
      <c r="C1210" t="s">
        <v>119</v>
      </c>
      <c r="D1210">
        <v>2042</v>
      </c>
      <c r="E1210" t="s">
        <v>147</v>
      </c>
      <c r="F1210">
        <v>61.89</v>
      </c>
    </row>
    <row r="1211" spans="3:6" x14ac:dyDescent="0.25">
      <c r="C1211" t="s">
        <v>119</v>
      </c>
      <c r="D1211">
        <v>2042</v>
      </c>
      <c r="E1211" t="s">
        <v>148</v>
      </c>
      <c r="F1211">
        <v>566.35</v>
      </c>
    </row>
    <row r="1212" spans="3:6" x14ac:dyDescent="0.25">
      <c r="C1212" t="s">
        <v>119</v>
      </c>
      <c r="D1212">
        <v>2042</v>
      </c>
      <c r="E1212" t="s">
        <v>146</v>
      </c>
      <c r="F1212">
        <v>2162.31</v>
      </c>
    </row>
    <row r="1213" spans="3:6" x14ac:dyDescent="0.25">
      <c r="C1213" t="s">
        <v>119</v>
      </c>
      <c r="D1213">
        <v>2042</v>
      </c>
      <c r="E1213" t="s">
        <v>142</v>
      </c>
      <c r="F1213">
        <v>3783.29</v>
      </c>
    </row>
    <row r="1214" spans="3:6" x14ac:dyDescent="0.25">
      <c r="C1214" t="s">
        <v>119</v>
      </c>
      <c r="D1214">
        <v>2042</v>
      </c>
      <c r="E1214" t="s">
        <v>143</v>
      </c>
      <c r="F1214">
        <v>18410.599999999999</v>
      </c>
    </row>
    <row r="1215" spans="3:6" x14ac:dyDescent="0.25">
      <c r="C1215" t="s">
        <v>119</v>
      </c>
      <c r="D1215">
        <v>2042</v>
      </c>
      <c r="E1215" t="s">
        <v>144</v>
      </c>
      <c r="F1215">
        <v>8671.42</v>
      </c>
    </row>
    <row r="1216" spans="3:6" x14ac:dyDescent="0.25">
      <c r="C1216" t="s">
        <v>119</v>
      </c>
      <c r="D1216">
        <v>2042</v>
      </c>
      <c r="E1216" t="s">
        <v>145</v>
      </c>
      <c r="F1216">
        <v>2029.65</v>
      </c>
    </row>
    <row r="1217" spans="3:6" x14ac:dyDescent="0.25">
      <c r="C1217" t="s">
        <v>119</v>
      </c>
      <c r="D1217">
        <v>2043</v>
      </c>
      <c r="E1217" t="s">
        <v>147</v>
      </c>
      <c r="F1217">
        <v>62</v>
      </c>
    </row>
    <row r="1218" spans="3:6" x14ac:dyDescent="0.25">
      <c r="C1218" t="s">
        <v>119</v>
      </c>
      <c r="D1218">
        <v>2043</v>
      </c>
      <c r="E1218" t="s">
        <v>148</v>
      </c>
      <c r="F1218">
        <v>566.54</v>
      </c>
    </row>
    <row r="1219" spans="3:6" x14ac:dyDescent="0.25">
      <c r="C1219" t="s">
        <v>119</v>
      </c>
      <c r="D1219">
        <v>2043</v>
      </c>
      <c r="E1219" t="s">
        <v>146</v>
      </c>
      <c r="F1219">
        <v>2172.13</v>
      </c>
    </row>
    <row r="1220" spans="3:6" x14ac:dyDescent="0.25">
      <c r="C1220" t="s">
        <v>119</v>
      </c>
      <c r="D1220">
        <v>2043</v>
      </c>
      <c r="E1220" t="s">
        <v>142</v>
      </c>
      <c r="F1220">
        <v>3909.52</v>
      </c>
    </row>
    <row r="1221" spans="3:6" x14ac:dyDescent="0.25">
      <c r="C1221" t="s">
        <v>119</v>
      </c>
      <c r="D1221">
        <v>2043</v>
      </c>
      <c r="E1221" t="s">
        <v>143</v>
      </c>
      <c r="F1221">
        <v>18429.43</v>
      </c>
    </row>
    <row r="1222" spans="3:6" x14ac:dyDescent="0.25">
      <c r="C1222" t="s">
        <v>119</v>
      </c>
      <c r="D1222">
        <v>2043</v>
      </c>
      <c r="E1222" t="s">
        <v>144</v>
      </c>
      <c r="F1222">
        <v>8960.0499999999993</v>
      </c>
    </row>
    <row r="1223" spans="3:6" x14ac:dyDescent="0.25">
      <c r="C1223" t="s">
        <v>119</v>
      </c>
      <c r="D1223">
        <v>2043</v>
      </c>
      <c r="E1223" t="s">
        <v>145</v>
      </c>
      <c r="F1223">
        <v>2100.37</v>
      </c>
    </row>
    <row r="1224" spans="3:6" x14ac:dyDescent="0.25">
      <c r="C1224" t="s">
        <v>119</v>
      </c>
      <c r="D1224">
        <v>2044</v>
      </c>
      <c r="E1224" t="s">
        <v>147</v>
      </c>
      <c r="F1224">
        <v>62.08</v>
      </c>
    </row>
    <row r="1225" spans="3:6" x14ac:dyDescent="0.25">
      <c r="C1225" t="s">
        <v>119</v>
      </c>
      <c r="D1225">
        <v>2044</v>
      </c>
      <c r="E1225" t="s">
        <v>148</v>
      </c>
      <c r="F1225">
        <v>566.54999999999995</v>
      </c>
    </row>
    <row r="1226" spans="3:6" x14ac:dyDescent="0.25">
      <c r="C1226" t="s">
        <v>119</v>
      </c>
      <c r="D1226">
        <v>2044</v>
      </c>
      <c r="E1226" t="s">
        <v>146</v>
      </c>
      <c r="F1226">
        <v>2180.0500000000002</v>
      </c>
    </row>
    <row r="1227" spans="3:6" x14ac:dyDescent="0.25">
      <c r="C1227" t="s">
        <v>119</v>
      </c>
      <c r="D1227">
        <v>2044</v>
      </c>
      <c r="E1227" t="s">
        <v>142</v>
      </c>
      <c r="F1227">
        <v>4038.12</v>
      </c>
    </row>
    <row r="1228" spans="3:6" x14ac:dyDescent="0.25">
      <c r="C1228" t="s">
        <v>119</v>
      </c>
      <c r="D1228">
        <v>2044</v>
      </c>
      <c r="E1228" t="s">
        <v>143</v>
      </c>
      <c r="F1228">
        <v>18471.7</v>
      </c>
    </row>
    <row r="1229" spans="3:6" x14ac:dyDescent="0.25">
      <c r="C1229" t="s">
        <v>119</v>
      </c>
      <c r="D1229">
        <v>2044</v>
      </c>
      <c r="E1229" t="s">
        <v>144</v>
      </c>
      <c r="F1229">
        <v>9260.6</v>
      </c>
    </row>
    <row r="1230" spans="3:6" x14ac:dyDescent="0.25">
      <c r="C1230" t="s">
        <v>119</v>
      </c>
      <c r="D1230">
        <v>2044</v>
      </c>
      <c r="E1230" t="s">
        <v>145</v>
      </c>
      <c r="F1230">
        <v>2168.8200000000002</v>
      </c>
    </row>
    <row r="1231" spans="3:6" x14ac:dyDescent="0.25">
      <c r="C1231" t="s">
        <v>119</v>
      </c>
      <c r="D1231">
        <v>2045</v>
      </c>
      <c r="E1231" t="s">
        <v>147</v>
      </c>
      <c r="F1231">
        <v>62.13</v>
      </c>
    </row>
    <row r="1232" spans="3:6" x14ac:dyDescent="0.25">
      <c r="C1232" t="s">
        <v>119</v>
      </c>
      <c r="D1232">
        <v>2045</v>
      </c>
      <c r="E1232" t="s">
        <v>148</v>
      </c>
      <c r="F1232">
        <v>566.24</v>
      </c>
    </row>
    <row r="1233" spans="3:6" x14ac:dyDescent="0.25">
      <c r="C1233" t="s">
        <v>119</v>
      </c>
      <c r="D1233">
        <v>2045</v>
      </c>
      <c r="E1233" t="s">
        <v>146</v>
      </c>
      <c r="F1233">
        <v>2186.3200000000002</v>
      </c>
    </row>
    <row r="1234" spans="3:6" x14ac:dyDescent="0.25">
      <c r="C1234" t="s">
        <v>119</v>
      </c>
      <c r="D1234">
        <v>2045</v>
      </c>
      <c r="E1234" t="s">
        <v>142</v>
      </c>
      <c r="F1234">
        <v>4168.82</v>
      </c>
    </row>
    <row r="1235" spans="3:6" x14ac:dyDescent="0.25">
      <c r="C1235" t="s">
        <v>119</v>
      </c>
      <c r="D1235">
        <v>2045</v>
      </c>
      <c r="E1235" t="s">
        <v>143</v>
      </c>
      <c r="F1235">
        <v>18443.98</v>
      </c>
    </row>
    <row r="1236" spans="3:6" x14ac:dyDescent="0.25">
      <c r="C1236" t="s">
        <v>119</v>
      </c>
      <c r="D1236">
        <v>2045</v>
      </c>
      <c r="E1236" t="s">
        <v>144</v>
      </c>
      <c r="F1236">
        <v>9573.7099999999991</v>
      </c>
    </row>
    <row r="1237" spans="3:6" x14ac:dyDescent="0.25">
      <c r="C1237" t="s">
        <v>119</v>
      </c>
      <c r="D1237">
        <v>2045</v>
      </c>
      <c r="E1237" t="s">
        <v>145</v>
      </c>
      <c r="F1237">
        <v>2234.27</v>
      </c>
    </row>
    <row r="1238" spans="3:6" x14ac:dyDescent="0.25">
      <c r="C1238" t="s">
        <v>119</v>
      </c>
      <c r="D1238">
        <v>2046</v>
      </c>
      <c r="E1238" t="s">
        <v>147</v>
      </c>
      <c r="F1238">
        <v>62.14</v>
      </c>
    </row>
    <row r="1239" spans="3:6" x14ac:dyDescent="0.25">
      <c r="C1239" t="s">
        <v>119</v>
      </c>
      <c r="D1239">
        <v>2046</v>
      </c>
      <c r="E1239" t="s">
        <v>148</v>
      </c>
      <c r="F1239">
        <v>565.59</v>
      </c>
    </row>
    <row r="1240" spans="3:6" x14ac:dyDescent="0.25">
      <c r="C1240" t="s">
        <v>119</v>
      </c>
      <c r="D1240">
        <v>2046</v>
      </c>
      <c r="E1240" t="s">
        <v>146</v>
      </c>
      <c r="F1240">
        <v>2189.4699999999998</v>
      </c>
    </row>
    <row r="1241" spans="3:6" x14ac:dyDescent="0.25">
      <c r="C1241" t="s">
        <v>119</v>
      </c>
      <c r="D1241">
        <v>2046</v>
      </c>
      <c r="E1241" t="s">
        <v>142</v>
      </c>
      <c r="F1241">
        <v>4229.7299999999996</v>
      </c>
    </row>
    <row r="1242" spans="3:6" x14ac:dyDescent="0.25">
      <c r="C1242" t="s">
        <v>119</v>
      </c>
      <c r="D1242">
        <v>2046</v>
      </c>
      <c r="E1242" t="s">
        <v>143</v>
      </c>
      <c r="F1242">
        <v>18304.14</v>
      </c>
    </row>
    <row r="1243" spans="3:6" x14ac:dyDescent="0.25">
      <c r="C1243" t="s">
        <v>119</v>
      </c>
      <c r="D1243">
        <v>2046</v>
      </c>
      <c r="E1243" t="s">
        <v>144</v>
      </c>
      <c r="F1243">
        <v>9759.1</v>
      </c>
    </row>
    <row r="1244" spans="3:6" x14ac:dyDescent="0.25">
      <c r="C1244" t="s">
        <v>119</v>
      </c>
      <c r="D1244">
        <v>2046</v>
      </c>
      <c r="E1244" t="s">
        <v>145</v>
      </c>
      <c r="F1244">
        <v>2295.7399999999998</v>
      </c>
    </row>
    <row r="1245" spans="3:6" x14ac:dyDescent="0.25">
      <c r="C1245" t="s">
        <v>119</v>
      </c>
      <c r="D1245">
        <v>2047</v>
      </c>
      <c r="E1245" t="s">
        <v>147</v>
      </c>
      <c r="F1245">
        <v>62.13</v>
      </c>
    </row>
    <row r="1246" spans="3:6" x14ac:dyDescent="0.25">
      <c r="C1246" t="s">
        <v>119</v>
      </c>
      <c r="D1246">
        <v>2047</v>
      </c>
      <c r="E1246" t="s">
        <v>148</v>
      </c>
      <c r="F1246">
        <v>564.76</v>
      </c>
    </row>
    <row r="1247" spans="3:6" x14ac:dyDescent="0.25">
      <c r="C1247" t="s">
        <v>119</v>
      </c>
      <c r="D1247">
        <v>2047</v>
      </c>
      <c r="E1247" t="s">
        <v>146</v>
      </c>
      <c r="F1247">
        <v>2190.65</v>
      </c>
    </row>
    <row r="1248" spans="3:6" x14ac:dyDescent="0.25">
      <c r="C1248" t="s">
        <v>119</v>
      </c>
      <c r="D1248">
        <v>2047</v>
      </c>
      <c r="E1248" t="s">
        <v>142</v>
      </c>
      <c r="F1248">
        <v>4288.6000000000004</v>
      </c>
    </row>
    <row r="1249" spans="3:6" x14ac:dyDescent="0.25">
      <c r="C1249" t="s">
        <v>119</v>
      </c>
      <c r="D1249">
        <v>2047</v>
      </c>
      <c r="E1249" t="s">
        <v>143</v>
      </c>
      <c r="F1249">
        <v>18198.25</v>
      </c>
    </row>
    <row r="1250" spans="3:6" x14ac:dyDescent="0.25">
      <c r="C1250" t="s">
        <v>119</v>
      </c>
      <c r="D1250">
        <v>2047</v>
      </c>
      <c r="E1250" t="s">
        <v>144</v>
      </c>
      <c r="F1250">
        <v>9943.9599999999991</v>
      </c>
    </row>
    <row r="1251" spans="3:6" x14ac:dyDescent="0.25">
      <c r="C1251" t="s">
        <v>119</v>
      </c>
      <c r="D1251">
        <v>2047</v>
      </c>
      <c r="E1251" t="s">
        <v>145</v>
      </c>
      <c r="F1251">
        <v>2351.23</v>
      </c>
    </row>
    <row r="1252" spans="3:6" x14ac:dyDescent="0.25">
      <c r="C1252" t="s">
        <v>119</v>
      </c>
      <c r="D1252">
        <v>2048</v>
      </c>
      <c r="E1252" t="s">
        <v>147</v>
      </c>
      <c r="F1252">
        <v>62.11</v>
      </c>
    </row>
    <row r="1253" spans="3:6" x14ac:dyDescent="0.25">
      <c r="C1253" t="s">
        <v>119</v>
      </c>
      <c r="D1253">
        <v>2048</v>
      </c>
      <c r="E1253" t="s">
        <v>148</v>
      </c>
      <c r="F1253">
        <v>563.9</v>
      </c>
    </row>
    <row r="1254" spans="3:6" x14ac:dyDescent="0.25">
      <c r="C1254" t="s">
        <v>119</v>
      </c>
      <c r="D1254">
        <v>2048</v>
      </c>
      <c r="E1254" t="s">
        <v>146</v>
      </c>
      <c r="F1254">
        <v>2190.94</v>
      </c>
    </row>
    <row r="1255" spans="3:6" x14ac:dyDescent="0.25">
      <c r="C1255" t="s">
        <v>119</v>
      </c>
      <c r="D1255">
        <v>2048</v>
      </c>
      <c r="E1255" t="s">
        <v>142</v>
      </c>
      <c r="F1255">
        <v>4345.83</v>
      </c>
    </row>
    <row r="1256" spans="3:6" x14ac:dyDescent="0.25">
      <c r="C1256" t="s">
        <v>119</v>
      </c>
      <c r="D1256">
        <v>2048</v>
      </c>
      <c r="E1256" t="s">
        <v>143</v>
      </c>
      <c r="F1256">
        <v>18244.68</v>
      </c>
    </row>
    <row r="1257" spans="3:6" x14ac:dyDescent="0.25">
      <c r="C1257" t="s">
        <v>119</v>
      </c>
      <c r="D1257">
        <v>2048</v>
      </c>
      <c r="E1257" t="s">
        <v>144</v>
      </c>
      <c r="F1257">
        <v>10131.56</v>
      </c>
    </row>
    <row r="1258" spans="3:6" x14ac:dyDescent="0.25">
      <c r="C1258" t="s">
        <v>119</v>
      </c>
      <c r="D1258">
        <v>2048</v>
      </c>
      <c r="E1258" t="s">
        <v>145</v>
      </c>
      <c r="F1258">
        <v>2404.27</v>
      </c>
    </row>
    <row r="1259" spans="3:6" x14ac:dyDescent="0.25">
      <c r="C1259" t="s">
        <v>119</v>
      </c>
      <c r="D1259">
        <v>2049</v>
      </c>
      <c r="E1259" t="s">
        <v>147</v>
      </c>
      <c r="F1259">
        <v>62.12</v>
      </c>
    </row>
    <row r="1260" spans="3:6" x14ac:dyDescent="0.25">
      <c r="C1260" t="s">
        <v>119</v>
      </c>
      <c r="D1260">
        <v>2049</v>
      </c>
      <c r="E1260" t="s">
        <v>148</v>
      </c>
      <c r="F1260">
        <v>563.34</v>
      </c>
    </row>
    <row r="1261" spans="3:6" x14ac:dyDescent="0.25">
      <c r="C1261" t="s">
        <v>119</v>
      </c>
      <c r="D1261">
        <v>2049</v>
      </c>
      <c r="E1261" t="s">
        <v>146</v>
      </c>
      <c r="F1261">
        <v>2193.69</v>
      </c>
    </row>
    <row r="1262" spans="3:6" x14ac:dyDescent="0.25">
      <c r="C1262" t="s">
        <v>119</v>
      </c>
      <c r="D1262">
        <v>2049</v>
      </c>
      <c r="E1262" t="s">
        <v>142</v>
      </c>
      <c r="F1262">
        <v>4400.7700000000004</v>
      </c>
    </row>
    <row r="1263" spans="3:6" x14ac:dyDescent="0.25">
      <c r="C1263" t="s">
        <v>119</v>
      </c>
      <c r="D1263">
        <v>2049</v>
      </c>
      <c r="E1263" t="s">
        <v>143</v>
      </c>
      <c r="F1263">
        <v>18199.55</v>
      </c>
    </row>
    <row r="1264" spans="3:6" x14ac:dyDescent="0.25">
      <c r="C1264" t="s">
        <v>119</v>
      </c>
      <c r="D1264">
        <v>2049</v>
      </c>
      <c r="E1264" t="s">
        <v>144</v>
      </c>
      <c r="F1264">
        <v>10316.799999999999</v>
      </c>
    </row>
    <row r="1265" spans="3:6" x14ac:dyDescent="0.25">
      <c r="C1265" t="s">
        <v>119</v>
      </c>
      <c r="D1265">
        <v>2049</v>
      </c>
      <c r="E1265" t="s">
        <v>145</v>
      </c>
      <c r="F1265">
        <v>2453.13</v>
      </c>
    </row>
    <row r="1266" spans="3:6" x14ac:dyDescent="0.25">
      <c r="C1266" t="s">
        <v>119</v>
      </c>
      <c r="D1266">
        <v>2050</v>
      </c>
      <c r="E1266" t="s">
        <v>147</v>
      </c>
      <c r="F1266">
        <v>62.08</v>
      </c>
    </row>
    <row r="1267" spans="3:6" x14ac:dyDescent="0.25">
      <c r="C1267" t="s">
        <v>119</v>
      </c>
      <c r="D1267">
        <v>2050</v>
      </c>
      <c r="E1267" t="s">
        <v>148</v>
      </c>
      <c r="F1267">
        <v>562.35</v>
      </c>
    </row>
    <row r="1268" spans="3:6" x14ac:dyDescent="0.25">
      <c r="C1268" t="s">
        <v>119</v>
      </c>
      <c r="D1268">
        <v>2050</v>
      </c>
      <c r="E1268" t="s">
        <v>146</v>
      </c>
      <c r="F1268">
        <v>2192.31</v>
      </c>
    </row>
    <row r="1269" spans="3:6" x14ac:dyDescent="0.25">
      <c r="C1269" t="s">
        <v>119</v>
      </c>
      <c r="D1269">
        <v>2050</v>
      </c>
      <c r="E1269" t="s">
        <v>142</v>
      </c>
      <c r="F1269">
        <v>4452.63</v>
      </c>
    </row>
    <row r="1270" spans="3:6" x14ac:dyDescent="0.25">
      <c r="C1270" t="s">
        <v>119</v>
      </c>
      <c r="D1270">
        <v>2050</v>
      </c>
      <c r="E1270" t="s">
        <v>143</v>
      </c>
      <c r="F1270">
        <v>18177.61</v>
      </c>
    </row>
    <row r="1271" spans="3:6" x14ac:dyDescent="0.25">
      <c r="C1271" t="s">
        <v>119</v>
      </c>
      <c r="D1271">
        <v>2050</v>
      </c>
      <c r="E1271" t="s">
        <v>144</v>
      </c>
      <c r="F1271">
        <v>10499.79</v>
      </c>
    </row>
    <row r="1272" spans="3:6" x14ac:dyDescent="0.25">
      <c r="C1272" t="s">
        <v>119</v>
      </c>
      <c r="D1272">
        <v>2050</v>
      </c>
      <c r="E1272" t="s">
        <v>145</v>
      </c>
      <c r="F1272">
        <v>2498.5100000000002</v>
      </c>
    </row>
    <row r="1273" spans="3:6" x14ac:dyDescent="0.25">
      <c r="C1273" t="s">
        <v>120</v>
      </c>
      <c r="D1273">
        <v>2010</v>
      </c>
      <c r="E1273" t="s">
        <v>142</v>
      </c>
      <c r="F1273">
        <v>294.77</v>
      </c>
    </row>
    <row r="1274" spans="3:6" x14ac:dyDescent="0.25">
      <c r="C1274" t="s">
        <v>120</v>
      </c>
      <c r="D1274">
        <v>2010</v>
      </c>
      <c r="E1274" t="s">
        <v>143</v>
      </c>
      <c r="F1274">
        <v>478.27</v>
      </c>
    </row>
    <row r="1275" spans="3:6" x14ac:dyDescent="0.25">
      <c r="C1275" t="s">
        <v>120</v>
      </c>
      <c r="D1275">
        <v>2010</v>
      </c>
      <c r="E1275" t="s">
        <v>144</v>
      </c>
      <c r="F1275">
        <v>425.01</v>
      </c>
    </row>
    <row r="1276" spans="3:6" x14ac:dyDescent="0.25">
      <c r="C1276" t="s">
        <v>120</v>
      </c>
      <c r="D1276">
        <v>2010</v>
      </c>
      <c r="E1276" t="s">
        <v>145</v>
      </c>
      <c r="F1276">
        <v>12.39</v>
      </c>
    </row>
    <row r="1277" spans="3:6" x14ac:dyDescent="0.25">
      <c r="C1277" t="s">
        <v>120</v>
      </c>
      <c r="D1277">
        <v>2011</v>
      </c>
      <c r="E1277" t="s">
        <v>142</v>
      </c>
      <c r="F1277">
        <v>312.89</v>
      </c>
    </row>
    <row r="1278" spans="3:6" x14ac:dyDescent="0.25">
      <c r="C1278" t="s">
        <v>120</v>
      </c>
      <c r="D1278">
        <v>2011</v>
      </c>
      <c r="E1278" t="s">
        <v>143</v>
      </c>
      <c r="F1278">
        <v>497.99</v>
      </c>
    </row>
    <row r="1279" spans="3:6" x14ac:dyDescent="0.25">
      <c r="C1279" t="s">
        <v>120</v>
      </c>
      <c r="D1279">
        <v>2011</v>
      </c>
      <c r="E1279" t="s">
        <v>144</v>
      </c>
      <c r="F1279">
        <v>438.37</v>
      </c>
    </row>
    <row r="1280" spans="3:6" x14ac:dyDescent="0.25">
      <c r="C1280" t="s">
        <v>120</v>
      </c>
      <c r="D1280">
        <v>2011</v>
      </c>
      <c r="E1280" t="s">
        <v>145</v>
      </c>
      <c r="F1280">
        <v>14.89</v>
      </c>
    </row>
    <row r="1281" spans="3:6" x14ac:dyDescent="0.25">
      <c r="C1281" t="s">
        <v>120</v>
      </c>
      <c r="D1281">
        <v>2012</v>
      </c>
      <c r="E1281" t="s">
        <v>142</v>
      </c>
      <c r="F1281">
        <v>328.55</v>
      </c>
    </row>
    <row r="1282" spans="3:6" x14ac:dyDescent="0.25">
      <c r="C1282" t="s">
        <v>120</v>
      </c>
      <c r="D1282">
        <v>2012</v>
      </c>
      <c r="E1282" t="s">
        <v>143</v>
      </c>
      <c r="F1282">
        <v>511.15</v>
      </c>
    </row>
    <row r="1283" spans="3:6" x14ac:dyDescent="0.25">
      <c r="C1283" t="s">
        <v>120</v>
      </c>
      <c r="D1283">
        <v>2012</v>
      </c>
      <c r="E1283" t="s">
        <v>144</v>
      </c>
      <c r="F1283">
        <v>461.24</v>
      </c>
    </row>
    <row r="1284" spans="3:6" x14ac:dyDescent="0.25">
      <c r="C1284" t="s">
        <v>120</v>
      </c>
      <c r="D1284">
        <v>2012</v>
      </c>
      <c r="E1284" t="s">
        <v>145</v>
      </c>
      <c r="F1284">
        <v>4.04</v>
      </c>
    </row>
    <row r="1285" spans="3:6" x14ac:dyDescent="0.25">
      <c r="C1285" t="s">
        <v>120</v>
      </c>
      <c r="D1285">
        <v>2013</v>
      </c>
      <c r="E1285" t="s">
        <v>142</v>
      </c>
      <c r="F1285">
        <v>330.8</v>
      </c>
    </row>
    <row r="1286" spans="3:6" x14ac:dyDescent="0.25">
      <c r="C1286" t="s">
        <v>120</v>
      </c>
      <c r="D1286">
        <v>2013</v>
      </c>
      <c r="E1286" t="s">
        <v>143</v>
      </c>
      <c r="F1286">
        <v>542.91999999999996</v>
      </c>
    </row>
    <row r="1287" spans="3:6" x14ac:dyDescent="0.25">
      <c r="C1287" t="s">
        <v>120</v>
      </c>
      <c r="D1287">
        <v>2013</v>
      </c>
      <c r="E1287" t="s">
        <v>144</v>
      </c>
      <c r="F1287">
        <v>457.31</v>
      </c>
    </row>
    <row r="1288" spans="3:6" x14ac:dyDescent="0.25">
      <c r="C1288" t="s">
        <v>120</v>
      </c>
      <c r="D1288">
        <v>2013</v>
      </c>
      <c r="E1288" t="s">
        <v>145</v>
      </c>
      <c r="F1288">
        <v>4.0999999999999996</v>
      </c>
    </row>
    <row r="1289" spans="3:6" x14ac:dyDescent="0.25">
      <c r="C1289" t="s">
        <v>120</v>
      </c>
      <c r="D1289">
        <v>2014</v>
      </c>
      <c r="E1289" t="s">
        <v>142</v>
      </c>
      <c r="F1289">
        <v>317.14</v>
      </c>
    </row>
    <row r="1290" spans="3:6" x14ac:dyDescent="0.25">
      <c r="C1290" t="s">
        <v>120</v>
      </c>
      <c r="D1290">
        <v>2014</v>
      </c>
      <c r="E1290" t="s">
        <v>143</v>
      </c>
      <c r="F1290">
        <v>464.92</v>
      </c>
    </row>
    <row r="1291" spans="3:6" x14ac:dyDescent="0.25">
      <c r="C1291" t="s">
        <v>120</v>
      </c>
      <c r="D1291">
        <v>2014</v>
      </c>
      <c r="E1291" t="s">
        <v>144</v>
      </c>
      <c r="F1291">
        <v>457.74</v>
      </c>
    </row>
    <row r="1292" spans="3:6" x14ac:dyDescent="0.25">
      <c r="C1292" t="s">
        <v>120</v>
      </c>
      <c r="D1292">
        <v>2014</v>
      </c>
      <c r="E1292" t="s">
        <v>145</v>
      </c>
      <c r="F1292">
        <v>3.11</v>
      </c>
    </row>
    <row r="1293" spans="3:6" x14ac:dyDescent="0.25">
      <c r="C1293" t="s">
        <v>120</v>
      </c>
      <c r="D1293">
        <v>2015</v>
      </c>
      <c r="E1293" t="s">
        <v>142</v>
      </c>
      <c r="F1293">
        <v>362.46</v>
      </c>
    </row>
    <row r="1294" spans="3:6" x14ac:dyDescent="0.25">
      <c r="C1294" t="s">
        <v>120</v>
      </c>
      <c r="D1294">
        <v>2015</v>
      </c>
      <c r="E1294" t="s">
        <v>143</v>
      </c>
      <c r="F1294">
        <v>499.2</v>
      </c>
    </row>
    <row r="1295" spans="3:6" x14ac:dyDescent="0.25">
      <c r="C1295" t="s">
        <v>120</v>
      </c>
      <c r="D1295">
        <v>2015</v>
      </c>
      <c r="E1295" t="s">
        <v>144</v>
      </c>
      <c r="F1295">
        <v>497.9</v>
      </c>
    </row>
    <row r="1296" spans="3:6" x14ac:dyDescent="0.25">
      <c r="C1296" t="s">
        <v>120</v>
      </c>
      <c r="D1296">
        <v>2015</v>
      </c>
      <c r="E1296" t="s">
        <v>145</v>
      </c>
      <c r="F1296">
        <v>3.3</v>
      </c>
    </row>
    <row r="1297" spans="3:6" x14ac:dyDescent="0.25">
      <c r="C1297" t="s">
        <v>120</v>
      </c>
      <c r="D1297">
        <v>2016</v>
      </c>
      <c r="E1297" t="s">
        <v>142</v>
      </c>
      <c r="F1297">
        <v>362.79</v>
      </c>
    </row>
    <row r="1298" spans="3:6" x14ac:dyDescent="0.25">
      <c r="C1298" t="s">
        <v>120</v>
      </c>
      <c r="D1298">
        <v>2016</v>
      </c>
      <c r="E1298" t="s">
        <v>143</v>
      </c>
      <c r="F1298">
        <v>490.98</v>
      </c>
    </row>
    <row r="1299" spans="3:6" x14ac:dyDescent="0.25">
      <c r="C1299" t="s">
        <v>120</v>
      </c>
      <c r="D1299">
        <v>2016</v>
      </c>
      <c r="E1299" t="s">
        <v>144</v>
      </c>
      <c r="F1299">
        <v>502.69</v>
      </c>
    </row>
    <row r="1300" spans="3:6" x14ac:dyDescent="0.25">
      <c r="C1300" t="s">
        <v>120</v>
      </c>
      <c r="D1300">
        <v>2016</v>
      </c>
      <c r="E1300" t="s">
        <v>145</v>
      </c>
      <c r="F1300">
        <v>3.18</v>
      </c>
    </row>
    <row r="1301" spans="3:6" x14ac:dyDescent="0.25">
      <c r="C1301" t="s">
        <v>120</v>
      </c>
      <c r="D1301">
        <v>2017</v>
      </c>
      <c r="E1301" t="s">
        <v>142</v>
      </c>
      <c r="F1301">
        <v>378.27</v>
      </c>
    </row>
    <row r="1302" spans="3:6" x14ac:dyDescent="0.25">
      <c r="C1302" t="s">
        <v>120</v>
      </c>
      <c r="D1302">
        <v>2017</v>
      </c>
      <c r="E1302" t="s">
        <v>143</v>
      </c>
      <c r="F1302">
        <v>472.66</v>
      </c>
    </row>
    <row r="1303" spans="3:6" x14ac:dyDescent="0.25">
      <c r="C1303" t="s">
        <v>120</v>
      </c>
      <c r="D1303">
        <v>2017</v>
      </c>
      <c r="E1303" t="s">
        <v>144</v>
      </c>
      <c r="F1303">
        <v>496.89</v>
      </c>
    </row>
    <row r="1304" spans="3:6" x14ac:dyDescent="0.25">
      <c r="C1304" t="s">
        <v>120</v>
      </c>
      <c r="D1304">
        <v>2017</v>
      </c>
      <c r="E1304" t="s">
        <v>145</v>
      </c>
      <c r="F1304">
        <v>3.64</v>
      </c>
    </row>
    <row r="1305" spans="3:6" x14ac:dyDescent="0.25">
      <c r="C1305" t="s">
        <v>120</v>
      </c>
      <c r="D1305">
        <v>2018</v>
      </c>
      <c r="E1305" t="s">
        <v>142</v>
      </c>
      <c r="F1305">
        <v>376.01</v>
      </c>
    </row>
    <row r="1306" spans="3:6" x14ac:dyDescent="0.25">
      <c r="C1306" t="s">
        <v>120</v>
      </c>
      <c r="D1306">
        <v>2018</v>
      </c>
      <c r="E1306" t="s">
        <v>143</v>
      </c>
      <c r="F1306">
        <v>476.03</v>
      </c>
    </row>
    <row r="1307" spans="3:6" x14ac:dyDescent="0.25">
      <c r="C1307" t="s">
        <v>120</v>
      </c>
      <c r="D1307">
        <v>2018</v>
      </c>
      <c r="E1307" t="s">
        <v>144</v>
      </c>
      <c r="F1307">
        <v>508.63</v>
      </c>
    </row>
    <row r="1308" spans="3:6" x14ac:dyDescent="0.25">
      <c r="C1308" t="s">
        <v>120</v>
      </c>
      <c r="D1308">
        <v>2018</v>
      </c>
      <c r="E1308" t="s">
        <v>145</v>
      </c>
      <c r="F1308">
        <v>3.4</v>
      </c>
    </row>
    <row r="1309" spans="3:6" x14ac:dyDescent="0.25">
      <c r="C1309" t="s">
        <v>120</v>
      </c>
      <c r="D1309">
        <v>2019</v>
      </c>
      <c r="E1309" t="s">
        <v>142</v>
      </c>
      <c r="F1309">
        <v>363.23</v>
      </c>
    </row>
    <row r="1310" spans="3:6" x14ac:dyDescent="0.25">
      <c r="C1310" t="s">
        <v>120</v>
      </c>
      <c r="D1310">
        <v>2019</v>
      </c>
      <c r="E1310" t="s">
        <v>143</v>
      </c>
      <c r="F1310">
        <v>467.2</v>
      </c>
    </row>
    <row r="1311" spans="3:6" x14ac:dyDescent="0.25">
      <c r="C1311" t="s">
        <v>120</v>
      </c>
      <c r="D1311">
        <v>2019</v>
      </c>
      <c r="E1311" t="s">
        <v>144</v>
      </c>
      <c r="F1311">
        <v>485.87</v>
      </c>
    </row>
    <row r="1312" spans="3:6" x14ac:dyDescent="0.25">
      <c r="C1312" t="s">
        <v>120</v>
      </c>
      <c r="D1312">
        <v>2019</v>
      </c>
      <c r="E1312" t="s">
        <v>145</v>
      </c>
      <c r="F1312">
        <v>1.28</v>
      </c>
    </row>
    <row r="1313" spans="3:6" x14ac:dyDescent="0.25">
      <c r="C1313" t="s">
        <v>120</v>
      </c>
      <c r="D1313">
        <v>2020</v>
      </c>
      <c r="E1313" t="s">
        <v>142</v>
      </c>
      <c r="F1313">
        <v>327.13</v>
      </c>
    </row>
    <row r="1314" spans="3:6" x14ac:dyDescent="0.25">
      <c r="C1314" t="s">
        <v>120</v>
      </c>
      <c r="D1314">
        <v>2020</v>
      </c>
      <c r="E1314" t="s">
        <v>143</v>
      </c>
      <c r="F1314">
        <v>437.95</v>
      </c>
    </row>
    <row r="1315" spans="3:6" x14ac:dyDescent="0.25">
      <c r="C1315" t="s">
        <v>120</v>
      </c>
      <c r="D1315">
        <v>2020</v>
      </c>
      <c r="E1315" t="s">
        <v>144</v>
      </c>
      <c r="F1315">
        <v>448.79</v>
      </c>
    </row>
    <row r="1316" spans="3:6" x14ac:dyDescent="0.25">
      <c r="C1316" t="s">
        <v>120</v>
      </c>
      <c r="D1316">
        <v>2020</v>
      </c>
      <c r="E1316" t="s">
        <v>145</v>
      </c>
      <c r="F1316">
        <v>0.76</v>
      </c>
    </row>
    <row r="1317" spans="3:6" x14ac:dyDescent="0.25">
      <c r="C1317" t="s">
        <v>120</v>
      </c>
      <c r="D1317">
        <v>2021</v>
      </c>
      <c r="E1317" t="s">
        <v>142</v>
      </c>
      <c r="F1317">
        <v>344.93</v>
      </c>
    </row>
    <row r="1318" spans="3:6" x14ac:dyDescent="0.25">
      <c r="C1318" t="s">
        <v>120</v>
      </c>
      <c r="D1318">
        <v>2021</v>
      </c>
      <c r="E1318" t="s">
        <v>143</v>
      </c>
      <c r="F1318">
        <v>508.1</v>
      </c>
    </row>
    <row r="1319" spans="3:6" x14ac:dyDescent="0.25">
      <c r="C1319" t="s">
        <v>120</v>
      </c>
      <c r="D1319">
        <v>2021</v>
      </c>
      <c r="E1319" t="s">
        <v>144</v>
      </c>
      <c r="F1319">
        <v>461.83</v>
      </c>
    </row>
    <row r="1320" spans="3:6" x14ac:dyDescent="0.25">
      <c r="C1320" t="s">
        <v>120</v>
      </c>
      <c r="D1320">
        <v>2021</v>
      </c>
      <c r="E1320" t="s">
        <v>145</v>
      </c>
      <c r="F1320">
        <v>1</v>
      </c>
    </row>
    <row r="1321" spans="3:6" x14ac:dyDescent="0.25">
      <c r="C1321" t="s">
        <v>120</v>
      </c>
      <c r="D1321">
        <v>2022</v>
      </c>
      <c r="E1321" t="s">
        <v>142</v>
      </c>
      <c r="F1321">
        <v>354.05</v>
      </c>
    </row>
    <row r="1322" spans="3:6" x14ac:dyDescent="0.25">
      <c r="C1322" t="s">
        <v>120</v>
      </c>
      <c r="D1322">
        <v>2022</v>
      </c>
      <c r="E1322" t="s">
        <v>143</v>
      </c>
      <c r="F1322">
        <v>494.69</v>
      </c>
    </row>
    <row r="1323" spans="3:6" x14ac:dyDescent="0.25">
      <c r="C1323" t="s">
        <v>120</v>
      </c>
      <c r="D1323">
        <v>2022</v>
      </c>
      <c r="E1323" t="s">
        <v>144</v>
      </c>
      <c r="F1323">
        <v>462.82</v>
      </c>
    </row>
    <row r="1324" spans="3:6" x14ac:dyDescent="0.25">
      <c r="C1324" t="s">
        <v>120</v>
      </c>
      <c r="D1324">
        <v>2022</v>
      </c>
      <c r="E1324" t="s">
        <v>145</v>
      </c>
      <c r="F1324">
        <v>1.0900000000000001</v>
      </c>
    </row>
    <row r="1325" spans="3:6" x14ac:dyDescent="0.25">
      <c r="C1325" t="s">
        <v>120</v>
      </c>
      <c r="D1325">
        <v>2023</v>
      </c>
      <c r="E1325" t="s">
        <v>142</v>
      </c>
      <c r="F1325">
        <v>363.14</v>
      </c>
    </row>
    <row r="1326" spans="3:6" x14ac:dyDescent="0.25">
      <c r="C1326" t="s">
        <v>120</v>
      </c>
      <c r="D1326">
        <v>2023</v>
      </c>
      <c r="E1326" t="s">
        <v>143</v>
      </c>
      <c r="F1326">
        <v>501.44</v>
      </c>
    </row>
    <row r="1327" spans="3:6" x14ac:dyDescent="0.25">
      <c r="C1327" t="s">
        <v>120</v>
      </c>
      <c r="D1327">
        <v>2023</v>
      </c>
      <c r="E1327" t="s">
        <v>144</v>
      </c>
      <c r="F1327">
        <v>466.47</v>
      </c>
    </row>
    <row r="1328" spans="3:6" x14ac:dyDescent="0.25">
      <c r="C1328" t="s">
        <v>120</v>
      </c>
      <c r="D1328">
        <v>2023</v>
      </c>
      <c r="E1328" t="s">
        <v>145</v>
      </c>
      <c r="F1328">
        <v>1.1000000000000001</v>
      </c>
    </row>
    <row r="1329" spans="3:6" x14ac:dyDescent="0.25">
      <c r="C1329" t="s">
        <v>120</v>
      </c>
      <c r="D1329">
        <v>2024</v>
      </c>
      <c r="E1329" t="s">
        <v>142</v>
      </c>
      <c r="F1329">
        <v>371.49</v>
      </c>
    </row>
    <row r="1330" spans="3:6" x14ac:dyDescent="0.25">
      <c r="C1330" t="s">
        <v>120</v>
      </c>
      <c r="D1330">
        <v>2024</v>
      </c>
      <c r="E1330" t="s">
        <v>143</v>
      </c>
      <c r="F1330">
        <v>498.03</v>
      </c>
    </row>
    <row r="1331" spans="3:6" x14ac:dyDescent="0.25">
      <c r="C1331" t="s">
        <v>120</v>
      </c>
      <c r="D1331">
        <v>2024</v>
      </c>
      <c r="E1331" t="s">
        <v>144</v>
      </c>
      <c r="F1331">
        <v>467.96</v>
      </c>
    </row>
    <row r="1332" spans="3:6" x14ac:dyDescent="0.25">
      <c r="C1332" t="s">
        <v>120</v>
      </c>
      <c r="D1332">
        <v>2024</v>
      </c>
      <c r="E1332" t="s">
        <v>145</v>
      </c>
      <c r="F1332">
        <v>1.06</v>
      </c>
    </row>
    <row r="1333" spans="3:6" x14ac:dyDescent="0.25">
      <c r="C1333" t="s">
        <v>120</v>
      </c>
      <c r="D1333">
        <v>2025</v>
      </c>
      <c r="E1333" t="s">
        <v>142</v>
      </c>
      <c r="F1333">
        <v>381.17</v>
      </c>
    </row>
    <row r="1334" spans="3:6" x14ac:dyDescent="0.25">
      <c r="C1334" t="s">
        <v>120</v>
      </c>
      <c r="D1334">
        <v>2025</v>
      </c>
      <c r="E1334" t="s">
        <v>143</v>
      </c>
      <c r="F1334">
        <v>506.98</v>
      </c>
    </row>
    <row r="1335" spans="3:6" x14ac:dyDescent="0.25">
      <c r="C1335" t="s">
        <v>120</v>
      </c>
      <c r="D1335">
        <v>2025</v>
      </c>
      <c r="E1335" t="s">
        <v>144</v>
      </c>
      <c r="F1335">
        <v>469.5</v>
      </c>
    </row>
    <row r="1336" spans="3:6" x14ac:dyDescent="0.25">
      <c r="C1336" t="s">
        <v>120</v>
      </c>
      <c r="D1336">
        <v>2025</v>
      </c>
      <c r="E1336" t="s">
        <v>145</v>
      </c>
      <c r="F1336">
        <v>1.01</v>
      </c>
    </row>
    <row r="1337" spans="3:6" x14ac:dyDescent="0.25">
      <c r="C1337" t="s">
        <v>120</v>
      </c>
      <c r="D1337">
        <v>2026</v>
      </c>
      <c r="E1337" t="s">
        <v>142</v>
      </c>
      <c r="F1337">
        <v>396.81</v>
      </c>
    </row>
    <row r="1338" spans="3:6" x14ac:dyDescent="0.25">
      <c r="C1338" t="s">
        <v>120</v>
      </c>
      <c r="D1338">
        <v>2026</v>
      </c>
      <c r="E1338" t="s">
        <v>143</v>
      </c>
      <c r="F1338">
        <v>510.25</v>
      </c>
    </row>
    <row r="1339" spans="3:6" x14ac:dyDescent="0.25">
      <c r="C1339" t="s">
        <v>120</v>
      </c>
      <c r="D1339">
        <v>2026</v>
      </c>
      <c r="E1339" t="s">
        <v>144</v>
      </c>
      <c r="F1339">
        <v>474.13</v>
      </c>
    </row>
    <row r="1340" spans="3:6" x14ac:dyDescent="0.25">
      <c r="C1340" t="s">
        <v>120</v>
      </c>
      <c r="D1340">
        <v>2026</v>
      </c>
      <c r="E1340" t="s">
        <v>145</v>
      </c>
      <c r="F1340">
        <v>0.98</v>
      </c>
    </row>
    <row r="1341" spans="3:6" x14ac:dyDescent="0.25">
      <c r="C1341" t="s">
        <v>120</v>
      </c>
      <c r="D1341">
        <v>2027</v>
      </c>
      <c r="E1341" t="s">
        <v>142</v>
      </c>
      <c r="F1341">
        <v>412.57</v>
      </c>
    </row>
    <row r="1342" spans="3:6" x14ac:dyDescent="0.25">
      <c r="C1342" t="s">
        <v>120</v>
      </c>
      <c r="D1342">
        <v>2027</v>
      </c>
      <c r="E1342" t="s">
        <v>143</v>
      </c>
      <c r="F1342">
        <v>520.13</v>
      </c>
    </row>
    <row r="1343" spans="3:6" x14ac:dyDescent="0.25">
      <c r="C1343" t="s">
        <v>120</v>
      </c>
      <c r="D1343">
        <v>2027</v>
      </c>
      <c r="E1343" t="s">
        <v>144</v>
      </c>
      <c r="F1343">
        <v>479.84</v>
      </c>
    </row>
    <row r="1344" spans="3:6" x14ac:dyDescent="0.25">
      <c r="C1344" t="s">
        <v>120</v>
      </c>
      <c r="D1344">
        <v>2027</v>
      </c>
      <c r="E1344" t="s">
        <v>145</v>
      </c>
      <c r="F1344">
        <v>0.93</v>
      </c>
    </row>
    <row r="1345" spans="3:6" x14ac:dyDescent="0.25">
      <c r="C1345" t="s">
        <v>120</v>
      </c>
      <c r="D1345">
        <v>2028</v>
      </c>
      <c r="E1345" t="s">
        <v>142</v>
      </c>
      <c r="F1345">
        <v>428.05</v>
      </c>
    </row>
    <row r="1346" spans="3:6" x14ac:dyDescent="0.25">
      <c r="C1346" t="s">
        <v>120</v>
      </c>
      <c r="D1346">
        <v>2028</v>
      </c>
      <c r="E1346" t="s">
        <v>143</v>
      </c>
      <c r="F1346">
        <v>523.96</v>
      </c>
    </row>
    <row r="1347" spans="3:6" x14ac:dyDescent="0.25">
      <c r="C1347" t="s">
        <v>120</v>
      </c>
      <c r="D1347">
        <v>2028</v>
      </c>
      <c r="E1347" t="s">
        <v>144</v>
      </c>
      <c r="F1347">
        <v>486.15</v>
      </c>
    </row>
    <row r="1348" spans="3:6" x14ac:dyDescent="0.25">
      <c r="C1348" t="s">
        <v>120</v>
      </c>
      <c r="D1348">
        <v>2028</v>
      </c>
      <c r="E1348" t="s">
        <v>145</v>
      </c>
      <c r="F1348">
        <v>0.88</v>
      </c>
    </row>
    <row r="1349" spans="3:6" x14ac:dyDescent="0.25">
      <c r="C1349" t="s">
        <v>120</v>
      </c>
      <c r="D1349">
        <v>2029</v>
      </c>
      <c r="E1349" t="s">
        <v>142</v>
      </c>
      <c r="F1349">
        <v>443.16</v>
      </c>
    </row>
    <row r="1350" spans="3:6" x14ac:dyDescent="0.25">
      <c r="C1350" t="s">
        <v>120</v>
      </c>
      <c r="D1350">
        <v>2029</v>
      </c>
      <c r="E1350" t="s">
        <v>143</v>
      </c>
      <c r="F1350">
        <v>535.22</v>
      </c>
    </row>
    <row r="1351" spans="3:6" x14ac:dyDescent="0.25">
      <c r="C1351" t="s">
        <v>120</v>
      </c>
      <c r="D1351">
        <v>2029</v>
      </c>
      <c r="E1351" t="s">
        <v>144</v>
      </c>
      <c r="F1351">
        <v>493.12</v>
      </c>
    </row>
    <row r="1352" spans="3:6" x14ac:dyDescent="0.25">
      <c r="C1352" t="s">
        <v>120</v>
      </c>
      <c r="D1352">
        <v>2029</v>
      </c>
      <c r="E1352" t="s">
        <v>145</v>
      </c>
      <c r="F1352">
        <v>0.83</v>
      </c>
    </row>
    <row r="1353" spans="3:6" x14ac:dyDescent="0.25">
      <c r="C1353" t="s">
        <v>120</v>
      </c>
      <c r="D1353">
        <v>2030</v>
      </c>
      <c r="E1353" t="s">
        <v>142</v>
      </c>
      <c r="F1353">
        <v>457.86</v>
      </c>
    </row>
    <row r="1354" spans="3:6" x14ac:dyDescent="0.25">
      <c r="C1354" t="s">
        <v>120</v>
      </c>
      <c r="D1354">
        <v>2030</v>
      </c>
      <c r="E1354" t="s">
        <v>143</v>
      </c>
      <c r="F1354">
        <v>545.03</v>
      </c>
    </row>
    <row r="1355" spans="3:6" x14ac:dyDescent="0.25">
      <c r="C1355" t="s">
        <v>120</v>
      </c>
      <c r="D1355">
        <v>2030</v>
      </c>
      <c r="E1355" t="s">
        <v>144</v>
      </c>
      <c r="F1355">
        <v>500.34</v>
      </c>
    </row>
    <row r="1356" spans="3:6" x14ac:dyDescent="0.25">
      <c r="C1356" t="s">
        <v>120</v>
      </c>
      <c r="D1356">
        <v>2030</v>
      </c>
      <c r="E1356" t="s">
        <v>145</v>
      </c>
      <c r="F1356">
        <v>0.77</v>
      </c>
    </row>
    <row r="1357" spans="3:6" x14ac:dyDescent="0.25">
      <c r="C1357" t="s">
        <v>120</v>
      </c>
      <c r="D1357">
        <v>2031</v>
      </c>
      <c r="E1357" t="s">
        <v>142</v>
      </c>
      <c r="F1357">
        <v>466.71</v>
      </c>
    </row>
    <row r="1358" spans="3:6" x14ac:dyDescent="0.25">
      <c r="C1358" t="s">
        <v>120</v>
      </c>
      <c r="D1358">
        <v>2031</v>
      </c>
      <c r="E1358" t="s">
        <v>143</v>
      </c>
      <c r="F1358">
        <v>555.36</v>
      </c>
    </row>
    <row r="1359" spans="3:6" x14ac:dyDescent="0.25">
      <c r="C1359" t="s">
        <v>120</v>
      </c>
      <c r="D1359">
        <v>2031</v>
      </c>
      <c r="E1359" t="s">
        <v>144</v>
      </c>
      <c r="F1359">
        <v>504.66</v>
      </c>
    </row>
    <row r="1360" spans="3:6" x14ac:dyDescent="0.25">
      <c r="C1360" t="s">
        <v>120</v>
      </c>
      <c r="D1360">
        <v>2031</v>
      </c>
      <c r="E1360" t="s">
        <v>145</v>
      </c>
      <c r="F1360">
        <v>0.73</v>
      </c>
    </row>
    <row r="1361" spans="3:6" x14ac:dyDescent="0.25">
      <c r="C1361" t="s">
        <v>120</v>
      </c>
      <c r="D1361">
        <v>2032</v>
      </c>
      <c r="E1361" t="s">
        <v>142</v>
      </c>
      <c r="F1361">
        <v>475.67</v>
      </c>
    </row>
    <row r="1362" spans="3:6" x14ac:dyDescent="0.25">
      <c r="C1362" t="s">
        <v>120</v>
      </c>
      <c r="D1362">
        <v>2032</v>
      </c>
      <c r="E1362" t="s">
        <v>143</v>
      </c>
      <c r="F1362">
        <v>557.67999999999995</v>
      </c>
    </row>
    <row r="1363" spans="3:6" x14ac:dyDescent="0.25">
      <c r="C1363" t="s">
        <v>120</v>
      </c>
      <c r="D1363">
        <v>2032</v>
      </c>
      <c r="E1363" t="s">
        <v>144</v>
      </c>
      <c r="F1363">
        <v>509.04</v>
      </c>
    </row>
    <row r="1364" spans="3:6" x14ac:dyDescent="0.25">
      <c r="C1364" t="s">
        <v>120</v>
      </c>
      <c r="D1364">
        <v>2032</v>
      </c>
      <c r="E1364" t="s">
        <v>145</v>
      </c>
      <c r="F1364">
        <v>0.69</v>
      </c>
    </row>
    <row r="1365" spans="3:6" x14ac:dyDescent="0.25">
      <c r="C1365" t="s">
        <v>120</v>
      </c>
      <c r="D1365">
        <v>2033</v>
      </c>
      <c r="E1365" t="s">
        <v>142</v>
      </c>
      <c r="F1365">
        <v>484.78</v>
      </c>
    </row>
    <row r="1366" spans="3:6" x14ac:dyDescent="0.25">
      <c r="C1366" t="s">
        <v>120</v>
      </c>
      <c r="D1366">
        <v>2033</v>
      </c>
      <c r="E1366" t="s">
        <v>143</v>
      </c>
      <c r="F1366">
        <v>575.57000000000005</v>
      </c>
    </row>
    <row r="1367" spans="3:6" x14ac:dyDescent="0.25">
      <c r="C1367" t="s">
        <v>120</v>
      </c>
      <c r="D1367">
        <v>2033</v>
      </c>
      <c r="E1367" t="s">
        <v>144</v>
      </c>
      <c r="F1367">
        <v>513.55999999999995</v>
      </c>
    </row>
    <row r="1368" spans="3:6" x14ac:dyDescent="0.25">
      <c r="C1368" t="s">
        <v>120</v>
      </c>
      <c r="D1368">
        <v>2033</v>
      </c>
      <c r="E1368" t="s">
        <v>145</v>
      </c>
      <c r="F1368">
        <v>0.65</v>
      </c>
    </row>
    <row r="1369" spans="3:6" x14ac:dyDescent="0.25">
      <c r="C1369" t="s">
        <v>120</v>
      </c>
      <c r="D1369">
        <v>2034</v>
      </c>
      <c r="E1369" t="s">
        <v>142</v>
      </c>
      <c r="F1369">
        <v>494.08</v>
      </c>
    </row>
    <row r="1370" spans="3:6" x14ac:dyDescent="0.25">
      <c r="C1370" t="s">
        <v>120</v>
      </c>
      <c r="D1370">
        <v>2034</v>
      </c>
      <c r="E1370" t="s">
        <v>143</v>
      </c>
      <c r="F1370">
        <v>575.82000000000005</v>
      </c>
    </row>
    <row r="1371" spans="3:6" x14ac:dyDescent="0.25">
      <c r="C1371" t="s">
        <v>120</v>
      </c>
      <c r="D1371">
        <v>2034</v>
      </c>
      <c r="E1371" t="s">
        <v>144</v>
      </c>
      <c r="F1371">
        <v>518.12</v>
      </c>
    </row>
    <row r="1372" spans="3:6" x14ac:dyDescent="0.25">
      <c r="C1372" t="s">
        <v>120</v>
      </c>
      <c r="D1372">
        <v>2034</v>
      </c>
      <c r="E1372" t="s">
        <v>145</v>
      </c>
      <c r="F1372">
        <v>0.61</v>
      </c>
    </row>
    <row r="1373" spans="3:6" x14ac:dyDescent="0.25">
      <c r="C1373" t="s">
        <v>120</v>
      </c>
      <c r="D1373">
        <v>2035</v>
      </c>
      <c r="E1373" t="s">
        <v>142</v>
      </c>
      <c r="F1373">
        <v>503.55</v>
      </c>
    </row>
    <row r="1374" spans="3:6" x14ac:dyDescent="0.25">
      <c r="C1374" t="s">
        <v>120</v>
      </c>
      <c r="D1374">
        <v>2035</v>
      </c>
      <c r="E1374" t="s">
        <v>143</v>
      </c>
      <c r="F1374">
        <v>585.58000000000004</v>
      </c>
    </row>
    <row r="1375" spans="3:6" x14ac:dyDescent="0.25">
      <c r="C1375" t="s">
        <v>120</v>
      </c>
      <c r="D1375">
        <v>2035</v>
      </c>
      <c r="E1375" t="s">
        <v>144</v>
      </c>
      <c r="F1375">
        <v>522.76</v>
      </c>
    </row>
    <row r="1376" spans="3:6" x14ac:dyDescent="0.25">
      <c r="C1376" t="s">
        <v>120</v>
      </c>
      <c r="D1376">
        <v>2035</v>
      </c>
      <c r="E1376" t="s">
        <v>145</v>
      </c>
      <c r="F1376">
        <v>0.56999999999999995</v>
      </c>
    </row>
    <row r="1377" spans="3:6" x14ac:dyDescent="0.25">
      <c r="C1377" t="s">
        <v>120</v>
      </c>
      <c r="D1377">
        <v>2036</v>
      </c>
      <c r="E1377" t="s">
        <v>142</v>
      </c>
      <c r="F1377">
        <v>514.6</v>
      </c>
    </row>
    <row r="1378" spans="3:6" x14ac:dyDescent="0.25">
      <c r="C1378" t="s">
        <v>120</v>
      </c>
      <c r="D1378">
        <v>2036</v>
      </c>
      <c r="E1378" t="s">
        <v>143</v>
      </c>
      <c r="F1378">
        <v>597.27</v>
      </c>
    </row>
    <row r="1379" spans="3:6" x14ac:dyDescent="0.25">
      <c r="C1379" t="s">
        <v>120</v>
      </c>
      <c r="D1379">
        <v>2036</v>
      </c>
      <c r="E1379" t="s">
        <v>144</v>
      </c>
      <c r="F1379">
        <v>528.34</v>
      </c>
    </row>
    <row r="1380" spans="3:6" x14ac:dyDescent="0.25">
      <c r="C1380" t="s">
        <v>120</v>
      </c>
      <c r="D1380">
        <v>2036</v>
      </c>
      <c r="E1380" t="s">
        <v>145</v>
      </c>
      <c r="F1380">
        <v>0.54</v>
      </c>
    </row>
    <row r="1381" spans="3:6" x14ac:dyDescent="0.25">
      <c r="C1381" t="s">
        <v>120</v>
      </c>
      <c r="D1381">
        <v>2037</v>
      </c>
      <c r="E1381" t="s">
        <v>142</v>
      </c>
      <c r="F1381">
        <v>525.92999999999995</v>
      </c>
    </row>
    <row r="1382" spans="3:6" x14ac:dyDescent="0.25">
      <c r="C1382" t="s">
        <v>120</v>
      </c>
      <c r="D1382">
        <v>2037</v>
      </c>
      <c r="E1382" t="s">
        <v>143</v>
      </c>
      <c r="F1382">
        <v>610.05999999999995</v>
      </c>
    </row>
    <row r="1383" spans="3:6" x14ac:dyDescent="0.25">
      <c r="C1383" t="s">
        <v>120</v>
      </c>
      <c r="D1383">
        <v>2037</v>
      </c>
      <c r="E1383" t="s">
        <v>144</v>
      </c>
      <c r="F1383">
        <v>534.01</v>
      </c>
    </row>
    <row r="1384" spans="3:6" x14ac:dyDescent="0.25">
      <c r="C1384" t="s">
        <v>120</v>
      </c>
      <c r="D1384">
        <v>2037</v>
      </c>
      <c r="E1384" t="s">
        <v>145</v>
      </c>
      <c r="F1384">
        <v>0.51</v>
      </c>
    </row>
    <row r="1385" spans="3:6" x14ac:dyDescent="0.25">
      <c r="C1385" t="s">
        <v>120</v>
      </c>
      <c r="D1385">
        <v>2038</v>
      </c>
      <c r="E1385" t="s">
        <v>142</v>
      </c>
      <c r="F1385">
        <v>537.64</v>
      </c>
    </row>
    <row r="1386" spans="3:6" x14ac:dyDescent="0.25">
      <c r="C1386" t="s">
        <v>120</v>
      </c>
      <c r="D1386">
        <v>2038</v>
      </c>
      <c r="E1386" t="s">
        <v>143</v>
      </c>
      <c r="F1386">
        <v>617.70000000000005</v>
      </c>
    </row>
    <row r="1387" spans="3:6" x14ac:dyDescent="0.25">
      <c r="C1387" t="s">
        <v>120</v>
      </c>
      <c r="D1387">
        <v>2038</v>
      </c>
      <c r="E1387" t="s">
        <v>144</v>
      </c>
      <c r="F1387">
        <v>539.83000000000004</v>
      </c>
    </row>
    <row r="1388" spans="3:6" x14ac:dyDescent="0.25">
      <c r="C1388" t="s">
        <v>120</v>
      </c>
      <c r="D1388">
        <v>2038</v>
      </c>
      <c r="E1388" t="s">
        <v>145</v>
      </c>
      <c r="F1388">
        <v>0.48</v>
      </c>
    </row>
    <row r="1389" spans="3:6" x14ac:dyDescent="0.25">
      <c r="C1389" t="s">
        <v>120</v>
      </c>
      <c r="D1389">
        <v>2039</v>
      </c>
      <c r="E1389" t="s">
        <v>142</v>
      </c>
      <c r="F1389">
        <v>549.74</v>
      </c>
    </row>
    <row r="1390" spans="3:6" x14ac:dyDescent="0.25">
      <c r="C1390" t="s">
        <v>120</v>
      </c>
      <c r="D1390">
        <v>2039</v>
      </c>
      <c r="E1390" t="s">
        <v>143</v>
      </c>
      <c r="F1390">
        <v>631.45000000000005</v>
      </c>
    </row>
    <row r="1391" spans="3:6" x14ac:dyDescent="0.25">
      <c r="C1391" t="s">
        <v>120</v>
      </c>
      <c r="D1391">
        <v>2039</v>
      </c>
      <c r="E1391" t="s">
        <v>144</v>
      </c>
      <c r="F1391">
        <v>545.86</v>
      </c>
    </row>
    <row r="1392" spans="3:6" x14ac:dyDescent="0.25">
      <c r="C1392" t="s">
        <v>120</v>
      </c>
      <c r="D1392">
        <v>2039</v>
      </c>
      <c r="E1392" t="s">
        <v>145</v>
      </c>
      <c r="F1392">
        <v>0.46</v>
      </c>
    </row>
    <row r="1393" spans="3:6" x14ac:dyDescent="0.25">
      <c r="C1393" t="s">
        <v>120</v>
      </c>
      <c r="D1393">
        <v>2040</v>
      </c>
      <c r="E1393" t="s">
        <v>142</v>
      </c>
      <c r="F1393">
        <v>562.25</v>
      </c>
    </row>
    <row r="1394" spans="3:6" x14ac:dyDescent="0.25">
      <c r="C1394" t="s">
        <v>120</v>
      </c>
      <c r="D1394">
        <v>2040</v>
      </c>
      <c r="E1394" t="s">
        <v>143</v>
      </c>
      <c r="F1394">
        <v>640.19000000000005</v>
      </c>
    </row>
    <row r="1395" spans="3:6" x14ac:dyDescent="0.25">
      <c r="C1395" t="s">
        <v>120</v>
      </c>
      <c r="D1395">
        <v>2040</v>
      </c>
      <c r="E1395" t="s">
        <v>144</v>
      </c>
      <c r="F1395">
        <v>551.99</v>
      </c>
    </row>
    <row r="1396" spans="3:6" x14ac:dyDescent="0.25">
      <c r="C1396" t="s">
        <v>120</v>
      </c>
      <c r="D1396">
        <v>2040</v>
      </c>
      <c r="E1396" t="s">
        <v>145</v>
      </c>
      <c r="F1396">
        <v>0.44</v>
      </c>
    </row>
    <row r="1397" spans="3:6" x14ac:dyDescent="0.25">
      <c r="C1397" t="s">
        <v>120</v>
      </c>
      <c r="D1397">
        <v>2041</v>
      </c>
      <c r="E1397" t="s">
        <v>142</v>
      </c>
      <c r="F1397">
        <v>575.51</v>
      </c>
    </row>
    <row r="1398" spans="3:6" x14ac:dyDescent="0.25">
      <c r="C1398" t="s">
        <v>120</v>
      </c>
      <c r="D1398">
        <v>2041</v>
      </c>
      <c r="E1398" t="s">
        <v>143</v>
      </c>
      <c r="F1398">
        <v>656.78</v>
      </c>
    </row>
    <row r="1399" spans="3:6" x14ac:dyDescent="0.25">
      <c r="C1399" t="s">
        <v>120</v>
      </c>
      <c r="D1399">
        <v>2041</v>
      </c>
      <c r="E1399" t="s">
        <v>144</v>
      </c>
      <c r="F1399">
        <v>558.78</v>
      </c>
    </row>
    <row r="1400" spans="3:6" x14ac:dyDescent="0.25">
      <c r="C1400" t="s">
        <v>120</v>
      </c>
      <c r="D1400">
        <v>2041</v>
      </c>
      <c r="E1400" t="s">
        <v>145</v>
      </c>
      <c r="F1400">
        <v>0.41</v>
      </c>
    </row>
    <row r="1401" spans="3:6" x14ac:dyDescent="0.25">
      <c r="C1401" t="s">
        <v>120</v>
      </c>
      <c r="D1401">
        <v>2042</v>
      </c>
      <c r="E1401" t="s">
        <v>142</v>
      </c>
      <c r="F1401">
        <v>589.29</v>
      </c>
    </row>
    <row r="1402" spans="3:6" x14ac:dyDescent="0.25">
      <c r="C1402" t="s">
        <v>120</v>
      </c>
      <c r="D1402">
        <v>2042</v>
      </c>
      <c r="E1402" t="s">
        <v>143</v>
      </c>
      <c r="F1402">
        <v>668.47</v>
      </c>
    </row>
    <row r="1403" spans="3:6" x14ac:dyDescent="0.25">
      <c r="C1403" t="s">
        <v>120</v>
      </c>
      <c r="D1403">
        <v>2042</v>
      </c>
      <c r="E1403" t="s">
        <v>144</v>
      </c>
      <c r="F1403">
        <v>565.79999999999995</v>
      </c>
    </row>
    <row r="1404" spans="3:6" x14ac:dyDescent="0.25">
      <c r="C1404" t="s">
        <v>120</v>
      </c>
      <c r="D1404">
        <v>2042</v>
      </c>
      <c r="E1404" t="s">
        <v>145</v>
      </c>
      <c r="F1404">
        <v>0.39</v>
      </c>
    </row>
    <row r="1405" spans="3:6" x14ac:dyDescent="0.25">
      <c r="C1405" t="s">
        <v>120</v>
      </c>
      <c r="D1405">
        <v>2043</v>
      </c>
      <c r="E1405" t="s">
        <v>142</v>
      </c>
      <c r="F1405">
        <v>603.61</v>
      </c>
    </row>
    <row r="1406" spans="3:6" x14ac:dyDescent="0.25">
      <c r="C1406" t="s">
        <v>120</v>
      </c>
      <c r="D1406">
        <v>2043</v>
      </c>
      <c r="E1406" t="s">
        <v>143</v>
      </c>
      <c r="F1406">
        <v>683.84</v>
      </c>
    </row>
    <row r="1407" spans="3:6" x14ac:dyDescent="0.25">
      <c r="C1407" t="s">
        <v>120</v>
      </c>
      <c r="D1407">
        <v>2043</v>
      </c>
      <c r="E1407" t="s">
        <v>144</v>
      </c>
      <c r="F1407">
        <v>572.99</v>
      </c>
    </row>
    <row r="1408" spans="3:6" x14ac:dyDescent="0.25">
      <c r="C1408" t="s">
        <v>120</v>
      </c>
      <c r="D1408">
        <v>2043</v>
      </c>
      <c r="E1408" t="s">
        <v>145</v>
      </c>
      <c r="F1408">
        <v>0.37</v>
      </c>
    </row>
    <row r="1409" spans="3:6" x14ac:dyDescent="0.25">
      <c r="C1409" t="s">
        <v>120</v>
      </c>
      <c r="D1409">
        <v>2044</v>
      </c>
      <c r="E1409" t="s">
        <v>142</v>
      </c>
      <c r="F1409">
        <v>618.4</v>
      </c>
    </row>
    <row r="1410" spans="3:6" x14ac:dyDescent="0.25">
      <c r="C1410" t="s">
        <v>120</v>
      </c>
      <c r="D1410">
        <v>2044</v>
      </c>
      <c r="E1410" t="s">
        <v>143</v>
      </c>
      <c r="F1410">
        <v>703.89</v>
      </c>
    </row>
    <row r="1411" spans="3:6" x14ac:dyDescent="0.25">
      <c r="C1411" t="s">
        <v>120</v>
      </c>
      <c r="D1411">
        <v>2044</v>
      </c>
      <c r="E1411" t="s">
        <v>144</v>
      </c>
      <c r="F1411">
        <v>580.34</v>
      </c>
    </row>
    <row r="1412" spans="3:6" x14ac:dyDescent="0.25">
      <c r="C1412" t="s">
        <v>120</v>
      </c>
      <c r="D1412">
        <v>2044</v>
      </c>
      <c r="E1412" t="s">
        <v>145</v>
      </c>
      <c r="F1412">
        <v>0.35</v>
      </c>
    </row>
    <row r="1413" spans="3:6" x14ac:dyDescent="0.25">
      <c r="C1413" t="s">
        <v>120</v>
      </c>
      <c r="D1413">
        <v>2045</v>
      </c>
      <c r="E1413" t="s">
        <v>142</v>
      </c>
      <c r="F1413">
        <v>633.70000000000005</v>
      </c>
    </row>
    <row r="1414" spans="3:6" x14ac:dyDescent="0.25">
      <c r="C1414" t="s">
        <v>120</v>
      </c>
      <c r="D1414">
        <v>2045</v>
      </c>
      <c r="E1414" t="s">
        <v>143</v>
      </c>
      <c r="F1414">
        <v>710.93</v>
      </c>
    </row>
    <row r="1415" spans="3:6" x14ac:dyDescent="0.25">
      <c r="C1415" t="s">
        <v>120</v>
      </c>
      <c r="D1415">
        <v>2045</v>
      </c>
      <c r="E1415" t="s">
        <v>144</v>
      </c>
      <c r="F1415">
        <v>587.88</v>
      </c>
    </row>
    <row r="1416" spans="3:6" x14ac:dyDescent="0.25">
      <c r="C1416" t="s">
        <v>120</v>
      </c>
      <c r="D1416">
        <v>2045</v>
      </c>
      <c r="E1416" t="s">
        <v>145</v>
      </c>
      <c r="F1416">
        <v>0.34</v>
      </c>
    </row>
    <row r="1417" spans="3:6" x14ac:dyDescent="0.25">
      <c r="C1417" t="s">
        <v>120</v>
      </c>
      <c r="D1417">
        <v>2046</v>
      </c>
      <c r="E1417" t="s">
        <v>142</v>
      </c>
      <c r="F1417">
        <v>647.63</v>
      </c>
    </row>
    <row r="1418" spans="3:6" x14ac:dyDescent="0.25">
      <c r="C1418" t="s">
        <v>120</v>
      </c>
      <c r="D1418">
        <v>2046</v>
      </c>
      <c r="E1418" t="s">
        <v>143</v>
      </c>
      <c r="F1418">
        <v>731.59</v>
      </c>
    </row>
    <row r="1419" spans="3:6" x14ac:dyDescent="0.25">
      <c r="C1419" t="s">
        <v>120</v>
      </c>
      <c r="D1419">
        <v>2046</v>
      </c>
      <c r="E1419" t="s">
        <v>144</v>
      </c>
      <c r="F1419">
        <v>595.04</v>
      </c>
    </row>
    <row r="1420" spans="3:6" x14ac:dyDescent="0.25">
      <c r="C1420" t="s">
        <v>120</v>
      </c>
      <c r="D1420">
        <v>2046</v>
      </c>
      <c r="E1420" t="s">
        <v>145</v>
      </c>
      <c r="F1420">
        <v>0.32</v>
      </c>
    </row>
    <row r="1421" spans="3:6" x14ac:dyDescent="0.25">
      <c r="C1421" t="s">
        <v>120</v>
      </c>
      <c r="D1421">
        <v>2047</v>
      </c>
      <c r="E1421" t="s">
        <v>142</v>
      </c>
      <c r="F1421">
        <v>661.93</v>
      </c>
    </row>
    <row r="1422" spans="3:6" x14ac:dyDescent="0.25">
      <c r="C1422" t="s">
        <v>120</v>
      </c>
      <c r="D1422">
        <v>2047</v>
      </c>
      <c r="E1422" t="s">
        <v>143</v>
      </c>
      <c r="F1422">
        <v>741.55</v>
      </c>
    </row>
    <row r="1423" spans="3:6" x14ac:dyDescent="0.25">
      <c r="C1423" t="s">
        <v>120</v>
      </c>
      <c r="D1423">
        <v>2047</v>
      </c>
      <c r="E1423" t="s">
        <v>144</v>
      </c>
      <c r="F1423">
        <v>602.38</v>
      </c>
    </row>
    <row r="1424" spans="3:6" x14ac:dyDescent="0.25">
      <c r="C1424" t="s">
        <v>120</v>
      </c>
      <c r="D1424">
        <v>2047</v>
      </c>
      <c r="E1424" t="s">
        <v>145</v>
      </c>
      <c r="F1424">
        <v>0.3</v>
      </c>
    </row>
    <row r="1425" spans="3:6" x14ac:dyDescent="0.25">
      <c r="C1425" t="s">
        <v>120</v>
      </c>
      <c r="D1425">
        <v>2048</v>
      </c>
      <c r="E1425" t="s">
        <v>142</v>
      </c>
      <c r="F1425">
        <v>676.69</v>
      </c>
    </row>
    <row r="1426" spans="3:6" x14ac:dyDescent="0.25">
      <c r="C1426" t="s">
        <v>120</v>
      </c>
      <c r="D1426">
        <v>2048</v>
      </c>
      <c r="E1426" t="s">
        <v>143</v>
      </c>
      <c r="F1426">
        <v>759.8</v>
      </c>
    </row>
    <row r="1427" spans="3:6" x14ac:dyDescent="0.25">
      <c r="C1427" t="s">
        <v>120</v>
      </c>
      <c r="D1427">
        <v>2048</v>
      </c>
      <c r="E1427" t="s">
        <v>144</v>
      </c>
      <c r="F1427">
        <v>609.85</v>
      </c>
    </row>
    <row r="1428" spans="3:6" x14ac:dyDescent="0.25">
      <c r="C1428" t="s">
        <v>120</v>
      </c>
      <c r="D1428">
        <v>2048</v>
      </c>
      <c r="E1428" t="s">
        <v>145</v>
      </c>
      <c r="F1428">
        <v>0.28999999999999998</v>
      </c>
    </row>
    <row r="1429" spans="3:6" x14ac:dyDescent="0.25">
      <c r="C1429" t="s">
        <v>120</v>
      </c>
      <c r="D1429">
        <v>2049</v>
      </c>
      <c r="E1429" t="s">
        <v>142</v>
      </c>
      <c r="F1429">
        <v>691.9</v>
      </c>
    </row>
    <row r="1430" spans="3:6" x14ac:dyDescent="0.25">
      <c r="C1430" t="s">
        <v>120</v>
      </c>
      <c r="D1430">
        <v>2049</v>
      </c>
      <c r="E1430" t="s">
        <v>143</v>
      </c>
      <c r="F1430">
        <v>776.44</v>
      </c>
    </row>
    <row r="1431" spans="3:6" x14ac:dyDescent="0.25">
      <c r="C1431" t="s">
        <v>120</v>
      </c>
      <c r="D1431">
        <v>2049</v>
      </c>
      <c r="E1431" t="s">
        <v>144</v>
      </c>
      <c r="F1431">
        <v>617.41</v>
      </c>
    </row>
    <row r="1432" spans="3:6" x14ac:dyDescent="0.25">
      <c r="C1432" t="s">
        <v>120</v>
      </c>
      <c r="D1432">
        <v>2049</v>
      </c>
      <c r="E1432" t="s">
        <v>145</v>
      </c>
      <c r="F1432">
        <v>0.27</v>
      </c>
    </row>
    <row r="1433" spans="3:6" x14ac:dyDescent="0.25">
      <c r="C1433" t="s">
        <v>120</v>
      </c>
      <c r="D1433">
        <v>2050</v>
      </c>
      <c r="E1433" t="s">
        <v>142</v>
      </c>
      <c r="F1433">
        <v>707.52</v>
      </c>
    </row>
    <row r="1434" spans="3:6" x14ac:dyDescent="0.25">
      <c r="C1434" t="s">
        <v>120</v>
      </c>
      <c r="D1434">
        <v>2050</v>
      </c>
      <c r="E1434" t="s">
        <v>143</v>
      </c>
      <c r="F1434">
        <v>788.73</v>
      </c>
    </row>
    <row r="1435" spans="3:6" x14ac:dyDescent="0.25">
      <c r="C1435" t="s">
        <v>120</v>
      </c>
      <c r="D1435">
        <v>2050</v>
      </c>
      <c r="E1435" t="s">
        <v>144</v>
      </c>
      <c r="F1435">
        <v>625.1</v>
      </c>
    </row>
    <row r="1436" spans="3:6" x14ac:dyDescent="0.25">
      <c r="C1436" t="s">
        <v>120</v>
      </c>
      <c r="D1436">
        <v>2050</v>
      </c>
      <c r="E1436" t="s">
        <v>145</v>
      </c>
      <c r="F1436">
        <v>0.26</v>
      </c>
    </row>
    <row r="1437" spans="3:6" x14ac:dyDescent="0.25">
      <c r="C1437" t="s">
        <v>121</v>
      </c>
      <c r="D1437">
        <v>2010</v>
      </c>
      <c r="E1437" t="s">
        <v>142</v>
      </c>
      <c r="F1437">
        <v>3256.8</v>
      </c>
    </row>
    <row r="1438" spans="3:6" x14ac:dyDescent="0.25">
      <c r="C1438" t="s">
        <v>121</v>
      </c>
      <c r="D1438">
        <v>2010</v>
      </c>
      <c r="E1438" t="s">
        <v>143</v>
      </c>
      <c r="F1438">
        <v>4388.3999999999996</v>
      </c>
    </row>
    <row r="1439" spans="3:6" x14ac:dyDescent="0.25">
      <c r="C1439" t="s">
        <v>121</v>
      </c>
      <c r="D1439">
        <v>2010</v>
      </c>
      <c r="E1439" t="s">
        <v>144</v>
      </c>
      <c r="F1439">
        <v>3312.45</v>
      </c>
    </row>
    <row r="1440" spans="3:6" x14ac:dyDescent="0.25">
      <c r="C1440" t="s">
        <v>121</v>
      </c>
      <c r="D1440">
        <v>2010</v>
      </c>
      <c r="E1440" t="s">
        <v>145</v>
      </c>
      <c r="F1440">
        <v>221.66</v>
      </c>
    </row>
    <row r="1441" spans="3:6" x14ac:dyDescent="0.25">
      <c r="C1441" t="s">
        <v>121</v>
      </c>
      <c r="D1441">
        <v>2011</v>
      </c>
      <c r="E1441" t="s">
        <v>142</v>
      </c>
      <c r="F1441">
        <v>3185.89</v>
      </c>
    </row>
    <row r="1442" spans="3:6" x14ac:dyDescent="0.25">
      <c r="C1442" t="s">
        <v>121</v>
      </c>
      <c r="D1442">
        <v>2011</v>
      </c>
      <c r="E1442" t="s">
        <v>143</v>
      </c>
      <c r="F1442">
        <v>4438.97</v>
      </c>
    </row>
    <row r="1443" spans="3:6" x14ac:dyDescent="0.25">
      <c r="C1443" t="s">
        <v>121</v>
      </c>
      <c r="D1443">
        <v>2011</v>
      </c>
      <c r="E1443" t="s">
        <v>144</v>
      </c>
      <c r="F1443">
        <v>3191.33</v>
      </c>
    </row>
    <row r="1444" spans="3:6" x14ac:dyDescent="0.25">
      <c r="C1444" t="s">
        <v>121</v>
      </c>
      <c r="D1444">
        <v>2011</v>
      </c>
      <c r="E1444" t="s">
        <v>145</v>
      </c>
      <c r="F1444">
        <v>228.41</v>
      </c>
    </row>
    <row r="1445" spans="3:6" x14ac:dyDescent="0.25">
      <c r="C1445" t="s">
        <v>121</v>
      </c>
      <c r="D1445">
        <v>2012</v>
      </c>
      <c r="E1445" t="s">
        <v>142</v>
      </c>
      <c r="F1445">
        <v>3229.5</v>
      </c>
    </row>
    <row r="1446" spans="3:6" x14ac:dyDescent="0.25">
      <c r="C1446" t="s">
        <v>121</v>
      </c>
      <c r="D1446">
        <v>2012</v>
      </c>
      <c r="E1446" t="s">
        <v>143</v>
      </c>
      <c r="F1446">
        <v>4393.6400000000003</v>
      </c>
    </row>
    <row r="1447" spans="3:6" x14ac:dyDescent="0.25">
      <c r="C1447" t="s">
        <v>121</v>
      </c>
      <c r="D1447">
        <v>2012</v>
      </c>
      <c r="E1447" t="s">
        <v>144</v>
      </c>
      <c r="F1447">
        <v>3265.46</v>
      </c>
    </row>
    <row r="1448" spans="3:6" x14ac:dyDescent="0.25">
      <c r="C1448" t="s">
        <v>121</v>
      </c>
      <c r="D1448">
        <v>2012</v>
      </c>
      <c r="E1448" t="s">
        <v>145</v>
      </c>
      <c r="F1448">
        <v>228.52</v>
      </c>
    </row>
    <row r="1449" spans="3:6" x14ac:dyDescent="0.25">
      <c r="C1449" t="s">
        <v>121</v>
      </c>
      <c r="D1449">
        <v>2013</v>
      </c>
      <c r="E1449" t="s">
        <v>142</v>
      </c>
      <c r="F1449">
        <v>3229.86</v>
      </c>
    </row>
    <row r="1450" spans="3:6" x14ac:dyDescent="0.25">
      <c r="C1450" t="s">
        <v>121</v>
      </c>
      <c r="D1450">
        <v>2013</v>
      </c>
      <c r="E1450" t="s">
        <v>143</v>
      </c>
      <c r="F1450">
        <v>4332.88</v>
      </c>
    </row>
    <row r="1451" spans="3:6" x14ac:dyDescent="0.25">
      <c r="C1451" t="s">
        <v>121</v>
      </c>
      <c r="D1451">
        <v>2013</v>
      </c>
      <c r="E1451" t="s">
        <v>144</v>
      </c>
      <c r="F1451">
        <v>3250.23</v>
      </c>
    </row>
    <row r="1452" spans="3:6" x14ac:dyDescent="0.25">
      <c r="C1452" t="s">
        <v>121</v>
      </c>
      <c r="D1452">
        <v>2013</v>
      </c>
      <c r="E1452" t="s">
        <v>145</v>
      </c>
      <c r="F1452">
        <v>229.58</v>
      </c>
    </row>
    <row r="1453" spans="3:6" x14ac:dyDescent="0.25">
      <c r="C1453" t="s">
        <v>121</v>
      </c>
      <c r="D1453">
        <v>2014</v>
      </c>
      <c r="E1453" t="s">
        <v>142</v>
      </c>
      <c r="F1453">
        <v>3152.15</v>
      </c>
    </row>
    <row r="1454" spans="3:6" x14ac:dyDescent="0.25">
      <c r="C1454" t="s">
        <v>121</v>
      </c>
      <c r="D1454">
        <v>2014</v>
      </c>
      <c r="E1454" t="s">
        <v>143</v>
      </c>
      <c r="F1454">
        <v>4353.2299999999996</v>
      </c>
    </row>
    <row r="1455" spans="3:6" x14ac:dyDescent="0.25">
      <c r="C1455" t="s">
        <v>121</v>
      </c>
      <c r="D1455">
        <v>2014</v>
      </c>
      <c r="E1455" t="s">
        <v>144</v>
      </c>
      <c r="F1455">
        <v>3126.13</v>
      </c>
    </row>
    <row r="1456" spans="3:6" x14ac:dyDescent="0.25">
      <c r="C1456" t="s">
        <v>121</v>
      </c>
      <c r="D1456">
        <v>2014</v>
      </c>
      <c r="E1456" t="s">
        <v>145</v>
      </c>
      <c r="F1456">
        <v>226.49</v>
      </c>
    </row>
    <row r="1457" spans="3:6" x14ac:dyDescent="0.25">
      <c r="C1457" t="s">
        <v>121</v>
      </c>
      <c r="D1457">
        <v>2015</v>
      </c>
      <c r="E1457" t="s">
        <v>142</v>
      </c>
      <c r="F1457">
        <v>3284.12</v>
      </c>
    </row>
    <row r="1458" spans="3:6" x14ac:dyDescent="0.25">
      <c r="C1458" t="s">
        <v>121</v>
      </c>
      <c r="D1458">
        <v>2015</v>
      </c>
      <c r="E1458" t="s">
        <v>143</v>
      </c>
      <c r="F1458">
        <v>4328.4399999999996</v>
      </c>
    </row>
    <row r="1459" spans="3:6" x14ac:dyDescent="0.25">
      <c r="C1459" t="s">
        <v>121</v>
      </c>
      <c r="D1459">
        <v>2015</v>
      </c>
      <c r="E1459" t="s">
        <v>144</v>
      </c>
      <c r="F1459">
        <v>3201.31</v>
      </c>
    </row>
    <row r="1460" spans="3:6" x14ac:dyDescent="0.25">
      <c r="C1460" t="s">
        <v>121</v>
      </c>
      <c r="D1460">
        <v>2015</v>
      </c>
      <c r="E1460" t="s">
        <v>145</v>
      </c>
      <c r="F1460">
        <v>231.54</v>
      </c>
    </row>
    <row r="1461" spans="3:6" x14ac:dyDescent="0.25">
      <c r="C1461" t="s">
        <v>121</v>
      </c>
      <c r="D1461">
        <v>2016</v>
      </c>
      <c r="E1461" t="s">
        <v>142</v>
      </c>
      <c r="F1461">
        <v>3320.71</v>
      </c>
    </row>
    <row r="1462" spans="3:6" x14ac:dyDescent="0.25">
      <c r="C1462" t="s">
        <v>121</v>
      </c>
      <c r="D1462">
        <v>2016</v>
      </c>
      <c r="E1462" t="s">
        <v>143</v>
      </c>
      <c r="F1462">
        <v>4376.22</v>
      </c>
    </row>
    <row r="1463" spans="3:6" x14ac:dyDescent="0.25">
      <c r="C1463" t="s">
        <v>121</v>
      </c>
      <c r="D1463">
        <v>2016</v>
      </c>
      <c r="E1463" t="s">
        <v>144</v>
      </c>
      <c r="F1463">
        <v>3260.24</v>
      </c>
    </row>
    <row r="1464" spans="3:6" x14ac:dyDescent="0.25">
      <c r="C1464" t="s">
        <v>121</v>
      </c>
      <c r="D1464">
        <v>2016</v>
      </c>
      <c r="E1464" t="s">
        <v>145</v>
      </c>
      <c r="F1464">
        <v>237.32</v>
      </c>
    </row>
    <row r="1465" spans="3:6" x14ac:dyDescent="0.25">
      <c r="C1465" t="s">
        <v>121</v>
      </c>
      <c r="D1465">
        <v>2017</v>
      </c>
      <c r="E1465" t="s">
        <v>142</v>
      </c>
      <c r="F1465">
        <v>3366.13</v>
      </c>
    </row>
    <row r="1466" spans="3:6" x14ac:dyDescent="0.25">
      <c r="C1466" t="s">
        <v>121</v>
      </c>
      <c r="D1466">
        <v>2017</v>
      </c>
      <c r="E1466" t="s">
        <v>143</v>
      </c>
      <c r="F1466">
        <v>4431.09</v>
      </c>
    </row>
    <row r="1467" spans="3:6" x14ac:dyDescent="0.25">
      <c r="C1467" t="s">
        <v>121</v>
      </c>
      <c r="D1467">
        <v>2017</v>
      </c>
      <c r="E1467" t="s">
        <v>144</v>
      </c>
      <c r="F1467">
        <v>3284.95</v>
      </c>
    </row>
    <row r="1468" spans="3:6" x14ac:dyDescent="0.25">
      <c r="C1468" t="s">
        <v>121</v>
      </c>
      <c r="D1468">
        <v>2017</v>
      </c>
      <c r="E1468" t="s">
        <v>145</v>
      </c>
      <c r="F1468">
        <v>242.22</v>
      </c>
    </row>
    <row r="1469" spans="3:6" x14ac:dyDescent="0.25">
      <c r="C1469" t="s">
        <v>121</v>
      </c>
      <c r="D1469">
        <v>2018</v>
      </c>
      <c r="E1469" t="s">
        <v>142</v>
      </c>
      <c r="F1469">
        <v>3392.72</v>
      </c>
    </row>
    <row r="1470" spans="3:6" x14ac:dyDescent="0.25">
      <c r="C1470" t="s">
        <v>121</v>
      </c>
      <c r="D1470">
        <v>2018</v>
      </c>
      <c r="E1470" t="s">
        <v>143</v>
      </c>
      <c r="F1470">
        <v>4415.28</v>
      </c>
    </row>
    <row r="1471" spans="3:6" x14ac:dyDescent="0.25">
      <c r="C1471" t="s">
        <v>121</v>
      </c>
      <c r="D1471">
        <v>2018</v>
      </c>
      <c r="E1471" t="s">
        <v>144</v>
      </c>
      <c r="F1471">
        <v>3299.57</v>
      </c>
    </row>
    <row r="1472" spans="3:6" x14ac:dyDescent="0.25">
      <c r="C1472" t="s">
        <v>121</v>
      </c>
      <c r="D1472">
        <v>2018</v>
      </c>
      <c r="E1472" t="s">
        <v>145</v>
      </c>
      <c r="F1472">
        <v>245.29</v>
      </c>
    </row>
    <row r="1473" spans="3:6" x14ac:dyDescent="0.25">
      <c r="C1473" t="s">
        <v>121</v>
      </c>
      <c r="D1473">
        <v>2019</v>
      </c>
      <c r="E1473" t="s">
        <v>147</v>
      </c>
      <c r="F1473">
        <v>541.62</v>
      </c>
    </row>
    <row r="1474" spans="3:6" x14ac:dyDescent="0.25">
      <c r="C1474" t="s">
        <v>121</v>
      </c>
      <c r="D1474">
        <v>2019</v>
      </c>
      <c r="E1474" t="s">
        <v>148</v>
      </c>
      <c r="F1474">
        <v>1080.23</v>
      </c>
    </row>
    <row r="1475" spans="3:6" x14ac:dyDescent="0.25">
      <c r="C1475" t="s">
        <v>121</v>
      </c>
      <c r="D1475">
        <v>2019</v>
      </c>
      <c r="E1475" t="s">
        <v>146</v>
      </c>
      <c r="F1475">
        <v>820.22</v>
      </c>
    </row>
    <row r="1476" spans="3:6" x14ac:dyDescent="0.25">
      <c r="C1476" t="s">
        <v>121</v>
      </c>
      <c r="D1476">
        <v>2019</v>
      </c>
      <c r="E1476" t="s">
        <v>142</v>
      </c>
      <c r="F1476">
        <v>3431.96</v>
      </c>
    </row>
    <row r="1477" spans="3:6" x14ac:dyDescent="0.25">
      <c r="C1477" t="s">
        <v>121</v>
      </c>
      <c r="D1477">
        <v>2019</v>
      </c>
      <c r="E1477" t="s">
        <v>143</v>
      </c>
      <c r="F1477">
        <v>4305.43</v>
      </c>
    </row>
    <row r="1478" spans="3:6" x14ac:dyDescent="0.25">
      <c r="C1478" t="s">
        <v>121</v>
      </c>
      <c r="D1478">
        <v>2019</v>
      </c>
      <c r="E1478" t="s">
        <v>144</v>
      </c>
      <c r="F1478">
        <v>3314.06</v>
      </c>
    </row>
    <row r="1479" spans="3:6" x14ac:dyDescent="0.25">
      <c r="C1479" t="s">
        <v>121</v>
      </c>
      <c r="D1479">
        <v>2019</v>
      </c>
      <c r="E1479" t="s">
        <v>145</v>
      </c>
      <c r="F1479">
        <v>298.25</v>
      </c>
    </row>
    <row r="1480" spans="3:6" x14ac:dyDescent="0.25">
      <c r="C1480" t="s">
        <v>121</v>
      </c>
      <c r="D1480">
        <v>2020</v>
      </c>
      <c r="E1480" t="s">
        <v>147</v>
      </c>
      <c r="F1480">
        <v>539.08000000000004</v>
      </c>
    </row>
    <row r="1481" spans="3:6" x14ac:dyDescent="0.25">
      <c r="C1481" t="s">
        <v>121</v>
      </c>
      <c r="D1481">
        <v>2020</v>
      </c>
      <c r="E1481" t="s">
        <v>148</v>
      </c>
      <c r="F1481">
        <v>1076.6300000000001</v>
      </c>
    </row>
    <row r="1482" spans="3:6" x14ac:dyDescent="0.25">
      <c r="C1482" t="s">
        <v>121</v>
      </c>
      <c r="D1482">
        <v>2020</v>
      </c>
      <c r="E1482" t="s">
        <v>146</v>
      </c>
      <c r="F1482">
        <v>783.27</v>
      </c>
    </row>
    <row r="1483" spans="3:6" x14ac:dyDescent="0.25">
      <c r="C1483" t="s">
        <v>121</v>
      </c>
      <c r="D1483">
        <v>2020</v>
      </c>
      <c r="E1483" t="s">
        <v>142</v>
      </c>
      <c r="F1483">
        <v>3300.85</v>
      </c>
    </row>
    <row r="1484" spans="3:6" x14ac:dyDescent="0.25">
      <c r="C1484" t="s">
        <v>121</v>
      </c>
      <c r="D1484">
        <v>2020</v>
      </c>
      <c r="E1484" t="s">
        <v>143</v>
      </c>
      <c r="F1484">
        <v>4006.6</v>
      </c>
    </row>
    <row r="1485" spans="3:6" x14ac:dyDescent="0.25">
      <c r="C1485" t="s">
        <v>121</v>
      </c>
      <c r="D1485">
        <v>2020</v>
      </c>
      <c r="E1485" t="s">
        <v>144</v>
      </c>
      <c r="F1485">
        <v>3251.51</v>
      </c>
    </row>
    <row r="1486" spans="3:6" x14ac:dyDescent="0.25">
      <c r="C1486" t="s">
        <v>121</v>
      </c>
      <c r="D1486">
        <v>2020</v>
      </c>
      <c r="E1486" t="s">
        <v>145</v>
      </c>
      <c r="F1486">
        <v>261.33</v>
      </c>
    </row>
    <row r="1487" spans="3:6" x14ac:dyDescent="0.25">
      <c r="C1487" t="s">
        <v>121</v>
      </c>
      <c r="D1487">
        <v>2021</v>
      </c>
      <c r="E1487" t="s">
        <v>147</v>
      </c>
      <c r="F1487">
        <v>539.70000000000005</v>
      </c>
    </row>
    <row r="1488" spans="3:6" x14ac:dyDescent="0.25">
      <c r="C1488" t="s">
        <v>121</v>
      </c>
      <c r="D1488">
        <v>2021</v>
      </c>
      <c r="E1488" t="s">
        <v>148</v>
      </c>
      <c r="F1488">
        <v>1075.8800000000001</v>
      </c>
    </row>
    <row r="1489" spans="3:6" x14ac:dyDescent="0.25">
      <c r="C1489" t="s">
        <v>121</v>
      </c>
      <c r="D1489">
        <v>2021</v>
      </c>
      <c r="E1489" t="s">
        <v>146</v>
      </c>
      <c r="F1489">
        <v>821.34</v>
      </c>
    </row>
    <row r="1490" spans="3:6" x14ac:dyDescent="0.25">
      <c r="C1490" t="s">
        <v>121</v>
      </c>
      <c r="D1490">
        <v>2021</v>
      </c>
      <c r="E1490" t="s">
        <v>142</v>
      </c>
      <c r="F1490">
        <v>3364.35</v>
      </c>
    </row>
    <row r="1491" spans="3:6" x14ac:dyDescent="0.25">
      <c r="C1491" t="s">
        <v>121</v>
      </c>
      <c r="D1491">
        <v>2021</v>
      </c>
      <c r="E1491" t="s">
        <v>143</v>
      </c>
      <c r="F1491">
        <v>4331.59</v>
      </c>
    </row>
    <row r="1492" spans="3:6" x14ac:dyDescent="0.25">
      <c r="C1492" t="s">
        <v>121</v>
      </c>
      <c r="D1492">
        <v>2021</v>
      </c>
      <c r="E1492" t="s">
        <v>144</v>
      </c>
      <c r="F1492">
        <v>3254.38</v>
      </c>
    </row>
    <row r="1493" spans="3:6" x14ac:dyDescent="0.25">
      <c r="C1493" t="s">
        <v>121</v>
      </c>
      <c r="D1493">
        <v>2021</v>
      </c>
      <c r="E1493" t="s">
        <v>145</v>
      </c>
      <c r="F1493">
        <v>297.64999999999998</v>
      </c>
    </row>
    <row r="1494" spans="3:6" x14ac:dyDescent="0.25">
      <c r="C1494" t="s">
        <v>121</v>
      </c>
      <c r="D1494">
        <v>2022</v>
      </c>
      <c r="E1494" t="s">
        <v>147</v>
      </c>
      <c r="F1494">
        <v>539.41</v>
      </c>
    </row>
    <row r="1495" spans="3:6" x14ac:dyDescent="0.25">
      <c r="C1495" t="s">
        <v>121</v>
      </c>
      <c r="D1495">
        <v>2022</v>
      </c>
      <c r="E1495" t="s">
        <v>148</v>
      </c>
      <c r="F1495">
        <v>1072.7</v>
      </c>
    </row>
    <row r="1496" spans="3:6" x14ac:dyDescent="0.25">
      <c r="C1496" t="s">
        <v>121</v>
      </c>
      <c r="D1496">
        <v>2022</v>
      </c>
      <c r="E1496" t="s">
        <v>146</v>
      </c>
      <c r="F1496">
        <v>838.89</v>
      </c>
    </row>
    <row r="1497" spans="3:6" x14ac:dyDescent="0.25">
      <c r="C1497" t="s">
        <v>121</v>
      </c>
      <c r="D1497">
        <v>2022</v>
      </c>
      <c r="E1497" t="s">
        <v>142</v>
      </c>
      <c r="F1497">
        <v>3466.68</v>
      </c>
    </row>
    <row r="1498" spans="3:6" x14ac:dyDescent="0.25">
      <c r="C1498" t="s">
        <v>121</v>
      </c>
      <c r="D1498">
        <v>2022</v>
      </c>
      <c r="E1498" t="s">
        <v>143</v>
      </c>
      <c r="F1498">
        <v>4392.22</v>
      </c>
    </row>
    <row r="1499" spans="3:6" x14ac:dyDescent="0.25">
      <c r="C1499" t="s">
        <v>121</v>
      </c>
      <c r="D1499">
        <v>2022</v>
      </c>
      <c r="E1499" t="s">
        <v>144</v>
      </c>
      <c r="F1499">
        <v>3285.08</v>
      </c>
    </row>
    <row r="1500" spans="3:6" x14ac:dyDescent="0.25">
      <c r="C1500" t="s">
        <v>121</v>
      </c>
      <c r="D1500">
        <v>2022</v>
      </c>
      <c r="E1500" t="s">
        <v>145</v>
      </c>
      <c r="F1500">
        <v>326.93</v>
      </c>
    </row>
    <row r="1501" spans="3:6" x14ac:dyDescent="0.25">
      <c r="C1501" t="s">
        <v>121</v>
      </c>
      <c r="D1501">
        <v>2023</v>
      </c>
      <c r="E1501" t="s">
        <v>147</v>
      </c>
      <c r="F1501">
        <v>538.38</v>
      </c>
    </row>
    <row r="1502" spans="3:6" x14ac:dyDescent="0.25">
      <c r="C1502" t="s">
        <v>121</v>
      </c>
      <c r="D1502">
        <v>2023</v>
      </c>
      <c r="E1502" t="s">
        <v>148</v>
      </c>
      <c r="F1502">
        <v>1068.9000000000001</v>
      </c>
    </row>
    <row r="1503" spans="3:6" x14ac:dyDescent="0.25">
      <c r="C1503" t="s">
        <v>121</v>
      </c>
      <c r="D1503">
        <v>2023</v>
      </c>
      <c r="E1503" t="s">
        <v>146</v>
      </c>
      <c r="F1503">
        <v>850.21</v>
      </c>
    </row>
    <row r="1504" spans="3:6" x14ac:dyDescent="0.25">
      <c r="C1504" t="s">
        <v>121</v>
      </c>
      <c r="D1504">
        <v>2023</v>
      </c>
      <c r="E1504" t="s">
        <v>142</v>
      </c>
      <c r="F1504">
        <v>3517.39</v>
      </c>
    </row>
    <row r="1505" spans="3:6" x14ac:dyDescent="0.25">
      <c r="C1505" t="s">
        <v>121</v>
      </c>
      <c r="D1505">
        <v>2023</v>
      </c>
      <c r="E1505" t="s">
        <v>143</v>
      </c>
      <c r="F1505">
        <v>4444.96</v>
      </c>
    </row>
    <row r="1506" spans="3:6" x14ac:dyDescent="0.25">
      <c r="C1506" t="s">
        <v>121</v>
      </c>
      <c r="D1506">
        <v>2023</v>
      </c>
      <c r="E1506" t="s">
        <v>144</v>
      </c>
      <c r="F1506">
        <v>3301.04</v>
      </c>
    </row>
    <row r="1507" spans="3:6" x14ac:dyDescent="0.25">
      <c r="C1507" t="s">
        <v>121</v>
      </c>
      <c r="D1507">
        <v>2023</v>
      </c>
      <c r="E1507" t="s">
        <v>145</v>
      </c>
      <c r="F1507">
        <v>353.62</v>
      </c>
    </row>
    <row r="1508" spans="3:6" x14ac:dyDescent="0.25">
      <c r="C1508" t="s">
        <v>121</v>
      </c>
      <c r="D1508">
        <v>2024</v>
      </c>
      <c r="E1508" t="s">
        <v>147</v>
      </c>
      <c r="F1508">
        <v>537.29999999999995</v>
      </c>
    </row>
    <row r="1509" spans="3:6" x14ac:dyDescent="0.25">
      <c r="C1509" t="s">
        <v>121</v>
      </c>
      <c r="D1509">
        <v>2024</v>
      </c>
      <c r="E1509" t="s">
        <v>148</v>
      </c>
      <c r="F1509">
        <v>1065.51</v>
      </c>
    </row>
    <row r="1510" spans="3:6" x14ac:dyDescent="0.25">
      <c r="C1510" t="s">
        <v>121</v>
      </c>
      <c r="D1510">
        <v>2024</v>
      </c>
      <c r="E1510" t="s">
        <v>146</v>
      </c>
      <c r="F1510">
        <v>856.09</v>
      </c>
    </row>
    <row r="1511" spans="3:6" x14ac:dyDescent="0.25">
      <c r="C1511" t="s">
        <v>121</v>
      </c>
      <c r="D1511">
        <v>2024</v>
      </c>
      <c r="E1511" t="s">
        <v>142</v>
      </c>
      <c r="F1511">
        <v>3552.99</v>
      </c>
    </row>
    <row r="1512" spans="3:6" x14ac:dyDescent="0.25">
      <c r="C1512" t="s">
        <v>121</v>
      </c>
      <c r="D1512">
        <v>2024</v>
      </c>
      <c r="E1512" t="s">
        <v>143</v>
      </c>
      <c r="F1512">
        <v>4459.13</v>
      </c>
    </row>
    <row r="1513" spans="3:6" x14ac:dyDescent="0.25">
      <c r="C1513" t="s">
        <v>121</v>
      </c>
      <c r="D1513">
        <v>2024</v>
      </c>
      <c r="E1513" t="s">
        <v>144</v>
      </c>
      <c r="F1513">
        <v>3315.26</v>
      </c>
    </row>
    <row r="1514" spans="3:6" x14ac:dyDescent="0.25">
      <c r="C1514" t="s">
        <v>121</v>
      </c>
      <c r="D1514">
        <v>2024</v>
      </c>
      <c r="E1514" t="s">
        <v>145</v>
      </c>
      <c r="F1514">
        <v>379.33</v>
      </c>
    </row>
    <row r="1515" spans="3:6" x14ac:dyDescent="0.25">
      <c r="C1515" t="s">
        <v>121</v>
      </c>
      <c r="D1515">
        <v>2025</v>
      </c>
      <c r="E1515" t="s">
        <v>147</v>
      </c>
      <c r="F1515">
        <v>536.37</v>
      </c>
    </row>
    <row r="1516" spans="3:6" x14ac:dyDescent="0.25">
      <c r="C1516" t="s">
        <v>121</v>
      </c>
      <c r="D1516">
        <v>2025</v>
      </c>
      <c r="E1516" t="s">
        <v>148</v>
      </c>
      <c r="F1516">
        <v>1062.5999999999999</v>
      </c>
    </row>
    <row r="1517" spans="3:6" x14ac:dyDescent="0.25">
      <c r="C1517" t="s">
        <v>121</v>
      </c>
      <c r="D1517">
        <v>2025</v>
      </c>
      <c r="E1517" t="s">
        <v>146</v>
      </c>
      <c r="F1517">
        <v>860.04</v>
      </c>
    </row>
    <row r="1518" spans="3:6" x14ac:dyDescent="0.25">
      <c r="C1518" t="s">
        <v>121</v>
      </c>
      <c r="D1518">
        <v>2025</v>
      </c>
      <c r="E1518" t="s">
        <v>142</v>
      </c>
      <c r="F1518">
        <v>3584.91</v>
      </c>
    </row>
    <row r="1519" spans="3:6" x14ac:dyDescent="0.25">
      <c r="C1519" t="s">
        <v>121</v>
      </c>
      <c r="D1519">
        <v>2025</v>
      </c>
      <c r="E1519" t="s">
        <v>143</v>
      </c>
      <c r="F1519">
        <v>4486.0200000000004</v>
      </c>
    </row>
    <row r="1520" spans="3:6" x14ac:dyDescent="0.25">
      <c r="C1520" t="s">
        <v>121</v>
      </c>
      <c r="D1520">
        <v>2025</v>
      </c>
      <c r="E1520" t="s">
        <v>144</v>
      </c>
      <c r="F1520">
        <v>3326.24</v>
      </c>
    </row>
    <row r="1521" spans="3:6" x14ac:dyDescent="0.25">
      <c r="C1521" t="s">
        <v>121</v>
      </c>
      <c r="D1521">
        <v>2025</v>
      </c>
      <c r="E1521" t="s">
        <v>145</v>
      </c>
      <c r="F1521">
        <v>409.04</v>
      </c>
    </row>
    <row r="1522" spans="3:6" x14ac:dyDescent="0.25">
      <c r="C1522" t="s">
        <v>121</v>
      </c>
      <c r="D1522">
        <v>2026</v>
      </c>
      <c r="E1522" t="s">
        <v>147</v>
      </c>
      <c r="F1522">
        <v>535.72</v>
      </c>
    </row>
    <row r="1523" spans="3:6" x14ac:dyDescent="0.25">
      <c r="C1523" t="s">
        <v>121</v>
      </c>
      <c r="D1523">
        <v>2026</v>
      </c>
      <c r="E1523" t="s">
        <v>148</v>
      </c>
      <c r="F1523">
        <v>1060.43</v>
      </c>
    </row>
    <row r="1524" spans="3:6" x14ac:dyDescent="0.25">
      <c r="C1524" t="s">
        <v>121</v>
      </c>
      <c r="D1524">
        <v>2026</v>
      </c>
      <c r="E1524" t="s">
        <v>146</v>
      </c>
      <c r="F1524">
        <v>863.79</v>
      </c>
    </row>
    <row r="1525" spans="3:6" x14ac:dyDescent="0.25">
      <c r="C1525" t="s">
        <v>121</v>
      </c>
      <c r="D1525">
        <v>2026</v>
      </c>
      <c r="E1525" t="s">
        <v>142</v>
      </c>
      <c r="F1525">
        <v>3635.49</v>
      </c>
    </row>
    <row r="1526" spans="3:6" x14ac:dyDescent="0.25">
      <c r="C1526" t="s">
        <v>121</v>
      </c>
      <c r="D1526">
        <v>2026</v>
      </c>
      <c r="E1526" t="s">
        <v>143</v>
      </c>
      <c r="F1526">
        <v>4495.6499999999996</v>
      </c>
    </row>
    <row r="1527" spans="3:6" x14ac:dyDescent="0.25">
      <c r="C1527" t="s">
        <v>121</v>
      </c>
      <c r="D1527">
        <v>2026</v>
      </c>
      <c r="E1527" t="s">
        <v>144</v>
      </c>
      <c r="F1527">
        <v>3353.15</v>
      </c>
    </row>
    <row r="1528" spans="3:6" x14ac:dyDescent="0.25">
      <c r="C1528" t="s">
        <v>121</v>
      </c>
      <c r="D1528">
        <v>2026</v>
      </c>
      <c r="E1528" t="s">
        <v>145</v>
      </c>
      <c r="F1528">
        <v>450.11</v>
      </c>
    </row>
    <row r="1529" spans="3:6" x14ac:dyDescent="0.25">
      <c r="C1529" t="s">
        <v>121</v>
      </c>
      <c r="D1529">
        <v>2027</v>
      </c>
      <c r="E1529" t="s">
        <v>147</v>
      </c>
      <c r="F1529">
        <v>535.15</v>
      </c>
    </row>
    <row r="1530" spans="3:6" x14ac:dyDescent="0.25">
      <c r="C1530" t="s">
        <v>121</v>
      </c>
      <c r="D1530">
        <v>2027</v>
      </c>
      <c r="E1530" t="s">
        <v>148</v>
      </c>
      <c r="F1530">
        <v>1058.51</v>
      </c>
    </row>
    <row r="1531" spans="3:6" x14ac:dyDescent="0.25">
      <c r="C1531" t="s">
        <v>121</v>
      </c>
      <c r="D1531">
        <v>2027</v>
      </c>
      <c r="E1531" t="s">
        <v>146</v>
      </c>
      <c r="F1531">
        <v>866.87</v>
      </c>
    </row>
    <row r="1532" spans="3:6" x14ac:dyDescent="0.25">
      <c r="C1532" t="s">
        <v>121</v>
      </c>
      <c r="D1532">
        <v>2027</v>
      </c>
      <c r="E1532" t="s">
        <v>142</v>
      </c>
      <c r="F1532">
        <v>3685.67</v>
      </c>
    </row>
    <row r="1533" spans="3:6" x14ac:dyDescent="0.25">
      <c r="C1533" t="s">
        <v>121</v>
      </c>
      <c r="D1533">
        <v>2027</v>
      </c>
      <c r="E1533" t="s">
        <v>143</v>
      </c>
      <c r="F1533">
        <v>4518.1099999999997</v>
      </c>
    </row>
    <row r="1534" spans="3:6" x14ac:dyDescent="0.25">
      <c r="C1534" t="s">
        <v>121</v>
      </c>
      <c r="D1534">
        <v>2027</v>
      </c>
      <c r="E1534" t="s">
        <v>144</v>
      </c>
      <c r="F1534">
        <v>3380.29</v>
      </c>
    </row>
    <row r="1535" spans="3:6" x14ac:dyDescent="0.25">
      <c r="C1535" t="s">
        <v>121</v>
      </c>
      <c r="D1535">
        <v>2027</v>
      </c>
      <c r="E1535" t="s">
        <v>145</v>
      </c>
      <c r="F1535">
        <v>498.23</v>
      </c>
    </row>
    <row r="1536" spans="3:6" x14ac:dyDescent="0.25">
      <c r="C1536" t="s">
        <v>121</v>
      </c>
      <c r="D1536">
        <v>2028</v>
      </c>
      <c r="E1536" t="s">
        <v>147</v>
      </c>
      <c r="F1536">
        <v>534.66</v>
      </c>
    </row>
    <row r="1537" spans="3:6" x14ac:dyDescent="0.25">
      <c r="C1537" t="s">
        <v>121</v>
      </c>
      <c r="D1537">
        <v>2028</v>
      </c>
      <c r="E1537" t="s">
        <v>148</v>
      </c>
      <c r="F1537">
        <v>1056.79</v>
      </c>
    </row>
    <row r="1538" spans="3:6" x14ac:dyDescent="0.25">
      <c r="C1538" t="s">
        <v>121</v>
      </c>
      <c r="D1538">
        <v>2028</v>
      </c>
      <c r="E1538" t="s">
        <v>146</v>
      </c>
      <c r="F1538">
        <v>870.31</v>
      </c>
    </row>
    <row r="1539" spans="3:6" x14ac:dyDescent="0.25">
      <c r="C1539" t="s">
        <v>121</v>
      </c>
      <c r="D1539">
        <v>2028</v>
      </c>
      <c r="E1539" t="s">
        <v>142</v>
      </c>
      <c r="F1539">
        <v>3736.39</v>
      </c>
    </row>
    <row r="1540" spans="3:6" x14ac:dyDescent="0.25">
      <c r="C1540" t="s">
        <v>121</v>
      </c>
      <c r="D1540">
        <v>2028</v>
      </c>
      <c r="E1540" t="s">
        <v>143</v>
      </c>
      <c r="F1540">
        <v>4525.87</v>
      </c>
    </row>
    <row r="1541" spans="3:6" x14ac:dyDescent="0.25">
      <c r="C1541" t="s">
        <v>121</v>
      </c>
      <c r="D1541">
        <v>2028</v>
      </c>
      <c r="E1541" t="s">
        <v>144</v>
      </c>
      <c r="F1541">
        <v>3406.73</v>
      </c>
    </row>
    <row r="1542" spans="3:6" x14ac:dyDescent="0.25">
      <c r="C1542" t="s">
        <v>121</v>
      </c>
      <c r="D1542">
        <v>2028</v>
      </c>
      <c r="E1542" t="s">
        <v>145</v>
      </c>
      <c r="F1542">
        <v>551.41</v>
      </c>
    </row>
    <row r="1543" spans="3:6" x14ac:dyDescent="0.25">
      <c r="C1543" t="s">
        <v>121</v>
      </c>
      <c r="D1543">
        <v>2029</v>
      </c>
      <c r="E1543" t="s">
        <v>147</v>
      </c>
      <c r="F1543">
        <v>534.49</v>
      </c>
    </row>
    <row r="1544" spans="3:6" x14ac:dyDescent="0.25">
      <c r="C1544" t="s">
        <v>121</v>
      </c>
      <c r="D1544">
        <v>2029</v>
      </c>
      <c r="E1544" t="s">
        <v>148</v>
      </c>
      <c r="F1544">
        <v>1055.95</v>
      </c>
    </row>
    <row r="1545" spans="3:6" x14ac:dyDescent="0.25">
      <c r="C1545" t="s">
        <v>121</v>
      </c>
      <c r="D1545">
        <v>2029</v>
      </c>
      <c r="E1545" t="s">
        <v>146</v>
      </c>
      <c r="F1545">
        <v>873.81</v>
      </c>
    </row>
    <row r="1546" spans="3:6" x14ac:dyDescent="0.25">
      <c r="C1546" t="s">
        <v>121</v>
      </c>
      <c r="D1546">
        <v>2029</v>
      </c>
      <c r="E1546" t="s">
        <v>142</v>
      </c>
      <c r="F1546">
        <v>3786.88</v>
      </c>
    </row>
    <row r="1547" spans="3:6" x14ac:dyDescent="0.25">
      <c r="C1547" t="s">
        <v>121</v>
      </c>
      <c r="D1547">
        <v>2029</v>
      </c>
      <c r="E1547" t="s">
        <v>143</v>
      </c>
      <c r="F1547">
        <v>4552.33</v>
      </c>
    </row>
    <row r="1548" spans="3:6" x14ac:dyDescent="0.25">
      <c r="C1548" t="s">
        <v>121</v>
      </c>
      <c r="D1548">
        <v>2029</v>
      </c>
      <c r="E1548" t="s">
        <v>144</v>
      </c>
      <c r="F1548">
        <v>3435.24</v>
      </c>
    </row>
    <row r="1549" spans="3:6" x14ac:dyDescent="0.25">
      <c r="C1549" t="s">
        <v>121</v>
      </c>
      <c r="D1549">
        <v>2029</v>
      </c>
      <c r="E1549" t="s">
        <v>145</v>
      </c>
      <c r="F1549">
        <v>610.91999999999996</v>
      </c>
    </row>
    <row r="1550" spans="3:6" x14ac:dyDescent="0.25">
      <c r="C1550" t="s">
        <v>121</v>
      </c>
      <c r="D1550">
        <v>2030</v>
      </c>
      <c r="E1550" t="s">
        <v>147</v>
      </c>
      <c r="F1550">
        <v>534.27</v>
      </c>
    </row>
    <row r="1551" spans="3:6" x14ac:dyDescent="0.25">
      <c r="C1551" t="s">
        <v>121</v>
      </c>
      <c r="D1551">
        <v>2030</v>
      </c>
      <c r="E1551" t="s">
        <v>148</v>
      </c>
      <c r="F1551">
        <v>1054.97</v>
      </c>
    </row>
    <row r="1552" spans="3:6" x14ac:dyDescent="0.25">
      <c r="C1552" t="s">
        <v>121</v>
      </c>
      <c r="D1552">
        <v>2030</v>
      </c>
      <c r="E1552" t="s">
        <v>146</v>
      </c>
      <c r="F1552">
        <v>878.38</v>
      </c>
    </row>
    <row r="1553" spans="3:6" x14ac:dyDescent="0.25">
      <c r="C1553" t="s">
        <v>121</v>
      </c>
      <c r="D1553">
        <v>2030</v>
      </c>
      <c r="E1553" t="s">
        <v>142</v>
      </c>
      <c r="F1553">
        <v>3837.5</v>
      </c>
    </row>
    <row r="1554" spans="3:6" x14ac:dyDescent="0.25">
      <c r="C1554" t="s">
        <v>121</v>
      </c>
      <c r="D1554">
        <v>2030</v>
      </c>
      <c r="E1554" t="s">
        <v>143</v>
      </c>
      <c r="F1554">
        <v>4574.1099999999997</v>
      </c>
    </row>
    <row r="1555" spans="3:6" x14ac:dyDescent="0.25">
      <c r="C1555" t="s">
        <v>121</v>
      </c>
      <c r="D1555">
        <v>2030</v>
      </c>
      <c r="E1555" t="s">
        <v>144</v>
      </c>
      <c r="F1555">
        <v>3464.97</v>
      </c>
    </row>
    <row r="1556" spans="3:6" x14ac:dyDescent="0.25">
      <c r="C1556" t="s">
        <v>121</v>
      </c>
      <c r="D1556">
        <v>2030</v>
      </c>
      <c r="E1556" t="s">
        <v>145</v>
      </c>
      <c r="F1556">
        <v>679.98</v>
      </c>
    </row>
    <row r="1557" spans="3:6" x14ac:dyDescent="0.25">
      <c r="C1557" t="s">
        <v>121</v>
      </c>
      <c r="D1557">
        <v>2031</v>
      </c>
      <c r="E1557" t="s">
        <v>147</v>
      </c>
      <c r="F1557">
        <v>533.57000000000005</v>
      </c>
    </row>
    <row r="1558" spans="3:6" x14ac:dyDescent="0.25">
      <c r="C1558" t="s">
        <v>121</v>
      </c>
      <c r="D1558">
        <v>2031</v>
      </c>
      <c r="E1558" t="s">
        <v>148</v>
      </c>
      <c r="F1558">
        <v>1052.77</v>
      </c>
    </row>
    <row r="1559" spans="3:6" x14ac:dyDescent="0.25">
      <c r="C1559" t="s">
        <v>121</v>
      </c>
      <c r="D1559">
        <v>2031</v>
      </c>
      <c r="E1559" t="s">
        <v>146</v>
      </c>
      <c r="F1559">
        <v>883.44</v>
      </c>
    </row>
    <row r="1560" spans="3:6" x14ac:dyDescent="0.25">
      <c r="C1560" t="s">
        <v>121</v>
      </c>
      <c r="D1560">
        <v>2031</v>
      </c>
      <c r="E1560" t="s">
        <v>142</v>
      </c>
      <c r="F1560">
        <v>3865.48</v>
      </c>
    </row>
    <row r="1561" spans="3:6" x14ac:dyDescent="0.25">
      <c r="C1561" t="s">
        <v>121</v>
      </c>
      <c r="D1561">
        <v>2031</v>
      </c>
      <c r="E1561" t="s">
        <v>143</v>
      </c>
      <c r="F1561">
        <v>4609.8900000000003</v>
      </c>
    </row>
    <row r="1562" spans="3:6" x14ac:dyDescent="0.25">
      <c r="C1562" t="s">
        <v>121</v>
      </c>
      <c r="D1562">
        <v>2031</v>
      </c>
      <c r="E1562" t="s">
        <v>144</v>
      </c>
      <c r="F1562">
        <v>3473.52</v>
      </c>
    </row>
    <row r="1563" spans="3:6" x14ac:dyDescent="0.25">
      <c r="C1563" t="s">
        <v>121</v>
      </c>
      <c r="D1563">
        <v>2031</v>
      </c>
      <c r="E1563" t="s">
        <v>145</v>
      </c>
      <c r="F1563">
        <v>754.53</v>
      </c>
    </row>
    <row r="1564" spans="3:6" x14ac:dyDescent="0.25">
      <c r="C1564" t="s">
        <v>121</v>
      </c>
      <c r="D1564">
        <v>2032</v>
      </c>
      <c r="E1564" t="s">
        <v>147</v>
      </c>
      <c r="F1564">
        <v>532.78</v>
      </c>
    </row>
    <row r="1565" spans="3:6" x14ac:dyDescent="0.25">
      <c r="C1565" t="s">
        <v>121</v>
      </c>
      <c r="D1565">
        <v>2032</v>
      </c>
      <c r="E1565" t="s">
        <v>148</v>
      </c>
      <c r="F1565">
        <v>1050.3499999999999</v>
      </c>
    </row>
    <row r="1566" spans="3:6" x14ac:dyDescent="0.25">
      <c r="C1566" t="s">
        <v>121</v>
      </c>
      <c r="D1566">
        <v>2032</v>
      </c>
      <c r="E1566" t="s">
        <v>146</v>
      </c>
      <c r="F1566">
        <v>888.46</v>
      </c>
    </row>
    <row r="1567" spans="3:6" x14ac:dyDescent="0.25">
      <c r="C1567" t="s">
        <v>121</v>
      </c>
      <c r="D1567">
        <v>2032</v>
      </c>
      <c r="E1567" t="s">
        <v>142</v>
      </c>
      <c r="F1567">
        <v>3893.24</v>
      </c>
    </row>
    <row r="1568" spans="3:6" x14ac:dyDescent="0.25">
      <c r="C1568" t="s">
        <v>121</v>
      </c>
      <c r="D1568">
        <v>2032</v>
      </c>
      <c r="E1568" t="s">
        <v>143</v>
      </c>
      <c r="F1568">
        <v>4629.12</v>
      </c>
    </row>
    <row r="1569" spans="3:6" x14ac:dyDescent="0.25">
      <c r="C1569" t="s">
        <v>121</v>
      </c>
      <c r="D1569">
        <v>2032</v>
      </c>
      <c r="E1569" t="s">
        <v>144</v>
      </c>
      <c r="F1569">
        <v>3480.36</v>
      </c>
    </row>
    <row r="1570" spans="3:6" x14ac:dyDescent="0.25">
      <c r="C1570" t="s">
        <v>121</v>
      </c>
      <c r="D1570">
        <v>2032</v>
      </c>
      <c r="E1570" t="s">
        <v>145</v>
      </c>
      <c r="F1570">
        <v>835.54</v>
      </c>
    </row>
    <row r="1571" spans="3:6" x14ac:dyDescent="0.25">
      <c r="C1571" t="s">
        <v>121</v>
      </c>
      <c r="D1571">
        <v>2033</v>
      </c>
      <c r="E1571" t="s">
        <v>147</v>
      </c>
      <c r="F1571">
        <v>531.91999999999996</v>
      </c>
    </row>
    <row r="1572" spans="3:6" x14ac:dyDescent="0.25">
      <c r="C1572" t="s">
        <v>121</v>
      </c>
      <c r="D1572">
        <v>2033</v>
      </c>
      <c r="E1572" t="s">
        <v>148</v>
      </c>
      <c r="F1572">
        <v>1047.73</v>
      </c>
    </row>
    <row r="1573" spans="3:6" x14ac:dyDescent="0.25">
      <c r="C1573" t="s">
        <v>121</v>
      </c>
      <c r="D1573">
        <v>2033</v>
      </c>
      <c r="E1573" t="s">
        <v>146</v>
      </c>
      <c r="F1573">
        <v>893.02</v>
      </c>
    </row>
    <row r="1574" spans="3:6" x14ac:dyDescent="0.25">
      <c r="C1574" t="s">
        <v>121</v>
      </c>
      <c r="D1574">
        <v>2033</v>
      </c>
      <c r="E1574" t="s">
        <v>142</v>
      </c>
      <c r="F1574">
        <v>3921.38</v>
      </c>
    </row>
    <row r="1575" spans="3:6" x14ac:dyDescent="0.25">
      <c r="C1575" t="s">
        <v>121</v>
      </c>
      <c r="D1575">
        <v>2033</v>
      </c>
      <c r="E1575" t="s">
        <v>143</v>
      </c>
      <c r="F1575">
        <v>4675.99</v>
      </c>
    </row>
    <row r="1576" spans="3:6" x14ac:dyDescent="0.25">
      <c r="C1576" t="s">
        <v>121</v>
      </c>
      <c r="D1576">
        <v>2033</v>
      </c>
      <c r="E1576" t="s">
        <v>144</v>
      </c>
      <c r="F1576">
        <v>3487.83</v>
      </c>
    </row>
    <row r="1577" spans="3:6" x14ac:dyDescent="0.25">
      <c r="C1577" t="s">
        <v>121</v>
      </c>
      <c r="D1577">
        <v>2033</v>
      </c>
      <c r="E1577" t="s">
        <v>145</v>
      </c>
      <c r="F1577">
        <v>924.32</v>
      </c>
    </row>
    <row r="1578" spans="3:6" x14ac:dyDescent="0.25">
      <c r="C1578" t="s">
        <v>121</v>
      </c>
      <c r="D1578">
        <v>2034</v>
      </c>
      <c r="E1578" t="s">
        <v>147</v>
      </c>
      <c r="F1578">
        <v>531.20000000000005</v>
      </c>
    </row>
    <row r="1579" spans="3:6" x14ac:dyDescent="0.25">
      <c r="C1579" t="s">
        <v>121</v>
      </c>
      <c r="D1579">
        <v>2034</v>
      </c>
      <c r="E1579" t="s">
        <v>148</v>
      </c>
      <c r="F1579">
        <v>1045.47</v>
      </c>
    </row>
    <row r="1580" spans="3:6" x14ac:dyDescent="0.25">
      <c r="C1580" t="s">
        <v>121</v>
      </c>
      <c r="D1580">
        <v>2034</v>
      </c>
      <c r="E1580" t="s">
        <v>146</v>
      </c>
      <c r="F1580">
        <v>898.41</v>
      </c>
    </row>
    <row r="1581" spans="3:6" x14ac:dyDescent="0.25">
      <c r="C1581" t="s">
        <v>121</v>
      </c>
      <c r="D1581">
        <v>2034</v>
      </c>
      <c r="E1581" t="s">
        <v>142</v>
      </c>
      <c r="F1581">
        <v>3950.03</v>
      </c>
    </row>
    <row r="1582" spans="3:6" x14ac:dyDescent="0.25">
      <c r="C1582" t="s">
        <v>121</v>
      </c>
      <c r="D1582">
        <v>2034</v>
      </c>
      <c r="E1582" t="s">
        <v>143</v>
      </c>
      <c r="F1582">
        <v>4692.4399999999996</v>
      </c>
    </row>
    <row r="1583" spans="3:6" x14ac:dyDescent="0.25">
      <c r="C1583" t="s">
        <v>121</v>
      </c>
      <c r="D1583">
        <v>2034</v>
      </c>
      <c r="E1583" t="s">
        <v>144</v>
      </c>
      <c r="F1583">
        <v>3495.5</v>
      </c>
    </row>
    <row r="1584" spans="3:6" x14ac:dyDescent="0.25">
      <c r="C1584" t="s">
        <v>121</v>
      </c>
      <c r="D1584">
        <v>2034</v>
      </c>
      <c r="E1584" t="s">
        <v>145</v>
      </c>
      <c r="F1584">
        <v>1020.91</v>
      </c>
    </row>
    <row r="1585" spans="3:6" x14ac:dyDescent="0.25">
      <c r="C1585" t="s">
        <v>121</v>
      </c>
      <c r="D1585">
        <v>2035</v>
      </c>
      <c r="E1585" t="s">
        <v>147</v>
      </c>
      <c r="F1585">
        <v>530.54999999999995</v>
      </c>
    </row>
    <row r="1586" spans="3:6" x14ac:dyDescent="0.25">
      <c r="C1586" t="s">
        <v>121</v>
      </c>
      <c r="D1586">
        <v>2035</v>
      </c>
      <c r="E1586" t="s">
        <v>148</v>
      </c>
      <c r="F1586">
        <v>1043.42</v>
      </c>
    </row>
    <row r="1587" spans="3:6" x14ac:dyDescent="0.25">
      <c r="C1587" t="s">
        <v>121</v>
      </c>
      <c r="D1587">
        <v>2035</v>
      </c>
      <c r="E1587" t="s">
        <v>146</v>
      </c>
      <c r="F1587">
        <v>903.8</v>
      </c>
    </row>
    <row r="1588" spans="3:6" x14ac:dyDescent="0.25">
      <c r="C1588" t="s">
        <v>121</v>
      </c>
      <c r="D1588">
        <v>2035</v>
      </c>
      <c r="E1588" t="s">
        <v>142</v>
      </c>
      <c r="F1588">
        <v>3978.92</v>
      </c>
    </row>
    <row r="1589" spans="3:6" x14ac:dyDescent="0.25">
      <c r="C1589" t="s">
        <v>121</v>
      </c>
      <c r="D1589">
        <v>2035</v>
      </c>
      <c r="E1589" t="s">
        <v>143</v>
      </c>
      <c r="F1589">
        <v>4729.93</v>
      </c>
    </row>
    <row r="1590" spans="3:6" x14ac:dyDescent="0.25">
      <c r="C1590" t="s">
        <v>121</v>
      </c>
      <c r="D1590">
        <v>2035</v>
      </c>
      <c r="E1590" t="s">
        <v>144</v>
      </c>
      <c r="F1590">
        <v>3504.04</v>
      </c>
    </row>
    <row r="1591" spans="3:6" x14ac:dyDescent="0.25">
      <c r="C1591" t="s">
        <v>121</v>
      </c>
      <c r="D1591">
        <v>2035</v>
      </c>
      <c r="E1591" t="s">
        <v>145</v>
      </c>
      <c r="F1591">
        <v>1124.75</v>
      </c>
    </row>
    <row r="1592" spans="3:6" x14ac:dyDescent="0.25">
      <c r="C1592" t="s">
        <v>121</v>
      </c>
      <c r="D1592">
        <v>2036</v>
      </c>
      <c r="E1592" t="s">
        <v>147</v>
      </c>
      <c r="F1592">
        <v>529.91999999999996</v>
      </c>
    </row>
    <row r="1593" spans="3:6" x14ac:dyDescent="0.25">
      <c r="C1593" t="s">
        <v>121</v>
      </c>
      <c r="D1593">
        <v>2036</v>
      </c>
      <c r="E1593" t="s">
        <v>148</v>
      </c>
      <c r="F1593">
        <v>1041.4100000000001</v>
      </c>
    </row>
    <row r="1594" spans="3:6" x14ac:dyDescent="0.25">
      <c r="C1594" t="s">
        <v>121</v>
      </c>
      <c r="D1594">
        <v>2036</v>
      </c>
      <c r="E1594" t="s">
        <v>146</v>
      </c>
      <c r="F1594">
        <v>909.37</v>
      </c>
    </row>
    <row r="1595" spans="3:6" x14ac:dyDescent="0.25">
      <c r="C1595" t="s">
        <v>121</v>
      </c>
      <c r="D1595">
        <v>2036</v>
      </c>
      <c r="E1595" t="s">
        <v>142</v>
      </c>
      <c r="F1595">
        <v>3996.49</v>
      </c>
    </row>
    <row r="1596" spans="3:6" x14ac:dyDescent="0.25">
      <c r="C1596" t="s">
        <v>121</v>
      </c>
      <c r="D1596">
        <v>2036</v>
      </c>
      <c r="E1596" t="s">
        <v>143</v>
      </c>
      <c r="F1596">
        <v>4761.18</v>
      </c>
    </row>
    <row r="1597" spans="3:6" x14ac:dyDescent="0.25">
      <c r="C1597" t="s">
        <v>121</v>
      </c>
      <c r="D1597">
        <v>2036</v>
      </c>
      <c r="E1597" t="s">
        <v>144</v>
      </c>
      <c r="F1597">
        <v>3502.65</v>
      </c>
    </row>
    <row r="1598" spans="3:6" x14ac:dyDescent="0.25">
      <c r="C1598" t="s">
        <v>121</v>
      </c>
      <c r="D1598">
        <v>2036</v>
      </c>
      <c r="E1598" t="s">
        <v>145</v>
      </c>
      <c r="F1598">
        <v>1223.9100000000001</v>
      </c>
    </row>
    <row r="1599" spans="3:6" x14ac:dyDescent="0.25">
      <c r="C1599" t="s">
        <v>121</v>
      </c>
      <c r="D1599">
        <v>2037</v>
      </c>
      <c r="E1599" t="s">
        <v>147</v>
      </c>
      <c r="F1599">
        <v>529.29</v>
      </c>
    </row>
    <row r="1600" spans="3:6" x14ac:dyDescent="0.25">
      <c r="C1600" t="s">
        <v>121</v>
      </c>
      <c r="D1600">
        <v>2037</v>
      </c>
      <c r="E1600" t="s">
        <v>148</v>
      </c>
      <c r="F1600">
        <v>1039.3900000000001</v>
      </c>
    </row>
    <row r="1601" spans="3:6" x14ac:dyDescent="0.25">
      <c r="C1601" t="s">
        <v>121</v>
      </c>
      <c r="D1601">
        <v>2037</v>
      </c>
      <c r="E1601" t="s">
        <v>146</v>
      </c>
      <c r="F1601">
        <v>915.06</v>
      </c>
    </row>
    <row r="1602" spans="3:6" x14ac:dyDescent="0.25">
      <c r="C1602" t="s">
        <v>121</v>
      </c>
      <c r="D1602">
        <v>2037</v>
      </c>
      <c r="E1602" t="s">
        <v>142</v>
      </c>
      <c r="F1602">
        <v>4014.2</v>
      </c>
    </row>
    <row r="1603" spans="3:6" x14ac:dyDescent="0.25">
      <c r="C1603" t="s">
        <v>121</v>
      </c>
      <c r="D1603">
        <v>2037</v>
      </c>
      <c r="E1603" t="s">
        <v>143</v>
      </c>
      <c r="F1603">
        <v>4797.08</v>
      </c>
    </row>
    <row r="1604" spans="3:6" x14ac:dyDescent="0.25">
      <c r="C1604" t="s">
        <v>121</v>
      </c>
      <c r="D1604">
        <v>2037</v>
      </c>
      <c r="E1604" t="s">
        <v>144</v>
      </c>
      <c r="F1604">
        <v>3501.51</v>
      </c>
    </row>
    <row r="1605" spans="3:6" x14ac:dyDescent="0.25">
      <c r="C1605" t="s">
        <v>121</v>
      </c>
      <c r="D1605">
        <v>2037</v>
      </c>
      <c r="E1605" t="s">
        <v>145</v>
      </c>
      <c r="F1605">
        <v>1324.82</v>
      </c>
    </row>
    <row r="1606" spans="3:6" x14ac:dyDescent="0.25">
      <c r="C1606" t="s">
        <v>121</v>
      </c>
      <c r="D1606">
        <v>2038</v>
      </c>
      <c r="E1606" t="s">
        <v>147</v>
      </c>
      <c r="F1606">
        <v>528.66999999999996</v>
      </c>
    </row>
    <row r="1607" spans="3:6" x14ac:dyDescent="0.25">
      <c r="C1607" t="s">
        <v>121</v>
      </c>
      <c r="D1607">
        <v>2038</v>
      </c>
      <c r="E1607" t="s">
        <v>148</v>
      </c>
      <c r="F1607">
        <v>1037.4100000000001</v>
      </c>
    </row>
    <row r="1608" spans="3:6" x14ac:dyDescent="0.25">
      <c r="C1608" t="s">
        <v>121</v>
      </c>
      <c r="D1608">
        <v>2038</v>
      </c>
      <c r="E1608" t="s">
        <v>146</v>
      </c>
      <c r="F1608">
        <v>921.05</v>
      </c>
    </row>
    <row r="1609" spans="3:6" x14ac:dyDescent="0.25">
      <c r="C1609" t="s">
        <v>121</v>
      </c>
      <c r="D1609">
        <v>2038</v>
      </c>
      <c r="E1609" t="s">
        <v>142</v>
      </c>
      <c r="F1609">
        <v>4032.27</v>
      </c>
    </row>
    <row r="1610" spans="3:6" x14ac:dyDescent="0.25">
      <c r="C1610" t="s">
        <v>121</v>
      </c>
      <c r="D1610">
        <v>2038</v>
      </c>
      <c r="E1610" t="s">
        <v>143</v>
      </c>
      <c r="F1610">
        <v>4834.3999999999996</v>
      </c>
    </row>
    <row r="1611" spans="3:6" x14ac:dyDescent="0.25">
      <c r="C1611" t="s">
        <v>121</v>
      </c>
      <c r="D1611">
        <v>2038</v>
      </c>
      <c r="E1611" t="s">
        <v>144</v>
      </c>
      <c r="F1611">
        <v>3500.82</v>
      </c>
    </row>
    <row r="1612" spans="3:6" x14ac:dyDescent="0.25">
      <c r="C1612" t="s">
        <v>121</v>
      </c>
      <c r="D1612">
        <v>2038</v>
      </c>
      <c r="E1612" t="s">
        <v>145</v>
      </c>
      <c r="F1612">
        <v>1427.64</v>
      </c>
    </row>
    <row r="1613" spans="3:6" x14ac:dyDescent="0.25">
      <c r="C1613" t="s">
        <v>121</v>
      </c>
      <c r="D1613">
        <v>2039</v>
      </c>
      <c r="E1613" t="s">
        <v>147</v>
      </c>
      <c r="F1613">
        <v>528.03</v>
      </c>
    </row>
    <row r="1614" spans="3:6" x14ac:dyDescent="0.25">
      <c r="C1614" t="s">
        <v>121</v>
      </c>
      <c r="D1614">
        <v>2039</v>
      </c>
      <c r="E1614" t="s">
        <v>148</v>
      </c>
      <c r="F1614">
        <v>1035.3599999999999</v>
      </c>
    </row>
    <row r="1615" spans="3:6" x14ac:dyDescent="0.25">
      <c r="C1615" t="s">
        <v>121</v>
      </c>
      <c r="D1615">
        <v>2039</v>
      </c>
      <c r="E1615" t="s">
        <v>146</v>
      </c>
      <c r="F1615">
        <v>927.65</v>
      </c>
    </row>
    <row r="1616" spans="3:6" x14ac:dyDescent="0.25">
      <c r="C1616" t="s">
        <v>121</v>
      </c>
      <c r="D1616">
        <v>2039</v>
      </c>
      <c r="E1616" t="s">
        <v>142</v>
      </c>
      <c r="F1616">
        <v>4050.91</v>
      </c>
    </row>
    <row r="1617" spans="3:6" x14ac:dyDescent="0.25">
      <c r="C1617" t="s">
        <v>121</v>
      </c>
      <c r="D1617">
        <v>2039</v>
      </c>
      <c r="E1617" t="s">
        <v>143</v>
      </c>
      <c r="F1617">
        <v>4869.22</v>
      </c>
    </row>
    <row r="1618" spans="3:6" x14ac:dyDescent="0.25">
      <c r="C1618" t="s">
        <v>121</v>
      </c>
      <c r="D1618">
        <v>2039</v>
      </c>
      <c r="E1618" t="s">
        <v>144</v>
      </c>
      <c r="F1618">
        <v>3501.6</v>
      </c>
    </row>
    <row r="1619" spans="3:6" x14ac:dyDescent="0.25">
      <c r="C1619" t="s">
        <v>121</v>
      </c>
      <c r="D1619">
        <v>2039</v>
      </c>
      <c r="E1619" t="s">
        <v>145</v>
      </c>
      <c r="F1619">
        <v>1530.94</v>
      </c>
    </row>
    <row r="1620" spans="3:6" x14ac:dyDescent="0.25">
      <c r="C1620" t="s">
        <v>121</v>
      </c>
      <c r="D1620">
        <v>2040</v>
      </c>
      <c r="E1620" t="s">
        <v>147</v>
      </c>
      <c r="F1620">
        <v>527.5</v>
      </c>
    </row>
    <row r="1621" spans="3:6" x14ac:dyDescent="0.25">
      <c r="C1621" t="s">
        <v>121</v>
      </c>
      <c r="D1621">
        <v>2040</v>
      </c>
      <c r="E1621" t="s">
        <v>148</v>
      </c>
      <c r="F1621">
        <v>1033.5999999999999</v>
      </c>
    </row>
    <row r="1622" spans="3:6" x14ac:dyDescent="0.25">
      <c r="C1622" t="s">
        <v>121</v>
      </c>
      <c r="D1622">
        <v>2040</v>
      </c>
      <c r="E1622" t="s">
        <v>146</v>
      </c>
      <c r="F1622">
        <v>934.45</v>
      </c>
    </row>
    <row r="1623" spans="3:6" x14ac:dyDescent="0.25">
      <c r="C1623" t="s">
        <v>121</v>
      </c>
      <c r="D1623">
        <v>2040</v>
      </c>
      <c r="E1623" t="s">
        <v>142</v>
      </c>
      <c r="F1623">
        <v>4069.84</v>
      </c>
    </row>
    <row r="1624" spans="3:6" x14ac:dyDescent="0.25">
      <c r="C1624" t="s">
        <v>121</v>
      </c>
      <c r="D1624">
        <v>2040</v>
      </c>
      <c r="E1624" t="s">
        <v>143</v>
      </c>
      <c r="F1624">
        <v>4902.71</v>
      </c>
    </row>
    <row r="1625" spans="3:6" x14ac:dyDescent="0.25">
      <c r="C1625" t="s">
        <v>121</v>
      </c>
      <c r="D1625">
        <v>2040</v>
      </c>
      <c r="E1625" t="s">
        <v>144</v>
      </c>
      <c r="F1625">
        <v>3501.29</v>
      </c>
    </row>
    <row r="1626" spans="3:6" x14ac:dyDescent="0.25">
      <c r="C1626" t="s">
        <v>121</v>
      </c>
      <c r="D1626">
        <v>2040</v>
      </c>
      <c r="E1626" t="s">
        <v>145</v>
      </c>
      <c r="F1626">
        <v>1635.38</v>
      </c>
    </row>
    <row r="1627" spans="3:6" x14ac:dyDescent="0.25">
      <c r="C1627" t="s">
        <v>121</v>
      </c>
      <c r="D1627">
        <v>2041</v>
      </c>
      <c r="E1627" t="s">
        <v>147</v>
      </c>
      <c r="F1627">
        <v>527.07000000000005</v>
      </c>
    </row>
    <row r="1628" spans="3:6" x14ac:dyDescent="0.25">
      <c r="C1628" t="s">
        <v>121</v>
      </c>
      <c r="D1628">
        <v>2041</v>
      </c>
      <c r="E1628" t="s">
        <v>148</v>
      </c>
      <c r="F1628">
        <v>1032.0899999999999</v>
      </c>
    </row>
    <row r="1629" spans="3:6" x14ac:dyDescent="0.25">
      <c r="C1629" t="s">
        <v>121</v>
      </c>
      <c r="D1629">
        <v>2041</v>
      </c>
      <c r="E1629" t="s">
        <v>146</v>
      </c>
      <c r="F1629">
        <v>941.44</v>
      </c>
    </row>
    <row r="1630" spans="3:6" x14ac:dyDescent="0.25">
      <c r="C1630" t="s">
        <v>121</v>
      </c>
      <c r="D1630">
        <v>2041</v>
      </c>
      <c r="E1630" t="s">
        <v>142</v>
      </c>
      <c r="F1630">
        <v>4093.16</v>
      </c>
    </row>
    <row r="1631" spans="3:6" x14ac:dyDescent="0.25">
      <c r="C1631" t="s">
        <v>121</v>
      </c>
      <c r="D1631">
        <v>2041</v>
      </c>
      <c r="E1631" t="s">
        <v>143</v>
      </c>
      <c r="F1631">
        <v>4943.57</v>
      </c>
    </row>
    <row r="1632" spans="3:6" x14ac:dyDescent="0.25">
      <c r="C1632" t="s">
        <v>121</v>
      </c>
      <c r="D1632">
        <v>2041</v>
      </c>
      <c r="E1632" t="s">
        <v>144</v>
      </c>
      <c r="F1632">
        <v>3505.86</v>
      </c>
    </row>
    <row r="1633" spans="3:6" x14ac:dyDescent="0.25">
      <c r="C1633" t="s">
        <v>121</v>
      </c>
      <c r="D1633">
        <v>2041</v>
      </c>
      <c r="E1633" t="s">
        <v>145</v>
      </c>
      <c r="F1633">
        <v>1741.31</v>
      </c>
    </row>
    <row r="1634" spans="3:6" x14ac:dyDescent="0.25">
      <c r="C1634" t="s">
        <v>121</v>
      </c>
      <c r="D1634">
        <v>2042</v>
      </c>
      <c r="E1634" t="s">
        <v>147</v>
      </c>
      <c r="F1634">
        <v>526.62</v>
      </c>
    </row>
    <row r="1635" spans="3:6" x14ac:dyDescent="0.25">
      <c r="C1635" t="s">
        <v>121</v>
      </c>
      <c r="D1635">
        <v>2042</v>
      </c>
      <c r="E1635" t="s">
        <v>148</v>
      </c>
      <c r="F1635">
        <v>1030.53</v>
      </c>
    </row>
    <row r="1636" spans="3:6" x14ac:dyDescent="0.25">
      <c r="C1636" t="s">
        <v>121</v>
      </c>
      <c r="D1636">
        <v>2042</v>
      </c>
      <c r="E1636" t="s">
        <v>146</v>
      </c>
      <c r="F1636">
        <v>948.6</v>
      </c>
    </row>
    <row r="1637" spans="3:6" x14ac:dyDescent="0.25">
      <c r="C1637" t="s">
        <v>121</v>
      </c>
      <c r="D1637">
        <v>2042</v>
      </c>
      <c r="E1637" t="s">
        <v>142</v>
      </c>
      <c r="F1637">
        <v>4116.95</v>
      </c>
    </row>
    <row r="1638" spans="3:6" x14ac:dyDescent="0.25">
      <c r="C1638" t="s">
        <v>121</v>
      </c>
      <c r="D1638">
        <v>2042</v>
      </c>
      <c r="E1638" t="s">
        <v>143</v>
      </c>
      <c r="F1638">
        <v>4980.84</v>
      </c>
    </row>
    <row r="1639" spans="3:6" x14ac:dyDescent="0.25">
      <c r="C1639" t="s">
        <v>121</v>
      </c>
      <c r="D1639">
        <v>2042</v>
      </c>
      <c r="E1639" t="s">
        <v>144</v>
      </c>
      <c r="F1639">
        <v>3511.32</v>
      </c>
    </row>
    <row r="1640" spans="3:6" x14ac:dyDescent="0.25">
      <c r="C1640" t="s">
        <v>121</v>
      </c>
      <c r="D1640">
        <v>2042</v>
      </c>
      <c r="E1640" t="s">
        <v>145</v>
      </c>
      <c r="F1640">
        <v>1845.34</v>
      </c>
    </row>
    <row r="1641" spans="3:6" x14ac:dyDescent="0.25">
      <c r="C1641" t="s">
        <v>121</v>
      </c>
      <c r="D1641">
        <v>2043</v>
      </c>
      <c r="E1641" t="s">
        <v>147</v>
      </c>
      <c r="F1641">
        <v>526.16999999999996</v>
      </c>
    </row>
    <row r="1642" spans="3:6" x14ac:dyDescent="0.25">
      <c r="C1642" t="s">
        <v>121</v>
      </c>
      <c r="D1642">
        <v>2043</v>
      </c>
      <c r="E1642" t="s">
        <v>148</v>
      </c>
      <c r="F1642">
        <v>1028.97</v>
      </c>
    </row>
    <row r="1643" spans="3:6" x14ac:dyDescent="0.25">
      <c r="C1643" t="s">
        <v>121</v>
      </c>
      <c r="D1643">
        <v>2043</v>
      </c>
      <c r="E1643" t="s">
        <v>146</v>
      </c>
      <c r="F1643">
        <v>956.05</v>
      </c>
    </row>
    <row r="1644" spans="3:6" x14ac:dyDescent="0.25">
      <c r="C1644" t="s">
        <v>121</v>
      </c>
      <c r="D1644">
        <v>2043</v>
      </c>
      <c r="E1644" t="s">
        <v>142</v>
      </c>
      <c r="F1644">
        <v>4140.9399999999996</v>
      </c>
    </row>
    <row r="1645" spans="3:6" x14ac:dyDescent="0.25">
      <c r="C1645" t="s">
        <v>121</v>
      </c>
      <c r="D1645">
        <v>2043</v>
      </c>
      <c r="E1645" t="s">
        <v>143</v>
      </c>
      <c r="F1645">
        <v>5021.96</v>
      </c>
    </row>
    <row r="1646" spans="3:6" x14ac:dyDescent="0.25">
      <c r="C1646" t="s">
        <v>121</v>
      </c>
      <c r="D1646">
        <v>2043</v>
      </c>
      <c r="E1646" t="s">
        <v>144</v>
      </c>
      <c r="F1646">
        <v>3516.48</v>
      </c>
    </row>
    <row r="1647" spans="3:6" x14ac:dyDescent="0.25">
      <c r="C1647" t="s">
        <v>121</v>
      </c>
      <c r="D1647">
        <v>2043</v>
      </c>
      <c r="E1647" t="s">
        <v>145</v>
      </c>
      <c r="F1647">
        <v>1947.8</v>
      </c>
    </row>
    <row r="1648" spans="3:6" x14ac:dyDescent="0.25">
      <c r="C1648" t="s">
        <v>121</v>
      </c>
      <c r="D1648">
        <v>2044</v>
      </c>
      <c r="E1648" t="s">
        <v>147</v>
      </c>
      <c r="F1648">
        <v>525.72</v>
      </c>
    </row>
    <row r="1649" spans="3:6" x14ac:dyDescent="0.25">
      <c r="C1649" t="s">
        <v>121</v>
      </c>
      <c r="D1649">
        <v>2044</v>
      </c>
      <c r="E1649" t="s">
        <v>148</v>
      </c>
      <c r="F1649">
        <v>1027.42</v>
      </c>
    </row>
    <row r="1650" spans="3:6" x14ac:dyDescent="0.25">
      <c r="C1650" t="s">
        <v>121</v>
      </c>
      <c r="D1650">
        <v>2044</v>
      </c>
      <c r="E1650" t="s">
        <v>146</v>
      </c>
      <c r="F1650">
        <v>963.45</v>
      </c>
    </row>
    <row r="1651" spans="3:6" x14ac:dyDescent="0.25">
      <c r="C1651" t="s">
        <v>121</v>
      </c>
      <c r="D1651">
        <v>2044</v>
      </c>
      <c r="E1651" t="s">
        <v>142</v>
      </c>
      <c r="F1651">
        <v>4165.03</v>
      </c>
    </row>
    <row r="1652" spans="3:6" x14ac:dyDescent="0.25">
      <c r="C1652" t="s">
        <v>121</v>
      </c>
      <c r="D1652">
        <v>2044</v>
      </c>
      <c r="E1652" t="s">
        <v>143</v>
      </c>
      <c r="F1652">
        <v>5061.28</v>
      </c>
    </row>
    <row r="1653" spans="3:6" x14ac:dyDescent="0.25">
      <c r="C1653" t="s">
        <v>121</v>
      </c>
      <c r="D1653">
        <v>2044</v>
      </c>
      <c r="E1653" t="s">
        <v>144</v>
      </c>
      <c r="F1653">
        <v>3522.51</v>
      </c>
    </row>
    <row r="1654" spans="3:6" x14ac:dyDescent="0.25">
      <c r="C1654" t="s">
        <v>121</v>
      </c>
      <c r="D1654">
        <v>2044</v>
      </c>
      <c r="E1654" t="s">
        <v>145</v>
      </c>
      <c r="F1654">
        <v>2046.19</v>
      </c>
    </row>
    <row r="1655" spans="3:6" x14ac:dyDescent="0.25">
      <c r="C1655" t="s">
        <v>121</v>
      </c>
      <c r="D1655">
        <v>2045</v>
      </c>
      <c r="E1655" t="s">
        <v>147</v>
      </c>
      <c r="F1655">
        <v>525.29999999999995</v>
      </c>
    </row>
    <row r="1656" spans="3:6" x14ac:dyDescent="0.25">
      <c r="C1656" t="s">
        <v>121</v>
      </c>
      <c r="D1656">
        <v>2045</v>
      </c>
      <c r="E1656" t="s">
        <v>148</v>
      </c>
      <c r="F1656">
        <v>1025.94</v>
      </c>
    </row>
    <row r="1657" spans="3:6" x14ac:dyDescent="0.25">
      <c r="C1657" t="s">
        <v>121</v>
      </c>
      <c r="D1657">
        <v>2045</v>
      </c>
      <c r="E1657" t="s">
        <v>146</v>
      </c>
      <c r="F1657">
        <v>971.38</v>
      </c>
    </row>
    <row r="1658" spans="3:6" x14ac:dyDescent="0.25">
      <c r="C1658" t="s">
        <v>121</v>
      </c>
      <c r="D1658">
        <v>2045</v>
      </c>
      <c r="E1658" t="s">
        <v>142</v>
      </c>
      <c r="F1658">
        <v>4189.55</v>
      </c>
    </row>
    <row r="1659" spans="3:6" x14ac:dyDescent="0.25">
      <c r="C1659" t="s">
        <v>121</v>
      </c>
      <c r="D1659">
        <v>2045</v>
      </c>
      <c r="E1659" t="s">
        <v>143</v>
      </c>
      <c r="F1659">
        <v>5098.03</v>
      </c>
    </row>
    <row r="1660" spans="3:6" x14ac:dyDescent="0.25">
      <c r="C1660" t="s">
        <v>121</v>
      </c>
      <c r="D1660">
        <v>2045</v>
      </c>
      <c r="E1660" t="s">
        <v>144</v>
      </c>
      <c r="F1660">
        <v>3529.97</v>
      </c>
    </row>
    <row r="1661" spans="3:6" x14ac:dyDescent="0.25">
      <c r="C1661" t="s">
        <v>121</v>
      </c>
      <c r="D1661">
        <v>2045</v>
      </c>
      <c r="E1661" t="s">
        <v>145</v>
      </c>
      <c r="F1661">
        <v>2139.37</v>
      </c>
    </row>
    <row r="1662" spans="3:6" x14ac:dyDescent="0.25">
      <c r="C1662" t="s">
        <v>121</v>
      </c>
      <c r="D1662">
        <v>2046</v>
      </c>
      <c r="E1662" t="s">
        <v>147</v>
      </c>
      <c r="F1662">
        <v>524.84</v>
      </c>
    </row>
    <row r="1663" spans="3:6" x14ac:dyDescent="0.25">
      <c r="C1663" t="s">
        <v>121</v>
      </c>
      <c r="D1663">
        <v>2046</v>
      </c>
      <c r="E1663" t="s">
        <v>148</v>
      </c>
      <c r="F1663">
        <v>1024.3699999999999</v>
      </c>
    </row>
    <row r="1664" spans="3:6" x14ac:dyDescent="0.25">
      <c r="C1664" t="s">
        <v>121</v>
      </c>
      <c r="D1664">
        <v>2046</v>
      </c>
      <c r="E1664" t="s">
        <v>146</v>
      </c>
      <c r="F1664">
        <v>979.05</v>
      </c>
    </row>
    <row r="1665" spans="3:6" x14ac:dyDescent="0.25">
      <c r="C1665" t="s">
        <v>121</v>
      </c>
      <c r="D1665">
        <v>2046</v>
      </c>
      <c r="E1665" t="s">
        <v>142</v>
      </c>
      <c r="F1665">
        <v>4218.38</v>
      </c>
    </row>
    <row r="1666" spans="3:6" x14ac:dyDescent="0.25">
      <c r="C1666" t="s">
        <v>121</v>
      </c>
      <c r="D1666">
        <v>2046</v>
      </c>
      <c r="E1666" t="s">
        <v>143</v>
      </c>
      <c r="F1666">
        <v>5145.3900000000003</v>
      </c>
    </row>
    <row r="1667" spans="3:6" x14ac:dyDescent="0.25">
      <c r="C1667" t="s">
        <v>121</v>
      </c>
      <c r="D1667">
        <v>2046</v>
      </c>
      <c r="E1667" t="s">
        <v>144</v>
      </c>
      <c r="F1667">
        <v>3539.28</v>
      </c>
    </row>
    <row r="1668" spans="3:6" x14ac:dyDescent="0.25">
      <c r="C1668" t="s">
        <v>121</v>
      </c>
      <c r="D1668">
        <v>2046</v>
      </c>
      <c r="E1668" t="s">
        <v>145</v>
      </c>
      <c r="F1668">
        <v>2231.79</v>
      </c>
    </row>
    <row r="1669" spans="3:6" x14ac:dyDescent="0.25">
      <c r="C1669" t="s">
        <v>121</v>
      </c>
      <c r="D1669">
        <v>2047</v>
      </c>
      <c r="E1669" t="s">
        <v>147</v>
      </c>
      <c r="F1669">
        <v>524.39</v>
      </c>
    </row>
    <row r="1670" spans="3:6" x14ac:dyDescent="0.25">
      <c r="C1670" t="s">
        <v>121</v>
      </c>
      <c r="D1670">
        <v>2047</v>
      </c>
      <c r="E1670" t="s">
        <v>148</v>
      </c>
      <c r="F1670">
        <v>1022.83</v>
      </c>
    </row>
    <row r="1671" spans="3:6" x14ac:dyDescent="0.25">
      <c r="C1671" t="s">
        <v>121</v>
      </c>
      <c r="D1671">
        <v>2047</v>
      </c>
      <c r="E1671" t="s">
        <v>146</v>
      </c>
      <c r="F1671">
        <v>987.25</v>
      </c>
    </row>
    <row r="1672" spans="3:6" x14ac:dyDescent="0.25">
      <c r="C1672" t="s">
        <v>121</v>
      </c>
      <c r="D1672">
        <v>2047</v>
      </c>
      <c r="E1672" t="s">
        <v>142</v>
      </c>
      <c r="F1672">
        <v>4247.2</v>
      </c>
    </row>
    <row r="1673" spans="3:6" x14ac:dyDescent="0.25">
      <c r="C1673" t="s">
        <v>121</v>
      </c>
      <c r="D1673">
        <v>2047</v>
      </c>
      <c r="E1673" t="s">
        <v>143</v>
      </c>
      <c r="F1673">
        <v>5181.76</v>
      </c>
    </row>
    <row r="1674" spans="3:6" x14ac:dyDescent="0.25">
      <c r="C1674" t="s">
        <v>121</v>
      </c>
      <c r="D1674">
        <v>2047</v>
      </c>
      <c r="E1674" t="s">
        <v>144</v>
      </c>
      <c r="F1674">
        <v>3549.06</v>
      </c>
    </row>
    <row r="1675" spans="3:6" x14ac:dyDescent="0.25">
      <c r="C1675" t="s">
        <v>121</v>
      </c>
      <c r="D1675">
        <v>2047</v>
      </c>
      <c r="E1675" t="s">
        <v>145</v>
      </c>
      <c r="F1675">
        <v>2321.0300000000002</v>
      </c>
    </row>
    <row r="1676" spans="3:6" x14ac:dyDescent="0.25">
      <c r="C1676" t="s">
        <v>121</v>
      </c>
      <c r="D1676">
        <v>2048</v>
      </c>
      <c r="E1676" t="s">
        <v>147</v>
      </c>
      <c r="F1676">
        <v>524.05999999999995</v>
      </c>
    </row>
    <row r="1677" spans="3:6" x14ac:dyDescent="0.25">
      <c r="C1677" t="s">
        <v>121</v>
      </c>
      <c r="D1677">
        <v>2048</v>
      </c>
      <c r="E1677" t="s">
        <v>148</v>
      </c>
      <c r="F1677">
        <v>1021.6</v>
      </c>
    </row>
    <row r="1678" spans="3:6" x14ac:dyDescent="0.25">
      <c r="C1678" t="s">
        <v>121</v>
      </c>
      <c r="D1678">
        <v>2048</v>
      </c>
      <c r="E1678" t="s">
        <v>146</v>
      </c>
      <c r="F1678">
        <v>995.6</v>
      </c>
    </row>
    <row r="1679" spans="3:6" x14ac:dyDescent="0.25">
      <c r="C1679" t="s">
        <v>121</v>
      </c>
      <c r="D1679">
        <v>2048</v>
      </c>
      <c r="E1679" t="s">
        <v>142</v>
      </c>
      <c r="F1679">
        <v>4276.6400000000003</v>
      </c>
    </row>
    <row r="1680" spans="3:6" x14ac:dyDescent="0.25">
      <c r="C1680" t="s">
        <v>121</v>
      </c>
      <c r="D1680">
        <v>2048</v>
      </c>
      <c r="E1680" t="s">
        <v>143</v>
      </c>
      <c r="F1680">
        <v>5233.3</v>
      </c>
    </row>
    <row r="1681" spans="3:6" x14ac:dyDescent="0.25">
      <c r="C1681" t="s">
        <v>121</v>
      </c>
      <c r="D1681">
        <v>2048</v>
      </c>
      <c r="E1681" t="s">
        <v>144</v>
      </c>
      <c r="F1681">
        <v>3559.82</v>
      </c>
    </row>
    <row r="1682" spans="3:6" x14ac:dyDescent="0.25">
      <c r="C1682" t="s">
        <v>121</v>
      </c>
      <c r="D1682">
        <v>2048</v>
      </c>
      <c r="E1682" t="s">
        <v>145</v>
      </c>
      <c r="F1682">
        <v>2409.15</v>
      </c>
    </row>
    <row r="1683" spans="3:6" x14ac:dyDescent="0.25">
      <c r="C1683" t="s">
        <v>121</v>
      </c>
      <c r="D1683">
        <v>2049</v>
      </c>
      <c r="E1683" t="s">
        <v>147</v>
      </c>
      <c r="F1683">
        <v>523.64</v>
      </c>
    </row>
    <row r="1684" spans="3:6" x14ac:dyDescent="0.25">
      <c r="C1684" t="s">
        <v>121</v>
      </c>
      <c r="D1684">
        <v>2049</v>
      </c>
      <c r="E1684" t="s">
        <v>148</v>
      </c>
      <c r="F1684">
        <v>1020.12</v>
      </c>
    </row>
    <row r="1685" spans="3:6" x14ac:dyDescent="0.25">
      <c r="C1685" t="s">
        <v>121</v>
      </c>
      <c r="D1685">
        <v>2049</v>
      </c>
      <c r="E1685" t="s">
        <v>146</v>
      </c>
      <c r="F1685">
        <v>1004.31</v>
      </c>
    </row>
    <row r="1686" spans="3:6" x14ac:dyDescent="0.25">
      <c r="C1686" t="s">
        <v>121</v>
      </c>
      <c r="D1686">
        <v>2049</v>
      </c>
      <c r="E1686" t="s">
        <v>142</v>
      </c>
      <c r="F1686">
        <v>4306.7299999999996</v>
      </c>
    </row>
    <row r="1687" spans="3:6" x14ac:dyDescent="0.25">
      <c r="C1687" t="s">
        <v>121</v>
      </c>
      <c r="D1687">
        <v>2049</v>
      </c>
      <c r="E1687" t="s">
        <v>143</v>
      </c>
      <c r="F1687">
        <v>5278.65</v>
      </c>
    </row>
    <row r="1688" spans="3:6" x14ac:dyDescent="0.25">
      <c r="C1688" t="s">
        <v>121</v>
      </c>
      <c r="D1688">
        <v>2049</v>
      </c>
      <c r="E1688" t="s">
        <v>144</v>
      </c>
      <c r="F1688">
        <v>3571.17</v>
      </c>
    </row>
    <row r="1689" spans="3:6" x14ac:dyDescent="0.25">
      <c r="C1689" t="s">
        <v>121</v>
      </c>
      <c r="D1689">
        <v>2049</v>
      </c>
      <c r="E1689" t="s">
        <v>145</v>
      </c>
      <c r="F1689">
        <v>2495.9299999999998</v>
      </c>
    </row>
    <row r="1690" spans="3:6" x14ac:dyDescent="0.25">
      <c r="C1690" t="s">
        <v>121</v>
      </c>
      <c r="D1690">
        <v>2050</v>
      </c>
      <c r="E1690" t="s">
        <v>147</v>
      </c>
      <c r="F1690">
        <v>523.42999999999995</v>
      </c>
    </row>
    <row r="1691" spans="3:6" x14ac:dyDescent="0.25">
      <c r="C1691" t="s">
        <v>121</v>
      </c>
      <c r="D1691">
        <v>2050</v>
      </c>
      <c r="E1691" t="s">
        <v>148</v>
      </c>
      <c r="F1691">
        <v>1019.18</v>
      </c>
    </row>
    <row r="1692" spans="3:6" x14ac:dyDescent="0.25">
      <c r="C1692" t="s">
        <v>121</v>
      </c>
      <c r="D1692">
        <v>2050</v>
      </c>
      <c r="E1692" t="s">
        <v>146</v>
      </c>
      <c r="F1692">
        <v>1013.29</v>
      </c>
    </row>
    <row r="1693" spans="3:6" x14ac:dyDescent="0.25">
      <c r="C1693" t="s">
        <v>121</v>
      </c>
      <c r="D1693">
        <v>2050</v>
      </c>
      <c r="E1693" t="s">
        <v>142</v>
      </c>
      <c r="F1693">
        <v>4337.25</v>
      </c>
    </row>
    <row r="1694" spans="3:6" x14ac:dyDescent="0.25">
      <c r="C1694" t="s">
        <v>121</v>
      </c>
      <c r="D1694">
        <v>2050</v>
      </c>
      <c r="E1694" t="s">
        <v>143</v>
      </c>
      <c r="F1694">
        <v>5327.53</v>
      </c>
    </row>
    <row r="1695" spans="3:6" x14ac:dyDescent="0.25">
      <c r="C1695" t="s">
        <v>121</v>
      </c>
      <c r="D1695">
        <v>2050</v>
      </c>
      <c r="E1695" t="s">
        <v>144</v>
      </c>
      <c r="F1695">
        <v>3582.87</v>
      </c>
    </row>
    <row r="1696" spans="3:6" x14ac:dyDescent="0.25">
      <c r="C1696" t="s">
        <v>121</v>
      </c>
      <c r="D1696">
        <v>2050</v>
      </c>
      <c r="E1696" t="s">
        <v>145</v>
      </c>
      <c r="F1696">
        <v>2582.11</v>
      </c>
    </row>
    <row r="1697" spans="3:6" x14ac:dyDescent="0.25">
      <c r="C1697" t="s">
        <v>122</v>
      </c>
      <c r="D1697">
        <v>2010</v>
      </c>
      <c r="E1697" t="s">
        <v>142</v>
      </c>
      <c r="F1697">
        <v>271.68</v>
      </c>
    </row>
    <row r="1698" spans="3:6" x14ac:dyDescent="0.25">
      <c r="C1698" t="s">
        <v>122</v>
      </c>
      <c r="D1698">
        <v>2010</v>
      </c>
      <c r="E1698" t="s">
        <v>143</v>
      </c>
      <c r="F1698">
        <v>1512.51</v>
      </c>
    </row>
    <row r="1699" spans="3:6" x14ac:dyDescent="0.25">
      <c r="C1699" t="s">
        <v>122</v>
      </c>
      <c r="D1699">
        <v>2010</v>
      </c>
      <c r="E1699" t="s">
        <v>144</v>
      </c>
      <c r="F1699">
        <v>643.80999999999995</v>
      </c>
    </row>
    <row r="1700" spans="3:6" x14ac:dyDescent="0.25">
      <c r="C1700" t="s">
        <v>122</v>
      </c>
      <c r="D1700">
        <v>2010</v>
      </c>
      <c r="E1700" t="s">
        <v>145</v>
      </c>
      <c r="F1700">
        <v>54.27</v>
      </c>
    </row>
    <row r="1701" spans="3:6" x14ac:dyDescent="0.25">
      <c r="C1701" t="s">
        <v>122</v>
      </c>
      <c r="D1701">
        <v>2011</v>
      </c>
      <c r="E1701" t="s">
        <v>142</v>
      </c>
      <c r="F1701">
        <v>273.52</v>
      </c>
    </row>
    <row r="1702" spans="3:6" x14ac:dyDescent="0.25">
      <c r="C1702" t="s">
        <v>122</v>
      </c>
      <c r="D1702">
        <v>2011</v>
      </c>
      <c r="E1702" t="s">
        <v>143</v>
      </c>
      <c r="F1702">
        <v>1697.21</v>
      </c>
    </row>
    <row r="1703" spans="3:6" x14ac:dyDescent="0.25">
      <c r="C1703" t="s">
        <v>122</v>
      </c>
      <c r="D1703">
        <v>2011</v>
      </c>
      <c r="E1703" t="s">
        <v>144</v>
      </c>
      <c r="F1703">
        <v>711.15</v>
      </c>
    </row>
    <row r="1704" spans="3:6" x14ac:dyDescent="0.25">
      <c r="C1704" t="s">
        <v>122</v>
      </c>
      <c r="D1704">
        <v>2011</v>
      </c>
      <c r="E1704" t="s">
        <v>145</v>
      </c>
      <c r="F1704">
        <v>58.78</v>
      </c>
    </row>
    <row r="1705" spans="3:6" x14ac:dyDescent="0.25">
      <c r="C1705" t="s">
        <v>122</v>
      </c>
      <c r="D1705">
        <v>2012</v>
      </c>
      <c r="E1705" t="s">
        <v>142</v>
      </c>
      <c r="F1705">
        <v>307.60000000000002</v>
      </c>
    </row>
    <row r="1706" spans="3:6" x14ac:dyDescent="0.25">
      <c r="C1706" t="s">
        <v>122</v>
      </c>
      <c r="D1706">
        <v>2012</v>
      </c>
      <c r="E1706" t="s">
        <v>143</v>
      </c>
      <c r="F1706">
        <v>1756.29</v>
      </c>
    </row>
    <row r="1707" spans="3:6" x14ac:dyDescent="0.25">
      <c r="C1707" t="s">
        <v>122</v>
      </c>
      <c r="D1707">
        <v>2012</v>
      </c>
      <c r="E1707" t="s">
        <v>144</v>
      </c>
      <c r="F1707">
        <v>764.91</v>
      </c>
    </row>
    <row r="1708" spans="3:6" x14ac:dyDescent="0.25">
      <c r="C1708" t="s">
        <v>122</v>
      </c>
      <c r="D1708">
        <v>2012</v>
      </c>
      <c r="E1708" t="s">
        <v>145</v>
      </c>
      <c r="F1708">
        <v>58.12</v>
      </c>
    </row>
    <row r="1709" spans="3:6" x14ac:dyDescent="0.25">
      <c r="C1709" t="s">
        <v>122</v>
      </c>
      <c r="D1709">
        <v>2013</v>
      </c>
      <c r="E1709" t="s">
        <v>142</v>
      </c>
      <c r="F1709">
        <v>330.64</v>
      </c>
    </row>
    <row r="1710" spans="3:6" x14ac:dyDescent="0.25">
      <c r="C1710" t="s">
        <v>122</v>
      </c>
      <c r="D1710">
        <v>2013</v>
      </c>
      <c r="E1710" t="s">
        <v>143</v>
      </c>
      <c r="F1710">
        <v>1923.02</v>
      </c>
    </row>
    <row r="1711" spans="3:6" x14ac:dyDescent="0.25">
      <c r="C1711" t="s">
        <v>122</v>
      </c>
      <c r="D1711">
        <v>2013</v>
      </c>
      <c r="E1711" t="s">
        <v>144</v>
      </c>
      <c r="F1711">
        <v>871.64</v>
      </c>
    </row>
    <row r="1712" spans="3:6" x14ac:dyDescent="0.25">
      <c r="C1712" t="s">
        <v>122</v>
      </c>
      <c r="D1712">
        <v>2013</v>
      </c>
      <c r="E1712" t="s">
        <v>145</v>
      </c>
      <c r="F1712">
        <v>66.930000000000007</v>
      </c>
    </row>
    <row r="1713" spans="3:6" x14ac:dyDescent="0.25">
      <c r="C1713" t="s">
        <v>122</v>
      </c>
      <c r="D1713">
        <v>2014</v>
      </c>
      <c r="E1713" t="s">
        <v>142</v>
      </c>
      <c r="F1713">
        <v>365.23</v>
      </c>
    </row>
    <row r="1714" spans="3:6" x14ac:dyDescent="0.25">
      <c r="C1714" t="s">
        <v>122</v>
      </c>
      <c r="D1714">
        <v>2014</v>
      </c>
      <c r="E1714" t="s">
        <v>143</v>
      </c>
      <c r="F1714">
        <v>2109.37</v>
      </c>
    </row>
    <row r="1715" spans="3:6" x14ac:dyDescent="0.25">
      <c r="C1715" t="s">
        <v>122</v>
      </c>
      <c r="D1715">
        <v>2014</v>
      </c>
      <c r="E1715" t="s">
        <v>144</v>
      </c>
      <c r="F1715">
        <v>965.15</v>
      </c>
    </row>
    <row r="1716" spans="3:6" x14ac:dyDescent="0.25">
      <c r="C1716" t="s">
        <v>122</v>
      </c>
      <c r="D1716">
        <v>2014</v>
      </c>
      <c r="E1716" t="s">
        <v>145</v>
      </c>
      <c r="F1716">
        <v>69.81</v>
      </c>
    </row>
    <row r="1717" spans="3:6" x14ac:dyDescent="0.25">
      <c r="C1717" t="s">
        <v>122</v>
      </c>
      <c r="D1717">
        <v>2015</v>
      </c>
      <c r="E1717" t="s">
        <v>142</v>
      </c>
      <c r="F1717">
        <v>405.14</v>
      </c>
    </row>
    <row r="1718" spans="3:6" x14ac:dyDescent="0.25">
      <c r="C1718" t="s">
        <v>122</v>
      </c>
      <c r="D1718">
        <v>2015</v>
      </c>
      <c r="E1718" t="s">
        <v>143</v>
      </c>
      <c r="F1718">
        <v>2152.75</v>
      </c>
    </row>
    <row r="1719" spans="3:6" x14ac:dyDescent="0.25">
      <c r="C1719" t="s">
        <v>122</v>
      </c>
      <c r="D1719">
        <v>2015</v>
      </c>
      <c r="E1719" t="s">
        <v>144</v>
      </c>
      <c r="F1719">
        <v>1071.3599999999999</v>
      </c>
    </row>
    <row r="1720" spans="3:6" x14ac:dyDescent="0.25">
      <c r="C1720" t="s">
        <v>122</v>
      </c>
      <c r="D1720">
        <v>2015</v>
      </c>
      <c r="E1720" t="s">
        <v>145</v>
      </c>
      <c r="F1720">
        <v>72.34</v>
      </c>
    </row>
    <row r="1721" spans="3:6" x14ac:dyDescent="0.25">
      <c r="C1721" t="s">
        <v>122</v>
      </c>
      <c r="D1721">
        <v>2016</v>
      </c>
      <c r="E1721" t="s">
        <v>142</v>
      </c>
      <c r="F1721">
        <v>457.7</v>
      </c>
    </row>
    <row r="1722" spans="3:6" x14ac:dyDescent="0.25">
      <c r="C1722" t="s">
        <v>122</v>
      </c>
      <c r="D1722">
        <v>2016</v>
      </c>
      <c r="E1722" t="s">
        <v>143</v>
      </c>
      <c r="F1722">
        <v>2266.5700000000002</v>
      </c>
    </row>
    <row r="1723" spans="3:6" x14ac:dyDescent="0.25">
      <c r="C1723" t="s">
        <v>122</v>
      </c>
      <c r="D1723">
        <v>2016</v>
      </c>
      <c r="E1723" t="s">
        <v>144</v>
      </c>
      <c r="F1723">
        <v>1192.04</v>
      </c>
    </row>
    <row r="1724" spans="3:6" x14ac:dyDescent="0.25">
      <c r="C1724" t="s">
        <v>122</v>
      </c>
      <c r="D1724">
        <v>2016</v>
      </c>
      <c r="E1724" t="s">
        <v>145</v>
      </c>
      <c r="F1724">
        <v>69.349999999999994</v>
      </c>
    </row>
    <row r="1725" spans="3:6" x14ac:dyDescent="0.25">
      <c r="C1725" t="s">
        <v>122</v>
      </c>
      <c r="D1725">
        <v>2017</v>
      </c>
      <c r="E1725" t="s">
        <v>142</v>
      </c>
      <c r="F1725">
        <v>463.38</v>
      </c>
    </row>
    <row r="1726" spans="3:6" x14ac:dyDescent="0.25">
      <c r="C1726" t="s">
        <v>122</v>
      </c>
      <c r="D1726">
        <v>2017</v>
      </c>
      <c r="E1726" t="s">
        <v>143</v>
      </c>
      <c r="F1726">
        <v>2388.83</v>
      </c>
    </row>
    <row r="1727" spans="3:6" x14ac:dyDescent="0.25">
      <c r="C1727" t="s">
        <v>122</v>
      </c>
      <c r="D1727">
        <v>2017</v>
      </c>
      <c r="E1727" t="s">
        <v>144</v>
      </c>
      <c r="F1727">
        <v>1253.8599999999999</v>
      </c>
    </row>
    <row r="1728" spans="3:6" x14ac:dyDescent="0.25">
      <c r="C1728" t="s">
        <v>122</v>
      </c>
      <c r="D1728">
        <v>2017</v>
      </c>
      <c r="E1728" t="s">
        <v>145</v>
      </c>
      <c r="F1728">
        <v>76.650000000000006</v>
      </c>
    </row>
    <row r="1729" spans="3:6" x14ac:dyDescent="0.25">
      <c r="C1729" t="s">
        <v>122</v>
      </c>
      <c r="D1729">
        <v>2018</v>
      </c>
      <c r="E1729" t="s">
        <v>142</v>
      </c>
      <c r="F1729">
        <v>470.24</v>
      </c>
    </row>
    <row r="1730" spans="3:6" x14ac:dyDescent="0.25">
      <c r="C1730" t="s">
        <v>122</v>
      </c>
      <c r="D1730">
        <v>2018</v>
      </c>
      <c r="E1730" t="s">
        <v>143</v>
      </c>
      <c r="F1730">
        <v>2498.2399999999998</v>
      </c>
    </row>
    <row r="1731" spans="3:6" x14ac:dyDescent="0.25">
      <c r="C1731" t="s">
        <v>122</v>
      </c>
      <c r="D1731">
        <v>2018</v>
      </c>
      <c r="E1731" t="s">
        <v>144</v>
      </c>
      <c r="F1731">
        <v>1311.75</v>
      </c>
    </row>
    <row r="1732" spans="3:6" x14ac:dyDescent="0.25">
      <c r="C1732" t="s">
        <v>122</v>
      </c>
      <c r="D1732">
        <v>2018</v>
      </c>
      <c r="E1732" t="s">
        <v>145</v>
      </c>
      <c r="F1732">
        <v>77.459999999999994</v>
      </c>
    </row>
    <row r="1733" spans="3:6" x14ac:dyDescent="0.25">
      <c r="C1733" t="s">
        <v>122</v>
      </c>
      <c r="D1733">
        <v>2019</v>
      </c>
      <c r="E1733" t="s">
        <v>142</v>
      </c>
      <c r="F1733">
        <v>491.79</v>
      </c>
    </row>
    <row r="1734" spans="3:6" x14ac:dyDescent="0.25">
      <c r="C1734" t="s">
        <v>122</v>
      </c>
      <c r="D1734">
        <v>2019</v>
      </c>
      <c r="E1734" t="s">
        <v>143</v>
      </c>
      <c r="F1734">
        <v>2543.1999999999998</v>
      </c>
    </row>
    <row r="1735" spans="3:6" x14ac:dyDescent="0.25">
      <c r="C1735" t="s">
        <v>122</v>
      </c>
      <c r="D1735">
        <v>2019</v>
      </c>
      <c r="E1735" t="s">
        <v>144</v>
      </c>
      <c r="F1735">
        <v>1359.4</v>
      </c>
    </row>
    <row r="1736" spans="3:6" x14ac:dyDescent="0.25">
      <c r="C1736" t="s">
        <v>122</v>
      </c>
      <c r="D1736">
        <v>2019</v>
      </c>
      <c r="E1736" t="s">
        <v>145</v>
      </c>
      <c r="F1736">
        <v>104.46</v>
      </c>
    </row>
    <row r="1737" spans="3:6" x14ac:dyDescent="0.25">
      <c r="C1737" t="s">
        <v>122</v>
      </c>
      <c r="D1737">
        <v>2020</v>
      </c>
      <c r="E1737" t="s">
        <v>142</v>
      </c>
      <c r="F1737">
        <v>463.94</v>
      </c>
    </row>
    <row r="1738" spans="3:6" x14ac:dyDescent="0.25">
      <c r="C1738" t="s">
        <v>122</v>
      </c>
      <c r="D1738">
        <v>2020</v>
      </c>
      <c r="E1738" t="s">
        <v>143</v>
      </c>
      <c r="F1738">
        <v>2335.58</v>
      </c>
    </row>
    <row r="1739" spans="3:6" x14ac:dyDescent="0.25">
      <c r="C1739" t="s">
        <v>122</v>
      </c>
      <c r="D1739">
        <v>2020</v>
      </c>
      <c r="E1739" t="s">
        <v>144</v>
      </c>
      <c r="F1739">
        <v>1277.06</v>
      </c>
    </row>
    <row r="1740" spans="3:6" x14ac:dyDescent="0.25">
      <c r="C1740" t="s">
        <v>122</v>
      </c>
      <c r="D1740">
        <v>2020</v>
      </c>
      <c r="E1740" t="s">
        <v>145</v>
      </c>
      <c r="F1740">
        <v>98.81</v>
      </c>
    </row>
    <row r="1741" spans="3:6" x14ac:dyDescent="0.25">
      <c r="C1741" t="s">
        <v>122</v>
      </c>
      <c r="D1741">
        <v>2021</v>
      </c>
      <c r="E1741" t="s">
        <v>142</v>
      </c>
      <c r="F1741">
        <v>496.75</v>
      </c>
    </row>
    <row r="1742" spans="3:6" x14ac:dyDescent="0.25">
      <c r="C1742" t="s">
        <v>122</v>
      </c>
      <c r="D1742">
        <v>2021</v>
      </c>
      <c r="E1742" t="s">
        <v>143</v>
      </c>
      <c r="F1742">
        <v>2799.27</v>
      </c>
    </row>
    <row r="1743" spans="3:6" x14ac:dyDescent="0.25">
      <c r="C1743" t="s">
        <v>122</v>
      </c>
      <c r="D1743">
        <v>2021</v>
      </c>
      <c r="E1743" t="s">
        <v>144</v>
      </c>
      <c r="F1743">
        <v>1429.11</v>
      </c>
    </row>
    <row r="1744" spans="3:6" x14ac:dyDescent="0.25">
      <c r="C1744" t="s">
        <v>122</v>
      </c>
      <c r="D1744">
        <v>2021</v>
      </c>
      <c r="E1744" t="s">
        <v>145</v>
      </c>
      <c r="F1744">
        <v>109.07</v>
      </c>
    </row>
    <row r="1745" spans="3:6" x14ac:dyDescent="0.25">
      <c r="C1745" t="s">
        <v>122</v>
      </c>
      <c r="D1745">
        <v>2022</v>
      </c>
      <c r="E1745" t="s">
        <v>142</v>
      </c>
      <c r="F1745">
        <v>520.13</v>
      </c>
    </row>
    <row r="1746" spans="3:6" x14ac:dyDescent="0.25">
      <c r="C1746" t="s">
        <v>122</v>
      </c>
      <c r="D1746">
        <v>2022</v>
      </c>
      <c r="E1746" t="s">
        <v>143</v>
      </c>
      <c r="F1746">
        <v>2909.01</v>
      </c>
    </row>
    <row r="1747" spans="3:6" x14ac:dyDescent="0.25">
      <c r="C1747" t="s">
        <v>122</v>
      </c>
      <c r="D1747">
        <v>2022</v>
      </c>
      <c r="E1747" t="s">
        <v>144</v>
      </c>
      <c r="F1747">
        <v>1511.17</v>
      </c>
    </row>
    <row r="1748" spans="3:6" x14ac:dyDescent="0.25">
      <c r="C1748" t="s">
        <v>122</v>
      </c>
      <c r="D1748">
        <v>2022</v>
      </c>
      <c r="E1748" t="s">
        <v>145</v>
      </c>
      <c r="F1748">
        <v>114.76</v>
      </c>
    </row>
    <row r="1749" spans="3:6" x14ac:dyDescent="0.25">
      <c r="C1749" t="s">
        <v>122</v>
      </c>
      <c r="D1749">
        <v>2023</v>
      </c>
      <c r="E1749" t="s">
        <v>142</v>
      </c>
      <c r="F1749">
        <v>550.41</v>
      </c>
    </row>
    <row r="1750" spans="3:6" x14ac:dyDescent="0.25">
      <c r="C1750" t="s">
        <v>122</v>
      </c>
      <c r="D1750">
        <v>2023</v>
      </c>
      <c r="E1750" t="s">
        <v>143</v>
      </c>
      <c r="F1750">
        <v>3064.98</v>
      </c>
    </row>
    <row r="1751" spans="3:6" x14ac:dyDescent="0.25">
      <c r="C1751" t="s">
        <v>122</v>
      </c>
      <c r="D1751">
        <v>2023</v>
      </c>
      <c r="E1751" t="s">
        <v>144</v>
      </c>
      <c r="F1751">
        <v>1603.22</v>
      </c>
    </row>
    <row r="1752" spans="3:6" x14ac:dyDescent="0.25">
      <c r="C1752" t="s">
        <v>122</v>
      </c>
      <c r="D1752">
        <v>2023</v>
      </c>
      <c r="E1752" t="s">
        <v>145</v>
      </c>
      <c r="F1752">
        <v>121.1</v>
      </c>
    </row>
    <row r="1753" spans="3:6" x14ac:dyDescent="0.25">
      <c r="C1753" t="s">
        <v>122</v>
      </c>
      <c r="D1753">
        <v>2024</v>
      </c>
      <c r="E1753" t="s">
        <v>142</v>
      </c>
      <c r="F1753">
        <v>584.83000000000004</v>
      </c>
    </row>
    <row r="1754" spans="3:6" x14ac:dyDescent="0.25">
      <c r="C1754" t="s">
        <v>122</v>
      </c>
      <c r="D1754">
        <v>2024</v>
      </c>
      <c r="E1754" t="s">
        <v>143</v>
      </c>
      <c r="F1754">
        <v>3220.69</v>
      </c>
    </row>
    <row r="1755" spans="3:6" x14ac:dyDescent="0.25">
      <c r="C1755" t="s">
        <v>122</v>
      </c>
      <c r="D1755">
        <v>2024</v>
      </c>
      <c r="E1755" t="s">
        <v>144</v>
      </c>
      <c r="F1755">
        <v>1707.68</v>
      </c>
    </row>
    <row r="1756" spans="3:6" x14ac:dyDescent="0.25">
      <c r="C1756" t="s">
        <v>122</v>
      </c>
      <c r="D1756">
        <v>2024</v>
      </c>
      <c r="E1756" t="s">
        <v>145</v>
      </c>
      <c r="F1756">
        <v>128.65</v>
      </c>
    </row>
    <row r="1757" spans="3:6" x14ac:dyDescent="0.25">
      <c r="C1757" t="s">
        <v>122</v>
      </c>
      <c r="D1757">
        <v>2025</v>
      </c>
      <c r="E1757" t="s">
        <v>142</v>
      </c>
      <c r="F1757">
        <v>620.6</v>
      </c>
    </row>
    <row r="1758" spans="3:6" x14ac:dyDescent="0.25">
      <c r="C1758" t="s">
        <v>122</v>
      </c>
      <c r="D1758">
        <v>2025</v>
      </c>
      <c r="E1758" t="s">
        <v>143</v>
      </c>
      <c r="F1758">
        <v>3403.28</v>
      </c>
    </row>
    <row r="1759" spans="3:6" x14ac:dyDescent="0.25">
      <c r="C1759" t="s">
        <v>122</v>
      </c>
      <c r="D1759">
        <v>2025</v>
      </c>
      <c r="E1759" t="s">
        <v>144</v>
      </c>
      <c r="F1759">
        <v>1818.85</v>
      </c>
    </row>
    <row r="1760" spans="3:6" x14ac:dyDescent="0.25">
      <c r="C1760" t="s">
        <v>122</v>
      </c>
      <c r="D1760">
        <v>2025</v>
      </c>
      <c r="E1760" t="s">
        <v>145</v>
      </c>
      <c r="F1760">
        <v>136.63</v>
      </c>
    </row>
    <row r="1761" spans="3:6" x14ac:dyDescent="0.25">
      <c r="C1761" t="s">
        <v>122</v>
      </c>
      <c r="D1761">
        <v>2026</v>
      </c>
      <c r="E1761" t="s">
        <v>142</v>
      </c>
      <c r="F1761">
        <v>660.7</v>
      </c>
    </row>
    <row r="1762" spans="3:6" x14ac:dyDescent="0.25">
      <c r="C1762" t="s">
        <v>122</v>
      </c>
      <c r="D1762">
        <v>2026</v>
      </c>
      <c r="E1762" t="s">
        <v>143</v>
      </c>
      <c r="F1762">
        <v>3570.55</v>
      </c>
    </row>
    <row r="1763" spans="3:6" x14ac:dyDescent="0.25">
      <c r="C1763" t="s">
        <v>122</v>
      </c>
      <c r="D1763">
        <v>2026</v>
      </c>
      <c r="E1763" t="s">
        <v>144</v>
      </c>
      <c r="F1763">
        <v>1958.92</v>
      </c>
    </row>
    <row r="1764" spans="3:6" x14ac:dyDescent="0.25">
      <c r="C1764" t="s">
        <v>122</v>
      </c>
      <c r="D1764">
        <v>2026</v>
      </c>
      <c r="E1764" t="s">
        <v>145</v>
      </c>
      <c r="F1764">
        <v>144.18</v>
      </c>
    </row>
    <row r="1765" spans="3:6" x14ac:dyDescent="0.25">
      <c r="C1765" t="s">
        <v>122</v>
      </c>
      <c r="D1765">
        <v>2027</v>
      </c>
      <c r="E1765" t="s">
        <v>142</v>
      </c>
      <c r="F1765">
        <v>702.28</v>
      </c>
    </row>
    <row r="1766" spans="3:6" x14ac:dyDescent="0.25">
      <c r="C1766" t="s">
        <v>122</v>
      </c>
      <c r="D1766">
        <v>2027</v>
      </c>
      <c r="E1766" t="s">
        <v>143</v>
      </c>
      <c r="F1766">
        <v>3763.48</v>
      </c>
    </row>
    <row r="1767" spans="3:6" x14ac:dyDescent="0.25">
      <c r="C1767" t="s">
        <v>122</v>
      </c>
      <c r="D1767">
        <v>2027</v>
      </c>
      <c r="E1767" t="s">
        <v>144</v>
      </c>
      <c r="F1767">
        <v>2110.75</v>
      </c>
    </row>
    <row r="1768" spans="3:6" x14ac:dyDescent="0.25">
      <c r="C1768" t="s">
        <v>122</v>
      </c>
      <c r="D1768">
        <v>2027</v>
      </c>
      <c r="E1768" t="s">
        <v>145</v>
      </c>
      <c r="F1768">
        <v>154.37</v>
      </c>
    </row>
    <row r="1769" spans="3:6" x14ac:dyDescent="0.25">
      <c r="C1769" t="s">
        <v>122</v>
      </c>
      <c r="D1769">
        <v>2028</v>
      </c>
      <c r="E1769" t="s">
        <v>142</v>
      </c>
      <c r="F1769">
        <v>745.35</v>
      </c>
    </row>
    <row r="1770" spans="3:6" x14ac:dyDescent="0.25">
      <c r="C1770" t="s">
        <v>122</v>
      </c>
      <c r="D1770">
        <v>2028</v>
      </c>
      <c r="E1770" t="s">
        <v>143</v>
      </c>
      <c r="F1770">
        <v>3947.84</v>
      </c>
    </row>
    <row r="1771" spans="3:6" x14ac:dyDescent="0.25">
      <c r="C1771" t="s">
        <v>122</v>
      </c>
      <c r="D1771">
        <v>2028</v>
      </c>
      <c r="E1771" t="s">
        <v>144</v>
      </c>
      <c r="F1771">
        <v>2274.7399999999998</v>
      </c>
    </row>
    <row r="1772" spans="3:6" x14ac:dyDescent="0.25">
      <c r="C1772" t="s">
        <v>122</v>
      </c>
      <c r="D1772">
        <v>2028</v>
      </c>
      <c r="E1772" t="s">
        <v>145</v>
      </c>
      <c r="F1772">
        <v>166.24</v>
      </c>
    </row>
    <row r="1773" spans="3:6" x14ac:dyDescent="0.25">
      <c r="C1773" t="s">
        <v>122</v>
      </c>
      <c r="D1773">
        <v>2029</v>
      </c>
      <c r="E1773" t="s">
        <v>142</v>
      </c>
      <c r="F1773">
        <v>789.81</v>
      </c>
    </row>
    <row r="1774" spans="3:6" x14ac:dyDescent="0.25">
      <c r="C1774" t="s">
        <v>122</v>
      </c>
      <c r="D1774">
        <v>2029</v>
      </c>
      <c r="E1774" t="s">
        <v>143</v>
      </c>
      <c r="F1774">
        <v>4161.3999999999996</v>
      </c>
    </row>
    <row r="1775" spans="3:6" x14ac:dyDescent="0.25">
      <c r="C1775" t="s">
        <v>122</v>
      </c>
      <c r="D1775">
        <v>2029</v>
      </c>
      <c r="E1775" t="s">
        <v>144</v>
      </c>
      <c r="F1775">
        <v>2451.1</v>
      </c>
    </row>
    <row r="1776" spans="3:6" x14ac:dyDescent="0.25">
      <c r="C1776" t="s">
        <v>122</v>
      </c>
      <c r="D1776">
        <v>2029</v>
      </c>
      <c r="E1776" t="s">
        <v>145</v>
      </c>
      <c r="F1776">
        <v>179.71</v>
      </c>
    </row>
    <row r="1777" spans="3:6" x14ac:dyDescent="0.25">
      <c r="C1777" t="s">
        <v>122</v>
      </c>
      <c r="D1777">
        <v>2030</v>
      </c>
      <c r="E1777" t="s">
        <v>142</v>
      </c>
      <c r="F1777">
        <v>835.45</v>
      </c>
    </row>
    <row r="1778" spans="3:6" x14ac:dyDescent="0.25">
      <c r="C1778" t="s">
        <v>122</v>
      </c>
      <c r="D1778">
        <v>2030</v>
      </c>
      <c r="E1778" t="s">
        <v>143</v>
      </c>
      <c r="F1778">
        <v>4364.5</v>
      </c>
    </row>
    <row r="1779" spans="3:6" x14ac:dyDescent="0.25">
      <c r="C1779" t="s">
        <v>122</v>
      </c>
      <c r="D1779">
        <v>2030</v>
      </c>
      <c r="E1779" t="s">
        <v>144</v>
      </c>
      <c r="F1779">
        <v>2638.08</v>
      </c>
    </row>
    <row r="1780" spans="3:6" x14ac:dyDescent="0.25">
      <c r="C1780" t="s">
        <v>122</v>
      </c>
      <c r="D1780">
        <v>2030</v>
      </c>
      <c r="E1780" t="s">
        <v>145</v>
      </c>
      <c r="F1780">
        <v>195.28</v>
      </c>
    </row>
    <row r="1781" spans="3:6" x14ac:dyDescent="0.25">
      <c r="C1781" t="s">
        <v>122</v>
      </c>
      <c r="D1781">
        <v>2031</v>
      </c>
      <c r="E1781" t="s">
        <v>142</v>
      </c>
      <c r="F1781">
        <v>883.09</v>
      </c>
    </row>
    <row r="1782" spans="3:6" x14ac:dyDescent="0.25">
      <c r="C1782" t="s">
        <v>122</v>
      </c>
      <c r="D1782">
        <v>2031</v>
      </c>
      <c r="E1782" t="s">
        <v>143</v>
      </c>
      <c r="F1782">
        <v>4585.5600000000004</v>
      </c>
    </row>
    <row r="1783" spans="3:6" x14ac:dyDescent="0.25">
      <c r="C1783" t="s">
        <v>122</v>
      </c>
      <c r="D1783">
        <v>2031</v>
      </c>
      <c r="E1783" t="s">
        <v>144</v>
      </c>
      <c r="F1783">
        <v>2843.65</v>
      </c>
    </row>
    <row r="1784" spans="3:6" x14ac:dyDescent="0.25">
      <c r="C1784" t="s">
        <v>122</v>
      </c>
      <c r="D1784">
        <v>2031</v>
      </c>
      <c r="E1784" t="s">
        <v>145</v>
      </c>
      <c r="F1784">
        <v>212.91</v>
      </c>
    </row>
    <row r="1785" spans="3:6" x14ac:dyDescent="0.25">
      <c r="C1785" t="s">
        <v>122</v>
      </c>
      <c r="D1785">
        <v>2032</v>
      </c>
      <c r="E1785" t="s">
        <v>142</v>
      </c>
      <c r="F1785">
        <v>930.52</v>
      </c>
    </row>
    <row r="1786" spans="3:6" x14ac:dyDescent="0.25">
      <c r="C1786" t="s">
        <v>122</v>
      </c>
      <c r="D1786">
        <v>2032</v>
      </c>
      <c r="E1786" t="s">
        <v>143</v>
      </c>
      <c r="F1786">
        <v>4766.24</v>
      </c>
    </row>
    <row r="1787" spans="3:6" x14ac:dyDescent="0.25">
      <c r="C1787" t="s">
        <v>122</v>
      </c>
      <c r="D1787">
        <v>2032</v>
      </c>
      <c r="E1787" t="s">
        <v>144</v>
      </c>
      <c r="F1787">
        <v>3057.39</v>
      </c>
    </row>
    <row r="1788" spans="3:6" x14ac:dyDescent="0.25">
      <c r="C1788" t="s">
        <v>122</v>
      </c>
      <c r="D1788">
        <v>2032</v>
      </c>
      <c r="E1788" t="s">
        <v>145</v>
      </c>
      <c r="F1788">
        <v>233.97</v>
      </c>
    </row>
    <row r="1789" spans="3:6" x14ac:dyDescent="0.25">
      <c r="C1789" t="s">
        <v>122</v>
      </c>
      <c r="D1789">
        <v>2033</v>
      </c>
      <c r="E1789" t="s">
        <v>142</v>
      </c>
      <c r="F1789">
        <v>978.15</v>
      </c>
    </row>
    <row r="1790" spans="3:6" x14ac:dyDescent="0.25">
      <c r="C1790" t="s">
        <v>122</v>
      </c>
      <c r="D1790">
        <v>2033</v>
      </c>
      <c r="E1790" t="s">
        <v>143</v>
      </c>
      <c r="F1790">
        <v>4984.82</v>
      </c>
    </row>
    <row r="1791" spans="3:6" x14ac:dyDescent="0.25">
      <c r="C1791" t="s">
        <v>122</v>
      </c>
      <c r="D1791">
        <v>2033</v>
      </c>
      <c r="E1791" t="s">
        <v>144</v>
      </c>
      <c r="F1791">
        <v>3281.41</v>
      </c>
    </row>
    <row r="1792" spans="3:6" x14ac:dyDescent="0.25">
      <c r="C1792" t="s">
        <v>122</v>
      </c>
      <c r="D1792">
        <v>2033</v>
      </c>
      <c r="E1792" t="s">
        <v>145</v>
      </c>
      <c r="F1792">
        <v>258.63</v>
      </c>
    </row>
    <row r="1793" spans="3:6" x14ac:dyDescent="0.25">
      <c r="C1793" t="s">
        <v>122</v>
      </c>
      <c r="D1793">
        <v>2034</v>
      </c>
      <c r="E1793" t="s">
        <v>142</v>
      </c>
      <c r="F1793">
        <v>1025.83</v>
      </c>
    </row>
    <row r="1794" spans="3:6" x14ac:dyDescent="0.25">
      <c r="C1794" t="s">
        <v>122</v>
      </c>
      <c r="D1794">
        <v>2034</v>
      </c>
      <c r="E1794" t="s">
        <v>143</v>
      </c>
      <c r="F1794">
        <v>5153.2700000000004</v>
      </c>
    </row>
    <row r="1795" spans="3:6" x14ac:dyDescent="0.25">
      <c r="C1795" t="s">
        <v>122</v>
      </c>
      <c r="D1795">
        <v>2034</v>
      </c>
      <c r="E1795" t="s">
        <v>144</v>
      </c>
      <c r="F1795">
        <v>3515.41</v>
      </c>
    </row>
    <row r="1796" spans="3:6" x14ac:dyDescent="0.25">
      <c r="C1796" t="s">
        <v>122</v>
      </c>
      <c r="D1796">
        <v>2034</v>
      </c>
      <c r="E1796" t="s">
        <v>145</v>
      </c>
      <c r="F1796">
        <v>287.95</v>
      </c>
    </row>
    <row r="1797" spans="3:6" x14ac:dyDescent="0.25">
      <c r="C1797" t="s">
        <v>122</v>
      </c>
      <c r="D1797">
        <v>2035</v>
      </c>
      <c r="E1797" t="s">
        <v>142</v>
      </c>
      <c r="F1797">
        <v>1074.04</v>
      </c>
    </row>
    <row r="1798" spans="3:6" x14ac:dyDescent="0.25">
      <c r="C1798" t="s">
        <v>122</v>
      </c>
      <c r="D1798">
        <v>2035</v>
      </c>
      <c r="E1798" t="s">
        <v>143</v>
      </c>
      <c r="F1798">
        <v>5332.36</v>
      </c>
    </row>
    <row r="1799" spans="3:6" x14ac:dyDescent="0.25">
      <c r="C1799" t="s">
        <v>122</v>
      </c>
      <c r="D1799">
        <v>2035</v>
      </c>
      <c r="E1799" t="s">
        <v>144</v>
      </c>
      <c r="F1799">
        <v>3762.88</v>
      </c>
    </row>
    <row r="1800" spans="3:6" x14ac:dyDescent="0.25">
      <c r="C1800" t="s">
        <v>122</v>
      </c>
      <c r="D1800">
        <v>2035</v>
      </c>
      <c r="E1800" t="s">
        <v>145</v>
      </c>
      <c r="F1800">
        <v>323.87</v>
      </c>
    </row>
    <row r="1801" spans="3:6" x14ac:dyDescent="0.25">
      <c r="C1801" t="s">
        <v>122</v>
      </c>
      <c r="D1801">
        <v>2036</v>
      </c>
      <c r="E1801" t="s">
        <v>142</v>
      </c>
      <c r="F1801">
        <v>1117.75</v>
      </c>
    </row>
    <row r="1802" spans="3:6" x14ac:dyDescent="0.25">
      <c r="C1802" t="s">
        <v>122</v>
      </c>
      <c r="D1802">
        <v>2036</v>
      </c>
      <c r="E1802" t="s">
        <v>143</v>
      </c>
      <c r="F1802">
        <v>5524.46</v>
      </c>
    </row>
    <row r="1803" spans="3:6" x14ac:dyDescent="0.25">
      <c r="C1803" t="s">
        <v>122</v>
      </c>
      <c r="D1803">
        <v>2036</v>
      </c>
      <c r="E1803" t="s">
        <v>144</v>
      </c>
      <c r="F1803">
        <v>3960.66</v>
      </c>
    </row>
    <row r="1804" spans="3:6" x14ac:dyDescent="0.25">
      <c r="C1804" t="s">
        <v>122</v>
      </c>
      <c r="D1804">
        <v>2036</v>
      </c>
      <c r="E1804" t="s">
        <v>145</v>
      </c>
      <c r="F1804">
        <v>358.79</v>
      </c>
    </row>
    <row r="1805" spans="3:6" x14ac:dyDescent="0.25">
      <c r="C1805" t="s">
        <v>122</v>
      </c>
      <c r="D1805">
        <v>2037</v>
      </c>
      <c r="E1805" t="s">
        <v>142</v>
      </c>
      <c r="F1805">
        <v>1162.08</v>
      </c>
    </row>
    <row r="1806" spans="3:6" x14ac:dyDescent="0.25">
      <c r="C1806" t="s">
        <v>122</v>
      </c>
      <c r="D1806">
        <v>2037</v>
      </c>
      <c r="E1806" t="s">
        <v>143</v>
      </c>
      <c r="F1806">
        <v>5698.35</v>
      </c>
    </row>
    <row r="1807" spans="3:6" x14ac:dyDescent="0.25">
      <c r="C1807" t="s">
        <v>122</v>
      </c>
      <c r="D1807">
        <v>2037</v>
      </c>
      <c r="E1807" t="s">
        <v>144</v>
      </c>
      <c r="F1807">
        <v>4164.8900000000003</v>
      </c>
    </row>
    <row r="1808" spans="3:6" x14ac:dyDescent="0.25">
      <c r="C1808" t="s">
        <v>122</v>
      </c>
      <c r="D1808">
        <v>2037</v>
      </c>
      <c r="E1808" t="s">
        <v>145</v>
      </c>
      <c r="F1808">
        <v>394.92</v>
      </c>
    </row>
    <row r="1809" spans="3:6" x14ac:dyDescent="0.25">
      <c r="C1809" t="s">
        <v>122</v>
      </c>
      <c r="D1809">
        <v>2038</v>
      </c>
      <c r="E1809" t="s">
        <v>142</v>
      </c>
      <c r="F1809">
        <v>1206.96</v>
      </c>
    </row>
    <row r="1810" spans="3:6" x14ac:dyDescent="0.25">
      <c r="C1810" t="s">
        <v>122</v>
      </c>
      <c r="D1810">
        <v>2038</v>
      </c>
      <c r="E1810" t="s">
        <v>143</v>
      </c>
      <c r="F1810">
        <v>5889.75</v>
      </c>
    </row>
    <row r="1811" spans="3:6" x14ac:dyDescent="0.25">
      <c r="C1811" t="s">
        <v>122</v>
      </c>
      <c r="D1811">
        <v>2038</v>
      </c>
      <c r="E1811" t="s">
        <v>144</v>
      </c>
      <c r="F1811">
        <v>4377.1400000000003</v>
      </c>
    </row>
    <row r="1812" spans="3:6" x14ac:dyDescent="0.25">
      <c r="C1812" t="s">
        <v>122</v>
      </c>
      <c r="D1812">
        <v>2038</v>
      </c>
      <c r="E1812" t="s">
        <v>145</v>
      </c>
      <c r="F1812">
        <v>434.73</v>
      </c>
    </row>
    <row r="1813" spans="3:6" x14ac:dyDescent="0.25">
      <c r="C1813" t="s">
        <v>122</v>
      </c>
      <c r="D1813">
        <v>2039</v>
      </c>
      <c r="E1813" t="s">
        <v>142</v>
      </c>
      <c r="F1813">
        <v>1252.51</v>
      </c>
    </row>
    <row r="1814" spans="3:6" x14ac:dyDescent="0.25">
      <c r="C1814" t="s">
        <v>122</v>
      </c>
      <c r="D1814">
        <v>2039</v>
      </c>
      <c r="E1814" t="s">
        <v>143</v>
      </c>
      <c r="F1814">
        <v>6066.99</v>
      </c>
    </row>
    <row r="1815" spans="3:6" x14ac:dyDescent="0.25">
      <c r="C1815" t="s">
        <v>122</v>
      </c>
      <c r="D1815">
        <v>2039</v>
      </c>
      <c r="E1815" t="s">
        <v>144</v>
      </c>
      <c r="F1815">
        <v>4599.75</v>
      </c>
    </row>
    <row r="1816" spans="3:6" x14ac:dyDescent="0.25">
      <c r="C1816" t="s">
        <v>122</v>
      </c>
      <c r="D1816">
        <v>2039</v>
      </c>
      <c r="E1816" t="s">
        <v>145</v>
      </c>
      <c r="F1816">
        <v>479.1</v>
      </c>
    </row>
    <row r="1817" spans="3:6" x14ac:dyDescent="0.25">
      <c r="C1817" t="s">
        <v>122</v>
      </c>
      <c r="D1817">
        <v>2040</v>
      </c>
      <c r="E1817" t="s">
        <v>142</v>
      </c>
      <c r="F1817">
        <v>1298.28</v>
      </c>
    </row>
    <row r="1818" spans="3:6" x14ac:dyDescent="0.25">
      <c r="C1818" t="s">
        <v>122</v>
      </c>
      <c r="D1818">
        <v>2040</v>
      </c>
      <c r="E1818" t="s">
        <v>143</v>
      </c>
      <c r="F1818">
        <v>6253.02</v>
      </c>
    </row>
    <row r="1819" spans="3:6" x14ac:dyDescent="0.25">
      <c r="C1819" t="s">
        <v>122</v>
      </c>
      <c r="D1819">
        <v>2040</v>
      </c>
      <c r="E1819" t="s">
        <v>144</v>
      </c>
      <c r="F1819">
        <v>4826.38</v>
      </c>
    </row>
    <row r="1820" spans="3:6" x14ac:dyDescent="0.25">
      <c r="C1820" t="s">
        <v>122</v>
      </c>
      <c r="D1820">
        <v>2040</v>
      </c>
      <c r="E1820" t="s">
        <v>145</v>
      </c>
      <c r="F1820">
        <v>527.12</v>
      </c>
    </row>
    <row r="1821" spans="3:6" x14ac:dyDescent="0.25">
      <c r="C1821" t="s">
        <v>122</v>
      </c>
      <c r="D1821">
        <v>2041</v>
      </c>
      <c r="E1821" t="s">
        <v>142</v>
      </c>
      <c r="F1821">
        <v>1345.4</v>
      </c>
    </row>
    <row r="1822" spans="3:6" x14ac:dyDescent="0.25">
      <c r="C1822" t="s">
        <v>122</v>
      </c>
      <c r="D1822">
        <v>2041</v>
      </c>
      <c r="E1822" t="s">
        <v>143</v>
      </c>
      <c r="F1822">
        <v>6440.35</v>
      </c>
    </row>
    <row r="1823" spans="3:6" x14ac:dyDescent="0.25">
      <c r="C1823" t="s">
        <v>122</v>
      </c>
      <c r="D1823">
        <v>2041</v>
      </c>
      <c r="E1823" t="s">
        <v>144</v>
      </c>
      <c r="F1823">
        <v>5073.1499999999996</v>
      </c>
    </row>
    <row r="1824" spans="3:6" x14ac:dyDescent="0.25">
      <c r="C1824" t="s">
        <v>122</v>
      </c>
      <c r="D1824">
        <v>2041</v>
      </c>
      <c r="E1824" t="s">
        <v>145</v>
      </c>
      <c r="F1824">
        <v>579.4</v>
      </c>
    </row>
    <row r="1825" spans="3:6" x14ac:dyDescent="0.25">
      <c r="C1825" t="s">
        <v>122</v>
      </c>
      <c r="D1825">
        <v>2042</v>
      </c>
      <c r="E1825" t="s">
        <v>142</v>
      </c>
      <c r="F1825">
        <v>1392.95</v>
      </c>
    </row>
    <row r="1826" spans="3:6" x14ac:dyDescent="0.25">
      <c r="C1826" t="s">
        <v>122</v>
      </c>
      <c r="D1826">
        <v>2042</v>
      </c>
      <c r="E1826" t="s">
        <v>143</v>
      </c>
      <c r="F1826">
        <v>6624.61</v>
      </c>
    </row>
    <row r="1827" spans="3:6" x14ac:dyDescent="0.25">
      <c r="C1827" t="s">
        <v>122</v>
      </c>
      <c r="D1827">
        <v>2042</v>
      </c>
      <c r="E1827" t="s">
        <v>144</v>
      </c>
      <c r="F1827">
        <v>5330.54</v>
      </c>
    </row>
    <row r="1828" spans="3:6" x14ac:dyDescent="0.25">
      <c r="C1828" t="s">
        <v>122</v>
      </c>
      <c r="D1828">
        <v>2042</v>
      </c>
      <c r="E1828" t="s">
        <v>145</v>
      </c>
      <c r="F1828">
        <v>633.87</v>
      </c>
    </row>
    <row r="1829" spans="3:6" x14ac:dyDescent="0.25">
      <c r="C1829" t="s">
        <v>122</v>
      </c>
      <c r="D1829">
        <v>2043</v>
      </c>
      <c r="E1829" t="s">
        <v>142</v>
      </c>
      <c r="F1829">
        <v>1441.11</v>
      </c>
    </row>
    <row r="1830" spans="3:6" x14ac:dyDescent="0.25">
      <c r="C1830" t="s">
        <v>122</v>
      </c>
      <c r="D1830">
        <v>2043</v>
      </c>
      <c r="E1830" t="s">
        <v>143</v>
      </c>
      <c r="F1830">
        <v>6805.69</v>
      </c>
    </row>
    <row r="1831" spans="3:6" x14ac:dyDescent="0.25">
      <c r="C1831" t="s">
        <v>122</v>
      </c>
      <c r="D1831">
        <v>2043</v>
      </c>
      <c r="E1831" t="s">
        <v>144</v>
      </c>
      <c r="F1831">
        <v>5597.54</v>
      </c>
    </row>
    <row r="1832" spans="3:6" x14ac:dyDescent="0.25">
      <c r="C1832" t="s">
        <v>122</v>
      </c>
      <c r="D1832">
        <v>2043</v>
      </c>
      <c r="E1832" t="s">
        <v>145</v>
      </c>
      <c r="F1832">
        <v>692.49</v>
      </c>
    </row>
    <row r="1833" spans="3:6" x14ac:dyDescent="0.25">
      <c r="C1833" t="s">
        <v>122</v>
      </c>
      <c r="D1833">
        <v>2044</v>
      </c>
      <c r="E1833" t="s">
        <v>142</v>
      </c>
      <c r="F1833">
        <v>1490.03</v>
      </c>
    </row>
    <row r="1834" spans="3:6" x14ac:dyDescent="0.25">
      <c r="C1834" t="s">
        <v>122</v>
      </c>
      <c r="D1834">
        <v>2044</v>
      </c>
      <c r="E1834" t="s">
        <v>143</v>
      </c>
      <c r="F1834">
        <v>6984.33</v>
      </c>
    </row>
    <row r="1835" spans="3:6" x14ac:dyDescent="0.25">
      <c r="C1835" t="s">
        <v>122</v>
      </c>
      <c r="D1835">
        <v>2044</v>
      </c>
      <c r="E1835" t="s">
        <v>144</v>
      </c>
      <c r="F1835">
        <v>5878.21</v>
      </c>
    </row>
    <row r="1836" spans="3:6" x14ac:dyDescent="0.25">
      <c r="C1836" t="s">
        <v>122</v>
      </c>
      <c r="D1836">
        <v>2044</v>
      </c>
      <c r="E1836" t="s">
        <v>145</v>
      </c>
      <c r="F1836">
        <v>756.47</v>
      </c>
    </row>
    <row r="1837" spans="3:6" x14ac:dyDescent="0.25">
      <c r="C1837" t="s">
        <v>122</v>
      </c>
      <c r="D1837">
        <v>2045</v>
      </c>
      <c r="E1837" t="s">
        <v>142</v>
      </c>
      <c r="F1837">
        <v>1539.57</v>
      </c>
    </row>
    <row r="1838" spans="3:6" x14ac:dyDescent="0.25">
      <c r="C1838" t="s">
        <v>122</v>
      </c>
      <c r="D1838">
        <v>2045</v>
      </c>
      <c r="E1838" t="s">
        <v>143</v>
      </c>
      <c r="F1838">
        <v>7147.26</v>
      </c>
    </row>
    <row r="1839" spans="3:6" x14ac:dyDescent="0.25">
      <c r="C1839" t="s">
        <v>122</v>
      </c>
      <c r="D1839">
        <v>2045</v>
      </c>
      <c r="E1839" t="s">
        <v>144</v>
      </c>
      <c r="F1839">
        <v>6171.68</v>
      </c>
    </row>
    <row r="1840" spans="3:6" x14ac:dyDescent="0.25">
      <c r="C1840" t="s">
        <v>122</v>
      </c>
      <c r="D1840">
        <v>2045</v>
      </c>
      <c r="E1840" t="s">
        <v>145</v>
      </c>
      <c r="F1840">
        <v>825.29</v>
      </c>
    </row>
    <row r="1841" spans="3:6" x14ac:dyDescent="0.25">
      <c r="C1841" t="s">
        <v>122</v>
      </c>
      <c r="D1841">
        <v>2046</v>
      </c>
      <c r="E1841" t="s">
        <v>142</v>
      </c>
      <c r="F1841">
        <v>1586.77</v>
      </c>
    </row>
    <row r="1842" spans="3:6" x14ac:dyDescent="0.25">
      <c r="C1842" t="s">
        <v>122</v>
      </c>
      <c r="D1842">
        <v>2046</v>
      </c>
      <c r="E1842" t="s">
        <v>143</v>
      </c>
      <c r="F1842">
        <v>7329.18</v>
      </c>
    </row>
    <row r="1843" spans="3:6" x14ac:dyDescent="0.25">
      <c r="C1843" t="s">
        <v>122</v>
      </c>
      <c r="D1843">
        <v>2046</v>
      </c>
      <c r="E1843" t="s">
        <v>144</v>
      </c>
      <c r="F1843">
        <v>6429.97</v>
      </c>
    </row>
    <row r="1844" spans="3:6" x14ac:dyDescent="0.25">
      <c r="C1844" t="s">
        <v>122</v>
      </c>
      <c r="D1844">
        <v>2046</v>
      </c>
      <c r="E1844" t="s">
        <v>145</v>
      </c>
      <c r="F1844">
        <v>899.34</v>
      </c>
    </row>
    <row r="1845" spans="3:6" x14ac:dyDescent="0.25">
      <c r="C1845" t="s">
        <v>122</v>
      </c>
      <c r="D1845">
        <v>2047</v>
      </c>
      <c r="E1845" t="s">
        <v>142</v>
      </c>
      <c r="F1845">
        <v>1634.15</v>
      </c>
    </row>
    <row r="1846" spans="3:6" x14ac:dyDescent="0.25">
      <c r="C1846" t="s">
        <v>122</v>
      </c>
      <c r="D1846">
        <v>2047</v>
      </c>
      <c r="E1846" t="s">
        <v>143</v>
      </c>
      <c r="F1846">
        <v>7480.58</v>
      </c>
    </row>
    <row r="1847" spans="3:6" x14ac:dyDescent="0.25">
      <c r="C1847" t="s">
        <v>122</v>
      </c>
      <c r="D1847">
        <v>2047</v>
      </c>
      <c r="E1847" t="s">
        <v>144</v>
      </c>
      <c r="F1847">
        <v>6695.44</v>
      </c>
    </row>
    <row r="1848" spans="3:6" x14ac:dyDescent="0.25">
      <c r="C1848" t="s">
        <v>122</v>
      </c>
      <c r="D1848">
        <v>2047</v>
      </c>
      <c r="E1848" t="s">
        <v>145</v>
      </c>
      <c r="F1848">
        <v>977.94</v>
      </c>
    </row>
    <row r="1849" spans="3:6" x14ac:dyDescent="0.25">
      <c r="C1849" t="s">
        <v>122</v>
      </c>
      <c r="D1849">
        <v>2048</v>
      </c>
      <c r="E1849" t="s">
        <v>142</v>
      </c>
      <c r="F1849">
        <v>1681.62</v>
      </c>
    </row>
    <row r="1850" spans="3:6" x14ac:dyDescent="0.25">
      <c r="C1850" t="s">
        <v>122</v>
      </c>
      <c r="D1850">
        <v>2048</v>
      </c>
      <c r="E1850" t="s">
        <v>143</v>
      </c>
      <c r="F1850">
        <v>7654.82</v>
      </c>
    </row>
    <row r="1851" spans="3:6" x14ac:dyDescent="0.25">
      <c r="C1851" t="s">
        <v>122</v>
      </c>
      <c r="D1851">
        <v>2048</v>
      </c>
      <c r="E1851" t="s">
        <v>144</v>
      </c>
      <c r="F1851">
        <v>6968.7</v>
      </c>
    </row>
    <row r="1852" spans="3:6" x14ac:dyDescent="0.25">
      <c r="C1852" t="s">
        <v>122</v>
      </c>
      <c r="D1852">
        <v>2048</v>
      </c>
      <c r="E1852" t="s">
        <v>145</v>
      </c>
      <c r="F1852">
        <v>1060.27</v>
      </c>
    </row>
    <row r="1853" spans="3:6" x14ac:dyDescent="0.25">
      <c r="C1853" t="s">
        <v>122</v>
      </c>
      <c r="D1853">
        <v>2049</v>
      </c>
      <c r="E1853" t="s">
        <v>142</v>
      </c>
      <c r="F1853">
        <v>1729.18</v>
      </c>
    </row>
    <row r="1854" spans="3:6" x14ac:dyDescent="0.25">
      <c r="C1854" t="s">
        <v>122</v>
      </c>
      <c r="D1854">
        <v>2049</v>
      </c>
      <c r="E1854" t="s">
        <v>143</v>
      </c>
      <c r="F1854">
        <v>7798.95</v>
      </c>
    </row>
    <row r="1855" spans="3:6" x14ac:dyDescent="0.25">
      <c r="C1855" t="s">
        <v>122</v>
      </c>
      <c r="D1855">
        <v>2049</v>
      </c>
      <c r="E1855" t="s">
        <v>144</v>
      </c>
      <c r="F1855">
        <v>7246.76</v>
      </c>
    </row>
    <row r="1856" spans="3:6" x14ac:dyDescent="0.25">
      <c r="C1856" t="s">
        <v>122</v>
      </c>
      <c r="D1856">
        <v>2049</v>
      </c>
      <c r="E1856" t="s">
        <v>145</v>
      </c>
      <c r="F1856">
        <v>1145.8599999999999</v>
      </c>
    </row>
    <row r="1857" spans="3:6" x14ac:dyDescent="0.25">
      <c r="C1857" t="s">
        <v>122</v>
      </c>
      <c r="D1857">
        <v>2050</v>
      </c>
      <c r="E1857" t="s">
        <v>142</v>
      </c>
      <c r="F1857">
        <v>1776.12</v>
      </c>
    </row>
    <row r="1858" spans="3:6" x14ac:dyDescent="0.25">
      <c r="C1858" t="s">
        <v>122</v>
      </c>
      <c r="D1858">
        <v>2050</v>
      </c>
      <c r="E1858" t="s">
        <v>143</v>
      </c>
      <c r="F1858">
        <v>7955.65</v>
      </c>
    </row>
    <row r="1859" spans="3:6" x14ac:dyDescent="0.25">
      <c r="C1859" t="s">
        <v>122</v>
      </c>
      <c r="D1859">
        <v>2050</v>
      </c>
      <c r="E1859" t="s">
        <v>144</v>
      </c>
      <c r="F1859">
        <v>7529.13</v>
      </c>
    </row>
    <row r="1860" spans="3:6" x14ac:dyDescent="0.25">
      <c r="C1860" t="s">
        <v>122</v>
      </c>
      <c r="D1860">
        <v>2050</v>
      </c>
      <c r="E1860" t="s">
        <v>145</v>
      </c>
      <c r="F1860">
        <v>1233.9000000000001</v>
      </c>
    </row>
    <row r="1861" spans="3:6" x14ac:dyDescent="0.25">
      <c r="C1861" t="s">
        <v>123</v>
      </c>
      <c r="D1861">
        <v>2010</v>
      </c>
      <c r="E1861" t="s">
        <v>142</v>
      </c>
      <c r="F1861">
        <v>1351.47</v>
      </c>
    </row>
    <row r="1862" spans="3:6" x14ac:dyDescent="0.25">
      <c r="C1862" t="s">
        <v>123</v>
      </c>
      <c r="D1862">
        <v>2010</v>
      </c>
      <c r="E1862" t="s">
        <v>143</v>
      </c>
      <c r="F1862">
        <v>993.15</v>
      </c>
    </row>
    <row r="1863" spans="3:6" x14ac:dyDescent="0.25">
      <c r="C1863" t="s">
        <v>123</v>
      </c>
      <c r="D1863">
        <v>2010</v>
      </c>
      <c r="E1863" t="s">
        <v>144</v>
      </c>
      <c r="F1863">
        <v>1203.4000000000001</v>
      </c>
    </row>
    <row r="1864" spans="3:6" x14ac:dyDescent="0.25">
      <c r="C1864" t="s">
        <v>123</v>
      </c>
      <c r="D1864">
        <v>2010</v>
      </c>
      <c r="E1864" t="s">
        <v>145</v>
      </c>
      <c r="F1864">
        <v>73.36</v>
      </c>
    </row>
    <row r="1865" spans="3:6" x14ac:dyDescent="0.25">
      <c r="C1865" t="s">
        <v>123</v>
      </c>
      <c r="D1865">
        <v>2011</v>
      </c>
      <c r="E1865" t="s">
        <v>142</v>
      </c>
      <c r="F1865">
        <v>1401.75</v>
      </c>
    </row>
    <row r="1866" spans="3:6" x14ac:dyDescent="0.25">
      <c r="C1866" t="s">
        <v>123</v>
      </c>
      <c r="D1866">
        <v>2011</v>
      </c>
      <c r="E1866" t="s">
        <v>143</v>
      </c>
      <c r="F1866">
        <v>922.83</v>
      </c>
    </row>
    <row r="1867" spans="3:6" x14ac:dyDescent="0.25">
      <c r="C1867" t="s">
        <v>123</v>
      </c>
      <c r="D1867">
        <v>2011</v>
      </c>
      <c r="E1867" t="s">
        <v>144</v>
      </c>
      <c r="F1867">
        <v>1205.47</v>
      </c>
    </row>
    <row r="1868" spans="3:6" x14ac:dyDescent="0.25">
      <c r="C1868" t="s">
        <v>123</v>
      </c>
      <c r="D1868">
        <v>2011</v>
      </c>
      <c r="E1868" t="s">
        <v>145</v>
      </c>
      <c r="F1868">
        <v>75.31</v>
      </c>
    </row>
    <row r="1869" spans="3:6" x14ac:dyDescent="0.25">
      <c r="C1869" t="s">
        <v>123</v>
      </c>
      <c r="D1869">
        <v>2012</v>
      </c>
      <c r="E1869" t="s">
        <v>142</v>
      </c>
      <c r="F1869">
        <v>1289.3399999999999</v>
      </c>
    </row>
    <row r="1870" spans="3:6" x14ac:dyDescent="0.25">
      <c r="C1870" t="s">
        <v>123</v>
      </c>
      <c r="D1870">
        <v>2012</v>
      </c>
      <c r="E1870" t="s">
        <v>143</v>
      </c>
      <c r="F1870">
        <v>858.21</v>
      </c>
    </row>
    <row r="1871" spans="3:6" x14ac:dyDescent="0.25">
      <c r="C1871" t="s">
        <v>123</v>
      </c>
      <c r="D1871">
        <v>2012</v>
      </c>
      <c r="E1871" t="s">
        <v>144</v>
      </c>
      <c r="F1871">
        <v>1159.8599999999999</v>
      </c>
    </row>
    <row r="1872" spans="3:6" x14ac:dyDescent="0.25">
      <c r="C1872" t="s">
        <v>123</v>
      </c>
      <c r="D1872">
        <v>2012</v>
      </c>
      <c r="E1872" t="s">
        <v>145</v>
      </c>
      <c r="F1872">
        <v>70.819999999999993</v>
      </c>
    </row>
    <row r="1873" spans="3:6" x14ac:dyDescent="0.25">
      <c r="C1873" t="s">
        <v>123</v>
      </c>
      <c r="D1873">
        <v>2013</v>
      </c>
      <c r="E1873" t="s">
        <v>142</v>
      </c>
      <c r="F1873">
        <v>1327.23</v>
      </c>
    </row>
    <row r="1874" spans="3:6" x14ac:dyDescent="0.25">
      <c r="C1874" t="s">
        <v>123</v>
      </c>
      <c r="D1874">
        <v>2013</v>
      </c>
      <c r="E1874" t="s">
        <v>143</v>
      </c>
      <c r="F1874">
        <v>837.17</v>
      </c>
    </row>
    <row r="1875" spans="3:6" x14ac:dyDescent="0.25">
      <c r="C1875" t="s">
        <v>123</v>
      </c>
      <c r="D1875">
        <v>2013</v>
      </c>
      <c r="E1875" t="s">
        <v>144</v>
      </c>
      <c r="F1875">
        <v>1163.69</v>
      </c>
    </row>
    <row r="1876" spans="3:6" x14ac:dyDescent="0.25">
      <c r="C1876" t="s">
        <v>123</v>
      </c>
      <c r="D1876">
        <v>2013</v>
      </c>
      <c r="E1876" t="s">
        <v>145</v>
      </c>
      <c r="F1876">
        <v>72.69</v>
      </c>
    </row>
    <row r="1877" spans="3:6" x14ac:dyDescent="0.25">
      <c r="C1877" t="s">
        <v>123</v>
      </c>
      <c r="D1877">
        <v>2014</v>
      </c>
      <c r="E1877" t="s">
        <v>142</v>
      </c>
      <c r="F1877">
        <v>1351.09</v>
      </c>
    </row>
    <row r="1878" spans="3:6" x14ac:dyDescent="0.25">
      <c r="C1878" t="s">
        <v>123</v>
      </c>
      <c r="D1878">
        <v>2014</v>
      </c>
      <c r="E1878" t="s">
        <v>143</v>
      </c>
      <c r="F1878">
        <v>775.26</v>
      </c>
    </row>
    <row r="1879" spans="3:6" x14ac:dyDescent="0.25">
      <c r="C1879" t="s">
        <v>123</v>
      </c>
      <c r="D1879">
        <v>2014</v>
      </c>
      <c r="E1879" t="s">
        <v>144</v>
      </c>
      <c r="F1879">
        <v>1120.4000000000001</v>
      </c>
    </row>
    <row r="1880" spans="3:6" x14ac:dyDescent="0.25">
      <c r="C1880" t="s">
        <v>123</v>
      </c>
      <c r="D1880">
        <v>2014</v>
      </c>
      <c r="E1880" t="s">
        <v>145</v>
      </c>
      <c r="F1880">
        <v>72.83</v>
      </c>
    </row>
    <row r="1881" spans="3:6" x14ac:dyDescent="0.25">
      <c r="C1881" t="s">
        <v>123</v>
      </c>
      <c r="D1881">
        <v>2015</v>
      </c>
      <c r="E1881" t="s">
        <v>142</v>
      </c>
      <c r="F1881">
        <v>1350.27</v>
      </c>
    </row>
    <row r="1882" spans="3:6" x14ac:dyDescent="0.25">
      <c r="C1882" t="s">
        <v>123</v>
      </c>
      <c r="D1882">
        <v>2015</v>
      </c>
      <c r="E1882" t="s">
        <v>143</v>
      </c>
      <c r="F1882">
        <v>689.59</v>
      </c>
    </row>
    <row r="1883" spans="3:6" x14ac:dyDescent="0.25">
      <c r="C1883" t="s">
        <v>123</v>
      </c>
      <c r="D1883">
        <v>2015</v>
      </c>
      <c r="E1883" t="s">
        <v>144</v>
      </c>
      <c r="F1883">
        <v>1143.19</v>
      </c>
    </row>
    <row r="1884" spans="3:6" x14ac:dyDescent="0.25">
      <c r="C1884" t="s">
        <v>123</v>
      </c>
      <c r="D1884">
        <v>2015</v>
      </c>
      <c r="E1884" t="s">
        <v>145</v>
      </c>
      <c r="F1884">
        <v>74.94</v>
      </c>
    </row>
    <row r="1885" spans="3:6" x14ac:dyDescent="0.25">
      <c r="C1885" t="s">
        <v>123</v>
      </c>
      <c r="D1885">
        <v>2016</v>
      </c>
      <c r="E1885" t="s">
        <v>142</v>
      </c>
      <c r="F1885">
        <v>1213.47</v>
      </c>
    </row>
    <row r="1886" spans="3:6" x14ac:dyDescent="0.25">
      <c r="C1886" t="s">
        <v>123</v>
      </c>
      <c r="D1886">
        <v>2016</v>
      </c>
      <c r="E1886" t="s">
        <v>143</v>
      </c>
      <c r="F1886">
        <v>936.63</v>
      </c>
    </row>
    <row r="1887" spans="3:6" x14ac:dyDescent="0.25">
      <c r="C1887" t="s">
        <v>123</v>
      </c>
      <c r="D1887">
        <v>2016</v>
      </c>
      <c r="E1887" t="s">
        <v>144</v>
      </c>
      <c r="F1887">
        <v>1015.14</v>
      </c>
    </row>
    <row r="1888" spans="3:6" x14ac:dyDescent="0.25">
      <c r="C1888" t="s">
        <v>123</v>
      </c>
      <c r="D1888">
        <v>2016</v>
      </c>
      <c r="E1888" t="s">
        <v>145</v>
      </c>
      <c r="F1888">
        <v>66.319999999999993</v>
      </c>
    </row>
    <row r="1889" spans="3:6" x14ac:dyDescent="0.25">
      <c r="C1889" t="s">
        <v>123</v>
      </c>
      <c r="D1889">
        <v>2017</v>
      </c>
      <c r="E1889" t="s">
        <v>142</v>
      </c>
      <c r="F1889">
        <v>1216.6600000000001</v>
      </c>
    </row>
    <row r="1890" spans="3:6" x14ac:dyDescent="0.25">
      <c r="C1890" t="s">
        <v>123</v>
      </c>
      <c r="D1890">
        <v>2017</v>
      </c>
      <c r="E1890" t="s">
        <v>143</v>
      </c>
      <c r="F1890">
        <v>929.78</v>
      </c>
    </row>
    <row r="1891" spans="3:6" x14ac:dyDescent="0.25">
      <c r="C1891" t="s">
        <v>123</v>
      </c>
      <c r="D1891">
        <v>2017</v>
      </c>
      <c r="E1891" t="s">
        <v>144</v>
      </c>
      <c r="F1891">
        <v>1025.73</v>
      </c>
    </row>
    <row r="1892" spans="3:6" x14ac:dyDescent="0.25">
      <c r="C1892" t="s">
        <v>123</v>
      </c>
      <c r="D1892">
        <v>2017</v>
      </c>
      <c r="E1892" t="s">
        <v>145</v>
      </c>
      <c r="F1892">
        <v>65.52</v>
      </c>
    </row>
    <row r="1893" spans="3:6" x14ac:dyDescent="0.25">
      <c r="C1893" t="s">
        <v>123</v>
      </c>
      <c r="D1893">
        <v>2018</v>
      </c>
      <c r="E1893" t="s">
        <v>142</v>
      </c>
      <c r="F1893">
        <v>1230.6600000000001</v>
      </c>
    </row>
    <row r="1894" spans="3:6" x14ac:dyDescent="0.25">
      <c r="C1894" t="s">
        <v>123</v>
      </c>
      <c r="D1894">
        <v>2018</v>
      </c>
      <c r="E1894" t="s">
        <v>143</v>
      </c>
      <c r="F1894">
        <v>905.5</v>
      </c>
    </row>
    <row r="1895" spans="3:6" x14ac:dyDescent="0.25">
      <c r="C1895" t="s">
        <v>123</v>
      </c>
      <c r="D1895">
        <v>2018</v>
      </c>
      <c r="E1895" t="s">
        <v>144</v>
      </c>
      <c r="F1895">
        <v>1003.24</v>
      </c>
    </row>
    <row r="1896" spans="3:6" x14ac:dyDescent="0.25">
      <c r="C1896" t="s">
        <v>123</v>
      </c>
      <c r="D1896">
        <v>2018</v>
      </c>
      <c r="E1896" t="s">
        <v>145</v>
      </c>
      <c r="F1896">
        <v>67.17</v>
      </c>
    </row>
    <row r="1897" spans="3:6" x14ac:dyDescent="0.25">
      <c r="C1897" t="s">
        <v>123</v>
      </c>
      <c r="D1897">
        <v>2019</v>
      </c>
      <c r="E1897" t="s">
        <v>142</v>
      </c>
      <c r="F1897">
        <v>1228.0899999999999</v>
      </c>
    </row>
    <row r="1898" spans="3:6" x14ac:dyDescent="0.25">
      <c r="C1898" t="s">
        <v>123</v>
      </c>
      <c r="D1898">
        <v>2019</v>
      </c>
      <c r="E1898" t="s">
        <v>143</v>
      </c>
      <c r="F1898">
        <v>889.67</v>
      </c>
    </row>
    <row r="1899" spans="3:6" x14ac:dyDescent="0.25">
      <c r="C1899" t="s">
        <v>123</v>
      </c>
      <c r="D1899">
        <v>2019</v>
      </c>
      <c r="E1899" t="s">
        <v>144</v>
      </c>
      <c r="F1899">
        <v>1008.01</v>
      </c>
    </row>
    <row r="1900" spans="3:6" x14ac:dyDescent="0.25">
      <c r="C1900" t="s">
        <v>123</v>
      </c>
      <c r="D1900">
        <v>2019</v>
      </c>
      <c r="E1900" t="s">
        <v>145</v>
      </c>
      <c r="F1900">
        <v>102.1</v>
      </c>
    </row>
    <row r="1901" spans="3:6" x14ac:dyDescent="0.25">
      <c r="C1901" t="s">
        <v>123</v>
      </c>
      <c r="D1901">
        <v>2020</v>
      </c>
      <c r="E1901" t="s">
        <v>147</v>
      </c>
      <c r="F1901">
        <v>0.54</v>
      </c>
    </row>
    <row r="1902" spans="3:6" x14ac:dyDescent="0.25">
      <c r="C1902" t="s">
        <v>123</v>
      </c>
      <c r="D1902">
        <v>2020</v>
      </c>
      <c r="E1902" t="s">
        <v>148</v>
      </c>
      <c r="F1902">
        <v>0.03</v>
      </c>
    </row>
    <row r="1903" spans="3:6" x14ac:dyDescent="0.25">
      <c r="C1903" t="s">
        <v>123</v>
      </c>
      <c r="D1903">
        <v>2020</v>
      </c>
      <c r="E1903" t="s">
        <v>142</v>
      </c>
      <c r="F1903">
        <v>1208.43</v>
      </c>
    </row>
    <row r="1904" spans="3:6" x14ac:dyDescent="0.25">
      <c r="C1904" t="s">
        <v>123</v>
      </c>
      <c r="D1904">
        <v>2020</v>
      </c>
      <c r="E1904" t="s">
        <v>143</v>
      </c>
      <c r="F1904">
        <v>803.78</v>
      </c>
    </row>
    <row r="1905" spans="3:6" x14ac:dyDescent="0.25">
      <c r="C1905" t="s">
        <v>123</v>
      </c>
      <c r="D1905">
        <v>2020</v>
      </c>
      <c r="E1905" t="s">
        <v>144</v>
      </c>
      <c r="F1905">
        <v>1017.28</v>
      </c>
    </row>
    <row r="1906" spans="3:6" x14ac:dyDescent="0.25">
      <c r="C1906" t="s">
        <v>123</v>
      </c>
      <c r="D1906">
        <v>2020</v>
      </c>
      <c r="E1906" t="s">
        <v>145</v>
      </c>
      <c r="F1906">
        <v>78.69</v>
      </c>
    </row>
    <row r="1907" spans="3:6" x14ac:dyDescent="0.25">
      <c r="C1907" t="s">
        <v>123</v>
      </c>
      <c r="D1907">
        <v>2021</v>
      </c>
      <c r="E1907" t="s">
        <v>147</v>
      </c>
      <c r="F1907">
        <v>0.18</v>
      </c>
    </row>
    <row r="1908" spans="3:6" x14ac:dyDescent="0.25">
      <c r="C1908" t="s">
        <v>123</v>
      </c>
      <c r="D1908">
        <v>2021</v>
      </c>
      <c r="E1908" t="s">
        <v>148</v>
      </c>
      <c r="F1908">
        <v>0.01</v>
      </c>
    </row>
    <row r="1909" spans="3:6" x14ac:dyDescent="0.25">
      <c r="C1909" t="s">
        <v>123</v>
      </c>
      <c r="D1909">
        <v>2021</v>
      </c>
      <c r="E1909" t="s">
        <v>142</v>
      </c>
      <c r="F1909">
        <v>1219.0899999999999</v>
      </c>
    </row>
    <row r="1910" spans="3:6" x14ac:dyDescent="0.25">
      <c r="C1910" t="s">
        <v>123</v>
      </c>
      <c r="D1910">
        <v>2021</v>
      </c>
      <c r="E1910" t="s">
        <v>143</v>
      </c>
      <c r="F1910">
        <v>870.84</v>
      </c>
    </row>
    <row r="1911" spans="3:6" x14ac:dyDescent="0.25">
      <c r="C1911" t="s">
        <v>123</v>
      </c>
      <c r="D1911">
        <v>2021</v>
      </c>
      <c r="E1911" t="s">
        <v>144</v>
      </c>
      <c r="F1911">
        <v>999.93</v>
      </c>
    </row>
    <row r="1912" spans="3:6" x14ac:dyDescent="0.25">
      <c r="C1912" t="s">
        <v>123</v>
      </c>
      <c r="D1912">
        <v>2021</v>
      </c>
      <c r="E1912" t="s">
        <v>145</v>
      </c>
      <c r="F1912">
        <v>95.45</v>
      </c>
    </row>
    <row r="1913" spans="3:6" x14ac:dyDescent="0.25">
      <c r="C1913" t="s">
        <v>123</v>
      </c>
      <c r="D1913">
        <v>2022</v>
      </c>
      <c r="E1913" t="s">
        <v>147</v>
      </c>
      <c r="F1913">
        <v>0.05</v>
      </c>
    </row>
    <row r="1914" spans="3:6" x14ac:dyDescent="0.25">
      <c r="C1914" t="s">
        <v>123</v>
      </c>
      <c r="D1914">
        <v>2022</v>
      </c>
      <c r="E1914" t="s">
        <v>148</v>
      </c>
      <c r="F1914">
        <v>0</v>
      </c>
    </row>
    <row r="1915" spans="3:6" x14ac:dyDescent="0.25">
      <c r="C1915" t="s">
        <v>123</v>
      </c>
      <c r="D1915">
        <v>2022</v>
      </c>
      <c r="E1915" t="s">
        <v>142</v>
      </c>
      <c r="F1915">
        <v>1232.74</v>
      </c>
    </row>
    <row r="1916" spans="3:6" x14ac:dyDescent="0.25">
      <c r="C1916" t="s">
        <v>123</v>
      </c>
      <c r="D1916">
        <v>2022</v>
      </c>
      <c r="E1916" t="s">
        <v>143</v>
      </c>
      <c r="F1916">
        <v>894.36</v>
      </c>
    </row>
    <row r="1917" spans="3:6" x14ac:dyDescent="0.25">
      <c r="C1917" t="s">
        <v>123</v>
      </c>
      <c r="D1917">
        <v>2022</v>
      </c>
      <c r="E1917" t="s">
        <v>144</v>
      </c>
      <c r="F1917">
        <v>998.81</v>
      </c>
    </row>
    <row r="1918" spans="3:6" x14ac:dyDescent="0.25">
      <c r="C1918" t="s">
        <v>123</v>
      </c>
      <c r="D1918">
        <v>2022</v>
      </c>
      <c r="E1918" t="s">
        <v>145</v>
      </c>
      <c r="F1918">
        <v>109.1</v>
      </c>
    </row>
    <row r="1919" spans="3:6" x14ac:dyDescent="0.25">
      <c r="C1919" t="s">
        <v>123</v>
      </c>
      <c r="D1919">
        <v>2023</v>
      </c>
      <c r="E1919" t="s">
        <v>147</v>
      </c>
      <c r="F1919">
        <v>7.0000000000000007E-2</v>
      </c>
    </row>
    <row r="1920" spans="3:6" x14ac:dyDescent="0.25">
      <c r="C1920" t="s">
        <v>123</v>
      </c>
      <c r="D1920">
        <v>2023</v>
      </c>
      <c r="E1920" t="s">
        <v>148</v>
      </c>
      <c r="F1920">
        <v>0</v>
      </c>
    </row>
    <row r="1921" spans="3:6" x14ac:dyDescent="0.25">
      <c r="C1921" t="s">
        <v>123</v>
      </c>
      <c r="D1921">
        <v>2023</v>
      </c>
      <c r="E1921" t="s">
        <v>142</v>
      </c>
      <c r="F1921">
        <v>1241.5899999999999</v>
      </c>
    </row>
    <row r="1922" spans="3:6" x14ac:dyDescent="0.25">
      <c r="C1922" t="s">
        <v>123</v>
      </c>
      <c r="D1922">
        <v>2023</v>
      </c>
      <c r="E1922" t="s">
        <v>143</v>
      </c>
      <c r="F1922">
        <v>906.78</v>
      </c>
    </row>
    <row r="1923" spans="3:6" x14ac:dyDescent="0.25">
      <c r="C1923" t="s">
        <v>123</v>
      </c>
      <c r="D1923">
        <v>2023</v>
      </c>
      <c r="E1923" t="s">
        <v>144</v>
      </c>
      <c r="F1923">
        <v>1000.6</v>
      </c>
    </row>
    <row r="1924" spans="3:6" x14ac:dyDescent="0.25">
      <c r="C1924" t="s">
        <v>123</v>
      </c>
      <c r="D1924">
        <v>2023</v>
      </c>
      <c r="E1924" t="s">
        <v>145</v>
      </c>
      <c r="F1924">
        <v>113.89</v>
      </c>
    </row>
    <row r="1925" spans="3:6" x14ac:dyDescent="0.25">
      <c r="C1925" t="s">
        <v>123</v>
      </c>
      <c r="D1925">
        <v>2024</v>
      </c>
      <c r="E1925" t="s">
        <v>147</v>
      </c>
      <c r="F1925">
        <v>0.13</v>
      </c>
    </row>
    <row r="1926" spans="3:6" x14ac:dyDescent="0.25">
      <c r="C1926" t="s">
        <v>123</v>
      </c>
      <c r="D1926">
        <v>2024</v>
      </c>
      <c r="E1926" t="s">
        <v>148</v>
      </c>
      <c r="F1926">
        <v>0.01</v>
      </c>
    </row>
    <row r="1927" spans="3:6" x14ac:dyDescent="0.25">
      <c r="C1927" t="s">
        <v>123</v>
      </c>
      <c r="D1927">
        <v>2024</v>
      </c>
      <c r="E1927" t="s">
        <v>142</v>
      </c>
      <c r="F1927">
        <v>1248.8599999999999</v>
      </c>
    </row>
    <row r="1928" spans="3:6" x14ac:dyDescent="0.25">
      <c r="C1928" t="s">
        <v>123</v>
      </c>
      <c r="D1928">
        <v>2024</v>
      </c>
      <c r="E1928" t="s">
        <v>143</v>
      </c>
      <c r="F1928">
        <v>913.14</v>
      </c>
    </row>
    <row r="1929" spans="3:6" x14ac:dyDescent="0.25">
      <c r="C1929" t="s">
        <v>123</v>
      </c>
      <c r="D1929">
        <v>2024</v>
      </c>
      <c r="E1929" t="s">
        <v>144</v>
      </c>
      <c r="F1929">
        <v>1003.56</v>
      </c>
    </row>
    <row r="1930" spans="3:6" x14ac:dyDescent="0.25">
      <c r="C1930" t="s">
        <v>123</v>
      </c>
      <c r="D1930">
        <v>2024</v>
      </c>
      <c r="E1930" t="s">
        <v>145</v>
      </c>
      <c r="F1930">
        <v>115.73</v>
      </c>
    </row>
    <row r="1931" spans="3:6" x14ac:dyDescent="0.25">
      <c r="C1931" t="s">
        <v>123</v>
      </c>
      <c r="D1931">
        <v>2025</v>
      </c>
      <c r="E1931" t="s">
        <v>147</v>
      </c>
      <c r="F1931">
        <v>0.15</v>
      </c>
    </row>
    <row r="1932" spans="3:6" x14ac:dyDescent="0.25">
      <c r="C1932" t="s">
        <v>123</v>
      </c>
      <c r="D1932">
        <v>2025</v>
      </c>
      <c r="E1932" t="s">
        <v>148</v>
      </c>
      <c r="F1932">
        <v>0.01</v>
      </c>
    </row>
    <row r="1933" spans="3:6" x14ac:dyDescent="0.25">
      <c r="C1933" t="s">
        <v>123</v>
      </c>
      <c r="D1933">
        <v>2025</v>
      </c>
      <c r="E1933" t="s">
        <v>142</v>
      </c>
      <c r="F1933">
        <v>1255.02</v>
      </c>
    </row>
    <row r="1934" spans="3:6" x14ac:dyDescent="0.25">
      <c r="C1934" t="s">
        <v>123</v>
      </c>
      <c r="D1934">
        <v>2025</v>
      </c>
      <c r="E1934" t="s">
        <v>143</v>
      </c>
      <c r="F1934">
        <v>919.75</v>
      </c>
    </row>
    <row r="1935" spans="3:6" x14ac:dyDescent="0.25">
      <c r="C1935" t="s">
        <v>123</v>
      </c>
      <c r="D1935">
        <v>2025</v>
      </c>
      <c r="E1935" t="s">
        <v>144</v>
      </c>
      <c r="F1935">
        <v>1006.79</v>
      </c>
    </row>
    <row r="1936" spans="3:6" x14ac:dyDescent="0.25">
      <c r="C1936" t="s">
        <v>123</v>
      </c>
      <c r="D1936">
        <v>2025</v>
      </c>
      <c r="E1936" t="s">
        <v>145</v>
      </c>
      <c r="F1936">
        <v>117.37</v>
      </c>
    </row>
    <row r="1937" spans="3:6" x14ac:dyDescent="0.25">
      <c r="C1937" t="s">
        <v>123</v>
      </c>
      <c r="D1937">
        <v>2026</v>
      </c>
      <c r="E1937" t="s">
        <v>147</v>
      </c>
      <c r="F1937">
        <v>0.19</v>
      </c>
    </row>
    <row r="1938" spans="3:6" x14ac:dyDescent="0.25">
      <c r="C1938" t="s">
        <v>123</v>
      </c>
      <c r="D1938">
        <v>2026</v>
      </c>
      <c r="E1938" t="s">
        <v>148</v>
      </c>
      <c r="F1938">
        <v>0.01</v>
      </c>
    </row>
    <row r="1939" spans="3:6" x14ac:dyDescent="0.25">
      <c r="C1939" t="s">
        <v>123</v>
      </c>
      <c r="D1939">
        <v>2026</v>
      </c>
      <c r="E1939" t="s">
        <v>142</v>
      </c>
      <c r="F1939">
        <v>1260.51</v>
      </c>
    </row>
    <row r="1940" spans="3:6" x14ac:dyDescent="0.25">
      <c r="C1940" t="s">
        <v>123</v>
      </c>
      <c r="D1940">
        <v>2026</v>
      </c>
      <c r="E1940" t="s">
        <v>143</v>
      </c>
      <c r="F1940">
        <v>922.99</v>
      </c>
    </row>
    <row r="1941" spans="3:6" x14ac:dyDescent="0.25">
      <c r="C1941" t="s">
        <v>123</v>
      </c>
      <c r="D1941">
        <v>2026</v>
      </c>
      <c r="E1941" t="s">
        <v>144</v>
      </c>
      <c r="F1941">
        <v>1010.49</v>
      </c>
    </row>
    <row r="1942" spans="3:6" x14ac:dyDescent="0.25">
      <c r="C1942" t="s">
        <v>123</v>
      </c>
      <c r="D1942">
        <v>2026</v>
      </c>
      <c r="E1942" t="s">
        <v>145</v>
      </c>
      <c r="F1942">
        <v>118.68</v>
      </c>
    </row>
    <row r="1943" spans="3:6" x14ac:dyDescent="0.25">
      <c r="C1943" t="s">
        <v>123</v>
      </c>
      <c r="D1943">
        <v>2027</v>
      </c>
      <c r="E1943" t="s">
        <v>147</v>
      </c>
      <c r="F1943">
        <v>0.22</v>
      </c>
    </row>
    <row r="1944" spans="3:6" x14ac:dyDescent="0.25">
      <c r="C1944" t="s">
        <v>123</v>
      </c>
      <c r="D1944">
        <v>2027</v>
      </c>
      <c r="E1944" t="s">
        <v>148</v>
      </c>
      <c r="F1944">
        <v>0.01</v>
      </c>
    </row>
    <row r="1945" spans="3:6" x14ac:dyDescent="0.25">
      <c r="C1945" t="s">
        <v>123</v>
      </c>
      <c r="D1945">
        <v>2027</v>
      </c>
      <c r="E1945" t="s">
        <v>142</v>
      </c>
      <c r="F1945">
        <v>1265.02</v>
      </c>
    </row>
    <row r="1946" spans="3:6" x14ac:dyDescent="0.25">
      <c r="C1946" t="s">
        <v>123</v>
      </c>
      <c r="D1946">
        <v>2027</v>
      </c>
      <c r="E1946" t="s">
        <v>143</v>
      </c>
      <c r="F1946">
        <v>925.49</v>
      </c>
    </row>
    <row r="1947" spans="3:6" x14ac:dyDescent="0.25">
      <c r="C1947" t="s">
        <v>123</v>
      </c>
      <c r="D1947">
        <v>2027</v>
      </c>
      <c r="E1947" t="s">
        <v>144</v>
      </c>
      <c r="F1947">
        <v>1014.11</v>
      </c>
    </row>
    <row r="1948" spans="3:6" x14ac:dyDescent="0.25">
      <c r="C1948" t="s">
        <v>123</v>
      </c>
      <c r="D1948">
        <v>2027</v>
      </c>
      <c r="E1948" t="s">
        <v>145</v>
      </c>
      <c r="F1948">
        <v>120.63</v>
      </c>
    </row>
    <row r="1949" spans="3:6" x14ac:dyDescent="0.25">
      <c r="C1949" t="s">
        <v>123</v>
      </c>
      <c r="D1949">
        <v>2028</v>
      </c>
      <c r="E1949" t="s">
        <v>147</v>
      </c>
      <c r="F1949">
        <v>0.25</v>
      </c>
    </row>
    <row r="1950" spans="3:6" x14ac:dyDescent="0.25">
      <c r="C1950" t="s">
        <v>123</v>
      </c>
      <c r="D1950">
        <v>2028</v>
      </c>
      <c r="E1950" t="s">
        <v>148</v>
      </c>
      <c r="F1950">
        <v>0.01</v>
      </c>
    </row>
    <row r="1951" spans="3:6" x14ac:dyDescent="0.25">
      <c r="C1951" t="s">
        <v>123</v>
      </c>
      <c r="D1951">
        <v>2028</v>
      </c>
      <c r="E1951" t="s">
        <v>142</v>
      </c>
      <c r="F1951">
        <v>1268.58</v>
      </c>
    </row>
    <row r="1952" spans="3:6" x14ac:dyDescent="0.25">
      <c r="C1952" t="s">
        <v>123</v>
      </c>
      <c r="D1952">
        <v>2028</v>
      </c>
      <c r="E1952" t="s">
        <v>143</v>
      </c>
      <c r="F1952">
        <v>925.17</v>
      </c>
    </row>
    <row r="1953" spans="3:6" x14ac:dyDescent="0.25">
      <c r="C1953" t="s">
        <v>123</v>
      </c>
      <c r="D1953">
        <v>2028</v>
      </c>
      <c r="E1953" t="s">
        <v>144</v>
      </c>
      <c r="F1953">
        <v>1017.29</v>
      </c>
    </row>
    <row r="1954" spans="3:6" x14ac:dyDescent="0.25">
      <c r="C1954" t="s">
        <v>123</v>
      </c>
      <c r="D1954">
        <v>2028</v>
      </c>
      <c r="E1954" t="s">
        <v>145</v>
      </c>
      <c r="F1954">
        <v>123.15</v>
      </c>
    </row>
    <row r="1955" spans="3:6" x14ac:dyDescent="0.25">
      <c r="C1955" t="s">
        <v>123</v>
      </c>
      <c r="D1955">
        <v>2029</v>
      </c>
      <c r="E1955" t="s">
        <v>147</v>
      </c>
      <c r="F1955">
        <v>0.27</v>
      </c>
    </row>
    <row r="1956" spans="3:6" x14ac:dyDescent="0.25">
      <c r="C1956" t="s">
        <v>123</v>
      </c>
      <c r="D1956">
        <v>2029</v>
      </c>
      <c r="E1956" t="s">
        <v>148</v>
      </c>
      <c r="F1956">
        <v>0.01</v>
      </c>
    </row>
    <row r="1957" spans="3:6" x14ac:dyDescent="0.25">
      <c r="C1957" t="s">
        <v>123</v>
      </c>
      <c r="D1957">
        <v>2029</v>
      </c>
      <c r="E1957" t="s">
        <v>142</v>
      </c>
      <c r="F1957">
        <v>1271.21</v>
      </c>
    </row>
    <row r="1958" spans="3:6" x14ac:dyDescent="0.25">
      <c r="C1958" t="s">
        <v>123</v>
      </c>
      <c r="D1958">
        <v>2029</v>
      </c>
      <c r="E1958" t="s">
        <v>143</v>
      </c>
      <c r="F1958">
        <v>925.64</v>
      </c>
    </row>
    <row r="1959" spans="3:6" x14ac:dyDescent="0.25">
      <c r="C1959" t="s">
        <v>123</v>
      </c>
      <c r="D1959">
        <v>2029</v>
      </c>
      <c r="E1959" t="s">
        <v>144</v>
      </c>
      <c r="F1959">
        <v>1020.01</v>
      </c>
    </row>
    <row r="1960" spans="3:6" x14ac:dyDescent="0.25">
      <c r="C1960" t="s">
        <v>123</v>
      </c>
      <c r="D1960">
        <v>2029</v>
      </c>
      <c r="E1960" t="s">
        <v>145</v>
      </c>
      <c r="F1960">
        <v>126.29</v>
      </c>
    </row>
    <row r="1961" spans="3:6" x14ac:dyDescent="0.25">
      <c r="C1961" t="s">
        <v>123</v>
      </c>
      <c r="D1961">
        <v>2030</v>
      </c>
      <c r="E1961" t="s">
        <v>147</v>
      </c>
      <c r="F1961">
        <v>0.28000000000000003</v>
      </c>
    </row>
    <row r="1962" spans="3:6" x14ac:dyDescent="0.25">
      <c r="C1962" t="s">
        <v>123</v>
      </c>
      <c r="D1962">
        <v>2030</v>
      </c>
      <c r="E1962" t="s">
        <v>148</v>
      </c>
      <c r="F1962">
        <v>0.01</v>
      </c>
    </row>
    <row r="1963" spans="3:6" x14ac:dyDescent="0.25">
      <c r="C1963" t="s">
        <v>123</v>
      </c>
      <c r="D1963">
        <v>2030</v>
      </c>
      <c r="E1963" t="s">
        <v>142</v>
      </c>
      <c r="F1963">
        <v>1272.99</v>
      </c>
    </row>
    <row r="1964" spans="3:6" x14ac:dyDescent="0.25">
      <c r="C1964" t="s">
        <v>123</v>
      </c>
      <c r="D1964">
        <v>2030</v>
      </c>
      <c r="E1964" t="s">
        <v>143</v>
      </c>
      <c r="F1964">
        <v>923.63</v>
      </c>
    </row>
    <row r="1965" spans="3:6" x14ac:dyDescent="0.25">
      <c r="C1965" t="s">
        <v>123</v>
      </c>
      <c r="D1965">
        <v>2030</v>
      </c>
      <c r="E1965" t="s">
        <v>144</v>
      </c>
      <c r="F1965">
        <v>1022.21</v>
      </c>
    </row>
    <row r="1966" spans="3:6" x14ac:dyDescent="0.25">
      <c r="C1966" t="s">
        <v>123</v>
      </c>
      <c r="D1966">
        <v>2030</v>
      </c>
      <c r="E1966" t="s">
        <v>145</v>
      </c>
      <c r="F1966">
        <v>130.04</v>
      </c>
    </row>
    <row r="1967" spans="3:6" x14ac:dyDescent="0.25">
      <c r="C1967" t="s">
        <v>123</v>
      </c>
      <c r="D1967">
        <v>2031</v>
      </c>
      <c r="E1967" t="s">
        <v>147</v>
      </c>
      <c r="F1967">
        <v>0.31</v>
      </c>
    </row>
    <row r="1968" spans="3:6" x14ac:dyDescent="0.25">
      <c r="C1968" t="s">
        <v>123</v>
      </c>
      <c r="D1968">
        <v>2031</v>
      </c>
      <c r="E1968" t="s">
        <v>148</v>
      </c>
      <c r="F1968">
        <v>0.02</v>
      </c>
    </row>
    <row r="1969" spans="3:6" x14ac:dyDescent="0.25">
      <c r="C1969" t="s">
        <v>123</v>
      </c>
      <c r="D1969">
        <v>2031</v>
      </c>
      <c r="E1969" t="s">
        <v>142</v>
      </c>
      <c r="F1969">
        <v>1274.68</v>
      </c>
    </row>
    <row r="1970" spans="3:6" x14ac:dyDescent="0.25">
      <c r="C1970" t="s">
        <v>123</v>
      </c>
      <c r="D1970">
        <v>2031</v>
      </c>
      <c r="E1970" t="s">
        <v>143</v>
      </c>
      <c r="F1970">
        <v>922.76</v>
      </c>
    </row>
    <row r="1971" spans="3:6" x14ac:dyDescent="0.25">
      <c r="C1971" t="s">
        <v>123</v>
      </c>
      <c r="D1971">
        <v>2031</v>
      </c>
      <c r="E1971" t="s">
        <v>144</v>
      </c>
      <c r="F1971">
        <v>1024.54</v>
      </c>
    </row>
    <row r="1972" spans="3:6" x14ac:dyDescent="0.25">
      <c r="C1972" t="s">
        <v>123</v>
      </c>
      <c r="D1972">
        <v>2031</v>
      </c>
      <c r="E1972" t="s">
        <v>145</v>
      </c>
      <c r="F1972">
        <v>132.57</v>
      </c>
    </row>
    <row r="1973" spans="3:6" x14ac:dyDescent="0.25">
      <c r="C1973" t="s">
        <v>123</v>
      </c>
      <c r="D1973">
        <v>2032</v>
      </c>
      <c r="E1973" t="s">
        <v>147</v>
      </c>
      <c r="F1973">
        <v>0.34</v>
      </c>
    </row>
    <row r="1974" spans="3:6" x14ac:dyDescent="0.25">
      <c r="C1974" t="s">
        <v>123</v>
      </c>
      <c r="D1974">
        <v>2032</v>
      </c>
      <c r="E1974" t="s">
        <v>148</v>
      </c>
      <c r="F1974">
        <v>0.02</v>
      </c>
    </row>
    <row r="1975" spans="3:6" x14ac:dyDescent="0.25">
      <c r="C1975" t="s">
        <v>123</v>
      </c>
      <c r="D1975">
        <v>2032</v>
      </c>
      <c r="E1975" t="s">
        <v>142</v>
      </c>
      <c r="F1975">
        <v>1276.07</v>
      </c>
    </row>
    <row r="1976" spans="3:6" x14ac:dyDescent="0.25">
      <c r="C1976" t="s">
        <v>123</v>
      </c>
      <c r="D1976">
        <v>2032</v>
      </c>
      <c r="E1976" t="s">
        <v>143</v>
      </c>
      <c r="F1976">
        <v>919.78</v>
      </c>
    </row>
    <row r="1977" spans="3:6" x14ac:dyDescent="0.25">
      <c r="C1977" t="s">
        <v>123</v>
      </c>
      <c r="D1977">
        <v>2032</v>
      </c>
      <c r="E1977" t="s">
        <v>144</v>
      </c>
      <c r="F1977">
        <v>1026.78</v>
      </c>
    </row>
    <row r="1978" spans="3:6" x14ac:dyDescent="0.25">
      <c r="C1978" t="s">
        <v>123</v>
      </c>
      <c r="D1978">
        <v>2032</v>
      </c>
      <c r="E1978" t="s">
        <v>145</v>
      </c>
      <c r="F1978">
        <v>135.56</v>
      </c>
    </row>
    <row r="1979" spans="3:6" x14ac:dyDescent="0.25">
      <c r="C1979" t="s">
        <v>123</v>
      </c>
      <c r="D1979">
        <v>2033</v>
      </c>
      <c r="E1979" t="s">
        <v>147</v>
      </c>
      <c r="F1979">
        <v>0.37</v>
      </c>
    </row>
    <row r="1980" spans="3:6" x14ac:dyDescent="0.25">
      <c r="C1980" t="s">
        <v>123</v>
      </c>
      <c r="D1980">
        <v>2033</v>
      </c>
      <c r="E1980" t="s">
        <v>148</v>
      </c>
      <c r="F1980">
        <v>0.02</v>
      </c>
    </row>
    <row r="1981" spans="3:6" x14ac:dyDescent="0.25">
      <c r="C1981" t="s">
        <v>123</v>
      </c>
      <c r="D1981">
        <v>2033</v>
      </c>
      <c r="E1981" t="s">
        <v>142</v>
      </c>
      <c r="F1981">
        <v>1277.49</v>
      </c>
    </row>
    <row r="1982" spans="3:6" x14ac:dyDescent="0.25">
      <c r="C1982" t="s">
        <v>123</v>
      </c>
      <c r="D1982">
        <v>2033</v>
      </c>
      <c r="E1982" t="s">
        <v>143</v>
      </c>
      <c r="F1982">
        <v>919.04</v>
      </c>
    </row>
    <row r="1983" spans="3:6" x14ac:dyDescent="0.25">
      <c r="C1983" t="s">
        <v>123</v>
      </c>
      <c r="D1983">
        <v>2033</v>
      </c>
      <c r="E1983" t="s">
        <v>144</v>
      </c>
      <c r="F1983">
        <v>1029.19</v>
      </c>
    </row>
    <row r="1984" spans="3:6" x14ac:dyDescent="0.25">
      <c r="C1984" t="s">
        <v>123</v>
      </c>
      <c r="D1984">
        <v>2033</v>
      </c>
      <c r="E1984" t="s">
        <v>145</v>
      </c>
      <c r="F1984">
        <v>137.65</v>
      </c>
    </row>
    <row r="1985" spans="3:6" x14ac:dyDescent="0.25">
      <c r="C1985" t="s">
        <v>123</v>
      </c>
      <c r="D1985">
        <v>2034</v>
      </c>
      <c r="E1985" t="s">
        <v>147</v>
      </c>
      <c r="F1985">
        <v>0.4</v>
      </c>
    </row>
    <row r="1986" spans="3:6" x14ac:dyDescent="0.25">
      <c r="C1986" t="s">
        <v>123</v>
      </c>
      <c r="D1986">
        <v>2034</v>
      </c>
      <c r="E1986" t="s">
        <v>148</v>
      </c>
      <c r="F1986">
        <v>0.02</v>
      </c>
    </row>
    <row r="1987" spans="3:6" x14ac:dyDescent="0.25">
      <c r="C1987" t="s">
        <v>123</v>
      </c>
      <c r="D1987">
        <v>2034</v>
      </c>
      <c r="E1987" t="s">
        <v>142</v>
      </c>
      <c r="F1987">
        <v>1278.9000000000001</v>
      </c>
    </row>
    <row r="1988" spans="3:6" x14ac:dyDescent="0.25">
      <c r="C1988" t="s">
        <v>123</v>
      </c>
      <c r="D1988">
        <v>2034</v>
      </c>
      <c r="E1988" t="s">
        <v>143</v>
      </c>
      <c r="F1988">
        <v>915.65</v>
      </c>
    </row>
    <row r="1989" spans="3:6" x14ac:dyDescent="0.25">
      <c r="C1989" t="s">
        <v>123</v>
      </c>
      <c r="D1989">
        <v>2034</v>
      </c>
      <c r="E1989" t="s">
        <v>144</v>
      </c>
      <c r="F1989">
        <v>1031.6500000000001</v>
      </c>
    </row>
    <row r="1990" spans="3:6" x14ac:dyDescent="0.25">
      <c r="C1990" t="s">
        <v>123</v>
      </c>
      <c r="D1990">
        <v>2034</v>
      </c>
      <c r="E1990" t="s">
        <v>145</v>
      </c>
      <c r="F1990">
        <v>140.08000000000001</v>
      </c>
    </row>
    <row r="1991" spans="3:6" x14ac:dyDescent="0.25">
      <c r="C1991" t="s">
        <v>123</v>
      </c>
      <c r="D1991">
        <v>2035</v>
      </c>
      <c r="E1991" t="s">
        <v>147</v>
      </c>
      <c r="F1991">
        <v>0.44</v>
      </c>
    </row>
    <row r="1992" spans="3:6" x14ac:dyDescent="0.25">
      <c r="C1992" t="s">
        <v>123</v>
      </c>
      <c r="D1992">
        <v>2035</v>
      </c>
      <c r="E1992" t="s">
        <v>148</v>
      </c>
      <c r="F1992">
        <v>0.02</v>
      </c>
    </row>
    <row r="1993" spans="3:6" x14ac:dyDescent="0.25">
      <c r="C1993" t="s">
        <v>123</v>
      </c>
      <c r="D1993">
        <v>2035</v>
      </c>
      <c r="E1993" t="s">
        <v>142</v>
      </c>
      <c r="F1993">
        <v>1280.3</v>
      </c>
    </row>
    <row r="1994" spans="3:6" x14ac:dyDescent="0.25">
      <c r="C1994" t="s">
        <v>123</v>
      </c>
      <c r="D1994">
        <v>2035</v>
      </c>
      <c r="E1994" t="s">
        <v>143</v>
      </c>
      <c r="F1994">
        <v>913.93</v>
      </c>
    </row>
    <row r="1995" spans="3:6" x14ac:dyDescent="0.25">
      <c r="C1995" t="s">
        <v>123</v>
      </c>
      <c r="D1995">
        <v>2035</v>
      </c>
      <c r="E1995" t="s">
        <v>144</v>
      </c>
      <c r="F1995">
        <v>1034.22</v>
      </c>
    </row>
    <row r="1996" spans="3:6" x14ac:dyDescent="0.25">
      <c r="C1996" t="s">
        <v>123</v>
      </c>
      <c r="D1996">
        <v>2035</v>
      </c>
      <c r="E1996" t="s">
        <v>145</v>
      </c>
      <c r="F1996">
        <v>142.85</v>
      </c>
    </row>
    <row r="1997" spans="3:6" x14ac:dyDescent="0.25">
      <c r="C1997" t="s">
        <v>123</v>
      </c>
      <c r="D1997">
        <v>2036</v>
      </c>
      <c r="E1997" t="s">
        <v>147</v>
      </c>
      <c r="F1997">
        <v>0.47</v>
      </c>
    </row>
    <row r="1998" spans="3:6" x14ac:dyDescent="0.25">
      <c r="C1998" t="s">
        <v>123</v>
      </c>
      <c r="D1998">
        <v>2036</v>
      </c>
      <c r="E1998" t="s">
        <v>148</v>
      </c>
      <c r="F1998">
        <v>0.02</v>
      </c>
    </row>
    <row r="1999" spans="3:6" x14ac:dyDescent="0.25">
      <c r="C1999" t="s">
        <v>123</v>
      </c>
      <c r="D1999">
        <v>2036</v>
      </c>
      <c r="E1999" t="s">
        <v>142</v>
      </c>
      <c r="F1999">
        <v>1281.08</v>
      </c>
    </row>
    <row r="2000" spans="3:6" x14ac:dyDescent="0.25">
      <c r="C2000" t="s">
        <v>123</v>
      </c>
      <c r="D2000">
        <v>2036</v>
      </c>
      <c r="E2000" t="s">
        <v>143</v>
      </c>
      <c r="F2000">
        <v>911.09</v>
      </c>
    </row>
    <row r="2001" spans="3:6" x14ac:dyDescent="0.25">
      <c r="C2001" t="s">
        <v>123</v>
      </c>
      <c r="D2001">
        <v>2036</v>
      </c>
      <c r="E2001" t="s">
        <v>144</v>
      </c>
      <c r="F2001">
        <v>1036.3900000000001</v>
      </c>
    </row>
    <row r="2002" spans="3:6" x14ac:dyDescent="0.25">
      <c r="C2002" t="s">
        <v>123</v>
      </c>
      <c r="D2002">
        <v>2036</v>
      </c>
      <c r="E2002" t="s">
        <v>145</v>
      </c>
      <c r="F2002">
        <v>143.85</v>
      </c>
    </row>
    <row r="2003" spans="3:6" x14ac:dyDescent="0.25">
      <c r="C2003" t="s">
        <v>123</v>
      </c>
      <c r="D2003">
        <v>2037</v>
      </c>
      <c r="E2003" t="s">
        <v>147</v>
      </c>
      <c r="F2003">
        <v>0.49</v>
      </c>
    </row>
    <row r="2004" spans="3:6" x14ac:dyDescent="0.25">
      <c r="C2004" t="s">
        <v>123</v>
      </c>
      <c r="D2004">
        <v>2037</v>
      </c>
      <c r="E2004" t="s">
        <v>148</v>
      </c>
      <c r="F2004">
        <v>0.03</v>
      </c>
    </row>
    <row r="2005" spans="3:6" x14ac:dyDescent="0.25">
      <c r="C2005" t="s">
        <v>123</v>
      </c>
      <c r="D2005">
        <v>2037</v>
      </c>
      <c r="E2005" t="s">
        <v>142</v>
      </c>
      <c r="F2005">
        <v>1281.83</v>
      </c>
    </row>
    <row r="2006" spans="3:6" x14ac:dyDescent="0.25">
      <c r="C2006" t="s">
        <v>123</v>
      </c>
      <c r="D2006">
        <v>2037</v>
      </c>
      <c r="E2006" t="s">
        <v>143</v>
      </c>
      <c r="F2006">
        <v>909.05</v>
      </c>
    </row>
    <row r="2007" spans="3:6" x14ac:dyDescent="0.25">
      <c r="C2007" t="s">
        <v>123</v>
      </c>
      <c r="D2007">
        <v>2037</v>
      </c>
      <c r="E2007" t="s">
        <v>144</v>
      </c>
      <c r="F2007">
        <v>1038.52</v>
      </c>
    </row>
    <row r="2008" spans="3:6" x14ac:dyDescent="0.25">
      <c r="C2008" t="s">
        <v>123</v>
      </c>
      <c r="D2008">
        <v>2037</v>
      </c>
      <c r="E2008" t="s">
        <v>145</v>
      </c>
      <c r="F2008">
        <v>144.85</v>
      </c>
    </row>
    <row r="2009" spans="3:6" x14ac:dyDescent="0.25">
      <c r="C2009" t="s">
        <v>123</v>
      </c>
      <c r="D2009">
        <v>2038</v>
      </c>
      <c r="E2009" t="s">
        <v>147</v>
      </c>
      <c r="F2009">
        <v>0.53</v>
      </c>
    </row>
    <row r="2010" spans="3:6" x14ac:dyDescent="0.25">
      <c r="C2010" t="s">
        <v>123</v>
      </c>
      <c r="D2010">
        <v>2038</v>
      </c>
      <c r="E2010" t="s">
        <v>148</v>
      </c>
      <c r="F2010">
        <v>0.03</v>
      </c>
    </row>
    <row r="2011" spans="3:6" x14ac:dyDescent="0.25">
      <c r="C2011" t="s">
        <v>123</v>
      </c>
      <c r="D2011">
        <v>2038</v>
      </c>
      <c r="E2011" t="s">
        <v>142</v>
      </c>
      <c r="F2011">
        <v>1282.6199999999999</v>
      </c>
    </row>
    <row r="2012" spans="3:6" x14ac:dyDescent="0.25">
      <c r="C2012" t="s">
        <v>123</v>
      </c>
      <c r="D2012">
        <v>2038</v>
      </c>
      <c r="E2012" t="s">
        <v>143</v>
      </c>
      <c r="F2012">
        <v>907.68</v>
      </c>
    </row>
    <row r="2013" spans="3:6" x14ac:dyDescent="0.25">
      <c r="C2013" t="s">
        <v>123</v>
      </c>
      <c r="D2013">
        <v>2038</v>
      </c>
      <c r="E2013" t="s">
        <v>144</v>
      </c>
      <c r="F2013">
        <v>1040.6500000000001</v>
      </c>
    </row>
    <row r="2014" spans="3:6" x14ac:dyDescent="0.25">
      <c r="C2014" t="s">
        <v>123</v>
      </c>
      <c r="D2014">
        <v>2038</v>
      </c>
      <c r="E2014" t="s">
        <v>145</v>
      </c>
      <c r="F2014">
        <v>145.76</v>
      </c>
    </row>
    <row r="2015" spans="3:6" x14ac:dyDescent="0.25">
      <c r="C2015" t="s">
        <v>123</v>
      </c>
      <c r="D2015">
        <v>2039</v>
      </c>
      <c r="E2015" t="s">
        <v>147</v>
      </c>
      <c r="F2015">
        <v>0.56999999999999995</v>
      </c>
    </row>
    <row r="2016" spans="3:6" x14ac:dyDescent="0.25">
      <c r="C2016" t="s">
        <v>123</v>
      </c>
      <c r="D2016">
        <v>2039</v>
      </c>
      <c r="E2016" t="s">
        <v>148</v>
      </c>
      <c r="F2016">
        <v>0.03</v>
      </c>
    </row>
    <row r="2017" spans="3:6" x14ac:dyDescent="0.25">
      <c r="C2017" t="s">
        <v>123</v>
      </c>
      <c r="D2017">
        <v>2039</v>
      </c>
      <c r="E2017" t="s">
        <v>142</v>
      </c>
      <c r="F2017">
        <v>1283.49</v>
      </c>
    </row>
    <row r="2018" spans="3:6" x14ac:dyDescent="0.25">
      <c r="C2018" t="s">
        <v>123</v>
      </c>
      <c r="D2018">
        <v>2039</v>
      </c>
      <c r="E2018" t="s">
        <v>143</v>
      </c>
      <c r="F2018">
        <v>906.99</v>
      </c>
    </row>
    <row r="2019" spans="3:6" x14ac:dyDescent="0.25">
      <c r="C2019" t="s">
        <v>123</v>
      </c>
      <c r="D2019">
        <v>2039</v>
      </c>
      <c r="E2019" t="s">
        <v>144</v>
      </c>
      <c r="F2019">
        <v>1042.96</v>
      </c>
    </row>
    <row r="2020" spans="3:6" x14ac:dyDescent="0.25">
      <c r="C2020" t="s">
        <v>123</v>
      </c>
      <c r="D2020">
        <v>2039</v>
      </c>
      <c r="E2020" t="s">
        <v>145</v>
      </c>
      <c r="F2020">
        <v>146.61000000000001</v>
      </c>
    </row>
    <row r="2021" spans="3:6" x14ac:dyDescent="0.25">
      <c r="C2021" t="s">
        <v>123</v>
      </c>
      <c r="D2021">
        <v>2040</v>
      </c>
      <c r="E2021" t="s">
        <v>147</v>
      </c>
      <c r="F2021">
        <v>0.61</v>
      </c>
    </row>
    <row r="2022" spans="3:6" x14ac:dyDescent="0.25">
      <c r="C2022" t="s">
        <v>123</v>
      </c>
      <c r="D2022">
        <v>2040</v>
      </c>
      <c r="E2022" t="s">
        <v>148</v>
      </c>
      <c r="F2022">
        <v>0.03</v>
      </c>
    </row>
    <row r="2023" spans="3:6" x14ac:dyDescent="0.25">
      <c r="C2023" t="s">
        <v>123</v>
      </c>
      <c r="D2023">
        <v>2040</v>
      </c>
      <c r="E2023" t="s">
        <v>142</v>
      </c>
      <c r="F2023">
        <v>1284.3</v>
      </c>
    </row>
    <row r="2024" spans="3:6" x14ac:dyDescent="0.25">
      <c r="C2024" t="s">
        <v>123</v>
      </c>
      <c r="D2024">
        <v>2040</v>
      </c>
      <c r="E2024" t="s">
        <v>143</v>
      </c>
      <c r="F2024">
        <v>906.45</v>
      </c>
    </row>
    <row r="2025" spans="3:6" x14ac:dyDescent="0.25">
      <c r="C2025" t="s">
        <v>123</v>
      </c>
      <c r="D2025">
        <v>2040</v>
      </c>
      <c r="E2025" t="s">
        <v>144</v>
      </c>
      <c r="F2025">
        <v>1045.05</v>
      </c>
    </row>
    <row r="2026" spans="3:6" x14ac:dyDescent="0.25">
      <c r="C2026" t="s">
        <v>123</v>
      </c>
      <c r="D2026">
        <v>2040</v>
      </c>
      <c r="E2026" t="s">
        <v>145</v>
      </c>
      <c r="F2026">
        <v>147.24</v>
      </c>
    </row>
    <row r="2027" spans="3:6" x14ac:dyDescent="0.25">
      <c r="C2027" t="s">
        <v>123</v>
      </c>
      <c r="D2027">
        <v>2041</v>
      </c>
      <c r="E2027" t="s">
        <v>147</v>
      </c>
      <c r="F2027">
        <v>0.66</v>
      </c>
    </row>
    <row r="2028" spans="3:6" x14ac:dyDescent="0.25">
      <c r="C2028" t="s">
        <v>123</v>
      </c>
      <c r="D2028">
        <v>2041</v>
      </c>
      <c r="E2028" t="s">
        <v>148</v>
      </c>
      <c r="F2028">
        <v>0.03</v>
      </c>
    </row>
    <row r="2029" spans="3:6" x14ac:dyDescent="0.25">
      <c r="C2029" t="s">
        <v>123</v>
      </c>
      <c r="D2029">
        <v>2041</v>
      </c>
      <c r="E2029" t="s">
        <v>142</v>
      </c>
      <c r="F2029">
        <v>1282.1300000000001</v>
      </c>
    </row>
    <row r="2030" spans="3:6" x14ac:dyDescent="0.25">
      <c r="C2030" t="s">
        <v>123</v>
      </c>
      <c r="D2030">
        <v>2041</v>
      </c>
      <c r="E2030" t="s">
        <v>143</v>
      </c>
      <c r="F2030">
        <v>906.61</v>
      </c>
    </row>
    <row r="2031" spans="3:6" x14ac:dyDescent="0.25">
      <c r="C2031" t="s">
        <v>123</v>
      </c>
      <c r="D2031">
        <v>2041</v>
      </c>
      <c r="E2031" t="s">
        <v>144</v>
      </c>
      <c r="F2031">
        <v>1045.1099999999999</v>
      </c>
    </row>
    <row r="2032" spans="3:6" x14ac:dyDescent="0.25">
      <c r="C2032" t="s">
        <v>123</v>
      </c>
      <c r="D2032">
        <v>2041</v>
      </c>
      <c r="E2032" t="s">
        <v>145</v>
      </c>
      <c r="F2032">
        <v>148.56</v>
      </c>
    </row>
    <row r="2033" spans="3:6" x14ac:dyDescent="0.25">
      <c r="C2033" t="s">
        <v>123</v>
      </c>
      <c r="D2033">
        <v>2042</v>
      </c>
      <c r="E2033" t="s">
        <v>147</v>
      </c>
      <c r="F2033">
        <v>0.7</v>
      </c>
    </row>
    <row r="2034" spans="3:6" x14ac:dyDescent="0.25">
      <c r="C2034" t="s">
        <v>123</v>
      </c>
      <c r="D2034">
        <v>2042</v>
      </c>
      <c r="E2034" t="s">
        <v>148</v>
      </c>
      <c r="F2034">
        <v>0.04</v>
      </c>
    </row>
    <row r="2035" spans="3:6" x14ac:dyDescent="0.25">
      <c r="C2035" t="s">
        <v>123</v>
      </c>
      <c r="D2035">
        <v>2042</v>
      </c>
      <c r="E2035" t="s">
        <v>142</v>
      </c>
      <c r="F2035">
        <v>1280.02</v>
      </c>
    </row>
    <row r="2036" spans="3:6" x14ac:dyDescent="0.25">
      <c r="C2036" t="s">
        <v>123</v>
      </c>
      <c r="D2036">
        <v>2042</v>
      </c>
      <c r="E2036" t="s">
        <v>143</v>
      </c>
      <c r="F2036">
        <v>906.32</v>
      </c>
    </row>
    <row r="2037" spans="3:6" x14ac:dyDescent="0.25">
      <c r="C2037" t="s">
        <v>123</v>
      </c>
      <c r="D2037">
        <v>2042</v>
      </c>
      <c r="E2037" t="s">
        <v>144</v>
      </c>
      <c r="F2037">
        <v>1045.26</v>
      </c>
    </row>
    <row r="2038" spans="3:6" x14ac:dyDescent="0.25">
      <c r="C2038" t="s">
        <v>123</v>
      </c>
      <c r="D2038">
        <v>2042</v>
      </c>
      <c r="E2038" t="s">
        <v>145</v>
      </c>
      <c r="F2038">
        <v>149.66999999999999</v>
      </c>
    </row>
    <row r="2039" spans="3:6" x14ac:dyDescent="0.25">
      <c r="C2039" t="s">
        <v>123</v>
      </c>
      <c r="D2039">
        <v>2043</v>
      </c>
      <c r="E2039" t="s">
        <v>147</v>
      </c>
      <c r="F2039">
        <v>0.74</v>
      </c>
    </row>
    <row r="2040" spans="3:6" x14ac:dyDescent="0.25">
      <c r="C2040" t="s">
        <v>123</v>
      </c>
      <c r="D2040">
        <v>2043</v>
      </c>
      <c r="E2040" t="s">
        <v>148</v>
      </c>
      <c r="F2040">
        <v>0.04</v>
      </c>
    </row>
    <row r="2041" spans="3:6" x14ac:dyDescent="0.25">
      <c r="C2041" t="s">
        <v>123</v>
      </c>
      <c r="D2041">
        <v>2043</v>
      </c>
      <c r="E2041" t="s">
        <v>142</v>
      </c>
      <c r="F2041">
        <v>1277.8699999999999</v>
      </c>
    </row>
    <row r="2042" spans="3:6" x14ac:dyDescent="0.25">
      <c r="C2042" t="s">
        <v>123</v>
      </c>
      <c r="D2042">
        <v>2043</v>
      </c>
      <c r="E2042" t="s">
        <v>143</v>
      </c>
      <c r="F2042">
        <v>905.92</v>
      </c>
    </row>
    <row r="2043" spans="3:6" x14ac:dyDescent="0.25">
      <c r="C2043" t="s">
        <v>123</v>
      </c>
      <c r="D2043">
        <v>2043</v>
      </c>
      <c r="E2043" t="s">
        <v>144</v>
      </c>
      <c r="F2043">
        <v>1045.3399999999999</v>
      </c>
    </row>
    <row r="2044" spans="3:6" x14ac:dyDescent="0.25">
      <c r="C2044" t="s">
        <v>123</v>
      </c>
      <c r="D2044">
        <v>2043</v>
      </c>
      <c r="E2044" t="s">
        <v>145</v>
      </c>
      <c r="F2044">
        <v>150.84</v>
      </c>
    </row>
    <row r="2045" spans="3:6" x14ac:dyDescent="0.25">
      <c r="C2045" t="s">
        <v>123</v>
      </c>
      <c r="D2045">
        <v>2044</v>
      </c>
      <c r="E2045" t="s">
        <v>147</v>
      </c>
      <c r="F2045">
        <v>0.77</v>
      </c>
    </row>
    <row r="2046" spans="3:6" x14ac:dyDescent="0.25">
      <c r="C2046" t="s">
        <v>123</v>
      </c>
      <c r="D2046">
        <v>2044</v>
      </c>
      <c r="E2046" t="s">
        <v>148</v>
      </c>
      <c r="F2046">
        <v>0.04</v>
      </c>
    </row>
    <row r="2047" spans="3:6" x14ac:dyDescent="0.25">
      <c r="C2047" t="s">
        <v>123</v>
      </c>
      <c r="D2047">
        <v>2044</v>
      </c>
      <c r="E2047" t="s">
        <v>142</v>
      </c>
      <c r="F2047">
        <v>1275.79</v>
      </c>
    </row>
    <row r="2048" spans="3:6" x14ac:dyDescent="0.25">
      <c r="C2048" t="s">
        <v>123</v>
      </c>
      <c r="D2048">
        <v>2044</v>
      </c>
      <c r="E2048" t="s">
        <v>143</v>
      </c>
      <c r="F2048">
        <v>905.18</v>
      </c>
    </row>
    <row r="2049" spans="3:6" x14ac:dyDescent="0.25">
      <c r="C2049" t="s">
        <v>123</v>
      </c>
      <c r="D2049">
        <v>2044</v>
      </c>
      <c r="E2049" t="s">
        <v>144</v>
      </c>
      <c r="F2049">
        <v>1045.54</v>
      </c>
    </row>
    <row r="2050" spans="3:6" x14ac:dyDescent="0.25">
      <c r="C2050" t="s">
        <v>123</v>
      </c>
      <c r="D2050">
        <v>2044</v>
      </c>
      <c r="E2050" t="s">
        <v>145</v>
      </c>
      <c r="F2050">
        <v>151.9</v>
      </c>
    </row>
    <row r="2051" spans="3:6" x14ac:dyDescent="0.25">
      <c r="C2051" t="s">
        <v>123</v>
      </c>
      <c r="D2051">
        <v>2045</v>
      </c>
      <c r="E2051" t="s">
        <v>147</v>
      </c>
      <c r="F2051">
        <v>0.79</v>
      </c>
    </row>
    <row r="2052" spans="3:6" x14ac:dyDescent="0.25">
      <c r="C2052" t="s">
        <v>123</v>
      </c>
      <c r="D2052">
        <v>2045</v>
      </c>
      <c r="E2052" t="s">
        <v>148</v>
      </c>
      <c r="F2052">
        <v>0.04</v>
      </c>
    </row>
    <row r="2053" spans="3:6" x14ac:dyDescent="0.25">
      <c r="C2053" t="s">
        <v>123</v>
      </c>
      <c r="D2053">
        <v>2045</v>
      </c>
      <c r="E2053" t="s">
        <v>142</v>
      </c>
      <c r="F2053">
        <v>1273.8599999999999</v>
      </c>
    </row>
    <row r="2054" spans="3:6" x14ac:dyDescent="0.25">
      <c r="C2054" t="s">
        <v>123</v>
      </c>
      <c r="D2054">
        <v>2045</v>
      </c>
      <c r="E2054" t="s">
        <v>143</v>
      </c>
      <c r="F2054">
        <v>904.19</v>
      </c>
    </row>
    <row r="2055" spans="3:6" x14ac:dyDescent="0.25">
      <c r="C2055" t="s">
        <v>123</v>
      </c>
      <c r="D2055">
        <v>2045</v>
      </c>
      <c r="E2055" t="s">
        <v>144</v>
      </c>
      <c r="F2055">
        <v>1045.98</v>
      </c>
    </row>
    <row r="2056" spans="3:6" x14ac:dyDescent="0.25">
      <c r="C2056" t="s">
        <v>123</v>
      </c>
      <c r="D2056">
        <v>2045</v>
      </c>
      <c r="E2056" t="s">
        <v>145</v>
      </c>
      <c r="F2056">
        <v>152.78</v>
      </c>
    </row>
    <row r="2057" spans="3:6" x14ac:dyDescent="0.25">
      <c r="C2057" t="s">
        <v>123</v>
      </c>
      <c r="D2057">
        <v>2046</v>
      </c>
      <c r="E2057" t="s">
        <v>147</v>
      </c>
      <c r="F2057">
        <v>0.82</v>
      </c>
    </row>
    <row r="2058" spans="3:6" x14ac:dyDescent="0.25">
      <c r="C2058" t="s">
        <v>123</v>
      </c>
      <c r="D2058">
        <v>2046</v>
      </c>
      <c r="E2058" t="s">
        <v>148</v>
      </c>
      <c r="F2058">
        <v>0.04</v>
      </c>
    </row>
    <row r="2059" spans="3:6" x14ac:dyDescent="0.25">
      <c r="C2059" t="s">
        <v>123</v>
      </c>
      <c r="D2059">
        <v>2046</v>
      </c>
      <c r="E2059" t="s">
        <v>142</v>
      </c>
      <c r="F2059">
        <v>1275.45</v>
      </c>
    </row>
    <row r="2060" spans="3:6" x14ac:dyDescent="0.25">
      <c r="C2060" t="s">
        <v>123</v>
      </c>
      <c r="D2060">
        <v>2046</v>
      </c>
      <c r="E2060" t="s">
        <v>143</v>
      </c>
      <c r="F2060">
        <v>904.39</v>
      </c>
    </row>
    <row r="2061" spans="3:6" x14ac:dyDescent="0.25">
      <c r="C2061" t="s">
        <v>123</v>
      </c>
      <c r="D2061">
        <v>2046</v>
      </c>
      <c r="E2061" t="s">
        <v>144</v>
      </c>
      <c r="F2061">
        <v>1048.78</v>
      </c>
    </row>
    <row r="2062" spans="3:6" x14ac:dyDescent="0.25">
      <c r="C2062" t="s">
        <v>123</v>
      </c>
      <c r="D2062">
        <v>2046</v>
      </c>
      <c r="E2062" t="s">
        <v>145</v>
      </c>
      <c r="F2062">
        <v>154.19</v>
      </c>
    </row>
    <row r="2063" spans="3:6" x14ac:dyDescent="0.25">
      <c r="C2063" t="s">
        <v>123</v>
      </c>
      <c r="D2063">
        <v>2047</v>
      </c>
      <c r="E2063" t="s">
        <v>147</v>
      </c>
      <c r="F2063">
        <v>0.84</v>
      </c>
    </row>
    <row r="2064" spans="3:6" x14ac:dyDescent="0.25">
      <c r="C2064" t="s">
        <v>123</v>
      </c>
      <c r="D2064">
        <v>2047</v>
      </c>
      <c r="E2064" t="s">
        <v>148</v>
      </c>
      <c r="F2064">
        <v>0.04</v>
      </c>
    </row>
    <row r="2065" spans="3:6" x14ac:dyDescent="0.25">
      <c r="C2065" t="s">
        <v>123</v>
      </c>
      <c r="D2065">
        <v>2047</v>
      </c>
      <c r="E2065" t="s">
        <v>142</v>
      </c>
      <c r="F2065">
        <v>1277.2</v>
      </c>
    </row>
    <row r="2066" spans="3:6" x14ac:dyDescent="0.25">
      <c r="C2066" t="s">
        <v>123</v>
      </c>
      <c r="D2066">
        <v>2047</v>
      </c>
      <c r="E2066" t="s">
        <v>143</v>
      </c>
      <c r="F2066">
        <v>903.09</v>
      </c>
    </row>
    <row r="2067" spans="3:6" x14ac:dyDescent="0.25">
      <c r="C2067" t="s">
        <v>123</v>
      </c>
      <c r="D2067">
        <v>2047</v>
      </c>
      <c r="E2067" t="s">
        <v>144</v>
      </c>
      <c r="F2067">
        <v>1051.68</v>
      </c>
    </row>
    <row r="2068" spans="3:6" x14ac:dyDescent="0.25">
      <c r="C2068" t="s">
        <v>123</v>
      </c>
      <c r="D2068">
        <v>2047</v>
      </c>
      <c r="E2068" t="s">
        <v>145</v>
      </c>
      <c r="F2068">
        <v>155.31</v>
      </c>
    </row>
    <row r="2069" spans="3:6" x14ac:dyDescent="0.25">
      <c r="C2069" t="s">
        <v>123</v>
      </c>
      <c r="D2069">
        <v>2048</v>
      </c>
      <c r="E2069" t="s">
        <v>147</v>
      </c>
      <c r="F2069">
        <v>0.86</v>
      </c>
    </row>
    <row r="2070" spans="3:6" x14ac:dyDescent="0.25">
      <c r="C2070" t="s">
        <v>123</v>
      </c>
      <c r="D2070">
        <v>2048</v>
      </c>
      <c r="E2070" t="s">
        <v>148</v>
      </c>
      <c r="F2070">
        <v>0.04</v>
      </c>
    </row>
    <row r="2071" spans="3:6" x14ac:dyDescent="0.25">
      <c r="C2071" t="s">
        <v>123</v>
      </c>
      <c r="D2071">
        <v>2048</v>
      </c>
      <c r="E2071" t="s">
        <v>142</v>
      </c>
      <c r="F2071">
        <v>1279.18</v>
      </c>
    </row>
    <row r="2072" spans="3:6" x14ac:dyDescent="0.25">
      <c r="C2072" t="s">
        <v>123</v>
      </c>
      <c r="D2072">
        <v>2048</v>
      </c>
      <c r="E2072" t="s">
        <v>143</v>
      </c>
      <c r="F2072">
        <v>903.7</v>
      </c>
    </row>
    <row r="2073" spans="3:6" x14ac:dyDescent="0.25">
      <c r="C2073" t="s">
        <v>123</v>
      </c>
      <c r="D2073">
        <v>2048</v>
      </c>
      <c r="E2073" t="s">
        <v>144</v>
      </c>
      <c r="F2073">
        <v>1054.78</v>
      </c>
    </row>
    <row r="2074" spans="3:6" x14ac:dyDescent="0.25">
      <c r="C2074" t="s">
        <v>123</v>
      </c>
      <c r="D2074">
        <v>2048</v>
      </c>
      <c r="E2074" t="s">
        <v>145</v>
      </c>
      <c r="F2074">
        <v>156.47999999999999</v>
      </c>
    </row>
    <row r="2075" spans="3:6" x14ac:dyDescent="0.25">
      <c r="C2075" t="s">
        <v>123</v>
      </c>
      <c r="D2075">
        <v>2049</v>
      </c>
      <c r="E2075" t="s">
        <v>147</v>
      </c>
      <c r="F2075">
        <v>0.86</v>
      </c>
    </row>
    <row r="2076" spans="3:6" x14ac:dyDescent="0.25">
      <c r="C2076" t="s">
        <v>123</v>
      </c>
      <c r="D2076">
        <v>2049</v>
      </c>
      <c r="E2076" t="s">
        <v>148</v>
      </c>
      <c r="F2076">
        <v>0.05</v>
      </c>
    </row>
    <row r="2077" spans="3:6" x14ac:dyDescent="0.25">
      <c r="C2077" t="s">
        <v>123</v>
      </c>
      <c r="D2077">
        <v>2049</v>
      </c>
      <c r="E2077" t="s">
        <v>142</v>
      </c>
      <c r="F2077">
        <v>1281.3499999999999</v>
      </c>
    </row>
    <row r="2078" spans="3:6" x14ac:dyDescent="0.25">
      <c r="C2078" t="s">
        <v>123</v>
      </c>
      <c r="D2078">
        <v>2049</v>
      </c>
      <c r="E2078" t="s">
        <v>143</v>
      </c>
      <c r="F2078">
        <v>902.91</v>
      </c>
    </row>
    <row r="2079" spans="3:6" x14ac:dyDescent="0.25">
      <c r="C2079" t="s">
        <v>123</v>
      </c>
      <c r="D2079">
        <v>2049</v>
      </c>
      <c r="E2079" t="s">
        <v>144</v>
      </c>
      <c r="F2079">
        <v>1058.05</v>
      </c>
    </row>
    <row r="2080" spans="3:6" x14ac:dyDescent="0.25">
      <c r="C2080" t="s">
        <v>123</v>
      </c>
      <c r="D2080">
        <v>2049</v>
      </c>
      <c r="E2080" t="s">
        <v>145</v>
      </c>
      <c r="F2080">
        <v>157.54</v>
      </c>
    </row>
    <row r="2081" spans="3:6" x14ac:dyDescent="0.25">
      <c r="C2081" t="s">
        <v>123</v>
      </c>
      <c r="D2081">
        <v>2050</v>
      </c>
      <c r="E2081" t="s">
        <v>147</v>
      </c>
      <c r="F2081">
        <v>0.88</v>
      </c>
    </row>
    <row r="2082" spans="3:6" x14ac:dyDescent="0.25">
      <c r="C2082" t="s">
        <v>123</v>
      </c>
      <c r="D2082">
        <v>2050</v>
      </c>
      <c r="E2082" t="s">
        <v>148</v>
      </c>
      <c r="F2082">
        <v>0.05</v>
      </c>
    </row>
    <row r="2083" spans="3:6" x14ac:dyDescent="0.25">
      <c r="C2083" t="s">
        <v>123</v>
      </c>
      <c r="D2083">
        <v>2050</v>
      </c>
      <c r="E2083" t="s">
        <v>142</v>
      </c>
      <c r="F2083">
        <v>1283.68</v>
      </c>
    </row>
    <row r="2084" spans="3:6" x14ac:dyDescent="0.25">
      <c r="C2084" t="s">
        <v>123</v>
      </c>
      <c r="D2084">
        <v>2050</v>
      </c>
      <c r="E2084" t="s">
        <v>143</v>
      </c>
      <c r="F2084">
        <v>903.34</v>
      </c>
    </row>
    <row r="2085" spans="3:6" x14ac:dyDescent="0.25">
      <c r="C2085" t="s">
        <v>123</v>
      </c>
      <c r="D2085">
        <v>2050</v>
      </c>
      <c r="E2085" t="s">
        <v>144</v>
      </c>
      <c r="F2085">
        <v>1061.48</v>
      </c>
    </row>
    <row r="2086" spans="3:6" x14ac:dyDescent="0.25">
      <c r="C2086" t="s">
        <v>123</v>
      </c>
      <c r="D2086">
        <v>2050</v>
      </c>
      <c r="E2086" t="s">
        <v>145</v>
      </c>
      <c r="F2086">
        <v>158.66999999999999</v>
      </c>
    </row>
    <row r="2087" spans="3:6" x14ac:dyDescent="0.25">
      <c r="C2087" t="s">
        <v>124</v>
      </c>
      <c r="D2087">
        <v>2010</v>
      </c>
      <c r="E2087" t="s">
        <v>142</v>
      </c>
      <c r="F2087">
        <v>621.41</v>
      </c>
    </row>
    <row r="2088" spans="3:6" x14ac:dyDescent="0.25">
      <c r="C2088" t="s">
        <v>124</v>
      </c>
      <c r="D2088">
        <v>2010</v>
      </c>
      <c r="E2088" t="s">
        <v>143</v>
      </c>
      <c r="F2088">
        <v>520.48</v>
      </c>
    </row>
    <row r="2089" spans="3:6" x14ac:dyDescent="0.25">
      <c r="C2089" t="s">
        <v>124</v>
      </c>
      <c r="D2089">
        <v>2010</v>
      </c>
      <c r="E2089" t="s">
        <v>144</v>
      </c>
      <c r="F2089">
        <v>1192.1500000000001</v>
      </c>
    </row>
    <row r="2090" spans="3:6" x14ac:dyDescent="0.25">
      <c r="C2090" t="s">
        <v>124</v>
      </c>
      <c r="D2090">
        <v>2010</v>
      </c>
      <c r="E2090" t="s">
        <v>145</v>
      </c>
      <c r="F2090">
        <v>1.22</v>
      </c>
    </row>
    <row r="2091" spans="3:6" x14ac:dyDescent="0.25">
      <c r="C2091" t="s">
        <v>124</v>
      </c>
      <c r="D2091">
        <v>2011</v>
      </c>
      <c r="E2091" t="s">
        <v>142</v>
      </c>
      <c r="F2091">
        <v>630.92999999999995</v>
      </c>
    </row>
    <row r="2092" spans="3:6" x14ac:dyDescent="0.25">
      <c r="C2092" t="s">
        <v>124</v>
      </c>
      <c r="D2092">
        <v>2011</v>
      </c>
      <c r="E2092" t="s">
        <v>143</v>
      </c>
      <c r="F2092">
        <v>581.76</v>
      </c>
    </row>
    <row r="2093" spans="3:6" x14ac:dyDescent="0.25">
      <c r="C2093" t="s">
        <v>124</v>
      </c>
      <c r="D2093">
        <v>2011</v>
      </c>
      <c r="E2093" t="s">
        <v>144</v>
      </c>
      <c r="F2093">
        <v>1189.17</v>
      </c>
    </row>
    <row r="2094" spans="3:6" x14ac:dyDescent="0.25">
      <c r="C2094" t="s">
        <v>124</v>
      </c>
      <c r="D2094">
        <v>2011</v>
      </c>
      <c r="E2094" t="s">
        <v>145</v>
      </c>
      <c r="F2094">
        <v>1.45</v>
      </c>
    </row>
    <row r="2095" spans="3:6" x14ac:dyDescent="0.25">
      <c r="C2095" t="s">
        <v>124</v>
      </c>
      <c r="D2095">
        <v>2012</v>
      </c>
      <c r="E2095" t="s">
        <v>142</v>
      </c>
      <c r="F2095">
        <v>770.11</v>
      </c>
    </row>
    <row r="2096" spans="3:6" x14ac:dyDescent="0.25">
      <c r="C2096" t="s">
        <v>124</v>
      </c>
      <c r="D2096">
        <v>2012</v>
      </c>
      <c r="E2096" t="s">
        <v>143</v>
      </c>
      <c r="F2096">
        <v>546.54999999999995</v>
      </c>
    </row>
    <row r="2097" spans="3:6" x14ac:dyDescent="0.25">
      <c r="C2097" t="s">
        <v>124</v>
      </c>
      <c r="D2097">
        <v>2012</v>
      </c>
      <c r="E2097" t="s">
        <v>144</v>
      </c>
      <c r="F2097">
        <v>1273.48</v>
      </c>
    </row>
    <row r="2098" spans="3:6" x14ac:dyDescent="0.25">
      <c r="C2098" t="s">
        <v>124</v>
      </c>
      <c r="D2098">
        <v>2012</v>
      </c>
      <c r="E2098" t="s">
        <v>145</v>
      </c>
      <c r="F2098">
        <v>1.55</v>
      </c>
    </row>
    <row r="2099" spans="3:6" x14ac:dyDescent="0.25">
      <c r="C2099" t="s">
        <v>124</v>
      </c>
      <c r="D2099">
        <v>2013</v>
      </c>
      <c r="E2099" t="s">
        <v>142</v>
      </c>
      <c r="F2099">
        <v>787.59</v>
      </c>
    </row>
    <row r="2100" spans="3:6" x14ac:dyDescent="0.25">
      <c r="C2100" t="s">
        <v>124</v>
      </c>
      <c r="D2100">
        <v>2013</v>
      </c>
      <c r="E2100" t="s">
        <v>143</v>
      </c>
      <c r="F2100">
        <v>588.08000000000004</v>
      </c>
    </row>
    <row r="2101" spans="3:6" x14ac:dyDescent="0.25">
      <c r="C2101" t="s">
        <v>124</v>
      </c>
      <c r="D2101">
        <v>2013</v>
      </c>
      <c r="E2101" t="s">
        <v>144</v>
      </c>
      <c r="F2101">
        <v>1327.19</v>
      </c>
    </row>
    <row r="2102" spans="3:6" x14ac:dyDescent="0.25">
      <c r="C2102" t="s">
        <v>124</v>
      </c>
      <c r="D2102">
        <v>2013</v>
      </c>
      <c r="E2102" t="s">
        <v>145</v>
      </c>
      <c r="F2102">
        <v>1.2</v>
      </c>
    </row>
    <row r="2103" spans="3:6" x14ac:dyDescent="0.25">
      <c r="C2103" t="s">
        <v>124</v>
      </c>
      <c r="D2103">
        <v>2014</v>
      </c>
      <c r="E2103" t="s">
        <v>142</v>
      </c>
      <c r="F2103">
        <v>877.21</v>
      </c>
    </row>
    <row r="2104" spans="3:6" x14ac:dyDescent="0.25">
      <c r="C2104" t="s">
        <v>124</v>
      </c>
      <c r="D2104">
        <v>2014</v>
      </c>
      <c r="E2104" t="s">
        <v>143</v>
      </c>
      <c r="F2104">
        <v>630.87</v>
      </c>
    </row>
    <row r="2105" spans="3:6" x14ac:dyDescent="0.25">
      <c r="C2105" t="s">
        <v>124</v>
      </c>
      <c r="D2105">
        <v>2014</v>
      </c>
      <c r="E2105" t="s">
        <v>144</v>
      </c>
      <c r="F2105">
        <v>1392.19</v>
      </c>
    </row>
    <row r="2106" spans="3:6" x14ac:dyDescent="0.25">
      <c r="C2106" t="s">
        <v>124</v>
      </c>
      <c r="D2106">
        <v>2014</v>
      </c>
      <c r="E2106" t="s">
        <v>145</v>
      </c>
      <c r="F2106">
        <v>1.48</v>
      </c>
    </row>
    <row r="2107" spans="3:6" x14ac:dyDescent="0.25">
      <c r="C2107" t="s">
        <v>124</v>
      </c>
      <c r="D2107">
        <v>2015</v>
      </c>
      <c r="E2107" t="s">
        <v>142</v>
      </c>
      <c r="F2107">
        <v>1021.28</v>
      </c>
    </row>
    <row r="2108" spans="3:6" x14ac:dyDescent="0.25">
      <c r="C2108" t="s">
        <v>124</v>
      </c>
      <c r="D2108">
        <v>2015</v>
      </c>
      <c r="E2108" t="s">
        <v>143</v>
      </c>
      <c r="F2108">
        <v>436.42</v>
      </c>
    </row>
    <row r="2109" spans="3:6" x14ac:dyDescent="0.25">
      <c r="C2109" t="s">
        <v>124</v>
      </c>
      <c r="D2109">
        <v>2015</v>
      </c>
      <c r="E2109" t="s">
        <v>144</v>
      </c>
      <c r="F2109">
        <v>1565.87</v>
      </c>
    </row>
    <row r="2110" spans="3:6" x14ac:dyDescent="0.25">
      <c r="C2110" t="s">
        <v>124</v>
      </c>
      <c r="D2110">
        <v>2015</v>
      </c>
      <c r="E2110" t="s">
        <v>145</v>
      </c>
      <c r="F2110">
        <v>2.38</v>
      </c>
    </row>
    <row r="2111" spans="3:6" x14ac:dyDescent="0.25">
      <c r="C2111" t="s">
        <v>124</v>
      </c>
      <c r="D2111">
        <v>2016</v>
      </c>
      <c r="E2111" t="s">
        <v>142</v>
      </c>
      <c r="F2111">
        <v>1036.4100000000001</v>
      </c>
    </row>
    <row r="2112" spans="3:6" x14ac:dyDescent="0.25">
      <c r="C2112" t="s">
        <v>124</v>
      </c>
      <c r="D2112">
        <v>2016</v>
      </c>
      <c r="E2112" t="s">
        <v>143</v>
      </c>
      <c r="F2112">
        <v>500.4</v>
      </c>
    </row>
    <row r="2113" spans="3:6" x14ac:dyDescent="0.25">
      <c r="C2113" t="s">
        <v>124</v>
      </c>
      <c r="D2113">
        <v>2016</v>
      </c>
      <c r="E2113" t="s">
        <v>144</v>
      </c>
      <c r="F2113">
        <v>1579.35</v>
      </c>
    </row>
    <row r="2114" spans="3:6" x14ac:dyDescent="0.25">
      <c r="C2114" t="s">
        <v>124</v>
      </c>
      <c r="D2114">
        <v>2016</v>
      </c>
      <c r="E2114" t="s">
        <v>145</v>
      </c>
      <c r="F2114">
        <v>1.86</v>
      </c>
    </row>
    <row r="2115" spans="3:6" x14ac:dyDescent="0.25">
      <c r="C2115" t="s">
        <v>124</v>
      </c>
      <c r="D2115">
        <v>2017</v>
      </c>
      <c r="E2115" t="s">
        <v>142</v>
      </c>
      <c r="F2115">
        <v>1072.97</v>
      </c>
    </row>
    <row r="2116" spans="3:6" x14ac:dyDescent="0.25">
      <c r="C2116" t="s">
        <v>124</v>
      </c>
      <c r="D2116">
        <v>2017</v>
      </c>
      <c r="E2116" t="s">
        <v>143</v>
      </c>
      <c r="F2116">
        <v>516.17999999999995</v>
      </c>
    </row>
    <row r="2117" spans="3:6" x14ac:dyDescent="0.25">
      <c r="C2117" t="s">
        <v>124</v>
      </c>
      <c r="D2117">
        <v>2017</v>
      </c>
      <c r="E2117" t="s">
        <v>144</v>
      </c>
      <c r="F2117">
        <v>1644.84</v>
      </c>
    </row>
    <row r="2118" spans="3:6" x14ac:dyDescent="0.25">
      <c r="C2118" t="s">
        <v>124</v>
      </c>
      <c r="D2118">
        <v>2017</v>
      </c>
      <c r="E2118" t="s">
        <v>145</v>
      </c>
      <c r="F2118">
        <v>2.0699999999999998</v>
      </c>
    </row>
    <row r="2119" spans="3:6" x14ac:dyDescent="0.25">
      <c r="C2119" t="s">
        <v>124</v>
      </c>
      <c r="D2119">
        <v>2018</v>
      </c>
      <c r="E2119" t="s">
        <v>142</v>
      </c>
      <c r="F2119">
        <v>1123.3499999999999</v>
      </c>
    </row>
    <row r="2120" spans="3:6" x14ac:dyDescent="0.25">
      <c r="C2120" t="s">
        <v>124</v>
      </c>
      <c r="D2120">
        <v>2018</v>
      </c>
      <c r="E2120" t="s">
        <v>143</v>
      </c>
      <c r="F2120">
        <v>494.33</v>
      </c>
    </row>
    <row r="2121" spans="3:6" x14ac:dyDescent="0.25">
      <c r="C2121" t="s">
        <v>124</v>
      </c>
      <c r="D2121">
        <v>2018</v>
      </c>
      <c r="E2121" t="s">
        <v>144</v>
      </c>
      <c r="F2121">
        <v>1655.39</v>
      </c>
    </row>
    <row r="2122" spans="3:6" x14ac:dyDescent="0.25">
      <c r="C2122" t="s">
        <v>124</v>
      </c>
      <c r="D2122">
        <v>2018</v>
      </c>
      <c r="E2122" t="s">
        <v>145</v>
      </c>
      <c r="F2122">
        <v>2.09</v>
      </c>
    </row>
    <row r="2123" spans="3:6" x14ac:dyDescent="0.25">
      <c r="C2123" t="s">
        <v>124</v>
      </c>
      <c r="D2123">
        <v>2019</v>
      </c>
      <c r="E2123" t="s">
        <v>142</v>
      </c>
      <c r="F2123">
        <v>1139.27</v>
      </c>
    </row>
    <row r="2124" spans="3:6" x14ac:dyDescent="0.25">
      <c r="C2124" t="s">
        <v>124</v>
      </c>
      <c r="D2124">
        <v>2019</v>
      </c>
      <c r="E2124" t="s">
        <v>143</v>
      </c>
      <c r="F2124">
        <v>506.06</v>
      </c>
    </row>
    <row r="2125" spans="3:6" x14ac:dyDescent="0.25">
      <c r="C2125" t="s">
        <v>124</v>
      </c>
      <c r="D2125">
        <v>2019</v>
      </c>
      <c r="E2125" t="s">
        <v>144</v>
      </c>
      <c r="F2125">
        <v>1715.28</v>
      </c>
    </row>
    <row r="2126" spans="3:6" x14ac:dyDescent="0.25">
      <c r="C2126" t="s">
        <v>124</v>
      </c>
      <c r="D2126">
        <v>2019</v>
      </c>
      <c r="E2126" t="s">
        <v>145</v>
      </c>
      <c r="F2126">
        <v>5.66</v>
      </c>
    </row>
    <row r="2127" spans="3:6" x14ac:dyDescent="0.25">
      <c r="C2127" t="s">
        <v>124</v>
      </c>
      <c r="D2127">
        <v>2020</v>
      </c>
      <c r="E2127" t="s">
        <v>142</v>
      </c>
      <c r="F2127">
        <v>1096.3499999999999</v>
      </c>
    </row>
    <row r="2128" spans="3:6" x14ac:dyDescent="0.25">
      <c r="C2128" t="s">
        <v>124</v>
      </c>
      <c r="D2128">
        <v>2020</v>
      </c>
      <c r="E2128" t="s">
        <v>143</v>
      </c>
      <c r="F2128">
        <v>493.57</v>
      </c>
    </row>
    <row r="2129" spans="3:6" x14ac:dyDescent="0.25">
      <c r="C2129" t="s">
        <v>124</v>
      </c>
      <c r="D2129">
        <v>2020</v>
      </c>
      <c r="E2129" t="s">
        <v>144</v>
      </c>
      <c r="F2129">
        <v>1668.71</v>
      </c>
    </row>
    <row r="2130" spans="3:6" x14ac:dyDescent="0.25">
      <c r="C2130" t="s">
        <v>124</v>
      </c>
      <c r="D2130">
        <v>2020</v>
      </c>
      <c r="E2130" t="s">
        <v>145</v>
      </c>
      <c r="F2130">
        <v>4.92</v>
      </c>
    </row>
    <row r="2131" spans="3:6" x14ac:dyDescent="0.25">
      <c r="C2131" t="s">
        <v>124</v>
      </c>
      <c r="D2131">
        <v>2021</v>
      </c>
      <c r="E2131" t="s">
        <v>142</v>
      </c>
      <c r="F2131">
        <v>1122.77</v>
      </c>
    </row>
    <row r="2132" spans="3:6" x14ac:dyDescent="0.25">
      <c r="C2132" t="s">
        <v>124</v>
      </c>
      <c r="D2132">
        <v>2021</v>
      </c>
      <c r="E2132" t="s">
        <v>143</v>
      </c>
      <c r="F2132">
        <v>505.53</v>
      </c>
    </row>
    <row r="2133" spans="3:6" x14ac:dyDescent="0.25">
      <c r="C2133" t="s">
        <v>124</v>
      </c>
      <c r="D2133">
        <v>2021</v>
      </c>
      <c r="E2133" t="s">
        <v>144</v>
      </c>
      <c r="F2133">
        <v>1676.91</v>
      </c>
    </row>
    <row r="2134" spans="3:6" x14ac:dyDescent="0.25">
      <c r="C2134" t="s">
        <v>124</v>
      </c>
      <c r="D2134">
        <v>2021</v>
      </c>
      <c r="E2134" t="s">
        <v>145</v>
      </c>
      <c r="F2134">
        <v>5.89</v>
      </c>
    </row>
    <row r="2135" spans="3:6" x14ac:dyDescent="0.25">
      <c r="C2135" t="s">
        <v>124</v>
      </c>
      <c r="D2135">
        <v>2022</v>
      </c>
      <c r="E2135" t="s">
        <v>142</v>
      </c>
      <c r="F2135">
        <v>1171.51</v>
      </c>
    </row>
    <row r="2136" spans="3:6" x14ac:dyDescent="0.25">
      <c r="C2136" t="s">
        <v>124</v>
      </c>
      <c r="D2136">
        <v>2022</v>
      </c>
      <c r="E2136" t="s">
        <v>143</v>
      </c>
      <c r="F2136">
        <v>512.84</v>
      </c>
    </row>
    <row r="2137" spans="3:6" x14ac:dyDescent="0.25">
      <c r="C2137" t="s">
        <v>124</v>
      </c>
      <c r="D2137">
        <v>2022</v>
      </c>
      <c r="E2137" t="s">
        <v>144</v>
      </c>
      <c r="F2137">
        <v>1708</v>
      </c>
    </row>
    <row r="2138" spans="3:6" x14ac:dyDescent="0.25">
      <c r="C2138" t="s">
        <v>124</v>
      </c>
      <c r="D2138">
        <v>2022</v>
      </c>
      <c r="E2138" t="s">
        <v>145</v>
      </c>
      <c r="F2138">
        <v>6.15</v>
      </c>
    </row>
    <row r="2139" spans="3:6" x14ac:dyDescent="0.25">
      <c r="C2139" t="s">
        <v>124</v>
      </c>
      <c r="D2139">
        <v>2023</v>
      </c>
      <c r="E2139" t="s">
        <v>142</v>
      </c>
      <c r="F2139">
        <v>1220.3599999999999</v>
      </c>
    </row>
    <row r="2140" spans="3:6" x14ac:dyDescent="0.25">
      <c r="C2140" t="s">
        <v>124</v>
      </c>
      <c r="D2140">
        <v>2023</v>
      </c>
      <c r="E2140" t="s">
        <v>143</v>
      </c>
      <c r="F2140">
        <v>517.86</v>
      </c>
    </row>
    <row r="2141" spans="3:6" x14ac:dyDescent="0.25">
      <c r="C2141" t="s">
        <v>124</v>
      </c>
      <c r="D2141">
        <v>2023</v>
      </c>
      <c r="E2141" t="s">
        <v>144</v>
      </c>
      <c r="F2141">
        <v>1738.03</v>
      </c>
    </row>
    <row r="2142" spans="3:6" x14ac:dyDescent="0.25">
      <c r="C2142" t="s">
        <v>124</v>
      </c>
      <c r="D2142">
        <v>2023</v>
      </c>
      <c r="E2142" t="s">
        <v>145</v>
      </c>
      <c r="F2142">
        <v>6.1</v>
      </c>
    </row>
    <row r="2143" spans="3:6" x14ac:dyDescent="0.25">
      <c r="C2143" t="s">
        <v>124</v>
      </c>
      <c r="D2143">
        <v>2024</v>
      </c>
      <c r="E2143" t="s">
        <v>142</v>
      </c>
      <c r="F2143">
        <v>1260.23</v>
      </c>
    </row>
    <row r="2144" spans="3:6" x14ac:dyDescent="0.25">
      <c r="C2144" t="s">
        <v>124</v>
      </c>
      <c r="D2144">
        <v>2024</v>
      </c>
      <c r="E2144" t="s">
        <v>143</v>
      </c>
      <c r="F2144">
        <v>521.34</v>
      </c>
    </row>
    <row r="2145" spans="3:6" x14ac:dyDescent="0.25">
      <c r="C2145" t="s">
        <v>124</v>
      </c>
      <c r="D2145">
        <v>2024</v>
      </c>
      <c r="E2145" t="s">
        <v>144</v>
      </c>
      <c r="F2145">
        <v>1787.81</v>
      </c>
    </row>
    <row r="2146" spans="3:6" x14ac:dyDescent="0.25">
      <c r="C2146" t="s">
        <v>124</v>
      </c>
      <c r="D2146">
        <v>2024</v>
      </c>
      <c r="E2146" t="s">
        <v>145</v>
      </c>
      <c r="F2146">
        <v>5.75</v>
      </c>
    </row>
    <row r="2147" spans="3:6" x14ac:dyDescent="0.25">
      <c r="C2147" t="s">
        <v>124</v>
      </c>
      <c r="D2147">
        <v>2025</v>
      </c>
      <c r="E2147" t="s">
        <v>142</v>
      </c>
      <c r="F2147">
        <v>1294.25</v>
      </c>
    </row>
    <row r="2148" spans="3:6" x14ac:dyDescent="0.25">
      <c r="C2148" t="s">
        <v>124</v>
      </c>
      <c r="D2148">
        <v>2025</v>
      </c>
      <c r="E2148" t="s">
        <v>143</v>
      </c>
      <c r="F2148">
        <v>524.16999999999996</v>
      </c>
    </row>
    <row r="2149" spans="3:6" x14ac:dyDescent="0.25">
      <c r="C2149" t="s">
        <v>124</v>
      </c>
      <c r="D2149">
        <v>2025</v>
      </c>
      <c r="E2149" t="s">
        <v>144</v>
      </c>
      <c r="F2149">
        <v>1828.21</v>
      </c>
    </row>
    <row r="2150" spans="3:6" x14ac:dyDescent="0.25">
      <c r="C2150" t="s">
        <v>124</v>
      </c>
      <c r="D2150">
        <v>2025</v>
      </c>
      <c r="E2150" t="s">
        <v>145</v>
      </c>
      <c r="F2150">
        <v>5.22</v>
      </c>
    </row>
    <row r="2151" spans="3:6" x14ac:dyDescent="0.25">
      <c r="C2151" t="s">
        <v>124</v>
      </c>
      <c r="D2151">
        <v>2026</v>
      </c>
      <c r="E2151" t="s">
        <v>142</v>
      </c>
      <c r="F2151">
        <v>1310.58</v>
      </c>
    </row>
    <row r="2152" spans="3:6" x14ac:dyDescent="0.25">
      <c r="C2152" t="s">
        <v>124</v>
      </c>
      <c r="D2152">
        <v>2026</v>
      </c>
      <c r="E2152" t="s">
        <v>143</v>
      </c>
      <c r="F2152">
        <v>525.29999999999995</v>
      </c>
    </row>
    <row r="2153" spans="3:6" x14ac:dyDescent="0.25">
      <c r="C2153" t="s">
        <v>124</v>
      </c>
      <c r="D2153">
        <v>2026</v>
      </c>
      <c r="E2153" t="s">
        <v>144</v>
      </c>
      <c r="F2153">
        <v>1845.18</v>
      </c>
    </row>
    <row r="2154" spans="3:6" x14ac:dyDescent="0.25">
      <c r="C2154" t="s">
        <v>124</v>
      </c>
      <c r="D2154">
        <v>2026</v>
      </c>
      <c r="E2154" t="s">
        <v>145</v>
      </c>
      <c r="F2154">
        <v>5.29</v>
      </c>
    </row>
    <row r="2155" spans="3:6" x14ac:dyDescent="0.25">
      <c r="C2155" t="s">
        <v>124</v>
      </c>
      <c r="D2155">
        <v>2027</v>
      </c>
      <c r="E2155" t="s">
        <v>142</v>
      </c>
      <c r="F2155">
        <v>1325.04</v>
      </c>
    </row>
    <row r="2156" spans="3:6" x14ac:dyDescent="0.25">
      <c r="C2156" t="s">
        <v>124</v>
      </c>
      <c r="D2156">
        <v>2027</v>
      </c>
      <c r="E2156" t="s">
        <v>143</v>
      </c>
      <c r="F2156">
        <v>525.66999999999996</v>
      </c>
    </row>
    <row r="2157" spans="3:6" x14ac:dyDescent="0.25">
      <c r="C2157" t="s">
        <v>124</v>
      </c>
      <c r="D2157">
        <v>2027</v>
      </c>
      <c r="E2157" t="s">
        <v>144</v>
      </c>
      <c r="F2157">
        <v>1860.69</v>
      </c>
    </row>
    <row r="2158" spans="3:6" x14ac:dyDescent="0.25">
      <c r="C2158" t="s">
        <v>124</v>
      </c>
      <c r="D2158">
        <v>2027</v>
      </c>
      <c r="E2158" t="s">
        <v>145</v>
      </c>
      <c r="F2158">
        <v>5.28</v>
      </c>
    </row>
    <row r="2159" spans="3:6" x14ac:dyDescent="0.25">
      <c r="C2159" t="s">
        <v>124</v>
      </c>
      <c r="D2159">
        <v>2028</v>
      </c>
      <c r="E2159" t="s">
        <v>142</v>
      </c>
      <c r="F2159">
        <v>1339.91</v>
      </c>
    </row>
    <row r="2160" spans="3:6" x14ac:dyDescent="0.25">
      <c r="C2160" t="s">
        <v>124</v>
      </c>
      <c r="D2160">
        <v>2028</v>
      </c>
      <c r="E2160" t="s">
        <v>143</v>
      </c>
      <c r="F2160">
        <v>526.87</v>
      </c>
    </row>
    <row r="2161" spans="3:6" x14ac:dyDescent="0.25">
      <c r="C2161" t="s">
        <v>124</v>
      </c>
      <c r="D2161">
        <v>2028</v>
      </c>
      <c r="E2161" t="s">
        <v>144</v>
      </c>
      <c r="F2161">
        <v>1875.31</v>
      </c>
    </row>
    <row r="2162" spans="3:6" x14ac:dyDescent="0.25">
      <c r="C2162" t="s">
        <v>124</v>
      </c>
      <c r="D2162">
        <v>2028</v>
      </c>
      <c r="E2162" t="s">
        <v>145</v>
      </c>
      <c r="F2162">
        <v>5.23</v>
      </c>
    </row>
    <row r="2163" spans="3:6" x14ac:dyDescent="0.25">
      <c r="C2163" t="s">
        <v>124</v>
      </c>
      <c r="D2163">
        <v>2029</v>
      </c>
      <c r="E2163" t="s">
        <v>142</v>
      </c>
      <c r="F2163">
        <v>1353.86</v>
      </c>
    </row>
    <row r="2164" spans="3:6" x14ac:dyDescent="0.25">
      <c r="C2164" t="s">
        <v>124</v>
      </c>
      <c r="D2164">
        <v>2029</v>
      </c>
      <c r="E2164" t="s">
        <v>143</v>
      </c>
      <c r="F2164">
        <v>527.9</v>
      </c>
    </row>
    <row r="2165" spans="3:6" x14ac:dyDescent="0.25">
      <c r="C2165" t="s">
        <v>124</v>
      </c>
      <c r="D2165">
        <v>2029</v>
      </c>
      <c r="E2165" t="s">
        <v>144</v>
      </c>
      <c r="F2165">
        <v>1888.86</v>
      </c>
    </row>
    <row r="2166" spans="3:6" x14ac:dyDescent="0.25">
      <c r="C2166" t="s">
        <v>124</v>
      </c>
      <c r="D2166">
        <v>2029</v>
      </c>
      <c r="E2166" t="s">
        <v>145</v>
      </c>
      <c r="F2166">
        <v>5.12</v>
      </c>
    </row>
    <row r="2167" spans="3:6" x14ac:dyDescent="0.25">
      <c r="C2167" t="s">
        <v>124</v>
      </c>
      <c r="D2167">
        <v>2030</v>
      </c>
      <c r="E2167" t="s">
        <v>142</v>
      </c>
      <c r="F2167">
        <v>1367.91</v>
      </c>
    </row>
    <row r="2168" spans="3:6" x14ac:dyDescent="0.25">
      <c r="C2168" t="s">
        <v>124</v>
      </c>
      <c r="D2168">
        <v>2030</v>
      </c>
      <c r="E2168" t="s">
        <v>143</v>
      </c>
      <c r="F2168">
        <v>529.32000000000005</v>
      </c>
    </row>
    <row r="2169" spans="3:6" x14ac:dyDescent="0.25">
      <c r="C2169" t="s">
        <v>124</v>
      </c>
      <c r="D2169">
        <v>2030</v>
      </c>
      <c r="E2169" t="s">
        <v>144</v>
      </c>
      <c r="F2169">
        <v>1901.7</v>
      </c>
    </row>
    <row r="2170" spans="3:6" x14ac:dyDescent="0.25">
      <c r="C2170" t="s">
        <v>124</v>
      </c>
      <c r="D2170">
        <v>2030</v>
      </c>
      <c r="E2170" t="s">
        <v>145</v>
      </c>
      <c r="F2170">
        <v>5</v>
      </c>
    </row>
    <row r="2171" spans="3:6" x14ac:dyDescent="0.25">
      <c r="C2171" t="s">
        <v>124</v>
      </c>
      <c r="D2171">
        <v>2031</v>
      </c>
      <c r="E2171" t="s">
        <v>142</v>
      </c>
      <c r="F2171">
        <v>1385.3</v>
      </c>
    </row>
    <row r="2172" spans="3:6" x14ac:dyDescent="0.25">
      <c r="C2172" t="s">
        <v>124</v>
      </c>
      <c r="D2172">
        <v>2031</v>
      </c>
      <c r="E2172" t="s">
        <v>143</v>
      </c>
      <c r="F2172">
        <v>531.57000000000005</v>
      </c>
    </row>
    <row r="2173" spans="3:6" x14ac:dyDescent="0.25">
      <c r="C2173" t="s">
        <v>124</v>
      </c>
      <c r="D2173">
        <v>2031</v>
      </c>
      <c r="E2173" t="s">
        <v>144</v>
      </c>
      <c r="F2173">
        <v>1919.72</v>
      </c>
    </row>
    <row r="2174" spans="3:6" x14ac:dyDescent="0.25">
      <c r="C2174" t="s">
        <v>124</v>
      </c>
      <c r="D2174">
        <v>2031</v>
      </c>
      <c r="E2174" t="s">
        <v>145</v>
      </c>
      <c r="F2174">
        <v>4.88</v>
      </c>
    </row>
    <row r="2175" spans="3:6" x14ac:dyDescent="0.25">
      <c r="C2175" t="s">
        <v>124</v>
      </c>
      <c r="D2175">
        <v>2032</v>
      </c>
      <c r="E2175" t="s">
        <v>142</v>
      </c>
      <c r="F2175">
        <v>1402.08</v>
      </c>
    </row>
    <row r="2176" spans="3:6" x14ac:dyDescent="0.25">
      <c r="C2176" t="s">
        <v>124</v>
      </c>
      <c r="D2176">
        <v>2032</v>
      </c>
      <c r="E2176" t="s">
        <v>143</v>
      </c>
      <c r="F2176">
        <v>532.66999999999996</v>
      </c>
    </row>
    <row r="2177" spans="3:6" x14ac:dyDescent="0.25">
      <c r="C2177" t="s">
        <v>124</v>
      </c>
      <c r="D2177">
        <v>2032</v>
      </c>
      <c r="E2177" t="s">
        <v>144</v>
      </c>
      <c r="F2177">
        <v>1937.69</v>
      </c>
    </row>
    <row r="2178" spans="3:6" x14ac:dyDescent="0.25">
      <c r="C2178" t="s">
        <v>124</v>
      </c>
      <c r="D2178">
        <v>2032</v>
      </c>
      <c r="E2178" t="s">
        <v>145</v>
      </c>
      <c r="F2178">
        <v>4.75</v>
      </c>
    </row>
    <row r="2179" spans="3:6" x14ac:dyDescent="0.25">
      <c r="C2179" t="s">
        <v>124</v>
      </c>
      <c r="D2179">
        <v>2033</v>
      </c>
      <c r="E2179" t="s">
        <v>142</v>
      </c>
      <c r="F2179">
        <v>1417.53</v>
      </c>
    </row>
    <row r="2180" spans="3:6" x14ac:dyDescent="0.25">
      <c r="C2180" t="s">
        <v>124</v>
      </c>
      <c r="D2180">
        <v>2033</v>
      </c>
      <c r="E2180" t="s">
        <v>143</v>
      </c>
      <c r="F2180">
        <v>533.99</v>
      </c>
    </row>
    <row r="2181" spans="3:6" x14ac:dyDescent="0.25">
      <c r="C2181" t="s">
        <v>124</v>
      </c>
      <c r="D2181">
        <v>2033</v>
      </c>
      <c r="E2181" t="s">
        <v>144</v>
      </c>
      <c r="F2181">
        <v>1954.64</v>
      </c>
    </row>
    <row r="2182" spans="3:6" x14ac:dyDescent="0.25">
      <c r="C2182" t="s">
        <v>124</v>
      </c>
      <c r="D2182">
        <v>2033</v>
      </c>
      <c r="E2182" t="s">
        <v>145</v>
      </c>
      <c r="F2182">
        <v>4.59</v>
      </c>
    </row>
    <row r="2183" spans="3:6" x14ac:dyDescent="0.25">
      <c r="C2183" t="s">
        <v>124</v>
      </c>
      <c r="D2183">
        <v>2034</v>
      </c>
      <c r="E2183" t="s">
        <v>142</v>
      </c>
      <c r="F2183">
        <v>1432.8</v>
      </c>
    </row>
    <row r="2184" spans="3:6" x14ac:dyDescent="0.25">
      <c r="C2184" t="s">
        <v>124</v>
      </c>
      <c r="D2184">
        <v>2034</v>
      </c>
      <c r="E2184" t="s">
        <v>143</v>
      </c>
      <c r="F2184">
        <v>535.51</v>
      </c>
    </row>
    <row r="2185" spans="3:6" x14ac:dyDescent="0.25">
      <c r="C2185" t="s">
        <v>124</v>
      </c>
      <c r="D2185">
        <v>2034</v>
      </c>
      <c r="E2185" t="s">
        <v>144</v>
      </c>
      <c r="F2185">
        <v>1971.45</v>
      </c>
    </row>
    <row r="2186" spans="3:6" x14ac:dyDescent="0.25">
      <c r="C2186" t="s">
        <v>124</v>
      </c>
      <c r="D2186">
        <v>2034</v>
      </c>
      <c r="E2186" t="s">
        <v>145</v>
      </c>
      <c r="F2186">
        <v>4.41</v>
      </c>
    </row>
    <row r="2187" spans="3:6" x14ac:dyDescent="0.25">
      <c r="C2187" t="s">
        <v>124</v>
      </c>
      <c r="D2187">
        <v>2035</v>
      </c>
      <c r="E2187" t="s">
        <v>142</v>
      </c>
      <c r="F2187">
        <v>1447.04</v>
      </c>
    </row>
    <row r="2188" spans="3:6" x14ac:dyDescent="0.25">
      <c r="C2188" t="s">
        <v>124</v>
      </c>
      <c r="D2188">
        <v>2035</v>
      </c>
      <c r="E2188" t="s">
        <v>143</v>
      </c>
      <c r="F2188">
        <v>537.29</v>
      </c>
    </row>
    <row r="2189" spans="3:6" x14ac:dyDescent="0.25">
      <c r="C2189" t="s">
        <v>124</v>
      </c>
      <c r="D2189">
        <v>2035</v>
      </c>
      <c r="E2189" t="s">
        <v>144</v>
      </c>
      <c r="F2189">
        <v>1987.78</v>
      </c>
    </row>
    <row r="2190" spans="3:6" x14ac:dyDescent="0.25">
      <c r="C2190" t="s">
        <v>124</v>
      </c>
      <c r="D2190">
        <v>2035</v>
      </c>
      <c r="E2190" t="s">
        <v>145</v>
      </c>
      <c r="F2190">
        <v>4.21</v>
      </c>
    </row>
    <row r="2191" spans="3:6" x14ac:dyDescent="0.25">
      <c r="C2191" t="s">
        <v>124</v>
      </c>
      <c r="D2191">
        <v>2036</v>
      </c>
      <c r="E2191" t="s">
        <v>142</v>
      </c>
      <c r="F2191">
        <v>1481.79</v>
      </c>
    </row>
    <row r="2192" spans="3:6" x14ac:dyDescent="0.25">
      <c r="C2192" t="s">
        <v>124</v>
      </c>
      <c r="D2192">
        <v>2036</v>
      </c>
      <c r="E2192" t="s">
        <v>143</v>
      </c>
      <c r="F2192">
        <v>539.52</v>
      </c>
    </row>
    <row r="2193" spans="3:6" x14ac:dyDescent="0.25">
      <c r="C2193" t="s">
        <v>124</v>
      </c>
      <c r="D2193">
        <v>2036</v>
      </c>
      <c r="E2193" t="s">
        <v>144</v>
      </c>
      <c r="F2193">
        <v>2032.55</v>
      </c>
    </row>
    <row r="2194" spans="3:6" x14ac:dyDescent="0.25">
      <c r="C2194" t="s">
        <v>124</v>
      </c>
      <c r="D2194">
        <v>2036</v>
      </c>
      <c r="E2194" t="s">
        <v>145</v>
      </c>
      <c r="F2194">
        <v>4.0599999999999996</v>
      </c>
    </row>
    <row r="2195" spans="3:6" x14ac:dyDescent="0.25">
      <c r="C2195" t="s">
        <v>124</v>
      </c>
      <c r="D2195">
        <v>2037</v>
      </c>
      <c r="E2195" t="s">
        <v>142</v>
      </c>
      <c r="F2195">
        <v>1517.35</v>
      </c>
    </row>
    <row r="2196" spans="3:6" x14ac:dyDescent="0.25">
      <c r="C2196" t="s">
        <v>124</v>
      </c>
      <c r="D2196">
        <v>2037</v>
      </c>
      <c r="E2196" t="s">
        <v>143</v>
      </c>
      <c r="F2196">
        <v>541.39</v>
      </c>
    </row>
    <row r="2197" spans="3:6" x14ac:dyDescent="0.25">
      <c r="C2197" t="s">
        <v>124</v>
      </c>
      <c r="D2197">
        <v>2037</v>
      </c>
      <c r="E2197" t="s">
        <v>144</v>
      </c>
      <c r="F2197">
        <v>2078.21</v>
      </c>
    </row>
    <row r="2198" spans="3:6" x14ac:dyDescent="0.25">
      <c r="C2198" t="s">
        <v>124</v>
      </c>
      <c r="D2198">
        <v>2037</v>
      </c>
      <c r="E2198" t="s">
        <v>145</v>
      </c>
      <c r="F2198">
        <v>3.89</v>
      </c>
    </row>
    <row r="2199" spans="3:6" x14ac:dyDescent="0.25">
      <c r="C2199" t="s">
        <v>124</v>
      </c>
      <c r="D2199">
        <v>2038</v>
      </c>
      <c r="E2199" t="s">
        <v>142</v>
      </c>
      <c r="F2199">
        <v>1553.38</v>
      </c>
    </row>
    <row r="2200" spans="3:6" x14ac:dyDescent="0.25">
      <c r="C2200" t="s">
        <v>124</v>
      </c>
      <c r="D2200">
        <v>2038</v>
      </c>
      <c r="E2200" t="s">
        <v>143</v>
      </c>
      <c r="F2200">
        <v>543.36</v>
      </c>
    </row>
    <row r="2201" spans="3:6" x14ac:dyDescent="0.25">
      <c r="C2201" t="s">
        <v>124</v>
      </c>
      <c r="D2201">
        <v>2038</v>
      </c>
      <c r="E2201" t="s">
        <v>144</v>
      </c>
      <c r="F2201">
        <v>2124.59</v>
      </c>
    </row>
    <row r="2202" spans="3:6" x14ac:dyDescent="0.25">
      <c r="C2202" t="s">
        <v>124</v>
      </c>
      <c r="D2202">
        <v>2038</v>
      </c>
      <c r="E2202" t="s">
        <v>145</v>
      </c>
      <c r="F2202">
        <v>3.73</v>
      </c>
    </row>
    <row r="2203" spans="3:6" x14ac:dyDescent="0.25">
      <c r="C2203" t="s">
        <v>124</v>
      </c>
      <c r="D2203">
        <v>2039</v>
      </c>
      <c r="E2203" t="s">
        <v>142</v>
      </c>
      <c r="F2203">
        <v>1589.15</v>
      </c>
    </row>
    <row r="2204" spans="3:6" x14ac:dyDescent="0.25">
      <c r="C2204" t="s">
        <v>124</v>
      </c>
      <c r="D2204">
        <v>2039</v>
      </c>
      <c r="E2204" t="s">
        <v>143</v>
      </c>
      <c r="F2204">
        <v>545.15</v>
      </c>
    </row>
    <row r="2205" spans="3:6" x14ac:dyDescent="0.25">
      <c r="C2205" t="s">
        <v>124</v>
      </c>
      <c r="D2205">
        <v>2039</v>
      </c>
      <c r="E2205" t="s">
        <v>144</v>
      </c>
      <c r="F2205">
        <v>2170.85</v>
      </c>
    </row>
    <row r="2206" spans="3:6" x14ac:dyDescent="0.25">
      <c r="C2206" t="s">
        <v>124</v>
      </c>
      <c r="D2206">
        <v>2039</v>
      </c>
      <c r="E2206" t="s">
        <v>145</v>
      </c>
      <c r="F2206">
        <v>3.57</v>
      </c>
    </row>
    <row r="2207" spans="3:6" x14ac:dyDescent="0.25">
      <c r="C2207" t="s">
        <v>124</v>
      </c>
      <c r="D2207">
        <v>2040</v>
      </c>
      <c r="E2207" t="s">
        <v>142</v>
      </c>
      <c r="F2207">
        <v>1627.61</v>
      </c>
    </row>
    <row r="2208" spans="3:6" x14ac:dyDescent="0.25">
      <c r="C2208" t="s">
        <v>124</v>
      </c>
      <c r="D2208">
        <v>2040</v>
      </c>
      <c r="E2208" t="s">
        <v>143</v>
      </c>
      <c r="F2208">
        <v>546.89</v>
      </c>
    </row>
    <row r="2209" spans="3:6" x14ac:dyDescent="0.25">
      <c r="C2209" t="s">
        <v>124</v>
      </c>
      <c r="D2209">
        <v>2040</v>
      </c>
      <c r="E2209" t="s">
        <v>144</v>
      </c>
      <c r="F2209">
        <v>2219.13</v>
      </c>
    </row>
    <row r="2210" spans="3:6" x14ac:dyDescent="0.25">
      <c r="C2210" t="s">
        <v>124</v>
      </c>
      <c r="D2210">
        <v>2040</v>
      </c>
      <c r="E2210" t="s">
        <v>145</v>
      </c>
      <c r="F2210">
        <v>3.39</v>
      </c>
    </row>
    <row r="2211" spans="3:6" x14ac:dyDescent="0.25">
      <c r="C2211" t="s">
        <v>124</v>
      </c>
      <c r="D2211">
        <v>2041</v>
      </c>
      <c r="E2211" t="s">
        <v>142</v>
      </c>
      <c r="F2211">
        <v>1655.05</v>
      </c>
    </row>
    <row r="2212" spans="3:6" x14ac:dyDescent="0.25">
      <c r="C2212" t="s">
        <v>124</v>
      </c>
      <c r="D2212">
        <v>2041</v>
      </c>
      <c r="E2212" t="s">
        <v>143</v>
      </c>
      <c r="F2212">
        <v>548.65</v>
      </c>
    </row>
    <row r="2213" spans="3:6" x14ac:dyDescent="0.25">
      <c r="C2213" t="s">
        <v>124</v>
      </c>
      <c r="D2213">
        <v>2041</v>
      </c>
      <c r="E2213" t="s">
        <v>144</v>
      </c>
      <c r="F2213">
        <v>2254.17</v>
      </c>
    </row>
    <row r="2214" spans="3:6" x14ac:dyDescent="0.25">
      <c r="C2214" t="s">
        <v>124</v>
      </c>
      <c r="D2214">
        <v>2041</v>
      </c>
      <c r="E2214" t="s">
        <v>145</v>
      </c>
      <c r="F2214">
        <v>3.25</v>
      </c>
    </row>
    <row r="2215" spans="3:6" x14ac:dyDescent="0.25">
      <c r="C2215" t="s">
        <v>124</v>
      </c>
      <c r="D2215">
        <v>2042</v>
      </c>
      <c r="E2215" t="s">
        <v>142</v>
      </c>
      <c r="F2215">
        <v>1681.28</v>
      </c>
    </row>
    <row r="2216" spans="3:6" x14ac:dyDescent="0.25">
      <c r="C2216" t="s">
        <v>124</v>
      </c>
      <c r="D2216">
        <v>2042</v>
      </c>
      <c r="E2216" t="s">
        <v>143</v>
      </c>
      <c r="F2216">
        <v>550.23</v>
      </c>
    </row>
    <row r="2217" spans="3:6" x14ac:dyDescent="0.25">
      <c r="C2217" t="s">
        <v>124</v>
      </c>
      <c r="D2217">
        <v>2042</v>
      </c>
      <c r="E2217" t="s">
        <v>144</v>
      </c>
      <c r="F2217">
        <v>2288.44</v>
      </c>
    </row>
    <row r="2218" spans="3:6" x14ac:dyDescent="0.25">
      <c r="C2218" t="s">
        <v>124</v>
      </c>
      <c r="D2218">
        <v>2042</v>
      </c>
      <c r="E2218" t="s">
        <v>145</v>
      </c>
      <c r="F2218">
        <v>3.1</v>
      </c>
    </row>
    <row r="2219" spans="3:6" x14ac:dyDescent="0.25">
      <c r="C2219" t="s">
        <v>124</v>
      </c>
      <c r="D2219">
        <v>2043</v>
      </c>
      <c r="E2219" t="s">
        <v>142</v>
      </c>
      <c r="F2219">
        <v>1708.33</v>
      </c>
    </row>
    <row r="2220" spans="3:6" x14ac:dyDescent="0.25">
      <c r="C2220" t="s">
        <v>124</v>
      </c>
      <c r="D2220">
        <v>2043</v>
      </c>
      <c r="E2220" t="s">
        <v>143</v>
      </c>
      <c r="F2220">
        <v>551.83000000000004</v>
      </c>
    </row>
    <row r="2221" spans="3:6" x14ac:dyDescent="0.25">
      <c r="C2221" t="s">
        <v>124</v>
      </c>
      <c r="D2221">
        <v>2043</v>
      </c>
      <c r="E2221" t="s">
        <v>144</v>
      </c>
      <c r="F2221">
        <v>2323.12</v>
      </c>
    </row>
    <row r="2222" spans="3:6" x14ac:dyDescent="0.25">
      <c r="C2222" t="s">
        <v>124</v>
      </c>
      <c r="D2222">
        <v>2043</v>
      </c>
      <c r="E2222" t="s">
        <v>145</v>
      </c>
      <c r="F2222">
        <v>2.96</v>
      </c>
    </row>
    <row r="2223" spans="3:6" x14ac:dyDescent="0.25">
      <c r="C2223" t="s">
        <v>124</v>
      </c>
      <c r="D2223">
        <v>2044</v>
      </c>
      <c r="E2223" t="s">
        <v>142</v>
      </c>
      <c r="F2223">
        <v>1734.33</v>
      </c>
    </row>
    <row r="2224" spans="3:6" x14ac:dyDescent="0.25">
      <c r="C2224" t="s">
        <v>124</v>
      </c>
      <c r="D2224">
        <v>2044</v>
      </c>
      <c r="E2224" t="s">
        <v>143</v>
      </c>
      <c r="F2224">
        <v>554.01</v>
      </c>
    </row>
    <row r="2225" spans="3:6" x14ac:dyDescent="0.25">
      <c r="C2225" t="s">
        <v>124</v>
      </c>
      <c r="D2225">
        <v>2044</v>
      </c>
      <c r="E2225" t="s">
        <v>144</v>
      </c>
      <c r="F2225">
        <v>2357.11</v>
      </c>
    </row>
    <row r="2226" spans="3:6" x14ac:dyDescent="0.25">
      <c r="C2226" t="s">
        <v>124</v>
      </c>
      <c r="D2226">
        <v>2044</v>
      </c>
      <c r="E2226" t="s">
        <v>145</v>
      </c>
      <c r="F2226">
        <v>2.81</v>
      </c>
    </row>
    <row r="2227" spans="3:6" x14ac:dyDescent="0.25">
      <c r="C2227" t="s">
        <v>124</v>
      </c>
      <c r="D2227">
        <v>2045</v>
      </c>
      <c r="E2227" t="s">
        <v>142</v>
      </c>
      <c r="F2227">
        <v>1758.52</v>
      </c>
    </row>
    <row r="2228" spans="3:6" x14ac:dyDescent="0.25">
      <c r="C2228" t="s">
        <v>124</v>
      </c>
      <c r="D2228">
        <v>2045</v>
      </c>
      <c r="E2228" t="s">
        <v>143</v>
      </c>
      <c r="F2228">
        <v>556.13</v>
      </c>
    </row>
    <row r="2229" spans="3:6" x14ac:dyDescent="0.25">
      <c r="C2229" t="s">
        <v>124</v>
      </c>
      <c r="D2229">
        <v>2045</v>
      </c>
      <c r="E2229" t="s">
        <v>144</v>
      </c>
      <c r="F2229">
        <v>2389.5</v>
      </c>
    </row>
    <row r="2230" spans="3:6" x14ac:dyDescent="0.25">
      <c r="C2230" t="s">
        <v>124</v>
      </c>
      <c r="D2230">
        <v>2045</v>
      </c>
      <c r="E2230" t="s">
        <v>145</v>
      </c>
      <c r="F2230">
        <v>2.66</v>
      </c>
    </row>
    <row r="2231" spans="3:6" x14ac:dyDescent="0.25">
      <c r="C2231" t="s">
        <v>124</v>
      </c>
      <c r="D2231">
        <v>2046</v>
      </c>
      <c r="E2231" t="s">
        <v>142</v>
      </c>
      <c r="F2231">
        <v>1786</v>
      </c>
    </row>
    <row r="2232" spans="3:6" x14ac:dyDescent="0.25">
      <c r="C2232" t="s">
        <v>124</v>
      </c>
      <c r="D2232">
        <v>2046</v>
      </c>
      <c r="E2232" t="s">
        <v>143</v>
      </c>
      <c r="F2232">
        <v>558.16999999999996</v>
      </c>
    </row>
    <row r="2233" spans="3:6" x14ac:dyDescent="0.25">
      <c r="C2233" t="s">
        <v>124</v>
      </c>
      <c r="D2233">
        <v>2046</v>
      </c>
      <c r="E2233" t="s">
        <v>144</v>
      </c>
      <c r="F2233">
        <v>2425.7800000000002</v>
      </c>
    </row>
    <row r="2234" spans="3:6" x14ac:dyDescent="0.25">
      <c r="C2234" t="s">
        <v>124</v>
      </c>
      <c r="D2234">
        <v>2046</v>
      </c>
      <c r="E2234" t="s">
        <v>145</v>
      </c>
      <c r="F2234">
        <v>2.5299999999999998</v>
      </c>
    </row>
    <row r="2235" spans="3:6" x14ac:dyDescent="0.25">
      <c r="C2235" t="s">
        <v>124</v>
      </c>
      <c r="D2235">
        <v>2047</v>
      </c>
      <c r="E2235" t="s">
        <v>142</v>
      </c>
      <c r="F2235">
        <v>1813.54</v>
      </c>
    </row>
    <row r="2236" spans="3:6" x14ac:dyDescent="0.25">
      <c r="C2236" t="s">
        <v>124</v>
      </c>
      <c r="D2236">
        <v>2047</v>
      </c>
      <c r="E2236" t="s">
        <v>143</v>
      </c>
      <c r="F2236">
        <v>560.16</v>
      </c>
    </row>
    <row r="2237" spans="3:6" x14ac:dyDescent="0.25">
      <c r="C2237" t="s">
        <v>124</v>
      </c>
      <c r="D2237">
        <v>2047</v>
      </c>
      <c r="E2237" t="s">
        <v>144</v>
      </c>
      <c r="F2237">
        <v>2461.8000000000002</v>
      </c>
    </row>
    <row r="2238" spans="3:6" x14ac:dyDescent="0.25">
      <c r="C2238" t="s">
        <v>124</v>
      </c>
      <c r="D2238">
        <v>2047</v>
      </c>
      <c r="E2238" t="s">
        <v>145</v>
      </c>
      <c r="F2238">
        <v>2.41</v>
      </c>
    </row>
    <row r="2239" spans="3:6" x14ac:dyDescent="0.25">
      <c r="C2239" t="s">
        <v>124</v>
      </c>
      <c r="D2239">
        <v>2048</v>
      </c>
      <c r="E2239" t="s">
        <v>142</v>
      </c>
      <c r="F2239">
        <v>1839.98</v>
      </c>
    </row>
    <row r="2240" spans="3:6" x14ac:dyDescent="0.25">
      <c r="C2240" t="s">
        <v>124</v>
      </c>
      <c r="D2240">
        <v>2048</v>
      </c>
      <c r="E2240" t="s">
        <v>143</v>
      </c>
      <c r="F2240">
        <v>561.97</v>
      </c>
    </row>
    <row r="2241" spans="3:6" x14ac:dyDescent="0.25">
      <c r="C2241" t="s">
        <v>124</v>
      </c>
      <c r="D2241">
        <v>2048</v>
      </c>
      <c r="E2241" t="s">
        <v>144</v>
      </c>
      <c r="F2241">
        <v>2496.62</v>
      </c>
    </row>
    <row r="2242" spans="3:6" x14ac:dyDescent="0.25">
      <c r="C2242" t="s">
        <v>124</v>
      </c>
      <c r="D2242">
        <v>2048</v>
      </c>
      <c r="E2242" t="s">
        <v>145</v>
      </c>
      <c r="F2242">
        <v>2.2799999999999998</v>
      </c>
    </row>
    <row r="2243" spans="3:6" x14ac:dyDescent="0.25">
      <c r="C2243" t="s">
        <v>124</v>
      </c>
      <c r="D2243">
        <v>2049</v>
      </c>
      <c r="E2243" t="s">
        <v>142</v>
      </c>
      <c r="F2243">
        <v>1866.19</v>
      </c>
    </row>
    <row r="2244" spans="3:6" x14ac:dyDescent="0.25">
      <c r="C2244" t="s">
        <v>124</v>
      </c>
      <c r="D2244">
        <v>2049</v>
      </c>
      <c r="E2244" t="s">
        <v>143</v>
      </c>
      <c r="F2244">
        <v>563.55999999999995</v>
      </c>
    </row>
    <row r="2245" spans="3:6" x14ac:dyDescent="0.25">
      <c r="C2245" t="s">
        <v>124</v>
      </c>
      <c r="D2245">
        <v>2049</v>
      </c>
      <c r="E2245" t="s">
        <v>144</v>
      </c>
      <c r="F2245">
        <v>2531.19</v>
      </c>
    </row>
    <row r="2246" spans="3:6" x14ac:dyDescent="0.25">
      <c r="C2246" t="s">
        <v>124</v>
      </c>
      <c r="D2246">
        <v>2049</v>
      </c>
      <c r="E2246" t="s">
        <v>145</v>
      </c>
      <c r="F2246">
        <v>2.16</v>
      </c>
    </row>
    <row r="2247" spans="3:6" x14ac:dyDescent="0.25">
      <c r="C2247" t="s">
        <v>124</v>
      </c>
      <c r="D2247">
        <v>2050</v>
      </c>
      <c r="E2247" t="s">
        <v>142</v>
      </c>
      <c r="F2247">
        <v>1888.32</v>
      </c>
    </row>
    <row r="2248" spans="3:6" x14ac:dyDescent="0.25">
      <c r="C2248" t="s">
        <v>124</v>
      </c>
      <c r="D2248">
        <v>2050</v>
      </c>
      <c r="E2248" t="s">
        <v>143</v>
      </c>
      <c r="F2248">
        <v>564.98</v>
      </c>
    </row>
    <row r="2249" spans="3:6" x14ac:dyDescent="0.25">
      <c r="C2249" t="s">
        <v>124</v>
      </c>
      <c r="D2249">
        <v>2050</v>
      </c>
      <c r="E2249" t="s">
        <v>144</v>
      </c>
      <c r="F2249">
        <v>2565.5300000000002</v>
      </c>
    </row>
    <row r="2250" spans="3:6" x14ac:dyDescent="0.25">
      <c r="C2250" t="s">
        <v>124</v>
      </c>
      <c r="D2250">
        <v>2050</v>
      </c>
      <c r="E2250" t="s">
        <v>145</v>
      </c>
      <c r="F2250">
        <v>2.0299999999999998</v>
      </c>
    </row>
    <row r="2251" spans="3:6" x14ac:dyDescent="0.25">
      <c r="C2251" t="s">
        <v>51</v>
      </c>
      <c r="D2251">
        <v>2010</v>
      </c>
      <c r="E2251" t="s">
        <v>142</v>
      </c>
      <c r="F2251">
        <v>142.62</v>
      </c>
    </row>
    <row r="2252" spans="3:6" x14ac:dyDescent="0.25">
      <c r="C2252" t="s">
        <v>51</v>
      </c>
      <c r="D2252">
        <v>2010</v>
      </c>
      <c r="E2252" t="s">
        <v>143</v>
      </c>
      <c r="F2252">
        <v>719.17</v>
      </c>
    </row>
    <row r="2253" spans="3:6" x14ac:dyDescent="0.25">
      <c r="C2253" t="s">
        <v>51</v>
      </c>
      <c r="D2253">
        <v>2010</v>
      </c>
      <c r="E2253" t="s">
        <v>144</v>
      </c>
      <c r="F2253">
        <v>278.64999999999998</v>
      </c>
    </row>
    <row r="2254" spans="3:6" x14ac:dyDescent="0.25">
      <c r="C2254" t="s">
        <v>51</v>
      </c>
      <c r="D2254">
        <v>2010</v>
      </c>
      <c r="E2254" t="s">
        <v>145</v>
      </c>
      <c r="F2254">
        <v>7.76</v>
      </c>
    </row>
    <row r="2255" spans="3:6" x14ac:dyDescent="0.25">
      <c r="C2255" t="s">
        <v>51</v>
      </c>
      <c r="D2255">
        <v>2011</v>
      </c>
      <c r="E2255" t="s">
        <v>142</v>
      </c>
      <c r="F2255">
        <v>145.75</v>
      </c>
    </row>
    <row r="2256" spans="3:6" x14ac:dyDescent="0.25">
      <c r="C2256" t="s">
        <v>51</v>
      </c>
      <c r="D2256">
        <v>2011</v>
      </c>
      <c r="E2256" t="s">
        <v>143</v>
      </c>
      <c r="F2256">
        <v>813.86</v>
      </c>
    </row>
    <row r="2257" spans="3:6" x14ac:dyDescent="0.25">
      <c r="C2257" t="s">
        <v>51</v>
      </c>
      <c r="D2257">
        <v>2011</v>
      </c>
      <c r="E2257" t="s">
        <v>144</v>
      </c>
      <c r="F2257">
        <v>288.27</v>
      </c>
    </row>
    <row r="2258" spans="3:6" x14ac:dyDescent="0.25">
      <c r="C2258" t="s">
        <v>51</v>
      </c>
      <c r="D2258">
        <v>2011</v>
      </c>
      <c r="E2258" t="s">
        <v>145</v>
      </c>
      <c r="F2258">
        <v>7.49</v>
      </c>
    </row>
    <row r="2259" spans="3:6" x14ac:dyDescent="0.25">
      <c r="C2259" t="s">
        <v>51</v>
      </c>
      <c r="D2259">
        <v>2012</v>
      </c>
      <c r="E2259" t="s">
        <v>142</v>
      </c>
      <c r="F2259">
        <v>148.02000000000001</v>
      </c>
    </row>
    <row r="2260" spans="3:6" x14ac:dyDescent="0.25">
      <c r="C2260" t="s">
        <v>51</v>
      </c>
      <c r="D2260">
        <v>2012</v>
      </c>
      <c r="E2260" t="s">
        <v>143</v>
      </c>
      <c r="F2260">
        <v>851.93</v>
      </c>
    </row>
    <row r="2261" spans="3:6" x14ac:dyDescent="0.25">
      <c r="C2261" t="s">
        <v>51</v>
      </c>
      <c r="D2261">
        <v>2012</v>
      </c>
      <c r="E2261" t="s">
        <v>144</v>
      </c>
      <c r="F2261">
        <v>291.29000000000002</v>
      </c>
    </row>
    <row r="2262" spans="3:6" x14ac:dyDescent="0.25">
      <c r="C2262" t="s">
        <v>51</v>
      </c>
      <c r="D2262">
        <v>2012</v>
      </c>
      <c r="E2262" t="s">
        <v>145</v>
      </c>
      <c r="F2262">
        <v>7.63</v>
      </c>
    </row>
    <row r="2263" spans="3:6" x14ac:dyDescent="0.25">
      <c r="C2263" t="s">
        <v>51</v>
      </c>
      <c r="D2263">
        <v>2013</v>
      </c>
      <c r="E2263" t="s">
        <v>142</v>
      </c>
      <c r="F2263">
        <v>167.59</v>
      </c>
    </row>
    <row r="2264" spans="3:6" x14ac:dyDescent="0.25">
      <c r="C2264" t="s">
        <v>51</v>
      </c>
      <c r="D2264">
        <v>2013</v>
      </c>
      <c r="E2264" t="s">
        <v>143</v>
      </c>
      <c r="F2264">
        <v>815.08</v>
      </c>
    </row>
    <row r="2265" spans="3:6" x14ac:dyDescent="0.25">
      <c r="C2265" t="s">
        <v>51</v>
      </c>
      <c r="D2265">
        <v>2013</v>
      </c>
      <c r="E2265" t="s">
        <v>144</v>
      </c>
      <c r="F2265">
        <v>312.48</v>
      </c>
    </row>
    <row r="2266" spans="3:6" x14ac:dyDescent="0.25">
      <c r="C2266" t="s">
        <v>51</v>
      </c>
      <c r="D2266">
        <v>2013</v>
      </c>
      <c r="E2266" t="s">
        <v>145</v>
      </c>
      <c r="F2266">
        <v>8.2200000000000006</v>
      </c>
    </row>
    <row r="2267" spans="3:6" x14ac:dyDescent="0.25">
      <c r="C2267" t="s">
        <v>51</v>
      </c>
      <c r="D2267">
        <v>2014</v>
      </c>
      <c r="E2267" t="s">
        <v>142</v>
      </c>
      <c r="F2267">
        <v>168.31</v>
      </c>
    </row>
    <row r="2268" spans="3:6" x14ac:dyDescent="0.25">
      <c r="C2268" t="s">
        <v>51</v>
      </c>
      <c r="D2268">
        <v>2014</v>
      </c>
      <c r="E2268" t="s">
        <v>143</v>
      </c>
      <c r="F2268">
        <v>805.24</v>
      </c>
    </row>
    <row r="2269" spans="3:6" x14ac:dyDescent="0.25">
      <c r="C2269" t="s">
        <v>51</v>
      </c>
      <c r="D2269">
        <v>2014</v>
      </c>
      <c r="E2269" t="s">
        <v>144</v>
      </c>
      <c r="F2269">
        <v>319.97000000000003</v>
      </c>
    </row>
    <row r="2270" spans="3:6" x14ac:dyDescent="0.25">
      <c r="C2270" t="s">
        <v>51</v>
      </c>
      <c r="D2270">
        <v>2014</v>
      </c>
      <c r="E2270" t="s">
        <v>145</v>
      </c>
      <c r="F2270">
        <v>10.15</v>
      </c>
    </row>
    <row r="2271" spans="3:6" x14ac:dyDescent="0.25">
      <c r="C2271" t="s">
        <v>51</v>
      </c>
      <c r="D2271">
        <v>2015</v>
      </c>
      <c r="E2271" t="s">
        <v>142</v>
      </c>
      <c r="F2271">
        <v>184.15</v>
      </c>
    </row>
    <row r="2272" spans="3:6" x14ac:dyDescent="0.25">
      <c r="C2272" t="s">
        <v>51</v>
      </c>
      <c r="D2272">
        <v>2015</v>
      </c>
      <c r="E2272" t="s">
        <v>143</v>
      </c>
      <c r="F2272">
        <v>825.83</v>
      </c>
    </row>
    <row r="2273" spans="3:6" x14ac:dyDescent="0.25">
      <c r="C2273" t="s">
        <v>51</v>
      </c>
      <c r="D2273">
        <v>2015</v>
      </c>
      <c r="E2273" t="s">
        <v>144</v>
      </c>
      <c r="F2273">
        <v>350.67</v>
      </c>
    </row>
    <row r="2274" spans="3:6" x14ac:dyDescent="0.25">
      <c r="C2274" t="s">
        <v>51</v>
      </c>
      <c r="D2274">
        <v>2015</v>
      </c>
      <c r="E2274" t="s">
        <v>145</v>
      </c>
      <c r="F2274">
        <v>11.5</v>
      </c>
    </row>
    <row r="2275" spans="3:6" x14ac:dyDescent="0.25">
      <c r="C2275" t="s">
        <v>51</v>
      </c>
      <c r="D2275">
        <v>2016</v>
      </c>
      <c r="E2275" t="s">
        <v>142</v>
      </c>
      <c r="F2275">
        <v>186.23</v>
      </c>
    </row>
    <row r="2276" spans="3:6" x14ac:dyDescent="0.25">
      <c r="C2276" t="s">
        <v>51</v>
      </c>
      <c r="D2276">
        <v>2016</v>
      </c>
      <c r="E2276" t="s">
        <v>143</v>
      </c>
      <c r="F2276">
        <v>854.68</v>
      </c>
    </row>
    <row r="2277" spans="3:6" x14ac:dyDescent="0.25">
      <c r="C2277" t="s">
        <v>51</v>
      </c>
      <c r="D2277">
        <v>2016</v>
      </c>
      <c r="E2277" t="s">
        <v>144</v>
      </c>
      <c r="F2277">
        <v>376.63</v>
      </c>
    </row>
    <row r="2278" spans="3:6" x14ac:dyDescent="0.25">
      <c r="C2278" t="s">
        <v>51</v>
      </c>
      <c r="D2278">
        <v>2016</v>
      </c>
      <c r="E2278" t="s">
        <v>145</v>
      </c>
      <c r="F2278">
        <v>11.05</v>
      </c>
    </row>
    <row r="2279" spans="3:6" x14ac:dyDescent="0.25">
      <c r="C2279" t="s">
        <v>51</v>
      </c>
      <c r="D2279">
        <v>2017</v>
      </c>
      <c r="E2279" t="s">
        <v>142</v>
      </c>
      <c r="F2279">
        <v>199.46</v>
      </c>
    </row>
    <row r="2280" spans="3:6" x14ac:dyDescent="0.25">
      <c r="C2280" t="s">
        <v>51</v>
      </c>
      <c r="D2280">
        <v>2017</v>
      </c>
      <c r="E2280" t="s">
        <v>143</v>
      </c>
      <c r="F2280">
        <v>831.28</v>
      </c>
    </row>
    <row r="2281" spans="3:6" x14ac:dyDescent="0.25">
      <c r="C2281" t="s">
        <v>51</v>
      </c>
      <c r="D2281">
        <v>2017</v>
      </c>
      <c r="E2281" t="s">
        <v>144</v>
      </c>
      <c r="F2281">
        <v>392</v>
      </c>
    </row>
    <row r="2282" spans="3:6" x14ac:dyDescent="0.25">
      <c r="C2282" t="s">
        <v>51</v>
      </c>
      <c r="D2282">
        <v>2017</v>
      </c>
      <c r="E2282" t="s">
        <v>145</v>
      </c>
      <c r="F2282">
        <v>11.19</v>
      </c>
    </row>
    <row r="2283" spans="3:6" x14ac:dyDescent="0.25">
      <c r="C2283" t="s">
        <v>51</v>
      </c>
      <c r="D2283">
        <v>2018</v>
      </c>
      <c r="E2283" t="s">
        <v>142</v>
      </c>
      <c r="F2283">
        <v>202.38</v>
      </c>
    </row>
    <row r="2284" spans="3:6" x14ac:dyDescent="0.25">
      <c r="C2284" t="s">
        <v>51</v>
      </c>
      <c r="D2284">
        <v>2018</v>
      </c>
      <c r="E2284" t="s">
        <v>143</v>
      </c>
      <c r="F2284">
        <v>843.35</v>
      </c>
    </row>
    <row r="2285" spans="3:6" x14ac:dyDescent="0.25">
      <c r="C2285" t="s">
        <v>51</v>
      </c>
      <c r="D2285">
        <v>2018</v>
      </c>
      <c r="E2285" t="s">
        <v>144</v>
      </c>
      <c r="F2285">
        <v>418</v>
      </c>
    </row>
    <row r="2286" spans="3:6" x14ac:dyDescent="0.25">
      <c r="C2286" t="s">
        <v>51</v>
      </c>
      <c r="D2286">
        <v>2018</v>
      </c>
      <c r="E2286" t="s">
        <v>145</v>
      </c>
      <c r="F2286">
        <v>12.11</v>
      </c>
    </row>
    <row r="2287" spans="3:6" x14ac:dyDescent="0.25">
      <c r="C2287" t="s">
        <v>51</v>
      </c>
      <c r="D2287">
        <v>2019</v>
      </c>
      <c r="E2287" t="s">
        <v>142</v>
      </c>
      <c r="F2287">
        <v>206.1</v>
      </c>
    </row>
    <row r="2288" spans="3:6" x14ac:dyDescent="0.25">
      <c r="C2288" t="s">
        <v>51</v>
      </c>
      <c r="D2288">
        <v>2019</v>
      </c>
      <c r="E2288" t="s">
        <v>143</v>
      </c>
      <c r="F2288">
        <v>821.23</v>
      </c>
    </row>
    <row r="2289" spans="3:6" x14ac:dyDescent="0.25">
      <c r="C2289" t="s">
        <v>51</v>
      </c>
      <c r="D2289">
        <v>2019</v>
      </c>
      <c r="E2289" t="s">
        <v>144</v>
      </c>
      <c r="F2289">
        <v>431.35</v>
      </c>
    </row>
    <row r="2290" spans="3:6" x14ac:dyDescent="0.25">
      <c r="C2290" t="s">
        <v>51</v>
      </c>
      <c r="D2290">
        <v>2019</v>
      </c>
      <c r="E2290" t="s">
        <v>145</v>
      </c>
      <c r="F2290">
        <v>0.78</v>
      </c>
    </row>
    <row r="2291" spans="3:6" x14ac:dyDescent="0.25">
      <c r="C2291" t="s">
        <v>51</v>
      </c>
      <c r="D2291">
        <v>2020</v>
      </c>
      <c r="E2291" t="s">
        <v>142</v>
      </c>
      <c r="F2291">
        <v>193.39</v>
      </c>
    </row>
    <row r="2292" spans="3:6" x14ac:dyDescent="0.25">
      <c r="C2292" t="s">
        <v>51</v>
      </c>
      <c r="D2292">
        <v>2020</v>
      </c>
      <c r="E2292" t="s">
        <v>143</v>
      </c>
      <c r="F2292">
        <v>707</v>
      </c>
    </row>
    <row r="2293" spans="3:6" x14ac:dyDescent="0.25">
      <c r="C2293" t="s">
        <v>51</v>
      </c>
      <c r="D2293">
        <v>2020</v>
      </c>
      <c r="E2293" t="s">
        <v>144</v>
      </c>
      <c r="F2293">
        <v>426.17</v>
      </c>
    </row>
    <row r="2294" spans="3:6" x14ac:dyDescent="0.25">
      <c r="C2294" t="s">
        <v>51</v>
      </c>
      <c r="D2294">
        <v>2020</v>
      </c>
      <c r="E2294" t="s">
        <v>145</v>
      </c>
      <c r="F2294">
        <v>0.44</v>
      </c>
    </row>
    <row r="2295" spans="3:6" x14ac:dyDescent="0.25">
      <c r="C2295" t="s">
        <v>51</v>
      </c>
      <c r="D2295">
        <v>2021</v>
      </c>
      <c r="E2295" t="s">
        <v>142</v>
      </c>
      <c r="F2295">
        <v>205.63</v>
      </c>
    </row>
    <row r="2296" spans="3:6" x14ac:dyDescent="0.25">
      <c r="C2296" t="s">
        <v>51</v>
      </c>
      <c r="D2296">
        <v>2021</v>
      </c>
      <c r="E2296" t="s">
        <v>143</v>
      </c>
      <c r="F2296">
        <v>768.21</v>
      </c>
    </row>
    <row r="2297" spans="3:6" x14ac:dyDescent="0.25">
      <c r="C2297" t="s">
        <v>51</v>
      </c>
      <c r="D2297">
        <v>2021</v>
      </c>
      <c r="E2297" t="s">
        <v>144</v>
      </c>
      <c r="F2297">
        <v>428.85</v>
      </c>
    </row>
    <row r="2298" spans="3:6" x14ac:dyDescent="0.25">
      <c r="C2298" t="s">
        <v>51</v>
      </c>
      <c r="D2298">
        <v>2021</v>
      </c>
      <c r="E2298" t="s">
        <v>145</v>
      </c>
      <c r="F2298">
        <v>0.56999999999999995</v>
      </c>
    </row>
    <row r="2299" spans="3:6" x14ac:dyDescent="0.25">
      <c r="C2299" t="s">
        <v>51</v>
      </c>
      <c r="D2299">
        <v>2022</v>
      </c>
      <c r="E2299" t="s">
        <v>142</v>
      </c>
      <c r="F2299">
        <v>213.97</v>
      </c>
    </row>
    <row r="2300" spans="3:6" x14ac:dyDescent="0.25">
      <c r="C2300" t="s">
        <v>51</v>
      </c>
      <c r="D2300">
        <v>2022</v>
      </c>
      <c r="E2300" t="s">
        <v>143</v>
      </c>
      <c r="F2300">
        <v>791.77</v>
      </c>
    </row>
    <row r="2301" spans="3:6" x14ac:dyDescent="0.25">
      <c r="C2301" t="s">
        <v>51</v>
      </c>
      <c r="D2301">
        <v>2022</v>
      </c>
      <c r="E2301" t="s">
        <v>144</v>
      </c>
      <c r="F2301">
        <v>435.91</v>
      </c>
    </row>
    <row r="2302" spans="3:6" x14ac:dyDescent="0.25">
      <c r="C2302" t="s">
        <v>51</v>
      </c>
      <c r="D2302">
        <v>2022</v>
      </c>
      <c r="E2302" t="s">
        <v>145</v>
      </c>
      <c r="F2302">
        <v>0.65</v>
      </c>
    </row>
    <row r="2303" spans="3:6" x14ac:dyDescent="0.25">
      <c r="C2303" t="s">
        <v>51</v>
      </c>
      <c r="D2303">
        <v>2023</v>
      </c>
      <c r="E2303" t="s">
        <v>142</v>
      </c>
      <c r="F2303">
        <v>220.59</v>
      </c>
    </row>
    <row r="2304" spans="3:6" x14ac:dyDescent="0.25">
      <c r="C2304" t="s">
        <v>51</v>
      </c>
      <c r="D2304">
        <v>2023</v>
      </c>
      <c r="E2304" t="s">
        <v>143</v>
      </c>
      <c r="F2304">
        <v>812</v>
      </c>
    </row>
    <row r="2305" spans="3:6" x14ac:dyDescent="0.25">
      <c r="C2305" t="s">
        <v>51</v>
      </c>
      <c r="D2305">
        <v>2023</v>
      </c>
      <c r="E2305" t="s">
        <v>144</v>
      </c>
      <c r="F2305">
        <v>443.55</v>
      </c>
    </row>
    <row r="2306" spans="3:6" x14ac:dyDescent="0.25">
      <c r="C2306" t="s">
        <v>51</v>
      </c>
      <c r="D2306">
        <v>2023</v>
      </c>
      <c r="E2306" t="s">
        <v>145</v>
      </c>
      <c r="F2306">
        <v>0.8</v>
      </c>
    </row>
    <row r="2307" spans="3:6" x14ac:dyDescent="0.25">
      <c r="C2307" t="s">
        <v>51</v>
      </c>
      <c r="D2307">
        <v>2024</v>
      </c>
      <c r="E2307" t="s">
        <v>142</v>
      </c>
      <c r="F2307">
        <v>226.26</v>
      </c>
    </row>
    <row r="2308" spans="3:6" x14ac:dyDescent="0.25">
      <c r="C2308" t="s">
        <v>51</v>
      </c>
      <c r="D2308">
        <v>2024</v>
      </c>
      <c r="E2308" t="s">
        <v>143</v>
      </c>
      <c r="F2308">
        <v>827.54</v>
      </c>
    </row>
    <row r="2309" spans="3:6" x14ac:dyDescent="0.25">
      <c r="C2309" t="s">
        <v>51</v>
      </c>
      <c r="D2309">
        <v>2024</v>
      </c>
      <c r="E2309" t="s">
        <v>144</v>
      </c>
      <c r="F2309">
        <v>450.31</v>
      </c>
    </row>
    <row r="2310" spans="3:6" x14ac:dyDescent="0.25">
      <c r="C2310" t="s">
        <v>51</v>
      </c>
      <c r="D2310">
        <v>2024</v>
      </c>
      <c r="E2310" t="s">
        <v>145</v>
      </c>
      <c r="F2310">
        <v>0.89</v>
      </c>
    </row>
    <row r="2311" spans="3:6" x14ac:dyDescent="0.25">
      <c r="C2311" t="s">
        <v>51</v>
      </c>
      <c r="D2311">
        <v>2025</v>
      </c>
      <c r="E2311" t="s">
        <v>142</v>
      </c>
      <c r="F2311">
        <v>231.99</v>
      </c>
    </row>
    <row r="2312" spans="3:6" x14ac:dyDescent="0.25">
      <c r="C2312" t="s">
        <v>51</v>
      </c>
      <c r="D2312">
        <v>2025</v>
      </c>
      <c r="E2312" t="s">
        <v>143</v>
      </c>
      <c r="F2312">
        <v>842.65</v>
      </c>
    </row>
    <row r="2313" spans="3:6" x14ac:dyDescent="0.25">
      <c r="C2313" t="s">
        <v>51</v>
      </c>
      <c r="D2313">
        <v>2025</v>
      </c>
      <c r="E2313" t="s">
        <v>144</v>
      </c>
      <c r="F2313">
        <v>457.24</v>
      </c>
    </row>
    <row r="2314" spans="3:6" x14ac:dyDescent="0.25">
      <c r="C2314" t="s">
        <v>51</v>
      </c>
      <c r="D2314">
        <v>2025</v>
      </c>
      <c r="E2314" t="s">
        <v>145</v>
      </c>
      <c r="F2314">
        <v>0.99</v>
      </c>
    </row>
    <row r="2315" spans="3:6" x14ac:dyDescent="0.25">
      <c r="C2315" t="s">
        <v>51</v>
      </c>
      <c r="D2315">
        <v>2026</v>
      </c>
      <c r="E2315" t="s">
        <v>142</v>
      </c>
      <c r="F2315">
        <v>238.83</v>
      </c>
    </row>
    <row r="2316" spans="3:6" x14ac:dyDescent="0.25">
      <c r="C2316" t="s">
        <v>51</v>
      </c>
      <c r="D2316">
        <v>2026</v>
      </c>
      <c r="E2316" t="s">
        <v>143</v>
      </c>
      <c r="F2316">
        <v>857.91</v>
      </c>
    </row>
    <row r="2317" spans="3:6" x14ac:dyDescent="0.25">
      <c r="C2317" t="s">
        <v>51</v>
      </c>
      <c r="D2317">
        <v>2026</v>
      </c>
      <c r="E2317" t="s">
        <v>144</v>
      </c>
      <c r="F2317">
        <v>467.17</v>
      </c>
    </row>
    <row r="2318" spans="3:6" x14ac:dyDescent="0.25">
      <c r="C2318" t="s">
        <v>51</v>
      </c>
      <c r="D2318">
        <v>2026</v>
      </c>
      <c r="E2318" t="s">
        <v>145</v>
      </c>
      <c r="F2318">
        <v>1.1599999999999999</v>
      </c>
    </row>
    <row r="2319" spans="3:6" x14ac:dyDescent="0.25">
      <c r="C2319" t="s">
        <v>51</v>
      </c>
      <c r="D2319">
        <v>2027</v>
      </c>
      <c r="E2319" t="s">
        <v>142</v>
      </c>
      <c r="F2319">
        <v>245.59</v>
      </c>
    </row>
    <row r="2320" spans="3:6" x14ac:dyDescent="0.25">
      <c r="C2320" t="s">
        <v>51</v>
      </c>
      <c r="D2320">
        <v>2027</v>
      </c>
      <c r="E2320" t="s">
        <v>143</v>
      </c>
      <c r="F2320">
        <v>872.46</v>
      </c>
    </row>
    <row r="2321" spans="3:6" x14ac:dyDescent="0.25">
      <c r="C2321" t="s">
        <v>51</v>
      </c>
      <c r="D2321">
        <v>2027</v>
      </c>
      <c r="E2321" t="s">
        <v>144</v>
      </c>
      <c r="F2321">
        <v>477.39</v>
      </c>
    </row>
    <row r="2322" spans="3:6" x14ac:dyDescent="0.25">
      <c r="C2322" t="s">
        <v>51</v>
      </c>
      <c r="D2322">
        <v>2027</v>
      </c>
      <c r="E2322" t="s">
        <v>145</v>
      </c>
      <c r="F2322">
        <v>1.34</v>
      </c>
    </row>
    <row r="2323" spans="3:6" x14ac:dyDescent="0.25">
      <c r="C2323" t="s">
        <v>51</v>
      </c>
      <c r="D2323">
        <v>2028</v>
      </c>
      <c r="E2323" t="s">
        <v>142</v>
      </c>
      <c r="F2323">
        <v>252.44</v>
      </c>
    </row>
    <row r="2324" spans="3:6" x14ac:dyDescent="0.25">
      <c r="C2324" t="s">
        <v>51</v>
      </c>
      <c r="D2324">
        <v>2028</v>
      </c>
      <c r="E2324" t="s">
        <v>143</v>
      </c>
      <c r="F2324">
        <v>885.95</v>
      </c>
    </row>
    <row r="2325" spans="3:6" x14ac:dyDescent="0.25">
      <c r="C2325" t="s">
        <v>51</v>
      </c>
      <c r="D2325">
        <v>2028</v>
      </c>
      <c r="E2325" t="s">
        <v>144</v>
      </c>
      <c r="F2325">
        <v>487.81</v>
      </c>
    </row>
    <row r="2326" spans="3:6" x14ac:dyDescent="0.25">
      <c r="C2326" t="s">
        <v>51</v>
      </c>
      <c r="D2326">
        <v>2028</v>
      </c>
      <c r="E2326" t="s">
        <v>145</v>
      </c>
      <c r="F2326">
        <v>1.54</v>
      </c>
    </row>
    <row r="2327" spans="3:6" x14ac:dyDescent="0.25">
      <c r="C2327" t="s">
        <v>51</v>
      </c>
      <c r="D2327">
        <v>2029</v>
      </c>
      <c r="E2327" t="s">
        <v>142</v>
      </c>
      <c r="F2327">
        <v>259.45</v>
      </c>
    </row>
    <row r="2328" spans="3:6" x14ac:dyDescent="0.25">
      <c r="C2328" t="s">
        <v>51</v>
      </c>
      <c r="D2328">
        <v>2029</v>
      </c>
      <c r="E2328" t="s">
        <v>143</v>
      </c>
      <c r="F2328">
        <v>898.74</v>
      </c>
    </row>
    <row r="2329" spans="3:6" x14ac:dyDescent="0.25">
      <c r="C2329" t="s">
        <v>51</v>
      </c>
      <c r="D2329">
        <v>2029</v>
      </c>
      <c r="E2329" t="s">
        <v>144</v>
      </c>
      <c r="F2329">
        <v>498.63</v>
      </c>
    </row>
    <row r="2330" spans="3:6" x14ac:dyDescent="0.25">
      <c r="C2330" t="s">
        <v>51</v>
      </c>
      <c r="D2330">
        <v>2029</v>
      </c>
      <c r="E2330" t="s">
        <v>145</v>
      </c>
      <c r="F2330">
        <v>1.77</v>
      </c>
    </row>
    <row r="2331" spans="3:6" x14ac:dyDescent="0.25">
      <c r="C2331" t="s">
        <v>51</v>
      </c>
      <c r="D2331">
        <v>2030</v>
      </c>
      <c r="E2331" t="s">
        <v>142</v>
      </c>
      <c r="F2331">
        <v>266.69</v>
      </c>
    </row>
    <row r="2332" spans="3:6" x14ac:dyDescent="0.25">
      <c r="C2332" t="s">
        <v>51</v>
      </c>
      <c r="D2332">
        <v>2030</v>
      </c>
      <c r="E2332" t="s">
        <v>143</v>
      </c>
      <c r="F2332">
        <v>913.1</v>
      </c>
    </row>
    <row r="2333" spans="3:6" x14ac:dyDescent="0.25">
      <c r="C2333" t="s">
        <v>51</v>
      </c>
      <c r="D2333">
        <v>2030</v>
      </c>
      <c r="E2333" t="s">
        <v>144</v>
      </c>
      <c r="F2333">
        <v>509.94</v>
      </c>
    </row>
    <row r="2334" spans="3:6" x14ac:dyDescent="0.25">
      <c r="C2334" t="s">
        <v>51</v>
      </c>
      <c r="D2334">
        <v>2030</v>
      </c>
      <c r="E2334" t="s">
        <v>145</v>
      </c>
      <c r="F2334">
        <v>2.0499999999999998</v>
      </c>
    </row>
    <row r="2335" spans="3:6" x14ac:dyDescent="0.25">
      <c r="C2335" t="s">
        <v>51</v>
      </c>
      <c r="D2335">
        <v>2031</v>
      </c>
      <c r="E2335" t="s">
        <v>142</v>
      </c>
      <c r="F2335">
        <v>274.01</v>
      </c>
    </row>
    <row r="2336" spans="3:6" x14ac:dyDescent="0.25">
      <c r="C2336" t="s">
        <v>51</v>
      </c>
      <c r="D2336">
        <v>2031</v>
      </c>
      <c r="E2336" t="s">
        <v>143</v>
      </c>
      <c r="F2336">
        <v>929.05</v>
      </c>
    </row>
    <row r="2337" spans="3:6" x14ac:dyDescent="0.25">
      <c r="C2337" t="s">
        <v>51</v>
      </c>
      <c r="D2337">
        <v>2031</v>
      </c>
      <c r="E2337" t="s">
        <v>144</v>
      </c>
      <c r="F2337">
        <v>520.77</v>
      </c>
    </row>
    <row r="2338" spans="3:6" x14ac:dyDescent="0.25">
      <c r="C2338" t="s">
        <v>51</v>
      </c>
      <c r="D2338">
        <v>2031</v>
      </c>
      <c r="E2338" t="s">
        <v>145</v>
      </c>
      <c r="F2338">
        <v>2.4</v>
      </c>
    </row>
    <row r="2339" spans="3:6" x14ac:dyDescent="0.25">
      <c r="C2339" t="s">
        <v>51</v>
      </c>
      <c r="D2339">
        <v>2032</v>
      </c>
      <c r="E2339" t="s">
        <v>142</v>
      </c>
      <c r="F2339">
        <v>281.62</v>
      </c>
    </row>
    <row r="2340" spans="3:6" x14ac:dyDescent="0.25">
      <c r="C2340" t="s">
        <v>51</v>
      </c>
      <c r="D2340">
        <v>2032</v>
      </c>
      <c r="E2340" t="s">
        <v>143</v>
      </c>
      <c r="F2340">
        <v>944.55</v>
      </c>
    </row>
    <row r="2341" spans="3:6" x14ac:dyDescent="0.25">
      <c r="C2341" t="s">
        <v>51</v>
      </c>
      <c r="D2341">
        <v>2032</v>
      </c>
      <c r="E2341" t="s">
        <v>144</v>
      </c>
      <c r="F2341">
        <v>531.70000000000005</v>
      </c>
    </row>
    <row r="2342" spans="3:6" x14ac:dyDescent="0.25">
      <c r="C2342" t="s">
        <v>51</v>
      </c>
      <c r="D2342">
        <v>2032</v>
      </c>
      <c r="E2342" t="s">
        <v>145</v>
      </c>
      <c r="F2342">
        <v>2.83</v>
      </c>
    </row>
    <row r="2343" spans="3:6" x14ac:dyDescent="0.25">
      <c r="C2343" t="s">
        <v>51</v>
      </c>
      <c r="D2343">
        <v>2033</v>
      </c>
      <c r="E2343" t="s">
        <v>142</v>
      </c>
      <c r="F2343">
        <v>289.35000000000002</v>
      </c>
    </row>
    <row r="2344" spans="3:6" x14ac:dyDescent="0.25">
      <c r="C2344" t="s">
        <v>51</v>
      </c>
      <c r="D2344">
        <v>2033</v>
      </c>
      <c r="E2344" t="s">
        <v>143</v>
      </c>
      <c r="F2344">
        <v>961.55</v>
      </c>
    </row>
    <row r="2345" spans="3:6" x14ac:dyDescent="0.25">
      <c r="C2345" t="s">
        <v>51</v>
      </c>
      <c r="D2345">
        <v>2033</v>
      </c>
      <c r="E2345" t="s">
        <v>144</v>
      </c>
      <c r="F2345">
        <v>543.03</v>
      </c>
    </row>
    <row r="2346" spans="3:6" x14ac:dyDescent="0.25">
      <c r="C2346" t="s">
        <v>51</v>
      </c>
      <c r="D2346">
        <v>2033</v>
      </c>
      <c r="E2346" t="s">
        <v>145</v>
      </c>
      <c r="F2346">
        <v>3.43</v>
      </c>
    </row>
    <row r="2347" spans="3:6" x14ac:dyDescent="0.25">
      <c r="C2347" t="s">
        <v>51</v>
      </c>
      <c r="D2347">
        <v>2034</v>
      </c>
      <c r="E2347" t="s">
        <v>142</v>
      </c>
      <c r="F2347">
        <v>297.31</v>
      </c>
    </row>
    <row r="2348" spans="3:6" x14ac:dyDescent="0.25">
      <c r="C2348" t="s">
        <v>51</v>
      </c>
      <c r="D2348">
        <v>2034</v>
      </c>
      <c r="E2348" t="s">
        <v>143</v>
      </c>
      <c r="F2348">
        <v>976.6</v>
      </c>
    </row>
    <row r="2349" spans="3:6" x14ac:dyDescent="0.25">
      <c r="C2349" t="s">
        <v>51</v>
      </c>
      <c r="D2349">
        <v>2034</v>
      </c>
      <c r="E2349" t="s">
        <v>144</v>
      </c>
      <c r="F2349">
        <v>554.67999999999995</v>
      </c>
    </row>
    <row r="2350" spans="3:6" x14ac:dyDescent="0.25">
      <c r="C2350" t="s">
        <v>51</v>
      </c>
      <c r="D2350">
        <v>2034</v>
      </c>
      <c r="E2350" t="s">
        <v>145</v>
      </c>
      <c r="F2350">
        <v>4.13</v>
      </c>
    </row>
    <row r="2351" spans="3:6" x14ac:dyDescent="0.25">
      <c r="C2351" t="s">
        <v>51</v>
      </c>
      <c r="D2351">
        <v>2035</v>
      </c>
      <c r="E2351" t="s">
        <v>142</v>
      </c>
      <c r="F2351">
        <v>305.37</v>
      </c>
    </row>
    <row r="2352" spans="3:6" x14ac:dyDescent="0.25">
      <c r="C2352" t="s">
        <v>51</v>
      </c>
      <c r="D2352">
        <v>2035</v>
      </c>
      <c r="E2352" t="s">
        <v>143</v>
      </c>
      <c r="F2352">
        <v>994.88</v>
      </c>
    </row>
    <row r="2353" spans="3:6" x14ac:dyDescent="0.25">
      <c r="C2353" t="s">
        <v>51</v>
      </c>
      <c r="D2353">
        <v>2035</v>
      </c>
      <c r="E2353" t="s">
        <v>144</v>
      </c>
      <c r="F2353">
        <v>566.54</v>
      </c>
    </row>
    <row r="2354" spans="3:6" x14ac:dyDescent="0.25">
      <c r="C2354" t="s">
        <v>51</v>
      </c>
      <c r="D2354">
        <v>2035</v>
      </c>
      <c r="E2354" t="s">
        <v>145</v>
      </c>
      <c r="F2354">
        <v>4.88</v>
      </c>
    </row>
    <row r="2355" spans="3:6" x14ac:dyDescent="0.25">
      <c r="C2355" t="s">
        <v>51</v>
      </c>
      <c r="D2355">
        <v>2036</v>
      </c>
      <c r="E2355" t="s">
        <v>142</v>
      </c>
      <c r="F2355">
        <v>312.26</v>
      </c>
    </row>
    <row r="2356" spans="3:6" x14ac:dyDescent="0.25">
      <c r="C2356" t="s">
        <v>51</v>
      </c>
      <c r="D2356">
        <v>2036</v>
      </c>
      <c r="E2356" t="s">
        <v>143</v>
      </c>
      <c r="F2356">
        <v>1008.7</v>
      </c>
    </row>
    <row r="2357" spans="3:6" x14ac:dyDescent="0.25">
      <c r="C2357" t="s">
        <v>51</v>
      </c>
      <c r="D2357">
        <v>2036</v>
      </c>
      <c r="E2357" t="s">
        <v>144</v>
      </c>
      <c r="F2357">
        <v>575.98</v>
      </c>
    </row>
    <row r="2358" spans="3:6" x14ac:dyDescent="0.25">
      <c r="C2358" t="s">
        <v>51</v>
      </c>
      <c r="D2358">
        <v>2036</v>
      </c>
      <c r="E2358" t="s">
        <v>145</v>
      </c>
      <c r="F2358">
        <v>5.72</v>
      </c>
    </row>
    <row r="2359" spans="3:6" x14ac:dyDescent="0.25">
      <c r="C2359" t="s">
        <v>51</v>
      </c>
      <c r="D2359">
        <v>2037</v>
      </c>
      <c r="E2359" t="s">
        <v>142</v>
      </c>
      <c r="F2359">
        <v>319.19</v>
      </c>
    </row>
    <row r="2360" spans="3:6" x14ac:dyDescent="0.25">
      <c r="C2360" t="s">
        <v>51</v>
      </c>
      <c r="D2360">
        <v>2037</v>
      </c>
      <c r="E2360" t="s">
        <v>143</v>
      </c>
      <c r="F2360">
        <v>1026.6500000000001</v>
      </c>
    </row>
    <row r="2361" spans="3:6" x14ac:dyDescent="0.25">
      <c r="C2361" t="s">
        <v>51</v>
      </c>
      <c r="D2361">
        <v>2037</v>
      </c>
      <c r="E2361" t="s">
        <v>144</v>
      </c>
      <c r="F2361">
        <v>585.5</v>
      </c>
    </row>
    <row r="2362" spans="3:6" x14ac:dyDescent="0.25">
      <c r="C2362" t="s">
        <v>51</v>
      </c>
      <c r="D2362">
        <v>2037</v>
      </c>
      <c r="E2362" t="s">
        <v>145</v>
      </c>
      <c r="F2362">
        <v>6.66</v>
      </c>
    </row>
    <row r="2363" spans="3:6" x14ac:dyDescent="0.25">
      <c r="C2363" t="s">
        <v>51</v>
      </c>
      <c r="D2363">
        <v>2038</v>
      </c>
      <c r="E2363" t="s">
        <v>142</v>
      </c>
      <c r="F2363">
        <v>326.24</v>
      </c>
    </row>
    <row r="2364" spans="3:6" x14ac:dyDescent="0.25">
      <c r="C2364" t="s">
        <v>51</v>
      </c>
      <c r="D2364">
        <v>2038</v>
      </c>
      <c r="E2364" t="s">
        <v>143</v>
      </c>
      <c r="F2364">
        <v>1043</v>
      </c>
    </row>
    <row r="2365" spans="3:6" x14ac:dyDescent="0.25">
      <c r="C2365" t="s">
        <v>51</v>
      </c>
      <c r="D2365">
        <v>2038</v>
      </c>
      <c r="E2365" t="s">
        <v>144</v>
      </c>
      <c r="F2365">
        <v>595.19000000000005</v>
      </c>
    </row>
    <row r="2366" spans="3:6" x14ac:dyDescent="0.25">
      <c r="C2366" t="s">
        <v>51</v>
      </c>
      <c r="D2366">
        <v>2038</v>
      </c>
      <c r="E2366" t="s">
        <v>145</v>
      </c>
      <c r="F2366">
        <v>7.76</v>
      </c>
    </row>
    <row r="2367" spans="3:6" x14ac:dyDescent="0.25">
      <c r="C2367" t="s">
        <v>51</v>
      </c>
      <c r="D2367">
        <v>2039</v>
      </c>
      <c r="E2367" t="s">
        <v>142</v>
      </c>
      <c r="F2367">
        <v>333.4</v>
      </c>
    </row>
    <row r="2368" spans="3:6" x14ac:dyDescent="0.25">
      <c r="C2368" t="s">
        <v>51</v>
      </c>
      <c r="D2368">
        <v>2039</v>
      </c>
      <c r="E2368" t="s">
        <v>143</v>
      </c>
      <c r="F2368">
        <v>1060.05</v>
      </c>
    </row>
    <row r="2369" spans="3:6" x14ac:dyDescent="0.25">
      <c r="C2369" t="s">
        <v>51</v>
      </c>
      <c r="D2369">
        <v>2039</v>
      </c>
      <c r="E2369" t="s">
        <v>144</v>
      </c>
      <c r="F2369">
        <v>605.1</v>
      </c>
    </row>
    <row r="2370" spans="3:6" x14ac:dyDescent="0.25">
      <c r="C2370" t="s">
        <v>51</v>
      </c>
      <c r="D2370">
        <v>2039</v>
      </c>
      <c r="E2370" t="s">
        <v>145</v>
      </c>
      <c r="F2370">
        <v>8.9600000000000009</v>
      </c>
    </row>
    <row r="2371" spans="3:6" x14ac:dyDescent="0.25">
      <c r="C2371" t="s">
        <v>51</v>
      </c>
      <c r="D2371">
        <v>2040</v>
      </c>
      <c r="E2371" t="s">
        <v>142</v>
      </c>
      <c r="F2371">
        <v>340.61</v>
      </c>
    </row>
    <row r="2372" spans="3:6" x14ac:dyDescent="0.25">
      <c r="C2372" t="s">
        <v>51</v>
      </c>
      <c r="D2372">
        <v>2040</v>
      </c>
      <c r="E2372" t="s">
        <v>143</v>
      </c>
      <c r="F2372">
        <v>1075.46</v>
      </c>
    </row>
    <row r="2373" spans="3:6" x14ac:dyDescent="0.25">
      <c r="C2373" t="s">
        <v>51</v>
      </c>
      <c r="D2373">
        <v>2040</v>
      </c>
      <c r="E2373" t="s">
        <v>144</v>
      </c>
      <c r="F2373">
        <v>614.84</v>
      </c>
    </row>
    <row r="2374" spans="3:6" x14ac:dyDescent="0.25">
      <c r="C2374" t="s">
        <v>51</v>
      </c>
      <c r="D2374">
        <v>2040</v>
      </c>
      <c r="E2374" t="s">
        <v>145</v>
      </c>
      <c r="F2374">
        <v>10.3</v>
      </c>
    </row>
    <row r="2375" spans="3:6" x14ac:dyDescent="0.25">
      <c r="C2375" t="s">
        <v>51</v>
      </c>
      <c r="D2375">
        <v>2041</v>
      </c>
      <c r="E2375" t="s">
        <v>142</v>
      </c>
      <c r="F2375">
        <v>348.28</v>
      </c>
    </row>
    <row r="2376" spans="3:6" x14ac:dyDescent="0.25">
      <c r="C2376" t="s">
        <v>51</v>
      </c>
      <c r="D2376">
        <v>2041</v>
      </c>
      <c r="E2376" t="s">
        <v>143</v>
      </c>
      <c r="F2376">
        <v>1092.3599999999999</v>
      </c>
    </row>
    <row r="2377" spans="3:6" x14ac:dyDescent="0.25">
      <c r="C2377" t="s">
        <v>51</v>
      </c>
      <c r="D2377">
        <v>2041</v>
      </c>
      <c r="E2377" t="s">
        <v>144</v>
      </c>
      <c r="F2377">
        <v>626.13</v>
      </c>
    </row>
    <row r="2378" spans="3:6" x14ac:dyDescent="0.25">
      <c r="C2378" t="s">
        <v>51</v>
      </c>
      <c r="D2378">
        <v>2041</v>
      </c>
      <c r="E2378" t="s">
        <v>145</v>
      </c>
      <c r="F2378">
        <v>11.72</v>
      </c>
    </row>
    <row r="2379" spans="3:6" x14ac:dyDescent="0.25">
      <c r="C2379" t="s">
        <v>51</v>
      </c>
      <c r="D2379">
        <v>2042</v>
      </c>
      <c r="E2379" t="s">
        <v>142</v>
      </c>
      <c r="F2379">
        <v>356.09</v>
      </c>
    </row>
    <row r="2380" spans="3:6" x14ac:dyDescent="0.25">
      <c r="C2380" t="s">
        <v>51</v>
      </c>
      <c r="D2380">
        <v>2042</v>
      </c>
      <c r="E2380" t="s">
        <v>143</v>
      </c>
      <c r="F2380">
        <v>1108.5</v>
      </c>
    </row>
    <row r="2381" spans="3:6" x14ac:dyDescent="0.25">
      <c r="C2381" t="s">
        <v>51</v>
      </c>
      <c r="D2381">
        <v>2042</v>
      </c>
      <c r="E2381" t="s">
        <v>144</v>
      </c>
      <c r="F2381">
        <v>637.72</v>
      </c>
    </row>
    <row r="2382" spans="3:6" x14ac:dyDescent="0.25">
      <c r="C2382" t="s">
        <v>51</v>
      </c>
      <c r="D2382">
        <v>2042</v>
      </c>
      <c r="E2382" t="s">
        <v>145</v>
      </c>
      <c r="F2382">
        <v>13.2</v>
      </c>
    </row>
    <row r="2383" spans="3:6" x14ac:dyDescent="0.25">
      <c r="C2383" t="s">
        <v>51</v>
      </c>
      <c r="D2383">
        <v>2043</v>
      </c>
      <c r="E2383" t="s">
        <v>142</v>
      </c>
      <c r="F2383">
        <v>363.98</v>
      </c>
    </row>
    <row r="2384" spans="3:6" x14ac:dyDescent="0.25">
      <c r="C2384" t="s">
        <v>51</v>
      </c>
      <c r="D2384">
        <v>2043</v>
      </c>
      <c r="E2384" t="s">
        <v>143</v>
      </c>
      <c r="F2384">
        <v>1124.49</v>
      </c>
    </row>
    <row r="2385" spans="3:6" x14ac:dyDescent="0.25">
      <c r="C2385" t="s">
        <v>51</v>
      </c>
      <c r="D2385">
        <v>2043</v>
      </c>
      <c r="E2385" t="s">
        <v>144</v>
      </c>
      <c r="F2385">
        <v>649.29999999999995</v>
      </c>
    </row>
    <row r="2386" spans="3:6" x14ac:dyDescent="0.25">
      <c r="C2386" t="s">
        <v>51</v>
      </c>
      <c r="D2386">
        <v>2043</v>
      </c>
      <c r="E2386" t="s">
        <v>145</v>
      </c>
      <c r="F2386">
        <v>14.1</v>
      </c>
    </row>
    <row r="2387" spans="3:6" x14ac:dyDescent="0.25">
      <c r="C2387" t="s">
        <v>51</v>
      </c>
      <c r="D2387">
        <v>2044</v>
      </c>
      <c r="E2387" t="s">
        <v>142</v>
      </c>
      <c r="F2387">
        <v>371.74</v>
      </c>
    </row>
    <row r="2388" spans="3:6" x14ac:dyDescent="0.25">
      <c r="C2388" t="s">
        <v>51</v>
      </c>
      <c r="D2388">
        <v>2044</v>
      </c>
      <c r="E2388" t="s">
        <v>143</v>
      </c>
      <c r="F2388">
        <v>1140</v>
      </c>
    </row>
    <row r="2389" spans="3:6" x14ac:dyDescent="0.25">
      <c r="C2389" t="s">
        <v>51</v>
      </c>
      <c r="D2389">
        <v>2044</v>
      </c>
      <c r="E2389" t="s">
        <v>144</v>
      </c>
      <c r="F2389">
        <v>660.59</v>
      </c>
    </row>
    <row r="2390" spans="3:6" x14ac:dyDescent="0.25">
      <c r="C2390" t="s">
        <v>51</v>
      </c>
      <c r="D2390">
        <v>2044</v>
      </c>
      <c r="E2390" t="s">
        <v>145</v>
      </c>
      <c r="F2390">
        <v>15.02</v>
      </c>
    </row>
    <row r="2391" spans="3:6" x14ac:dyDescent="0.25">
      <c r="C2391" t="s">
        <v>51</v>
      </c>
      <c r="D2391">
        <v>2045</v>
      </c>
      <c r="E2391" t="s">
        <v>142</v>
      </c>
      <c r="F2391">
        <v>379.86</v>
      </c>
    </row>
    <row r="2392" spans="3:6" x14ac:dyDescent="0.25">
      <c r="C2392" t="s">
        <v>51</v>
      </c>
      <c r="D2392">
        <v>2045</v>
      </c>
      <c r="E2392" t="s">
        <v>143</v>
      </c>
      <c r="F2392">
        <v>1155.68</v>
      </c>
    </row>
    <row r="2393" spans="3:6" x14ac:dyDescent="0.25">
      <c r="C2393" t="s">
        <v>51</v>
      </c>
      <c r="D2393">
        <v>2045</v>
      </c>
      <c r="E2393" t="s">
        <v>144</v>
      </c>
      <c r="F2393">
        <v>672.88</v>
      </c>
    </row>
    <row r="2394" spans="3:6" x14ac:dyDescent="0.25">
      <c r="C2394" t="s">
        <v>51</v>
      </c>
      <c r="D2394">
        <v>2045</v>
      </c>
      <c r="E2394" t="s">
        <v>145</v>
      </c>
      <c r="F2394">
        <v>15.97</v>
      </c>
    </row>
    <row r="2395" spans="3:6" x14ac:dyDescent="0.25">
      <c r="C2395" t="s">
        <v>51</v>
      </c>
      <c r="D2395">
        <v>2046</v>
      </c>
      <c r="E2395" t="s">
        <v>142</v>
      </c>
      <c r="F2395">
        <v>386.94</v>
      </c>
    </row>
    <row r="2396" spans="3:6" x14ac:dyDescent="0.25">
      <c r="C2396" t="s">
        <v>51</v>
      </c>
      <c r="D2396">
        <v>2046</v>
      </c>
      <c r="E2396" t="s">
        <v>143</v>
      </c>
      <c r="F2396">
        <v>1170.6500000000001</v>
      </c>
    </row>
    <row r="2397" spans="3:6" x14ac:dyDescent="0.25">
      <c r="C2397" t="s">
        <v>51</v>
      </c>
      <c r="D2397">
        <v>2046</v>
      </c>
      <c r="E2397" t="s">
        <v>144</v>
      </c>
      <c r="F2397">
        <v>683.13</v>
      </c>
    </row>
    <row r="2398" spans="3:6" x14ac:dyDescent="0.25">
      <c r="C2398" t="s">
        <v>51</v>
      </c>
      <c r="D2398">
        <v>2046</v>
      </c>
      <c r="E2398" t="s">
        <v>145</v>
      </c>
      <c r="F2398">
        <v>16.940000000000001</v>
      </c>
    </row>
    <row r="2399" spans="3:6" x14ac:dyDescent="0.25">
      <c r="C2399" t="s">
        <v>51</v>
      </c>
      <c r="D2399">
        <v>2047</v>
      </c>
      <c r="E2399" t="s">
        <v>142</v>
      </c>
      <c r="F2399">
        <v>394.02</v>
      </c>
    </row>
    <row r="2400" spans="3:6" x14ac:dyDescent="0.25">
      <c r="C2400" t="s">
        <v>51</v>
      </c>
      <c r="D2400">
        <v>2047</v>
      </c>
      <c r="E2400" t="s">
        <v>143</v>
      </c>
      <c r="F2400">
        <v>1185.95</v>
      </c>
    </row>
    <row r="2401" spans="3:6" x14ac:dyDescent="0.25">
      <c r="C2401" t="s">
        <v>51</v>
      </c>
      <c r="D2401">
        <v>2047</v>
      </c>
      <c r="E2401" t="s">
        <v>144</v>
      </c>
      <c r="F2401">
        <v>693.51</v>
      </c>
    </row>
    <row r="2402" spans="3:6" x14ac:dyDescent="0.25">
      <c r="C2402" t="s">
        <v>51</v>
      </c>
      <c r="D2402">
        <v>2047</v>
      </c>
      <c r="E2402" t="s">
        <v>145</v>
      </c>
      <c r="F2402">
        <v>17.91</v>
      </c>
    </row>
    <row r="2403" spans="3:6" x14ac:dyDescent="0.25">
      <c r="C2403" t="s">
        <v>51</v>
      </c>
      <c r="D2403">
        <v>2048</v>
      </c>
      <c r="E2403" t="s">
        <v>142</v>
      </c>
      <c r="F2403">
        <v>401.15</v>
      </c>
    </row>
    <row r="2404" spans="3:6" x14ac:dyDescent="0.25">
      <c r="C2404" t="s">
        <v>51</v>
      </c>
      <c r="D2404">
        <v>2048</v>
      </c>
      <c r="E2404" t="s">
        <v>143</v>
      </c>
      <c r="F2404">
        <v>1201.5899999999999</v>
      </c>
    </row>
    <row r="2405" spans="3:6" x14ac:dyDescent="0.25">
      <c r="C2405" t="s">
        <v>51</v>
      </c>
      <c r="D2405">
        <v>2048</v>
      </c>
      <c r="E2405" t="s">
        <v>144</v>
      </c>
      <c r="F2405">
        <v>704.04</v>
      </c>
    </row>
    <row r="2406" spans="3:6" x14ac:dyDescent="0.25">
      <c r="C2406" t="s">
        <v>51</v>
      </c>
      <c r="D2406">
        <v>2048</v>
      </c>
      <c r="E2406" t="s">
        <v>145</v>
      </c>
      <c r="F2406">
        <v>18.88</v>
      </c>
    </row>
    <row r="2407" spans="3:6" x14ac:dyDescent="0.25">
      <c r="C2407" t="s">
        <v>51</v>
      </c>
      <c r="D2407">
        <v>2049</v>
      </c>
      <c r="E2407" t="s">
        <v>142</v>
      </c>
      <c r="F2407">
        <v>408.3</v>
      </c>
    </row>
    <row r="2408" spans="3:6" x14ac:dyDescent="0.25">
      <c r="C2408" t="s">
        <v>51</v>
      </c>
      <c r="D2408">
        <v>2049</v>
      </c>
      <c r="E2408" t="s">
        <v>143</v>
      </c>
      <c r="F2408">
        <v>1218.57</v>
      </c>
    </row>
    <row r="2409" spans="3:6" x14ac:dyDescent="0.25">
      <c r="C2409" t="s">
        <v>51</v>
      </c>
      <c r="D2409">
        <v>2049</v>
      </c>
      <c r="E2409" t="s">
        <v>144</v>
      </c>
      <c r="F2409">
        <v>714.39</v>
      </c>
    </row>
    <row r="2410" spans="3:6" x14ac:dyDescent="0.25">
      <c r="C2410" t="s">
        <v>51</v>
      </c>
      <c r="D2410">
        <v>2049</v>
      </c>
      <c r="E2410" t="s">
        <v>145</v>
      </c>
      <c r="F2410">
        <v>19.809999999999999</v>
      </c>
    </row>
    <row r="2411" spans="3:6" x14ac:dyDescent="0.25">
      <c r="C2411" t="s">
        <v>51</v>
      </c>
      <c r="D2411">
        <v>2050</v>
      </c>
      <c r="E2411" t="s">
        <v>142</v>
      </c>
      <c r="F2411">
        <v>415.38</v>
      </c>
    </row>
    <row r="2412" spans="3:6" x14ac:dyDescent="0.25">
      <c r="C2412" t="s">
        <v>51</v>
      </c>
      <c r="D2412">
        <v>2050</v>
      </c>
      <c r="E2412" t="s">
        <v>143</v>
      </c>
      <c r="F2412">
        <v>1233.21</v>
      </c>
    </row>
    <row r="2413" spans="3:6" x14ac:dyDescent="0.25">
      <c r="C2413" t="s">
        <v>51</v>
      </c>
      <c r="D2413">
        <v>2050</v>
      </c>
      <c r="E2413" t="s">
        <v>144</v>
      </c>
      <c r="F2413">
        <v>724.55</v>
      </c>
    </row>
    <row r="2414" spans="3:6" x14ac:dyDescent="0.25">
      <c r="C2414" t="s">
        <v>51</v>
      </c>
      <c r="D2414">
        <v>2050</v>
      </c>
      <c r="E2414" t="s">
        <v>145</v>
      </c>
      <c r="F2414">
        <v>20.71</v>
      </c>
    </row>
    <row r="2415" spans="3:6" x14ac:dyDescent="0.25">
      <c r="C2415" t="s">
        <v>125</v>
      </c>
      <c r="D2415">
        <v>2010</v>
      </c>
      <c r="E2415" t="s">
        <v>142</v>
      </c>
      <c r="F2415">
        <v>909.78</v>
      </c>
    </row>
    <row r="2416" spans="3:6" x14ac:dyDescent="0.25">
      <c r="C2416" t="s">
        <v>125</v>
      </c>
      <c r="D2416">
        <v>2010</v>
      </c>
      <c r="E2416" t="s">
        <v>143</v>
      </c>
      <c r="F2416">
        <v>1483.59</v>
      </c>
    </row>
    <row r="2417" spans="3:6" x14ac:dyDescent="0.25">
      <c r="C2417" t="s">
        <v>125</v>
      </c>
      <c r="D2417">
        <v>2010</v>
      </c>
      <c r="E2417" t="s">
        <v>144</v>
      </c>
      <c r="F2417">
        <v>1070.52</v>
      </c>
    </row>
    <row r="2418" spans="3:6" x14ac:dyDescent="0.25">
      <c r="C2418" t="s">
        <v>125</v>
      </c>
      <c r="D2418">
        <v>2010</v>
      </c>
      <c r="E2418" t="s">
        <v>145</v>
      </c>
      <c r="F2418">
        <v>13.83</v>
      </c>
    </row>
    <row r="2419" spans="3:6" x14ac:dyDescent="0.25">
      <c r="C2419" t="s">
        <v>125</v>
      </c>
      <c r="D2419">
        <v>2011</v>
      </c>
      <c r="E2419" t="s">
        <v>142</v>
      </c>
      <c r="F2419">
        <v>930.78</v>
      </c>
    </row>
    <row r="2420" spans="3:6" x14ac:dyDescent="0.25">
      <c r="C2420" t="s">
        <v>125</v>
      </c>
      <c r="D2420">
        <v>2011</v>
      </c>
      <c r="E2420" t="s">
        <v>143</v>
      </c>
      <c r="F2420">
        <v>1529.05</v>
      </c>
    </row>
    <row r="2421" spans="3:6" x14ac:dyDescent="0.25">
      <c r="C2421" t="s">
        <v>125</v>
      </c>
      <c r="D2421">
        <v>2011</v>
      </c>
      <c r="E2421" t="s">
        <v>144</v>
      </c>
      <c r="F2421">
        <v>1112.69</v>
      </c>
    </row>
    <row r="2422" spans="3:6" x14ac:dyDescent="0.25">
      <c r="C2422" t="s">
        <v>125</v>
      </c>
      <c r="D2422">
        <v>2011</v>
      </c>
      <c r="E2422" t="s">
        <v>145</v>
      </c>
      <c r="F2422">
        <v>14.62</v>
      </c>
    </row>
    <row r="2423" spans="3:6" x14ac:dyDescent="0.25">
      <c r="C2423" t="s">
        <v>125</v>
      </c>
      <c r="D2423">
        <v>2012</v>
      </c>
      <c r="E2423" t="s">
        <v>142</v>
      </c>
      <c r="F2423">
        <v>988.42</v>
      </c>
    </row>
    <row r="2424" spans="3:6" x14ac:dyDescent="0.25">
      <c r="C2424" t="s">
        <v>125</v>
      </c>
      <c r="D2424">
        <v>2012</v>
      </c>
      <c r="E2424" t="s">
        <v>143</v>
      </c>
      <c r="F2424">
        <v>1588.34</v>
      </c>
    </row>
    <row r="2425" spans="3:6" x14ac:dyDescent="0.25">
      <c r="C2425" t="s">
        <v>125</v>
      </c>
      <c r="D2425">
        <v>2012</v>
      </c>
      <c r="E2425" t="s">
        <v>144</v>
      </c>
      <c r="F2425">
        <v>1192.25</v>
      </c>
    </row>
    <row r="2426" spans="3:6" x14ac:dyDescent="0.25">
      <c r="C2426" t="s">
        <v>125</v>
      </c>
      <c r="D2426">
        <v>2012</v>
      </c>
      <c r="E2426" t="s">
        <v>145</v>
      </c>
      <c r="F2426">
        <v>15.31</v>
      </c>
    </row>
    <row r="2427" spans="3:6" x14ac:dyDescent="0.25">
      <c r="C2427" t="s">
        <v>125</v>
      </c>
      <c r="D2427">
        <v>2013</v>
      </c>
      <c r="E2427" t="s">
        <v>142</v>
      </c>
      <c r="F2427">
        <v>1032.06</v>
      </c>
    </row>
    <row r="2428" spans="3:6" x14ac:dyDescent="0.25">
      <c r="C2428" t="s">
        <v>125</v>
      </c>
      <c r="D2428">
        <v>2013</v>
      </c>
      <c r="E2428" t="s">
        <v>143</v>
      </c>
      <c r="F2428">
        <v>1635.07</v>
      </c>
    </row>
    <row r="2429" spans="3:6" x14ac:dyDescent="0.25">
      <c r="C2429" t="s">
        <v>125</v>
      </c>
      <c r="D2429">
        <v>2013</v>
      </c>
      <c r="E2429" t="s">
        <v>144</v>
      </c>
      <c r="F2429">
        <v>1272.49</v>
      </c>
    </row>
    <row r="2430" spans="3:6" x14ac:dyDescent="0.25">
      <c r="C2430" t="s">
        <v>125</v>
      </c>
      <c r="D2430">
        <v>2013</v>
      </c>
      <c r="E2430" t="s">
        <v>145</v>
      </c>
      <c r="F2430">
        <v>16</v>
      </c>
    </row>
    <row r="2431" spans="3:6" x14ac:dyDescent="0.25">
      <c r="C2431" t="s">
        <v>125</v>
      </c>
      <c r="D2431">
        <v>2014</v>
      </c>
      <c r="E2431" t="s">
        <v>142</v>
      </c>
      <c r="F2431">
        <v>996.94</v>
      </c>
    </row>
    <row r="2432" spans="3:6" x14ac:dyDescent="0.25">
      <c r="C2432" t="s">
        <v>125</v>
      </c>
      <c r="D2432">
        <v>2014</v>
      </c>
      <c r="E2432" t="s">
        <v>143</v>
      </c>
      <c r="F2432">
        <v>1753.09</v>
      </c>
    </row>
    <row r="2433" spans="3:6" x14ac:dyDescent="0.25">
      <c r="C2433" t="s">
        <v>125</v>
      </c>
      <c r="D2433">
        <v>2014</v>
      </c>
      <c r="E2433" t="s">
        <v>144</v>
      </c>
      <c r="F2433">
        <v>1353.28</v>
      </c>
    </row>
    <row r="2434" spans="3:6" x14ac:dyDescent="0.25">
      <c r="C2434" t="s">
        <v>125</v>
      </c>
      <c r="D2434">
        <v>2014</v>
      </c>
      <c r="E2434" t="s">
        <v>145</v>
      </c>
      <c r="F2434">
        <v>16.260000000000002</v>
      </c>
    </row>
    <row r="2435" spans="3:6" x14ac:dyDescent="0.25">
      <c r="C2435" t="s">
        <v>125</v>
      </c>
      <c r="D2435">
        <v>2015</v>
      </c>
      <c r="E2435" t="s">
        <v>142</v>
      </c>
      <c r="F2435">
        <v>1037.26</v>
      </c>
    </row>
    <row r="2436" spans="3:6" x14ac:dyDescent="0.25">
      <c r="C2436" t="s">
        <v>125</v>
      </c>
      <c r="D2436">
        <v>2015</v>
      </c>
      <c r="E2436" t="s">
        <v>143</v>
      </c>
      <c r="F2436">
        <v>1802.9</v>
      </c>
    </row>
    <row r="2437" spans="3:6" x14ac:dyDescent="0.25">
      <c r="C2437" t="s">
        <v>125</v>
      </c>
      <c r="D2437">
        <v>2015</v>
      </c>
      <c r="E2437" t="s">
        <v>144</v>
      </c>
      <c r="F2437">
        <v>1447.03</v>
      </c>
    </row>
    <row r="2438" spans="3:6" x14ac:dyDescent="0.25">
      <c r="C2438" t="s">
        <v>125</v>
      </c>
      <c r="D2438">
        <v>2015</v>
      </c>
      <c r="E2438" t="s">
        <v>145</v>
      </c>
      <c r="F2438">
        <v>16.66</v>
      </c>
    </row>
    <row r="2439" spans="3:6" x14ac:dyDescent="0.25">
      <c r="C2439" t="s">
        <v>125</v>
      </c>
      <c r="D2439">
        <v>2016</v>
      </c>
      <c r="E2439" t="s">
        <v>142</v>
      </c>
      <c r="F2439">
        <v>1110.75</v>
      </c>
    </row>
    <row r="2440" spans="3:6" x14ac:dyDescent="0.25">
      <c r="C2440" t="s">
        <v>125</v>
      </c>
      <c r="D2440">
        <v>2016</v>
      </c>
      <c r="E2440" t="s">
        <v>143</v>
      </c>
      <c r="F2440">
        <v>1887.94</v>
      </c>
    </row>
    <row r="2441" spans="3:6" x14ac:dyDescent="0.25">
      <c r="C2441" t="s">
        <v>125</v>
      </c>
      <c r="D2441">
        <v>2016</v>
      </c>
      <c r="E2441" t="s">
        <v>144</v>
      </c>
      <c r="F2441">
        <v>1580.09</v>
      </c>
    </row>
    <row r="2442" spans="3:6" x14ac:dyDescent="0.25">
      <c r="C2442" t="s">
        <v>125</v>
      </c>
      <c r="D2442">
        <v>2016</v>
      </c>
      <c r="E2442" t="s">
        <v>145</v>
      </c>
      <c r="F2442">
        <v>18.010000000000002</v>
      </c>
    </row>
    <row r="2443" spans="3:6" x14ac:dyDescent="0.25">
      <c r="C2443" t="s">
        <v>125</v>
      </c>
      <c r="D2443">
        <v>2017</v>
      </c>
      <c r="E2443" t="s">
        <v>142</v>
      </c>
      <c r="F2443">
        <v>1142.27</v>
      </c>
    </row>
    <row r="2444" spans="3:6" x14ac:dyDescent="0.25">
      <c r="C2444" t="s">
        <v>125</v>
      </c>
      <c r="D2444">
        <v>2017</v>
      </c>
      <c r="E2444" t="s">
        <v>143</v>
      </c>
      <c r="F2444">
        <v>1984.66</v>
      </c>
    </row>
    <row r="2445" spans="3:6" x14ac:dyDescent="0.25">
      <c r="C2445" t="s">
        <v>125</v>
      </c>
      <c r="D2445">
        <v>2017</v>
      </c>
      <c r="E2445" t="s">
        <v>144</v>
      </c>
      <c r="F2445">
        <v>1654.16</v>
      </c>
    </row>
    <row r="2446" spans="3:6" x14ac:dyDescent="0.25">
      <c r="C2446" t="s">
        <v>125</v>
      </c>
      <c r="D2446">
        <v>2017</v>
      </c>
      <c r="E2446" t="s">
        <v>145</v>
      </c>
      <c r="F2446">
        <v>19.68</v>
      </c>
    </row>
    <row r="2447" spans="3:6" x14ac:dyDescent="0.25">
      <c r="C2447" t="s">
        <v>125</v>
      </c>
      <c r="D2447">
        <v>2018</v>
      </c>
      <c r="E2447" t="s">
        <v>142</v>
      </c>
      <c r="F2447">
        <v>1287.8499999999999</v>
      </c>
    </row>
    <row r="2448" spans="3:6" x14ac:dyDescent="0.25">
      <c r="C2448" t="s">
        <v>125</v>
      </c>
      <c r="D2448">
        <v>2018</v>
      </c>
      <c r="E2448" t="s">
        <v>143</v>
      </c>
      <c r="F2448">
        <v>2061.0300000000002</v>
      </c>
    </row>
    <row r="2449" spans="3:6" x14ac:dyDescent="0.25">
      <c r="C2449" t="s">
        <v>125</v>
      </c>
      <c r="D2449">
        <v>2018</v>
      </c>
      <c r="E2449" t="s">
        <v>144</v>
      </c>
      <c r="F2449">
        <v>1793.75</v>
      </c>
    </row>
    <row r="2450" spans="3:6" x14ac:dyDescent="0.25">
      <c r="C2450" t="s">
        <v>125</v>
      </c>
      <c r="D2450">
        <v>2018</v>
      </c>
      <c r="E2450" t="s">
        <v>145</v>
      </c>
      <c r="F2450">
        <v>22.02</v>
      </c>
    </row>
    <row r="2451" spans="3:6" x14ac:dyDescent="0.25">
      <c r="C2451" t="s">
        <v>125</v>
      </c>
      <c r="D2451">
        <v>2019</v>
      </c>
      <c r="E2451" t="s">
        <v>147</v>
      </c>
      <c r="F2451">
        <v>37.770000000000003</v>
      </c>
    </row>
    <row r="2452" spans="3:6" x14ac:dyDescent="0.25">
      <c r="C2452" t="s">
        <v>125</v>
      </c>
      <c r="D2452">
        <v>2019</v>
      </c>
      <c r="E2452" t="s">
        <v>148</v>
      </c>
      <c r="F2452">
        <v>47.7</v>
      </c>
    </row>
    <row r="2453" spans="3:6" x14ac:dyDescent="0.25">
      <c r="C2453" t="s">
        <v>125</v>
      </c>
      <c r="D2453">
        <v>2019</v>
      </c>
      <c r="E2453" t="s">
        <v>146</v>
      </c>
      <c r="F2453">
        <v>257.24</v>
      </c>
    </row>
    <row r="2454" spans="3:6" x14ac:dyDescent="0.25">
      <c r="C2454" t="s">
        <v>125</v>
      </c>
      <c r="D2454">
        <v>2019</v>
      </c>
      <c r="E2454" t="s">
        <v>142</v>
      </c>
      <c r="F2454">
        <v>1328.36</v>
      </c>
    </row>
    <row r="2455" spans="3:6" x14ac:dyDescent="0.25">
      <c r="C2455" t="s">
        <v>125</v>
      </c>
      <c r="D2455">
        <v>2019</v>
      </c>
      <c r="E2455" t="s">
        <v>143</v>
      </c>
      <c r="F2455">
        <v>2097.84</v>
      </c>
    </row>
    <row r="2456" spans="3:6" x14ac:dyDescent="0.25">
      <c r="C2456" t="s">
        <v>125</v>
      </c>
      <c r="D2456">
        <v>2019</v>
      </c>
      <c r="E2456" t="s">
        <v>144</v>
      </c>
      <c r="F2456">
        <v>1824.13</v>
      </c>
    </row>
    <row r="2457" spans="3:6" x14ac:dyDescent="0.25">
      <c r="C2457" t="s">
        <v>125</v>
      </c>
      <c r="D2457">
        <v>2019</v>
      </c>
      <c r="E2457" t="s">
        <v>145</v>
      </c>
      <c r="F2457">
        <v>8.65</v>
      </c>
    </row>
    <row r="2458" spans="3:6" x14ac:dyDescent="0.25">
      <c r="C2458" t="s">
        <v>125</v>
      </c>
      <c r="D2458">
        <v>2020</v>
      </c>
      <c r="E2458" t="s">
        <v>147</v>
      </c>
      <c r="F2458">
        <v>37.700000000000003</v>
      </c>
    </row>
    <row r="2459" spans="3:6" x14ac:dyDescent="0.25">
      <c r="C2459" t="s">
        <v>125</v>
      </c>
      <c r="D2459">
        <v>2020</v>
      </c>
      <c r="E2459" t="s">
        <v>148</v>
      </c>
      <c r="F2459">
        <v>47.61</v>
      </c>
    </row>
    <row r="2460" spans="3:6" x14ac:dyDescent="0.25">
      <c r="C2460" t="s">
        <v>125</v>
      </c>
      <c r="D2460">
        <v>2020</v>
      </c>
      <c r="E2460" t="s">
        <v>146</v>
      </c>
      <c r="F2460">
        <v>254.21</v>
      </c>
    </row>
    <row r="2461" spans="3:6" x14ac:dyDescent="0.25">
      <c r="C2461" t="s">
        <v>125</v>
      </c>
      <c r="D2461">
        <v>2020</v>
      </c>
      <c r="E2461" t="s">
        <v>142</v>
      </c>
      <c r="F2461">
        <v>1285.4000000000001</v>
      </c>
    </row>
    <row r="2462" spans="3:6" x14ac:dyDescent="0.25">
      <c r="C2462" t="s">
        <v>125</v>
      </c>
      <c r="D2462">
        <v>2020</v>
      </c>
      <c r="E2462" t="s">
        <v>143</v>
      </c>
      <c r="F2462">
        <v>2040.93</v>
      </c>
    </row>
    <row r="2463" spans="3:6" x14ac:dyDescent="0.25">
      <c r="C2463" t="s">
        <v>125</v>
      </c>
      <c r="D2463">
        <v>2020</v>
      </c>
      <c r="E2463" t="s">
        <v>144</v>
      </c>
      <c r="F2463">
        <v>1783.41</v>
      </c>
    </row>
    <row r="2464" spans="3:6" x14ac:dyDescent="0.25">
      <c r="C2464" t="s">
        <v>125</v>
      </c>
      <c r="D2464">
        <v>2020</v>
      </c>
      <c r="E2464" t="s">
        <v>145</v>
      </c>
      <c r="F2464">
        <v>6.93</v>
      </c>
    </row>
    <row r="2465" spans="3:6" x14ac:dyDescent="0.25">
      <c r="C2465" t="s">
        <v>125</v>
      </c>
      <c r="D2465">
        <v>2021</v>
      </c>
      <c r="E2465" t="s">
        <v>147</v>
      </c>
      <c r="F2465">
        <v>37.799999999999997</v>
      </c>
    </row>
    <row r="2466" spans="3:6" x14ac:dyDescent="0.25">
      <c r="C2466" t="s">
        <v>125</v>
      </c>
      <c r="D2466">
        <v>2021</v>
      </c>
      <c r="E2466" t="s">
        <v>148</v>
      </c>
      <c r="F2466">
        <v>47.67</v>
      </c>
    </row>
    <row r="2467" spans="3:6" x14ac:dyDescent="0.25">
      <c r="C2467" t="s">
        <v>125</v>
      </c>
      <c r="D2467">
        <v>2021</v>
      </c>
      <c r="E2467" t="s">
        <v>146</v>
      </c>
      <c r="F2467">
        <v>265.85000000000002</v>
      </c>
    </row>
    <row r="2468" spans="3:6" x14ac:dyDescent="0.25">
      <c r="C2468" t="s">
        <v>125</v>
      </c>
      <c r="D2468">
        <v>2021</v>
      </c>
      <c r="E2468" t="s">
        <v>142</v>
      </c>
      <c r="F2468">
        <v>1327.82</v>
      </c>
    </row>
    <row r="2469" spans="3:6" x14ac:dyDescent="0.25">
      <c r="C2469" t="s">
        <v>125</v>
      </c>
      <c r="D2469">
        <v>2021</v>
      </c>
      <c r="E2469" t="s">
        <v>143</v>
      </c>
      <c r="F2469">
        <v>2242.5700000000002</v>
      </c>
    </row>
    <row r="2470" spans="3:6" x14ac:dyDescent="0.25">
      <c r="C2470" t="s">
        <v>125</v>
      </c>
      <c r="D2470">
        <v>2021</v>
      </c>
      <c r="E2470" t="s">
        <v>144</v>
      </c>
      <c r="F2470">
        <v>1830.28</v>
      </c>
    </row>
    <row r="2471" spans="3:6" x14ac:dyDescent="0.25">
      <c r="C2471" t="s">
        <v>125</v>
      </c>
      <c r="D2471">
        <v>2021</v>
      </c>
      <c r="E2471" t="s">
        <v>145</v>
      </c>
      <c r="F2471">
        <v>7.74</v>
      </c>
    </row>
    <row r="2472" spans="3:6" x14ac:dyDescent="0.25">
      <c r="C2472" t="s">
        <v>125</v>
      </c>
      <c r="D2472">
        <v>2022</v>
      </c>
      <c r="E2472" t="s">
        <v>147</v>
      </c>
      <c r="F2472">
        <v>37.93</v>
      </c>
    </row>
    <row r="2473" spans="3:6" x14ac:dyDescent="0.25">
      <c r="C2473" t="s">
        <v>125</v>
      </c>
      <c r="D2473">
        <v>2022</v>
      </c>
      <c r="E2473" t="s">
        <v>148</v>
      </c>
      <c r="F2473">
        <v>47.77</v>
      </c>
    </row>
    <row r="2474" spans="3:6" x14ac:dyDescent="0.25">
      <c r="C2474" t="s">
        <v>125</v>
      </c>
      <c r="D2474">
        <v>2022</v>
      </c>
      <c r="E2474" t="s">
        <v>146</v>
      </c>
      <c r="F2474">
        <v>274.69</v>
      </c>
    </row>
    <row r="2475" spans="3:6" x14ac:dyDescent="0.25">
      <c r="C2475" t="s">
        <v>125</v>
      </c>
      <c r="D2475">
        <v>2022</v>
      </c>
      <c r="E2475" t="s">
        <v>142</v>
      </c>
      <c r="F2475">
        <v>1389.22</v>
      </c>
    </row>
    <row r="2476" spans="3:6" x14ac:dyDescent="0.25">
      <c r="C2476" t="s">
        <v>125</v>
      </c>
      <c r="D2476">
        <v>2022</v>
      </c>
      <c r="E2476" t="s">
        <v>143</v>
      </c>
      <c r="F2476">
        <v>2294.89</v>
      </c>
    </row>
    <row r="2477" spans="3:6" x14ac:dyDescent="0.25">
      <c r="C2477" t="s">
        <v>125</v>
      </c>
      <c r="D2477">
        <v>2022</v>
      </c>
      <c r="E2477" t="s">
        <v>144</v>
      </c>
      <c r="F2477">
        <v>1911.19</v>
      </c>
    </row>
    <row r="2478" spans="3:6" x14ac:dyDescent="0.25">
      <c r="C2478" t="s">
        <v>125</v>
      </c>
      <c r="D2478">
        <v>2022</v>
      </c>
      <c r="E2478" t="s">
        <v>145</v>
      </c>
      <c r="F2478">
        <v>8.07</v>
      </c>
    </row>
    <row r="2479" spans="3:6" x14ac:dyDescent="0.25">
      <c r="C2479" t="s">
        <v>125</v>
      </c>
      <c r="D2479">
        <v>2023</v>
      </c>
      <c r="E2479" t="s">
        <v>147</v>
      </c>
      <c r="F2479">
        <v>38.04</v>
      </c>
    </row>
    <row r="2480" spans="3:6" x14ac:dyDescent="0.25">
      <c r="C2480" t="s">
        <v>125</v>
      </c>
      <c r="D2480">
        <v>2023</v>
      </c>
      <c r="E2480" t="s">
        <v>148</v>
      </c>
      <c r="F2480">
        <v>47.84</v>
      </c>
    </row>
    <row r="2481" spans="3:6" x14ac:dyDescent="0.25">
      <c r="C2481" t="s">
        <v>125</v>
      </c>
      <c r="D2481">
        <v>2023</v>
      </c>
      <c r="E2481" t="s">
        <v>146</v>
      </c>
      <c r="F2481">
        <v>282.97000000000003</v>
      </c>
    </row>
    <row r="2482" spans="3:6" x14ac:dyDescent="0.25">
      <c r="C2482" t="s">
        <v>125</v>
      </c>
      <c r="D2482">
        <v>2023</v>
      </c>
      <c r="E2482" t="s">
        <v>142</v>
      </c>
      <c r="F2482">
        <v>1439.81</v>
      </c>
    </row>
    <row r="2483" spans="3:6" x14ac:dyDescent="0.25">
      <c r="C2483" t="s">
        <v>125</v>
      </c>
      <c r="D2483">
        <v>2023</v>
      </c>
      <c r="E2483" t="s">
        <v>143</v>
      </c>
      <c r="F2483">
        <v>2367.1</v>
      </c>
    </row>
    <row r="2484" spans="3:6" x14ac:dyDescent="0.25">
      <c r="C2484" t="s">
        <v>125</v>
      </c>
      <c r="D2484">
        <v>2023</v>
      </c>
      <c r="E2484" t="s">
        <v>144</v>
      </c>
      <c r="F2484">
        <v>1978.46</v>
      </c>
    </row>
    <row r="2485" spans="3:6" x14ac:dyDescent="0.25">
      <c r="C2485" t="s">
        <v>125</v>
      </c>
      <c r="D2485">
        <v>2023</v>
      </c>
      <c r="E2485" t="s">
        <v>145</v>
      </c>
      <c r="F2485">
        <v>8.15</v>
      </c>
    </row>
    <row r="2486" spans="3:6" x14ac:dyDescent="0.25">
      <c r="C2486" t="s">
        <v>125</v>
      </c>
      <c r="D2486">
        <v>2024</v>
      </c>
      <c r="E2486" t="s">
        <v>147</v>
      </c>
      <c r="F2486">
        <v>38.14</v>
      </c>
    </row>
    <row r="2487" spans="3:6" x14ac:dyDescent="0.25">
      <c r="C2487" t="s">
        <v>125</v>
      </c>
      <c r="D2487">
        <v>2024</v>
      </c>
      <c r="E2487" t="s">
        <v>148</v>
      </c>
      <c r="F2487">
        <v>47.91</v>
      </c>
    </row>
    <row r="2488" spans="3:6" x14ac:dyDescent="0.25">
      <c r="C2488" t="s">
        <v>125</v>
      </c>
      <c r="D2488">
        <v>2024</v>
      </c>
      <c r="E2488" t="s">
        <v>146</v>
      </c>
      <c r="F2488">
        <v>290.44</v>
      </c>
    </row>
    <row r="2489" spans="3:6" x14ac:dyDescent="0.25">
      <c r="C2489" t="s">
        <v>125</v>
      </c>
      <c r="D2489">
        <v>2024</v>
      </c>
      <c r="E2489" t="s">
        <v>142</v>
      </c>
      <c r="F2489">
        <v>1488.11</v>
      </c>
    </row>
    <row r="2490" spans="3:6" x14ac:dyDescent="0.25">
      <c r="C2490" t="s">
        <v>125</v>
      </c>
      <c r="D2490">
        <v>2024</v>
      </c>
      <c r="E2490" t="s">
        <v>143</v>
      </c>
      <c r="F2490">
        <v>2425.96</v>
      </c>
    </row>
    <row r="2491" spans="3:6" x14ac:dyDescent="0.25">
      <c r="C2491" t="s">
        <v>125</v>
      </c>
      <c r="D2491">
        <v>2024</v>
      </c>
      <c r="E2491" t="s">
        <v>144</v>
      </c>
      <c r="F2491">
        <v>2040.17</v>
      </c>
    </row>
    <row r="2492" spans="3:6" x14ac:dyDescent="0.25">
      <c r="C2492" t="s">
        <v>125</v>
      </c>
      <c r="D2492">
        <v>2024</v>
      </c>
      <c r="E2492" t="s">
        <v>145</v>
      </c>
      <c r="F2492">
        <v>8.23</v>
      </c>
    </row>
    <row r="2493" spans="3:6" x14ac:dyDescent="0.25">
      <c r="C2493" t="s">
        <v>125</v>
      </c>
      <c r="D2493">
        <v>2025</v>
      </c>
      <c r="E2493" t="s">
        <v>147</v>
      </c>
      <c r="F2493">
        <v>38.24</v>
      </c>
    </row>
    <row r="2494" spans="3:6" x14ac:dyDescent="0.25">
      <c r="C2494" t="s">
        <v>125</v>
      </c>
      <c r="D2494">
        <v>2025</v>
      </c>
      <c r="E2494" t="s">
        <v>148</v>
      </c>
      <c r="F2494">
        <v>47.97</v>
      </c>
    </row>
    <row r="2495" spans="3:6" x14ac:dyDescent="0.25">
      <c r="C2495" t="s">
        <v>125</v>
      </c>
      <c r="D2495">
        <v>2025</v>
      </c>
      <c r="E2495" t="s">
        <v>146</v>
      </c>
      <c r="F2495">
        <v>297.86</v>
      </c>
    </row>
    <row r="2496" spans="3:6" x14ac:dyDescent="0.25">
      <c r="C2496" t="s">
        <v>125</v>
      </c>
      <c r="D2496">
        <v>2025</v>
      </c>
      <c r="E2496" t="s">
        <v>142</v>
      </c>
      <c r="F2496">
        <v>1536.58</v>
      </c>
    </row>
    <row r="2497" spans="3:6" x14ac:dyDescent="0.25">
      <c r="C2497" t="s">
        <v>125</v>
      </c>
      <c r="D2497">
        <v>2025</v>
      </c>
      <c r="E2497" t="s">
        <v>143</v>
      </c>
      <c r="F2497">
        <v>2508.38</v>
      </c>
    </row>
    <row r="2498" spans="3:6" x14ac:dyDescent="0.25">
      <c r="C2498" t="s">
        <v>125</v>
      </c>
      <c r="D2498">
        <v>2025</v>
      </c>
      <c r="E2498" t="s">
        <v>144</v>
      </c>
      <c r="F2498">
        <v>2101.15</v>
      </c>
    </row>
    <row r="2499" spans="3:6" x14ac:dyDescent="0.25">
      <c r="C2499" t="s">
        <v>125</v>
      </c>
      <c r="D2499">
        <v>2025</v>
      </c>
      <c r="E2499" t="s">
        <v>145</v>
      </c>
      <c r="F2499">
        <v>8.36</v>
      </c>
    </row>
    <row r="2500" spans="3:6" x14ac:dyDescent="0.25">
      <c r="C2500" t="s">
        <v>125</v>
      </c>
      <c r="D2500">
        <v>2026</v>
      </c>
      <c r="E2500" t="s">
        <v>147</v>
      </c>
      <c r="F2500">
        <v>38.340000000000003</v>
      </c>
    </row>
    <row r="2501" spans="3:6" x14ac:dyDescent="0.25">
      <c r="C2501" t="s">
        <v>125</v>
      </c>
      <c r="D2501">
        <v>2026</v>
      </c>
      <c r="E2501" t="s">
        <v>148</v>
      </c>
      <c r="F2501">
        <v>48.04</v>
      </c>
    </row>
    <row r="2502" spans="3:6" x14ac:dyDescent="0.25">
      <c r="C2502" t="s">
        <v>125</v>
      </c>
      <c r="D2502">
        <v>2026</v>
      </c>
      <c r="E2502" t="s">
        <v>146</v>
      </c>
      <c r="F2502">
        <v>304.79000000000002</v>
      </c>
    </row>
    <row r="2503" spans="3:6" x14ac:dyDescent="0.25">
      <c r="C2503" t="s">
        <v>125</v>
      </c>
      <c r="D2503">
        <v>2026</v>
      </c>
      <c r="E2503" t="s">
        <v>142</v>
      </c>
      <c r="F2503">
        <v>1589.11</v>
      </c>
    </row>
    <row r="2504" spans="3:6" x14ac:dyDescent="0.25">
      <c r="C2504" t="s">
        <v>125</v>
      </c>
      <c r="D2504">
        <v>2026</v>
      </c>
      <c r="E2504" t="s">
        <v>143</v>
      </c>
      <c r="F2504">
        <v>2565.75</v>
      </c>
    </row>
    <row r="2505" spans="3:6" x14ac:dyDescent="0.25">
      <c r="C2505" t="s">
        <v>125</v>
      </c>
      <c r="D2505">
        <v>2026</v>
      </c>
      <c r="E2505" t="s">
        <v>144</v>
      </c>
      <c r="F2505">
        <v>2165.41</v>
      </c>
    </row>
    <row r="2506" spans="3:6" x14ac:dyDescent="0.25">
      <c r="C2506" t="s">
        <v>125</v>
      </c>
      <c r="D2506">
        <v>2026</v>
      </c>
      <c r="E2506" t="s">
        <v>145</v>
      </c>
      <c r="F2506">
        <v>8.6300000000000008</v>
      </c>
    </row>
    <row r="2507" spans="3:6" x14ac:dyDescent="0.25">
      <c r="C2507" t="s">
        <v>125</v>
      </c>
      <c r="D2507">
        <v>2027</v>
      </c>
      <c r="E2507" t="s">
        <v>147</v>
      </c>
      <c r="F2507">
        <v>38.44</v>
      </c>
    </row>
    <row r="2508" spans="3:6" x14ac:dyDescent="0.25">
      <c r="C2508" t="s">
        <v>125</v>
      </c>
      <c r="D2508">
        <v>2027</v>
      </c>
      <c r="E2508" t="s">
        <v>148</v>
      </c>
      <c r="F2508">
        <v>48.09</v>
      </c>
    </row>
    <row r="2509" spans="3:6" x14ac:dyDescent="0.25">
      <c r="C2509" t="s">
        <v>125</v>
      </c>
      <c r="D2509">
        <v>2027</v>
      </c>
      <c r="E2509" t="s">
        <v>146</v>
      </c>
      <c r="F2509">
        <v>311.92</v>
      </c>
    </row>
    <row r="2510" spans="3:6" x14ac:dyDescent="0.25">
      <c r="C2510" t="s">
        <v>125</v>
      </c>
      <c r="D2510">
        <v>2027</v>
      </c>
      <c r="E2510" t="s">
        <v>142</v>
      </c>
      <c r="F2510">
        <v>1642.51</v>
      </c>
    </row>
    <row r="2511" spans="3:6" x14ac:dyDescent="0.25">
      <c r="C2511" t="s">
        <v>125</v>
      </c>
      <c r="D2511">
        <v>2027</v>
      </c>
      <c r="E2511" t="s">
        <v>143</v>
      </c>
      <c r="F2511">
        <v>2640.82</v>
      </c>
    </row>
    <row r="2512" spans="3:6" x14ac:dyDescent="0.25">
      <c r="C2512" t="s">
        <v>125</v>
      </c>
      <c r="D2512">
        <v>2027</v>
      </c>
      <c r="E2512" t="s">
        <v>144</v>
      </c>
      <c r="F2512">
        <v>2229.6999999999998</v>
      </c>
    </row>
    <row r="2513" spans="3:6" x14ac:dyDescent="0.25">
      <c r="C2513" t="s">
        <v>125</v>
      </c>
      <c r="D2513">
        <v>2027</v>
      </c>
      <c r="E2513" t="s">
        <v>145</v>
      </c>
      <c r="F2513">
        <v>9.01</v>
      </c>
    </row>
    <row r="2514" spans="3:6" x14ac:dyDescent="0.25">
      <c r="C2514" t="s">
        <v>125</v>
      </c>
      <c r="D2514">
        <v>2028</v>
      </c>
      <c r="E2514" t="s">
        <v>147</v>
      </c>
      <c r="F2514">
        <v>38.53</v>
      </c>
    </row>
    <row r="2515" spans="3:6" x14ac:dyDescent="0.25">
      <c r="C2515" t="s">
        <v>125</v>
      </c>
      <c r="D2515">
        <v>2028</v>
      </c>
      <c r="E2515" t="s">
        <v>148</v>
      </c>
      <c r="F2515">
        <v>48.15</v>
      </c>
    </row>
    <row r="2516" spans="3:6" x14ac:dyDescent="0.25">
      <c r="C2516" t="s">
        <v>125</v>
      </c>
      <c r="D2516">
        <v>2028</v>
      </c>
      <c r="E2516" t="s">
        <v>146</v>
      </c>
      <c r="F2516">
        <v>319.33</v>
      </c>
    </row>
    <row r="2517" spans="3:6" x14ac:dyDescent="0.25">
      <c r="C2517" t="s">
        <v>125</v>
      </c>
      <c r="D2517">
        <v>2028</v>
      </c>
      <c r="E2517" t="s">
        <v>142</v>
      </c>
      <c r="F2517">
        <v>1695.55</v>
      </c>
    </row>
    <row r="2518" spans="3:6" x14ac:dyDescent="0.25">
      <c r="C2518" t="s">
        <v>125</v>
      </c>
      <c r="D2518">
        <v>2028</v>
      </c>
      <c r="E2518" t="s">
        <v>143</v>
      </c>
      <c r="F2518">
        <v>2706.41</v>
      </c>
    </row>
    <row r="2519" spans="3:6" x14ac:dyDescent="0.25">
      <c r="C2519" t="s">
        <v>125</v>
      </c>
      <c r="D2519">
        <v>2028</v>
      </c>
      <c r="E2519" t="s">
        <v>144</v>
      </c>
      <c r="F2519">
        <v>2292.48</v>
      </c>
    </row>
    <row r="2520" spans="3:6" x14ac:dyDescent="0.25">
      <c r="C2520" t="s">
        <v>125</v>
      </c>
      <c r="D2520">
        <v>2028</v>
      </c>
      <c r="E2520" t="s">
        <v>145</v>
      </c>
      <c r="F2520">
        <v>9.49</v>
      </c>
    </row>
    <row r="2521" spans="3:6" x14ac:dyDescent="0.25">
      <c r="C2521" t="s">
        <v>125</v>
      </c>
      <c r="D2521">
        <v>2029</v>
      </c>
      <c r="E2521" t="s">
        <v>147</v>
      </c>
      <c r="F2521">
        <v>38.619999999999997</v>
      </c>
    </row>
    <row r="2522" spans="3:6" x14ac:dyDescent="0.25">
      <c r="C2522" t="s">
        <v>125</v>
      </c>
      <c r="D2522">
        <v>2029</v>
      </c>
      <c r="E2522" t="s">
        <v>148</v>
      </c>
      <c r="F2522">
        <v>48.2</v>
      </c>
    </row>
    <row r="2523" spans="3:6" x14ac:dyDescent="0.25">
      <c r="C2523" t="s">
        <v>125</v>
      </c>
      <c r="D2523">
        <v>2029</v>
      </c>
      <c r="E2523" t="s">
        <v>146</v>
      </c>
      <c r="F2523">
        <v>326.93</v>
      </c>
    </row>
    <row r="2524" spans="3:6" x14ac:dyDescent="0.25">
      <c r="C2524" t="s">
        <v>125</v>
      </c>
      <c r="D2524">
        <v>2029</v>
      </c>
      <c r="E2524" t="s">
        <v>142</v>
      </c>
      <c r="F2524">
        <v>1747.67</v>
      </c>
    </row>
    <row r="2525" spans="3:6" x14ac:dyDescent="0.25">
      <c r="C2525" t="s">
        <v>125</v>
      </c>
      <c r="D2525">
        <v>2029</v>
      </c>
      <c r="E2525" t="s">
        <v>143</v>
      </c>
      <c r="F2525">
        <v>2788.09</v>
      </c>
    </row>
    <row r="2526" spans="3:6" x14ac:dyDescent="0.25">
      <c r="C2526" t="s">
        <v>125</v>
      </c>
      <c r="D2526">
        <v>2029</v>
      </c>
      <c r="E2526" t="s">
        <v>144</v>
      </c>
      <c r="F2526">
        <v>2357.0100000000002</v>
      </c>
    </row>
    <row r="2527" spans="3:6" x14ac:dyDescent="0.25">
      <c r="C2527" t="s">
        <v>125</v>
      </c>
      <c r="D2527">
        <v>2029</v>
      </c>
      <c r="E2527" t="s">
        <v>145</v>
      </c>
      <c r="F2527">
        <v>10.1</v>
      </c>
    </row>
    <row r="2528" spans="3:6" x14ac:dyDescent="0.25">
      <c r="C2528" t="s">
        <v>125</v>
      </c>
      <c r="D2528">
        <v>2030</v>
      </c>
      <c r="E2528" t="s">
        <v>147</v>
      </c>
      <c r="F2528">
        <v>38.71</v>
      </c>
    </row>
    <row r="2529" spans="3:6" x14ac:dyDescent="0.25">
      <c r="C2529" t="s">
        <v>125</v>
      </c>
      <c r="D2529">
        <v>2030</v>
      </c>
      <c r="E2529" t="s">
        <v>148</v>
      </c>
      <c r="F2529">
        <v>48.26</v>
      </c>
    </row>
    <row r="2530" spans="3:6" x14ac:dyDescent="0.25">
      <c r="C2530" t="s">
        <v>125</v>
      </c>
      <c r="D2530">
        <v>2030</v>
      </c>
      <c r="E2530" t="s">
        <v>146</v>
      </c>
      <c r="F2530">
        <v>334.74</v>
      </c>
    </row>
    <row r="2531" spans="3:6" x14ac:dyDescent="0.25">
      <c r="C2531" t="s">
        <v>125</v>
      </c>
      <c r="D2531">
        <v>2030</v>
      </c>
      <c r="E2531" t="s">
        <v>142</v>
      </c>
      <c r="F2531">
        <v>1799.48</v>
      </c>
    </row>
    <row r="2532" spans="3:6" x14ac:dyDescent="0.25">
      <c r="C2532" t="s">
        <v>125</v>
      </c>
      <c r="D2532">
        <v>2030</v>
      </c>
      <c r="E2532" t="s">
        <v>143</v>
      </c>
      <c r="F2532">
        <v>2858.8</v>
      </c>
    </row>
    <row r="2533" spans="3:6" x14ac:dyDescent="0.25">
      <c r="C2533" t="s">
        <v>125</v>
      </c>
      <c r="D2533">
        <v>2030</v>
      </c>
      <c r="E2533" t="s">
        <v>144</v>
      </c>
      <c r="F2533">
        <v>2421.7600000000002</v>
      </c>
    </row>
    <row r="2534" spans="3:6" x14ac:dyDescent="0.25">
      <c r="C2534" t="s">
        <v>125</v>
      </c>
      <c r="D2534">
        <v>2030</v>
      </c>
      <c r="E2534" t="s">
        <v>145</v>
      </c>
      <c r="F2534">
        <v>10.82</v>
      </c>
    </row>
    <row r="2535" spans="3:6" x14ac:dyDescent="0.25">
      <c r="C2535" t="s">
        <v>125</v>
      </c>
      <c r="D2535">
        <v>2031</v>
      </c>
      <c r="E2535" t="s">
        <v>147</v>
      </c>
      <c r="F2535">
        <v>38.799999999999997</v>
      </c>
    </row>
    <row r="2536" spans="3:6" x14ac:dyDescent="0.25">
      <c r="C2536" t="s">
        <v>125</v>
      </c>
      <c r="D2536">
        <v>2031</v>
      </c>
      <c r="E2536" t="s">
        <v>148</v>
      </c>
      <c r="F2536">
        <v>48.31</v>
      </c>
    </row>
    <row r="2537" spans="3:6" x14ac:dyDescent="0.25">
      <c r="C2537" t="s">
        <v>125</v>
      </c>
      <c r="D2537">
        <v>2031</v>
      </c>
      <c r="E2537" t="s">
        <v>146</v>
      </c>
      <c r="F2537">
        <v>343.02</v>
      </c>
    </row>
    <row r="2538" spans="3:6" x14ac:dyDescent="0.25">
      <c r="C2538" t="s">
        <v>125</v>
      </c>
      <c r="D2538">
        <v>2031</v>
      </c>
      <c r="E2538" t="s">
        <v>142</v>
      </c>
      <c r="F2538">
        <v>1840.47</v>
      </c>
    </row>
    <row r="2539" spans="3:6" x14ac:dyDescent="0.25">
      <c r="C2539" t="s">
        <v>125</v>
      </c>
      <c r="D2539">
        <v>2031</v>
      </c>
      <c r="E2539" t="s">
        <v>143</v>
      </c>
      <c r="F2539">
        <v>2946</v>
      </c>
    </row>
    <row r="2540" spans="3:6" x14ac:dyDescent="0.25">
      <c r="C2540" t="s">
        <v>125</v>
      </c>
      <c r="D2540">
        <v>2031</v>
      </c>
      <c r="E2540" t="s">
        <v>144</v>
      </c>
      <c r="F2540">
        <v>2474.0300000000002</v>
      </c>
    </row>
    <row r="2541" spans="3:6" x14ac:dyDescent="0.25">
      <c r="C2541" t="s">
        <v>125</v>
      </c>
      <c r="D2541">
        <v>2031</v>
      </c>
      <c r="E2541" t="s">
        <v>145</v>
      </c>
      <c r="F2541">
        <v>11.73</v>
      </c>
    </row>
    <row r="2542" spans="3:6" x14ac:dyDescent="0.25">
      <c r="C2542" t="s">
        <v>125</v>
      </c>
      <c r="D2542">
        <v>2032</v>
      </c>
      <c r="E2542" t="s">
        <v>147</v>
      </c>
      <c r="F2542">
        <v>38.880000000000003</v>
      </c>
    </row>
    <row r="2543" spans="3:6" x14ac:dyDescent="0.25">
      <c r="C2543" t="s">
        <v>125</v>
      </c>
      <c r="D2543">
        <v>2032</v>
      </c>
      <c r="E2543" t="s">
        <v>148</v>
      </c>
      <c r="F2543">
        <v>48.36</v>
      </c>
    </row>
    <row r="2544" spans="3:6" x14ac:dyDescent="0.25">
      <c r="C2544" t="s">
        <v>125</v>
      </c>
      <c r="D2544">
        <v>2032</v>
      </c>
      <c r="E2544" t="s">
        <v>146</v>
      </c>
      <c r="F2544">
        <v>351.17</v>
      </c>
    </row>
    <row r="2545" spans="3:6" x14ac:dyDescent="0.25">
      <c r="C2545" t="s">
        <v>125</v>
      </c>
      <c r="D2545">
        <v>2032</v>
      </c>
      <c r="E2545" t="s">
        <v>142</v>
      </c>
      <c r="F2545">
        <v>1881.01</v>
      </c>
    </row>
    <row r="2546" spans="3:6" x14ac:dyDescent="0.25">
      <c r="C2546" t="s">
        <v>125</v>
      </c>
      <c r="D2546">
        <v>2032</v>
      </c>
      <c r="E2546" t="s">
        <v>143</v>
      </c>
      <c r="F2546">
        <v>3015.74</v>
      </c>
    </row>
    <row r="2547" spans="3:6" x14ac:dyDescent="0.25">
      <c r="C2547" t="s">
        <v>125</v>
      </c>
      <c r="D2547">
        <v>2032</v>
      </c>
      <c r="E2547" t="s">
        <v>144</v>
      </c>
      <c r="F2547">
        <v>2525.73</v>
      </c>
    </row>
    <row r="2548" spans="3:6" x14ac:dyDescent="0.25">
      <c r="C2548" t="s">
        <v>125</v>
      </c>
      <c r="D2548">
        <v>2032</v>
      </c>
      <c r="E2548" t="s">
        <v>145</v>
      </c>
      <c r="F2548">
        <v>12.88</v>
      </c>
    </row>
    <row r="2549" spans="3:6" x14ac:dyDescent="0.25">
      <c r="C2549" t="s">
        <v>125</v>
      </c>
      <c r="D2549">
        <v>2033</v>
      </c>
      <c r="E2549" t="s">
        <v>147</v>
      </c>
      <c r="F2549">
        <v>38.97</v>
      </c>
    </row>
    <row r="2550" spans="3:6" x14ac:dyDescent="0.25">
      <c r="C2550" t="s">
        <v>125</v>
      </c>
      <c r="D2550">
        <v>2033</v>
      </c>
      <c r="E2550" t="s">
        <v>148</v>
      </c>
      <c r="F2550">
        <v>48.41</v>
      </c>
    </row>
    <row r="2551" spans="3:6" x14ac:dyDescent="0.25">
      <c r="C2551" t="s">
        <v>125</v>
      </c>
      <c r="D2551">
        <v>2033</v>
      </c>
      <c r="E2551" t="s">
        <v>146</v>
      </c>
      <c r="F2551">
        <v>359.2</v>
      </c>
    </row>
    <row r="2552" spans="3:6" x14ac:dyDescent="0.25">
      <c r="C2552" t="s">
        <v>125</v>
      </c>
      <c r="D2552">
        <v>2033</v>
      </c>
      <c r="E2552" t="s">
        <v>142</v>
      </c>
      <c r="F2552">
        <v>1921.42</v>
      </c>
    </row>
    <row r="2553" spans="3:6" x14ac:dyDescent="0.25">
      <c r="C2553" t="s">
        <v>125</v>
      </c>
      <c r="D2553">
        <v>2033</v>
      </c>
      <c r="E2553" t="s">
        <v>143</v>
      </c>
      <c r="F2553">
        <v>3114.26</v>
      </c>
    </row>
    <row r="2554" spans="3:6" x14ac:dyDescent="0.25">
      <c r="C2554" t="s">
        <v>125</v>
      </c>
      <c r="D2554">
        <v>2033</v>
      </c>
      <c r="E2554" t="s">
        <v>144</v>
      </c>
      <c r="F2554">
        <v>2579.13</v>
      </c>
    </row>
    <row r="2555" spans="3:6" x14ac:dyDescent="0.25">
      <c r="C2555" t="s">
        <v>125</v>
      </c>
      <c r="D2555">
        <v>2033</v>
      </c>
      <c r="E2555" t="s">
        <v>145</v>
      </c>
      <c r="F2555">
        <v>14.29</v>
      </c>
    </row>
    <row r="2556" spans="3:6" x14ac:dyDescent="0.25">
      <c r="C2556" t="s">
        <v>125</v>
      </c>
      <c r="D2556">
        <v>2034</v>
      </c>
      <c r="E2556" t="s">
        <v>147</v>
      </c>
      <c r="F2556">
        <v>39.049999999999997</v>
      </c>
    </row>
    <row r="2557" spans="3:6" x14ac:dyDescent="0.25">
      <c r="C2557" t="s">
        <v>125</v>
      </c>
      <c r="D2557">
        <v>2034</v>
      </c>
      <c r="E2557" t="s">
        <v>148</v>
      </c>
      <c r="F2557">
        <v>48.46</v>
      </c>
    </row>
    <row r="2558" spans="3:6" x14ac:dyDescent="0.25">
      <c r="C2558" t="s">
        <v>125</v>
      </c>
      <c r="D2558">
        <v>2034</v>
      </c>
      <c r="E2558" t="s">
        <v>146</v>
      </c>
      <c r="F2558">
        <v>367.25</v>
      </c>
    </row>
    <row r="2559" spans="3:6" x14ac:dyDescent="0.25">
      <c r="C2559" t="s">
        <v>125</v>
      </c>
      <c r="D2559">
        <v>2034</v>
      </c>
      <c r="E2559" t="s">
        <v>142</v>
      </c>
      <c r="F2559">
        <v>1961.9</v>
      </c>
    </row>
    <row r="2560" spans="3:6" x14ac:dyDescent="0.25">
      <c r="C2560" t="s">
        <v>125</v>
      </c>
      <c r="D2560">
        <v>2034</v>
      </c>
      <c r="E2560" t="s">
        <v>143</v>
      </c>
      <c r="F2560">
        <v>3187.66</v>
      </c>
    </row>
    <row r="2561" spans="3:6" x14ac:dyDescent="0.25">
      <c r="C2561" t="s">
        <v>125</v>
      </c>
      <c r="D2561">
        <v>2034</v>
      </c>
      <c r="E2561" t="s">
        <v>144</v>
      </c>
      <c r="F2561">
        <v>2632.35</v>
      </c>
    </row>
    <row r="2562" spans="3:6" x14ac:dyDescent="0.25">
      <c r="C2562" t="s">
        <v>125</v>
      </c>
      <c r="D2562">
        <v>2034</v>
      </c>
      <c r="E2562" t="s">
        <v>145</v>
      </c>
      <c r="F2562">
        <v>15.93</v>
      </c>
    </row>
    <row r="2563" spans="3:6" x14ac:dyDescent="0.25">
      <c r="C2563" t="s">
        <v>125</v>
      </c>
      <c r="D2563">
        <v>2035</v>
      </c>
      <c r="E2563" t="s">
        <v>147</v>
      </c>
      <c r="F2563">
        <v>39.130000000000003</v>
      </c>
    </row>
    <row r="2564" spans="3:6" x14ac:dyDescent="0.25">
      <c r="C2564" t="s">
        <v>125</v>
      </c>
      <c r="D2564">
        <v>2035</v>
      </c>
      <c r="E2564" t="s">
        <v>148</v>
      </c>
      <c r="F2564">
        <v>48.51</v>
      </c>
    </row>
    <row r="2565" spans="3:6" x14ac:dyDescent="0.25">
      <c r="C2565" t="s">
        <v>125</v>
      </c>
      <c r="D2565">
        <v>2035</v>
      </c>
      <c r="E2565" t="s">
        <v>146</v>
      </c>
      <c r="F2565">
        <v>375.21</v>
      </c>
    </row>
    <row r="2566" spans="3:6" x14ac:dyDescent="0.25">
      <c r="C2566" t="s">
        <v>125</v>
      </c>
      <c r="D2566">
        <v>2035</v>
      </c>
      <c r="E2566" t="s">
        <v>142</v>
      </c>
      <c r="F2566">
        <v>2002.59</v>
      </c>
    </row>
    <row r="2567" spans="3:6" x14ac:dyDescent="0.25">
      <c r="C2567" t="s">
        <v>125</v>
      </c>
      <c r="D2567">
        <v>2035</v>
      </c>
      <c r="E2567" t="s">
        <v>143</v>
      </c>
      <c r="F2567">
        <v>3267.02</v>
      </c>
    </row>
    <row r="2568" spans="3:6" x14ac:dyDescent="0.25">
      <c r="C2568" t="s">
        <v>125</v>
      </c>
      <c r="D2568">
        <v>2035</v>
      </c>
      <c r="E2568" t="s">
        <v>144</v>
      </c>
      <c r="F2568">
        <v>2686.23</v>
      </c>
    </row>
    <row r="2569" spans="3:6" x14ac:dyDescent="0.25">
      <c r="C2569" t="s">
        <v>125</v>
      </c>
      <c r="D2569">
        <v>2035</v>
      </c>
      <c r="E2569" t="s">
        <v>145</v>
      </c>
      <c r="F2569">
        <v>17.77</v>
      </c>
    </row>
    <row r="2570" spans="3:6" x14ac:dyDescent="0.25">
      <c r="C2570" t="s">
        <v>125</v>
      </c>
      <c r="D2570">
        <v>2036</v>
      </c>
      <c r="E2570" t="s">
        <v>147</v>
      </c>
      <c r="F2570">
        <v>39.21</v>
      </c>
    </row>
    <row r="2571" spans="3:6" x14ac:dyDescent="0.25">
      <c r="C2571" t="s">
        <v>125</v>
      </c>
      <c r="D2571">
        <v>2036</v>
      </c>
      <c r="E2571" t="s">
        <v>148</v>
      </c>
      <c r="F2571">
        <v>48.56</v>
      </c>
    </row>
    <row r="2572" spans="3:6" x14ac:dyDescent="0.25">
      <c r="C2572" t="s">
        <v>125</v>
      </c>
      <c r="D2572">
        <v>2036</v>
      </c>
      <c r="E2572" t="s">
        <v>146</v>
      </c>
      <c r="F2572">
        <v>382.99</v>
      </c>
    </row>
    <row r="2573" spans="3:6" x14ac:dyDescent="0.25">
      <c r="C2573" t="s">
        <v>125</v>
      </c>
      <c r="D2573">
        <v>2036</v>
      </c>
      <c r="E2573" t="s">
        <v>142</v>
      </c>
      <c r="F2573">
        <v>2058.16</v>
      </c>
    </row>
    <row r="2574" spans="3:6" x14ac:dyDescent="0.25">
      <c r="C2574" t="s">
        <v>125</v>
      </c>
      <c r="D2574">
        <v>2036</v>
      </c>
      <c r="E2574" t="s">
        <v>143</v>
      </c>
      <c r="F2574">
        <v>3358.56</v>
      </c>
    </row>
    <row r="2575" spans="3:6" x14ac:dyDescent="0.25">
      <c r="C2575" t="s">
        <v>125</v>
      </c>
      <c r="D2575">
        <v>2036</v>
      </c>
      <c r="E2575" t="s">
        <v>144</v>
      </c>
      <c r="F2575">
        <v>2759.97</v>
      </c>
    </row>
    <row r="2576" spans="3:6" x14ac:dyDescent="0.25">
      <c r="C2576" t="s">
        <v>125</v>
      </c>
      <c r="D2576">
        <v>2036</v>
      </c>
      <c r="E2576" t="s">
        <v>145</v>
      </c>
      <c r="F2576">
        <v>19.989999999999998</v>
      </c>
    </row>
    <row r="2577" spans="3:6" x14ac:dyDescent="0.25">
      <c r="C2577" t="s">
        <v>125</v>
      </c>
      <c r="D2577">
        <v>2037</v>
      </c>
      <c r="E2577" t="s">
        <v>147</v>
      </c>
      <c r="F2577">
        <v>39.29</v>
      </c>
    </row>
    <row r="2578" spans="3:6" x14ac:dyDescent="0.25">
      <c r="C2578" t="s">
        <v>125</v>
      </c>
      <c r="D2578">
        <v>2037</v>
      </c>
      <c r="E2578" t="s">
        <v>148</v>
      </c>
      <c r="F2578">
        <v>48.61</v>
      </c>
    </row>
    <row r="2579" spans="3:6" x14ac:dyDescent="0.25">
      <c r="C2579" t="s">
        <v>125</v>
      </c>
      <c r="D2579">
        <v>2037</v>
      </c>
      <c r="E2579" t="s">
        <v>146</v>
      </c>
      <c r="F2579">
        <v>390.76</v>
      </c>
    </row>
    <row r="2580" spans="3:6" x14ac:dyDescent="0.25">
      <c r="C2580" t="s">
        <v>125</v>
      </c>
      <c r="D2580">
        <v>2037</v>
      </c>
      <c r="E2580" t="s">
        <v>142</v>
      </c>
      <c r="F2580">
        <v>2114.15</v>
      </c>
    </row>
    <row r="2581" spans="3:6" x14ac:dyDescent="0.25">
      <c r="C2581" t="s">
        <v>125</v>
      </c>
      <c r="D2581">
        <v>2037</v>
      </c>
      <c r="E2581" t="s">
        <v>143</v>
      </c>
      <c r="F2581">
        <v>3432.74</v>
      </c>
    </row>
    <row r="2582" spans="3:6" x14ac:dyDescent="0.25">
      <c r="C2582" t="s">
        <v>125</v>
      </c>
      <c r="D2582">
        <v>2037</v>
      </c>
      <c r="E2582" t="s">
        <v>144</v>
      </c>
      <c r="F2582">
        <v>2834.63</v>
      </c>
    </row>
    <row r="2583" spans="3:6" x14ac:dyDescent="0.25">
      <c r="C2583" t="s">
        <v>125</v>
      </c>
      <c r="D2583">
        <v>2037</v>
      </c>
      <c r="E2583" t="s">
        <v>145</v>
      </c>
      <c r="F2583">
        <v>22.38</v>
      </c>
    </row>
    <row r="2584" spans="3:6" x14ac:dyDescent="0.25">
      <c r="C2584" t="s">
        <v>125</v>
      </c>
      <c r="D2584">
        <v>2038</v>
      </c>
      <c r="E2584" t="s">
        <v>147</v>
      </c>
      <c r="F2584">
        <v>39.369999999999997</v>
      </c>
    </row>
    <row r="2585" spans="3:6" x14ac:dyDescent="0.25">
      <c r="C2585" t="s">
        <v>125</v>
      </c>
      <c r="D2585">
        <v>2038</v>
      </c>
      <c r="E2585" t="s">
        <v>148</v>
      </c>
      <c r="F2585">
        <v>48.66</v>
      </c>
    </row>
    <row r="2586" spans="3:6" x14ac:dyDescent="0.25">
      <c r="C2586" t="s">
        <v>125</v>
      </c>
      <c r="D2586">
        <v>2038</v>
      </c>
      <c r="E2586" t="s">
        <v>146</v>
      </c>
      <c r="F2586">
        <v>398.64</v>
      </c>
    </row>
    <row r="2587" spans="3:6" x14ac:dyDescent="0.25">
      <c r="C2587" t="s">
        <v>125</v>
      </c>
      <c r="D2587">
        <v>2038</v>
      </c>
      <c r="E2587" t="s">
        <v>142</v>
      </c>
      <c r="F2587">
        <v>2171.37</v>
      </c>
    </row>
    <row r="2588" spans="3:6" x14ac:dyDescent="0.25">
      <c r="C2588" t="s">
        <v>125</v>
      </c>
      <c r="D2588">
        <v>2038</v>
      </c>
      <c r="E2588" t="s">
        <v>143</v>
      </c>
      <c r="F2588">
        <v>3516.3</v>
      </c>
    </row>
    <row r="2589" spans="3:6" x14ac:dyDescent="0.25">
      <c r="C2589" t="s">
        <v>125</v>
      </c>
      <c r="D2589">
        <v>2038</v>
      </c>
      <c r="E2589" t="s">
        <v>144</v>
      </c>
      <c r="F2589">
        <v>2911.72</v>
      </c>
    </row>
    <row r="2590" spans="3:6" x14ac:dyDescent="0.25">
      <c r="C2590" t="s">
        <v>125</v>
      </c>
      <c r="D2590">
        <v>2038</v>
      </c>
      <c r="E2590" t="s">
        <v>145</v>
      </c>
      <c r="F2590">
        <v>24.97</v>
      </c>
    </row>
    <row r="2591" spans="3:6" x14ac:dyDescent="0.25">
      <c r="C2591" t="s">
        <v>125</v>
      </c>
      <c r="D2591">
        <v>2039</v>
      </c>
      <c r="E2591" t="s">
        <v>147</v>
      </c>
      <c r="F2591">
        <v>39.450000000000003</v>
      </c>
    </row>
    <row r="2592" spans="3:6" x14ac:dyDescent="0.25">
      <c r="C2592" t="s">
        <v>125</v>
      </c>
      <c r="D2592">
        <v>2039</v>
      </c>
      <c r="E2592" t="s">
        <v>148</v>
      </c>
      <c r="F2592">
        <v>48.71</v>
      </c>
    </row>
    <row r="2593" spans="3:6" x14ac:dyDescent="0.25">
      <c r="C2593" t="s">
        <v>125</v>
      </c>
      <c r="D2593">
        <v>2039</v>
      </c>
      <c r="E2593" t="s">
        <v>146</v>
      </c>
      <c r="F2593">
        <v>406.55</v>
      </c>
    </row>
    <row r="2594" spans="3:6" x14ac:dyDescent="0.25">
      <c r="C2594" t="s">
        <v>125</v>
      </c>
      <c r="D2594">
        <v>2039</v>
      </c>
      <c r="E2594" t="s">
        <v>142</v>
      </c>
      <c r="F2594">
        <v>2229.46</v>
      </c>
    </row>
    <row r="2595" spans="3:6" x14ac:dyDescent="0.25">
      <c r="C2595" t="s">
        <v>125</v>
      </c>
      <c r="D2595">
        <v>2039</v>
      </c>
      <c r="E2595" t="s">
        <v>143</v>
      </c>
      <c r="F2595">
        <v>3595.23</v>
      </c>
    </row>
    <row r="2596" spans="3:6" x14ac:dyDescent="0.25">
      <c r="C2596" t="s">
        <v>125</v>
      </c>
      <c r="D2596">
        <v>2039</v>
      </c>
      <c r="E2596" t="s">
        <v>144</v>
      </c>
      <c r="F2596">
        <v>2990.44</v>
      </c>
    </row>
    <row r="2597" spans="3:6" x14ac:dyDescent="0.25">
      <c r="C2597" t="s">
        <v>125</v>
      </c>
      <c r="D2597">
        <v>2039</v>
      </c>
      <c r="E2597" t="s">
        <v>145</v>
      </c>
      <c r="F2597">
        <v>27.88</v>
      </c>
    </row>
    <row r="2598" spans="3:6" x14ac:dyDescent="0.25">
      <c r="C2598" t="s">
        <v>125</v>
      </c>
      <c r="D2598">
        <v>2040</v>
      </c>
      <c r="E2598" t="s">
        <v>147</v>
      </c>
      <c r="F2598">
        <v>39.53</v>
      </c>
    </row>
    <row r="2599" spans="3:6" x14ac:dyDescent="0.25">
      <c r="C2599" t="s">
        <v>125</v>
      </c>
      <c r="D2599">
        <v>2040</v>
      </c>
      <c r="E2599" t="s">
        <v>148</v>
      </c>
      <c r="F2599">
        <v>48.75</v>
      </c>
    </row>
    <row r="2600" spans="3:6" x14ac:dyDescent="0.25">
      <c r="C2600" t="s">
        <v>125</v>
      </c>
      <c r="D2600">
        <v>2040</v>
      </c>
      <c r="E2600" t="s">
        <v>146</v>
      </c>
      <c r="F2600">
        <v>414.29</v>
      </c>
    </row>
    <row r="2601" spans="3:6" x14ac:dyDescent="0.25">
      <c r="C2601" t="s">
        <v>125</v>
      </c>
      <c r="D2601">
        <v>2040</v>
      </c>
      <c r="E2601" t="s">
        <v>142</v>
      </c>
      <c r="F2601">
        <v>2288.4299999999998</v>
      </c>
    </row>
    <row r="2602" spans="3:6" x14ac:dyDescent="0.25">
      <c r="C2602" t="s">
        <v>125</v>
      </c>
      <c r="D2602">
        <v>2040</v>
      </c>
      <c r="E2602" t="s">
        <v>143</v>
      </c>
      <c r="F2602">
        <v>3677.25</v>
      </c>
    </row>
    <row r="2603" spans="3:6" x14ac:dyDescent="0.25">
      <c r="C2603" t="s">
        <v>125</v>
      </c>
      <c r="D2603">
        <v>2040</v>
      </c>
      <c r="E2603" t="s">
        <v>144</v>
      </c>
      <c r="F2603">
        <v>3069.01</v>
      </c>
    </row>
    <row r="2604" spans="3:6" x14ac:dyDescent="0.25">
      <c r="C2604" t="s">
        <v>125</v>
      </c>
      <c r="D2604">
        <v>2040</v>
      </c>
      <c r="E2604" t="s">
        <v>145</v>
      </c>
      <c r="F2604">
        <v>31.07</v>
      </c>
    </row>
    <row r="2605" spans="3:6" x14ac:dyDescent="0.25">
      <c r="C2605" t="s">
        <v>125</v>
      </c>
      <c r="D2605">
        <v>2041</v>
      </c>
      <c r="E2605" t="s">
        <v>147</v>
      </c>
      <c r="F2605">
        <v>39.6</v>
      </c>
    </row>
    <row r="2606" spans="3:6" x14ac:dyDescent="0.25">
      <c r="C2606" t="s">
        <v>125</v>
      </c>
      <c r="D2606">
        <v>2041</v>
      </c>
      <c r="E2606" t="s">
        <v>148</v>
      </c>
      <c r="F2606">
        <v>48.8</v>
      </c>
    </row>
    <row r="2607" spans="3:6" x14ac:dyDescent="0.25">
      <c r="C2607" t="s">
        <v>125</v>
      </c>
      <c r="D2607">
        <v>2041</v>
      </c>
      <c r="E2607" t="s">
        <v>146</v>
      </c>
      <c r="F2607">
        <v>421.78</v>
      </c>
    </row>
    <row r="2608" spans="3:6" x14ac:dyDescent="0.25">
      <c r="C2608" t="s">
        <v>125</v>
      </c>
      <c r="D2608">
        <v>2041</v>
      </c>
      <c r="E2608" t="s">
        <v>142</v>
      </c>
      <c r="F2608">
        <v>2340.36</v>
      </c>
    </row>
    <row r="2609" spans="3:6" x14ac:dyDescent="0.25">
      <c r="C2609" t="s">
        <v>125</v>
      </c>
      <c r="D2609">
        <v>2041</v>
      </c>
      <c r="E2609" t="s">
        <v>143</v>
      </c>
      <c r="F2609">
        <v>3758.17</v>
      </c>
    </row>
    <row r="2610" spans="3:6" x14ac:dyDescent="0.25">
      <c r="C2610" t="s">
        <v>125</v>
      </c>
      <c r="D2610">
        <v>2041</v>
      </c>
      <c r="E2610" t="s">
        <v>144</v>
      </c>
      <c r="F2610">
        <v>3140.81</v>
      </c>
    </row>
    <row r="2611" spans="3:6" x14ac:dyDescent="0.25">
      <c r="C2611" t="s">
        <v>125</v>
      </c>
      <c r="D2611">
        <v>2041</v>
      </c>
      <c r="E2611" t="s">
        <v>145</v>
      </c>
      <c r="F2611">
        <v>34.61</v>
      </c>
    </row>
    <row r="2612" spans="3:6" x14ac:dyDescent="0.25">
      <c r="C2612" t="s">
        <v>125</v>
      </c>
      <c r="D2612">
        <v>2042</v>
      </c>
      <c r="E2612" t="s">
        <v>147</v>
      </c>
      <c r="F2612">
        <v>39.68</v>
      </c>
    </row>
    <row r="2613" spans="3:6" x14ac:dyDescent="0.25">
      <c r="C2613" t="s">
        <v>125</v>
      </c>
      <c r="D2613">
        <v>2042</v>
      </c>
      <c r="E2613" t="s">
        <v>148</v>
      </c>
      <c r="F2613">
        <v>48.85</v>
      </c>
    </row>
    <row r="2614" spans="3:6" x14ac:dyDescent="0.25">
      <c r="C2614" t="s">
        <v>125</v>
      </c>
      <c r="D2614">
        <v>2042</v>
      </c>
      <c r="E2614" t="s">
        <v>146</v>
      </c>
      <c r="F2614">
        <v>429.12</v>
      </c>
    </row>
    <row r="2615" spans="3:6" x14ac:dyDescent="0.25">
      <c r="C2615" t="s">
        <v>125</v>
      </c>
      <c r="D2615">
        <v>2042</v>
      </c>
      <c r="E2615" t="s">
        <v>142</v>
      </c>
      <c r="F2615">
        <v>2392.19</v>
      </c>
    </row>
    <row r="2616" spans="3:6" x14ac:dyDescent="0.25">
      <c r="C2616" t="s">
        <v>125</v>
      </c>
      <c r="D2616">
        <v>2042</v>
      </c>
      <c r="E2616" t="s">
        <v>143</v>
      </c>
      <c r="F2616">
        <v>3836.85</v>
      </c>
    </row>
    <row r="2617" spans="3:6" x14ac:dyDescent="0.25">
      <c r="C2617" t="s">
        <v>125</v>
      </c>
      <c r="D2617">
        <v>2042</v>
      </c>
      <c r="E2617" t="s">
        <v>144</v>
      </c>
      <c r="F2617">
        <v>3213.51</v>
      </c>
    </row>
    <row r="2618" spans="3:6" x14ac:dyDescent="0.25">
      <c r="C2618" t="s">
        <v>125</v>
      </c>
      <c r="D2618">
        <v>2042</v>
      </c>
      <c r="E2618" t="s">
        <v>145</v>
      </c>
      <c r="F2618">
        <v>38.380000000000003</v>
      </c>
    </row>
    <row r="2619" spans="3:6" x14ac:dyDescent="0.25">
      <c r="C2619" t="s">
        <v>125</v>
      </c>
      <c r="D2619">
        <v>2043</v>
      </c>
      <c r="E2619" t="s">
        <v>147</v>
      </c>
      <c r="F2619">
        <v>39.75</v>
      </c>
    </row>
    <row r="2620" spans="3:6" x14ac:dyDescent="0.25">
      <c r="C2620" t="s">
        <v>125</v>
      </c>
      <c r="D2620">
        <v>2043</v>
      </c>
      <c r="E2620" t="s">
        <v>148</v>
      </c>
      <c r="F2620">
        <v>48.89</v>
      </c>
    </row>
    <row r="2621" spans="3:6" x14ac:dyDescent="0.25">
      <c r="C2621" t="s">
        <v>125</v>
      </c>
      <c r="D2621">
        <v>2043</v>
      </c>
      <c r="E2621" t="s">
        <v>146</v>
      </c>
      <c r="F2621">
        <v>436.46</v>
      </c>
    </row>
    <row r="2622" spans="3:6" x14ac:dyDescent="0.25">
      <c r="C2622" t="s">
        <v>125</v>
      </c>
      <c r="D2622">
        <v>2043</v>
      </c>
      <c r="E2622" t="s">
        <v>142</v>
      </c>
      <c r="F2622">
        <v>2444.1799999999998</v>
      </c>
    </row>
    <row r="2623" spans="3:6" x14ac:dyDescent="0.25">
      <c r="C2623" t="s">
        <v>125</v>
      </c>
      <c r="D2623">
        <v>2043</v>
      </c>
      <c r="E2623" t="s">
        <v>143</v>
      </c>
      <c r="F2623">
        <v>3915.59</v>
      </c>
    </row>
    <row r="2624" spans="3:6" x14ac:dyDescent="0.25">
      <c r="C2624" t="s">
        <v>125</v>
      </c>
      <c r="D2624">
        <v>2043</v>
      </c>
      <c r="E2624" t="s">
        <v>144</v>
      </c>
      <c r="F2624">
        <v>3287.48</v>
      </c>
    </row>
    <row r="2625" spans="3:6" x14ac:dyDescent="0.25">
      <c r="C2625" t="s">
        <v>125</v>
      </c>
      <c r="D2625">
        <v>2043</v>
      </c>
      <c r="E2625" t="s">
        <v>145</v>
      </c>
      <c r="F2625">
        <v>42.51</v>
      </c>
    </row>
    <row r="2626" spans="3:6" x14ac:dyDescent="0.25">
      <c r="C2626" t="s">
        <v>125</v>
      </c>
      <c r="D2626">
        <v>2044</v>
      </c>
      <c r="E2626" t="s">
        <v>147</v>
      </c>
      <c r="F2626">
        <v>39.82</v>
      </c>
    </row>
    <row r="2627" spans="3:6" x14ac:dyDescent="0.25">
      <c r="C2627" t="s">
        <v>125</v>
      </c>
      <c r="D2627">
        <v>2044</v>
      </c>
      <c r="E2627" t="s">
        <v>148</v>
      </c>
      <c r="F2627">
        <v>48.94</v>
      </c>
    </row>
    <row r="2628" spans="3:6" x14ac:dyDescent="0.25">
      <c r="C2628" t="s">
        <v>125</v>
      </c>
      <c r="D2628">
        <v>2044</v>
      </c>
      <c r="E2628" t="s">
        <v>146</v>
      </c>
      <c r="F2628">
        <v>443.69</v>
      </c>
    </row>
    <row r="2629" spans="3:6" x14ac:dyDescent="0.25">
      <c r="C2629" t="s">
        <v>125</v>
      </c>
      <c r="D2629">
        <v>2044</v>
      </c>
      <c r="E2629" t="s">
        <v>142</v>
      </c>
      <c r="F2629">
        <v>2496.1</v>
      </c>
    </row>
    <row r="2630" spans="3:6" x14ac:dyDescent="0.25">
      <c r="C2630" t="s">
        <v>125</v>
      </c>
      <c r="D2630">
        <v>2044</v>
      </c>
      <c r="E2630" t="s">
        <v>143</v>
      </c>
      <c r="F2630">
        <v>3997.08</v>
      </c>
    </row>
    <row r="2631" spans="3:6" x14ac:dyDescent="0.25">
      <c r="C2631" t="s">
        <v>125</v>
      </c>
      <c r="D2631">
        <v>2044</v>
      </c>
      <c r="E2631" t="s">
        <v>144</v>
      </c>
      <c r="F2631">
        <v>3362.2</v>
      </c>
    </row>
    <row r="2632" spans="3:6" x14ac:dyDescent="0.25">
      <c r="C2632" t="s">
        <v>125</v>
      </c>
      <c r="D2632">
        <v>2044</v>
      </c>
      <c r="E2632" t="s">
        <v>145</v>
      </c>
      <c r="F2632">
        <v>46.87</v>
      </c>
    </row>
    <row r="2633" spans="3:6" x14ac:dyDescent="0.25">
      <c r="C2633" t="s">
        <v>125</v>
      </c>
      <c r="D2633">
        <v>2045</v>
      </c>
      <c r="E2633" t="s">
        <v>147</v>
      </c>
      <c r="F2633">
        <v>39.89</v>
      </c>
    </row>
    <row r="2634" spans="3:6" x14ac:dyDescent="0.25">
      <c r="C2634" t="s">
        <v>125</v>
      </c>
      <c r="D2634">
        <v>2045</v>
      </c>
      <c r="E2634" t="s">
        <v>148</v>
      </c>
      <c r="F2634">
        <v>48.98</v>
      </c>
    </row>
    <row r="2635" spans="3:6" x14ac:dyDescent="0.25">
      <c r="C2635" t="s">
        <v>125</v>
      </c>
      <c r="D2635">
        <v>2045</v>
      </c>
      <c r="E2635" t="s">
        <v>146</v>
      </c>
      <c r="F2635">
        <v>450.76</v>
      </c>
    </row>
    <row r="2636" spans="3:6" x14ac:dyDescent="0.25">
      <c r="C2636" t="s">
        <v>125</v>
      </c>
      <c r="D2636">
        <v>2045</v>
      </c>
      <c r="E2636" t="s">
        <v>142</v>
      </c>
      <c r="F2636">
        <v>2548.15</v>
      </c>
    </row>
    <row r="2637" spans="3:6" x14ac:dyDescent="0.25">
      <c r="C2637" t="s">
        <v>125</v>
      </c>
      <c r="D2637">
        <v>2045</v>
      </c>
      <c r="E2637" t="s">
        <v>143</v>
      </c>
      <c r="F2637">
        <v>4072.65</v>
      </c>
    </row>
    <row r="2638" spans="3:6" x14ac:dyDescent="0.25">
      <c r="C2638" t="s">
        <v>125</v>
      </c>
      <c r="D2638">
        <v>2045</v>
      </c>
      <c r="E2638" t="s">
        <v>144</v>
      </c>
      <c r="F2638">
        <v>3437.98</v>
      </c>
    </row>
    <row r="2639" spans="3:6" x14ac:dyDescent="0.25">
      <c r="C2639" t="s">
        <v>125</v>
      </c>
      <c r="D2639">
        <v>2045</v>
      </c>
      <c r="E2639" t="s">
        <v>145</v>
      </c>
      <c r="F2639">
        <v>51.43</v>
      </c>
    </row>
    <row r="2640" spans="3:6" x14ac:dyDescent="0.25">
      <c r="C2640" t="s">
        <v>125</v>
      </c>
      <c r="D2640">
        <v>2046</v>
      </c>
      <c r="E2640" t="s">
        <v>147</v>
      </c>
      <c r="F2640">
        <v>39.96</v>
      </c>
    </row>
    <row r="2641" spans="3:6" x14ac:dyDescent="0.25">
      <c r="C2641" t="s">
        <v>125</v>
      </c>
      <c r="D2641">
        <v>2046</v>
      </c>
      <c r="E2641" t="s">
        <v>148</v>
      </c>
      <c r="F2641">
        <v>49.02</v>
      </c>
    </row>
    <row r="2642" spans="3:6" x14ac:dyDescent="0.25">
      <c r="C2642" t="s">
        <v>125</v>
      </c>
      <c r="D2642">
        <v>2046</v>
      </c>
      <c r="E2642" t="s">
        <v>146</v>
      </c>
      <c r="F2642">
        <v>457.67</v>
      </c>
    </row>
    <row r="2643" spans="3:6" x14ac:dyDescent="0.25">
      <c r="C2643" t="s">
        <v>125</v>
      </c>
      <c r="D2643">
        <v>2046</v>
      </c>
      <c r="E2643" t="s">
        <v>142</v>
      </c>
      <c r="F2643">
        <v>2597.79</v>
      </c>
    </row>
    <row r="2644" spans="3:6" x14ac:dyDescent="0.25">
      <c r="C2644" t="s">
        <v>125</v>
      </c>
      <c r="D2644">
        <v>2046</v>
      </c>
      <c r="E2644" t="s">
        <v>143</v>
      </c>
      <c r="F2644">
        <v>4139.92</v>
      </c>
    </row>
    <row r="2645" spans="3:6" x14ac:dyDescent="0.25">
      <c r="C2645" t="s">
        <v>125</v>
      </c>
      <c r="D2645">
        <v>2046</v>
      </c>
      <c r="E2645" t="s">
        <v>144</v>
      </c>
      <c r="F2645">
        <v>3512.4</v>
      </c>
    </row>
    <row r="2646" spans="3:6" x14ac:dyDescent="0.25">
      <c r="C2646" t="s">
        <v>125</v>
      </c>
      <c r="D2646">
        <v>2046</v>
      </c>
      <c r="E2646" t="s">
        <v>145</v>
      </c>
      <c r="F2646">
        <v>56.13</v>
      </c>
    </row>
    <row r="2647" spans="3:6" x14ac:dyDescent="0.25">
      <c r="C2647" t="s">
        <v>125</v>
      </c>
      <c r="D2647">
        <v>2047</v>
      </c>
      <c r="E2647" t="s">
        <v>147</v>
      </c>
      <c r="F2647">
        <v>40.03</v>
      </c>
    </row>
    <row r="2648" spans="3:6" x14ac:dyDescent="0.25">
      <c r="C2648" t="s">
        <v>125</v>
      </c>
      <c r="D2648">
        <v>2047</v>
      </c>
      <c r="E2648" t="s">
        <v>148</v>
      </c>
      <c r="F2648">
        <v>49.07</v>
      </c>
    </row>
    <row r="2649" spans="3:6" x14ac:dyDescent="0.25">
      <c r="C2649" t="s">
        <v>125</v>
      </c>
      <c r="D2649">
        <v>2047</v>
      </c>
      <c r="E2649" t="s">
        <v>146</v>
      </c>
      <c r="F2649">
        <v>464.39</v>
      </c>
    </row>
    <row r="2650" spans="3:6" x14ac:dyDescent="0.25">
      <c r="C2650" t="s">
        <v>125</v>
      </c>
      <c r="D2650">
        <v>2047</v>
      </c>
      <c r="E2650" t="s">
        <v>142</v>
      </c>
      <c r="F2650">
        <v>2646.79</v>
      </c>
    </row>
    <row r="2651" spans="3:6" x14ac:dyDescent="0.25">
      <c r="C2651" t="s">
        <v>125</v>
      </c>
      <c r="D2651">
        <v>2047</v>
      </c>
      <c r="E2651" t="s">
        <v>143</v>
      </c>
      <c r="F2651">
        <v>4232.5600000000004</v>
      </c>
    </row>
    <row r="2652" spans="3:6" x14ac:dyDescent="0.25">
      <c r="C2652" t="s">
        <v>125</v>
      </c>
      <c r="D2652">
        <v>2047</v>
      </c>
      <c r="E2652" t="s">
        <v>144</v>
      </c>
      <c r="F2652">
        <v>3586.93</v>
      </c>
    </row>
    <row r="2653" spans="3:6" x14ac:dyDescent="0.25">
      <c r="C2653" t="s">
        <v>125</v>
      </c>
      <c r="D2653">
        <v>2047</v>
      </c>
      <c r="E2653" t="s">
        <v>145</v>
      </c>
      <c r="F2653">
        <v>60.92</v>
      </c>
    </row>
    <row r="2654" spans="3:6" x14ac:dyDescent="0.25">
      <c r="C2654" t="s">
        <v>125</v>
      </c>
      <c r="D2654">
        <v>2048</v>
      </c>
      <c r="E2654" t="s">
        <v>147</v>
      </c>
      <c r="F2654">
        <v>40.1</v>
      </c>
    </row>
    <row r="2655" spans="3:6" x14ac:dyDescent="0.25">
      <c r="C2655" t="s">
        <v>125</v>
      </c>
      <c r="D2655">
        <v>2048</v>
      </c>
      <c r="E2655" t="s">
        <v>148</v>
      </c>
      <c r="F2655">
        <v>49.11</v>
      </c>
    </row>
    <row r="2656" spans="3:6" x14ac:dyDescent="0.25">
      <c r="C2656" t="s">
        <v>125</v>
      </c>
      <c r="D2656">
        <v>2048</v>
      </c>
      <c r="E2656" t="s">
        <v>146</v>
      </c>
      <c r="F2656">
        <v>470.98</v>
      </c>
    </row>
    <row r="2657" spans="3:6" x14ac:dyDescent="0.25">
      <c r="C2657" t="s">
        <v>125</v>
      </c>
      <c r="D2657">
        <v>2048</v>
      </c>
      <c r="E2657" t="s">
        <v>142</v>
      </c>
      <c r="F2657">
        <v>2695.79</v>
      </c>
    </row>
    <row r="2658" spans="3:6" x14ac:dyDescent="0.25">
      <c r="C2658" t="s">
        <v>125</v>
      </c>
      <c r="D2658">
        <v>2048</v>
      </c>
      <c r="E2658" t="s">
        <v>143</v>
      </c>
      <c r="F2658">
        <v>4297.6899999999996</v>
      </c>
    </row>
    <row r="2659" spans="3:6" x14ac:dyDescent="0.25">
      <c r="C2659" t="s">
        <v>125</v>
      </c>
      <c r="D2659">
        <v>2048</v>
      </c>
      <c r="E2659" t="s">
        <v>144</v>
      </c>
      <c r="F2659">
        <v>3662.29</v>
      </c>
    </row>
    <row r="2660" spans="3:6" x14ac:dyDescent="0.25">
      <c r="C2660" t="s">
        <v>125</v>
      </c>
      <c r="D2660">
        <v>2048</v>
      </c>
      <c r="E2660" t="s">
        <v>145</v>
      </c>
      <c r="F2660">
        <v>65.88</v>
      </c>
    </row>
    <row r="2661" spans="3:6" x14ac:dyDescent="0.25">
      <c r="C2661" t="s">
        <v>125</v>
      </c>
      <c r="D2661">
        <v>2049</v>
      </c>
      <c r="E2661" t="s">
        <v>147</v>
      </c>
      <c r="F2661">
        <v>40.159999999999997</v>
      </c>
    </row>
    <row r="2662" spans="3:6" x14ac:dyDescent="0.25">
      <c r="C2662" t="s">
        <v>125</v>
      </c>
      <c r="D2662">
        <v>2049</v>
      </c>
      <c r="E2662" t="s">
        <v>148</v>
      </c>
      <c r="F2662">
        <v>49.15</v>
      </c>
    </row>
    <row r="2663" spans="3:6" x14ac:dyDescent="0.25">
      <c r="C2663" t="s">
        <v>125</v>
      </c>
      <c r="D2663">
        <v>2049</v>
      </c>
      <c r="E2663" t="s">
        <v>146</v>
      </c>
      <c r="F2663">
        <v>477.52</v>
      </c>
    </row>
    <row r="2664" spans="3:6" x14ac:dyDescent="0.25">
      <c r="C2664" t="s">
        <v>125</v>
      </c>
      <c r="D2664">
        <v>2049</v>
      </c>
      <c r="E2664" t="s">
        <v>142</v>
      </c>
      <c r="F2664">
        <v>2745.08</v>
      </c>
    </row>
    <row r="2665" spans="3:6" x14ac:dyDescent="0.25">
      <c r="C2665" t="s">
        <v>125</v>
      </c>
      <c r="D2665">
        <v>2049</v>
      </c>
      <c r="E2665" t="s">
        <v>143</v>
      </c>
      <c r="F2665">
        <v>4369.79</v>
      </c>
    </row>
    <row r="2666" spans="3:6" x14ac:dyDescent="0.25">
      <c r="C2666" t="s">
        <v>125</v>
      </c>
      <c r="D2666">
        <v>2049</v>
      </c>
      <c r="E2666" t="s">
        <v>144</v>
      </c>
      <c r="F2666">
        <v>3738.55</v>
      </c>
    </row>
    <row r="2667" spans="3:6" x14ac:dyDescent="0.25">
      <c r="C2667" t="s">
        <v>125</v>
      </c>
      <c r="D2667">
        <v>2049</v>
      </c>
      <c r="E2667" t="s">
        <v>145</v>
      </c>
      <c r="F2667">
        <v>70.87</v>
      </c>
    </row>
    <row r="2668" spans="3:6" x14ac:dyDescent="0.25">
      <c r="C2668" t="s">
        <v>125</v>
      </c>
      <c r="D2668">
        <v>2050</v>
      </c>
      <c r="E2668" t="s">
        <v>147</v>
      </c>
      <c r="F2668">
        <v>40.229999999999997</v>
      </c>
    </row>
    <row r="2669" spans="3:6" x14ac:dyDescent="0.25">
      <c r="C2669" t="s">
        <v>125</v>
      </c>
      <c r="D2669">
        <v>2050</v>
      </c>
      <c r="E2669" t="s">
        <v>148</v>
      </c>
      <c r="F2669">
        <v>49.19</v>
      </c>
    </row>
    <row r="2670" spans="3:6" x14ac:dyDescent="0.25">
      <c r="C2670" t="s">
        <v>125</v>
      </c>
      <c r="D2670">
        <v>2050</v>
      </c>
      <c r="E2670" t="s">
        <v>146</v>
      </c>
      <c r="F2670">
        <v>484.05</v>
      </c>
    </row>
    <row r="2671" spans="3:6" x14ac:dyDescent="0.25">
      <c r="C2671" t="s">
        <v>125</v>
      </c>
      <c r="D2671">
        <v>2050</v>
      </c>
      <c r="E2671" t="s">
        <v>142</v>
      </c>
      <c r="F2671">
        <v>2794.9</v>
      </c>
    </row>
    <row r="2672" spans="3:6" x14ac:dyDescent="0.25">
      <c r="C2672" t="s">
        <v>125</v>
      </c>
      <c r="D2672">
        <v>2050</v>
      </c>
      <c r="E2672" t="s">
        <v>143</v>
      </c>
      <c r="F2672">
        <v>4431.4799999999996</v>
      </c>
    </row>
    <row r="2673" spans="3:6" x14ac:dyDescent="0.25">
      <c r="C2673" t="s">
        <v>125</v>
      </c>
      <c r="D2673">
        <v>2050</v>
      </c>
      <c r="E2673" t="s">
        <v>144</v>
      </c>
      <c r="F2673">
        <v>3816.08</v>
      </c>
    </row>
    <row r="2674" spans="3:6" x14ac:dyDescent="0.25">
      <c r="C2674" t="s">
        <v>125</v>
      </c>
      <c r="D2674">
        <v>2050</v>
      </c>
      <c r="E2674" t="s">
        <v>145</v>
      </c>
      <c r="F2674">
        <v>75.97</v>
      </c>
    </row>
    <row r="2675" spans="3:6" x14ac:dyDescent="0.25">
      <c r="C2675" t="s">
        <v>106</v>
      </c>
      <c r="D2675">
        <v>2010</v>
      </c>
      <c r="E2675" t="s">
        <v>142</v>
      </c>
      <c r="F2675">
        <v>576.54999999999995</v>
      </c>
    </row>
    <row r="2676" spans="3:6" x14ac:dyDescent="0.25">
      <c r="C2676" t="s">
        <v>106</v>
      </c>
      <c r="D2676">
        <v>2010</v>
      </c>
      <c r="E2676" t="s">
        <v>143</v>
      </c>
      <c r="F2676">
        <v>1618.81</v>
      </c>
    </row>
    <row r="2677" spans="3:6" x14ac:dyDescent="0.25">
      <c r="C2677" t="s">
        <v>106</v>
      </c>
      <c r="D2677">
        <v>2010</v>
      </c>
      <c r="E2677" t="s">
        <v>144</v>
      </c>
      <c r="F2677">
        <v>442.76</v>
      </c>
    </row>
    <row r="2678" spans="3:6" x14ac:dyDescent="0.25">
      <c r="C2678" t="s">
        <v>106</v>
      </c>
      <c r="D2678">
        <v>2010</v>
      </c>
      <c r="E2678" t="s">
        <v>145</v>
      </c>
      <c r="F2678">
        <v>291.14</v>
      </c>
    </row>
    <row r="2679" spans="3:6" x14ac:dyDescent="0.25">
      <c r="C2679" t="s">
        <v>106</v>
      </c>
      <c r="D2679">
        <v>2011</v>
      </c>
      <c r="E2679" t="s">
        <v>142</v>
      </c>
      <c r="F2679">
        <v>553.19000000000005</v>
      </c>
    </row>
    <row r="2680" spans="3:6" x14ac:dyDescent="0.25">
      <c r="C2680" t="s">
        <v>106</v>
      </c>
      <c r="D2680">
        <v>2011</v>
      </c>
      <c r="E2680" t="s">
        <v>143</v>
      </c>
      <c r="F2680">
        <v>1665.04</v>
      </c>
    </row>
    <row r="2681" spans="3:6" x14ac:dyDescent="0.25">
      <c r="C2681" t="s">
        <v>106</v>
      </c>
      <c r="D2681">
        <v>2011</v>
      </c>
      <c r="E2681" t="s">
        <v>144</v>
      </c>
      <c r="F2681">
        <v>453.56</v>
      </c>
    </row>
    <row r="2682" spans="3:6" x14ac:dyDescent="0.25">
      <c r="C2682" t="s">
        <v>106</v>
      </c>
      <c r="D2682">
        <v>2011</v>
      </c>
      <c r="E2682" t="s">
        <v>145</v>
      </c>
      <c r="F2682">
        <v>313.11</v>
      </c>
    </row>
    <row r="2683" spans="3:6" x14ac:dyDescent="0.25">
      <c r="C2683" t="s">
        <v>106</v>
      </c>
      <c r="D2683">
        <v>2012</v>
      </c>
      <c r="E2683" t="s">
        <v>142</v>
      </c>
      <c r="F2683">
        <v>559.58000000000004</v>
      </c>
    </row>
    <row r="2684" spans="3:6" x14ac:dyDescent="0.25">
      <c r="C2684" t="s">
        <v>106</v>
      </c>
      <c r="D2684">
        <v>2012</v>
      </c>
      <c r="E2684" t="s">
        <v>143</v>
      </c>
      <c r="F2684">
        <v>1698.96</v>
      </c>
    </row>
    <row r="2685" spans="3:6" x14ac:dyDescent="0.25">
      <c r="C2685" t="s">
        <v>106</v>
      </c>
      <c r="D2685">
        <v>2012</v>
      </c>
      <c r="E2685" t="s">
        <v>144</v>
      </c>
      <c r="F2685">
        <v>457.01</v>
      </c>
    </row>
    <row r="2686" spans="3:6" x14ac:dyDescent="0.25">
      <c r="C2686" t="s">
        <v>106</v>
      </c>
      <c r="D2686">
        <v>2012</v>
      </c>
      <c r="E2686" t="s">
        <v>145</v>
      </c>
      <c r="F2686">
        <v>318.22000000000003</v>
      </c>
    </row>
    <row r="2687" spans="3:6" x14ac:dyDescent="0.25">
      <c r="C2687" t="s">
        <v>106</v>
      </c>
      <c r="D2687">
        <v>2013</v>
      </c>
      <c r="E2687" t="s">
        <v>142</v>
      </c>
      <c r="F2687">
        <v>557.41999999999996</v>
      </c>
    </row>
    <row r="2688" spans="3:6" x14ac:dyDescent="0.25">
      <c r="C2688" t="s">
        <v>106</v>
      </c>
      <c r="D2688">
        <v>2013</v>
      </c>
      <c r="E2688" t="s">
        <v>143</v>
      </c>
      <c r="F2688">
        <v>1655.44</v>
      </c>
    </row>
    <row r="2689" spans="3:6" x14ac:dyDescent="0.25">
      <c r="C2689" t="s">
        <v>106</v>
      </c>
      <c r="D2689">
        <v>2013</v>
      </c>
      <c r="E2689" t="s">
        <v>144</v>
      </c>
      <c r="F2689">
        <v>481.4</v>
      </c>
    </row>
    <row r="2690" spans="3:6" x14ac:dyDescent="0.25">
      <c r="C2690" t="s">
        <v>106</v>
      </c>
      <c r="D2690">
        <v>2013</v>
      </c>
      <c r="E2690" t="s">
        <v>145</v>
      </c>
      <c r="F2690">
        <v>312.07</v>
      </c>
    </row>
    <row r="2691" spans="3:6" x14ac:dyDescent="0.25">
      <c r="C2691" t="s">
        <v>106</v>
      </c>
      <c r="D2691">
        <v>2014</v>
      </c>
      <c r="E2691" t="s">
        <v>142</v>
      </c>
      <c r="F2691">
        <v>523.76</v>
      </c>
    </row>
    <row r="2692" spans="3:6" x14ac:dyDescent="0.25">
      <c r="C2692" t="s">
        <v>106</v>
      </c>
      <c r="D2692">
        <v>2014</v>
      </c>
      <c r="E2692" t="s">
        <v>143</v>
      </c>
      <c r="F2692">
        <v>1701.56</v>
      </c>
    </row>
    <row r="2693" spans="3:6" x14ac:dyDescent="0.25">
      <c r="C2693" t="s">
        <v>106</v>
      </c>
      <c r="D2693">
        <v>2014</v>
      </c>
      <c r="E2693" t="s">
        <v>144</v>
      </c>
      <c r="F2693">
        <v>503.57</v>
      </c>
    </row>
    <row r="2694" spans="3:6" x14ac:dyDescent="0.25">
      <c r="C2694" t="s">
        <v>106</v>
      </c>
      <c r="D2694">
        <v>2014</v>
      </c>
      <c r="E2694" t="s">
        <v>145</v>
      </c>
      <c r="F2694">
        <v>311.49</v>
      </c>
    </row>
    <row r="2695" spans="3:6" x14ac:dyDescent="0.25">
      <c r="C2695" t="s">
        <v>106</v>
      </c>
      <c r="D2695">
        <v>2015</v>
      </c>
      <c r="E2695" t="s">
        <v>142</v>
      </c>
      <c r="F2695">
        <v>538.41999999999996</v>
      </c>
    </row>
    <row r="2696" spans="3:6" x14ac:dyDescent="0.25">
      <c r="C2696" t="s">
        <v>106</v>
      </c>
      <c r="D2696">
        <v>2015</v>
      </c>
      <c r="E2696" t="s">
        <v>143</v>
      </c>
      <c r="F2696">
        <v>1695.06</v>
      </c>
    </row>
    <row r="2697" spans="3:6" x14ac:dyDescent="0.25">
      <c r="C2697" t="s">
        <v>106</v>
      </c>
      <c r="D2697">
        <v>2015</v>
      </c>
      <c r="E2697" t="s">
        <v>144</v>
      </c>
      <c r="F2697">
        <v>518.80999999999995</v>
      </c>
    </row>
    <row r="2698" spans="3:6" x14ac:dyDescent="0.25">
      <c r="C2698" t="s">
        <v>106</v>
      </c>
      <c r="D2698">
        <v>2015</v>
      </c>
      <c r="E2698" t="s">
        <v>145</v>
      </c>
      <c r="F2698">
        <v>284.89999999999998</v>
      </c>
    </row>
    <row r="2699" spans="3:6" x14ac:dyDescent="0.25">
      <c r="C2699" t="s">
        <v>106</v>
      </c>
      <c r="D2699">
        <v>2016</v>
      </c>
      <c r="E2699" t="s">
        <v>142</v>
      </c>
      <c r="F2699">
        <v>546.69000000000005</v>
      </c>
    </row>
    <row r="2700" spans="3:6" x14ac:dyDescent="0.25">
      <c r="C2700" t="s">
        <v>106</v>
      </c>
      <c r="D2700">
        <v>2016</v>
      </c>
      <c r="E2700" t="s">
        <v>143</v>
      </c>
      <c r="F2700">
        <v>1711.51</v>
      </c>
    </row>
    <row r="2701" spans="3:6" x14ac:dyDescent="0.25">
      <c r="C2701" t="s">
        <v>106</v>
      </c>
      <c r="D2701">
        <v>2016</v>
      </c>
      <c r="E2701" t="s">
        <v>144</v>
      </c>
      <c r="F2701">
        <v>558.14</v>
      </c>
    </row>
    <row r="2702" spans="3:6" x14ac:dyDescent="0.25">
      <c r="C2702" t="s">
        <v>106</v>
      </c>
      <c r="D2702">
        <v>2016</v>
      </c>
      <c r="E2702" t="s">
        <v>145</v>
      </c>
      <c r="F2702">
        <v>287.12</v>
      </c>
    </row>
    <row r="2703" spans="3:6" x14ac:dyDescent="0.25">
      <c r="C2703" t="s">
        <v>106</v>
      </c>
      <c r="D2703">
        <v>2017</v>
      </c>
      <c r="E2703" t="s">
        <v>142</v>
      </c>
      <c r="F2703">
        <v>554.29</v>
      </c>
    </row>
    <row r="2704" spans="3:6" x14ac:dyDescent="0.25">
      <c r="C2704" t="s">
        <v>106</v>
      </c>
      <c r="D2704">
        <v>2017</v>
      </c>
      <c r="E2704" t="s">
        <v>143</v>
      </c>
      <c r="F2704">
        <v>1733.69</v>
      </c>
    </row>
    <row r="2705" spans="3:6" x14ac:dyDescent="0.25">
      <c r="C2705" t="s">
        <v>106</v>
      </c>
      <c r="D2705">
        <v>2017</v>
      </c>
      <c r="E2705" t="s">
        <v>144</v>
      </c>
      <c r="F2705">
        <v>577.20000000000005</v>
      </c>
    </row>
    <row r="2706" spans="3:6" x14ac:dyDescent="0.25">
      <c r="C2706" t="s">
        <v>106</v>
      </c>
      <c r="D2706">
        <v>2017</v>
      </c>
      <c r="E2706" t="s">
        <v>145</v>
      </c>
      <c r="F2706">
        <v>269</v>
      </c>
    </row>
    <row r="2707" spans="3:6" x14ac:dyDescent="0.25">
      <c r="C2707" t="s">
        <v>106</v>
      </c>
      <c r="D2707">
        <v>2018</v>
      </c>
      <c r="E2707" t="s">
        <v>142</v>
      </c>
      <c r="F2707">
        <v>523.27</v>
      </c>
    </row>
    <row r="2708" spans="3:6" x14ac:dyDescent="0.25">
      <c r="C2708" t="s">
        <v>106</v>
      </c>
      <c r="D2708">
        <v>2018</v>
      </c>
      <c r="E2708" t="s">
        <v>143</v>
      </c>
      <c r="F2708">
        <v>1793.44</v>
      </c>
    </row>
    <row r="2709" spans="3:6" x14ac:dyDescent="0.25">
      <c r="C2709" t="s">
        <v>106</v>
      </c>
      <c r="D2709">
        <v>2018</v>
      </c>
      <c r="E2709" t="s">
        <v>144</v>
      </c>
      <c r="F2709">
        <v>571.86</v>
      </c>
    </row>
    <row r="2710" spans="3:6" x14ac:dyDescent="0.25">
      <c r="C2710" t="s">
        <v>106</v>
      </c>
      <c r="D2710">
        <v>2018</v>
      </c>
      <c r="E2710" t="s">
        <v>145</v>
      </c>
      <c r="F2710">
        <v>282.01</v>
      </c>
    </row>
    <row r="2711" spans="3:6" x14ac:dyDescent="0.25">
      <c r="C2711" t="s">
        <v>106</v>
      </c>
      <c r="D2711">
        <v>2019</v>
      </c>
      <c r="E2711" t="s">
        <v>147</v>
      </c>
      <c r="F2711">
        <v>478.85</v>
      </c>
    </row>
    <row r="2712" spans="3:6" x14ac:dyDescent="0.25">
      <c r="C2712" t="s">
        <v>106</v>
      </c>
      <c r="D2712">
        <v>2019</v>
      </c>
      <c r="E2712" t="s">
        <v>148</v>
      </c>
      <c r="F2712">
        <v>1357.92</v>
      </c>
    </row>
    <row r="2713" spans="3:6" x14ac:dyDescent="0.25">
      <c r="C2713" t="s">
        <v>106</v>
      </c>
      <c r="D2713">
        <v>2019</v>
      </c>
      <c r="E2713" t="s">
        <v>146</v>
      </c>
      <c r="F2713">
        <v>1366.31</v>
      </c>
    </row>
    <row r="2714" spans="3:6" x14ac:dyDescent="0.25">
      <c r="C2714" t="s">
        <v>106</v>
      </c>
      <c r="D2714">
        <v>2019</v>
      </c>
      <c r="E2714" t="s">
        <v>142</v>
      </c>
      <c r="F2714">
        <v>529.41</v>
      </c>
    </row>
    <row r="2715" spans="3:6" x14ac:dyDescent="0.25">
      <c r="C2715" t="s">
        <v>106</v>
      </c>
      <c r="D2715">
        <v>2019</v>
      </c>
      <c r="E2715" t="s">
        <v>143</v>
      </c>
      <c r="F2715">
        <v>1824.41</v>
      </c>
    </row>
    <row r="2716" spans="3:6" x14ac:dyDescent="0.25">
      <c r="C2716" t="s">
        <v>106</v>
      </c>
      <c r="D2716">
        <v>2019</v>
      </c>
      <c r="E2716" t="s">
        <v>144</v>
      </c>
      <c r="F2716">
        <v>577.11</v>
      </c>
    </row>
    <row r="2717" spans="3:6" x14ac:dyDescent="0.25">
      <c r="C2717" t="s">
        <v>106</v>
      </c>
      <c r="D2717">
        <v>2019</v>
      </c>
      <c r="E2717" t="s">
        <v>145</v>
      </c>
      <c r="F2717">
        <v>259.42</v>
      </c>
    </row>
    <row r="2718" spans="3:6" x14ac:dyDescent="0.25">
      <c r="C2718" t="s">
        <v>106</v>
      </c>
      <c r="D2718">
        <v>2020</v>
      </c>
      <c r="E2718" t="s">
        <v>147</v>
      </c>
      <c r="F2718">
        <v>477.42</v>
      </c>
    </row>
    <row r="2719" spans="3:6" x14ac:dyDescent="0.25">
      <c r="C2719" t="s">
        <v>106</v>
      </c>
      <c r="D2719">
        <v>2020</v>
      </c>
      <c r="E2719" t="s">
        <v>148</v>
      </c>
      <c r="F2719">
        <v>1354.85</v>
      </c>
    </row>
    <row r="2720" spans="3:6" x14ac:dyDescent="0.25">
      <c r="C2720" t="s">
        <v>106</v>
      </c>
      <c r="D2720">
        <v>2020</v>
      </c>
      <c r="E2720" t="s">
        <v>146</v>
      </c>
      <c r="F2720">
        <v>1339.83</v>
      </c>
    </row>
    <row r="2721" spans="3:6" x14ac:dyDescent="0.25">
      <c r="C2721" t="s">
        <v>106</v>
      </c>
      <c r="D2721">
        <v>2020</v>
      </c>
      <c r="E2721" t="s">
        <v>142</v>
      </c>
      <c r="F2721">
        <v>518.07000000000005</v>
      </c>
    </row>
    <row r="2722" spans="3:6" x14ac:dyDescent="0.25">
      <c r="C2722" t="s">
        <v>106</v>
      </c>
      <c r="D2722">
        <v>2020</v>
      </c>
      <c r="E2722" t="s">
        <v>143</v>
      </c>
      <c r="F2722">
        <v>1765.04</v>
      </c>
    </row>
    <row r="2723" spans="3:6" x14ac:dyDescent="0.25">
      <c r="C2723" t="s">
        <v>106</v>
      </c>
      <c r="D2723">
        <v>2020</v>
      </c>
      <c r="E2723" t="s">
        <v>144</v>
      </c>
      <c r="F2723">
        <v>567.96</v>
      </c>
    </row>
    <row r="2724" spans="3:6" x14ac:dyDescent="0.25">
      <c r="C2724" t="s">
        <v>106</v>
      </c>
      <c r="D2724">
        <v>2020</v>
      </c>
      <c r="E2724" t="s">
        <v>145</v>
      </c>
      <c r="F2724">
        <v>237.47</v>
      </c>
    </row>
    <row r="2725" spans="3:6" x14ac:dyDescent="0.25">
      <c r="C2725" t="s">
        <v>106</v>
      </c>
      <c r="D2725">
        <v>2021</v>
      </c>
      <c r="E2725" t="s">
        <v>147</v>
      </c>
      <c r="F2725">
        <v>489.49</v>
      </c>
    </row>
    <row r="2726" spans="3:6" x14ac:dyDescent="0.25">
      <c r="C2726" t="s">
        <v>106</v>
      </c>
      <c r="D2726">
        <v>2021</v>
      </c>
      <c r="E2726" t="s">
        <v>148</v>
      </c>
      <c r="F2726">
        <v>1385.14</v>
      </c>
    </row>
    <row r="2727" spans="3:6" x14ac:dyDescent="0.25">
      <c r="C2727" t="s">
        <v>106</v>
      </c>
      <c r="D2727">
        <v>2021</v>
      </c>
      <c r="E2727" t="s">
        <v>146</v>
      </c>
      <c r="F2727">
        <v>1496.22</v>
      </c>
    </row>
    <row r="2728" spans="3:6" x14ac:dyDescent="0.25">
      <c r="C2728" t="s">
        <v>106</v>
      </c>
      <c r="D2728">
        <v>2021</v>
      </c>
      <c r="E2728" t="s">
        <v>142</v>
      </c>
      <c r="F2728">
        <v>543.91999999999996</v>
      </c>
    </row>
    <row r="2729" spans="3:6" x14ac:dyDescent="0.25">
      <c r="C2729" t="s">
        <v>106</v>
      </c>
      <c r="D2729">
        <v>2021</v>
      </c>
      <c r="E2729" t="s">
        <v>143</v>
      </c>
      <c r="F2729">
        <v>1921.14</v>
      </c>
    </row>
    <row r="2730" spans="3:6" x14ac:dyDescent="0.25">
      <c r="C2730" t="s">
        <v>106</v>
      </c>
      <c r="D2730">
        <v>2021</v>
      </c>
      <c r="E2730" t="s">
        <v>144</v>
      </c>
      <c r="F2730">
        <v>593.53</v>
      </c>
    </row>
    <row r="2731" spans="3:6" x14ac:dyDescent="0.25">
      <c r="C2731" t="s">
        <v>106</v>
      </c>
      <c r="D2731">
        <v>2021</v>
      </c>
      <c r="E2731" t="s">
        <v>145</v>
      </c>
      <c r="F2731">
        <v>239.65</v>
      </c>
    </row>
    <row r="2732" spans="3:6" x14ac:dyDescent="0.25">
      <c r="C2732" t="s">
        <v>106</v>
      </c>
      <c r="D2732">
        <v>2022</v>
      </c>
      <c r="E2732" t="s">
        <v>147</v>
      </c>
      <c r="F2732">
        <v>494.32</v>
      </c>
    </row>
    <row r="2733" spans="3:6" x14ac:dyDescent="0.25">
      <c r="C2733" t="s">
        <v>106</v>
      </c>
      <c r="D2733">
        <v>2022</v>
      </c>
      <c r="E2733" t="s">
        <v>148</v>
      </c>
      <c r="F2733">
        <v>1396.28</v>
      </c>
    </row>
    <row r="2734" spans="3:6" x14ac:dyDescent="0.25">
      <c r="C2734" t="s">
        <v>106</v>
      </c>
      <c r="D2734">
        <v>2022</v>
      </c>
      <c r="E2734" t="s">
        <v>146</v>
      </c>
      <c r="F2734">
        <v>1563.27</v>
      </c>
    </row>
    <row r="2735" spans="3:6" x14ac:dyDescent="0.25">
      <c r="C2735" t="s">
        <v>106</v>
      </c>
      <c r="D2735">
        <v>2022</v>
      </c>
      <c r="E2735" t="s">
        <v>142</v>
      </c>
      <c r="F2735">
        <v>553.88</v>
      </c>
    </row>
    <row r="2736" spans="3:6" x14ac:dyDescent="0.25">
      <c r="C2736" t="s">
        <v>106</v>
      </c>
      <c r="D2736">
        <v>2022</v>
      </c>
      <c r="E2736" t="s">
        <v>143</v>
      </c>
      <c r="F2736">
        <v>1977.67</v>
      </c>
    </row>
    <row r="2737" spans="3:6" x14ac:dyDescent="0.25">
      <c r="C2737" t="s">
        <v>106</v>
      </c>
      <c r="D2737">
        <v>2022</v>
      </c>
      <c r="E2737" t="s">
        <v>144</v>
      </c>
      <c r="F2737">
        <v>606.78</v>
      </c>
    </row>
    <row r="2738" spans="3:6" x14ac:dyDescent="0.25">
      <c r="C2738" t="s">
        <v>106</v>
      </c>
      <c r="D2738">
        <v>2022</v>
      </c>
      <c r="E2738" t="s">
        <v>145</v>
      </c>
      <c r="F2738">
        <v>244.74</v>
      </c>
    </row>
    <row r="2739" spans="3:6" x14ac:dyDescent="0.25">
      <c r="C2739" t="s">
        <v>106</v>
      </c>
      <c r="D2739">
        <v>2023</v>
      </c>
      <c r="E2739" t="s">
        <v>147</v>
      </c>
      <c r="F2739">
        <v>497.38</v>
      </c>
    </row>
    <row r="2740" spans="3:6" x14ac:dyDescent="0.25">
      <c r="C2740" t="s">
        <v>106</v>
      </c>
      <c r="D2740">
        <v>2023</v>
      </c>
      <c r="E2740" t="s">
        <v>148</v>
      </c>
      <c r="F2740">
        <v>1402.89</v>
      </c>
    </row>
    <row r="2741" spans="3:6" x14ac:dyDescent="0.25">
      <c r="C2741" t="s">
        <v>106</v>
      </c>
      <c r="D2741">
        <v>2023</v>
      </c>
      <c r="E2741" t="s">
        <v>146</v>
      </c>
      <c r="F2741">
        <v>1620.65</v>
      </c>
    </row>
    <row r="2742" spans="3:6" x14ac:dyDescent="0.25">
      <c r="C2742" t="s">
        <v>106</v>
      </c>
      <c r="D2742">
        <v>2023</v>
      </c>
      <c r="E2742" t="s">
        <v>142</v>
      </c>
      <c r="F2742">
        <v>559.58000000000004</v>
      </c>
    </row>
    <row r="2743" spans="3:6" x14ac:dyDescent="0.25">
      <c r="C2743" t="s">
        <v>106</v>
      </c>
      <c r="D2743">
        <v>2023</v>
      </c>
      <c r="E2743" t="s">
        <v>143</v>
      </c>
      <c r="F2743">
        <v>2041.76</v>
      </c>
    </row>
    <row r="2744" spans="3:6" x14ac:dyDescent="0.25">
      <c r="C2744" t="s">
        <v>106</v>
      </c>
      <c r="D2744">
        <v>2023</v>
      </c>
      <c r="E2744" t="s">
        <v>144</v>
      </c>
      <c r="F2744">
        <v>618.70000000000005</v>
      </c>
    </row>
    <row r="2745" spans="3:6" x14ac:dyDescent="0.25">
      <c r="C2745" t="s">
        <v>106</v>
      </c>
      <c r="D2745">
        <v>2023</v>
      </c>
      <c r="E2745" t="s">
        <v>145</v>
      </c>
      <c r="F2745">
        <v>250.88</v>
      </c>
    </row>
    <row r="2746" spans="3:6" x14ac:dyDescent="0.25">
      <c r="C2746" t="s">
        <v>106</v>
      </c>
      <c r="D2746">
        <v>2024</v>
      </c>
      <c r="E2746" t="s">
        <v>147</v>
      </c>
      <c r="F2746">
        <v>499.98</v>
      </c>
    </row>
    <row r="2747" spans="3:6" x14ac:dyDescent="0.25">
      <c r="C2747" t="s">
        <v>106</v>
      </c>
      <c r="D2747">
        <v>2024</v>
      </c>
      <c r="E2747" t="s">
        <v>148</v>
      </c>
      <c r="F2747">
        <v>1408.03</v>
      </c>
    </row>
    <row r="2748" spans="3:6" x14ac:dyDescent="0.25">
      <c r="C2748" t="s">
        <v>106</v>
      </c>
      <c r="D2748">
        <v>2024</v>
      </c>
      <c r="E2748" t="s">
        <v>146</v>
      </c>
      <c r="F2748">
        <v>1669.7</v>
      </c>
    </row>
    <row r="2749" spans="3:6" x14ac:dyDescent="0.25">
      <c r="C2749" t="s">
        <v>106</v>
      </c>
      <c r="D2749">
        <v>2024</v>
      </c>
      <c r="E2749" t="s">
        <v>142</v>
      </c>
      <c r="F2749">
        <v>566.22</v>
      </c>
    </row>
    <row r="2750" spans="3:6" x14ac:dyDescent="0.25">
      <c r="C2750" t="s">
        <v>106</v>
      </c>
      <c r="D2750">
        <v>2024</v>
      </c>
      <c r="E2750" t="s">
        <v>143</v>
      </c>
      <c r="F2750">
        <v>2093.08</v>
      </c>
    </row>
    <row r="2751" spans="3:6" x14ac:dyDescent="0.25">
      <c r="C2751" t="s">
        <v>106</v>
      </c>
      <c r="D2751">
        <v>2024</v>
      </c>
      <c r="E2751" t="s">
        <v>144</v>
      </c>
      <c r="F2751">
        <v>630.16</v>
      </c>
    </row>
    <row r="2752" spans="3:6" x14ac:dyDescent="0.25">
      <c r="C2752" t="s">
        <v>106</v>
      </c>
      <c r="D2752">
        <v>2024</v>
      </c>
      <c r="E2752" t="s">
        <v>145</v>
      </c>
      <c r="F2752">
        <v>254.41</v>
      </c>
    </row>
    <row r="2753" spans="3:6" x14ac:dyDescent="0.25">
      <c r="C2753" t="s">
        <v>106</v>
      </c>
      <c r="D2753">
        <v>2025</v>
      </c>
      <c r="E2753" t="s">
        <v>147</v>
      </c>
      <c r="F2753">
        <v>501.46</v>
      </c>
    </row>
    <row r="2754" spans="3:6" x14ac:dyDescent="0.25">
      <c r="C2754" t="s">
        <v>106</v>
      </c>
      <c r="D2754">
        <v>2025</v>
      </c>
      <c r="E2754" t="s">
        <v>148</v>
      </c>
      <c r="F2754">
        <v>1410.25</v>
      </c>
    </row>
    <row r="2755" spans="3:6" x14ac:dyDescent="0.25">
      <c r="C2755" t="s">
        <v>106</v>
      </c>
      <c r="D2755">
        <v>2025</v>
      </c>
      <c r="E2755" t="s">
        <v>146</v>
      </c>
      <c r="F2755">
        <v>1703.32</v>
      </c>
    </row>
    <row r="2756" spans="3:6" x14ac:dyDescent="0.25">
      <c r="C2756" t="s">
        <v>106</v>
      </c>
      <c r="D2756">
        <v>2025</v>
      </c>
      <c r="E2756" t="s">
        <v>142</v>
      </c>
      <c r="F2756">
        <v>571.77</v>
      </c>
    </row>
    <row r="2757" spans="3:6" x14ac:dyDescent="0.25">
      <c r="C2757" t="s">
        <v>106</v>
      </c>
      <c r="D2757">
        <v>2025</v>
      </c>
      <c r="E2757" t="s">
        <v>143</v>
      </c>
      <c r="F2757">
        <v>2127.0100000000002</v>
      </c>
    </row>
    <row r="2758" spans="3:6" x14ac:dyDescent="0.25">
      <c r="C2758" t="s">
        <v>106</v>
      </c>
      <c r="D2758">
        <v>2025</v>
      </c>
      <c r="E2758" t="s">
        <v>144</v>
      </c>
      <c r="F2758">
        <v>641.46</v>
      </c>
    </row>
    <row r="2759" spans="3:6" x14ac:dyDescent="0.25">
      <c r="C2759" t="s">
        <v>106</v>
      </c>
      <c r="D2759">
        <v>2025</v>
      </c>
      <c r="E2759" t="s">
        <v>145</v>
      </c>
      <c r="F2759">
        <v>255.3</v>
      </c>
    </row>
    <row r="2760" spans="3:6" x14ac:dyDescent="0.25">
      <c r="C2760" t="s">
        <v>106</v>
      </c>
      <c r="D2760">
        <v>2026</v>
      </c>
      <c r="E2760" t="s">
        <v>147</v>
      </c>
      <c r="F2760">
        <v>503</v>
      </c>
    </row>
    <row r="2761" spans="3:6" x14ac:dyDescent="0.25">
      <c r="C2761" t="s">
        <v>106</v>
      </c>
      <c r="D2761">
        <v>2026</v>
      </c>
      <c r="E2761" t="s">
        <v>148</v>
      </c>
      <c r="F2761">
        <v>1413.55</v>
      </c>
    </row>
    <row r="2762" spans="3:6" x14ac:dyDescent="0.25">
      <c r="C2762" t="s">
        <v>106</v>
      </c>
      <c r="D2762">
        <v>2026</v>
      </c>
      <c r="E2762" t="s">
        <v>146</v>
      </c>
      <c r="F2762">
        <v>1731.77</v>
      </c>
    </row>
    <row r="2763" spans="3:6" x14ac:dyDescent="0.25">
      <c r="C2763" t="s">
        <v>106</v>
      </c>
      <c r="D2763">
        <v>2026</v>
      </c>
      <c r="E2763" t="s">
        <v>142</v>
      </c>
      <c r="F2763">
        <v>577.44000000000005</v>
      </c>
    </row>
    <row r="2764" spans="3:6" x14ac:dyDescent="0.25">
      <c r="C2764" t="s">
        <v>106</v>
      </c>
      <c r="D2764">
        <v>2026</v>
      </c>
      <c r="E2764" t="s">
        <v>143</v>
      </c>
      <c r="F2764">
        <v>2148.9</v>
      </c>
    </row>
    <row r="2765" spans="3:6" x14ac:dyDescent="0.25">
      <c r="C2765" t="s">
        <v>106</v>
      </c>
      <c r="D2765">
        <v>2026</v>
      </c>
      <c r="E2765" t="s">
        <v>144</v>
      </c>
      <c r="F2765">
        <v>654.13</v>
      </c>
    </row>
    <row r="2766" spans="3:6" x14ac:dyDescent="0.25">
      <c r="C2766" t="s">
        <v>106</v>
      </c>
      <c r="D2766">
        <v>2026</v>
      </c>
      <c r="E2766" t="s">
        <v>145</v>
      </c>
      <c r="F2766">
        <v>254.84</v>
      </c>
    </row>
    <row r="2767" spans="3:6" x14ac:dyDescent="0.25">
      <c r="C2767" t="s">
        <v>106</v>
      </c>
      <c r="D2767">
        <v>2027</v>
      </c>
      <c r="E2767" t="s">
        <v>147</v>
      </c>
      <c r="F2767">
        <v>504.09</v>
      </c>
    </row>
    <row r="2768" spans="3:6" x14ac:dyDescent="0.25">
      <c r="C2768" t="s">
        <v>106</v>
      </c>
      <c r="D2768">
        <v>2027</v>
      </c>
      <c r="E2768" t="s">
        <v>148</v>
      </c>
      <c r="F2768">
        <v>1415.57</v>
      </c>
    </row>
    <row r="2769" spans="3:6" x14ac:dyDescent="0.25">
      <c r="C2769" t="s">
        <v>106</v>
      </c>
      <c r="D2769">
        <v>2027</v>
      </c>
      <c r="E2769" t="s">
        <v>146</v>
      </c>
      <c r="F2769">
        <v>1757.77</v>
      </c>
    </row>
    <row r="2770" spans="3:6" x14ac:dyDescent="0.25">
      <c r="C2770" t="s">
        <v>106</v>
      </c>
      <c r="D2770">
        <v>2027</v>
      </c>
      <c r="E2770" t="s">
        <v>142</v>
      </c>
      <c r="F2770">
        <v>582.87</v>
      </c>
    </row>
    <row r="2771" spans="3:6" x14ac:dyDescent="0.25">
      <c r="C2771" t="s">
        <v>106</v>
      </c>
      <c r="D2771">
        <v>2027</v>
      </c>
      <c r="E2771" t="s">
        <v>143</v>
      </c>
      <c r="F2771">
        <v>2172.2399999999998</v>
      </c>
    </row>
    <row r="2772" spans="3:6" x14ac:dyDescent="0.25">
      <c r="C2772" t="s">
        <v>106</v>
      </c>
      <c r="D2772">
        <v>2027</v>
      </c>
      <c r="E2772" t="s">
        <v>144</v>
      </c>
      <c r="F2772">
        <v>667.58</v>
      </c>
    </row>
    <row r="2773" spans="3:6" x14ac:dyDescent="0.25">
      <c r="C2773" t="s">
        <v>106</v>
      </c>
      <c r="D2773">
        <v>2027</v>
      </c>
      <c r="E2773" t="s">
        <v>145</v>
      </c>
      <c r="F2773">
        <v>253.88</v>
      </c>
    </row>
    <row r="2774" spans="3:6" x14ac:dyDescent="0.25">
      <c r="C2774" t="s">
        <v>106</v>
      </c>
      <c r="D2774">
        <v>2028</v>
      </c>
      <c r="E2774" t="s">
        <v>147</v>
      </c>
      <c r="F2774">
        <v>505.09</v>
      </c>
    </row>
    <row r="2775" spans="3:6" x14ac:dyDescent="0.25">
      <c r="C2775" t="s">
        <v>106</v>
      </c>
      <c r="D2775">
        <v>2028</v>
      </c>
      <c r="E2775" t="s">
        <v>148</v>
      </c>
      <c r="F2775">
        <v>1417.56</v>
      </c>
    </row>
    <row r="2776" spans="3:6" x14ac:dyDescent="0.25">
      <c r="C2776" t="s">
        <v>106</v>
      </c>
      <c r="D2776">
        <v>2028</v>
      </c>
      <c r="E2776" t="s">
        <v>146</v>
      </c>
      <c r="F2776">
        <v>1780.34</v>
      </c>
    </row>
    <row r="2777" spans="3:6" x14ac:dyDescent="0.25">
      <c r="C2777" t="s">
        <v>106</v>
      </c>
      <c r="D2777">
        <v>2028</v>
      </c>
      <c r="E2777" t="s">
        <v>142</v>
      </c>
      <c r="F2777">
        <v>588.16999999999996</v>
      </c>
    </row>
    <row r="2778" spans="3:6" x14ac:dyDescent="0.25">
      <c r="C2778" t="s">
        <v>106</v>
      </c>
      <c r="D2778">
        <v>2028</v>
      </c>
      <c r="E2778" t="s">
        <v>143</v>
      </c>
      <c r="F2778">
        <v>2187.69</v>
      </c>
    </row>
    <row r="2779" spans="3:6" x14ac:dyDescent="0.25">
      <c r="C2779" t="s">
        <v>106</v>
      </c>
      <c r="D2779">
        <v>2028</v>
      </c>
      <c r="E2779" t="s">
        <v>144</v>
      </c>
      <c r="F2779">
        <v>681.97</v>
      </c>
    </row>
    <row r="2780" spans="3:6" x14ac:dyDescent="0.25">
      <c r="C2780" t="s">
        <v>106</v>
      </c>
      <c r="D2780">
        <v>2028</v>
      </c>
      <c r="E2780" t="s">
        <v>145</v>
      </c>
      <c r="F2780">
        <v>252.96</v>
      </c>
    </row>
    <row r="2781" spans="3:6" x14ac:dyDescent="0.25">
      <c r="C2781" t="s">
        <v>106</v>
      </c>
      <c r="D2781">
        <v>2029</v>
      </c>
      <c r="E2781" t="s">
        <v>147</v>
      </c>
      <c r="F2781">
        <v>506.15</v>
      </c>
    </row>
    <row r="2782" spans="3:6" x14ac:dyDescent="0.25">
      <c r="C2782" t="s">
        <v>106</v>
      </c>
      <c r="D2782">
        <v>2029</v>
      </c>
      <c r="E2782" t="s">
        <v>148</v>
      </c>
      <c r="F2782">
        <v>1419.69</v>
      </c>
    </row>
    <row r="2783" spans="3:6" x14ac:dyDescent="0.25">
      <c r="C2783" t="s">
        <v>106</v>
      </c>
      <c r="D2783">
        <v>2029</v>
      </c>
      <c r="E2783" t="s">
        <v>146</v>
      </c>
      <c r="F2783">
        <v>1802.06</v>
      </c>
    </row>
    <row r="2784" spans="3:6" x14ac:dyDescent="0.25">
      <c r="C2784" t="s">
        <v>106</v>
      </c>
      <c r="D2784">
        <v>2029</v>
      </c>
      <c r="E2784" t="s">
        <v>142</v>
      </c>
      <c r="F2784">
        <v>594.16</v>
      </c>
    </row>
    <row r="2785" spans="3:6" x14ac:dyDescent="0.25">
      <c r="C2785" t="s">
        <v>106</v>
      </c>
      <c r="D2785">
        <v>2029</v>
      </c>
      <c r="E2785" t="s">
        <v>143</v>
      </c>
      <c r="F2785">
        <v>2204.85</v>
      </c>
    </row>
    <row r="2786" spans="3:6" x14ac:dyDescent="0.25">
      <c r="C2786" t="s">
        <v>106</v>
      </c>
      <c r="D2786">
        <v>2029</v>
      </c>
      <c r="E2786" t="s">
        <v>144</v>
      </c>
      <c r="F2786">
        <v>697.21</v>
      </c>
    </row>
    <row r="2787" spans="3:6" x14ac:dyDescent="0.25">
      <c r="C2787" t="s">
        <v>106</v>
      </c>
      <c r="D2787">
        <v>2029</v>
      </c>
      <c r="E2787" t="s">
        <v>145</v>
      </c>
      <c r="F2787">
        <v>251.84</v>
      </c>
    </row>
    <row r="2788" spans="3:6" x14ac:dyDescent="0.25">
      <c r="C2788" t="s">
        <v>106</v>
      </c>
      <c r="D2788">
        <v>2030</v>
      </c>
      <c r="E2788" t="s">
        <v>147</v>
      </c>
      <c r="F2788">
        <v>507.06</v>
      </c>
    </row>
    <row r="2789" spans="3:6" x14ac:dyDescent="0.25">
      <c r="C2789" t="s">
        <v>106</v>
      </c>
      <c r="D2789">
        <v>2030</v>
      </c>
      <c r="E2789" t="s">
        <v>148</v>
      </c>
      <c r="F2789">
        <v>1421.01</v>
      </c>
    </row>
    <row r="2790" spans="3:6" x14ac:dyDescent="0.25">
      <c r="C2790" t="s">
        <v>106</v>
      </c>
      <c r="D2790">
        <v>2030</v>
      </c>
      <c r="E2790" t="s">
        <v>146</v>
      </c>
      <c r="F2790">
        <v>1824.18</v>
      </c>
    </row>
    <row r="2791" spans="3:6" x14ac:dyDescent="0.25">
      <c r="C2791" t="s">
        <v>106</v>
      </c>
      <c r="D2791">
        <v>2030</v>
      </c>
      <c r="E2791" t="s">
        <v>142</v>
      </c>
      <c r="F2791">
        <v>601.04</v>
      </c>
    </row>
    <row r="2792" spans="3:6" x14ac:dyDescent="0.25">
      <c r="C2792" t="s">
        <v>106</v>
      </c>
      <c r="D2792">
        <v>2030</v>
      </c>
      <c r="E2792" t="s">
        <v>143</v>
      </c>
      <c r="F2792">
        <v>2223.39</v>
      </c>
    </row>
    <row r="2793" spans="3:6" x14ac:dyDescent="0.25">
      <c r="C2793" t="s">
        <v>106</v>
      </c>
      <c r="D2793">
        <v>2030</v>
      </c>
      <c r="E2793" t="s">
        <v>144</v>
      </c>
      <c r="F2793">
        <v>711.96</v>
      </c>
    </row>
    <row r="2794" spans="3:6" x14ac:dyDescent="0.25">
      <c r="C2794" t="s">
        <v>106</v>
      </c>
      <c r="D2794">
        <v>2030</v>
      </c>
      <c r="E2794" t="s">
        <v>145</v>
      </c>
      <c r="F2794">
        <v>250.48</v>
      </c>
    </row>
    <row r="2795" spans="3:6" x14ac:dyDescent="0.25">
      <c r="C2795" t="s">
        <v>106</v>
      </c>
      <c r="D2795">
        <v>2031</v>
      </c>
      <c r="E2795" t="s">
        <v>147</v>
      </c>
      <c r="F2795">
        <v>507.59</v>
      </c>
    </row>
    <row r="2796" spans="3:6" x14ac:dyDescent="0.25">
      <c r="C2796" t="s">
        <v>106</v>
      </c>
      <c r="D2796">
        <v>2031</v>
      </c>
      <c r="E2796" t="s">
        <v>148</v>
      </c>
      <c r="F2796">
        <v>1420.76</v>
      </c>
    </row>
    <row r="2797" spans="3:6" x14ac:dyDescent="0.25">
      <c r="C2797" t="s">
        <v>106</v>
      </c>
      <c r="D2797">
        <v>2031</v>
      </c>
      <c r="E2797" t="s">
        <v>146</v>
      </c>
      <c r="F2797">
        <v>1847.57</v>
      </c>
    </row>
    <row r="2798" spans="3:6" x14ac:dyDescent="0.25">
      <c r="C2798" t="s">
        <v>106</v>
      </c>
      <c r="D2798">
        <v>2031</v>
      </c>
      <c r="E2798" t="s">
        <v>142</v>
      </c>
      <c r="F2798">
        <v>604.51</v>
      </c>
    </row>
    <row r="2799" spans="3:6" x14ac:dyDescent="0.25">
      <c r="C2799" t="s">
        <v>106</v>
      </c>
      <c r="D2799">
        <v>2031</v>
      </c>
      <c r="E2799" t="s">
        <v>143</v>
      </c>
      <c r="F2799">
        <v>2240.44</v>
      </c>
    </row>
    <row r="2800" spans="3:6" x14ac:dyDescent="0.25">
      <c r="C2800" t="s">
        <v>106</v>
      </c>
      <c r="D2800">
        <v>2031</v>
      </c>
      <c r="E2800" t="s">
        <v>144</v>
      </c>
      <c r="F2800">
        <v>722.42</v>
      </c>
    </row>
    <row r="2801" spans="3:6" x14ac:dyDescent="0.25">
      <c r="C2801" t="s">
        <v>106</v>
      </c>
      <c r="D2801">
        <v>2031</v>
      </c>
      <c r="E2801" t="s">
        <v>145</v>
      </c>
      <c r="F2801">
        <v>250</v>
      </c>
    </row>
    <row r="2802" spans="3:6" x14ac:dyDescent="0.25">
      <c r="C2802" t="s">
        <v>106</v>
      </c>
      <c r="D2802">
        <v>2032</v>
      </c>
      <c r="E2802" t="s">
        <v>147</v>
      </c>
      <c r="F2802">
        <v>507.99</v>
      </c>
    </row>
    <row r="2803" spans="3:6" x14ac:dyDescent="0.25">
      <c r="C2803" t="s">
        <v>106</v>
      </c>
      <c r="D2803">
        <v>2032</v>
      </c>
      <c r="E2803" t="s">
        <v>148</v>
      </c>
      <c r="F2803">
        <v>1420</v>
      </c>
    </row>
    <row r="2804" spans="3:6" x14ac:dyDescent="0.25">
      <c r="C2804" t="s">
        <v>106</v>
      </c>
      <c r="D2804">
        <v>2032</v>
      </c>
      <c r="E2804" t="s">
        <v>146</v>
      </c>
      <c r="F2804">
        <v>1868.96</v>
      </c>
    </row>
    <row r="2805" spans="3:6" x14ac:dyDescent="0.25">
      <c r="C2805" t="s">
        <v>106</v>
      </c>
      <c r="D2805">
        <v>2032</v>
      </c>
      <c r="E2805" t="s">
        <v>142</v>
      </c>
      <c r="F2805">
        <v>609.04999999999995</v>
      </c>
    </row>
    <row r="2806" spans="3:6" x14ac:dyDescent="0.25">
      <c r="C2806" t="s">
        <v>106</v>
      </c>
      <c r="D2806">
        <v>2032</v>
      </c>
      <c r="E2806" t="s">
        <v>143</v>
      </c>
      <c r="F2806">
        <v>2255.7199999999998</v>
      </c>
    </row>
    <row r="2807" spans="3:6" x14ac:dyDescent="0.25">
      <c r="C2807" t="s">
        <v>106</v>
      </c>
      <c r="D2807">
        <v>2032</v>
      </c>
      <c r="E2807" t="s">
        <v>144</v>
      </c>
      <c r="F2807">
        <v>733.77</v>
      </c>
    </row>
    <row r="2808" spans="3:6" x14ac:dyDescent="0.25">
      <c r="C2808" t="s">
        <v>106</v>
      </c>
      <c r="D2808">
        <v>2032</v>
      </c>
      <c r="E2808" t="s">
        <v>145</v>
      </c>
      <c r="F2808">
        <v>248.16</v>
      </c>
    </row>
    <row r="2809" spans="3:6" x14ac:dyDescent="0.25">
      <c r="C2809" t="s">
        <v>106</v>
      </c>
      <c r="D2809">
        <v>2033</v>
      </c>
      <c r="E2809" t="s">
        <v>147</v>
      </c>
      <c r="F2809">
        <v>508.26</v>
      </c>
    </row>
    <row r="2810" spans="3:6" x14ac:dyDescent="0.25">
      <c r="C2810" t="s">
        <v>106</v>
      </c>
      <c r="D2810">
        <v>2033</v>
      </c>
      <c r="E2810" t="s">
        <v>148</v>
      </c>
      <c r="F2810">
        <v>1418.85</v>
      </c>
    </row>
    <row r="2811" spans="3:6" x14ac:dyDescent="0.25">
      <c r="C2811" t="s">
        <v>106</v>
      </c>
      <c r="D2811">
        <v>2033</v>
      </c>
      <c r="E2811" t="s">
        <v>146</v>
      </c>
      <c r="F2811">
        <v>1887.82</v>
      </c>
    </row>
    <row r="2812" spans="3:6" x14ac:dyDescent="0.25">
      <c r="C2812" t="s">
        <v>106</v>
      </c>
      <c r="D2812">
        <v>2033</v>
      </c>
      <c r="E2812" t="s">
        <v>142</v>
      </c>
      <c r="F2812">
        <v>613.85</v>
      </c>
    </row>
    <row r="2813" spans="3:6" x14ac:dyDescent="0.25">
      <c r="C2813" t="s">
        <v>106</v>
      </c>
      <c r="D2813">
        <v>2033</v>
      </c>
      <c r="E2813" t="s">
        <v>143</v>
      </c>
      <c r="F2813">
        <v>2269.19</v>
      </c>
    </row>
    <row r="2814" spans="3:6" x14ac:dyDescent="0.25">
      <c r="C2814" t="s">
        <v>106</v>
      </c>
      <c r="D2814">
        <v>2033</v>
      </c>
      <c r="E2814" t="s">
        <v>144</v>
      </c>
      <c r="F2814">
        <v>745.67</v>
      </c>
    </row>
    <row r="2815" spans="3:6" x14ac:dyDescent="0.25">
      <c r="C2815" t="s">
        <v>106</v>
      </c>
      <c r="D2815">
        <v>2033</v>
      </c>
      <c r="E2815" t="s">
        <v>145</v>
      </c>
      <c r="F2815">
        <v>245.96</v>
      </c>
    </row>
    <row r="2816" spans="3:6" x14ac:dyDescent="0.25">
      <c r="C2816" t="s">
        <v>106</v>
      </c>
      <c r="D2816">
        <v>2034</v>
      </c>
      <c r="E2816" t="s">
        <v>147</v>
      </c>
      <c r="F2816">
        <v>508.83</v>
      </c>
    </row>
    <row r="2817" spans="3:6" x14ac:dyDescent="0.25">
      <c r="C2817" t="s">
        <v>106</v>
      </c>
      <c r="D2817">
        <v>2034</v>
      </c>
      <c r="E2817" t="s">
        <v>148</v>
      </c>
      <c r="F2817">
        <v>1418.81</v>
      </c>
    </row>
    <row r="2818" spans="3:6" x14ac:dyDescent="0.25">
      <c r="C2818" t="s">
        <v>106</v>
      </c>
      <c r="D2818">
        <v>2034</v>
      </c>
      <c r="E2818" t="s">
        <v>146</v>
      </c>
      <c r="F2818">
        <v>1908.46</v>
      </c>
    </row>
    <row r="2819" spans="3:6" x14ac:dyDescent="0.25">
      <c r="C2819" t="s">
        <v>106</v>
      </c>
      <c r="D2819">
        <v>2034</v>
      </c>
      <c r="E2819" t="s">
        <v>142</v>
      </c>
      <c r="F2819">
        <v>618.30999999999995</v>
      </c>
    </row>
    <row r="2820" spans="3:6" x14ac:dyDescent="0.25">
      <c r="C2820" t="s">
        <v>106</v>
      </c>
      <c r="D2820">
        <v>2034</v>
      </c>
      <c r="E2820" t="s">
        <v>143</v>
      </c>
      <c r="F2820">
        <v>2281.2800000000002</v>
      </c>
    </row>
    <row r="2821" spans="3:6" x14ac:dyDescent="0.25">
      <c r="C2821" t="s">
        <v>106</v>
      </c>
      <c r="D2821">
        <v>2034</v>
      </c>
      <c r="E2821" t="s">
        <v>144</v>
      </c>
      <c r="F2821">
        <v>757.53</v>
      </c>
    </row>
    <row r="2822" spans="3:6" x14ac:dyDescent="0.25">
      <c r="C2822" t="s">
        <v>106</v>
      </c>
      <c r="D2822">
        <v>2034</v>
      </c>
      <c r="E2822" t="s">
        <v>145</v>
      </c>
      <c r="F2822">
        <v>243.58</v>
      </c>
    </row>
    <row r="2823" spans="3:6" x14ac:dyDescent="0.25">
      <c r="C2823" t="s">
        <v>106</v>
      </c>
      <c r="D2823">
        <v>2035</v>
      </c>
      <c r="E2823" t="s">
        <v>147</v>
      </c>
      <c r="F2823">
        <v>509.51</v>
      </c>
    </row>
    <row r="2824" spans="3:6" x14ac:dyDescent="0.25">
      <c r="C2824" t="s">
        <v>106</v>
      </c>
      <c r="D2824">
        <v>2035</v>
      </c>
      <c r="E2824" t="s">
        <v>148</v>
      </c>
      <c r="F2824">
        <v>1419.19</v>
      </c>
    </row>
    <row r="2825" spans="3:6" x14ac:dyDescent="0.25">
      <c r="C2825" t="s">
        <v>106</v>
      </c>
      <c r="D2825">
        <v>2035</v>
      </c>
      <c r="E2825" t="s">
        <v>146</v>
      </c>
      <c r="F2825">
        <v>1929.67</v>
      </c>
    </row>
    <row r="2826" spans="3:6" x14ac:dyDescent="0.25">
      <c r="C2826" t="s">
        <v>106</v>
      </c>
      <c r="D2826">
        <v>2035</v>
      </c>
      <c r="E2826" t="s">
        <v>142</v>
      </c>
      <c r="F2826">
        <v>622.32000000000005</v>
      </c>
    </row>
    <row r="2827" spans="3:6" x14ac:dyDescent="0.25">
      <c r="C2827" t="s">
        <v>106</v>
      </c>
      <c r="D2827">
        <v>2035</v>
      </c>
      <c r="E2827" t="s">
        <v>143</v>
      </c>
      <c r="F2827">
        <v>2299.9299999999998</v>
      </c>
    </row>
    <row r="2828" spans="3:6" x14ac:dyDescent="0.25">
      <c r="C2828" t="s">
        <v>106</v>
      </c>
      <c r="D2828">
        <v>2035</v>
      </c>
      <c r="E2828" t="s">
        <v>144</v>
      </c>
      <c r="F2828">
        <v>768.98</v>
      </c>
    </row>
    <row r="2829" spans="3:6" x14ac:dyDescent="0.25">
      <c r="C2829" t="s">
        <v>106</v>
      </c>
      <c r="D2829">
        <v>2035</v>
      </c>
      <c r="E2829" t="s">
        <v>145</v>
      </c>
      <c r="F2829">
        <v>242.37</v>
      </c>
    </row>
    <row r="2830" spans="3:6" x14ac:dyDescent="0.25">
      <c r="C2830" t="s">
        <v>106</v>
      </c>
      <c r="D2830">
        <v>2036</v>
      </c>
      <c r="E2830" t="s">
        <v>147</v>
      </c>
      <c r="F2830">
        <v>509.86</v>
      </c>
    </row>
    <row r="2831" spans="3:6" x14ac:dyDescent="0.25">
      <c r="C2831" t="s">
        <v>106</v>
      </c>
      <c r="D2831">
        <v>2036</v>
      </c>
      <c r="E2831" t="s">
        <v>148</v>
      </c>
      <c r="F2831">
        <v>1418.57</v>
      </c>
    </row>
    <row r="2832" spans="3:6" x14ac:dyDescent="0.25">
      <c r="C2832" t="s">
        <v>106</v>
      </c>
      <c r="D2832">
        <v>2036</v>
      </c>
      <c r="E2832" t="s">
        <v>146</v>
      </c>
      <c r="F2832">
        <v>1948.47</v>
      </c>
    </row>
    <row r="2833" spans="3:6" x14ac:dyDescent="0.25">
      <c r="C2833" t="s">
        <v>106</v>
      </c>
      <c r="D2833">
        <v>2036</v>
      </c>
      <c r="E2833" t="s">
        <v>142</v>
      </c>
      <c r="F2833">
        <v>627.47</v>
      </c>
    </row>
    <row r="2834" spans="3:6" x14ac:dyDescent="0.25">
      <c r="C2834" t="s">
        <v>106</v>
      </c>
      <c r="D2834">
        <v>2036</v>
      </c>
      <c r="E2834" t="s">
        <v>143</v>
      </c>
      <c r="F2834">
        <v>2315.21</v>
      </c>
    </row>
    <row r="2835" spans="3:6" x14ac:dyDescent="0.25">
      <c r="C2835" t="s">
        <v>106</v>
      </c>
      <c r="D2835">
        <v>2036</v>
      </c>
      <c r="E2835" t="s">
        <v>144</v>
      </c>
      <c r="F2835">
        <v>781.59</v>
      </c>
    </row>
    <row r="2836" spans="3:6" x14ac:dyDescent="0.25">
      <c r="C2836" t="s">
        <v>106</v>
      </c>
      <c r="D2836">
        <v>2036</v>
      </c>
      <c r="E2836" t="s">
        <v>145</v>
      </c>
      <c r="F2836">
        <v>239.71</v>
      </c>
    </row>
    <row r="2837" spans="3:6" x14ac:dyDescent="0.25">
      <c r="C2837" t="s">
        <v>106</v>
      </c>
      <c r="D2837">
        <v>2037</v>
      </c>
      <c r="E2837" t="s">
        <v>147</v>
      </c>
      <c r="F2837">
        <v>509.94</v>
      </c>
    </row>
    <row r="2838" spans="3:6" x14ac:dyDescent="0.25">
      <c r="C2838" t="s">
        <v>106</v>
      </c>
      <c r="D2838">
        <v>2037</v>
      </c>
      <c r="E2838" t="s">
        <v>148</v>
      </c>
      <c r="F2838">
        <v>1417.1</v>
      </c>
    </row>
    <row r="2839" spans="3:6" x14ac:dyDescent="0.25">
      <c r="C2839" t="s">
        <v>106</v>
      </c>
      <c r="D2839">
        <v>2037</v>
      </c>
      <c r="E2839" t="s">
        <v>146</v>
      </c>
      <c r="F2839">
        <v>1965.23</v>
      </c>
    </row>
    <row r="2840" spans="3:6" x14ac:dyDescent="0.25">
      <c r="C2840" t="s">
        <v>106</v>
      </c>
      <c r="D2840">
        <v>2037</v>
      </c>
      <c r="E2840" t="s">
        <v>142</v>
      </c>
      <c r="F2840">
        <v>632.38</v>
      </c>
    </row>
    <row r="2841" spans="3:6" x14ac:dyDescent="0.25">
      <c r="C2841" t="s">
        <v>106</v>
      </c>
      <c r="D2841">
        <v>2037</v>
      </c>
      <c r="E2841" t="s">
        <v>143</v>
      </c>
      <c r="F2841">
        <v>2330.9</v>
      </c>
    </row>
    <row r="2842" spans="3:6" x14ac:dyDescent="0.25">
      <c r="C2842" t="s">
        <v>106</v>
      </c>
      <c r="D2842">
        <v>2037</v>
      </c>
      <c r="E2842" t="s">
        <v>144</v>
      </c>
      <c r="F2842">
        <v>793.91</v>
      </c>
    </row>
    <row r="2843" spans="3:6" x14ac:dyDescent="0.25">
      <c r="C2843" t="s">
        <v>106</v>
      </c>
      <c r="D2843">
        <v>2037</v>
      </c>
      <c r="E2843" t="s">
        <v>145</v>
      </c>
      <c r="F2843">
        <v>236.94</v>
      </c>
    </row>
    <row r="2844" spans="3:6" x14ac:dyDescent="0.25">
      <c r="C2844" t="s">
        <v>106</v>
      </c>
      <c r="D2844">
        <v>2038</v>
      </c>
      <c r="E2844" t="s">
        <v>147</v>
      </c>
      <c r="F2844">
        <v>510.23</v>
      </c>
    </row>
    <row r="2845" spans="3:6" x14ac:dyDescent="0.25">
      <c r="C2845" t="s">
        <v>106</v>
      </c>
      <c r="D2845">
        <v>2038</v>
      </c>
      <c r="E2845" t="s">
        <v>148</v>
      </c>
      <c r="F2845">
        <v>1416.42</v>
      </c>
    </row>
    <row r="2846" spans="3:6" x14ac:dyDescent="0.25">
      <c r="C2846" t="s">
        <v>106</v>
      </c>
      <c r="D2846">
        <v>2038</v>
      </c>
      <c r="E2846" t="s">
        <v>146</v>
      </c>
      <c r="F2846">
        <v>1980.65</v>
      </c>
    </row>
    <row r="2847" spans="3:6" x14ac:dyDescent="0.25">
      <c r="C2847" t="s">
        <v>106</v>
      </c>
      <c r="D2847">
        <v>2038</v>
      </c>
      <c r="E2847" t="s">
        <v>142</v>
      </c>
      <c r="F2847">
        <v>637.05999999999995</v>
      </c>
    </row>
    <row r="2848" spans="3:6" x14ac:dyDescent="0.25">
      <c r="C2848" t="s">
        <v>106</v>
      </c>
      <c r="D2848">
        <v>2038</v>
      </c>
      <c r="E2848" t="s">
        <v>143</v>
      </c>
      <c r="F2848">
        <v>2342.19</v>
      </c>
    </row>
    <row r="2849" spans="3:6" x14ac:dyDescent="0.25">
      <c r="C2849" t="s">
        <v>106</v>
      </c>
      <c r="D2849">
        <v>2038</v>
      </c>
      <c r="E2849" t="s">
        <v>144</v>
      </c>
      <c r="F2849">
        <v>805.86</v>
      </c>
    </row>
    <row r="2850" spans="3:6" x14ac:dyDescent="0.25">
      <c r="C2850" t="s">
        <v>106</v>
      </c>
      <c r="D2850">
        <v>2038</v>
      </c>
      <c r="E2850" t="s">
        <v>145</v>
      </c>
      <c r="F2850">
        <v>235.48</v>
      </c>
    </row>
    <row r="2851" spans="3:6" x14ac:dyDescent="0.25">
      <c r="C2851" t="s">
        <v>106</v>
      </c>
      <c r="D2851">
        <v>2039</v>
      </c>
      <c r="E2851" t="s">
        <v>147</v>
      </c>
      <c r="F2851">
        <v>510.17</v>
      </c>
    </row>
    <row r="2852" spans="3:6" x14ac:dyDescent="0.25">
      <c r="C2852" t="s">
        <v>106</v>
      </c>
      <c r="D2852">
        <v>2039</v>
      </c>
      <c r="E2852" t="s">
        <v>148</v>
      </c>
      <c r="F2852">
        <v>1414.57</v>
      </c>
    </row>
    <row r="2853" spans="3:6" x14ac:dyDescent="0.25">
      <c r="C2853" t="s">
        <v>106</v>
      </c>
      <c r="D2853">
        <v>2039</v>
      </c>
      <c r="E2853" t="s">
        <v>146</v>
      </c>
      <c r="F2853">
        <v>1994.88</v>
      </c>
    </row>
    <row r="2854" spans="3:6" x14ac:dyDescent="0.25">
      <c r="C2854" t="s">
        <v>106</v>
      </c>
      <c r="D2854">
        <v>2039</v>
      </c>
      <c r="E2854" t="s">
        <v>142</v>
      </c>
      <c r="F2854">
        <v>641.54</v>
      </c>
    </row>
    <row r="2855" spans="3:6" x14ac:dyDescent="0.25">
      <c r="C2855" t="s">
        <v>106</v>
      </c>
      <c r="D2855">
        <v>2039</v>
      </c>
      <c r="E2855" t="s">
        <v>143</v>
      </c>
      <c r="F2855">
        <v>2354.83</v>
      </c>
    </row>
    <row r="2856" spans="3:6" x14ac:dyDescent="0.25">
      <c r="C2856" t="s">
        <v>106</v>
      </c>
      <c r="D2856">
        <v>2039</v>
      </c>
      <c r="E2856" t="s">
        <v>144</v>
      </c>
      <c r="F2856">
        <v>817.35</v>
      </c>
    </row>
    <row r="2857" spans="3:6" x14ac:dyDescent="0.25">
      <c r="C2857" t="s">
        <v>106</v>
      </c>
      <c r="D2857">
        <v>2039</v>
      </c>
      <c r="E2857" t="s">
        <v>145</v>
      </c>
      <c r="F2857">
        <v>232.39</v>
      </c>
    </row>
    <row r="2858" spans="3:6" x14ac:dyDescent="0.25">
      <c r="C2858" t="s">
        <v>106</v>
      </c>
      <c r="D2858">
        <v>2040</v>
      </c>
      <c r="E2858" t="s">
        <v>147</v>
      </c>
      <c r="F2858">
        <v>510.26</v>
      </c>
    </row>
    <row r="2859" spans="3:6" x14ac:dyDescent="0.25">
      <c r="C2859" t="s">
        <v>106</v>
      </c>
      <c r="D2859">
        <v>2040</v>
      </c>
      <c r="E2859" t="s">
        <v>148</v>
      </c>
      <c r="F2859">
        <v>1413.35</v>
      </c>
    </row>
    <row r="2860" spans="3:6" x14ac:dyDescent="0.25">
      <c r="C2860" t="s">
        <v>106</v>
      </c>
      <c r="D2860">
        <v>2040</v>
      </c>
      <c r="E2860" t="s">
        <v>146</v>
      </c>
      <c r="F2860">
        <v>2007.7</v>
      </c>
    </row>
    <row r="2861" spans="3:6" x14ac:dyDescent="0.25">
      <c r="C2861" t="s">
        <v>106</v>
      </c>
      <c r="D2861">
        <v>2040</v>
      </c>
      <c r="E2861" t="s">
        <v>142</v>
      </c>
      <c r="F2861">
        <v>645.9</v>
      </c>
    </row>
    <row r="2862" spans="3:6" x14ac:dyDescent="0.25">
      <c r="C2862" t="s">
        <v>106</v>
      </c>
      <c r="D2862">
        <v>2040</v>
      </c>
      <c r="E2862" t="s">
        <v>143</v>
      </c>
      <c r="F2862">
        <v>2363.27</v>
      </c>
    </row>
    <row r="2863" spans="3:6" x14ac:dyDescent="0.25">
      <c r="C2863" t="s">
        <v>106</v>
      </c>
      <c r="D2863">
        <v>2040</v>
      </c>
      <c r="E2863" t="s">
        <v>144</v>
      </c>
      <c r="F2863">
        <v>829.01</v>
      </c>
    </row>
    <row r="2864" spans="3:6" x14ac:dyDescent="0.25">
      <c r="C2864" t="s">
        <v>106</v>
      </c>
      <c r="D2864">
        <v>2040</v>
      </c>
      <c r="E2864" t="s">
        <v>145</v>
      </c>
      <c r="F2864">
        <v>230.88</v>
      </c>
    </row>
    <row r="2865" spans="3:6" x14ac:dyDescent="0.25">
      <c r="C2865" t="s">
        <v>106</v>
      </c>
      <c r="D2865">
        <v>2041</v>
      </c>
      <c r="E2865" t="s">
        <v>147</v>
      </c>
      <c r="F2865">
        <v>510.45</v>
      </c>
    </row>
    <row r="2866" spans="3:6" x14ac:dyDescent="0.25">
      <c r="C2866" t="s">
        <v>106</v>
      </c>
      <c r="D2866">
        <v>2041</v>
      </c>
      <c r="E2866" t="s">
        <v>148</v>
      </c>
      <c r="F2866">
        <v>1412.46</v>
      </c>
    </row>
    <row r="2867" spans="3:6" x14ac:dyDescent="0.25">
      <c r="C2867" t="s">
        <v>106</v>
      </c>
      <c r="D2867">
        <v>2041</v>
      </c>
      <c r="E2867" t="s">
        <v>146</v>
      </c>
      <c r="F2867">
        <v>2020.89</v>
      </c>
    </row>
    <row r="2868" spans="3:6" x14ac:dyDescent="0.25">
      <c r="C2868" t="s">
        <v>106</v>
      </c>
      <c r="D2868">
        <v>2041</v>
      </c>
      <c r="E2868" t="s">
        <v>142</v>
      </c>
      <c r="F2868">
        <v>648.63</v>
      </c>
    </row>
    <row r="2869" spans="3:6" x14ac:dyDescent="0.25">
      <c r="C2869" t="s">
        <v>106</v>
      </c>
      <c r="D2869">
        <v>2041</v>
      </c>
      <c r="E2869" t="s">
        <v>143</v>
      </c>
      <c r="F2869">
        <v>2372.35</v>
      </c>
    </row>
    <row r="2870" spans="3:6" x14ac:dyDescent="0.25">
      <c r="C2870" t="s">
        <v>106</v>
      </c>
      <c r="D2870">
        <v>2041</v>
      </c>
      <c r="E2870" t="s">
        <v>144</v>
      </c>
      <c r="F2870">
        <v>838.85</v>
      </c>
    </row>
    <row r="2871" spans="3:6" x14ac:dyDescent="0.25">
      <c r="C2871" t="s">
        <v>106</v>
      </c>
      <c r="D2871">
        <v>2041</v>
      </c>
      <c r="E2871" t="s">
        <v>145</v>
      </c>
      <c r="F2871">
        <v>228.74</v>
      </c>
    </row>
    <row r="2872" spans="3:6" x14ac:dyDescent="0.25">
      <c r="C2872" t="s">
        <v>106</v>
      </c>
      <c r="D2872">
        <v>2042</v>
      </c>
      <c r="E2872" t="s">
        <v>147</v>
      </c>
      <c r="F2872">
        <v>510.49</v>
      </c>
    </row>
    <row r="2873" spans="3:6" x14ac:dyDescent="0.25">
      <c r="C2873" t="s">
        <v>106</v>
      </c>
      <c r="D2873">
        <v>2042</v>
      </c>
      <c r="E2873" t="s">
        <v>148</v>
      </c>
      <c r="F2873">
        <v>1411.12</v>
      </c>
    </row>
    <row r="2874" spans="3:6" x14ac:dyDescent="0.25">
      <c r="C2874" t="s">
        <v>106</v>
      </c>
      <c r="D2874">
        <v>2042</v>
      </c>
      <c r="E2874" t="s">
        <v>146</v>
      </c>
      <c r="F2874">
        <v>2032.34</v>
      </c>
    </row>
    <row r="2875" spans="3:6" x14ac:dyDescent="0.25">
      <c r="C2875" t="s">
        <v>106</v>
      </c>
      <c r="D2875">
        <v>2042</v>
      </c>
      <c r="E2875" t="s">
        <v>142</v>
      </c>
      <c r="F2875">
        <v>651.09</v>
      </c>
    </row>
    <row r="2876" spans="3:6" x14ac:dyDescent="0.25">
      <c r="C2876" t="s">
        <v>106</v>
      </c>
      <c r="D2876">
        <v>2042</v>
      </c>
      <c r="E2876" t="s">
        <v>143</v>
      </c>
      <c r="F2876">
        <v>2381.14</v>
      </c>
    </row>
    <row r="2877" spans="3:6" x14ac:dyDescent="0.25">
      <c r="C2877" t="s">
        <v>106</v>
      </c>
      <c r="D2877">
        <v>2042</v>
      </c>
      <c r="E2877" t="s">
        <v>144</v>
      </c>
      <c r="F2877">
        <v>848.25</v>
      </c>
    </row>
    <row r="2878" spans="3:6" x14ac:dyDescent="0.25">
      <c r="C2878" t="s">
        <v>106</v>
      </c>
      <c r="D2878">
        <v>2042</v>
      </c>
      <c r="E2878" t="s">
        <v>145</v>
      </c>
      <c r="F2878">
        <v>226.45</v>
      </c>
    </row>
    <row r="2879" spans="3:6" x14ac:dyDescent="0.25">
      <c r="C2879" t="s">
        <v>106</v>
      </c>
      <c r="D2879">
        <v>2043</v>
      </c>
      <c r="E2879" t="s">
        <v>147</v>
      </c>
      <c r="F2879">
        <v>510.35</v>
      </c>
    </row>
    <row r="2880" spans="3:6" x14ac:dyDescent="0.25">
      <c r="C2880" t="s">
        <v>106</v>
      </c>
      <c r="D2880">
        <v>2043</v>
      </c>
      <c r="E2880" t="s">
        <v>148</v>
      </c>
      <c r="F2880">
        <v>1409.21</v>
      </c>
    </row>
    <row r="2881" spans="3:6" x14ac:dyDescent="0.25">
      <c r="C2881" t="s">
        <v>106</v>
      </c>
      <c r="D2881">
        <v>2043</v>
      </c>
      <c r="E2881" t="s">
        <v>146</v>
      </c>
      <c r="F2881">
        <v>2042.99</v>
      </c>
    </row>
    <row r="2882" spans="3:6" x14ac:dyDescent="0.25">
      <c r="C2882" t="s">
        <v>106</v>
      </c>
      <c r="D2882">
        <v>2043</v>
      </c>
      <c r="E2882" t="s">
        <v>142</v>
      </c>
      <c r="F2882">
        <v>653.39</v>
      </c>
    </row>
    <row r="2883" spans="3:6" x14ac:dyDescent="0.25">
      <c r="C2883" t="s">
        <v>106</v>
      </c>
      <c r="D2883">
        <v>2043</v>
      </c>
      <c r="E2883" t="s">
        <v>143</v>
      </c>
      <c r="F2883">
        <v>2389.56</v>
      </c>
    </row>
    <row r="2884" spans="3:6" x14ac:dyDescent="0.25">
      <c r="C2884" t="s">
        <v>106</v>
      </c>
      <c r="D2884">
        <v>2043</v>
      </c>
      <c r="E2884" t="s">
        <v>144</v>
      </c>
      <c r="F2884">
        <v>857.66</v>
      </c>
    </row>
    <row r="2885" spans="3:6" x14ac:dyDescent="0.25">
      <c r="C2885" t="s">
        <v>106</v>
      </c>
      <c r="D2885">
        <v>2043</v>
      </c>
      <c r="E2885" t="s">
        <v>145</v>
      </c>
      <c r="F2885">
        <v>224.28</v>
      </c>
    </row>
    <row r="2886" spans="3:6" x14ac:dyDescent="0.25">
      <c r="C2886" t="s">
        <v>106</v>
      </c>
      <c r="D2886">
        <v>2044</v>
      </c>
      <c r="E2886" t="s">
        <v>147</v>
      </c>
      <c r="F2886">
        <v>510.15</v>
      </c>
    </row>
    <row r="2887" spans="3:6" x14ac:dyDescent="0.25">
      <c r="C2887" t="s">
        <v>106</v>
      </c>
      <c r="D2887">
        <v>2044</v>
      </c>
      <c r="E2887" t="s">
        <v>148</v>
      </c>
      <c r="F2887">
        <v>1407.14</v>
      </c>
    </row>
    <row r="2888" spans="3:6" x14ac:dyDescent="0.25">
      <c r="C2888" t="s">
        <v>106</v>
      </c>
      <c r="D2888">
        <v>2044</v>
      </c>
      <c r="E2888" t="s">
        <v>146</v>
      </c>
      <c r="F2888">
        <v>2052.35</v>
      </c>
    </row>
    <row r="2889" spans="3:6" x14ac:dyDescent="0.25">
      <c r="C2889" t="s">
        <v>106</v>
      </c>
      <c r="D2889">
        <v>2044</v>
      </c>
      <c r="E2889" t="s">
        <v>142</v>
      </c>
      <c r="F2889">
        <v>655.61</v>
      </c>
    </row>
    <row r="2890" spans="3:6" x14ac:dyDescent="0.25">
      <c r="C2890" t="s">
        <v>106</v>
      </c>
      <c r="D2890">
        <v>2044</v>
      </c>
      <c r="E2890" t="s">
        <v>143</v>
      </c>
      <c r="F2890">
        <v>2396.12</v>
      </c>
    </row>
    <row r="2891" spans="3:6" x14ac:dyDescent="0.25">
      <c r="C2891" t="s">
        <v>106</v>
      </c>
      <c r="D2891">
        <v>2044</v>
      </c>
      <c r="E2891" t="s">
        <v>144</v>
      </c>
      <c r="F2891">
        <v>866.9</v>
      </c>
    </row>
    <row r="2892" spans="3:6" x14ac:dyDescent="0.25">
      <c r="C2892" t="s">
        <v>106</v>
      </c>
      <c r="D2892">
        <v>2044</v>
      </c>
      <c r="E2892" t="s">
        <v>145</v>
      </c>
      <c r="F2892">
        <v>222.05</v>
      </c>
    </row>
    <row r="2893" spans="3:6" x14ac:dyDescent="0.25">
      <c r="C2893" t="s">
        <v>106</v>
      </c>
      <c r="D2893">
        <v>2045</v>
      </c>
      <c r="E2893" t="s">
        <v>147</v>
      </c>
      <c r="F2893">
        <v>509.83</v>
      </c>
    </row>
    <row r="2894" spans="3:6" x14ac:dyDescent="0.25">
      <c r="C2894" t="s">
        <v>106</v>
      </c>
      <c r="D2894">
        <v>2045</v>
      </c>
      <c r="E2894" t="s">
        <v>148</v>
      </c>
      <c r="F2894">
        <v>1404.71</v>
      </c>
    </row>
    <row r="2895" spans="3:6" x14ac:dyDescent="0.25">
      <c r="C2895" t="s">
        <v>106</v>
      </c>
      <c r="D2895">
        <v>2045</v>
      </c>
      <c r="E2895" t="s">
        <v>146</v>
      </c>
      <c r="F2895">
        <v>2061.5500000000002</v>
      </c>
    </row>
    <row r="2896" spans="3:6" x14ac:dyDescent="0.25">
      <c r="C2896" t="s">
        <v>106</v>
      </c>
      <c r="D2896">
        <v>2045</v>
      </c>
      <c r="E2896" t="s">
        <v>142</v>
      </c>
      <c r="F2896">
        <v>657.61</v>
      </c>
    </row>
    <row r="2897" spans="3:6" x14ac:dyDescent="0.25">
      <c r="C2897" t="s">
        <v>106</v>
      </c>
      <c r="D2897">
        <v>2045</v>
      </c>
      <c r="E2897" t="s">
        <v>143</v>
      </c>
      <c r="F2897">
        <v>2401.61</v>
      </c>
    </row>
    <row r="2898" spans="3:6" x14ac:dyDescent="0.25">
      <c r="C2898" t="s">
        <v>106</v>
      </c>
      <c r="D2898">
        <v>2045</v>
      </c>
      <c r="E2898" t="s">
        <v>144</v>
      </c>
      <c r="F2898">
        <v>875.71</v>
      </c>
    </row>
    <row r="2899" spans="3:6" x14ac:dyDescent="0.25">
      <c r="C2899" t="s">
        <v>106</v>
      </c>
      <c r="D2899">
        <v>2045</v>
      </c>
      <c r="E2899" t="s">
        <v>145</v>
      </c>
      <c r="F2899">
        <v>219.6</v>
      </c>
    </row>
    <row r="2900" spans="3:6" x14ac:dyDescent="0.25">
      <c r="C2900" t="s">
        <v>106</v>
      </c>
      <c r="D2900">
        <v>2046</v>
      </c>
      <c r="E2900" t="s">
        <v>147</v>
      </c>
      <c r="F2900">
        <v>509.38</v>
      </c>
    </row>
    <row r="2901" spans="3:6" x14ac:dyDescent="0.25">
      <c r="C2901" t="s">
        <v>106</v>
      </c>
      <c r="D2901">
        <v>2046</v>
      </c>
      <c r="E2901" t="s">
        <v>148</v>
      </c>
      <c r="F2901">
        <v>1401.94</v>
      </c>
    </row>
    <row r="2902" spans="3:6" x14ac:dyDescent="0.25">
      <c r="C2902" t="s">
        <v>106</v>
      </c>
      <c r="D2902">
        <v>2046</v>
      </c>
      <c r="E2902" t="s">
        <v>146</v>
      </c>
      <c r="F2902">
        <v>2068.1</v>
      </c>
    </row>
    <row r="2903" spans="3:6" x14ac:dyDescent="0.25">
      <c r="C2903" t="s">
        <v>106</v>
      </c>
      <c r="D2903">
        <v>2046</v>
      </c>
      <c r="E2903" t="s">
        <v>142</v>
      </c>
      <c r="F2903">
        <v>659.33</v>
      </c>
    </row>
    <row r="2904" spans="3:6" x14ac:dyDescent="0.25">
      <c r="C2904" t="s">
        <v>106</v>
      </c>
      <c r="D2904">
        <v>2046</v>
      </c>
      <c r="E2904" t="s">
        <v>143</v>
      </c>
      <c r="F2904">
        <v>2406.4699999999998</v>
      </c>
    </row>
    <row r="2905" spans="3:6" x14ac:dyDescent="0.25">
      <c r="C2905" t="s">
        <v>106</v>
      </c>
      <c r="D2905">
        <v>2046</v>
      </c>
      <c r="E2905" t="s">
        <v>144</v>
      </c>
      <c r="F2905">
        <v>884.64</v>
      </c>
    </row>
    <row r="2906" spans="3:6" x14ac:dyDescent="0.25">
      <c r="C2906" t="s">
        <v>106</v>
      </c>
      <c r="D2906">
        <v>2046</v>
      </c>
      <c r="E2906" t="s">
        <v>145</v>
      </c>
      <c r="F2906">
        <v>217.32</v>
      </c>
    </row>
    <row r="2907" spans="3:6" x14ac:dyDescent="0.25">
      <c r="C2907" t="s">
        <v>106</v>
      </c>
      <c r="D2907">
        <v>2047</v>
      </c>
      <c r="E2907" t="s">
        <v>147</v>
      </c>
      <c r="F2907">
        <v>508.79</v>
      </c>
    </row>
    <row r="2908" spans="3:6" x14ac:dyDescent="0.25">
      <c r="C2908" t="s">
        <v>106</v>
      </c>
      <c r="D2908">
        <v>2047</v>
      </c>
      <c r="E2908" t="s">
        <v>148</v>
      </c>
      <c r="F2908">
        <v>1398.62</v>
      </c>
    </row>
    <row r="2909" spans="3:6" x14ac:dyDescent="0.25">
      <c r="C2909" t="s">
        <v>106</v>
      </c>
      <c r="D2909">
        <v>2047</v>
      </c>
      <c r="E2909" t="s">
        <v>146</v>
      </c>
      <c r="F2909">
        <v>2075.77</v>
      </c>
    </row>
    <row r="2910" spans="3:6" x14ac:dyDescent="0.25">
      <c r="C2910" t="s">
        <v>106</v>
      </c>
      <c r="D2910">
        <v>2047</v>
      </c>
      <c r="E2910" t="s">
        <v>142</v>
      </c>
      <c r="F2910">
        <v>661.09</v>
      </c>
    </row>
    <row r="2911" spans="3:6" x14ac:dyDescent="0.25">
      <c r="C2911" t="s">
        <v>106</v>
      </c>
      <c r="D2911">
        <v>2047</v>
      </c>
      <c r="E2911" t="s">
        <v>143</v>
      </c>
      <c r="F2911">
        <v>2411.54</v>
      </c>
    </row>
    <row r="2912" spans="3:6" x14ac:dyDescent="0.25">
      <c r="C2912" t="s">
        <v>106</v>
      </c>
      <c r="D2912">
        <v>2047</v>
      </c>
      <c r="E2912" t="s">
        <v>144</v>
      </c>
      <c r="F2912">
        <v>893.48</v>
      </c>
    </row>
    <row r="2913" spans="3:6" x14ac:dyDescent="0.25">
      <c r="C2913" t="s">
        <v>106</v>
      </c>
      <c r="D2913">
        <v>2047</v>
      </c>
      <c r="E2913" t="s">
        <v>145</v>
      </c>
      <c r="F2913">
        <v>215.09</v>
      </c>
    </row>
    <row r="2914" spans="3:6" x14ac:dyDescent="0.25">
      <c r="C2914" t="s">
        <v>106</v>
      </c>
      <c r="D2914">
        <v>2048</v>
      </c>
      <c r="E2914" t="s">
        <v>147</v>
      </c>
      <c r="F2914">
        <v>508.72</v>
      </c>
    </row>
    <row r="2915" spans="3:6" x14ac:dyDescent="0.25">
      <c r="C2915" t="s">
        <v>106</v>
      </c>
      <c r="D2915">
        <v>2048</v>
      </c>
      <c r="E2915" t="s">
        <v>148</v>
      </c>
      <c r="F2915">
        <v>1397.24</v>
      </c>
    </row>
    <row r="2916" spans="3:6" x14ac:dyDescent="0.25">
      <c r="C2916" t="s">
        <v>106</v>
      </c>
      <c r="D2916">
        <v>2048</v>
      </c>
      <c r="E2916" t="s">
        <v>146</v>
      </c>
      <c r="F2916">
        <v>2080.92</v>
      </c>
    </row>
    <row r="2917" spans="3:6" x14ac:dyDescent="0.25">
      <c r="C2917" t="s">
        <v>106</v>
      </c>
      <c r="D2917">
        <v>2048</v>
      </c>
      <c r="E2917" t="s">
        <v>142</v>
      </c>
      <c r="F2917">
        <v>662.73</v>
      </c>
    </row>
    <row r="2918" spans="3:6" x14ac:dyDescent="0.25">
      <c r="C2918" t="s">
        <v>106</v>
      </c>
      <c r="D2918">
        <v>2048</v>
      </c>
      <c r="E2918" t="s">
        <v>143</v>
      </c>
      <c r="F2918">
        <v>2410.9899999999998</v>
      </c>
    </row>
    <row r="2919" spans="3:6" x14ac:dyDescent="0.25">
      <c r="C2919" t="s">
        <v>106</v>
      </c>
      <c r="D2919">
        <v>2048</v>
      </c>
      <c r="E2919" t="s">
        <v>144</v>
      </c>
      <c r="F2919">
        <v>901.95</v>
      </c>
    </row>
    <row r="2920" spans="3:6" x14ac:dyDescent="0.25">
      <c r="C2920" t="s">
        <v>106</v>
      </c>
      <c r="D2920">
        <v>2048</v>
      </c>
      <c r="E2920" t="s">
        <v>145</v>
      </c>
      <c r="F2920">
        <v>212.73</v>
      </c>
    </row>
    <row r="2921" spans="3:6" x14ac:dyDescent="0.25">
      <c r="C2921" t="s">
        <v>106</v>
      </c>
      <c r="D2921">
        <v>2049</v>
      </c>
      <c r="E2921" t="s">
        <v>147</v>
      </c>
      <c r="F2921">
        <v>507.93</v>
      </c>
    </row>
    <row r="2922" spans="3:6" x14ac:dyDescent="0.25">
      <c r="C2922" t="s">
        <v>106</v>
      </c>
      <c r="D2922">
        <v>2049</v>
      </c>
      <c r="E2922" t="s">
        <v>148</v>
      </c>
      <c r="F2922">
        <v>1393.38</v>
      </c>
    </row>
    <row r="2923" spans="3:6" x14ac:dyDescent="0.25">
      <c r="C2923" t="s">
        <v>106</v>
      </c>
      <c r="D2923">
        <v>2049</v>
      </c>
      <c r="E2923" t="s">
        <v>146</v>
      </c>
      <c r="F2923">
        <v>2084.9899999999998</v>
      </c>
    </row>
    <row r="2924" spans="3:6" x14ac:dyDescent="0.25">
      <c r="C2924" t="s">
        <v>106</v>
      </c>
      <c r="D2924">
        <v>2049</v>
      </c>
      <c r="E2924" t="s">
        <v>142</v>
      </c>
      <c r="F2924">
        <v>664.25</v>
      </c>
    </row>
    <row r="2925" spans="3:6" x14ac:dyDescent="0.25">
      <c r="C2925" t="s">
        <v>106</v>
      </c>
      <c r="D2925">
        <v>2049</v>
      </c>
      <c r="E2925" t="s">
        <v>143</v>
      </c>
      <c r="F2925">
        <v>2416.36</v>
      </c>
    </row>
    <row r="2926" spans="3:6" x14ac:dyDescent="0.25">
      <c r="C2926" t="s">
        <v>106</v>
      </c>
      <c r="D2926">
        <v>2049</v>
      </c>
      <c r="E2926" t="s">
        <v>144</v>
      </c>
      <c r="F2926">
        <v>910.39</v>
      </c>
    </row>
    <row r="2927" spans="3:6" x14ac:dyDescent="0.25">
      <c r="C2927" t="s">
        <v>106</v>
      </c>
      <c r="D2927">
        <v>2049</v>
      </c>
      <c r="E2927" t="s">
        <v>145</v>
      </c>
      <c r="F2927">
        <v>210.33</v>
      </c>
    </row>
    <row r="2928" spans="3:6" x14ac:dyDescent="0.25">
      <c r="C2928" t="s">
        <v>106</v>
      </c>
      <c r="D2928">
        <v>2050</v>
      </c>
      <c r="E2928" t="s">
        <v>147</v>
      </c>
      <c r="F2928">
        <v>507.54</v>
      </c>
    </row>
    <row r="2929" spans="3:6" x14ac:dyDescent="0.25">
      <c r="C2929" t="s">
        <v>106</v>
      </c>
      <c r="D2929">
        <v>2050</v>
      </c>
      <c r="E2929" t="s">
        <v>148</v>
      </c>
      <c r="F2929">
        <v>1390.99</v>
      </c>
    </row>
    <row r="2930" spans="3:6" x14ac:dyDescent="0.25">
      <c r="C2930" t="s">
        <v>106</v>
      </c>
      <c r="D2930">
        <v>2050</v>
      </c>
      <c r="E2930" t="s">
        <v>146</v>
      </c>
      <c r="F2930">
        <v>2088.66</v>
      </c>
    </row>
    <row r="2931" spans="3:6" x14ac:dyDescent="0.25">
      <c r="C2931" t="s">
        <v>106</v>
      </c>
      <c r="D2931">
        <v>2050</v>
      </c>
      <c r="E2931" t="s">
        <v>142</v>
      </c>
      <c r="F2931">
        <v>665.78</v>
      </c>
    </row>
    <row r="2932" spans="3:6" x14ac:dyDescent="0.25">
      <c r="C2932" t="s">
        <v>106</v>
      </c>
      <c r="D2932">
        <v>2050</v>
      </c>
      <c r="E2932" t="s">
        <v>143</v>
      </c>
      <c r="F2932">
        <v>2415.23</v>
      </c>
    </row>
    <row r="2933" spans="3:6" x14ac:dyDescent="0.25">
      <c r="C2933" t="s">
        <v>106</v>
      </c>
      <c r="D2933">
        <v>2050</v>
      </c>
      <c r="E2933" t="s">
        <v>144</v>
      </c>
      <c r="F2933">
        <v>918.96</v>
      </c>
    </row>
    <row r="2934" spans="3:6" x14ac:dyDescent="0.25">
      <c r="C2934" t="s">
        <v>106</v>
      </c>
      <c r="D2934">
        <v>2050</v>
      </c>
      <c r="E2934" t="s">
        <v>145</v>
      </c>
      <c r="F2934">
        <v>207.98</v>
      </c>
    </row>
    <row r="2935" spans="3:6" x14ac:dyDescent="0.25">
      <c r="C2935" t="s">
        <v>52</v>
      </c>
      <c r="D2935">
        <v>2010</v>
      </c>
      <c r="E2935" t="s">
        <v>142</v>
      </c>
      <c r="F2935">
        <v>506.42</v>
      </c>
    </row>
    <row r="2936" spans="3:6" x14ac:dyDescent="0.25">
      <c r="C2936" t="s">
        <v>52</v>
      </c>
      <c r="D2936">
        <v>2010</v>
      </c>
      <c r="E2936" t="s">
        <v>143</v>
      </c>
      <c r="F2936">
        <v>818.81</v>
      </c>
    </row>
    <row r="2937" spans="3:6" x14ac:dyDescent="0.25">
      <c r="C2937" t="s">
        <v>52</v>
      </c>
      <c r="D2937">
        <v>2010</v>
      </c>
      <c r="E2937" t="s">
        <v>144</v>
      </c>
      <c r="F2937">
        <v>210.15</v>
      </c>
    </row>
    <row r="2938" spans="3:6" x14ac:dyDescent="0.25">
      <c r="C2938" t="s">
        <v>52</v>
      </c>
      <c r="D2938">
        <v>2010</v>
      </c>
      <c r="E2938" t="s">
        <v>145</v>
      </c>
      <c r="F2938">
        <v>7.5</v>
      </c>
    </row>
    <row r="2939" spans="3:6" x14ac:dyDescent="0.25">
      <c r="C2939" t="s">
        <v>52</v>
      </c>
      <c r="D2939">
        <v>2011</v>
      </c>
      <c r="E2939" t="s">
        <v>142</v>
      </c>
      <c r="F2939">
        <v>513.97</v>
      </c>
    </row>
    <row r="2940" spans="3:6" x14ac:dyDescent="0.25">
      <c r="C2940" t="s">
        <v>52</v>
      </c>
      <c r="D2940">
        <v>2011</v>
      </c>
      <c r="E2940" t="s">
        <v>143</v>
      </c>
      <c r="F2940">
        <v>886.12</v>
      </c>
    </row>
    <row r="2941" spans="3:6" x14ac:dyDescent="0.25">
      <c r="C2941" t="s">
        <v>52</v>
      </c>
      <c r="D2941">
        <v>2011</v>
      </c>
      <c r="E2941" t="s">
        <v>144</v>
      </c>
      <c r="F2941">
        <v>212.12</v>
      </c>
    </row>
    <row r="2942" spans="3:6" x14ac:dyDescent="0.25">
      <c r="C2942" t="s">
        <v>52</v>
      </c>
      <c r="D2942">
        <v>2011</v>
      </c>
      <c r="E2942" t="s">
        <v>145</v>
      </c>
      <c r="F2942">
        <v>7.7</v>
      </c>
    </row>
    <row r="2943" spans="3:6" x14ac:dyDescent="0.25">
      <c r="C2943" t="s">
        <v>52</v>
      </c>
      <c r="D2943">
        <v>2012</v>
      </c>
      <c r="E2943" t="s">
        <v>142</v>
      </c>
      <c r="F2943">
        <v>522.41999999999996</v>
      </c>
    </row>
    <row r="2944" spans="3:6" x14ac:dyDescent="0.25">
      <c r="C2944" t="s">
        <v>52</v>
      </c>
      <c r="D2944">
        <v>2012</v>
      </c>
      <c r="E2944" t="s">
        <v>143</v>
      </c>
      <c r="F2944">
        <v>905.24</v>
      </c>
    </row>
    <row r="2945" spans="3:6" x14ac:dyDescent="0.25">
      <c r="C2945" t="s">
        <v>52</v>
      </c>
      <c r="D2945">
        <v>2012</v>
      </c>
      <c r="E2945" t="s">
        <v>144</v>
      </c>
      <c r="F2945">
        <v>218.81</v>
      </c>
    </row>
    <row r="2946" spans="3:6" x14ac:dyDescent="0.25">
      <c r="C2946" t="s">
        <v>52</v>
      </c>
      <c r="D2946">
        <v>2012</v>
      </c>
      <c r="E2946" t="s">
        <v>145</v>
      </c>
      <c r="F2946">
        <v>7.69</v>
      </c>
    </row>
    <row r="2947" spans="3:6" x14ac:dyDescent="0.25">
      <c r="C2947" t="s">
        <v>52</v>
      </c>
      <c r="D2947">
        <v>2013</v>
      </c>
      <c r="E2947" t="s">
        <v>142</v>
      </c>
      <c r="F2947">
        <v>517.5</v>
      </c>
    </row>
    <row r="2948" spans="3:6" x14ac:dyDescent="0.25">
      <c r="C2948" t="s">
        <v>52</v>
      </c>
      <c r="D2948">
        <v>2013</v>
      </c>
      <c r="E2948" t="s">
        <v>143</v>
      </c>
      <c r="F2948">
        <v>929.85</v>
      </c>
    </row>
    <row r="2949" spans="3:6" x14ac:dyDescent="0.25">
      <c r="C2949" t="s">
        <v>52</v>
      </c>
      <c r="D2949">
        <v>2013</v>
      </c>
      <c r="E2949" t="s">
        <v>144</v>
      </c>
      <c r="F2949">
        <v>217.56</v>
      </c>
    </row>
    <row r="2950" spans="3:6" x14ac:dyDescent="0.25">
      <c r="C2950" t="s">
        <v>52</v>
      </c>
      <c r="D2950">
        <v>2013</v>
      </c>
      <c r="E2950" t="s">
        <v>145</v>
      </c>
      <c r="F2950">
        <v>7.36</v>
      </c>
    </row>
    <row r="2951" spans="3:6" x14ac:dyDescent="0.25">
      <c r="C2951" t="s">
        <v>52</v>
      </c>
      <c r="D2951">
        <v>2014</v>
      </c>
      <c r="E2951" t="s">
        <v>142</v>
      </c>
      <c r="F2951">
        <v>516.89</v>
      </c>
    </row>
    <row r="2952" spans="3:6" x14ac:dyDescent="0.25">
      <c r="C2952" t="s">
        <v>52</v>
      </c>
      <c r="D2952">
        <v>2014</v>
      </c>
      <c r="E2952" t="s">
        <v>143</v>
      </c>
      <c r="F2952">
        <v>955.38</v>
      </c>
    </row>
    <row r="2953" spans="3:6" x14ac:dyDescent="0.25">
      <c r="C2953" t="s">
        <v>52</v>
      </c>
      <c r="D2953">
        <v>2014</v>
      </c>
      <c r="E2953" t="s">
        <v>144</v>
      </c>
      <c r="F2953">
        <v>218.7</v>
      </c>
    </row>
    <row r="2954" spans="3:6" x14ac:dyDescent="0.25">
      <c r="C2954" t="s">
        <v>52</v>
      </c>
      <c r="D2954">
        <v>2014</v>
      </c>
      <c r="E2954" t="s">
        <v>145</v>
      </c>
      <c r="F2954">
        <v>6.95</v>
      </c>
    </row>
    <row r="2955" spans="3:6" x14ac:dyDescent="0.25">
      <c r="C2955" t="s">
        <v>52</v>
      </c>
      <c r="D2955">
        <v>2015</v>
      </c>
      <c r="E2955" t="s">
        <v>142</v>
      </c>
      <c r="F2955">
        <v>519.35</v>
      </c>
    </row>
    <row r="2956" spans="3:6" x14ac:dyDescent="0.25">
      <c r="C2956" t="s">
        <v>52</v>
      </c>
      <c r="D2956">
        <v>2015</v>
      </c>
      <c r="E2956" t="s">
        <v>143</v>
      </c>
      <c r="F2956">
        <v>966.56</v>
      </c>
    </row>
    <row r="2957" spans="3:6" x14ac:dyDescent="0.25">
      <c r="C2957" t="s">
        <v>52</v>
      </c>
      <c r="D2957">
        <v>2015</v>
      </c>
      <c r="E2957" t="s">
        <v>144</v>
      </c>
      <c r="F2957">
        <v>217.59</v>
      </c>
    </row>
    <row r="2958" spans="3:6" x14ac:dyDescent="0.25">
      <c r="C2958" t="s">
        <v>52</v>
      </c>
      <c r="D2958">
        <v>2015</v>
      </c>
      <c r="E2958" t="s">
        <v>145</v>
      </c>
      <c r="F2958">
        <v>7.58</v>
      </c>
    </row>
    <row r="2959" spans="3:6" x14ac:dyDescent="0.25">
      <c r="C2959" t="s">
        <v>52</v>
      </c>
      <c r="D2959">
        <v>2016</v>
      </c>
      <c r="E2959" t="s">
        <v>142</v>
      </c>
      <c r="F2959">
        <v>552.27</v>
      </c>
    </row>
    <row r="2960" spans="3:6" x14ac:dyDescent="0.25">
      <c r="C2960" t="s">
        <v>52</v>
      </c>
      <c r="D2960">
        <v>2016</v>
      </c>
      <c r="E2960" t="s">
        <v>143</v>
      </c>
      <c r="F2960">
        <v>949.51</v>
      </c>
    </row>
    <row r="2961" spans="3:6" x14ac:dyDescent="0.25">
      <c r="C2961" t="s">
        <v>52</v>
      </c>
      <c r="D2961">
        <v>2016</v>
      </c>
      <c r="E2961" t="s">
        <v>144</v>
      </c>
      <c r="F2961">
        <v>231.02</v>
      </c>
    </row>
    <row r="2962" spans="3:6" x14ac:dyDescent="0.25">
      <c r="C2962" t="s">
        <v>52</v>
      </c>
      <c r="D2962">
        <v>2016</v>
      </c>
      <c r="E2962" t="s">
        <v>145</v>
      </c>
      <c r="F2962">
        <v>9.02</v>
      </c>
    </row>
    <row r="2963" spans="3:6" x14ac:dyDescent="0.25">
      <c r="C2963" t="s">
        <v>52</v>
      </c>
      <c r="D2963">
        <v>2017</v>
      </c>
      <c r="E2963" t="s">
        <v>142</v>
      </c>
      <c r="F2963">
        <v>543.29999999999995</v>
      </c>
    </row>
    <row r="2964" spans="3:6" x14ac:dyDescent="0.25">
      <c r="C2964" t="s">
        <v>52</v>
      </c>
      <c r="D2964">
        <v>2017</v>
      </c>
      <c r="E2964" t="s">
        <v>143</v>
      </c>
      <c r="F2964">
        <v>978.31</v>
      </c>
    </row>
    <row r="2965" spans="3:6" x14ac:dyDescent="0.25">
      <c r="C2965" t="s">
        <v>52</v>
      </c>
      <c r="D2965">
        <v>2017</v>
      </c>
      <c r="E2965" t="s">
        <v>144</v>
      </c>
      <c r="F2965">
        <v>221.23</v>
      </c>
    </row>
    <row r="2966" spans="3:6" x14ac:dyDescent="0.25">
      <c r="C2966" t="s">
        <v>52</v>
      </c>
      <c r="D2966">
        <v>2017</v>
      </c>
      <c r="E2966" t="s">
        <v>145</v>
      </c>
      <c r="F2966">
        <v>9.51</v>
      </c>
    </row>
    <row r="2967" spans="3:6" x14ac:dyDescent="0.25">
      <c r="C2967" t="s">
        <v>52</v>
      </c>
      <c r="D2967">
        <v>2018</v>
      </c>
      <c r="E2967" t="s">
        <v>142</v>
      </c>
      <c r="F2967">
        <v>565.82000000000005</v>
      </c>
    </row>
    <row r="2968" spans="3:6" x14ac:dyDescent="0.25">
      <c r="C2968" t="s">
        <v>52</v>
      </c>
      <c r="D2968">
        <v>2018</v>
      </c>
      <c r="E2968" t="s">
        <v>143</v>
      </c>
      <c r="F2968">
        <v>1022.51</v>
      </c>
    </row>
    <row r="2969" spans="3:6" x14ac:dyDescent="0.25">
      <c r="C2969" t="s">
        <v>52</v>
      </c>
      <c r="D2969">
        <v>2018</v>
      </c>
      <c r="E2969" t="s">
        <v>144</v>
      </c>
      <c r="F2969">
        <v>231.73</v>
      </c>
    </row>
    <row r="2970" spans="3:6" x14ac:dyDescent="0.25">
      <c r="C2970" t="s">
        <v>52</v>
      </c>
      <c r="D2970">
        <v>2018</v>
      </c>
      <c r="E2970" t="s">
        <v>145</v>
      </c>
      <c r="F2970">
        <v>10.16</v>
      </c>
    </row>
    <row r="2971" spans="3:6" x14ac:dyDescent="0.25">
      <c r="C2971" t="s">
        <v>52</v>
      </c>
      <c r="D2971">
        <v>2019</v>
      </c>
      <c r="E2971" t="s">
        <v>147</v>
      </c>
      <c r="F2971">
        <v>27.87</v>
      </c>
    </row>
    <row r="2972" spans="3:6" x14ac:dyDescent="0.25">
      <c r="C2972" t="s">
        <v>52</v>
      </c>
      <c r="D2972">
        <v>2019</v>
      </c>
      <c r="E2972" t="s">
        <v>148</v>
      </c>
      <c r="F2972">
        <v>168.99</v>
      </c>
    </row>
    <row r="2973" spans="3:6" x14ac:dyDescent="0.25">
      <c r="C2973" t="s">
        <v>52</v>
      </c>
      <c r="D2973">
        <v>2019</v>
      </c>
      <c r="E2973" t="s">
        <v>146</v>
      </c>
      <c r="F2973">
        <v>205.49</v>
      </c>
    </row>
    <row r="2974" spans="3:6" x14ac:dyDescent="0.25">
      <c r="C2974" t="s">
        <v>52</v>
      </c>
      <c r="D2974">
        <v>2019</v>
      </c>
      <c r="E2974" t="s">
        <v>142</v>
      </c>
      <c r="F2974">
        <v>575.04999999999995</v>
      </c>
    </row>
    <row r="2975" spans="3:6" x14ac:dyDescent="0.25">
      <c r="C2975" t="s">
        <v>52</v>
      </c>
      <c r="D2975">
        <v>2019</v>
      </c>
      <c r="E2975" t="s">
        <v>143</v>
      </c>
      <c r="F2975">
        <v>1024.5</v>
      </c>
    </row>
    <row r="2976" spans="3:6" x14ac:dyDescent="0.25">
      <c r="C2976" t="s">
        <v>52</v>
      </c>
      <c r="D2976">
        <v>2019</v>
      </c>
      <c r="E2976" t="s">
        <v>144</v>
      </c>
      <c r="F2976">
        <v>233.73</v>
      </c>
    </row>
    <row r="2977" spans="3:6" x14ac:dyDescent="0.25">
      <c r="C2977" t="s">
        <v>52</v>
      </c>
      <c r="D2977">
        <v>2019</v>
      </c>
      <c r="E2977" t="s">
        <v>145</v>
      </c>
      <c r="F2977">
        <v>40.130000000000003</v>
      </c>
    </row>
    <row r="2978" spans="3:6" x14ac:dyDescent="0.25">
      <c r="C2978" t="s">
        <v>52</v>
      </c>
      <c r="D2978">
        <v>2020</v>
      </c>
      <c r="E2978" t="s">
        <v>147</v>
      </c>
      <c r="F2978">
        <v>27.73</v>
      </c>
    </row>
    <row r="2979" spans="3:6" x14ac:dyDescent="0.25">
      <c r="C2979" t="s">
        <v>52</v>
      </c>
      <c r="D2979">
        <v>2020</v>
      </c>
      <c r="E2979" t="s">
        <v>148</v>
      </c>
      <c r="F2979">
        <v>167.92</v>
      </c>
    </row>
    <row r="2980" spans="3:6" x14ac:dyDescent="0.25">
      <c r="C2980" t="s">
        <v>52</v>
      </c>
      <c r="D2980">
        <v>2020</v>
      </c>
      <c r="E2980" t="s">
        <v>146</v>
      </c>
      <c r="F2980">
        <v>192.42</v>
      </c>
    </row>
    <row r="2981" spans="3:6" x14ac:dyDescent="0.25">
      <c r="C2981" t="s">
        <v>52</v>
      </c>
      <c r="D2981">
        <v>2020</v>
      </c>
      <c r="E2981" t="s">
        <v>142</v>
      </c>
      <c r="F2981">
        <v>570.80999999999995</v>
      </c>
    </row>
    <row r="2982" spans="3:6" x14ac:dyDescent="0.25">
      <c r="C2982" t="s">
        <v>52</v>
      </c>
      <c r="D2982">
        <v>2020</v>
      </c>
      <c r="E2982" t="s">
        <v>143</v>
      </c>
      <c r="F2982">
        <v>995.77</v>
      </c>
    </row>
    <row r="2983" spans="3:6" x14ac:dyDescent="0.25">
      <c r="C2983" t="s">
        <v>52</v>
      </c>
      <c r="D2983">
        <v>2020</v>
      </c>
      <c r="E2983" t="s">
        <v>144</v>
      </c>
      <c r="F2983">
        <v>233.56</v>
      </c>
    </row>
    <row r="2984" spans="3:6" x14ac:dyDescent="0.25">
      <c r="C2984" t="s">
        <v>52</v>
      </c>
      <c r="D2984">
        <v>2020</v>
      </c>
      <c r="E2984" t="s">
        <v>145</v>
      </c>
      <c r="F2984">
        <v>39.04</v>
      </c>
    </row>
    <row r="2985" spans="3:6" x14ac:dyDescent="0.25">
      <c r="C2985" t="s">
        <v>52</v>
      </c>
      <c r="D2985">
        <v>2021</v>
      </c>
      <c r="E2985" t="s">
        <v>147</v>
      </c>
      <c r="F2985">
        <v>27.52</v>
      </c>
    </row>
    <row r="2986" spans="3:6" x14ac:dyDescent="0.25">
      <c r="C2986" t="s">
        <v>52</v>
      </c>
      <c r="D2986">
        <v>2021</v>
      </c>
      <c r="E2986" t="s">
        <v>148</v>
      </c>
      <c r="F2986">
        <v>166.15</v>
      </c>
    </row>
    <row r="2987" spans="3:6" x14ac:dyDescent="0.25">
      <c r="C2987" t="s">
        <v>52</v>
      </c>
      <c r="D2987">
        <v>2021</v>
      </c>
      <c r="E2987" t="s">
        <v>146</v>
      </c>
      <c r="F2987">
        <v>196.45</v>
      </c>
    </row>
    <row r="2988" spans="3:6" x14ac:dyDescent="0.25">
      <c r="C2988" t="s">
        <v>52</v>
      </c>
      <c r="D2988">
        <v>2021</v>
      </c>
      <c r="E2988" t="s">
        <v>142</v>
      </c>
      <c r="F2988">
        <v>577.23</v>
      </c>
    </row>
    <row r="2989" spans="3:6" x14ac:dyDescent="0.25">
      <c r="C2989" t="s">
        <v>52</v>
      </c>
      <c r="D2989">
        <v>2021</v>
      </c>
      <c r="E2989" t="s">
        <v>143</v>
      </c>
      <c r="F2989">
        <v>1069.05</v>
      </c>
    </row>
    <row r="2990" spans="3:6" x14ac:dyDescent="0.25">
      <c r="C2990" t="s">
        <v>52</v>
      </c>
      <c r="D2990">
        <v>2021</v>
      </c>
      <c r="E2990" t="s">
        <v>144</v>
      </c>
      <c r="F2990">
        <v>235.58</v>
      </c>
    </row>
    <row r="2991" spans="3:6" x14ac:dyDescent="0.25">
      <c r="C2991" t="s">
        <v>52</v>
      </c>
      <c r="D2991">
        <v>2021</v>
      </c>
      <c r="E2991" t="s">
        <v>145</v>
      </c>
      <c r="F2991">
        <v>41.86</v>
      </c>
    </row>
    <row r="2992" spans="3:6" x14ac:dyDescent="0.25">
      <c r="C2992" t="s">
        <v>52</v>
      </c>
      <c r="D2992">
        <v>2022</v>
      </c>
      <c r="E2992" t="s">
        <v>147</v>
      </c>
      <c r="F2992">
        <v>27.3</v>
      </c>
    </row>
    <row r="2993" spans="3:6" x14ac:dyDescent="0.25">
      <c r="C2993" t="s">
        <v>52</v>
      </c>
      <c r="D2993">
        <v>2022</v>
      </c>
      <c r="E2993" t="s">
        <v>148</v>
      </c>
      <c r="F2993">
        <v>164.18</v>
      </c>
    </row>
    <row r="2994" spans="3:6" x14ac:dyDescent="0.25">
      <c r="C2994" t="s">
        <v>52</v>
      </c>
      <c r="D2994">
        <v>2022</v>
      </c>
      <c r="E2994" t="s">
        <v>146</v>
      </c>
      <c r="F2994">
        <v>198.34</v>
      </c>
    </row>
    <row r="2995" spans="3:6" x14ac:dyDescent="0.25">
      <c r="C2995" t="s">
        <v>52</v>
      </c>
      <c r="D2995">
        <v>2022</v>
      </c>
      <c r="E2995" t="s">
        <v>142</v>
      </c>
      <c r="F2995">
        <v>587.77</v>
      </c>
    </row>
    <row r="2996" spans="3:6" x14ac:dyDescent="0.25">
      <c r="C2996" t="s">
        <v>52</v>
      </c>
      <c r="D2996">
        <v>2022</v>
      </c>
      <c r="E2996" t="s">
        <v>143</v>
      </c>
      <c r="F2996">
        <v>1081.77</v>
      </c>
    </row>
    <row r="2997" spans="3:6" x14ac:dyDescent="0.25">
      <c r="C2997" t="s">
        <v>52</v>
      </c>
      <c r="D2997">
        <v>2022</v>
      </c>
      <c r="E2997" t="s">
        <v>144</v>
      </c>
      <c r="F2997">
        <v>236.53</v>
      </c>
    </row>
    <row r="2998" spans="3:6" x14ac:dyDescent="0.25">
      <c r="C2998" t="s">
        <v>52</v>
      </c>
      <c r="D2998">
        <v>2022</v>
      </c>
      <c r="E2998" t="s">
        <v>145</v>
      </c>
      <c r="F2998">
        <v>43.53</v>
      </c>
    </row>
    <row r="2999" spans="3:6" x14ac:dyDescent="0.25">
      <c r="C2999" t="s">
        <v>52</v>
      </c>
      <c r="D2999">
        <v>2023</v>
      </c>
      <c r="E2999" t="s">
        <v>147</v>
      </c>
      <c r="F2999">
        <v>27.08</v>
      </c>
    </row>
    <row r="3000" spans="3:6" x14ac:dyDescent="0.25">
      <c r="C3000" t="s">
        <v>52</v>
      </c>
      <c r="D3000">
        <v>2023</v>
      </c>
      <c r="E3000" t="s">
        <v>148</v>
      </c>
      <c r="F3000">
        <v>162.18</v>
      </c>
    </row>
    <row r="3001" spans="3:6" x14ac:dyDescent="0.25">
      <c r="C3001" t="s">
        <v>52</v>
      </c>
      <c r="D3001">
        <v>2023</v>
      </c>
      <c r="E3001" t="s">
        <v>146</v>
      </c>
      <c r="F3001">
        <v>200.05</v>
      </c>
    </row>
    <row r="3002" spans="3:6" x14ac:dyDescent="0.25">
      <c r="C3002" t="s">
        <v>52</v>
      </c>
      <c r="D3002">
        <v>2023</v>
      </c>
      <c r="E3002" t="s">
        <v>142</v>
      </c>
      <c r="F3002">
        <v>596.98</v>
      </c>
    </row>
    <row r="3003" spans="3:6" x14ac:dyDescent="0.25">
      <c r="C3003" t="s">
        <v>52</v>
      </c>
      <c r="D3003">
        <v>2023</v>
      </c>
      <c r="E3003" t="s">
        <v>143</v>
      </c>
      <c r="F3003">
        <v>1102.6600000000001</v>
      </c>
    </row>
    <row r="3004" spans="3:6" x14ac:dyDescent="0.25">
      <c r="C3004" t="s">
        <v>52</v>
      </c>
      <c r="D3004">
        <v>2023</v>
      </c>
      <c r="E3004" t="s">
        <v>144</v>
      </c>
      <c r="F3004">
        <v>238.5</v>
      </c>
    </row>
    <row r="3005" spans="3:6" x14ac:dyDescent="0.25">
      <c r="C3005" t="s">
        <v>52</v>
      </c>
      <c r="D3005">
        <v>2023</v>
      </c>
      <c r="E3005" t="s">
        <v>145</v>
      </c>
      <c r="F3005">
        <v>44.45</v>
      </c>
    </row>
    <row r="3006" spans="3:6" x14ac:dyDescent="0.25">
      <c r="C3006" t="s">
        <v>52</v>
      </c>
      <c r="D3006">
        <v>2024</v>
      </c>
      <c r="E3006" t="s">
        <v>147</v>
      </c>
      <c r="F3006">
        <v>26.87</v>
      </c>
    </row>
    <row r="3007" spans="3:6" x14ac:dyDescent="0.25">
      <c r="C3007" t="s">
        <v>52</v>
      </c>
      <c r="D3007">
        <v>2024</v>
      </c>
      <c r="E3007" t="s">
        <v>148</v>
      </c>
      <c r="F3007">
        <v>160.4</v>
      </c>
    </row>
    <row r="3008" spans="3:6" x14ac:dyDescent="0.25">
      <c r="C3008" t="s">
        <v>52</v>
      </c>
      <c r="D3008">
        <v>2024</v>
      </c>
      <c r="E3008" t="s">
        <v>146</v>
      </c>
      <c r="F3008">
        <v>200.68</v>
      </c>
    </row>
    <row r="3009" spans="3:6" x14ac:dyDescent="0.25">
      <c r="C3009" t="s">
        <v>52</v>
      </c>
      <c r="D3009">
        <v>2024</v>
      </c>
      <c r="E3009" t="s">
        <v>142</v>
      </c>
      <c r="F3009">
        <v>603.96</v>
      </c>
    </row>
    <row r="3010" spans="3:6" x14ac:dyDescent="0.25">
      <c r="C3010" t="s">
        <v>52</v>
      </c>
      <c r="D3010">
        <v>2024</v>
      </c>
      <c r="E3010" t="s">
        <v>143</v>
      </c>
      <c r="F3010">
        <v>1114.23</v>
      </c>
    </row>
    <row r="3011" spans="3:6" x14ac:dyDescent="0.25">
      <c r="C3011" t="s">
        <v>52</v>
      </c>
      <c r="D3011">
        <v>2024</v>
      </c>
      <c r="E3011" t="s">
        <v>144</v>
      </c>
      <c r="F3011">
        <v>240.9</v>
      </c>
    </row>
    <row r="3012" spans="3:6" x14ac:dyDescent="0.25">
      <c r="C3012" t="s">
        <v>52</v>
      </c>
      <c r="D3012">
        <v>2024</v>
      </c>
      <c r="E3012" t="s">
        <v>145</v>
      </c>
      <c r="F3012">
        <v>45.13</v>
      </c>
    </row>
    <row r="3013" spans="3:6" x14ac:dyDescent="0.25">
      <c r="C3013" t="s">
        <v>52</v>
      </c>
      <c r="D3013">
        <v>2025</v>
      </c>
      <c r="E3013" t="s">
        <v>147</v>
      </c>
      <c r="F3013">
        <v>26.67</v>
      </c>
    </row>
    <row r="3014" spans="3:6" x14ac:dyDescent="0.25">
      <c r="C3014" t="s">
        <v>52</v>
      </c>
      <c r="D3014">
        <v>2025</v>
      </c>
      <c r="E3014" t="s">
        <v>148</v>
      </c>
      <c r="F3014">
        <v>158.77000000000001</v>
      </c>
    </row>
    <row r="3015" spans="3:6" x14ac:dyDescent="0.25">
      <c r="C3015" t="s">
        <v>52</v>
      </c>
      <c r="D3015">
        <v>2025</v>
      </c>
      <c r="E3015" t="s">
        <v>146</v>
      </c>
      <c r="F3015">
        <v>201.35</v>
      </c>
    </row>
    <row r="3016" spans="3:6" x14ac:dyDescent="0.25">
      <c r="C3016" t="s">
        <v>52</v>
      </c>
      <c r="D3016">
        <v>2025</v>
      </c>
      <c r="E3016" t="s">
        <v>142</v>
      </c>
      <c r="F3016">
        <v>610.37</v>
      </c>
    </row>
    <row r="3017" spans="3:6" x14ac:dyDescent="0.25">
      <c r="C3017" t="s">
        <v>52</v>
      </c>
      <c r="D3017">
        <v>2025</v>
      </c>
      <c r="E3017" t="s">
        <v>143</v>
      </c>
      <c r="F3017">
        <v>1129.0999999999999</v>
      </c>
    </row>
    <row r="3018" spans="3:6" x14ac:dyDescent="0.25">
      <c r="C3018" t="s">
        <v>52</v>
      </c>
      <c r="D3018">
        <v>2025</v>
      </c>
      <c r="E3018" t="s">
        <v>144</v>
      </c>
      <c r="F3018">
        <v>243.21</v>
      </c>
    </row>
    <row r="3019" spans="3:6" x14ac:dyDescent="0.25">
      <c r="C3019" t="s">
        <v>52</v>
      </c>
      <c r="D3019">
        <v>2025</v>
      </c>
      <c r="E3019" t="s">
        <v>145</v>
      </c>
      <c r="F3019">
        <v>45.77</v>
      </c>
    </row>
    <row r="3020" spans="3:6" x14ac:dyDescent="0.25">
      <c r="C3020" t="s">
        <v>52</v>
      </c>
      <c r="D3020">
        <v>2026</v>
      </c>
      <c r="E3020" t="s">
        <v>147</v>
      </c>
      <c r="F3020">
        <v>26.51</v>
      </c>
    </row>
    <row r="3021" spans="3:6" x14ac:dyDescent="0.25">
      <c r="C3021" t="s">
        <v>52</v>
      </c>
      <c r="D3021">
        <v>2026</v>
      </c>
      <c r="E3021" t="s">
        <v>148</v>
      </c>
      <c r="F3021">
        <v>157.38</v>
      </c>
    </row>
    <row r="3022" spans="3:6" x14ac:dyDescent="0.25">
      <c r="C3022" t="s">
        <v>52</v>
      </c>
      <c r="D3022">
        <v>2026</v>
      </c>
      <c r="E3022" t="s">
        <v>146</v>
      </c>
      <c r="F3022">
        <v>201.97</v>
      </c>
    </row>
    <row r="3023" spans="3:6" x14ac:dyDescent="0.25">
      <c r="C3023" t="s">
        <v>52</v>
      </c>
      <c r="D3023">
        <v>2026</v>
      </c>
      <c r="E3023" t="s">
        <v>142</v>
      </c>
      <c r="F3023">
        <v>616.41999999999996</v>
      </c>
    </row>
    <row r="3024" spans="3:6" x14ac:dyDescent="0.25">
      <c r="C3024" t="s">
        <v>52</v>
      </c>
      <c r="D3024">
        <v>2026</v>
      </c>
      <c r="E3024" t="s">
        <v>143</v>
      </c>
      <c r="F3024">
        <v>1137.8</v>
      </c>
    </row>
    <row r="3025" spans="3:6" x14ac:dyDescent="0.25">
      <c r="C3025" t="s">
        <v>52</v>
      </c>
      <c r="D3025">
        <v>2026</v>
      </c>
      <c r="E3025" t="s">
        <v>144</v>
      </c>
      <c r="F3025">
        <v>245.57</v>
      </c>
    </row>
    <row r="3026" spans="3:6" x14ac:dyDescent="0.25">
      <c r="C3026" t="s">
        <v>52</v>
      </c>
      <c r="D3026">
        <v>2026</v>
      </c>
      <c r="E3026" t="s">
        <v>145</v>
      </c>
      <c r="F3026">
        <v>46.8</v>
      </c>
    </row>
    <row r="3027" spans="3:6" x14ac:dyDescent="0.25">
      <c r="C3027" t="s">
        <v>52</v>
      </c>
      <c r="D3027">
        <v>2027</v>
      </c>
      <c r="E3027" t="s">
        <v>147</v>
      </c>
      <c r="F3027">
        <v>26.37</v>
      </c>
    </row>
    <row r="3028" spans="3:6" x14ac:dyDescent="0.25">
      <c r="C3028" t="s">
        <v>52</v>
      </c>
      <c r="D3028">
        <v>2027</v>
      </c>
      <c r="E3028" t="s">
        <v>148</v>
      </c>
      <c r="F3028">
        <v>156.26</v>
      </c>
    </row>
    <row r="3029" spans="3:6" x14ac:dyDescent="0.25">
      <c r="C3029" t="s">
        <v>52</v>
      </c>
      <c r="D3029">
        <v>2027</v>
      </c>
      <c r="E3029" t="s">
        <v>146</v>
      </c>
      <c r="F3029">
        <v>202.74</v>
      </c>
    </row>
    <row r="3030" spans="3:6" x14ac:dyDescent="0.25">
      <c r="C3030" t="s">
        <v>52</v>
      </c>
      <c r="D3030">
        <v>2027</v>
      </c>
      <c r="E3030" t="s">
        <v>142</v>
      </c>
      <c r="F3030">
        <v>622.04999999999995</v>
      </c>
    </row>
    <row r="3031" spans="3:6" x14ac:dyDescent="0.25">
      <c r="C3031" t="s">
        <v>52</v>
      </c>
      <c r="D3031">
        <v>2027</v>
      </c>
      <c r="E3031" t="s">
        <v>143</v>
      </c>
      <c r="F3031">
        <v>1150.3900000000001</v>
      </c>
    </row>
    <row r="3032" spans="3:6" x14ac:dyDescent="0.25">
      <c r="C3032" t="s">
        <v>52</v>
      </c>
      <c r="D3032">
        <v>2027</v>
      </c>
      <c r="E3032" t="s">
        <v>144</v>
      </c>
      <c r="F3032">
        <v>248.09</v>
      </c>
    </row>
    <row r="3033" spans="3:6" x14ac:dyDescent="0.25">
      <c r="C3033" t="s">
        <v>52</v>
      </c>
      <c r="D3033">
        <v>2027</v>
      </c>
      <c r="E3033" t="s">
        <v>145</v>
      </c>
      <c r="F3033">
        <v>47.87</v>
      </c>
    </row>
    <row r="3034" spans="3:6" x14ac:dyDescent="0.25">
      <c r="C3034" t="s">
        <v>52</v>
      </c>
      <c r="D3034">
        <v>2028</v>
      </c>
      <c r="E3034" t="s">
        <v>147</v>
      </c>
      <c r="F3034">
        <v>26.27</v>
      </c>
    </row>
    <row r="3035" spans="3:6" x14ac:dyDescent="0.25">
      <c r="C3035" t="s">
        <v>52</v>
      </c>
      <c r="D3035">
        <v>2028</v>
      </c>
      <c r="E3035" t="s">
        <v>148</v>
      </c>
      <c r="F3035">
        <v>155.43</v>
      </c>
    </row>
    <row r="3036" spans="3:6" x14ac:dyDescent="0.25">
      <c r="C3036" t="s">
        <v>52</v>
      </c>
      <c r="D3036">
        <v>2028</v>
      </c>
      <c r="E3036" t="s">
        <v>146</v>
      </c>
      <c r="F3036">
        <v>203.57</v>
      </c>
    </row>
    <row r="3037" spans="3:6" x14ac:dyDescent="0.25">
      <c r="C3037" t="s">
        <v>52</v>
      </c>
      <c r="D3037">
        <v>2028</v>
      </c>
      <c r="E3037" t="s">
        <v>142</v>
      </c>
      <c r="F3037">
        <v>627.39</v>
      </c>
    </row>
    <row r="3038" spans="3:6" x14ac:dyDescent="0.25">
      <c r="C3038" t="s">
        <v>52</v>
      </c>
      <c r="D3038">
        <v>2028</v>
      </c>
      <c r="E3038" t="s">
        <v>143</v>
      </c>
      <c r="F3038">
        <v>1158.57</v>
      </c>
    </row>
    <row r="3039" spans="3:6" x14ac:dyDescent="0.25">
      <c r="C3039" t="s">
        <v>52</v>
      </c>
      <c r="D3039">
        <v>2028</v>
      </c>
      <c r="E3039" t="s">
        <v>144</v>
      </c>
      <c r="F3039">
        <v>250.63</v>
      </c>
    </row>
    <row r="3040" spans="3:6" x14ac:dyDescent="0.25">
      <c r="C3040" t="s">
        <v>52</v>
      </c>
      <c r="D3040">
        <v>2028</v>
      </c>
      <c r="E3040" t="s">
        <v>145</v>
      </c>
      <c r="F3040">
        <v>48.96</v>
      </c>
    </row>
    <row r="3041" spans="3:6" x14ac:dyDescent="0.25">
      <c r="C3041" t="s">
        <v>52</v>
      </c>
      <c r="D3041">
        <v>2029</v>
      </c>
      <c r="E3041" t="s">
        <v>147</v>
      </c>
      <c r="F3041">
        <v>26.18</v>
      </c>
    </row>
    <row r="3042" spans="3:6" x14ac:dyDescent="0.25">
      <c r="C3042" t="s">
        <v>52</v>
      </c>
      <c r="D3042">
        <v>2029</v>
      </c>
      <c r="E3042" t="s">
        <v>148</v>
      </c>
      <c r="F3042">
        <v>154.68</v>
      </c>
    </row>
    <row r="3043" spans="3:6" x14ac:dyDescent="0.25">
      <c r="C3043" t="s">
        <v>52</v>
      </c>
      <c r="D3043">
        <v>2029</v>
      </c>
      <c r="E3043" t="s">
        <v>146</v>
      </c>
      <c r="F3043">
        <v>204.33</v>
      </c>
    </row>
    <row r="3044" spans="3:6" x14ac:dyDescent="0.25">
      <c r="C3044" t="s">
        <v>52</v>
      </c>
      <c r="D3044">
        <v>2029</v>
      </c>
      <c r="E3044" t="s">
        <v>142</v>
      </c>
      <c r="F3044">
        <v>632.54999999999995</v>
      </c>
    </row>
    <row r="3045" spans="3:6" x14ac:dyDescent="0.25">
      <c r="C3045" t="s">
        <v>52</v>
      </c>
      <c r="D3045">
        <v>2029</v>
      </c>
      <c r="E3045" t="s">
        <v>143</v>
      </c>
      <c r="F3045">
        <v>1171.96</v>
      </c>
    </row>
    <row r="3046" spans="3:6" x14ac:dyDescent="0.25">
      <c r="C3046" t="s">
        <v>52</v>
      </c>
      <c r="D3046">
        <v>2029</v>
      </c>
      <c r="E3046" t="s">
        <v>144</v>
      </c>
      <c r="F3046">
        <v>253.35</v>
      </c>
    </row>
    <row r="3047" spans="3:6" x14ac:dyDescent="0.25">
      <c r="C3047" t="s">
        <v>52</v>
      </c>
      <c r="D3047">
        <v>2029</v>
      </c>
      <c r="E3047" t="s">
        <v>145</v>
      </c>
      <c r="F3047">
        <v>50.11</v>
      </c>
    </row>
    <row r="3048" spans="3:6" x14ac:dyDescent="0.25">
      <c r="C3048" t="s">
        <v>52</v>
      </c>
      <c r="D3048">
        <v>2030</v>
      </c>
      <c r="E3048" t="s">
        <v>147</v>
      </c>
      <c r="F3048">
        <v>26.09</v>
      </c>
    </row>
    <row r="3049" spans="3:6" x14ac:dyDescent="0.25">
      <c r="C3049" t="s">
        <v>52</v>
      </c>
      <c r="D3049">
        <v>2030</v>
      </c>
      <c r="E3049" t="s">
        <v>148</v>
      </c>
      <c r="F3049">
        <v>153.93</v>
      </c>
    </row>
    <row r="3050" spans="3:6" x14ac:dyDescent="0.25">
      <c r="C3050" t="s">
        <v>52</v>
      </c>
      <c r="D3050">
        <v>2030</v>
      </c>
      <c r="E3050" t="s">
        <v>146</v>
      </c>
      <c r="F3050">
        <v>205.01</v>
      </c>
    </row>
    <row r="3051" spans="3:6" x14ac:dyDescent="0.25">
      <c r="C3051" t="s">
        <v>52</v>
      </c>
      <c r="D3051">
        <v>2030</v>
      </c>
      <c r="E3051" t="s">
        <v>142</v>
      </c>
      <c r="F3051">
        <v>637.63</v>
      </c>
    </row>
    <row r="3052" spans="3:6" x14ac:dyDescent="0.25">
      <c r="C3052" t="s">
        <v>52</v>
      </c>
      <c r="D3052">
        <v>2030</v>
      </c>
      <c r="E3052" t="s">
        <v>143</v>
      </c>
      <c r="F3052">
        <v>1180.97</v>
      </c>
    </row>
    <row r="3053" spans="3:6" x14ac:dyDescent="0.25">
      <c r="C3053" t="s">
        <v>52</v>
      </c>
      <c r="D3053">
        <v>2030</v>
      </c>
      <c r="E3053" t="s">
        <v>144</v>
      </c>
      <c r="F3053">
        <v>256.10000000000002</v>
      </c>
    </row>
    <row r="3054" spans="3:6" x14ac:dyDescent="0.25">
      <c r="C3054" t="s">
        <v>52</v>
      </c>
      <c r="D3054">
        <v>2030</v>
      </c>
      <c r="E3054" t="s">
        <v>145</v>
      </c>
      <c r="F3054">
        <v>51.22</v>
      </c>
    </row>
    <row r="3055" spans="3:6" x14ac:dyDescent="0.25">
      <c r="C3055" t="s">
        <v>52</v>
      </c>
      <c r="D3055">
        <v>2031</v>
      </c>
      <c r="E3055" t="s">
        <v>147</v>
      </c>
      <c r="F3055">
        <v>26</v>
      </c>
    </row>
    <row r="3056" spans="3:6" x14ac:dyDescent="0.25">
      <c r="C3056" t="s">
        <v>52</v>
      </c>
      <c r="D3056">
        <v>2031</v>
      </c>
      <c r="E3056" t="s">
        <v>148</v>
      </c>
      <c r="F3056">
        <v>153.16</v>
      </c>
    </row>
    <row r="3057" spans="3:6" x14ac:dyDescent="0.25">
      <c r="C3057" t="s">
        <v>52</v>
      </c>
      <c r="D3057">
        <v>2031</v>
      </c>
      <c r="E3057" t="s">
        <v>146</v>
      </c>
      <c r="F3057">
        <v>205.52</v>
      </c>
    </row>
    <row r="3058" spans="3:6" x14ac:dyDescent="0.25">
      <c r="C3058" t="s">
        <v>52</v>
      </c>
      <c r="D3058">
        <v>2031</v>
      </c>
      <c r="E3058" t="s">
        <v>142</v>
      </c>
      <c r="F3058">
        <v>641.23</v>
      </c>
    </row>
    <row r="3059" spans="3:6" x14ac:dyDescent="0.25">
      <c r="C3059" t="s">
        <v>52</v>
      </c>
      <c r="D3059">
        <v>2031</v>
      </c>
      <c r="E3059" t="s">
        <v>143</v>
      </c>
      <c r="F3059">
        <v>1192.3</v>
      </c>
    </row>
    <row r="3060" spans="3:6" x14ac:dyDescent="0.25">
      <c r="C3060" t="s">
        <v>52</v>
      </c>
      <c r="D3060">
        <v>2031</v>
      </c>
      <c r="E3060" t="s">
        <v>144</v>
      </c>
      <c r="F3060">
        <v>258.06</v>
      </c>
    </row>
    <row r="3061" spans="3:6" x14ac:dyDescent="0.25">
      <c r="C3061" t="s">
        <v>52</v>
      </c>
      <c r="D3061">
        <v>2031</v>
      </c>
      <c r="E3061" t="s">
        <v>145</v>
      </c>
      <c r="F3061">
        <v>52.27</v>
      </c>
    </row>
    <row r="3062" spans="3:6" x14ac:dyDescent="0.25">
      <c r="C3062" t="s">
        <v>52</v>
      </c>
      <c r="D3062">
        <v>2032</v>
      </c>
      <c r="E3062" t="s">
        <v>147</v>
      </c>
      <c r="F3062">
        <v>25.91</v>
      </c>
    </row>
    <row r="3063" spans="3:6" x14ac:dyDescent="0.25">
      <c r="C3063" t="s">
        <v>52</v>
      </c>
      <c r="D3063">
        <v>2032</v>
      </c>
      <c r="E3063" t="s">
        <v>148</v>
      </c>
      <c r="F3063">
        <v>152.41</v>
      </c>
    </row>
    <row r="3064" spans="3:6" x14ac:dyDescent="0.25">
      <c r="C3064" t="s">
        <v>52</v>
      </c>
      <c r="D3064">
        <v>2032</v>
      </c>
      <c r="E3064" t="s">
        <v>146</v>
      </c>
      <c r="F3064">
        <v>205.07</v>
      </c>
    </row>
    <row r="3065" spans="3:6" x14ac:dyDescent="0.25">
      <c r="C3065" t="s">
        <v>52</v>
      </c>
      <c r="D3065">
        <v>2032</v>
      </c>
      <c r="E3065" t="s">
        <v>142</v>
      </c>
      <c r="F3065">
        <v>643.57000000000005</v>
      </c>
    </row>
    <row r="3066" spans="3:6" x14ac:dyDescent="0.25">
      <c r="C3066" t="s">
        <v>52</v>
      </c>
      <c r="D3066">
        <v>2032</v>
      </c>
      <c r="E3066" t="s">
        <v>143</v>
      </c>
      <c r="F3066">
        <v>1195.04</v>
      </c>
    </row>
    <row r="3067" spans="3:6" x14ac:dyDescent="0.25">
      <c r="C3067" t="s">
        <v>52</v>
      </c>
      <c r="D3067">
        <v>2032</v>
      </c>
      <c r="E3067" t="s">
        <v>144</v>
      </c>
      <c r="F3067">
        <v>259.36</v>
      </c>
    </row>
    <row r="3068" spans="3:6" x14ac:dyDescent="0.25">
      <c r="C3068" t="s">
        <v>52</v>
      </c>
      <c r="D3068">
        <v>2032</v>
      </c>
      <c r="E3068" t="s">
        <v>145</v>
      </c>
      <c r="F3068">
        <v>53.33</v>
      </c>
    </row>
    <row r="3069" spans="3:6" x14ac:dyDescent="0.25">
      <c r="C3069" t="s">
        <v>52</v>
      </c>
      <c r="D3069">
        <v>2033</v>
      </c>
      <c r="E3069" t="s">
        <v>147</v>
      </c>
      <c r="F3069">
        <v>25.82</v>
      </c>
    </row>
    <row r="3070" spans="3:6" x14ac:dyDescent="0.25">
      <c r="C3070" t="s">
        <v>52</v>
      </c>
      <c r="D3070">
        <v>2033</v>
      </c>
      <c r="E3070" t="s">
        <v>148</v>
      </c>
      <c r="F3070">
        <v>151.69</v>
      </c>
    </row>
    <row r="3071" spans="3:6" x14ac:dyDescent="0.25">
      <c r="C3071" t="s">
        <v>52</v>
      </c>
      <c r="D3071">
        <v>2033</v>
      </c>
      <c r="E3071" t="s">
        <v>146</v>
      </c>
      <c r="F3071">
        <v>204.64</v>
      </c>
    </row>
    <row r="3072" spans="3:6" x14ac:dyDescent="0.25">
      <c r="C3072" t="s">
        <v>52</v>
      </c>
      <c r="D3072">
        <v>2033</v>
      </c>
      <c r="E3072" t="s">
        <v>142</v>
      </c>
      <c r="F3072">
        <v>645.74</v>
      </c>
    </row>
    <row r="3073" spans="3:6" x14ac:dyDescent="0.25">
      <c r="C3073" t="s">
        <v>52</v>
      </c>
      <c r="D3073">
        <v>2033</v>
      </c>
      <c r="E3073" t="s">
        <v>143</v>
      </c>
      <c r="F3073">
        <v>1202.43</v>
      </c>
    </row>
    <row r="3074" spans="3:6" x14ac:dyDescent="0.25">
      <c r="C3074" t="s">
        <v>52</v>
      </c>
      <c r="D3074">
        <v>2033</v>
      </c>
      <c r="E3074" t="s">
        <v>144</v>
      </c>
      <c r="F3074">
        <v>260.52999999999997</v>
      </c>
    </row>
    <row r="3075" spans="3:6" x14ac:dyDescent="0.25">
      <c r="C3075" t="s">
        <v>52</v>
      </c>
      <c r="D3075">
        <v>2033</v>
      </c>
      <c r="E3075" t="s">
        <v>145</v>
      </c>
      <c r="F3075">
        <v>54.44</v>
      </c>
    </row>
    <row r="3076" spans="3:6" x14ac:dyDescent="0.25">
      <c r="C3076" t="s">
        <v>52</v>
      </c>
      <c r="D3076">
        <v>2034</v>
      </c>
      <c r="E3076" t="s">
        <v>147</v>
      </c>
      <c r="F3076">
        <v>25.73</v>
      </c>
    </row>
    <row r="3077" spans="3:6" x14ac:dyDescent="0.25">
      <c r="C3077" t="s">
        <v>52</v>
      </c>
      <c r="D3077">
        <v>2034</v>
      </c>
      <c r="E3077" t="s">
        <v>148</v>
      </c>
      <c r="F3077">
        <v>151</v>
      </c>
    </row>
    <row r="3078" spans="3:6" x14ac:dyDescent="0.25">
      <c r="C3078" t="s">
        <v>52</v>
      </c>
      <c r="D3078">
        <v>2034</v>
      </c>
      <c r="E3078" t="s">
        <v>146</v>
      </c>
      <c r="F3078">
        <v>204.32</v>
      </c>
    </row>
    <row r="3079" spans="3:6" x14ac:dyDescent="0.25">
      <c r="C3079" t="s">
        <v>52</v>
      </c>
      <c r="D3079">
        <v>2034</v>
      </c>
      <c r="E3079" t="s">
        <v>142</v>
      </c>
      <c r="F3079">
        <v>647.79999999999995</v>
      </c>
    </row>
    <row r="3080" spans="3:6" x14ac:dyDescent="0.25">
      <c r="C3080" t="s">
        <v>52</v>
      </c>
      <c r="D3080">
        <v>2034</v>
      </c>
      <c r="E3080" t="s">
        <v>143</v>
      </c>
      <c r="F3080">
        <v>1202.5999999999999</v>
      </c>
    </row>
    <row r="3081" spans="3:6" x14ac:dyDescent="0.25">
      <c r="C3081" t="s">
        <v>52</v>
      </c>
      <c r="D3081">
        <v>2034</v>
      </c>
      <c r="E3081" t="s">
        <v>144</v>
      </c>
      <c r="F3081">
        <v>261.64</v>
      </c>
    </row>
    <row r="3082" spans="3:6" x14ac:dyDescent="0.25">
      <c r="C3082" t="s">
        <v>52</v>
      </c>
      <c r="D3082">
        <v>2034</v>
      </c>
      <c r="E3082" t="s">
        <v>145</v>
      </c>
      <c r="F3082">
        <v>55.57</v>
      </c>
    </row>
    <row r="3083" spans="3:6" x14ac:dyDescent="0.25">
      <c r="C3083" t="s">
        <v>52</v>
      </c>
      <c r="D3083">
        <v>2035</v>
      </c>
      <c r="E3083" t="s">
        <v>147</v>
      </c>
      <c r="F3083">
        <v>25.65</v>
      </c>
    </row>
    <row r="3084" spans="3:6" x14ac:dyDescent="0.25">
      <c r="C3084" t="s">
        <v>52</v>
      </c>
      <c r="D3084">
        <v>2035</v>
      </c>
      <c r="E3084" t="s">
        <v>148</v>
      </c>
      <c r="F3084">
        <v>150.35</v>
      </c>
    </row>
    <row r="3085" spans="3:6" x14ac:dyDescent="0.25">
      <c r="C3085" t="s">
        <v>52</v>
      </c>
      <c r="D3085">
        <v>2035</v>
      </c>
      <c r="E3085" t="s">
        <v>146</v>
      </c>
      <c r="F3085">
        <v>204.04</v>
      </c>
    </row>
    <row r="3086" spans="3:6" x14ac:dyDescent="0.25">
      <c r="C3086" t="s">
        <v>52</v>
      </c>
      <c r="D3086">
        <v>2035</v>
      </c>
      <c r="E3086" t="s">
        <v>142</v>
      </c>
      <c r="F3086">
        <v>649.74</v>
      </c>
    </row>
    <row r="3087" spans="3:6" x14ac:dyDescent="0.25">
      <c r="C3087" t="s">
        <v>52</v>
      </c>
      <c r="D3087">
        <v>2035</v>
      </c>
      <c r="E3087" t="s">
        <v>143</v>
      </c>
      <c r="F3087">
        <v>1207.8399999999999</v>
      </c>
    </row>
    <row r="3088" spans="3:6" x14ac:dyDescent="0.25">
      <c r="C3088" t="s">
        <v>52</v>
      </c>
      <c r="D3088">
        <v>2035</v>
      </c>
      <c r="E3088" t="s">
        <v>144</v>
      </c>
      <c r="F3088">
        <v>262.79000000000002</v>
      </c>
    </row>
    <row r="3089" spans="3:6" x14ac:dyDescent="0.25">
      <c r="C3089" t="s">
        <v>52</v>
      </c>
      <c r="D3089">
        <v>2035</v>
      </c>
      <c r="E3089" t="s">
        <v>145</v>
      </c>
      <c r="F3089">
        <v>56.67</v>
      </c>
    </row>
    <row r="3090" spans="3:6" x14ac:dyDescent="0.25">
      <c r="C3090" t="s">
        <v>52</v>
      </c>
      <c r="D3090">
        <v>2036</v>
      </c>
      <c r="E3090" t="s">
        <v>147</v>
      </c>
      <c r="F3090">
        <v>25.57</v>
      </c>
    </row>
    <row r="3091" spans="3:6" x14ac:dyDescent="0.25">
      <c r="C3091" t="s">
        <v>52</v>
      </c>
      <c r="D3091">
        <v>2036</v>
      </c>
      <c r="E3091" t="s">
        <v>148</v>
      </c>
      <c r="F3091">
        <v>149.72999999999999</v>
      </c>
    </row>
    <row r="3092" spans="3:6" x14ac:dyDescent="0.25">
      <c r="C3092" t="s">
        <v>52</v>
      </c>
      <c r="D3092">
        <v>2036</v>
      </c>
      <c r="E3092" t="s">
        <v>146</v>
      </c>
      <c r="F3092">
        <v>203.71</v>
      </c>
    </row>
    <row r="3093" spans="3:6" x14ac:dyDescent="0.25">
      <c r="C3093" t="s">
        <v>52</v>
      </c>
      <c r="D3093">
        <v>2036</v>
      </c>
      <c r="E3093" t="s">
        <v>142</v>
      </c>
      <c r="F3093">
        <v>652.44000000000005</v>
      </c>
    </row>
    <row r="3094" spans="3:6" x14ac:dyDescent="0.25">
      <c r="C3094" t="s">
        <v>52</v>
      </c>
      <c r="D3094">
        <v>2036</v>
      </c>
      <c r="E3094" t="s">
        <v>143</v>
      </c>
      <c r="F3094">
        <v>1210.5899999999999</v>
      </c>
    </row>
    <row r="3095" spans="3:6" x14ac:dyDescent="0.25">
      <c r="C3095" t="s">
        <v>52</v>
      </c>
      <c r="D3095">
        <v>2036</v>
      </c>
      <c r="E3095" t="s">
        <v>144</v>
      </c>
      <c r="F3095">
        <v>264.51</v>
      </c>
    </row>
    <row r="3096" spans="3:6" x14ac:dyDescent="0.25">
      <c r="C3096" t="s">
        <v>52</v>
      </c>
      <c r="D3096">
        <v>2036</v>
      </c>
      <c r="E3096" t="s">
        <v>145</v>
      </c>
      <c r="F3096">
        <v>57.62</v>
      </c>
    </row>
    <row r="3097" spans="3:6" x14ac:dyDescent="0.25">
      <c r="C3097" t="s">
        <v>52</v>
      </c>
      <c r="D3097">
        <v>2037</v>
      </c>
      <c r="E3097" t="s">
        <v>147</v>
      </c>
      <c r="F3097">
        <v>25.5</v>
      </c>
    </row>
    <row r="3098" spans="3:6" x14ac:dyDescent="0.25">
      <c r="C3098" t="s">
        <v>52</v>
      </c>
      <c r="D3098">
        <v>2037</v>
      </c>
      <c r="E3098" t="s">
        <v>148</v>
      </c>
      <c r="F3098">
        <v>149.13999999999999</v>
      </c>
    </row>
    <row r="3099" spans="3:6" x14ac:dyDescent="0.25">
      <c r="C3099" t="s">
        <v>52</v>
      </c>
      <c r="D3099">
        <v>2037</v>
      </c>
      <c r="E3099" t="s">
        <v>146</v>
      </c>
      <c r="F3099">
        <v>203.23</v>
      </c>
    </row>
    <row r="3100" spans="3:6" x14ac:dyDescent="0.25">
      <c r="C3100" t="s">
        <v>52</v>
      </c>
      <c r="D3100">
        <v>2037</v>
      </c>
      <c r="E3100" t="s">
        <v>142</v>
      </c>
      <c r="F3100">
        <v>654.79</v>
      </c>
    </row>
    <row r="3101" spans="3:6" x14ac:dyDescent="0.25">
      <c r="C3101" t="s">
        <v>52</v>
      </c>
      <c r="D3101">
        <v>2037</v>
      </c>
      <c r="E3101" t="s">
        <v>143</v>
      </c>
      <c r="F3101">
        <v>1213.79</v>
      </c>
    </row>
    <row r="3102" spans="3:6" x14ac:dyDescent="0.25">
      <c r="C3102" t="s">
        <v>52</v>
      </c>
      <c r="D3102">
        <v>2037</v>
      </c>
      <c r="E3102" t="s">
        <v>144</v>
      </c>
      <c r="F3102">
        <v>266.11</v>
      </c>
    </row>
    <row r="3103" spans="3:6" x14ac:dyDescent="0.25">
      <c r="C3103" t="s">
        <v>52</v>
      </c>
      <c r="D3103">
        <v>2037</v>
      </c>
      <c r="E3103" t="s">
        <v>145</v>
      </c>
      <c r="F3103">
        <v>58.46</v>
      </c>
    </row>
    <row r="3104" spans="3:6" x14ac:dyDescent="0.25">
      <c r="C3104" t="s">
        <v>52</v>
      </c>
      <c r="D3104">
        <v>2038</v>
      </c>
      <c r="E3104" t="s">
        <v>147</v>
      </c>
      <c r="F3104">
        <v>25.43</v>
      </c>
    </row>
    <row r="3105" spans="3:6" x14ac:dyDescent="0.25">
      <c r="C3105" t="s">
        <v>52</v>
      </c>
      <c r="D3105">
        <v>2038</v>
      </c>
      <c r="E3105" t="s">
        <v>148</v>
      </c>
      <c r="F3105">
        <v>148.59</v>
      </c>
    </row>
    <row r="3106" spans="3:6" x14ac:dyDescent="0.25">
      <c r="C3106" t="s">
        <v>52</v>
      </c>
      <c r="D3106">
        <v>2038</v>
      </c>
      <c r="E3106" t="s">
        <v>146</v>
      </c>
      <c r="F3106">
        <v>202.64</v>
      </c>
    </row>
    <row r="3107" spans="3:6" x14ac:dyDescent="0.25">
      <c r="C3107" t="s">
        <v>52</v>
      </c>
      <c r="D3107">
        <v>2038</v>
      </c>
      <c r="E3107" t="s">
        <v>142</v>
      </c>
      <c r="F3107">
        <v>656.98</v>
      </c>
    </row>
    <row r="3108" spans="3:6" x14ac:dyDescent="0.25">
      <c r="C3108" t="s">
        <v>52</v>
      </c>
      <c r="D3108">
        <v>2038</v>
      </c>
      <c r="E3108" t="s">
        <v>143</v>
      </c>
      <c r="F3108">
        <v>1216.44</v>
      </c>
    </row>
    <row r="3109" spans="3:6" x14ac:dyDescent="0.25">
      <c r="C3109" t="s">
        <v>52</v>
      </c>
      <c r="D3109">
        <v>2038</v>
      </c>
      <c r="E3109" t="s">
        <v>144</v>
      </c>
      <c r="F3109">
        <v>267.62</v>
      </c>
    </row>
    <row r="3110" spans="3:6" x14ac:dyDescent="0.25">
      <c r="C3110" t="s">
        <v>52</v>
      </c>
      <c r="D3110">
        <v>2038</v>
      </c>
      <c r="E3110" t="s">
        <v>145</v>
      </c>
      <c r="F3110">
        <v>59.31</v>
      </c>
    </row>
    <row r="3111" spans="3:6" x14ac:dyDescent="0.25">
      <c r="C3111" t="s">
        <v>52</v>
      </c>
      <c r="D3111">
        <v>2039</v>
      </c>
      <c r="E3111" t="s">
        <v>147</v>
      </c>
      <c r="F3111">
        <v>25.36</v>
      </c>
    </row>
    <row r="3112" spans="3:6" x14ac:dyDescent="0.25">
      <c r="C3112" t="s">
        <v>52</v>
      </c>
      <c r="D3112">
        <v>2039</v>
      </c>
      <c r="E3112" t="s">
        <v>148</v>
      </c>
      <c r="F3112">
        <v>148.05000000000001</v>
      </c>
    </row>
    <row r="3113" spans="3:6" x14ac:dyDescent="0.25">
      <c r="C3113" t="s">
        <v>52</v>
      </c>
      <c r="D3113">
        <v>2039</v>
      </c>
      <c r="E3113" t="s">
        <v>146</v>
      </c>
      <c r="F3113">
        <v>202.13</v>
      </c>
    </row>
    <row r="3114" spans="3:6" x14ac:dyDescent="0.25">
      <c r="C3114" t="s">
        <v>52</v>
      </c>
      <c r="D3114">
        <v>2039</v>
      </c>
      <c r="E3114" t="s">
        <v>142</v>
      </c>
      <c r="F3114">
        <v>659.23</v>
      </c>
    </row>
    <row r="3115" spans="3:6" x14ac:dyDescent="0.25">
      <c r="C3115" t="s">
        <v>52</v>
      </c>
      <c r="D3115">
        <v>2039</v>
      </c>
      <c r="E3115" t="s">
        <v>143</v>
      </c>
      <c r="F3115">
        <v>1217.8900000000001</v>
      </c>
    </row>
    <row r="3116" spans="3:6" x14ac:dyDescent="0.25">
      <c r="C3116" t="s">
        <v>52</v>
      </c>
      <c r="D3116">
        <v>2039</v>
      </c>
      <c r="E3116" t="s">
        <v>144</v>
      </c>
      <c r="F3116">
        <v>269.25</v>
      </c>
    </row>
    <row r="3117" spans="3:6" x14ac:dyDescent="0.25">
      <c r="C3117" t="s">
        <v>52</v>
      </c>
      <c r="D3117">
        <v>2039</v>
      </c>
      <c r="E3117" t="s">
        <v>145</v>
      </c>
      <c r="F3117">
        <v>60.31</v>
      </c>
    </row>
    <row r="3118" spans="3:6" x14ac:dyDescent="0.25">
      <c r="C3118" t="s">
        <v>52</v>
      </c>
      <c r="D3118">
        <v>2040</v>
      </c>
      <c r="E3118" t="s">
        <v>147</v>
      </c>
      <c r="F3118">
        <v>25.3</v>
      </c>
    </row>
    <row r="3119" spans="3:6" x14ac:dyDescent="0.25">
      <c r="C3119" t="s">
        <v>52</v>
      </c>
      <c r="D3119">
        <v>2040</v>
      </c>
      <c r="E3119" t="s">
        <v>148</v>
      </c>
      <c r="F3119">
        <v>147.55000000000001</v>
      </c>
    </row>
    <row r="3120" spans="3:6" x14ac:dyDescent="0.25">
      <c r="C3120" t="s">
        <v>52</v>
      </c>
      <c r="D3120">
        <v>2040</v>
      </c>
      <c r="E3120" t="s">
        <v>146</v>
      </c>
      <c r="F3120">
        <v>201.64</v>
      </c>
    </row>
    <row r="3121" spans="3:6" x14ac:dyDescent="0.25">
      <c r="C3121" t="s">
        <v>52</v>
      </c>
      <c r="D3121">
        <v>2040</v>
      </c>
      <c r="E3121" t="s">
        <v>142</v>
      </c>
      <c r="F3121">
        <v>661.47</v>
      </c>
    </row>
    <row r="3122" spans="3:6" x14ac:dyDescent="0.25">
      <c r="C3122" t="s">
        <v>52</v>
      </c>
      <c r="D3122">
        <v>2040</v>
      </c>
      <c r="E3122" t="s">
        <v>143</v>
      </c>
      <c r="F3122">
        <v>1219.72</v>
      </c>
    </row>
    <row r="3123" spans="3:6" x14ac:dyDescent="0.25">
      <c r="C3123" t="s">
        <v>52</v>
      </c>
      <c r="D3123">
        <v>2040</v>
      </c>
      <c r="E3123" t="s">
        <v>144</v>
      </c>
      <c r="F3123">
        <v>270.75</v>
      </c>
    </row>
    <row r="3124" spans="3:6" x14ac:dyDescent="0.25">
      <c r="C3124" t="s">
        <v>52</v>
      </c>
      <c r="D3124">
        <v>2040</v>
      </c>
      <c r="E3124" t="s">
        <v>145</v>
      </c>
      <c r="F3124">
        <v>60.99</v>
      </c>
    </row>
    <row r="3125" spans="3:6" x14ac:dyDescent="0.25">
      <c r="C3125" t="s">
        <v>52</v>
      </c>
      <c r="D3125">
        <v>2041</v>
      </c>
      <c r="E3125" t="s">
        <v>147</v>
      </c>
      <c r="F3125">
        <v>25.24</v>
      </c>
    </row>
    <row r="3126" spans="3:6" x14ac:dyDescent="0.25">
      <c r="C3126" t="s">
        <v>52</v>
      </c>
      <c r="D3126">
        <v>2041</v>
      </c>
      <c r="E3126" t="s">
        <v>148</v>
      </c>
      <c r="F3126">
        <v>147.09</v>
      </c>
    </row>
    <row r="3127" spans="3:6" x14ac:dyDescent="0.25">
      <c r="C3127" t="s">
        <v>52</v>
      </c>
      <c r="D3127">
        <v>2041</v>
      </c>
      <c r="E3127" t="s">
        <v>146</v>
      </c>
      <c r="F3127">
        <v>201.36</v>
      </c>
    </row>
    <row r="3128" spans="3:6" x14ac:dyDescent="0.25">
      <c r="C3128" t="s">
        <v>52</v>
      </c>
      <c r="D3128">
        <v>2041</v>
      </c>
      <c r="E3128" t="s">
        <v>142</v>
      </c>
      <c r="F3128">
        <v>663.85</v>
      </c>
    </row>
    <row r="3129" spans="3:6" x14ac:dyDescent="0.25">
      <c r="C3129" t="s">
        <v>52</v>
      </c>
      <c r="D3129">
        <v>2041</v>
      </c>
      <c r="E3129" t="s">
        <v>143</v>
      </c>
      <c r="F3129">
        <v>1223.0999999999999</v>
      </c>
    </row>
    <row r="3130" spans="3:6" x14ac:dyDescent="0.25">
      <c r="C3130" t="s">
        <v>52</v>
      </c>
      <c r="D3130">
        <v>2041</v>
      </c>
      <c r="E3130" t="s">
        <v>144</v>
      </c>
      <c r="F3130">
        <v>272.43</v>
      </c>
    </row>
    <row r="3131" spans="3:6" x14ac:dyDescent="0.25">
      <c r="C3131" t="s">
        <v>52</v>
      </c>
      <c r="D3131">
        <v>2041</v>
      </c>
      <c r="E3131" t="s">
        <v>145</v>
      </c>
      <c r="F3131">
        <v>61.83</v>
      </c>
    </row>
    <row r="3132" spans="3:6" x14ac:dyDescent="0.25">
      <c r="C3132" t="s">
        <v>52</v>
      </c>
      <c r="D3132">
        <v>2042</v>
      </c>
      <c r="E3132" t="s">
        <v>147</v>
      </c>
      <c r="F3132">
        <v>25.18</v>
      </c>
    </row>
    <row r="3133" spans="3:6" x14ac:dyDescent="0.25">
      <c r="C3133" t="s">
        <v>52</v>
      </c>
      <c r="D3133">
        <v>2042</v>
      </c>
      <c r="E3133" t="s">
        <v>148</v>
      </c>
      <c r="F3133">
        <v>146.63999999999999</v>
      </c>
    </row>
    <row r="3134" spans="3:6" x14ac:dyDescent="0.25">
      <c r="C3134" t="s">
        <v>52</v>
      </c>
      <c r="D3134">
        <v>2042</v>
      </c>
      <c r="E3134" t="s">
        <v>146</v>
      </c>
      <c r="F3134">
        <v>201.25</v>
      </c>
    </row>
    <row r="3135" spans="3:6" x14ac:dyDescent="0.25">
      <c r="C3135" t="s">
        <v>52</v>
      </c>
      <c r="D3135">
        <v>2042</v>
      </c>
      <c r="E3135" t="s">
        <v>142</v>
      </c>
      <c r="F3135">
        <v>666.39</v>
      </c>
    </row>
    <row r="3136" spans="3:6" x14ac:dyDescent="0.25">
      <c r="C3136" t="s">
        <v>52</v>
      </c>
      <c r="D3136">
        <v>2042</v>
      </c>
      <c r="E3136" t="s">
        <v>143</v>
      </c>
      <c r="F3136">
        <v>1226.31</v>
      </c>
    </row>
    <row r="3137" spans="3:6" x14ac:dyDescent="0.25">
      <c r="C3137" t="s">
        <v>52</v>
      </c>
      <c r="D3137">
        <v>2042</v>
      </c>
      <c r="E3137" t="s">
        <v>144</v>
      </c>
      <c r="F3137">
        <v>274.35000000000002</v>
      </c>
    </row>
    <row r="3138" spans="3:6" x14ac:dyDescent="0.25">
      <c r="C3138" t="s">
        <v>52</v>
      </c>
      <c r="D3138">
        <v>2042</v>
      </c>
      <c r="E3138" t="s">
        <v>145</v>
      </c>
      <c r="F3138">
        <v>62.65</v>
      </c>
    </row>
    <row r="3139" spans="3:6" x14ac:dyDescent="0.25">
      <c r="C3139" t="s">
        <v>52</v>
      </c>
      <c r="D3139">
        <v>2043</v>
      </c>
      <c r="E3139" t="s">
        <v>147</v>
      </c>
      <c r="F3139">
        <v>25.13</v>
      </c>
    </row>
    <row r="3140" spans="3:6" x14ac:dyDescent="0.25">
      <c r="C3140" t="s">
        <v>52</v>
      </c>
      <c r="D3140">
        <v>2043</v>
      </c>
      <c r="E3140" t="s">
        <v>148</v>
      </c>
      <c r="F3140">
        <v>146.22</v>
      </c>
    </row>
    <row r="3141" spans="3:6" x14ac:dyDescent="0.25">
      <c r="C3141" t="s">
        <v>52</v>
      </c>
      <c r="D3141">
        <v>2043</v>
      </c>
      <c r="E3141" t="s">
        <v>146</v>
      </c>
      <c r="F3141">
        <v>201.16</v>
      </c>
    </row>
    <row r="3142" spans="3:6" x14ac:dyDescent="0.25">
      <c r="C3142" t="s">
        <v>52</v>
      </c>
      <c r="D3142">
        <v>2043</v>
      </c>
      <c r="E3142" t="s">
        <v>142</v>
      </c>
      <c r="F3142">
        <v>668.9</v>
      </c>
    </row>
    <row r="3143" spans="3:6" x14ac:dyDescent="0.25">
      <c r="C3143" t="s">
        <v>52</v>
      </c>
      <c r="D3143">
        <v>2043</v>
      </c>
      <c r="E3143" t="s">
        <v>143</v>
      </c>
      <c r="F3143">
        <v>1229.55</v>
      </c>
    </row>
    <row r="3144" spans="3:6" x14ac:dyDescent="0.25">
      <c r="C3144" t="s">
        <v>52</v>
      </c>
      <c r="D3144">
        <v>2043</v>
      </c>
      <c r="E3144" t="s">
        <v>144</v>
      </c>
      <c r="F3144">
        <v>276.3</v>
      </c>
    </row>
    <row r="3145" spans="3:6" x14ac:dyDescent="0.25">
      <c r="C3145" t="s">
        <v>52</v>
      </c>
      <c r="D3145">
        <v>2043</v>
      </c>
      <c r="E3145" t="s">
        <v>145</v>
      </c>
      <c r="F3145">
        <v>63.55</v>
      </c>
    </row>
    <row r="3146" spans="3:6" x14ac:dyDescent="0.25">
      <c r="C3146" t="s">
        <v>52</v>
      </c>
      <c r="D3146">
        <v>2044</v>
      </c>
      <c r="E3146" t="s">
        <v>147</v>
      </c>
      <c r="F3146">
        <v>25.07</v>
      </c>
    </row>
    <row r="3147" spans="3:6" x14ac:dyDescent="0.25">
      <c r="C3147" t="s">
        <v>52</v>
      </c>
      <c r="D3147">
        <v>2044</v>
      </c>
      <c r="E3147" t="s">
        <v>148</v>
      </c>
      <c r="F3147">
        <v>145.81</v>
      </c>
    </row>
    <row r="3148" spans="3:6" x14ac:dyDescent="0.25">
      <c r="C3148" t="s">
        <v>52</v>
      </c>
      <c r="D3148">
        <v>2044</v>
      </c>
      <c r="E3148" t="s">
        <v>146</v>
      </c>
      <c r="F3148">
        <v>201.14</v>
      </c>
    </row>
    <row r="3149" spans="3:6" x14ac:dyDescent="0.25">
      <c r="C3149" t="s">
        <v>52</v>
      </c>
      <c r="D3149">
        <v>2044</v>
      </c>
      <c r="E3149" t="s">
        <v>142</v>
      </c>
      <c r="F3149">
        <v>671.42</v>
      </c>
    </row>
    <row r="3150" spans="3:6" x14ac:dyDescent="0.25">
      <c r="C3150" t="s">
        <v>52</v>
      </c>
      <c r="D3150">
        <v>2044</v>
      </c>
      <c r="E3150" t="s">
        <v>143</v>
      </c>
      <c r="F3150">
        <v>1233.28</v>
      </c>
    </row>
    <row r="3151" spans="3:6" x14ac:dyDescent="0.25">
      <c r="C3151" t="s">
        <v>52</v>
      </c>
      <c r="D3151">
        <v>2044</v>
      </c>
      <c r="E3151" t="s">
        <v>144</v>
      </c>
      <c r="F3151">
        <v>278.42</v>
      </c>
    </row>
    <row r="3152" spans="3:6" x14ac:dyDescent="0.25">
      <c r="C3152" t="s">
        <v>52</v>
      </c>
      <c r="D3152">
        <v>2044</v>
      </c>
      <c r="E3152" t="s">
        <v>145</v>
      </c>
      <c r="F3152">
        <v>64.42</v>
      </c>
    </row>
    <row r="3153" spans="3:6" x14ac:dyDescent="0.25">
      <c r="C3153" t="s">
        <v>52</v>
      </c>
      <c r="D3153">
        <v>2045</v>
      </c>
      <c r="E3153" t="s">
        <v>147</v>
      </c>
      <c r="F3153">
        <v>25.02</v>
      </c>
    </row>
    <row r="3154" spans="3:6" x14ac:dyDescent="0.25">
      <c r="C3154" t="s">
        <v>52</v>
      </c>
      <c r="D3154">
        <v>2045</v>
      </c>
      <c r="E3154" t="s">
        <v>148</v>
      </c>
      <c r="F3154">
        <v>145.44</v>
      </c>
    </row>
    <row r="3155" spans="3:6" x14ac:dyDescent="0.25">
      <c r="C3155" t="s">
        <v>52</v>
      </c>
      <c r="D3155">
        <v>2045</v>
      </c>
      <c r="E3155" t="s">
        <v>146</v>
      </c>
      <c r="F3155">
        <v>201.11</v>
      </c>
    </row>
    <row r="3156" spans="3:6" x14ac:dyDescent="0.25">
      <c r="C3156" t="s">
        <v>52</v>
      </c>
      <c r="D3156">
        <v>2045</v>
      </c>
      <c r="E3156" t="s">
        <v>142</v>
      </c>
      <c r="F3156">
        <v>673.91</v>
      </c>
    </row>
    <row r="3157" spans="3:6" x14ac:dyDescent="0.25">
      <c r="C3157" t="s">
        <v>52</v>
      </c>
      <c r="D3157">
        <v>2045</v>
      </c>
      <c r="E3157" t="s">
        <v>143</v>
      </c>
      <c r="F3157">
        <v>1235.49</v>
      </c>
    </row>
    <row r="3158" spans="3:6" x14ac:dyDescent="0.25">
      <c r="C3158" t="s">
        <v>52</v>
      </c>
      <c r="D3158">
        <v>2045</v>
      </c>
      <c r="E3158" t="s">
        <v>144</v>
      </c>
      <c r="F3158">
        <v>280.72000000000003</v>
      </c>
    </row>
    <row r="3159" spans="3:6" x14ac:dyDescent="0.25">
      <c r="C3159" t="s">
        <v>52</v>
      </c>
      <c r="D3159">
        <v>2045</v>
      </c>
      <c r="E3159" t="s">
        <v>145</v>
      </c>
      <c r="F3159">
        <v>65.290000000000006</v>
      </c>
    </row>
    <row r="3160" spans="3:6" x14ac:dyDescent="0.25">
      <c r="C3160" t="s">
        <v>52</v>
      </c>
      <c r="D3160">
        <v>2046</v>
      </c>
      <c r="E3160" t="s">
        <v>147</v>
      </c>
      <c r="F3160">
        <v>24.98</v>
      </c>
    </row>
    <row r="3161" spans="3:6" x14ac:dyDescent="0.25">
      <c r="C3161" t="s">
        <v>52</v>
      </c>
      <c r="D3161">
        <v>2046</v>
      </c>
      <c r="E3161" t="s">
        <v>148</v>
      </c>
      <c r="F3161">
        <v>145.08000000000001</v>
      </c>
    </row>
    <row r="3162" spans="3:6" x14ac:dyDescent="0.25">
      <c r="C3162" t="s">
        <v>52</v>
      </c>
      <c r="D3162">
        <v>2046</v>
      </c>
      <c r="E3162" t="s">
        <v>146</v>
      </c>
      <c r="F3162">
        <v>200.96</v>
      </c>
    </row>
    <row r="3163" spans="3:6" x14ac:dyDescent="0.25">
      <c r="C3163" t="s">
        <v>52</v>
      </c>
      <c r="D3163">
        <v>2046</v>
      </c>
      <c r="E3163" t="s">
        <v>142</v>
      </c>
      <c r="F3163">
        <v>676.06</v>
      </c>
    </row>
    <row r="3164" spans="3:6" x14ac:dyDescent="0.25">
      <c r="C3164" t="s">
        <v>52</v>
      </c>
      <c r="D3164">
        <v>2046</v>
      </c>
      <c r="E3164" t="s">
        <v>143</v>
      </c>
      <c r="F3164">
        <v>1239.71</v>
      </c>
    </row>
    <row r="3165" spans="3:6" x14ac:dyDescent="0.25">
      <c r="C3165" t="s">
        <v>52</v>
      </c>
      <c r="D3165">
        <v>2046</v>
      </c>
      <c r="E3165" t="s">
        <v>144</v>
      </c>
      <c r="F3165">
        <v>282.79000000000002</v>
      </c>
    </row>
    <row r="3166" spans="3:6" x14ac:dyDescent="0.25">
      <c r="C3166" t="s">
        <v>52</v>
      </c>
      <c r="D3166">
        <v>2046</v>
      </c>
      <c r="E3166" t="s">
        <v>145</v>
      </c>
      <c r="F3166">
        <v>66.12</v>
      </c>
    </row>
    <row r="3167" spans="3:6" x14ac:dyDescent="0.25">
      <c r="C3167" t="s">
        <v>52</v>
      </c>
      <c r="D3167">
        <v>2047</v>
      </c>
      <c r="E3167" t="s">
        <v>147</v>
      </c>
      <c r="F3167">
        <v>24.93</v>
      </c>
    </row>
    <row r="3168" spans="3:6" x14ac:dyDescent="0.25">
      <c r="C3168" t="s">
        <v>52</v>
      </c>
      <c r="D3168">
        <v>2047</v>
      </c>
      <c r="E3168" t="s">
        <v>148</v>
      </c>
      <c r="F3168">
        <v>144.75</v>
      </c>
    </row>
    <row r="3169" spans="3:6" x14ac:dyDescent="0.25">
      <c r="C3169" t="s">
        <v>52</v>
      </c>
      <c r="D3169">
        <v>2047</v>
      </c>
      <c r="E3169" t="s">
        <v>146</v>
      </c>
      <c r="F3169">
        <v>200.75</v>
      </c>
    </row>
    <row r="3170" spans="3:6" x14ac:dyDescent="0.25">
      <c r="C3170" t="s">
        <v>52</v>
      </c>
      <c r="D3170">
        <v>2047</v>
      </c>
      <c r="E3170" t="s">
        <v>142</v>
      </c>
      <c r="F3170">
        <v>678.05</v>
      </c>
    </row>
    <row r="3171" spans="3:6" x14ac:dyDescent="0.25">
      <c r="C3171" t="s">
        <v>52</v>
      </c>
      <c r="D3171">
        <v>2047</v>
      </c>
      <c r="E3171" t="s">
        <v>143</v>
      </c>
      <c r="F3171">
        <v>1239.92</v>
      </c>
    </row>
    <row r="3172" spans="3:6" x14ac:dyDescent="0.25">
      <c r="C3172" t="s">
        <v>52</v>
      </c>
      <c r="D3172">
        <v>2047</v>
      </c>
      <c r="E3172" t="s">
        <v>144</v>
      </c>
      <c r="F3172">
        <v>284.77999999999997</v>
      </c>
    </row>
    <row r="3173" spans="3:6" x14ac:dyDescent="0.25">
      <c r="C3173" t="s">
        <v>52</v>
      </c>
      <c r="D3173">
        <v>2047</v>
      </c>
      <c r="E3173" t="s">
        <v>145</v>
      </c>
      <c r="F3173">
        <v>66.89</v>
      </c>
    </row>
    <row r="3174" spans="3:6" x14ac:dyDescent="0.25">
      <c r="C3174" t="s">
        <v>52</v>
      </c>
      <c r="D3174">
        <v>2048</v>
      </c>
      <c r="E3174" t="s">
        <v>147</v>
      </c>
      <c r="F3174">
        <v>24.89</v>
      </c>
    </row>
    <row r="3175" spans="3:6" x14ac:dyDescent="0.25">
      <c r="C3175" t="s">
        <v>52</v>
      </c>
      <c r="D3175">
        <v>2048</v>
      </c>
      <c r="E3175" t="s">
        <v>148</v>
      </c>
      <c r="F3175">
        <v>144.41999999999999</v>
      </c>
    </row>
    <row r="3176" spans="3:6" x14ac:dyDescent="0.25">
      <c r="C3176" t="s">
        <v>52</v>
      </c>
      <c r="D3176">
        <v>2048</v>
      </c>
      <c r="E3176" t="s">
        <v>146</v>
      </c>
      <c r="F3176">
        <v>200.58</v>
      </c>
    </row>
    <row r="3177" spans="3:6" x14ac:dyDescent="0.25">
      <c r="C3177" t="s">
        <v>52</v>
      </c>
      <c r="D3177">
        <v>2048</v>
      </c>
      <c r="E3177" t="s">
        <v>142</v>
      </c>
      <c r="F3177">
        <v>680.07</v>
      </c>
    </row>
    <row r="3178" spans="3:6" x14ac:dyDescent="0.25">
      <c r="C3178" t="s">
        <v>52</v>
      </c>
      <c r="D3178">
        <v>2048</v>
      </c>
      <c r="E3178" t="s">
        <v>143</v>
      </c>
      <c r="F3178">
        <v>1244.81</v>
      </c>
    </row>
    <row r="3179" spans="3:6" x14ac:dyDescent="0.25">
      <c r="C3179" t="s">
        <v>52</v>
      </c>
      <c r="D3179">
        <v>2048</v>
      </c>
      <c r="E3179" t="s">
        <v>144</v>
      </c>
      <c r="F3179">
        <v>286.91000000000003</v>
      </c>
    </row>
    <row r="3180" spans="3:6" x14ac:dyDescent="0.25">
      <c r="C3180" t="s">
        <v>52</v>
      </c>
      <c r="D3180">
        <v>2048</v>
      </c>
      <c r="E3180" t="s">
        <v>145</v>
      </c>
      <c r="F3180">
        <v>67.66</v>
      </c>
    </row>
    <row r="3181" spans="3:6" x14ac:dyDescent="0.25">
      <c r="C3181" t="s">
        <v>52</v>
      </c>
      <c r="D3181">
        <v>2049</v>
      </c>
      <c r="E3181" t="s">
        <v>147</v>
      </c>
      <c r="F3181">
        <v>24.85</v>
      </c>
    </row>
    <row r="3182" spans="3:6" x14ac:dyDescent="0.25">
      <c r="C3182" t="s">
        <v>52</v>
      </c>
      <c r="D3182">
        <v>2049</v>
      </c>
      <c r="E3182" t="s">
        <v>148</v>
      </c>
      <c r="F3182">
        <v>144.13</v>
      </c>
    </row>
    <row r="3183" spans="3:6" x14ac:dyDescent="0.25">
      <c r="C3183" t="s">
        <v>52</v>
      </c>
      <c r="D3183">
        <v>2049</v>
      </c>
      <c r="E3183" t="s">
        <v>146</v>
      </c>
      <c r="F3183">
        <v>200.44</v>
      </c>
    </row>
    <row r="3184" spans="3:6" x14ac:dyDescent="0.25">
      <c r="C3184" t="s">
        <v>52</v>
      </c>
      <c r="D3184">
        <v>2049</v>
      </c>
      <c r="E3184" t="s">
        <v>142</v>
      </c>
      <c r="F3184">
        <v>682.12</v>
      </c>
    </row>
    <row r="3185" spans="3:6" x14ac:dyDescent="0.25">
      <c r="C3185" t="s">
        <v>52</v>
      </c>
      <c r="D3185">
        <v>2049</v>
      </c>
      <c r="E3185" t="s">
        <v>143</v>
      </c>
      <c r="F3185">
        <v>1246.28</v>
      </c>
    </row>
    <row r="3186" spans="3:6" x14ac:dyDescent="0.25">
      <c r="C3186" t="s">
        <v>52</v>
      </c>
      <c r="D3186">
        <v>2049</v>
      </c>
      <c r="E3186" t="s">
        <v>144</v>
      </c>
      <c r="F3186">
        <v>289.10000000000002</v>
      </c>
    </row>
    <row r="3187" spans="3:6" x14ac:dyDescent="0.25">
      <c r="C3187" t="s">
        <v>52</v>
      </c>
      <c r="D3187">
        <v>2049</v>
      </c>
      <c r="E3187" t="s">
        <v>145</v>
      </c>
      <c r="F3187">
        <v>68.349999999999994</v>
      </c>
    </row>
    <row r="3188" spans="3:6" x14ac:dyDescent="0.25">
      <c r="C3188" t="s">
        <v>52</v>
      </c>
      <c r="D3188">
        <v>2050</v>
      </c>
      <c r="E3188" t="s">
        <v>147</v>
      </c>
      <c r="F3188">
        <v>24.82</v>
      </c>
    </row>
    <row r="3189" spans="3:6" x14ac:dyDescent="0.25">
      <c r="C3189" t="s">
        <v>52</v>
      </c>
      <c r="D3189">
        <v>2050</v>
      </c>
      <c r="E3189" t="s">
        <v>148</v>
      </c>
      <c r="F3189">
        <v>143.88999999999999</v>
      </c>
    </row>
    <row r="3190" spans="3:6" x14ac:dyDescent="0.25">
      <c r="C3190" t="s">
        <v>52</v>
      </c>
      <c r="D3190">
        <v>2050</v>
      </c>
      <c r="E3190" t="s">
        <v>146</v>
      </c>
      <c r="F3190">
        <v>200.34</v>
      </c>
    </row>
    <row r="3191" spans="3:6" x14ac:dyDescent="0.25">
      <c r="C3191" t="s">
        <v>52</v>
      </c>
      <c r="D3191">
        <v>2050</v>
      </c>
      <c r="E3191" t="s">
        <v>142</v>
      </c>
      <c r="F3191">
        <v>684.22</v>
      </c>
    </row>
    <row r="3192" spans="3:6" x14ac:dyDescent="0.25">
      <c r="C3192" t="s">
        <v>52</v>
      </c>
      <c r="D3192">
        <v>2050</v>
      </c>
      <c r="E3192" t="s">
        <v>143</v>
      </c>
      <c r="F3192">
        <v>1250.3399999999999</v>
      </c>
    </row>
    <row r="3193" spans="3:6" x14ac:dyDescent="0.25">
      <c r="C3193" t="s">
        <v>52</v>
      </c>
      <c r="D3193">
        <v>2050</v>
      </c>
      <c r="E3193" t="s">
        <v>144</v>
      </c>
      <c r="F3193">
        <v>291.42</v>
      </c>
    </row>
    <row r="3194" spans="3:6" x14ac:dyDescent="0.25">
      <c r="C3194" t="s">
        <v>52</v>
      </c>
      <c r="D3194">
        <v>2050</v>
      </c>
      <c r="E3194" t="s">
        <v>145</v>
      </c>
      <c r="F3194">
        <v>69</v>
      </c>
    </row>
    <row r="3195" spans="3:6" x14ac:dyDescent="0.25">
      <c r="C3195" t="s">
        <v>126</v>
      </c>
      <c r="D3195">
        <v>2010</v>
      </c>
      <c r="E3195" t="s">
        <v>142</v>
      </c>
      <c r="F3195">
        <v>249.8</v>
      </c>
    </row>
    <row r="3196" spans="3:6" x14ac:dyDescent="0.25">
      <c r="C3196" t="s">
        <v>126</v>
      </c>
      <c r="D3196">
        <v>2010</v>
      </c>
      <c r="E3196" t="s">
        <v>143</v>
      </c>
      <c r="F3196">
        <v>989.98</v>
      </c>
    </row>
    <row r="3197" spans="3:6" x14ac:dyDescent="0.25">
      <c r="C3197" t="s">
        <v>126</v>
      </c>
      <c r="D3197">
        <v>2010</v>
      </c>
      <c r="E3197" t="s">
        <v>144</v>
      </c>
      <c r="F3197">
        <v>463.86</v>
      </c>
    </row>
    <row r="3198" spans="3:6" x14ac:dyDescent="0.25">
      <c r="C3198" t="s">
        <v>126</v>
      </c>
      <c r="D3198">
        <v>2010</v>
      </c>
      <c r="E3198" t="s">
        <v>145</v>
      </c>
      <c r="F3198">
        <v>62.49</v>
      </c>
    </row>
    <row r="3199" spans="3:6" x14ac:dyDescent="0.25">
      <c r="C3199" t="s">
        <v>126</v>
      </c>
      <c r="D3199">
        <v>2011</v>
      </c>
      <c r="E3199" t="s">
        <v>142</v>
      </c>
      <c r="F3199">
        <v>283.04000000000002</v>
      </c>
    </row>
    <row r="3200" spans="3:6" x14ac:dyDescent="0.25">
      <c r="C3200" t="s">
        <v>126</v>
      </c>
      <c r="D3200">
        <v>2011</v>
      </c>
      <c r="E3200" t="s">
        <v>143</v>
      </c>
      <c r="F3200">
        <v>996.52</v>
      </c>
    </row>
    <row r="3201" spans="3:6" x14ac:dyDescent="0.25">
      <c r="C3201" t="s">
        <v>126</v>
      </c>
      <c r="D3201">
        <v>2011</v>
      </c>
      <c r="E3201" t="s">
        <v>144</v>
      </c>
      <c r="F3201">
        <v>476.58</v>
      </c>
    </row>
    <row r="3202" spans="3:6" x14ac:dyDescent="0.25">
      <c r="C3202" t="s">
        <v>126</v>
      </c>
      <c r="D3202">
        <v>2011</v>
      </c>
      <c r="E3202" t="s">
        <v>145</v>
      </c>
      <c r="F3202">
        <v>68.59</v>
      </c>
    </row>
    <row r="3203" spans="3:6" x14ac:dyDescent="0.25">
      <c r="C3203" t="s">
        <v>126</v>
      </c>
      <c r="D3203">
        <v>2012</v>
      </c>
      <c r="E3203" t="s">
        <v>142</v>
      </c>
      <c r="F3203">
        <v>279.85000000000002</v>
      </c>
    </row>
    <row r="3204" spans="3:6" x14ac:dyDescent="0.25">
      <c r="C3204" t="s">
        <v>126</v>
      </c>
      <c r="D3204">
        <v>2012</v>
      </c>
      <c r="E3204" t="s">
        <v>143</v>
      </c>
      <c r="F3204">
        <v>1014.8</v>
      </c>
    </row>
    <row r="3205" spans="3:6" x14ac:dyDescent="0.25">
      <c r="C3205" t="s">
        <v>126</v>
      </c>
      <c r="D3205">
        <v>2012</v>
      </c>
      <c r="E3205" t="s">
        <v>144</v>
      </c>
      <c r="F3205">
        <v>486.66</v>
      </c>
    </row>
    <row r="3206" spans="3:6" x14ac:dyDescent="0.25">
      <c r="C3206" t="s">
        <v>126</v>
      </c>
      <c r="D3206">
        <v>2012</v>
      </c>
      <c r="E3206" t="s">
        <v>145</v>
      </c>
      <c r="F3206">
        <v>62.87</v>
      </c>
    </row>
    <row r="3207" spans="3:6" x14ac:dyDescent="0.25">
      <c r="C3207" t="s">
        <v>126</v>
      </c>
      <c r="D3207">
        <v>2013</v>
      </c>
      <c r="E3207" t="s">
        <v>142</v>
      </c>
      <c r="F3207">
        <v>301.06</v>
      </c>
    </row>
    <row r="3208" spans="3:6" x14ac:dyDescent="0.25">
      <c r="C3208" t="s">
        <v>126</v>
      </c>
      <c r="D3208">
        <v>2013</v>
      </c>
      <c r="E3208" t="s">
        <v>143</v>
      </c>
      <c r="F3208">
        <v>982.08</v>
      </c>
    </row>
    <row r="3209" spans="3:6" x14ac:dyDescent="0.25">
      <c r="C3209" t="s">
        <v>126</v>
      </c>
      <c r="D3209">
        <v>2013</v>
      </c>
      <c r="E3209" t="s">
        <v>144</v>
      </c>
      <c r="F3209">
        <v>498.84</v>
      </c>
    </row>
    <row r="3210" spans="3:6" x14ac:dyDescent="0.25">
      <c r="C3210" t="s">
        <v>126</v>
      </c>
      <c r="D3210">
        <v>2013</v>
      </c>
      <c r="E3210" t="s">
        <v>145</v>
      </c>
      <c r="F3210">
        <v>59.06</v>
      </c>
    </row>
    <row r="3211" spans="3:6" x14ac:dyDescent="0.25">
      <c r="C3211" t="s">
        <v>126</v>
      </c>
      <c r="D3211">
        <v>2014</v>
      </c>
      <c r="E3211" t="s">
        <v>142</v>
      </c>
      <c r="F3211">
        <v>310.14999999999998</v>
      </c>
    </row>
    <row r="3212" spans="3:6" x14ac:dyDescent="0.25">
      <c r="C3212" t="s">
        <v>126</v>
      </c>
      <c r="D3212">
        <v>2014</v>
      </c>
      <c r="E3212" t="s">
        <v>143</v>
      </c>
      <c r="F3212">
        <v>933.27</v>
      </c>
    </row>
    <row r="3213" spans="3:6" x14ac:dyDescent="0.25">
      <c r="C3213" t="s">
        <v>126</v>
      </c>
      <c r="D3213">
        <v>2014</v>
      </c>
      <c r="E3213" t="s">
        <v>144</v>
      </c>
      <c r="F3213">
        <v>513.36</v>
      </c>
    </row>
    <row r="3214" spans="3:6" x14ac:dyDescent="0.25">
      <c r="C3214" t="s">
        <v>126</v>
      </c>
      <c r="D3214">
        <v>2014</v>
      </c>
      <c r="E3214" t="s">
        <v>145</v>
      </c>
      <c r="F3214">
        <v>56.65</v>
      </c>
    </row>
    <row r="3215" spans="3:6" x14ac:dyDescent="0.25">
      <c r="C3215" t="s">
        <v>126</v>
      </c>
      <c r="D3215">
        <v>2015</v>
      </c>
      <c r="E3215" t="s">
        <v>142</v>
      </c>
      <c r="F3215">
        <v>307.08</v>
      </c>
    </row>
    <row r="3216" spans="3:6" x14ac:dyDescent="0.25">
      <c r="C3216" t="s">
        <v>126</v>
      </c>
      <c r="D3216">
        <v>2015</v>
      </c>
      <c r="E3216" t="s">
        <v>143</v>
      </c>
      <c r="F3216">
        <v>928.01</v>
      </c>
    </row>
    <row r="3217" spans="3:6" x14ac:dyDescent="0.25">
      <c r="C3217" t="s">
        <v>126</v>
      </c>
      <c r="D3217">
        <v>2015</v>
      </c>
      <c r="E3217" t="s">
        <v>144</v>
      </c>
      <c r="F3217">
        <v>519.74</v>
      </c>
    </row>
    <row r="3218" spans="3:6" x14ac:dyDescent="0.25">
      <c r="C3218" t="s">
        <v>126</v>
      </c>
      <c r="D3218">
        <v>2015</v>
      </c>
      <c r="E3218" t="s">
        <v>145</v>
      </c>
      <c r="F3218">
        <v>52.43</v>
      </c>
    </row>
    <row r="3219" spans="3:6" x14ac:dyDescent="0.25">
      <c r="C3219" t="s">
        <v>126</v>
      </c>
      <c r="D3219">
        <v>2016</v>
      </c>
      <c r="E3219" t="s">
        <v>142</v>
      </c>
      <c r="F3219">
        <v>314.92</v>
      </c>
    </row>
    <row r="3220" spans="3:6" x14ac:dyDescent="0.25">
      <c r="C3220" t="s">
        <v>126</v>
      </c>
      <c r="D3220">
        <v>2016</v>
      </c>
      <c r="E3220" t="s">
        <v>143</v>
      </c>
      <c r="F3220">
        <v>935.88</v>
      </c>
    </row>
    <row r="3221" spans="3:6" x14ac:dyDescent="0.25">
      <c r="C3221" t="s">
        <v>126</v>
      </c>
      <c r="D3221">
        <v>2016</v>
      </c>
      <c r="E3221" t="s">
        <v>144</v>
      </c>
      <c r="F3221">
        <v>520.63</v>
      </c>
    </row>
    <row r="3222" spans="3:6" x14ac:dyDescent="0.25">
      <c r="C3222" t="s">
        <v>126</v>
      </c>
      <c r="D3222">
        <v>2016</v>
      </c>
      <c r="E3222" t="s">
        <v>145</v>
      </c>
      <c r="F3222">
        <v>51.26</v>
      </c>
    </row>
    <row r="3223" spans="3:6" x14ac:dyDescent="0.25">
      <c r="C3223" t="s">
        <v>126</v>
      </c>
      <c r="D3223">
        <v>2017</v>
      </c>
      <c r="E3223" t="s">
        <v>142</v>
      </c>
      <c r="F3223">
        <v>315.98</v>
      </c>
    </row>
    <row r="3224" spans="3:6" x14ac:dyDescent="0.25">
      <c r="C3224" t="s">
        <v>126</v>
      </c>
      <c r="D3224">
        <v>2017</v>
      </c>
      <c r="E3224" t="s">
        <v>143</v>
      </c>
      <c r="F3224">
        <v>929.99</v>
      </c>
    </row>
    <row r="3225" spans="3:6" x14ac:dyDescent="0.25">
      <c r="C3225" t="s">
        <v>126</v>
      </c>
      <c r="D3225">
        <v>2017</v>
      </c>
      <c r="E3225" t="s">
        <v>144</v>
      </c>
      <c r="F3225">
        <v>533.44000000000005</v>
      </c>
    </row>
    <row r="3226" spans="3:6" x14ac:dyDescent="0.25">
      <c r="C3226" t="s">
        <v>126</v>
      </c>
      <c r="D3226">
        <v>2017</v>
      </c>
      <c r="E3226" t="s">
        <v>145</v>
      </c>
      <c r="F3226">
        <v>54.27</v>
      </c>
    </row>
    <row r="3227" spans="3:6" x14ac:dyDescent="0.25">
      <c r="C3227" t="s">
        <v>126</v>
      </c>
      <c r="D3227">
        <v>2018</v>
      </c>
      <c r="E3227" t="s">
        <v>142</v>
      </c>
      <c r="F3227">
        <v>324.63</v>
      </c>
    </row>
    <row r="3228" spans="3:6" x14ac:dyDescent="0.25">
      <c r="C3228" t="s">
        <v>126</v>
      </c>
      <c r="D3228">
        <v>2018</v>
      </c>
      <c r="E3228" t="s">
        <v>143</v>
      </c>
      <c r="F3228">
        <v>968.75</v>
      </c>
    </row>
    <row r="3229" spans="3:6" x14ac:dyDescent="0.25">
      <c r="C3229" t="s">
        <v>126</v>
      </c>
      <c r="D3229">
        <v>2018</v>
      </c>
      <c r="E3229" t="s">
        <v>144</v>
      </c>
      <c r="F3229">
        <v>533.09</v>
      </c>
    </row>
    <row r="3230" spans="3:6" x14ac:dyDescent="0.25">
      <c r="C3230" t="s">
        <v>126</v>
      </c>
      <c r="D3230">
        <v>2018</v>
      </c>
      <c r="E3230" t="s">
        <v>145</v>
      </c>
      <c r="F3230">
        <v>54.65</v>
      </c>
    </row>
    <row r="3231" spans="3:6" x14ac:dyDescent="0.25">
      <c r="C3231" t="s">
        <v>126</v>
      </c>
      <c r="D3231">
        <v>2019</v>
      </c>
      <c r="E3231" t="s">
        <v>147</v>
      </c>
      <c r="F3231">
        <v>245.28</v>
      </c>
    </row>
    <row r="3232" spans="3:6" x14ac:dyDescent="0.25">
      <c r="C3232" t="s">
        <v>126</v>
      </c>
      <c r="D3232">
        <v>2019</v>
      </c>
      <c r="E3232" t="s">
        <v>148</v>
      </c>
      <c r="F3232">
        <v>332.29</v>
      </c>
    </row>
    <row r="3233" spans="3:6" x14ac:dyDescent="0.25">
      <c r="C3233" t="s">
        <v>126</v>
      </c>
      <c r="D3233">
        <v>2019</v>
      </c>
      <c r="E3233" t="s">
        <v>146</v>
      </c>
      <c r="F3233">
        <v>313.85000000000002</v>
      </c>
    </row>
    <row r="3234" spans="3:6" x14ac:dyDescent="0.25">
      <c r="C3234" t="s">
        <v>126</v>
      </c>
      <c r="D3234">
        <v>2019</v>
      </c>
      <c r="E3234" t="s">
        <v>142</v>
      </c>
      <c r="F3234">
        <v>336.38</v>
      </c>
    </row>
    <row r="3235" spans="3:6" x14ac:dyDescent="0.25">
      <c r="C3235" t="s">
        <v>126</v>
      </c>
      <c r="D3235">
        <v>2019</v>
      </c>
      <c r="E3235" t="s">
        <v>143</v>
      </c>
      <c r="F3235">
        <v>877.12</v>
      </c>
    </row>
    <row r="3236" spans="3:6" x14ac:dyDescent="0.25">
      <c r="C3236" t="s">
        <v>126</v>
      </c>
      <c r="D3236">
        <v>2019</v>
      </c>
      <c r="E3236" t="s">
        <v>144</v>
      </c>
      <c r="F3236">
        <v>546.64</v>
      </c>
    </row>
    <row r="3237" spans="3:6" x14ac:dyDescent="0.25">
      <c r="C3237" t="s">
        <v>126</v>
      </c>
      <c r="D3237">
        <v>2019</v>
      </c>
      <c r="E3237" t="s">
        <v>145</v>
      </c>
      <c r="F3237">
        <v>60.91</v>
      </c>
    </row>
    <row r="3238" spans="3:6" x14ac:dyDescent="0.25">
      <c r="C3238" t="s">
        <v>126</v>
      </c>
      <c r="D3238">
        <v>2020</v>
      </c>
      <c r="E3238" t="s">
        <v>147</v>
      </c>
      <c r="F3238">
        <v>246.4</v>
      </c>
    </row>
    <row r="3239" spans="3:6" x14ac:dyDescent="0.25">
      <c r="C3239" t="s">
        <v>126</v>
      </c>
      <c r="D3239">
        <v>2020</v>
      </c>
      <c r="E3239" t="s">
        <v>148</v>
      </c>
      <c r="F3239">
        <v>332.34</v>
      </c>
    </row>
    <row r="3240" spans="3:6" x14ac:dyDescent="0.25">
      <c r="C3240" t="s">
        <v>126</v>
      </c>
      <c r="D3240">
        <v>2020</v>
      </c>
      <c r="E3240" t="s">
        <v>146</v>
      </c>
      <c r="F3240">
        <v>310.13</v>
      </c>
    </row>
    <row r="3241" spans="3:6" x14ac:dyDescent="0.25">
      <c r="C3241" t="s">
        <v>126</v>
      </c>
      <c r="D3241">
        <v>2020</v>
      </c>
      <c r="E3241" t="s">
        <v>142</v>
      </c>
      <c r="F3241">
        <v>333.03</v>
      </c>
    </row>
    <row r="3242" spans="3:6" x14ac:dyDescent="0.25">
      <c r="C3242" t="s">
        <v>126</v>
      </c>
      <c r="D3242">
        <v>2020</v>
      </c>
      <c r="E3242" t="s">
        <v>143</v>
      </c>
      <c r="F3242">
        <v>822.47</v>
      </c>
    </row>
    <row r="3243" spans="3:6" x14ac:dyDescent="0.25">
      <c r="C3243" t="s">
        <v>126</v>
      </c>
      <c r="D3243">
        <v>2020</v>
      </c>
      <c r="E3243" t="s">
        <v>144</v>
      </c>
      <c r="F3243">
        <v>552.86</v>
      </c>
    </row>
    <row r="3244" spans="3:6" x14ac:dyDescent="0.25">
      <c r="C3244" t="s">
        <v>126</v>
      </c>
      <c r="D3244">
        <v>2020</v>
      </c>
      <c r="E3244" t="s">
        <v>145</v>
      </c>
      <c r="F3244">
        <v>55.2</v>
      </c>
    </row>
    <row r="3245" spans="3:6" x14ac:dyDescent="0.25">
      <c r="C3245" t="s">
        <v>126</v>
      </c>
      <c r="D3245">
        <v>2021</v>
      </c>
      <c r="E3245" t="s">
        <v>147</v>
      </c>
      <c r="F3245">
        <v>248.84</v>
      </c>
    </row>
    <row r="3246" spans="3:6" x14ac:dyDescent="0.25">
      <c r="C3246" t="s">
        <v>126</v>
      </c>
      <c r="D3246">
        <v>2021</v>
      </c>
      <c r="E3246" t="s">
        <v>148</v>
      </c>
      <c r="F3246">
        <v>333.46</v>
      </c>
    </row>
    <row r="3247" spans="3:6" x14ac:dyDescent="0.25">
      <c r="C3247" t="s">
        <v>126</v>
      </c>
      <c r="D3247">
        <v>2021</v>
      </c>
      <c r="E3247" t="s">
        <v>146</v>
      </c>
      <c r="F3247">
        <v>319.31</v>
      </c>
    </row>
    <row r="3248" spans="3:6" x14ac:dyDescent="0.25">
      <c r="C3248" t="s">
        <v>126</v>
      </c>
      <c r="D3248">
        <v>2021</v>
      </c>
      <c r="E3248" t="s">
        <v>142</v>
      </c>
      <c r="F3248">
        <v>344.83</v>
      </c>
    </row>
    <row r="3249" spans="3:6" x14ac:dyDescent="0.25">
      <c r="C3249" t="s">
        <v>126</v>
      </c>
      <c r="D3249">
        <v>2021</v>
      </c>
      <c r="E3249" t="s">
        <v>143</v>
      </c>
      <c r="F3249">
        <v>895.71</v>
      </c>
    </row>
    <row r="3250" spans="3:6" x14ac:dyDescent="0.25">
      <c r="C3250" t="s">
        <v>126</v>
      </c>
      <c r="D3250">
        <v>2021</v>
      </c>
      <c r="E3250" t="s">
        <v>144</v>
      </c>
      <c r="F3250">
        <v>566.1</v>
      </c>
    </row>
    <row r="3251" spans="3:6" x14ac:dyDescent="0.25">
      <c r="C3251" t="s">
        <v>126</v>
      </c>
      <c r="D3251">
        <v>2021</v>
      </c>
      <c r="E3251" t="s">
        <v>145</v>
      </c>
      <c r="F3251">
        <v>56.24</v>
      </c>
    </row>
    <row r="3252" spans="3:6" x14ac:dyDescent="0.25">
      <c r="C3252" t="s">
        <v>126</v>
      </c>
      <c r="D3252">
        <v>2022</v>
      </c>
      <c r="E3252" t="s">
        <v>147</v>
      </c>
      <c r="F3252">
        <v>251.77</v>
      </c>
    </row>
    <row r="3253" spans="3:6" x14ac:dyDescent="0.25">
      <c r="C3253" t="s">
        <v>126</v>
      </c>
      <c r="D3253">
        <v>2022</v>
      </c>
      <c r="E3253" t="s">
        <v>148</v>
      </c>
      <c r="F3253">
        <v>335.04</v>
      </c>
    </row>
    <row r="3254" spans="3:6" x14ac:dyDescent="0.25">
      <c r="C3254" t="s">
        <v>126</v>
      </c>
      <c r="D3254">
        <v>2022</v>
      </c>
      <c r="E3254" t="s">
        <v>146</v>
      </c>
      <c r="F3254">
        <v>329.57</v>
      </c>
    </row>
    <row r="3255" spans="3:6" x14ac:dyDescent="0.25">
      <c r="C3255" t="s">
        <v>126</v>
      </c>
      <c r="D3255">
        <v>2022</v>
      </c>
      <c r="E3255" t="s">
        <v>142</v>
      </c>
      <c r="F3255">
        <v>363.34</v>
      </c>
    </row>
    <row r="3256" spans="3:6" x14ac:dyDescent="0.25">
      <c r="C3256" t="s">
        <v>126</v>
      </c>
      <c r="D3256">
        <v>2022</v>
      </c>
      <c r="E3256" t="s">
        <v>143</v>
      </c>
      <c r="F3256">
        <v>904.56</v>
      </c>
    </row>
    <row r="3257" spans="3:6" x14ac:dyDescent="0.25">
      <c r="C3257" t="s">
        <v>126</v>
      </c>
      <c r="D3257">
        <v>2022</v>
      </c>
      <c r="E3257" t="s">
        <v>144</v>
      </c>
      <c r="F3257">
        <v>582.95000000000005</v>
      </c>
    </row>
    <row r="3258" spans="3:6" x14ac:dyDescent="0.25">
      <c r="C3258" t="s">
        <v>126</v>
      </c>
      <c r="D3258">
        <v>2022</v>
      </c>
      <c r="E3258" t="s">
        <v>145</v>
      </c>
      <c r="F3258">
        <v>57.05</v>
      </c>
    </row>
    <row r="3259" spans="3:6" x14ac:dyDescent="0.25">
      <c r="C3259" t="s">
        <v>126</v>
      </c>
      <c r="D3259">
        <v>2023</v>
      </c>
      <c r="E3259" t="s">
        <v>147</v>
      </c>
      <c r="F3259">
        <v>253.9</v>
      </c>
    </row>
    <row r="3260" spans="3:6" x14ac:dyDescent="0.25">
      <c r="C3260" t="s">
        <v>126</v>
      </c>
      <c r="D3260">
        <v>2023</v>
      </c>
      <c r="E3260" t="s">
        <v>148</v>
      </c>
      <c r="F3260">
        <v>335.65</v>
      </c>
    </row>
    <row r="3261" spans="3:6" x14ac:dyDescent="0.25">
      <c r="C3261" t="s">
        <v>126</v>
      </c>
      <c r="D3261">
        <v>2023</v>
      </c>
      <c r="E3261" t="s">
        <v>146</v>
      </c>
      <c r="F3261">
        <v>337.55</v>
      </c>
    </row>
    <row r="3262" spans="3:6" x14ac:dyDescent="0.25">
      <c r="C3262" t="s">
        <v>126</v>
      </c>
      <c r="D3262">
        <v>2023</v>
      </c>
      <c r="E3262" t="s">
        <v>142</v>
      </c>
      <c r="F3262">
        <v>375.94</v>
      </c>
    </row>
    <row r="3263" spans="3:6" x14ac:dyDescent="0.25">
      <c r="C3263" t="s">
        <v>126</v>
      </c>
      <c r="D3263">
        <v>2023</v>
      </c>
      <c r="E3263" t="s">
        <v>143</v>
      </c>
      <c r="F3263">
        <v>910.21</v>
      </c>
    </row>
    <row r="3264" spans="3:6" x14ac:dyDescent="0.25">
      <c r="C3264" t="s">
        <v>126</v>
      </c>
      <c r="D3264">
        <v>2023</v>
      </c>
      <c r="E3264" t="s">
        <v>144</v>
      </c>
      <c r="F3264">
        <v>596.82000000000005</v>
      </c>
    </row>
    <row r="3265" spans="3:6" x14ac:dyDescent="0.25">
      <c r="C3265" t="s">
        <v>126</v>
      </c>
      <c r="D3265">
        <v>2023</v>
      </c>
      <c r="E3265" t="s">
        <v>145</v>
      </c>
      <c r="F3265">
        <v>57.35</v>
      </c>
    </row>
    <row r="3266" spans="3:6" x14ac:dyDescent="0.25">
      <c r="C3266" t="s">
        <v>126</v>
      </c>
      <c r="D3266">
        <v>2024</v>
      </c>
      <c r="E3266" t="s">
        <v>147</v>
      </c>
      <c r="F3266">
        <v>255.61</v>
      </c>
    </row>
    <row r="3267" spans="3:6" x14ac:dyDescent="0.25">
      <c r="C3267" t="s">
        <v>126</v>
      </c>
      <c r="D3267">
        <v>2024</v>
      </c>
      <c r="E3267" t="s">
        <v>148</v>
      </c>
      <c r="F3267">
        <v>335.73</v>
      </c>
    </row>
    <row r="3268" spans="3:6" x14ac:dyDescent="0.25">
      <c r="C3268" t="s">
        <v>126</v>
      </c>
      <c r="D3268">
        <v>2024</v>
      </c>
      <c r="E3268" t="s">
        <v>146</v>
      </c>
      <c r="F3268">
        <v>343.17</v>
      </c>
    </row>
    <row r="3269" spans="3:6" x14ac:dyDescent="0.25">
      <c r="C3269" t="s">
        <v>126</v>
      </c>
      <c r="D3269">
        <v>2024</v>
      </c>
      <c r="E3269" t="s">
        <v>142</v>
      </c>
      <c r="F3269">
        <v>386.47</v>
      </c>
    </row>
    <row r="3270" spans="3:6" x14ac:dyDescent="0.25">
      <c r="C3270" t="s">
        <v>126</v>
      </c>
      <c r="D3270">
        <v>2024</v>
      </c>
      <c r="E3270" t="s">
        <v>143</v>
      </c>
      <c r="F3270">
        <v>905.45</v>
      </c>
    </row>
    <row r="3271" spans="3:6" x14ac:dyDescent="0.25">
      <c r="C3271" t="s">
        <v>126</v>
      </c>
      <c r="D3271">
        <v>2024</v>
      </c>
      <c r="E3271" t="s">
        <v>144</v>
      </c>
      <c r="F3271">
        <v>609.29</v>
      </c>
    </row>
    <row r="3272" spans="3:6" x14ac:dyDescent="0.25">
      <c r="C3272" t="s">
        <v>126</v>
      </c>
      <c r="D3272">
        <v>2024</v>
      </c>
      <c r="E3272" t="s">
        <v>145</v>
      </c>
      <c r="F3272">
        <v>57.23</v>
      </c>
    </row>
    <row r="3273" spans="3:6" x14ac:dyDescent="0.25">
      <c r="C3273" t="s">
        <v>126</v>
      </c>
      <c r="D3273">
        <v>2025</v>
      </c>
      <c r="E3273" t="s">
        <v>147</v>
      </c>
      <c r="F3273">
        <v>257.07</v>
      </c>
    </row>
    <row r="3274" spans="3:6" x14ac:dyDescent="0.25">
      <c r="C3274" t="s">
        <v>126</v>
      </c>
      <c r="D3274">
        <v>2025</v>
      </c>
      <c r="E3274" t="s">
        <v>148</v>
      </c>
      <c r="F3274">
        <v>335.51</v>
      </c>
    </row>
    <row r="3275" spans="3:6" x14ac:dyDescent="0.25">
      <c r="C3275" t="s">
        <v>126</v>
      </c>
      <c r="D3275">
        <v>2025</v>
      </c>
      <c r="E3275" t="s">
        <v>146</v>
      </c>
      <c r="F3275">
        <v>347.72</v>
      </c>
    </row>
    <row r="3276" spans="3:6" x14ac:dyDescent="0.25">
      <c r="C3276" t="s">
        <v>126</v>
      </c>
      <c r="D3276">
        <v>2025</v>
      </c>
      <c r="E3276" t="s">
        <v>142</v>
      </c>
      <c r="F3276">
        <v>395.35</v>
      </c>
    </row>
    <row r="3277" spans="3:6" x14ac:dyDescent="0.25">
      <c r="C3277" t="s">
        <v>126</v>
      </c>
      <c r="D3277">
        <v>2025</v>
      </c>
      <c r="E3277" t="s">
        <v>143</v>
      </c>
      <c r="F3277">
        <v>919.89</v>
      </c>
    </row>
    <row r="3278" spans="3:6" x14ac:dyDescent="0.25">
      <c r="C3278" t="s">
        <v>126</v>
      </c>
      <c r="D3278">
        <v>2025</v>
      </c>
      <c r="E3278" t="s">
        <v>144</v>
      </c>
      <c r="F3278">
        <v>620.83000000000004</v>
      </c>
    </row>
    <row r="3279" spans="3:6" x14ac:dyDescent="0.25">
      <c r="C3279" t="s">
        <v>126</v>
      </c>
      <c r="D3279">
        <v>2025</v>
      </c>
      <c r="E3279" t="s">
        <v>145</v>
      </c>
      <c r="F3279">
        <v>56.89</v>
      </c>
    </row>
    <row r="3280" spans="3:6" x14ac:dyDescent="0.25">
      <c r="C3280" t="s">
        <v>126</v>
      </c>
      <c r="D3280">
        <v>2026</v>
      </c>
      <c r="E3280" t="s">
        <v>147</v>
      </c>
      <c r="F3280">
        <v>258.75</v>
      </c>
    </row>
    <row r="3281" spans="3:6" x14ac:dyDescent="0.25">
      <c r="C3281" t="s">
        <v>126</v>
      </c>
      <c r="D3281">
        <v>2026</v>
      </c>
      <c r="E3281" t="s">
        <v>148</v>
      </c>
      <c r="F3281">
        <v>335.66</v>
      </c>
    </row>
    <row r="3282" spans="3:6" x14ac:dyDescent="0.25">
      <c r="C3282" t="s">
        <v>126</v>
      </c>
      <c r="D3282">
        <v>2026</v>
      </c>
      <c r="E3282" t="s">
        <v>146</v>
      </c>
      <c r="F3282">
        <v>352.51</v>
      </c>
    </row>
    <row r="3283" spans="3:6" x14ac:dyDescent="0.25">
      <c r="C3283" t="s">
        <v>126</v>
      </c>
      <c r="D3283">
        <v>2026</v>
      </c>
      <c r="E3283" t="s">
        <v>142</v>
      </c>
      <c r="F3283">
        <v>403.74</v>
      </c>
    </row>
    <row r="3284" spans="3:6" x14ac:dyDescent="0.25">
      <c r="C3284" t="s">
        <v>126</v>
      </c>
      <c r="D3284">
        <v>2026</v>
      </c>
      <c r="E3284" t="s">
        <v>143</v>
      </c>
      <c r="F3284">
        <v>913.87</v>
      </c>
    </row>
    <row r="3285" spans="3:6" x14ac:dyDescent="0.25">
      <c r="C3285" t="s">
        <v>126</v>
      </c>
      <c r="D3285">
        <v>2026</v>
      </c>
      <c r="E3285" t="s">
        <v>144</v>
      </c>
      <c r="F3285">
        <v>632.25</v>
      </c>
    </row>
    <row r="3286" spans="3:6" x14ac:dyDescent="0.25">
      <c r="C3286" t="s">
        <v>126</v>
      </c>
      <c r="D3286">
        <v>2026</v>
      </c>
      <c r="E3286" t="s">
        <v>145</v>
      </c>
      <c r="F3286">
        <v>56.95</v>
      </c>
    </row>
    <row r="3287" spans="3:6" x14ac:dyDescent="0.25">
      <c r="C3287" t="s">
        <v>126</v>
      </c>
      <c r="D3287">
        <v>2027</v>
      </c>
      <c r="E3287" t="s">
        <v>147</v>
      </c>
      <c r="F3287">
        <v>260.33999999999997</v>
      </c>
    </row>
    <row r="3288" spans="3:6" x14ac:dyDescent="0.25">
      <c r="C3288" t="s">
        <v>126</v>
      </c>
      <c r="D3288">
        <v>2027</v>
      </c>
      <c r="E3288" t="s">
        <v>148</v>
      </c>
      <c r="F3288">
        <v>335.7</v>
      </c>
    </row>
    <row r="3289" spans="3:6" x14ac:dyDescent="0.25">
      <c r="C3289" t="s">
        <v>126</v>
      </c>
      <c r="D3289">
        <v>2027</v>
      </c>
      <c r="E3289" t="s">
        <v>146</v>
      </c>
      <c r="F3289">
        <v>357.3</v>
      </c>
    </row>
    <row r="3290" spans="3:6" x14ac:dyDescent="0.25">
      <c r="C3290" t="s">
        <v>126</v>
      </c>
      <c r="D3290">
        <v>2027</v>
      </c>
      <c r="E3290" t="s">
        <v>142</v>
      </c>
      <c r="F3290">
        <v>411.99</v>
      </c>
    </row>
    <row r="3291" spans="3:6" x14ac:dyDescent="0.25">
      <c r="C3291" t="s">
        <v>126</v>
      </c>
      <c r="D3291">
        <v>2027</v>
      </c>
      <c r="E3291" t="s">
        <v>143</v>
      </c>
      <c r="F3291">
        <v>921.46</v>
      </c>
    </row>
    <row r="3292" spans="3:6" x14ac:dyDescent="0.25">
      <c r="C3292" t="s">
        <v>126</v>
      </c>
      <c r="D3292">
        <v>2027</v>
      </c>
      <c r="E3292" t="s">
        <v>144</v>
      </c>
      <c r="F3292">
        <v>643.62</v>
      </c>
    </row>
    <row r="3293" spans="3:6" x14ac:dyDescent="0.25">
      <c r="C3293" t="s">
        <v>126</v>
      </c>
      <c r="D3293">
        <v>2027</v>
      </c>
      <c r="E3293" t="s">
        <v>145</v>
      </c>
      <c r="F3293">
        <v>56.85</v>
      </c>
    </row>
    <row r="3294" spans="3:6" x14ac:dyDescent="0.25">
      <c r="C3294" t="s">
        <v>126</v>
      </c>
      <c r="D3294">
        <v>2028</v>
      </c>
      <c r="E3294" t="s">
        <v>147</v>
      </c>
      <c r="F3294">
        <v>262.14999999999998</v>
      </c>
    </row>
    <row r="3295" spans="3:6" x14ac:dyDescent="0.25">
      <c r="C3295" t="s">
        <v>126</v>
      </c>
      <c r="D3295">
        <v>2028</v>
      </c>
      <c r="E3295" t="s">
        <v>148</v>
      </c>
      <c r="F3295">
        <v>336.06</v>
      </c>
    </row>
    <row r="3296" spans="3:6" x14ac:dyDescent="0.25">
      <c r="C3296" t="s">
        <v>126</v>
      </c>
      <c r="D3296">
        <v>2028</v>
      </c>
      <c r="E3296" t="s">
        <v>146</v>
      </c>
      <c r="F3296">
        <v>362.88</v>
      </c>
    </row>
    <row r="3297" spans="3:6" x14ac:dyDescent="0.25">
      <c r="C3297" t="s">
        <v>126</v>
      </c>
      <c r="D3297">
        <v>2028</v>
      </c>
      <c r="E3297" t="s">
        <v>142</v>
      </c>
      <c r="F3297">
        <v>420.15</v>
      </c>
    </row>
    <row r="3298" spans="3:6" x14ac:dyDescent="0.25">
      <c r="C3298" t="s">
        <v>126</v>
      </c>
      <c r="D3298">
        <v>2028</v>
      </c>
      <c r="E3298" t="s">
        <v>143</v>
      </c>
      <c r="F3298">
        <v>918.82</v>
      </c>
    </row>
    <row r="3299" spans="3:6" x14ac:dyDescent="0.25">
      <c r="C3299" t="s">
        <v>126</v>
      </c>
      <c r="D3299">
        <v>2028</v>
      </c>
      <c r="E3299" t="s">
        <v>144</v>
      </c>
      <c r="F3299">
        <v>655.01</v>
      </c>
    </row>
    <row r="3300" spans="3:6" x14ac:dyDescent="0.25">
      <c r="C3300" t="s">
        <v>126</v>
      </c>
      <c r="D3300">
        <v>2028</v>
      </c>
      <c r="E3300" t="s">
        <v>145</v>
      </c>
      <c r="F3300">
        <v>56.73</v>
      </c>
    </row>
    <row r="3301" spans="3:6" x14ac:dyDescent="0.25">
      <c r="C3301" t="s">
        <v>126</v>
      </c>
      <c r="D3301">
        <v>2029</v>
      </c>
      <c r="E3301" t="s">
        <v>147</v>
      </c>
      <c r="F3301">
        <v>264.02999999999997</v>
      </c>
    </row>
    <row r="3302" spans="3:6" x14ac:dyDescent="0.25">
      <c r="C3302" t="s">
        <v>126</v>
      </c>
      <c r="D3302">
        <v>2029</v>
      </c>
      <c r="E3302" t="s">
        <v>148</v>
      </c>
      <c r="F3302">
        <v>336.53</v>
      </c>
    </row>
    <row r="3303" spans="3:6" x14ac:dyDescent="0.25">
      <c r="C3303" t="s">
        <v>126</v>
      </c>
      <c r="D3303">
        <v>2029</v>
      </c>
      <c r="E3303" t="s">
        <v>146</v>
      </c>
      <c r="F3303">
        <v>369.06</v>
      </c>
    </row>
    <row r="3304" spans="3:6" x14ac:dyDescent="0.25">
      <c r="C3304" t="s">
        <v>126</v>
      </c>
      <c r="D3304">
        <v>2029</v>
      </c>
      <c r="E3304" t="s">
        <v>142</v>
      </c>
      <c r="F3304">
        <v>428.33</v>
      </c>
    </row>
    <row r="3305" spans="3:6" x14ac:dyDescent="0.25">
      <c r="C3305" t="s">
        <v>126</v>
      </c>
      <c r="D3305">
        <v>2029</v>
      </c>
      <c r="E3305" t="s">
        <v>143</v>
      </c>
      <c r="F3305">
        <v>931.01</v>
      </c>
    </row>
    <row r="3306" spans="3:6" x14ac:dyDescent="0.25">
      <c r="C3306" t="s">
        <v>126</v>
      </c>
      <c r="D3306">
        <v>2029</v>
      </c>
      <c r="E3306" t="s">
        <v>144</v>
      </c>
      <c r="F3306">
        <v>666.79</v>
      </c>
    </row>
    <row r="3307" spans="3:6" x14ac:dyDescent="0.25">
      <c r="C3307" t="s">
        <v>126</v>
      </c>
      <c r="D3307">
        <v>2029</v>
      </c>
      <c r="E3307" t="s">
        <v>145</v>
      </c>
      <c r="F3307">
        <v>56.74</v>
      </c>
    </row>
    <row r="3308" spans="3:6" x14ac:dyDescent="0.25">
      <c r="C3308" t="s">
        <v>126</v>
      </c>
      <c r="D3308">
        <v>2030</v>
      </c>
      <c r="E3308" t="s">
        <v>147</v>
      </c>
      <c r="F3308">
        <v>265.97000000000003</v>
      </c>
    </row>
    <row r="3309" spans="3:6" x14ac:dyDescent="0.25">
      <c r="C3309" t="s">
        <v>126</v>
      </c>
      <c r="D3309">
        <v>2030</v>
      </c>
      <c r="E3309" t="s">
        <v>148</v>
      </c>
      <c r="F3309">
        <v>337.06</v>
      </c>
    </row>
    <row r="3310" spans="3:6" x14ac:dyDescent="0.25">
      <c r="C3310" t="s">
        <v>126</v>
      </c>
      <c r="D3310">
        <v>2030</v>
      </c>
      <c r="E3310" t="s">
        <v>146</v>
      </c>
      <c r="F3310">
        <v>376.07</v>
      </c>
    </row>
    <row r="3311" spans="3:6" x14ac:dyDescent="0.25">
      <c r="C3311" t="s">
        <v>126</v>
      </c>
      <c r="D3311">
        <v>2030</v>
      </c>
      <c r="E3311" t="s">
        <v>142</v>
      </c>
      <c r="F3311">
        <v>436.49</v>
      </c>
    </row>
    <row r="3312" spans="3:6" x14ac:dyDescent="0.25">
      <c r="C3312" t="s">
        <v>126</v>
      </c>
      <c r="D3312">
        <v>2030</v>
      </c>
      <c r="E3312" t="s">
        <v>143</v>
      </c>
      <c r="F3312">
        <v>936.48</v>
      </c>
    </row>
    <row r="3313" spans="3:6" x14ac:dyDescent="0.25">
      <c r="C3313" t="s">
        <v>126</v>
      </c>
      <c r="D3313">
        <v>2030</v>
      </c>
      <c r="E3313" t="s">
        <v>144</v>
      </c>
      <c r="F3313">
        <v>678.79</v>
      </c>
    </row>
    <row r="3314" spans="3:6" x14ac:dyDescent="0.25">
      <c r="C3314" t="s">
        <v>126</v>
      </c>
      <c r="D3314">
        <v>2030</v>
      </c>
      <c r="E3314" t="s">
        <v>145</v>
      </c>
      <c r="F3314">
        <v>56.58</v>
      </c>
    </row>
    <row r="3315" spans="3:6" x14ac:dyDescent="0.25">
      <c r="C3315" t="s">
        <v>126</v>
      </c>
      <c r="D3315">
        <v>2031</v>
      </c>
      <c r="E3315" t="s">
        <v>147</v>
      </c>
      <c r="F3315">
        <v>267.93</v>
      </c>
    </row>
    <row r="3316" spans="3:6" x14ac:dyDescent="0.25">
      <c r="C3316" t="s">
        <v>126</v>
      </c>
      <c r="D3316">
        <v>2031</v>
      </c>
      <c r="E3316" t="s">
        <v>148</v>
      </c>
      <c r="F3316">
        <v>337.57</v>
      </c>
    </row>
    <row r="3317" spans="3:6" x14ac:dyDescent="0.25">
      <c r="C3317" t="s">
        <v>126</v>
      </c>
      <c r="D3317">
        <v>2031</v>
      </c>
      <c r="E3317" t="s">
        <v>146</v>
      </c>
      <c r="F3317">
        <v>384.48</v>
      </c>
    </row>
    <row r="3318" spans="3:6" x14ac:dyDescent="0.25">
      <c r="C3318" t="s">
        <v>126</v>
      </c>
      <c r="D3318">
        <v>2031</v>
      </c>
      <c r="E3318" t="s">
        <v>142</v>
      </c>
      <c r="F3318">
        <v>444.68</v>
      </c>
    </row>
    <row r="3319" spans="3:6" x14ac:dyDescent="0.25">
      <c r="C3319" t="s">
        <v>126</v>
      </c>
      <c r="D3319">
        <v>2031</v>
      </c>
      <c r="E3319" t="s">
        <v>143</v>
      </c>
      <c r="F3319">
        <v>952.91</v>
      </c>
    </row>
    <row r="3320" spans="3:6" x14ac:dyDescent="0.25">
      <c r="C3320" t="s">
        <v>126</v>
      </c>
      <c r="D3320">
        <v>2031</v>
      </c>
      <c r="E3320" t="s">
        <v>144</v>
      </c>
      <c r="F3320">
        <v>690.85</v>
      </c>
    </row>
    <row r="3321" spans="3:6" x14ac:dyDescent="0.25">
      <c r="C3321" t="s">
        <v>126</v>
      </c>
      <c r="D3321">
        <v>2031</v>
      </c>
      <c r="E3321" t="s">
        <v>145</v>
      </c>
      <c r="F3321">
        <v>56.72</v>
      </c>
    </row>
    <row r="3322" spans="3:6" x14ac:dyDescent="0.25">
      <c r="C3322" t="s">
        <v>126</v>
      </c>
      <c r="D3322">
        <v>2032</v>
      </c>
      <c r="E3322" t="s">
        <v>147</v>
      </c>
      <c r="F3322">
        <v>269.98</v>
      </c>
    </row>
    <row r="3323" spans="3:6" x14ac:dyDescent="0.25">
      <c r="C3323" t="s">
        <v>126</v>
      </c>
      <c r="D3323">
        <v>2032</v>
      </c>
      <c r="E3323" t="s">
        <v>148</v>
      </c>
      <c r="F3323">
        <v>338.18</v>
      </c>
    </row>
    <row r="3324" spans="3:6" x14ac:dyDescent="0.25">
      <c r="C3324" t="s">
        <v>126</v>
      </c>
      <c r="D3324">
        <v>2032</v>
      </c>
      <c r="E3324" t="s">
        <v>146</v>
      </c>
      <c r="F3324">
        <v>393.91</v>
      </c>
    </row>
    <row r="3325" spans="3:6" x14ac:dyDescent="0.25">
      <c r="C3325" t="s">
        <v>126</v>
      </c>
      <c r="D3325">
        <v>2032</v>
      </c>
      <c r="E3325" t="s">
        <v>142</v>
      </c>
      <c r="F3325">
        <v>453.29</v>
      </c>
    </row>
    <row r="3326" spans="3:6" x14ac:dyDescent="0.25">
      <c r="C3326" t="s">
        <v>126</v>
      </c>
      <c r="D3326">
        <v>2032</v>
      </c>
      <c r="E3326" t="s">
        <v>143</v>
      </c>
      <c r="F3326">
        <v>955.87</v>
      </c>
    </row>
    <row r="3327" spans="3:6" x14ac:dyDescent="0.25">
      <c r="C3327" t="s">
        <v>126</v>
      </c>
      <c r="D3327">
        <v>2032</v>
      </c>
      <c r="E3327" t="s">
        <v>144</v>
      </c>
      <c r="F3327">
        <v>703.49</v>
      </c>
    </row>
    <row r="3328" spans="3:6" x14ac:dyDescent="0.25">
      <c r="C3328" t="s">
        <v>126</v>
      </c>
      <c r="D3328">
        <v>2032</v>
      </c>
      <c r="E3328" t="s">
        <v>145</v>
      </c>
      <c r="F3328">
        <v>56.71</v>
      </c>
    </row>
    <row r="3329" spans="3:6" x14ac:dyDescent="0.25">
      <c r="C3329" t="s">
        <v>126</v>
      </c>
      <c r="D3329">
        <v>2033</v>
      </c>
      <c r="E3329" t="s">
        <v>147</v>
      </c>
      <c r="F3329">
        <v>272.29000000000002</v>
      </c>
    </row>
    <row r="3330" spans="3:6" x14ac:dyDescent="0.25">
      <c r="C3330" t="s">
        <v>126</v>
      </c>
      <c r="D3330">
        <v>2033</v>
      </c>
      <c r="E3330" t="s">
        <v>148</v>
      </c>
      <c r="F3330">
        <v>339.19</v>
      </c>
    </row>
    <row r="3331" spans="3:6" x14ac:dyDescent="0.25">
      <c r="C3331" t="s">
        <v>126</v>
      </c>
      <c r="D3331">
        <v>2033</v>
      </c>
      <c r="E3331" t="s">
        <v>146</v>
      </c>
      <c r="F3331">
        <v>403.73</v>
      </c>
    </row>
    <row r="3332" spans="3:6" x14ac:dyDescent="0.25">
      <c r="C3332" t="s">
        <v>126</v>
      </c>
      <c r="D3332">
        <v>2033</v>
      </c>
      <c r="E3332" t="s">
        <v>142</v>
      </c>
      <c r="F3332">
        <v>462.03</v>
      </c>
    </row>
    <row r="3333" spans="3:6" x14ac:dyDescent="0.25">
      <c r="C3333" t="s">
        <v>126</v>
      </c>
      <c r="D3333">
        <v>2033</v>
      </c>
      <c r="E3333" t="s">
        <v>143</v>
      </c>
      <c r="F3333">
        <v>979.66</v>
      </c>
    </row>
    <row r="3334" spans="3:6" x14ac:dyDescent="0.25">
      <c r="C3334" t="s">
        <v>126</v>
      </c>
      <c r="D3334">
        <v>2033</v>
      </c>
      <c r="E3334" t="s">
        <v>144</v>
      </c>
      <c r="F3334">
        <v>716.34</v>
      </c>
    </row>
    <row r="3335" spans="3:6" x14ac:dyDescent="0.25">
      <c r="C3335" t="s">
        <v>126</v>
      </c>
      <c r="D3335">
        <v>2033</v>
      </c>
      <c r="E3335" t="s">
        <v>145</v>
      </c>
      <c r="F3335">
        <v>56.66</v>
      </c>
    </row>
    <row r="3336" spans="3:6" x14ac:dyDescent="0.25">
      <c r="C3336" t="s">
        <v>126</v>
      </c>
      <c r="D3336">
        <v>2034</v>
      </c>
      <c r="E3336" t="s">
        <v>147</v>
      </c>
      <c r="F3336">
        <v>274.49</v>
      </c>
    </row>
    <row r="3337" spans="3:6" x14ac:dyDescent="0.25">
      <c r="C3337" t="s">
        <v>126</v>
      </c>
      <c r="D3337">
        <v>2034</v>
      </c>
      <c r="E3337" t="s">
        <v>148</v>
      </c>
      <c r="F3337">
        <v>340</v>
      </c>
    </row>
    <row r="3338" spans="3:6" x14ac:dyDescent="0.25">
      <c r="C3338" t="s">
        <v>126</v>
      </c>
      <c r="D3338">
        <v>2034</v>
      </c>
      <c r="E3338" t="s">
        <v>146</v>
      </c>
      <c r="F3338">
        <v>414.32</v>
      </c>
    </row>
    <row r="3339" spans="3:6" x14ac:dyDescent="0.25">
      <c r="C3339" t="s">
        <v>126</v>
      </c>
      <c r="D3339">
        <v>2034</v>
      </c>
      <c r="E3339" t="s">
        <v>142</v>
      </c>
      <c r="F3339">
        <v>470.91</v>
      </c>
    </row>
    <row r="3340" spans="3:6" x14ac:dyDescent="0.25">
      <c r="C3340" t="s">
        <v>126</v>
      </c>
      <c r="D3340">
        <v>2034</v>
      </c>
      <c r="E3340" t="s">
        <v>143</v>
      </c>
      <c r="F3340">
        <v>985.52</v>
      </c>
    </row>
    <row r="3341" spans="3:6" x14ac:dyDescent="0.25">
      <c r="C3341" t="s">
        <v>126</v>
      </c>
      <c r="D3341">
        <v>2034</v>
      </c>
      <c r="E3341" t="s">
        <v>144</v>
      </c>
      <c r="F3341">
        <v>729.42</v>
      </c>
    </row>
    <row r="3342" spans="3:6" x14ac:dyDescent="0.25">
      <c r="C3342" t="s">
        <v>126</v>
      </c>
      <c r="D3342">
        <v>2034</v>
      </c>
      <c r="E3342" t="s">
        <v>145</v>
      </c>
      <c r="F3342">
        <v>56.59</v>
      </c>
    </row>
    <row r="3343" spans="3:6" x14ac:dyDescent="0.25">
      <c r="C3343" t="s">
        <v>126</v>
      </c>
      <c r="D3343">
        <v>2035</v>
      </c>
      <c r="E3343" t="s">
        <v>147</v>
      </c>
      <c r="F3343">
        <v>276.86</v>
      </c>
    </row>
    <row r="3344" spans="3:6" x14ac:dyDescent="0.25">
      <c r="C3344" t="s">
        <v>126</v>
      </c>
      <c r="D3344">
        <v>2035</v>
      </c>
      <c r="E3344" t="s">
        <v>148</v>
      </c>
      <c r="F3344">
        <v>341.07</v>
      </c>
    </row>
    <row r="3345" spans="3:6" x14ac:dyDescent="0.25">
      <c r="C3345" t="s">
        <v>126</v>
      </c>
      <c r="D3345">
        <v>2035</v>
      </c>
      <c r="E3345" t="s">
        <v>146</v>
      </c>
      <c r="F3345">
        <v>425.11</v>
      </c>
    </row>
    <row r="3346" spans="3:6" x14ac:dyDescent="0.25">
      <c r="C3346" t="s">
        <v>126</v>
      </c>
      <c r="D3346">
        <v>2035</v>
      </c>
      <c r="E3346" t="s">
        <v>142</v>
      </c>
      <c r="F3346">
        <v>480.05</v>
      </c>
    </row>
    <row r="3347" spans="3:6" x14ac:dyDescent="0.25">
      <c r="C3347" t="s">
        <v>126</v>
      </c>
      <c r="D3347">
        <v>2035</v>
      </c>
      <c r="E3347" t="s">
        <v>143</v>
      </c>
      <c r="F3347">
        <v>1002.84</v>
      </c>
    </row>
    <row r="3348" spans="3:6" x14ac:dyDescent="0.25">
      <c r="C3348" t="s">
        <v>126</v>
      </c>
      <c r="D3348">
        <v>2035</v>
      </c>
      <c r="E3348" t="s">
        <v>144</v>
      </c>
      <c r="F3348">
        <v>743.08</v>
      </c>
    </row>
    <row r="3349" spans="3:6" x14ac:dyDescent="0.25">
      <c r="C3349" t="s">
        <v>126</v>
      </c>
      <c r="D3349">
        <v>2035</v>
      </c>
      <c r="E3349" t="s">
        <v>145</v>
      </c>
      <c r="F3349">
        <v>56.5</v>
      </c>
    </row>
    <row r="3350" spans="3:6" x14ac:dyDescent="0.25">
      <c r="C3350" t="s">
        <v>126</v>
      </c>
      <c r="D3350">
        <v>2036</v>
      </c>
      <c r="E3350" t="s">
        <v>147</v>
      </c>
      <c r="F3350">
        <v>279.18</v>
      </c>
    </row>
    <row r="3351" spans="3:6" x14ac:dyDescent="0.25">
      <c r="C3351" t="s">
        <v>126</v>
      </c>
      <c r="D3351">
        <v>2036</v>
      </c>
      <c r="E3351" t="s">
        <v>148</v>
      </c>
      <c r="F3351">
        <v>342.08</v>
      </c>
    </row>
    <row r="3352" spans="3:6" x14ac:dyDescent="0.25">
      <c r="C3352" t="s">
        <v>126</v>
      </c>
      <c r="D3352">
        <v>2036</v>
      </c>
      <c r="E3352" t="s">
        <v>146</v>
      </c>
      <c r="F3352">
        <v>436.48</v>
      </c>
    </row>
    <row r="3353" spans="3:6" x14ac:dyDescent="0.25">
      <c r="C3353" t="s">
        <v>126</v>
      </c>
      <c r="D3353">
        <v>2036</v>
      </c>
      <c r="E3353" t="s">
        <v>142</v>
      </c>
      <c r="F3353">
        <v>488.68</v>
      </c>
    </row>
    <row r="3354" spans="3:6" x14ac:dyDescent="0.25">
      <c r="C3354" t="s">
        <v>126</v>
      </c>
      <c r="D3354">
        <v>2036</v>
      </c>
      <c r="E3354" t="s">
        <v>143</v>
      </c>
      <c r="F3354">
        <v>1014.18</v>
      </c>
    </row>
    <row r="3355" spans="3:6" x14ac:dyDescent="0.25">
      <c r="C3355" t="s">
        <v>126</v>
      </c>
      <c r="D3355">
        <v>2036</v>
      </c>
      <c r="E3355" t="s">
        <v>144</v>
      </c>
      <c r="F3355">
        <v>757.31</v>
      </c>
    </row>
    <row r="3356" spans="3:6" x14ac:dyDescent="0.25">
      <c r="C3356" t="s">
        <v>126</v>
      </c>
      <c r="D3356">
        <v>2036</v>
      </c>
      <c r="E3356" t="s">
        <v>145</v>
      </c>
      <c r="F3356">
        <v>56.29</v>
      </c>
    </row>
    <row r="3357" spans="3:6" x14ac:dyDescent="0.25">
      <c r="C3357" t="s">
        <v>126</v>
      </c>
      <c r="D3357">
        <v>2037</v>
      </c>
      <c r="E3357" t="s">
        <v>147</v>
      </c>
      <c r="F3357">
        <v>281.26</v>
      </c>
    </row>
    <row r="3358" spans="3:6" x14ac:dyDescent="0.25">
      <c r="C3358" t="s">
        <v>126</v>
      </c>
      <c r="D3358">
        <v>2037</v>
      </c>
      <c r="E3358" t="s">
        <v>148</v>
      </c>
      <c r="F3358">
        <v>342.71</v>
      </c>
    </row>
    <row r="3359" spans="3:6" x14ac:dyDescent="0.25">
      <c r="C3359" t="s">
        <v>126</v>
      </c>
      <c r="D3359">
        <v>2037</v>
      </c>
      <c r="E3359" t="s">
        <v>146</v>
      </c>
      <c r="F3359">
        <v>447.46</v>
      </c>
    </row>
    <row r="3360" spans="3:6" x14ac:dyDescent="0.25">
      <c r="C3360" t="s">
        <v>126</v>
      </c>
      <c r="D3360">
        <v>2037</v>
      </c>
      <c r="E3360" t="s">
        <v>142</v>
      </c>
      <c r="F3360">
        <v>497.48</v>
      </c>
    </row>
    <row r="3361" spans="3:6" x14ac:dyDescent="0.25">
      <c r="C3361" t="s">
        <v>126</v>
      </c>
      <c r="D3361">
        <v>2037</v>
      </c>
      <c r="E3361" t="s">
        <v>143</v>
      </c>
      <c r="F3361">
        <v>1033.1500000000001</v>
      </c>
    </row>
    <row r="3362" spans="3:6" x14ac:dyDescent="0.25">
      <c r="C3362" t="s">
        <v>126</v>
      </c>
      <c r="D3362">
        <v>2037</v>
      </c>
      <c r="E3362" t="s">
        <v>144</v>
      </c>
      <c r="F3362">
        <v>771.44</v>
      </c>
    </row>
    <row r="3363" spans="3:6" x14ac:dyDescent="0.25">
      <c r="C3363" t="s">
        <v>126</v>
      </c>
      <c r="D3363">
        <v>2037</v>
      </c>
      <c r="E3363" t="s">
        <v>145</v>
      </c>
      <c r="F3363">
        <v>56.24</v>
      </c>
    </row>
    <row r="3364" spans="3:6" x14ac:dyDescent="0.25">
      <c r="C3364" t="s">
        <v>126</v>
      </c>
      <c r="D3364">
        <v>2038</v>
      </c>
      <c r="E3364" t="s">
        <v>147</v>
      </c>
      <c r="F3364">
        <v>283.35000000000002</v>
      </c>
    </row>
    <row r="3365" spans="3:6" x14ac:dyDescent="0.25">
      <c r="C3365" t="s">
        <v>126</v>
      </c>
      <c r="D3365">
        <v>2038</v>
      </c>
      <c r="E3365" t="s">
        <v>148</v>
      </c>
      <c r="F3365">
        <v>343.37</v>
      </c>
    </row>
    <row r="3366" spans="3:6" x14ac:dyDescent="0.25">
      <c r="C3366" t="s">
        <v>126</v>
      </c>
      <c r="D3366">
        <v>2038</v>
      </c>
      <c r="E3366" t="s">
        <v>146</v>
      </c>
      <c r="F3366">
        <v>458.31</v>
      </c>
    </row>
    <row r="3367" spans="3:6" x14ac:dyDescent="0.25">
      <c r="C3367" t="s">
        <v>126</v>
      </c>
      <c r="D3367">
        <v>2038</v>
      </c>
      <c r="E3367" t="s">
        <v>142</v>
      </c>
      <c r="F3367">
        <v>506.35</v>
      </c>
    </row>
    <row r="3368" spans="3:6" x14ac:dyDescent="0.25">
      <c r="C3368" t="s">
        <v>126</v>
      </c>
      <c r="D3368">
        <v>2038</v>
      </c>
      <c r="E3368" t="s">
        <v>143</v>
      </c>
      <c r="F3368">
        <v>1045.92</v>
      </c>
    </row>
    <row r="3369" spans="3:6" x14ac:dyDescent="0.25">
      <c r="C3369" t="s">
        <v>126</v>
      </c>
      <c r="D3369">
        <v>2038</v>
      </c>
      <c r="E3369" t="s">
        <v>144</v>
      </c>
      <c r="F3369">
        <v>785.86</v>
      </c>
    </row>
    <row r="3370" spans="3:6" x14ac:dyDescent="0.25">
      <c r="C3370" t="s">
        <v>126</v>
      </c>
      <c r="D3370">
        <v>2038</v>
      </c>
      <c r="E3370" t="s">
        <v>145</v>
      </c>
      <c r="F3370">
        <v>56.17</v>
      </c>
    </row>
    <row r="3371" spans="3:6" x14ac:dyDescent="0.25">
      <c r="C3371" t="s">
        <v>126</v>
      </c>
      <c r="D3371">
        <v>2039</v>
      </c>
      <c r="E3371" t="s">
        <v>147</v>
      </c>
      <c r="F3371">
        <v>285.41000000000003</v>
      </c>
    </row>
    <row r="3372" spans="3:6" x14ac:dyDescent="0.25">
      <c r="C3372" t="s">
        <v>126</v>
      </c>
      <c r="D3372">
        <v>2039</v>
      </c>
      <c r="E3372" t="s">
        <v>148</v>
      </c>
      <c r="F3372">
        <v>343.97</v>
      </c>
    </row>
    <row r="3373" spans="3:6" x14ac:dyDescent="0.25">
      <c r="C3373" t="s">
        <v>126</v>
      </c>
      <c r="D3373">
        <v>2039</v>
      </c>
      <c r="E3373" t="s">
        <v>146</v>
      </c>
      <c r="F3373">
        <v>469.53</v>
      </c>
    </row>
    <row r="3374" spans="3:6" x14ac:dyDescent="0.25">
      <c r="C3374" t="s">
        <v>126</v>
      </c>
      <c r="D3374">
        <v>2039</v>
      </c>
      <c r="E3374" t="s">
        <v>142</v>
      </c>
      <c r="F3374">
        <v>515.22</v>
      </c>
    </row>
    <row r="3375" spans="3:6" x14ac:dyDescent="0.25">
      <c r="C3375" t="s">
        <v>126</v>
      </c>
      <c r="D3375">
        <v>2039</v>
      </c>
      <c r="E3375" t="s">
        <v>143</v>
      </c>
      <c r="F3375">
        <v>1063.24</v>
      </c>
    </row>
    <row r="3376" spans="3:6" x14ac:dyDescent="0.25">
      <c r="C3376" t="s">
        <v>126</v>
      </c>
      <c r="D3376">
        <v>2039</v>
      </c>
      <c r="E3376" t="s">
        <v>144</v>
      </c>
      <c r="F3376">
        <v>800.73</v>
      </c>
    </row>
    <row r="3377" spans="3:6" x14ac:dyDescent="0.25">
      <c r="C3377" t="s">
        <v>126</v>
      </c>
      <c r="D3377">
        <v>2039</v>
      </c>
      <c r="E3377" t="s">
        <v>145</v>
      </c>
      <c r="F3377">
        <v>56.02</v>
      </c>
    </row>
    <row r="3378" spans="3:6" x14ac:dyDescent="0.25">
      <c r="C3378" t="s">
        <v>126</v>
      </c>
      <c r="D3378">
        <v>2040</v>
      </c>
      <c r="E3378" t="s">
        <v>147</v>
      </c>
      <c r="F3378">
        <v>287.60000000000002</v>
      </c>
    </row>
    <row r="3379" spans="3:6" x14ac:dyDescent="0.25">
      <c r="C3379" t="s">
        <v>126</v>
      </c>
      <c r="D3379">
        <v>2040</v>
      </c>
      <c r="E3379" t="s">
        <v>148</v>
      </c>
      <c r="F3379">
        <v>344.76</v>
      </c>
    </row>
    <row r="3380" spans="3:6" x14ac:dyDescent="0.25">
      <c r="C3380" t="s">
        <v>126</v>
      </c>
      <c r="D3380">
        <v>2040</v>
      </c>
      <c r="E3380" t="s">
        <v>146</v>
      </c>
      <c r="F3380">
        <v>481.11</v>
      </c>
    </row>
    <row r="3381" spans="3:6" x14ac:dyDescent="0.25">
      <c r="C3381" t="s">
        <v>126</v>
      </c>
      <c r="D3381">
        <v>2040</v>
      </c>
      <c r="E3381" t="s">
        <v>142</v>
      </c>
      <c r="F3381">
        <v>524.07000000000005</v>
      </c>
    </row>
    <row r="3382" spans="3:6" x14ac:dyDescent="0.25">
      <c r="C3382" t="s">
        <v>126</v>
      </c>
      <c r="D3382">
        <v>2040</v>
      </c>
      <c r="E3382" t="s">
        <v>143</v>
      </c>
      <c r="F3382">
        <v>1076.28</v>
      </c>
    </row>
    <row r="3383" spans="3:6" x14ac:dyDescent="0.25">
      <c r="C3383" t="s">
        <v>126</v>
      </c>
      <c r="D3383">
        <v>2040</v>
      </c>
      <c r="E3383" t="s">
        <v>144</v>
      </c>
      <c r="F3383">
        <v>815.76</v>
      </c>
    </row>
    <row r="3384" spans="3:6" x14ac:dyDescent="0.25">
      <c r="C3384" t="s">
        <v>126</v>
      </c>
      <c r="D3384">
        <v>2040</v>
      </c>
      <c r="E3384" t="s">
        <v>145</v>
      </c>
      <c r="F3384">
        <v>56.17</v>
      </c>
    </row>
    <row r="3385" spans="3:6" x14ac:dyDescent="0.25">
      <c r="C3385" t="s">
        <v>126</v>
      </c>
      <c r="D3385">
        <v>2041</v>
      </c>
      <c r="E3385" t="s">
        <v>147</v>
      </c>
      <c r="F3385">
        <v>289.83999999999997</v>
      </c>
    </row>
    <row r="3386" spans="3:6" x14ac:dyDescent="0.25">
      <c r="C3386" t="s">
        <v>126</v>
      </c>
      <c r="D3386">
        <v>2041</v>
      </c>
      <c r="E3386" t="s">
        <v>148</v>
      </c>
      <c r="F3386">
        <v>345.65</v>
      </c>
    </row>
    <row r="3387" spans="3:6" x14ac:dyDescent="0.25">
      <c r="C3387" t="s">
        <v>126</v>
      </c>
      <c r="D3387">
        <v>2041</v>
      </c>
      <c r="E3387" t="s">
        <v>146</v>
      </c>
      <c r="F3387">
        <v>492.91</v>
      </c>
    </row>
    <row r="3388" spans="3:6" x14ac:dyDescent="0.25">
      <c r="C3388" t="s">
        <v>126</v>
      </c>
      <c r="D3388">
        <v>2041</v>
      </c>
      <c r="E3388" t="s">
        <v>142</v>
      </c>
      <c r="F3388">
        <v>532.21</v>
      </c>
    </row>
    <row r="3389" spans="3:6" x14ac:dyDescent="0.25">
      <c r="C3389" t="s">
        <v>126</v>
      </c>
      <c r="D3389">
        <v>2041</v>
      </c>
      <c r="E3389" t="s">
        <v>143</v>
      </c>
      <c r="F3389">
        <v>1090.25</v>
      </c>
    </row>
    <row r="3390" spans="3:6" x14ac:dyDescent="0.25">
      <c r="C3390" t="s">
        <v>126</v>
      </c>
      <c r="D3390">
        <v>2041</v>
      </c>
      <c r="E3390" t="s">
        <v>144</v>
      </c>
      <c r="F3390">
        <v>830.58</v>
      </c>
    </row>
    <row r="3391" spans="3:6" x14ac:dyDescent="0.25">
      <c r="C3391" t="s">
        <v>126</v>
      </c>
      <c r="D3391">
        <v>2041</v>
      </c>
      <c r="E3391" t="s">
        <v>145</v>
      </c>
      <c r="F3391">
        <v>56.2</v>
      </c>
    </row>
    <row r="3392" spans="3:6" x14ac:dyDescent="0.25">
      <c r="C3392" t="s">
        <v>126</v>
      </c>
      <c r="D3392">
        <v>2042</v>
      </c>
      <c r="E3392" t="s">
        <v>147</v>
      </c>
      <c r="F3392">
        <v>292.05</v>
      </c>
    </row>
    <row r="3393" spans="3:6" x14ac:dyDescent="0.25">
      <c r="C3393" t="s">
        <v>126</v>
      </c>
      <c r="D3393">
        <v>2042</v>
      </c>
      <c r="E3393" t="s">
        <v>148</v>
      </c>
      <c r="F3393">
        <v>346.5</v>
      </c>
    </row>
    <row r="3394" spans="3:6" x14ac:dyDescent="0.25">
      <c r="C3394" t="s">
        <v>126</v>
      </c>
      <c r="D3394">
        <v>2042</v>
      </c>
      <c r="E3394" t="s">
        <v>146</v>
      </c>
      <c r="F3394">
        <v>504.4</v>
      </c>
    </row>
    <row r="3395" spans="3:6" x14ac:dyDescent="0.25">
      <c r="C3395" t="s">
        <v>126</v>
      </c>
      <c r="D3395">
        <v>2042</v>
      </c>
      <c r="E3395" t="s">
        <v>142</v>
      </c>
      <c r="F3395">
        <v>540.37</v>
      </c>
    </row>
    <row r="3396" spans="3:6" x14ac:dyDescent="0.25">
      <c r="C3396" t="s">
        <v>126</v>
      </c>
      <c r="D3396">
        <v>2042</v>
      </c>
      <c r="E3396" t="s">
        <v>143</v>
      </c>
      <c r="F3396">
        <v>1109.1099999999999</v>
      </c>
    </row>
    <row r="3397" spans="3:6" x14ac:dyDescent="0.25">
      <c r="C3397" t="s">
        <v>126</v>
      </c>
      <c r="D3397">
        <v>2042</v>
      </c>
      <c r="E3397" t="s">
        <v>144</v>
      </c>
      <c r="F3397">
        <v>845.54</v>
      </c>
    </row>
    <row r="3398" spans="3:6" x14ac:dyDescent="0.25">
      <c r="C3398" t="s">
        <v>126</v>
      </c>
      <c r="D3398">
        <v>2042</v>
      </c>
      <c r="E3398" t="s">
        <v>145</v>
      </c>
      <c r="F3398">
        <v>56.19</v>
      </c>
    </row>
    <row r="3399" spans="3:6" x14ac:dyDescent="0.25">
      <c r="C3399" t="s">
        <v>126</v>
      </c>
      <c r="D3399">
        <v>2043</v>
      </c>
      <c r="E3399" t="s">
        <v>147</v>
      </c>
      <c r="F3399">
        <v>294.22000000000003</v>
      </c>
    </row>
    <row r="3400" spans="3:6" x14ac:dyDescent="0.25">
      <c r="C3400" t="s">
        <v>126</v>
      </c>
      <c r="D3400">
        <v>2043</v>
      </c>
      <c r="E3400" t="s">
        <v>148</v>
      </c>
      <c r="F3400">
        <v>347.29</v>
      </c>
    </row>
    <row r="3401" spans="3:6" x14ac:dyDescent="0.25">
      <c r="C3401" t="s">
        <v>126</v>
      </c>
      <c r="D3401">
        <v>2043</v>
      </c>
      <c r="E3401" t="s">
        <v>146</v>
      </c>
      <c r="F3401">
        <v>516</v>
      </c>
    </row>
    <row r="3402" spans="3:6" x14ac:dyDescent="0.25">
      <c r="C3402" t="s">
        <v>126</v>
      </c>
      <c r="D3402">
        <v>2043</v>
      </c>
      <c r="E3402" t="s">
        <v>142</v>
      </c>
      <c r="F3402">
        <v>548.57000000000005</v>
      </c>
    </row>
    <row r="3403" spans="3:6" x14ac:dyDescent="0.25">
      <c r="C3403" t="s">
        <v>126</v>
      </c>
      <c r="D3403">
        <v>2043</v>
      </c>
      <c r="E3403" t="s">
        <v>143</v>
      </c>
      <c r="F3403">
        <v>1125.95</v>
      </c>
    </row>
    <row r="3404" spans="3:6" x14ac:dyDescent="0.25">
      <c r="C3404" t="s">
        <v>126</v>
      </c>
      <c r="D3404">
        <v>2043</v>
      </c>
      <c r="E3404" t="s">
        <v>144</v>
      </c>
      <c r="F3404">
        <v>860.81</v>
      </c>
    </row>
    <row r="3405" spans="3:6" x14ac:dyDescent="0.25">
      <c r="C3405" t="s">
        <v>126</v>
      </c>
      <c r="D3405">
        <v>2043</v>
      </c>
      <c r="E3405" t="s">
        <v>145</v>
      </c>
      <c r="F3405">
        <v>56.19</v>
      </c>
    </row>
    <row r="3406" spans="3:6" x14ac:dyDescent="0.25">
      <c r="C3406" t="s">
        <v>126</v>
      </c>
      <c r="D3406">
        <v>2044</v>
      </c>
      <c r="E3406" t="s">
        <v>147</v>
      </c>
      <c r="F3406">
        <v>296.42</v>
      </c>
    </row>
    <row r="3407" spans="3:6" x14ac:dyDescent="0.25">
      <c r="C3407" t="s">
        <v>126</v>
      </c>
      <c r="D3407">
        <v>2044</v>
      </c>
      <c r="E3407" t="s">
        <v>148</v>
      </c>
      <c r="F3407">
        <v>348.11</v>
      </c>
    </row>
    <row r="3408" spans="3:6" x14ac:dyDescent="0.25">
      <c r="C3408" t="s">
        <v>126</v>
      </c>
      <c r="D3408">
        <v>2044</v>
      </c>
      <c r="E3408" t="s">
        <v>146</v>
      </c>
      <c r="F3408">
        <v>527.92999999999995</v>
      </c>
    </row>
    <row r="3409" spans="3:6" x14ac:dyDescent="0.25">
      <c r="C3409" t="s">
        <v>126</v>
      </c>
      <c r="D3409">
        <v>2044</v>
      </c>
      <c r="E3409" t="s">
        <v>142</v>
      </c>
      <c r="F3409">
        <v>556.86</v>
      </c>
    </row>
    <row r="3410" spans="3:6" x14ac:dyDescent="0.25">
      <c r="C3410" t="s">
        <v>126</v>
      </c>
      <c r="D3410">
        <v>2044</v>
      </c>
      <c r="E3410" t="s">
        <v>143</v>
      </c>
      <c r="F3410">
        <v>1137.21</v>
      </c>
    </row>
    <row r="3411" spans="3:6" x14ac:dyDescent="0.25">
      <c r="C3411" t="s">
        <v>126</v>
      </c>
      <c r="D3411">
        <v>2044</v>
      </c>
      <c r="E3411" t="s">
        <v>144</v>
      </c>
      <c r="F3411">
        <v>876.73</v>
      </c>
    </row>
    <row r="3412" spans="3:6" x14ac:dyDescent="0.25">
      <c r="C3412" t="s">
        <v>126</v>
      </c>
      <c r="D3412">
        <v>2044</v>
      </c>
      <c r="E3412" t="s">
        <v>145</v>
      </c>
      <c r="F3412">
        <v>56.17</v>
      </c>
    </row>
    <row r="3413" spans="3:6" x14ac:dyDescent="0.25">
      <c r="C3413" t="s">
        <v>126</v>
      </c>
      <c r="D3413">
        <v>2045</v>
      </c>
      <c r="E3413" t="s">
        <v>147</v>
      </c>
      <c r="F3413">
        <v>298.60000000000002</v>
      </c>
    </row>
    <row r="3414" spans="3:6" x14ac:dyDescent="0.25">
      <c r="C3414" t="s">
        <v>126</v>
      </c>
      <c r="D3414">
        <v>2045</v>
      </c>
      <c r="E3414" t="s">
        <v>148</v>
      </c>
      <c r="F3414">
        <v>348.91</v>
      </c>
    </row>
    <row r="3415" spans="3:6" x14ac:dyDescent="0.25">
      <c r="C3415" t="s">
        <v>126</v>
      </c>
      <c r="D3415">
        <v>2045</v>
      </c>
      <c r="E3415" t="s">
        <v>146</v>
      </c>
      <c r="F3415">
        <v>539.92999999999995</v>
      </c>
    </row>
    <row r="3416" spans="3:6" x14ac:dyDescent="0.25">
      <c r="C3416" t="s">
        <v>126</v>
      </c>
      <c r="D3416">
        <v>2045</v>
      </c>
      <c r="E3416" t="s">
        <v>142</v>
      </c>
      <c r="F3416">
        <v>565.11</v>
      </c>
    </row>
    <row r="3417" spans="3:6" x14ac:dyDescent="0.25">
      <c r="C3417" t="s">
        <v>126</v>
      </c>
      <c r="D3417">
        <v>2045</v>
      </c>
      <c r="E3417" t="s">
        <v>143</v>
      </c>
      <c r="F3417">
        <v>1153.1099999999999</v>
      </c>
    </row>
    <row r="3418" spans="3:6" x14ac:dyDescent="0.25">
      <c r="C3418" t="s">
        <v>126</v>
      </c>
      <c r="D3418">
        <v>2045</v>
      </c>
      <c r="E3418" t="s">
        <v>144</v>
      </c>
      <c r="F3418">
        <v>893.25</v>
      </c>
    </row>
    <row r="3419" spans="3:6" x14ac:dyDescent="0.25">
      <c r="C3419" t="s">
        <v>126</v>
      </c>
      <c r="D3419">
        <v>2045</v>
      </c>
      <c r="E3419" t="s">
        <v>145</v>
      </c>
      <c r="F3419">
        <v>56.11</v>
      </c>
    </row>
    <row r="3420" spans="3:6" x14ac:dyDescent="0.25">
      <c r="C3420" t="s">
        <v>126</v>
      </c>
      <c r="D3420">
        <v>2046</v>
      </c>
      <c r="E3420" t="s">
        <v>147</v>
      </c>
      <c r="F3420">
        <v>300.76</v>
      </c>
    </row>
    <row r="3421" spans="3:6" x14ac:dyDescent="0.25">
      <c r="C3421" t="s">
        <v>126</v>
      </c>
      <c r="D3421">
        <v>2046</v>
      </c>
      <c r="E3421" t="s">
        <v>148</v>
      </c>
      <c r="F3421">
        <v>349.7</v>
      </c>
    </row>
    <row r="3422" spans="3:6" x14ac:dyDescent="0.25">
      <c r="C3422" t="s">
        <v>126</v>
      </c>
      <c r="D3422">
        <v>2046</v>
      </c>
      <c r="E3422" t="s">
        <v>146</v>
      </c>
      <c r="F3422">
        <v>552.27</v>
      </c>
    </row>
    <row r="3423" spans="3:6" x14ac:dyDescent="0.25">
      <c r="C3423" t="s">
        <v>126</v>
      </c>
      <c r="D3423">
        <v>2046</v>
      </c>
      <c r="E3423" t="s">
        <v>142</v>
      </c>
      <c r="F3423">
        <v>572.25</v>
      </c>
    </row>
    <row r="3424" spans="3:6" x14ac:dyDescent="0.25">
      <c r="C3424" t="s">
        <v>126</v>
      </c>
      <c r="D3424">
        <v>2046</v>
      </c>
      <c r="E3424" t="s">
        <v>143</v>
      </c>
      <c r="F3424">
        <v>1168.8599999999999</v>
      </c>
    </row>
    <row r="3425" spans="3:6" x14ac:dyDescent="0.25">
      <c r="C3425" t="s">
        <v>126</v>
      </c>
      <c r="D3425">
        <v>2046</v>
      </c>
      <c r="E3425" t="s">
        <v>144</v>
      </c>
      <c r="F3425">
        <v>908.84</v>
      </c>
    </row>
    <row r="3426" spans="3:6" x14ac:dyDescent="0.25">
      <c r="C3426" t="s">
        <v>126</v>
      </c>
      <c r="D3426">
        <v>2046</v>
      </c>
      <c r="E3426" t="s">
        <v>145</v>
      </c>
      <c r="F3426">
        <v>56.11</v>
      </c>
    </row>
    <row r="3427" spans="3:6" x14ac:dyDescent="0.25">
      <c r="C3427" t="s">
        <v>126</v>
      </c>
      <c r="D3427">
        <v>2047</v>
      </c>
      <c r="E3427" t="s">
        <v>147</v>
      </c>
      <c r="F3427">
        <v>302.86</v>
      </c>
    </row>
    <row r="3428" spans="3:6" x14ac:dyDescent="0.25">
      <c r="C3428" t="s">
        <v>126</v>
      </c>
      <c r="D3428">
        <v>2047</v>
      </c>
      <c r="E3428" t="s">
        <v>148</v>
      </c>
      <c r="F3428">
        <v>350.39</v>
      </c>
    </row>
    <row r="3429" spans="3:6" x14ac:dyDescent="0.25">
      <c r="C3429" t="s">
        <v>126</v>
      </c>
      <c r="D3429">
        <v>2047</v>
      </c>
      <c r="E3429" t="s">
        <v>146</v>
      </c>
      <c r="F3429">
        <v>564.47</v>
      </c>
    </row>
    <row r="3430" spans="3:6" x14ac:dyDescent="0.25">
      <c r="C3430" t="s">
        <v>126</v>
      </c>
      <c r="D3430">
        <v>2047</v>
      </c>
      <c r="E3430" t="s">
        <v>142</v>
      </c>
      <c r="F3430">
        <v>579.54999999999995</v>
      </c>
    </row>
    <row r="3431" spans="3:6" x14ac:dyDescent="0.25">
      <c r="C3431" t="s">
        <v>126</v>
      </c>
      <c r="D3431">
        <v>2047</v>
      </c>
      <c r="E3431" t="s">
        <v>143</v>
      </c>
      <c r="F3431">
        <v>1182.28</v>
      </c>
    </row>
    <row r="3432" spans="3:6" x14ac:dyDescent="0.25">
      <c r="C3432" t="s">
        <v>126</v>
      </c>
      <c r="D3432">
        <v>2047</v>
      </c>
      <c r="E3432" t="s">
        <v>144</v>
      </c>
      <c r="F3432">
        <v>924.99</v>
      </c>
    </row>
    <row r="3433" spans="3:6" x14ac:dyDescent="0.25">
      <c r="C3433" t="s">
        <v>126</v>
      </c>
      <c r="D3433">
        <v>2047</v>
      </c>
      <c r="E3433" t="s">
        <v>145</v>
      </c>
      <c r="F3433">
        <v>56.08</v>
      </c>
    </row>
    <row r="3434" spans="3:6" x14ac:dyDescent="0.25">
      <c r="C3434" t="s">
        <v>126</v>
      </c>
      <c r="D3434">
        <v>2048</v>
      </c>
      <c r="E3434" t="s">
        <v>147</v>
      </c>
      <c r="F3434">
        <v>305.17</v>
      </c>
    </row>
    <row r="3435" spans="3:6" x14ac:dyDescent="0.25">
      <c r="C3435" t="s">
        <v>126</v>
      </c>
      <c r="D3435">
        <v>2048</v>
      </c>
      <c r="E3435" t="s">
        <v>148</v>
      </c>
      <c r="F3435">
        <v>351.39</v>
      </c>
    </row>
    <row r="3436" spans="3:6" x14ac:dyDescent="0.25">
      <c r="C3436" t="s">
        <v>126</v>
      </c>
      <c r="D3436">
        <v>2048</v>
      </c>
      <c r="E3436" t="s">
        <v>146</v>
      </c>
      <c r="F3436">
        <v>576.97</v>
      </c>
    </row>
    <row r="3437" spans="3:6" x14ac:dyDescent="0.25">
      <c r="C3437" t="s">
        <v>126</v>
      </c>
      <c r="D3437">
        <v>2048</v>
      </c>
      <c r="E3437" t="s">
        <v>142</v>
      </c>
      <c r="F3437">
        <v>586.76</v>
      </c>
    </row>
    <row r="3438" spans="3:6" x14ac:dyDescent="0.25">
      <c r="C3438" t="s">
        <v>126</v>
      </c>
      <c r="D3438">
        <v>2048</v>
      </c>
      <c r="E3438" t="s">
        <v>143</v>
      </c>
      <c r="F3438">
        <v>1204.1600000000001</v>
      </c>
    </row>
    <row r="3439" spans="3:6" x14ac:dyDescent="0.25">
      <c r="C3439" t="s">
        <v>126</v>
      </c>
      <c r="D3439">
        <v>2048</v>
      </c>
      <c r="E3439" t="s">
        <v>144</v>
      </c>
      <c r="F3439">
        <v>941.53</v>
      </c>
    </row>
    <row r="3440" spans="3:6" x14ac:dyDescent="0.25">
      <c r="C3440" t="s">
        <v>126</v>
      </c>
      <c r="D3440">
        <v>2048</v>
      </c>
      <c r="E3440" t="s">
        <v>145</v>
      </c>
      <c r="F3440">
        <v>56.04</v>
      </c>
    </row>
    <row r="3441" spans="3:6" x14ac:dyDescent="0.25">
      <c r="C3441" t="s">
        <v>126</v>
      </c>
      <c r="D3441">
        <v>2049</v>
      </c>
      <c r="E3441" t="s">
        <v>147</v>
      </c>
      <c r="F3441">
        <v>307.27</v>
      </c>
    </row>
    <row r="3442" spans="3:6" x14ac:dyDescent="0.25">
      <c r="C3442" t="s">
        <v>126</v>
      </c>
      <c r="D3442">
        <v>2049</v>
      </c>
      <c r="E3442" t="s">
        <v>148</v>
      </c>
      <c r="F3442">
        <v>352.07</v>
      </c>
    </row>
    <row r="3443" spans="3:6" x14ac:dyDescent="0.25">
      <c r="C3443" t="s">
        <v>126</v>
      </c>
      <c r="D3443">
        <v>2049</v>
      </c>
      <c r="E3443" t="s">
        <v>146</v>
      </c>
      <c r="F3443">
        <v>589.58000000000004</v>
      </c>
    </row>
    <row r="3444" spans="3:6" x14ac:dyDescent="0.25">
      <c r="C3444" t="s">
        <v>126</v>
      </c>
      <c r="D3444">
        <v>2049</v>
      </c>
      <c r="E3444" t="s">
        <v>142</v>
      </c>
      <c r="F3444">
        <v>593.95000000000005</v>
      </c>
    </row>
    <row r="3445" spans="3:6" x14ac:dyDescent="0.25">
      <c r="C3445" t="s">
        <v>126</v>
      </c>
      <c r="D3445">
        <v>2049</v>
      </c>
      <c r="E3445" t="s">
        <v>143</v>
      </c>
      <c r="F3445">
        <v>1215.19</v>
      </c>
    </row>
    <row r="3446" spans="3:6" x14ac:dyDescent="0.25">
      <c r="C3446" t="s">
        <v>126</v>
      </c>
      <c r="D3446">
        <v>2049</v>
      </c>
      <c r="E3446" t="s">
        <v>144</v>
      </c>
      <c r="F3446">
        <v>958.43</v>
      </c>
    </row>
    <row r="3447" spans="3:6" x14ac:dyDescent="0.25">
      <c r="C3447" t="s">
        <v>126</v>
      </c>
      <c r="D3447">
        <v>2049</v>
      </c>
      <c r="E3447" t="s">
        <v>145</v>
      </c>
      <c r="F3447">
        <v>55.99</v>
      </c>
    </row>
    <row r="3448" spans="3:6" x14ac:dyDescent="0.25">
      <c r="C3448" t="s">
        <v>126</v>
      </c>
      <c r="D3448">
        <v>2050</v>
      </c>
      <c r="E3448" t="s">
        <v>147</v>
      </c>
      <c r="F3448">
        <v>309.52</v>
      </c>
    </row>
    <row r="3449" spans="3:6" x14ac:dyDescent="0.25">
      <c r="C3449" t="s">
        <v>126</v>
      </c>
      <c r="D3449">
        <v>2050</v>
      </c>
      <c r="E3449" t="s">
        <v>148</v>
      </c>
      <c r="F3449">
        <v>352.98</v>
      </c>
    </row>
    <row r="3450" spans="3:6" x14ac:dyDescent="0.25">
      <c r="C3450" t="s">
        <v>126</v>
      </c>
      <c r="D3450">
        <v>2050</v>
      </c>
      <c r="E3450" t="s">
        <v>146</v>
      </c>
      <c r="F3450">
        <v>602.65</v>
      </c>
    </row>
    <row r="3451" spans="3:6" x14ac:dyDescent="0.25">
      <c r="C3451" t="s">
        <v>126</v>
      </c>
      <c r="D3451">
        <v>2050</v>
      </c>
      <c r="E3451" t="s">
        <v>142</v>
      </c>
      <c r="F3451">
        <v>601.17999999999995</v>
      </c>
    </row>
    <row r="3452" spans="3:6" x14ac:dyDescent="0.25">
      <c r="C3452" t="s">
        <v>126</v>
      </c>
      <c r="D3452">
        <v>2050</v>
      </c>
      <c r="E3452" t="s">
        <v>143</v>
      </c>
      <c r="F3452">
        <v>1235.46</v>
      </c>
    </row>
    <row r="3453" spans="3:6" x14ac:dyDescent="0.25">
      <c r="C3453" t="s">
        <v>126</v>
      </c>
      <c r="D3453">
        <v>2050</v>
      </c>
      <c r="E3453" t="s">
        <v>144</v>
      </c>
      <c r="F3453">
        <v>975.87</v>
      </c>
    </row>
    <row r="3454" spans="3:6" x14ac:dyDescent="0.25">
      <c r="C3454" t="s">
        <v>126</v>
      </c>
      <c r="D3454">
        <v>2050</v>
      </c>
      <c r="E3454" t="s">
        <v>145</v>
      </c>
      <c r="F3454">
        <v>55.95</v>
      </c>
    </row>
    <row r="3455" spans="3:6" x14ac:dyDescent="0.25">
      <c r="C3455" t="s">
        <v>113</v>
      </c>
      <c r="D3455">
        <v>2010</v>
      </c>
      <c r="E3455" t="s">
        <v>142</v>
      </c>
      <c r="F3455">
        <v>4538.6400000000003</v>
      </c>
    </row>
    <row r="3456" spans="3:6" x14ac:dyDescent="0.25">
      <c r="C3456" t="s">
        <v>113</v>
      </c>
      <c r="D3456">
        <v>2010</v>
      </c>
      <c r="E3456" t="s">
        <v>143</v>
      </c>
      <c r="F3456">
        <v>3313.81</v>
      </c>
    </row>
    <row r="3457" spans="3:6" x14ac:dyDescent="0.25">
      <c r="C3457" t="s">
        <v>113</v>
      </c>
      <c r="D3457">
        <v>2010</v>
      </c>
      <c r="E3457" t="s">
        <v>144</v>
      </c>
      <c r="F3457">
        <v>4932.76</v>
      </c>
    </row>
    <row r="3458" spans="3:6" x14ac:dyDescent="0.25">
      <c r="C3458" t="s">
        <v>113</v>
      </c>
      <c r="D3458">
        <v>2010</v>
      </c>
      <c r="E3458" t="s">
        <v>145</v>
      </c>
      <c r="F3458">
        <v>23.88</v>
      </c>
    </row>
    <row r="3459" spans="3:6" x14ac:dyDescent="0.25">
      <c r="C3459" t="s">
        <v>113</v>
      </c>
      <c r="D3459">
        <v>2011</v>
      </c>
      <c r="E3459" t="s">
        <v>142</v>
      </c>
      <c r="F3459">
        <v>4531.33</v>
      </c>
    </row>
    <row r="3460" spans="3:6" x14ac:dyDescent="0.25">
      <c r="C3460" t="s">
        <v>113</v>
      </c>
      <c r="D3460">
        <v>2011</v>
      </c>
      <c r="E3460" t="s">
        <v>143</v>
      </c>
      <c r="F3460">
        <v>3382.37</v>
      </c>
    </row>
    <row r="3461" spans="3:6" x14ac:dyDescent="0.25">
      <c r="C3461" t="s">
        <v>113</v>
      </c>
      <c r="D3461">
        <v>2011</v>
      </c>
      <c r="E3461" t="s">
        <v>144</v>
      </c>
      <c r="F3461">
        <v>4854.6000000000004</v>
      </c>
    </row>
    <row r="3462" spans="3:6" x14ac:dyDescent="0.25">
      <c r="C3462" t="s">
        <v>113</v>
      </c>
      <c r="D3462">
        <v>2011</v>
      </c>
      <c r="E3462" t="s">
        <v>145</v>
      </c>
      <c r="F3462">
        <v>24.47</v>
      </c>
    </row>
    <row r="3463" spans="3:6" x14ac:dyDescent="0.25">
      <c r="C3463" t="s">
        <v>113</v>
      </c>
      <c r="D3463">
        <v>2012</v>
      </c>
      <c r="E3463" t="s">
        <v>142</v>
      </c>
      <c r="F3463">
        <v>4528.07</v>
      </c>
    </row>
    <row r="3464" spans="3:6" x14ac:dyDescent="0.25">
      <c r="C3464" t="s">
        <v>113</v>
      </c>
      <c r="D3464">
        <v>2012</v>
      </c>
      <c r="E3464" t="s">
        <v>143</v>
      </c>
      <c r="F3464">
        <v>3363.26</v>
      </c>
    </row>
    <row r="3465" spans="3:6" x14ac:dyDescent="0.25">
      <c r="C3465" t="s">
        <v>113</v>
      </c>
      <c r="D3465">
        <v>2012</v>
      </c>
      <c r="E3465" t="s">
        <v>144</v>
      </c>
      <c r="F3465">
        <v>4689.84</v>
      </c>
    </row>
    <row r="3466" spans="3:6" x14ac:dyDescent="0.25">
      <c r="C3466" t="s">
        <v>113</v>
      </c>
      <c r="D3466">
        <v>2012</v>
      </c>
      <c r="E3466" t="s">
        <v>145</v>
      </c>
      <c r="F3466">
        <v>25.01</v>
      </c>
    </row>
    <row r="3467" spans="3:6" x14ac:dyDescent="0.25">
      <c r="C3467" t="s">
        <v>113</v>
      </c>
      <c r="D3467">
        <v>2013</v>
      </c>
      <c r="E3467" t="s">
        <v>142</v>
      </c>
      <c r="F3467">
        <v>4562.1099999999997</v>
      </c>
    </row>
    <row r="3468" spans="3:6" x14ac:dyDescent="0.25">
      <c r="C3468" t="s">
        <v>113</v>
      </c>
      <c r="D3468">
        <v>2013</v>
      </c>
      <c r="E3468" t="s">
        <v>143</v>
      </c>
      <c r="F3468">
        <v>3362.02</v>
      </c>
    </row>
    <row r="3469" spans="3:6" x14ac:dyDescent="0.25">
      <c r="C3469" t="s">
        <v>113</v>
      </c>
      <c r="D3469">
        <v>2013</v>
      </c>
      <c r="E3469" t="s">
        <v>144</v>
      </c>
      <c r="F3469">
        <v>4759.1000000000004</v>
      </c>
    </row>
    <row r="3470" spans="3:6" x14ac:dyDescent="0.25">
      <c r="C3470" t="s">
        <v>113</v>
      </c>
      <c r="D3470">
        <v>2013</v>
      </c>
      <c r="E3470" t="s">
        <v>145</v>
      </c>
      <c r="F3470">
        <v>26.86</v>
      </c>
    </row>
    <row r="3471" spans="3:6" x14ac:dyDescent="0.25">
      <c r="C3471" t="s">
        <v>113</v>
      </c>
      <c r="D3471">
        <v>2014</v>
      </c>
      <c r="E3471" t="s">
        <v>142</v>
      </c>
      <c r="F3471">
        <v>4613.5600000000004</v>
      </c>
    </row>
    <row r="3472" spans="3:6" x14ac:dyDescent="0.25">
      <c r="C3472" t="s">
        <v>113</v>
      </c>
      <c r="D3472">
        <v>2014</v>
      </c>
      <c r="E3472" t="s">
        <v>143</v>
      </c>
      <c r="F3472">
        <v>3403.73</v>
      </c>
    </row>
    <row r="3473" spans="3:6" x14ac:dyDescent="0.25">
      <c r="C3473" t="s">
        <v>113</v>
      </c>
      <c r="D3473">
        <v>2014</v>
      </c>
      <c r="E3473" t="s">
        <v>144</v>
      </c>
      <c r="F3473">
        <v>4801.3900000000003</v>
      </c>
    </row>
    <row r="3474" spans="3:6" x14ac:dyDescent="0.25">
      <c r="C3474" t="s">
        <v>113</v>
      </c>
      <c r="D3474">
        <v>2014</v>
      </c>
      <c r="E3474" t="s">
        <v>145</v>
      </c>
      <c r="F3474">
        <v>28.3</v>
      </c>
    </row>
    <row r="3475" spans="3:6" x14ac:dyDescent="0.25">
      <c r="C3475" t="s">
        <v>113</v>
      </c>
      <c r="D3475">
        <v>2015</v>
      </c>
      <c r="E3475" t="s">
        <v>142</v>
      </c>
      <c r="F3475">
        <v>4642.88</v>
      </c>
    </row>
    <row r="3476" spans="3:6" x14ac:dyDescent="0.25">
      <c r="C3476" t="s">
        <v>113</v>
      </c>
      <c r="D3476">
        <v>2015</v>
      </c>
      <c r="E3476" t="s">
        <v>143</v>
      </c>
      <c r="F3476">
        <v>3365.97</v>
      </c>
    </row>
    <row r="3477" spans="3:6" x14ac:dyDescent="0.25">
      <c r="C3477" t="s">
        <v>113</v>
      </c>
      <c r="D3477">
        <v>2015</v>
      </c>
      <c r="E3477" t="s">
        <v>144</v>
      </c>
      <c r="F3477">
        <v>4790.75</v>
      </c>
    </row>
    <row r="3478" spans="3:6" x14ac:dyDescent="0.25">
      <c r="C3478" t="s">
        <v>113</v>
      </c>
      <c r="D3478">
        <v>2015</v>
      </c>
      <c r="E3478" t="s">
        <v>145</v>
      </c>
      <c r="F3478">
        <v>29.51</v>
      </c>
    </row>
    <row r="3479" spans="3:6" x14ac:dyDescent="0.25">
      <c r="C3479" t="s">
        <v>113</v>
      </c>
      <c r="D3479">
        <v>2016</v>
      </c>
      <c r="E3479" t="s">
        <v>142</v>
      </c>
      <c r="F3479">
        <v>4664.8599999999997</v>
      </c>
    </row>
    <row r="3480" spans="3:6" x14ac:dyDescent="0.25">
      <c r="C3480" t="s">
        <v>113</v>
      </c>
      <c r="D3480">
        <v>2016</v>
      </c>
      <c r="E3480" t="s">
        <v>143</v>
      </c>
      <c r="F3480">
        <v>3332.55</v>
      </c>
    </row>
    <row r="3481" spans="3:6" x14ac:dyDescent="0.25">
      <c r="C3481" t="s">
        <v>113</v>
      </c>
      <c r="D3481">
        <v>2016</v>
      </c>
      <c r="E3481" t="s">
        <v>144</v>
      </c>
      <c r="F3481">
        <v>4814.5</v>
      </c>
    </row>
    <row r="3482" spans="3:6" x14ac:dyDescent="0.25">
      <c r="C3482" t="s">
        <v>113</v>
      </c>
      <c r="D3482">
        <v>2016</v>
      </c>
      <c r="E3482" t="s">
        <v>145</v>
      </c>
      <c r="F3482">
        <v>30.76</v>
      </c>
    </row>
    <row r="3483" spans="3:6" x14ac:dyDescent="0.25">
      <c r="C3483" t="s">
        <v>113</v>
      </c>
      <c r="D3483">
        <v>2017</v>
      </c>
      <c r="E3483" t="s">
        <v>142</v>
      </c>
      <c r="F3483">
        <v>4616.05</v>
      </c>
    </row>
    <row r="3484" spans="3:6" x14ac:dyDescent="0.25">
      <c r="C3484" t="s">
        <v>113</v>
      </c>
      <c r="D3484">
        <v>2017</v>
      </c>
      <c r="E3484" t="s">
        <v>143</v>
      </c>
      <c r="F3484">
        <v>3358.42</v>
      </c>
    </row>
    <row r="3485" spans="3:6" x14ac:dyDescent="0.25">
      <c r="C3485" t="s">
        <v>113</v>
      </c>
      <c r="D3485">
        <v>2017</v>
      </c>
      <c r="E3485" t="s">
        <v>144</v>
      </c>
      <c r="F3485">
        <v>4703.8999999999996</v>
      </c>
    </row>
    <row r="3486" spans="3:6" x14ac:dyDescent="0.25">
      <c r="C3486" t="s">
        <v>113</v>
      </c>
      <c r="D3486">
        <v>2017</v>
      </c>
      <c r="E3486" t="s">
        <v>145</v>
      </c>
      <c r="F3486">
        <v>32.880000000000003</v>
      </c>
    </row>
    <row r="3487" spans="3:6" x14ac:dyDescent="0.25">
      <c r="C3487" t="s">
        <v>113</v>
      </c>
      <c r="D3487">
        <v>2018</v>
      </c>
      <c r="E3487" t="s">
        <v>142</v>
      </c>
      <c r="F3487">
        <v>4714.57</v>
      </c>
    </row>
    <row r="3488" spans="3:6" x14ac:dyDescent="0.25">
      <c r="C3488" t="s">
        <v>113</v>
      </c>
      <c r="D3488">
        <v>2018</v>
      </c>
      <c r="E3488" t="s">
        <v>143</v>
      </c>
      <c r="F3488">
        <v>3417.45</v>
      </c>
    </row>
    <row r="3489" spans="3:6" x14ac:dyDescent="0.25">
      <c r="C3489" t="s">
        <v>113</v>
      </c>
      <c r="D3489">
        <v>2018</v>
      </c>
      <c r="E3489" t="s">
        <v>144</v>
      </c>
      <c r="F3489">
        <v>5012.5</v>
      </c>
    </row>
    <row r="3490" spans="3:6" x14ac:dyDescent="0.25">
      <c r="C3490" t="s">
        <v>113</v>
      </c>
      <c r="D3490">
        <v>2018</v>
      </c>
      <c r="E3490" t="s">
        <v>145</v>
      </c>
      <c r="F3490">
        <v>36.729999999999997</v>
      </c>
    </row>
    <row r="3491" spans="3:6" x14ac:dyDescent="0.25">
      <c r="C3491" t="s">
        <v>113</v>
      </c>
      <c r="D3491">
        <v>2019</v>
      </c>
      <c r="E3491" t="s">
        <v>142</v>
      </c>
      <c r="F3491">
        <v>4621.71</v>
      </c>
    </row>
    <row r="3492" spans="3:6" x14ac:dyDescent="0.25">
      <c r="C3492" t="s">
        <v>113</v>
      </c>
      <c r="D3492">
        <v>2019</v>
      </c>
      <c r="E3492" t="s">
        <v>143</v>
      </c>
      <c r="F3492">
        <v>3248.73</v>
      </c>
    </row>
    <row r="3493" spans="3:6" x14ac:dyDescent="0.25">
      <c r="C3493" t="s">
        <v>113</v>
      </c>
      <c r="D3493">
        <v>2019</v>
      </c>
      <c r="E3493" t="s">
        <v>144</v>
      </c>
      <c r="F3493">
        <v>4896.6499999999996</v>
      </c>
    </row>
    <row r="3494" spans="3:6" x14ac:dyDescent="0.25">
      <c r="C3494" t="s">
        <v>113</v>
      </c>
      <c r="D3494">
        <v>2019</v>
      </c>
      <c r="E3494" t="s">
        <v>145</v>
      </c>
      <c r="F3494">
        <v>42.49</v>
      </c>
    </row>
    <row r="3495" spans="3:6" x14ac:dyDescent="0.25">
      <c r="C3495" t="s">
        <v>113</v>
      </c>
      <c r="D3495">
        <v>2020</v>
      </c>
      <c r="E3495" t="s">
        <v>142</v>
      </c>
      <c r="F3495">
        <v>4335.43</v>
      </c>
    </row>
    <row r="3496" spans="3:6" x14ac:dyDescent="0.25">
      <c r="C3496" t="s">
        <v>113</v>
      </c>
      <c r="D3496">
        <v>2020</v>
      </c>
      <c r="E3496" t="s">
        <v>143</v>
      </c>
      <c r="F3496">
        <v>3066.93</v>
      </c>
    </row>
    <row r="3497" spans="3:6" x14ac:dyDescent="0.25">
      <c r="C3497" t="s">
        <v>113</v>
      </c>
      <c r="D3497">
        <v>2020</v>
      </c>
      <c r="E3497" t="s">
        <v>144</v>
      </c>
      <c r="F3497">
        <v>5052.7299999999996</v>
      </c>
    </row>
    <row r="3498" spans="3:6" x14ac:dyDescent="0.25">
      <c r="C3498" t="s">
        <v>113</v>
      </c>
      <c r="D3498">
        <v>2020</v>
      </c>
      <c r="E3498" t="s">
        <v>145</v>
      </c>
      <c r="F3498">
        <v>35.47</v>
      </c>
    </row>
    <row r="3499" spans="3:6" x14ac:dyDescent="0.25">
      <c r="C3499" t="s">
        <v>113</v>
      </c>
      <c r="D3499">
        <v>2021</v>
      </c>
      <c r="E3499" t="s">
        <v>142</v>
      </c>
      <c r="F3499">
        <v>4395.6000000000004</v>
      </c>
    </row>
    <row r="3500" spans="3:6" x14ac:dyDescent="0.25">
      <c r="C3500" t="s">
        <v>113</v>
      </c>
      <c r="D3500">
        <v>2021</v>
      </c>
      <c r="E3500" t="s">
        <v>143</v>
      </c>
      <c r="F3500">
        <v>3033.75</v>
      </c>
    </row>
    <row r="3501" spans="3:6" x14ac:dyDescent="0.25">
      <c r="C3501" t="s">
        <v>113</v>
      </c>
      <c r="D3501">
        <v>2021</v>
      </c>
      <c r="E3501" t="s">
        <v>144</v>
      </c>
      <c r="F3501">
        <v>5085.55</v>
      </c>
    </row>
    <row r="3502" spans="3:6" x14ac:dyDescent="0.25">
      <c r="C3502" t="s">
        <v>113</v>
      </c>
      <c r="D3502">
        <v>2021</v>
      </c>
      <c r="E3502" t="s">
        <v>145</v>
      </c>
      <c r="F3502">
        <v>42.67</v>
      </c>
    </row>
    <row r="3503" spans="3:6" x14ac:dyDescent="0.25">
      <c r="C3503" t="s">
        <v>113</v>
      </c>
      <c r="D3503">
        <v>2022</v>
      </c>
      <c r="E3503" t="s">
        <v>142</v>
      </c>
      <c r="F3503">
        <v>4490.5600000000004</v>
      </c>
    </row>
    <row r="3504" spans="3:6" x14ac:dyDescent="0.25">
      <c r="C3504" t="s">
        <v>113</v>
      </c>
      <c r="D3504">
        <v>2022</v>
      </c>
      <c r="E3504" t="s">
        <v>143</v>
      </c>
      <c r="F3504">
        <v>3155.42</v>
      </c>
    </row>
    <row r="3505" spans="3:6" x14ac:dyDescent="0.25">
      <c r="C3505" t="s">
        <v>113</v>
      </c>
      <c r="D3505">
        <v>2022</v>
      </c>
      <c r="E3505" t="s">
        <v>144</v>
      </c>
      <c r="F3505">
        <v>5091.33</v>
      </c>
    </row>
    <row r="3506" spans="3:6" x14ac:dyDescent="0.25">
      <c r="C3506" t="s">
        <v>113</v>
      </c>
      <c r="D3506">
        <v>2022</v>
      </c>
      <c r="E3506" t="s">
        <v>145</v>
      </c>
      <c r="F3506">
        <v>48.66</v>
      </c>
    </row>
    <row r="3507" spans="3:6" x14ac:dyDescent="0.25">
      <c r="C3507" t="s">
        <v>113</v>
      </c>
      <c r="D3507">
        <v>2023</v>
      </c>
      <c r="E3507" t="s">
        <v>142</v>
      </c>
      <c r="F3507">
        <v>4557.9799999999996</v>
      </c>
    </row>
    <row r="3508" spans="3:6" x14ac:dyDescent="0.25">
      <c r="C3508" t="s">
        <v>113</v>
      </c>
      <c r="D3508">
        <v>2023</v>
      </c>
      <c r="E3508" t="s">
        <v>143</v>
      </c>
      <c r="F3508">
        <v>3228.21</v>
      </c>
    </row>
    <row r="3509" spans="3:6" x14ac:dyDescent="0.25">
      <c r="C3509" t="s">
        <v>113</v>
      </c>
      <c r="D3509">
        <v>2023</v>
      </c>
      <c r="E3509" t="s">
        <v>144</v>
      </c>
      <c r="F3509">
        <v>5101.72</v>
      </c>
    </row>
    <row r="3510" spans="3:6" x14ac:dyDescent="0.25">
      <c r="C3510" t="s">
        <v>113</v>
      </c>
      <c r="D3510">
        <v>2023</v>
      </c>
      <c r="E3510" t="s">
        <v>145</v>
      </c>
      <c r="F3510">
        <v>54.24</v>
      </c>
    </row>
    <row r="3511" spans="3:6" x14ac:dyDescent="0.25">
      <c r="C3511" t="s">
        <v>113</v>
      </c>
      <c r="D3511">
        <v>2024</v>
      </c>
      <c r="E3511" t="s">
        <v>142</v>
      </c>
      <c r="F3511">
        <v>4632.7299999999996</v>
      </c>
    </row>
    <row r="3512" spans="3:6" x14ac:dyDescent="0.25">
      <c r="C3512" t="s">
        <v>113</v>
      </c>
      <c r="D3512">
        <v>2024</v>
      </c>
      <c r="E3512" t="s">
        <v>143</v>
      </c>
      <c r="F3512">
        <v>3287.13</v>
      </c>
    </row>
    <row r="3513" spans="3:6" x14ac:dyDescent="0.25">
      <c r="C3513" t="s">
        <v>113</v>
      </c>
      <c r="D3513">
        <v>2024</v>
      </c>
      <c r="E3513" t="s">
        <v>144</v>
      </c>
      <c r="F3513">
        <v>5115.7299999999996</v>
      </c>
    </row>
    <row r="3514" spans="3:6" x14ac:dyDescent="0.25">
      <c r="C3514" t="s">
        <v>113</v>
      </c>
      <c r="D3514">
        <v>2024</v>
      </c>
      <c r="E3514" t="s">
        <v>145</v>
      </c>
      <c r="F3514">
        <v>59.39</v>
      </c>
    </row>
    <row r="3515" spans="3:6" x14ac:dyDescent="0.25">
      <c r="C3515" t="s">
        <v>113</v>
      </c>
      <c r="D3515">
        <v>2025</v>
      </c>
      <c r="E3515" t="s">
        <v>142</v>
      </c>
      <c r="F3515">
        <v>4705.4799999999996</v>
      </c>
    </row>
    <row r="3516" spans="3:6" x14ac:dyDescent="0.25">
      <c r="C3516" t="s">
        <v>113</v>
      </c>
      <c r="D3516">
        <v>2025</v>
      </c>
      <c r="E3516" t="s">
        <v>143</v>
      </c>
      <c r="F3516">
        <v>3356.3</v>
      </c>
    </row>
    <row r="3517" spans="3:6" x14ac:dyDescent="0.25">
      <c r="C3517" t="s">
        <v>113</v>
      </c>
      <c r="D3517">
        <v>2025</v>
      </c>
      <c r="E3517" t="s">
        <v>144</v>
      </c>
      <c r="F3517">
        <v>5131.4399999999996</v>
      </c>
    </row>
    <row r="3518" spans="3:6" x14ac:dyDescent="0.25">
      <c r="C3518" t="s">
        <v>113</v>
      </c>
      <c r="D3518">
        <v>2025</v>
      </c>
      <c r="E3518" t="s">
        <v>145</v>
      </c>
      <c r="F3518">
        <v>64.58</v>
      </c>
    </row>
    <row r="3519" spans="3:6" x14ac:dyDescent="0.25">
      <c r="C3519" t="s">
        <v>113</v>
      </c>
      <c r="D3519">
        <v>2026</v>
      </c>
      <c r="E3519" t="s">
        <v>142</v>
      </c>
      <c r="F3519">
        <v>4714.9399999999996</v>
      </c>
    </row>
    <row r="3520" spans="3:6" x14ac:dyDescent="0.25">
      <c r="C3520" t="s">
        <v>113</v>
      </c>
      <c r="D3520">
        <v>2026</v>
      </c>
      <c r="E3520" t="s">
        <v>143</v>
      </c>
      <c r="F3520">
        <v>3400.32</v>
      </c>
    </row>
    <row r="3521" spans="3:6" x14ac:dyDescent="0.25">
      <c r="C3521" t="s">
        <v>113</v>
      </c>
      <c r="D3521">
        <v>2026</v>
      </c>
      <c r="E3521" t="s">
        <v>144</v>
      </c>
      <c r="F3521">
        <v>5153.74</v>
      </c>
    </row>
    <row r="3522" spans="3:6" x14ac:dyDescent="0.25">
      <c r="C3522" t="s">
        <v>113</v>
      </c>
      <c r="D3522">
        <v>2026</v>
      </c>
      <c r="E3522" t="s">
        <v>145</v>
      </c>
      <c r="F3522">
        <v>70.819999999999993</v>
      </c>
    </row>
    <row r="3523" spans="3:6" x14ac:dyDescent="0.25">
      <c r="C3523" t="s">
        <v>113</v>
      </c>
      <c r="D3523">
        <v>2027</v>
      </c>
      <c r="E3523" t="s">
        <v>142</v>
      </c>
      <c r="F3523">
        <v>4724.38</v>
      </c>
    </row>
    <row r="3524" spans="3:6" x14ac:dyDescent="0.25">
      <c r="C3524" t="s">
        <v>113</v>
      </c>
      <c r="D3524">
        <v>2027</v>
      </c>
      <c r="E3524" t="s">
        <v>143</v>
      </c>
      <c r="F3524">
        <v>3434.09</v>
      </c>
    </row>
    <row r="3525" spans="3:6" x14ac:dyDescent="0.25">
      <c r="C3525" t="s">
        <v>113</v>
      </c>
      <c r="D3525">
        <v>2027</v>
      </c>
      <c r="E3525" t="s">
        <v>144</v>
      </c>
      <c r="F3525">
        <v>5175.79</v>
      </c>
    </row>
    <row r="3526" spans="3:6" x14ac:dyDescent="0.25">
      <c r="C3526" t="s">
        <v>113</v>
      </c>
      <c r="D3526">
        <v>2027</v>
      </c>
      <c r="E3526" t="s">
        <v>145</v>
      </c>
      <c r="F3526">
        <v>77.28</v>
      </c>
    </row>
    <row r="3527" spans="3:6" x14ac:dyDescent="0.25">
      <c r="C3527" t="s">
        <v>113</v>
      </c>
      <c r="D3527">
        <v>2028</v>
      </c>
      <c r="E3527" t="s">
        <v>142</v>
      </c>
      <c r="F3527">
        <v>4737.4799999999996</v>
      </c>
    </row>
    <row r="3528" spans="3:6" x14ac:dyDescent="0.25">
      <c r="C3528" t="s">
        <v>113</v>
      </c>
      <c r="D3528">
        <v>2028</v>
      </c>
      <c r="E3528" t="s">
        <v>143</v>
      </c>
      <c r="F3528">
        <v>3457.92</v>
      </c>
    </row>
    <row r="3529" spans="3:6" x14ac:dyDescent="0.25">
      <c r="C3529" t="s">
        <v>113</v>
      </c>
      <c r="D3529">
        <v>2028</v>
      </c>
      <c r="E3529" t="s">
        <v>144</v>
      </c>
      <c r="F3529">
        <v>5201.45</v>
      </c>
    </row>
    <row r="3530" spans="3:6" x14ac:dyDescent="0.25">
      <c r="C3530" t="s">
        <v>113</v>
      </c>
      <c r="D3530">
        <v>2028</v>
      </c>
      <c r="E3530" t="s">
        <v>145</v>
      </c>
      <c r="F3530">
        <v>83.91</v>
      </c>
    </row>
    <row r="3531" spans="3:6" x14ac:dyDescent="0.25">
      <c r="C3531" t="s">
        <v>113</v>
      </c>
      <c r="D3531">
        <v>2029</v>
      </c>
      <c r="E3531" t="s">
        <v>142</v>
      </c>
      <c r="F3531">
        <v>4750.95</v>
      </c>
    </row>
    <row r="3532" spans="3:6" x14ac:dyDescent="0.25">
      <c r="C3532" t="s">
        <v>113</v>
      </c>
      <c r="D3532">
        <v>2029</v>
      </c>
      <c r="E3532" t="s">
        <v>143</v>
      </c>
      <c r="F3532">
        <v>3482.11</v>
      </c>
    </row>
    <row r="3533" spans="3:6" x14ac:dyDescent="0.25">
      <c r="C3533" t="s">
        <v>113</v>
      </c>
      <c r="D3533">
        <v>2029</v>
      </c>
      <c r="E3533" t="s">
        <v>144</v>
      </c>
      <c r="F3533">
        <v>5229</v>
      </c>
    </row>
    <row r="3534" spans="3:6" x14ac:dyDescent="0.25">
      <c r="C3534" t="s">
        <v>113</v>
      </c>
      <c r="D3534">
        <v>2029</v>
      </c>
      <c r="E3534" t="s">
        <v>145</v>
      </c>
      <c r="F3534">
        <v>90.83</v>
      </c>
    </row>
    <row r="3535" spans="3:6" x14ac:dyDescent="0.25">
      <c r="C3535" t="s">
        <v>113</v>
      </c>
      <c r="D3535">
        <v>2030</v>
      </c>
      <c r="E3535" t="s">
        <v>142</v>
      </c>
      <c r="F3535">
        <v>4759.3999999999996</v>
      </c>
    </row>
    <row r="3536" spans="3:6" x14ac:dyDescent="0.25">
      <c r="C3536" t="s">
        <v>113</v>
      </c>
      <c r="D3536">
        <v>2030</v>
      </c>
      <c r="E3536" t="s">
        <v>143</v>
      </c>
      <c r="F3536">
        <v>3514.58</v>
      </c>
    </row>
    <row r="3537" spans="3:6" x14ac:dyDescent="0.25">
      <c r="C3537" t="s">
        <v>113</v>
      </c>
      <c r="D3537">
        <v>2030</v>
      </c>
      <c r="E3537" t="s">
        <v>144</v>
      </c>
      <c r="F3537">
        <v>5257.94</v>
      </c>
    </row>
    <row r="3538" spans="3:6" x14ac:dyDescent="0.25">
      <c r="C3538" t="s">
        <v>113</v>
      </c>
      <c r="D3538">
        <v>2030</v>
      </c>
      <c r="E3538" t="s">
        <v>145</v>
      </c>
      <c r="F3538">
        <v>98.7</v>
      </c>
    </row>
    <row r="3539" spans="3:6" x14ac:dyDescent="0.25">
      <c r="C3539" t="s">
        <v>113</v>
      </c>
      <c r="D3539">
        <v>2031</v>
      </c>
      <c r="E3539" t="s">
        <v>142</v>
      </c>
      <c r="F3539">
        <v>4772.42</v>
      </c>
    </row>
    <row r="3540" spans="3:6" x14ac:dyDescent="0.25">
      <c r="C3540" t="s">
        <v>113</v>
      </c>
      <c r="D3540">
        <v>2031</v>
      </c>
      <c r="E3540" t="s">
        <v>143</v>
      </c>
      <c r="F3540">
        <v>3545.87</v>
      </c>
    </row>
    <row r="3541" spans="3:6" x14ac:dyDescent="0.25">
      <c r="C3541" t="s">
        <v>113</v>
      </c>
      <c r="D3541">
        <v>2031</v>
      </c>
      <c r="E3541" t="s">
        <v>144</v>
      </c>
      <c r="F3541">
        <v>5290.14</v>
      </c>
    </row>
    <row r="3542" spans="3:6" x14ac:dyDescent="0.25">
      <c r="C3542" t="s">
        <v>113</v>
      </c>
      <c r="D3542">
        <v>2031</v>
      </c>
      <c r="E3542" t="s">
        <v>145</v>
      </c>
      <c r="F3542">
        <v>107.22</v>
      </c>
    </row>
    <row r="3543" spans="3:6" x14ac:dyDescent="0.25">
      <c r="C3543" t="s">
        <v>113</v>
      </c>
      <c r="D3543">
        <v>2032</v>
      </c>
      <c r="E3543" t="s">
        <v>142</v>
      </c>
      <c r="F3543">
        <v>4796.05</v>
      </c>
    </row>
    <row r="3544" spans="3:6" x14ac:dyDescent="0.25">
      <c r="C3544" t="s">
        <v>113</v>
      </c>
      <c r="D3544">
        <v>2032</v>
      </c>
      <c r="E3544" t="s">
        <v>143</v>
      </c>
      <c r="F3544">
        <v>3563.43</v>
      </c>
    </row>
    <row r="3545" spans="3:6" x14ac:dyDescent="0.25">
      <c r="C3545" t="s">
        <v>113</v>
      </c>
      <c r="D3545">
        <v>2032</v>
      </c>
      <c r="E3545" t="s">
        <v>144</v>
      </c>
      <c r="F3545">
        <v>5326.3</v>
      </c>
    </row>
    <row r="3546" spans="3:6" x14ac:dyDescent="0.25">
      <c r="C3546" t="s">
        <v>113</v>
      </c>
      <c r="D3546">
        <v>2032</v>
      </c>
      <c r="E3546" t="s">
        <v>145</v>
      </c>
      <c r="F3546">
        <v>116.77</v>
      </c>
    </row>
    <row r="3547" spans="3:6" x14ac:dyDescent="0.25">
      <c r="C3547" t="s">
        <v>113</v>
      </c>
      <c r="D3547">
        <v>2033</v>
      </c>
      <c r="E3547" t="s">
        <v>142</v>
      </c>
      <c r="F3547">
        <v>4814.9399999999996</v>
      </c>
    </row>
    <row r="3548" spans="3:6" x14ac:dyDescent="0.25">
      <c r="C3548" t="s">
        <v>113</v>
      </c>
      <c r="D3548">
        <v>2033</v>
      </c>
      <c r="E3548" t="s">
        <v>143</v>
      </c>
      <c r="F3548">
        <v>3580.15</v>
      </c>
    </row>
    <row r="3549" spans="3:6" x14ac:dyDescent="0.25">
      <c r="C3549" t="s">
        <v>113</v>
      </c>
      <c r="D3549">
        <v>2033</v>
      </c>
      <c r="E3549" t="s">
        <v>144</v>
      </c>
      <c r="F3549">
        <v>5360.82</v>
      </c>
    </row>
    <row r="3550" spans="3:6" x14ac:dyDescent="0.25">
      <c r="C3550" t="s">
        <v>113</v>
      </c>
      <c r="D3550">
        <v>2033</v>
      </c>
      <c r="E3550" t="s">
        <v>145</v>
      </c>
      <c r="F3550">
        <v>127.28</v>
      </c>
    </row>
    <row r="3551" spans="3:6" x14ac:dyDescent="0.25">
      <c r="C3551" t="s">
        <v>113</v>
      </c>
      <c r="D3551">
        <v>2034</v>
      </c>
      <c r="E3551" t="s">
        <v>142</v>
      </c>
      <c r="F3551">
        <v>4841.1099999999997</v>
      </c>
    </row>
    <row r="3552" spans="3:6" x14ac:dyDescent="0.25">
      <c r="C3552" t="s">
        <v>113</v>
      </c>
      <c r="D3552">
        <v>2034</v>
      </c>
      <c r="E3552" t="s">
        <v>143</v>
      </c>
      <c r="F3552">
        <v>3605.36</v>
      </c>
    </row>
    <row r="3553" spans="3:6" x14ac:dyDescent="0.25">
      <c r="C3553" t="s">
        <v>113</v>
      </c>
      <c r="D3553">
        <v>2034</v>
      </c>
      <c r="E3553" t="s">
        <v>144</v>
      </c>
      <c r="F3553">
        <v>5400.49</v>
      </c>
    </row>
    <row r="3554" spans="3:6" x14ac:dyDescent="0.25">
      <c r="C3554" t="s">
        <v>113</v>
      </c>
      <c r="D3554">
        <v>2034</v>
      </c>
      <c r="E3554" t="s">
        <v>145</v>
      </c>
      <c r="F3554">
        <v>138.79</v>
      </c>
    </row>
    <row r="3555" spans="3:6" x14ac:dyDescent="0.25">
      <c r="C3555" t="s">
        <v>113</v>
      </c>
      <c r="D3555">
        <v>2035</v>
      </c>
      <c r="E3555" t="s">
        <v>142</v>
      </c>
      <c r="F3555">
        <v>4865.6499999999996</v>
      </c>
    </row>
    <row r="3556" spans="3:6" x14ac:dyDescent="0.25">
      <c r="C3556" t="s">
        <v>113</v>
      </c>
      <c r="D3556">
        <v>2035</v>
      </c>
      <c r="E3556" t="s">
        <v>143</v>
      </c>
      <c r="F3556">
        <v>3626.86</v>
      </c>
    </row>
    <row r="3557" spans="3:6" x14ac:dyDescent="0.25">
      <c r="C3557" t="s">
        <v>113</v>
      </c>
      <c r="D3557">
        <v>2035</v>
      </c>
      <c r="E3557" t="s">
        <v>144</v>
      </c>
      <c r="F3557">
        <v>5442.1</v>
      </c>
    </row>
    <row r="3558" spans="3:6" x14ac:dyDescent="0.25">
      <c r="C3558" t="s">
        <v>113</v>
      </c>
      <c r="D3558">
        <v>2035</v>
      </c>
      <c r="E3558" t="s">
        <v>145</v>
      </c>
      <c r="F3558">
        <v>151.22999999999999</v>
      </c>
    </row>
    <row r="3559" spans="3:6" x14ac:dyDescent="0.25">
      <c r="C3559" t="s">
        <v>113</v>
      </c>
      <c r="D3559">
        <v>2036</v>
      </c>
      <c r="E3559" t="s">
        <v>142</v>
      </c>
      <c r="F3559">
        <v>4893.78</v>
      </c>
    </row>
    <row r="3560" spans="3:6" x14ac:dyDescent="0.25">
      <c r="C3560" t="s">
        <v>113</v>
      </c>
      <c r="D3560">
        <v>2036</v>
      </c>
      <c r="E3560" t="s">
        <v>143</v>
      </c>
      <c r="F3560">
        <v>3646.27</v>
      </c>
    </row>
    <row r="3561" spans="3:6" x14ac:dyDescent="0.25">
      <c r="C3561" t="s">
        <v>113</v>
      </c>
      <c r="D3561">
        <v>2036</v>
      </c>
      <c r="E3561" t="s">
        <v>144</v>
      </c>
      <c r="F3561">
        <v>5487.02</v>
      </c>
    </row>
    <row r="3562" spans="3:6" x14ac:dyDescent="0.25">
      <c r="C3562" t="s">
        <v>113</v>
      </c>
      <c r="D3562">
        <v>2036</v>
      </c>
      <c r="E3562" t="s">
        <v>145</v>
      </c>
      <c r="F3562">
        <v>164.45</v>
      </c>
    </row>
    <row r="3563" spans="3:6" x14ac:dyDescent="0.25">
      <c r="C3563" t="s">
        <v>113</v>
      </c>
      <c r="D3563">
        <v>2037</v>
      </c>
      <c r="E3563" t="s">
        <v>142</v>
      </c>
      <c r="F3563">
        <v>4927.18</v>
      </c>
    </row>
    <row r="3564" spans="3:6" x14ac:dyDescent="0.25">
      <c r="C3564" t="s">
        <v>113</v>
      </c>
      <c r="D3564">
        <v>2037</v>
      </c>
      <c r="E3564" t="s">
        <v>143</v>
      </c>
      <c r="F3564">
        <v>3665.42</v>
      </c>
    </row>
    <row r="3565" spans="3:6" x14ac:dyDescent="0.25">
      <c r="C3565" t="s">
        <v>113</v>
      </c>
      <c r="D3565">
        <v>2037</v>
      </c>
      <c r="E3565" t="s">
        <v>144</v>
      </c>
      <c r="F3565">
        <v>5534.37</v>
      </c>
    </row>
    <row r="3566" spans="3:6" x14ac:dyDescent="0.25">
      <c r="C3566" t="s">
        <v>113</v>
      </c>
      <c r="D3566">
        <v>2037</v>
      </c>
      <c r="E3566" t="s">
        <v>145</v>
      </c>
      <c r="F3566">
        <v>178.52</v>
      </c>
    </row>
    <row r="3567" spans="3:6" x14ac:dyDescent="0.25">
      <c r="C3567" t="s">
        <v>113</v>
      </c>
      <c r="D3567">
        <v>2038</v>
      </c>
      <c r="E3567" t="s">
        <v>142</v>
      </c>
      <c r="F3567">
        <v>4963.28</v>
      </c>
    </row>
    <row r="3568" spans="3:6" x14ac:dyDescent="0.25">
      <c r="C3568" t="s">
        <v>113</v>
      </c>
      <c r="D3568">
        <v>2038</v>
      </c>
      <c r="E3568" t="s">
        <v>143</v>
      </c>
      <c r="F3568">
        <v>3689.91</v>
      </c>
    </row>
    <row r="3569" spans="3:6" x14ac:dyDescent="0.25">
      <c r="C3569" t="s">
        <v>113</v>
      </c>
      <c r="D3569">
        <v>2038</v>
      </c>
      <c r="E3569" t="s">
        <v>144</v>
      </c>
      <c r="F3569">
        <v>5582.5</v>
      </c>
    </row>
    <row r="3570" spans="3:6" x14ac:dyDescent="0.25">
      <c r="C3570" t="s">
        <v>113</v>
      </c>
      <c r="D3570">
        <v>2038</v>
      </c>
      <c r="E3570" t="s">
        <v>145</v>
      </c>
      <c r="F3570">
        <v>193.55</v>
      </c>
    </row>
    <row r="3571" spans="3:6" x14ac:dyDescent="0.25">
      <c r="C3571" t="s">
        <v>113</v>
      </c>
      <c r="D3571">
        <v>2039</v>
      </c>
      <c r="E3571" t="s">
        <v>142</v>
      </c>
      <c r="F3571">
        <v>5001.21</v>
      </c>
    </row>
    <row r="3572" spans="3:6" x14ac:dyDescent="0.25">
      <c r="C3572" t="s">
        <v>113</v>
      </c>
      <c r="D3572">
        <v>2039</v>
      </c>
      <c r="E3572" t="s">
        <v>143</v>
      </c>
      <c r="F3572">
        <v>3713.29</v>
      </c>
    </row>
    <row r="3573" spans="3:6" x14ac:dyDescent="0.25">
      <c r="C3573" t="s">
        <v>113</v>
      </c>
      <c r="D3573">
        <v>2039</v>
      </c>
      <c r="E3573" t="s">
        <v>144</v>
      </c>
      <c r="F3573">
        <v>5630.49</v>
      </c>
    </row>
    <row r="3574" spans="3:6" x14ac:dyDescent="0.25">
      <c r="C3574" t="s">
        <v>113</v>
      </c>
      <c r="D3574">
        <v>2039</v>
      </c>
      <c r="E3574" t="s">
        <v>145</v>
      </c>
      <c r="F3574">
        <v>209.35</v>
      </c>
    </row>
    <row r="3575" spans="3:6" x14ac:dyDescent="0.25">
      <c r="C3575" t="s">
        <v>113</v>
      </c>
      <c r="D3575">
        <v>2040</v>
      </c>
      <c r="E3575" t="s">
        <v>142</v>
      </c>
      <c r="F3575">
        <v>5036.96</v>
      </c>
    </row>
    <row r="3576" spans="3:6" x14ac:dyDescent="0.25">
      <c r="C3576" t="s">
        <v>113</v>
      </c>
      <c r="D3576">
        <v>2040</v>
      </c>
      <c r="E3576" t="s">
        <v>143</v>
      </c>
      <c r="F3576">
        <v>3727.65</v>
      </c>
    </row>
    <row r="3577" spans="3:6" x14ac:dyDescent="0.25">
      <c r="C3577" t="s">
        <v>113</v>
      </c>
      <c r="D3577">
        <v>2040</v>
      </c>
      <c r="E3577" t="s">
        <v>144</v>
      </c>
      <c r="F3577">
        <v>5674.67</v>
      </c>
    </row>
    <row r="3578" spans="3:6" x14ac:dyDescent="0.25">
      <c r="C3578" t="s">
        <v>113</v>
      </c>
      <c r="D3578">
        <v>2040</v>
      </c>
      <c r="E3578" t="s">
        <v>145</v>
      </c>
      <c r="F3578">
        <v>226.16</v>
      </c>
    </row>
    <row r="3579" spans="3:6" x14ac:dyDescent="0.25">
      <c r="C3579" t="s">
        <v>113</v>
      </c>
      <c r="D3579">
        <v>2041</v>
      </c>
      <c r="E3579" t="s">
        <v>142</v>
      </c>
      <c r="F3579">
        <v>5077.38</v>
      </c>
    </row>
    <row r="3580" spans="3:6" x14ac:dyDescent="0.25">
      <c r="C3580" t="s">
        <v>113</v>
      </c>
      <c r="D3580">
        <v>2041</v>
      </c>
      <c r="E3580" t="s">
        <v>143</v>
      </c>
      <c r="F3580">
        <v>3752.25</v>
      </c>
    </row>
    <row r="3581" spans="3:6" x14ac:dyDescent="0.25">
      <c r="C3581" t="s">
        <v>113</v>
      </c>
      <c r="D3581">
        <v>2041</v>
      </c>
      <c r="E3581" t="s">
        <v>144</v>
      </c>
      <c r="F3581">
        <v>5718.52</v>
      </c>
    </row>
    <row r="3582" spans="3:6" x14ac:dyDescent="0.25">
      <c r="C3582" t="s">
        <v>113</v>
      </c>
      <c r="D3582">
        <v>2041</v>
      </c>
      <c r="E3582" t="s">
        <v>145</v>
      </c>
      <c r="F3582">
        <v>243.21</v>
      </c>
    </row>
    <row r="3583" spans="3:6" x14ac:dyDescent="0.25">
      <c r="C3583" t="s">
        <v>113</v>
      </c>
      <c r="D3583">
        <v>2042</v>
      </c>
      <c r="E3583" t="s">
        <v>142</v>
      </c>
      <c r="F3583">
        <v>5118.7700000000004</v>
      </c>
    </row>
    <row r="3584" spans="3:6" x14ac:dyDescent="0.25">
      <c r="C3584" t="s">
        <v>113</v>
      </c>
      <c r="D3584">
        <v>2042</v>
      </c>
      <c r="E3584" t="s">
        <v>143</v>
      </c>
      <c r="F3584">
        <v>3789.03</v>
      </c>
    </row>
    <row r="3585" spans="3:6" x14ac:dyDescent="0.25">
      <c r="C3585" t="s">
        <v>113</v>
      </c>
      <c r="D3585">
        <v>2042</v>
      </c>
      <c r="E3585" t="s">
        <v>144</v>
      </c>
      <c r="F3585">
        <v>5763.38</v>
      </c>
    </row>
    <row r="3586" spans="3:6" x14ac:dyDescent="0.25">
      <c r="C3586" t="s">
        <v>113</v>
      </c>
      <c r="D3586">
        <v>2042</v>
      </c>
      <c r="E3586" t="s">
        <v>145</v>
      </c>
      <c r="F3586">
        <v>260.83999999999997</v>
      </c>
    </row>
    <row r="3587" spans="3:6" x14ac:dyDescent="0.25">
      <c r="C3587" t="s">
        <v>113</v>
      </c>
      <c r="D3587">
        <v>2043</v>
      </c>
      <c r="E3587" t="s">
        <v>142</v>
      </c>
      <c r="F3587">
        <v>5172.63</v>
      </c>
    </row>
    <row r="3588" spans="3:6" x14ac:dyDescent="0.25">
      <c r="C3588" t="s">
        <v>113</v>
      </c>
      <c r="D3588">
        <v>2043</v>
      </c>
      <c r="E3588" t="s">
        <v>143</v>
      </c>
      <c r="F3588">
        <v>3827.36</v>
      </c>
    </row>
    <row r="3589" spans="3:6" x14ac:dyDescent="0.25">
      <c r="C3589" t="s">
        <v>113</v>
      </c>
      <c r="D3589">
        <v>2043</v>
      </c>
      <c r="E3589" t="s">
        <v>144</v>
      </c>
      <c r="F3589">
        <v>5812.75</v>
      </c>
    </row>
    <row r="3590" spans="3:6" x14ac:dyDescent="0.25">
      <c r="C3590" t="s">
        <v>113</v>
      </c>
      <c r="D3590">
        <v>2043</v>
      </c>
      <c r="E3590" t="s">
        <v>145</v>
      </c>
      <c r="F3590">
        <v>278.87</v>
      </c>
    </row>
    <row r="3591" spans="3:6" x14ac:dyDescent="0.25">
      <c r="C3591" t="s">
        <v>113</v>
      </c>
      <c r="D3591">
        <v>2044</v>
      </c>
      <c r="E3591" t="s">
        <v>142</v>
      </c>
      <c r="F3591">
        <v>5224.68</v>
      </c>
    </row>
    <row r="3592" spans="3:6" x14ac:dyDescent="0.25">
      <c r="C3592" t="s">
        <v>113</v>
      </c>
      <c r="D3592">
        <v>2044</v>
      </c>
      <c r="E3592" t="s">
        <v>143</v>
      </c>
      <c r="F3592">
        <v>3855.14</v>
      </c>
    </row>
    <row r="3593" spans="3:6" x14ac:dyDescent="0.25">
      <c r="C3593" t="s">
        <v>113</v>
      </c>
      <c r="D3593">
        <v>2044</v>
      </c>
      <c r="E3593" t="s">
        <v>144</v>
      </c>
      <c r="F3593">
        <v>5862.58</v>
      </c>
    </row>
    <row r="3594" spans="3:6" x14ac:dyDescent="0.25">
      <c r="C3594" t="s">
        <v>113</v>
      </c>
      <c r="D3594">
        <v>2044</v>
      </c>
      <c r="E3594" t="s">
        <v>145</v>
      </c>
      <c r="F3594">
        <v>297.64999999999998</v>
      </c>
    </row>
    <row r="3595" spans="3:6" x14ac:dyDescent="0.25">
      <c r="C3595" t="s">
        <v>113</v>
      </c>
      <c r="D3595">
        <v>2045</v>
      </c>
      <c r="E3595" t="s">
        <v>142</v>
      </c>
      <c r="F3595">
        <v>5280.98</v>
      </c>
    </row>
    <row r="3596" spans="3:6" x14ac:dyDescent="0.25">
      <c r="C3596" t="s">
        <v>113</v>
      </c>
      <c r="D3596">
        <v>2045</v>
      </c>
      <c r="E3596" t="s">
        <v>143</v>
      </c>
      <c r="F3596">
        <v>3881.23</v>
      </c>
    </row>
    <row r="3597" spans="3:6" x14ac:dyDescent="0.25">
      <c r="C3597" t="s">
        <v>113</v>
      </c>
      <c r="D3597">
        <v>2045</v>
      </c>
      <c r="E3597" t="s">
        <v>144</v>
      </c>
      <c r="F3597">
        <v>5912.04</v>
      </c>
    </row>
    <row r="3598" spans="3:6" x14ac:dyDescent="0.25">
      <c r="C3598" t="s">
        <v>113</v>
      </c>
      <c r="D3598">
        <v>2045</v>
      </c>
      <c r="E3598" t="s">
        <v>145</v>
      </c>
      <c r="F3598">
        <v>315.93</v>
      </c>
    </row>
    <row r="3599" spans="3:6" x14ac:dyDescent="0.25">
      <c r="C3599" t="s">
        <v>113</v>
      </c>
      <c r="D3599">
        <v>2046</v>
      </c>
      <c r="E3599" t="s">
        <v>142</v>
      </c>
      <c r="F3599">
        <v>5340.22</v>
      </c>
    </row>
    <row r="3600" spans="3:6" x14ac:dyDescent="0.25">
      <c r="C3600" t="s">
        <v>113</v>
      </c>
      <c r="D3600">
        <v>2046</v>
      </c>
      <c r="E3600" t="s">
        <v>143</v>
      </c>
      <c r="F3600">
        <v>3907.39</v>
      </c>
    </row>
    <row r="3601" spans="3:6" x14ac:dyDescent="0.25">
      <c r="C3601" t="s">
        <v>113</v>
      </c>
      <c r="D3601">
        <v>2046</v>
      </c>
      <c r="E3601" t="s">
        <v>144</v>
      </c>
      <c r="F3601">
        <v>5963.37</v>
      </c>
    </row>
    <row r="3602" spans="3:6" x14ac:dyDescent="0.25">
      <c r="C3602" t="s">
        <v>113</v>
      </c>
      <c r="D3602">
        <v>2046</v>
      </c>
      <c r="E3602" t="s">
        <v>145</v>
      </c>
      <c r="F3602">
        <v>334.68</v>
      </c>
    </row>
    <row r="3603" spans="3:6" x14ac:dyDescent="0.25">
      <c r="C3603" t="s">
        <v>113</v>
      </c>
      <c r="D3603">
        <v>2047</v>
      </c>
      <c r="E3603" t="s">
        <v>142</v>
      </c>
      <c r="F3603">
        <v>5402.19</v>
      </c>
    </row>
    <row r="3604" spans="3:6" x14ac:dyDescent="0.25">
      <c r="C3604" t="s">
        <v>113</v>
      </c>
      <c r="D3604">
        <v>2047</v>
      </c>
      <c r="E3604" t="s">
        <v>143</v>
      </c>
      <c r="F3604">
        <v>3931.27</v>
      </c>
    </row>
    <row r="3605" spans="3:6" x14ac:dyDescent="0.25">
      <c r="C3605" t="s">
        <v>113</v>
      </c>
      <c r="D3605">
        <v>2047</v>
      </c>
      <c r="E3605" t="s">
        <v>144</v>
      </c>
      <c r="F3605">
        <v>6013.56</v>
      </c>
    </row>
    <row r="3606" spans="3:6" x14ac:dyDescent="0.25">
      <c r="C3606" t="s">
        <v>113</v>
      </c>
      <c r="D3606">
        <v>2047</v>
      </c>
      <c r="E3606" t="s">
        <v>145</v>
      </c>
      <c r="F3606">
        <v>353.8</v>
      </c>
    </row>
    <row r="3607" spans="3:6" x14ac:dyDescent="0.25">
      <c r="C3607" t="s">
        <v>113</v>
      </c>
      <c r="D3607">
        <v>2048</v>
      </c>
      <c r="E3607" t="s">
        <v>142</v>
      </c>
      <c r="F3607">
        <v>5469.25</v>
      </c>
    </row>
    <row r="3608" spans="3:6" x14ac:dyDescent="0.25">
      <c r="C3608" t="s">
        <v>113</v>
      </c>
      <c r="D3608">
        <v>2048</v>
      </c>
      <c r="E3608" t="s">
        <v>143</v>
      </c>
      <c r="F3608">
        <v>3957.23</v>
      </c>
    </row>
    <row r="3609" spans="3:6" x14ac:dyDescent="0.25">
      <c r="C3609" t="s">
        <v>113</v>
      </c>
      <c r="D3609">
        <v>2048</v>
      </c>
      <c r="E3609" t="s">
        <v>144</v>
      </c>
      <c r="F3609">
        <v>6065.5</v>
      </c>
    </row>
    <row r="3610" spans="3:6" x14ac:dyDescent="0.25">
      <c r="C3610" t="s">
        <v>113</v>
      </c>
      <c r="D3610">
        <v>2048</v>
      </c>
      <c r="E3610" t="s">
        <v>145</v>
      </c>
      <c r="F3610">
        <v>373.43</v>
      </c>
    </row>
    <row r="3611" spans="3:6" x14ac:dyDescent="0.25">
      <c r="C3611" t="s">
        <v>113</v>
      </c>
      <c r="D3611">
        <v>2049</v>
      </c>
      <c r="E3611" t="s">
        <v>142</v>
      </c>
      <c r="F3611">
        <v>5544.51</v>
      </c>
    </row>
    <row r="3612" spans="3:6" x14ac:dyDescent="0.25">
      <c r="C3612" t="s">
        <v>113</v>
      </c>
      <c r="D3612">
        <v>2049</v>
      </c>
      <c r="E3612" t="s">
        <v>143</v>
      </c>
      <c r="F3612">
        <v>3987.28</v>
      </c>
    </row>
    <row r="3613" spans="3:6" x14ac:dyDescent="0.25">
      <c r="C3613" t="s">
        <v>113</v>
      </c>
      <c r="D3613">
        <v>2049</v>
      </c>
      <c r="E3613" t="s">
        <v>144</v>
      </c>
      <c r="F3613">
        <v>6119.94</v>
      </c>
    </row>
    <row r="3614" spans="3:6" x14ac:dyDescent="0.25">
      <c r="C3614" t="s">
        <v>113</v>
      </c>
      <c r="D3614">
        <v>2049</v>
      </c>
      <c r="E3614" t="s">
        <v>145</v>
      </c>
      <c r="F3614">
        <v>393.62</v>
      </c>
    </row>
    <row r="3615" spans="3:6" x14ac:dyDescent="0.25">
      <c r="C3615" t="s">
        <v>113</v>
      </c>
      <c r="D3615">
        <v>2050</v>
      </c>
      <c r="E3615" t="s">
        <v>142</v>
      </c>
      <c r="F3615">
        <v>5624.82</v>
      </c>
    </row>
    <row r="3616" spans="3:6" x14ac:dyDescent="0.25">
      <c r="C3616" t="s">
        <v>113</v>
      </c>
      <c r="D3616">
        <v>2050</v>
      </c>
      <c r="E3616" t="s">
        <v>143</v>
      </c>
      <c r="F3616">
        <v>4019.12</v>
      </c>
    </row>
    <row r="3617" spans="3:6" x14ac:dyDescent="0.25">
      <c r="C3617" t="s">
        <v>113</v>
      </c>
      <c r="D3617">
        <v>2050</v>
      </c>
      <c r="E3617" t="s">
        <v>144</v>
      </c>
      <c r="F3617">
        <v>6177.92</v>
      </c>
    </row>
    <row r="3618" spans="3:6" x14ac:dyDescent="0.25">
      <c r="C3618" t="s">
        <v>113</v>
      </c>
      <c r="D3618">
        <v>2050</v>
      </c>
      <c r="E3618" t="s">
        <v>145</v>
      </c>
      <c r="F3618">
        <v>413.89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1:X36"/>
  <sheetViews>
    <sheetView workbookViewId="0"/>
  </sheetViews>
  <sheetFormatPr defaultColWidth="8.85546875" defaultRowHeight="15" x14ac:dyDescent="0.25"/>
  <sheetData>
    <row r="1" spans="3:24" x14ac:dyDescent="0.25">
      <c r="C1" s="7" t="s">
        <v>54</v>
      </c>
    </row>
    <row r="3" spans="3:24" x14ac:dyDescent="0.25">
      <c r="C3" t="s">
        <v>26</v>
      </c>
    </row>
    <row r="4" spans="3:24" x14ac:dyDescent="0.25">
      <c r="C4" t="s">
        <v>1</v>
      </c>
      <c r="D4" t="s">
        <v>0</v>
      </c>
      <c r="E4" t="s">
        <v>68</v>
      </c>
      <c r="F4" t="s">
        <v>25</v>
      </c>
      <c r="G4" t="s">
        <v>56</v>
      </c>
      <c r="H4" t="s">
        <v>114</v>
      </c>
      <c r="I4" t="s">
        <v>115</v>
      </c>
      <c r="J4" t="s">
        <v>116</v>
      </c>
      <c r="K4" t="s">
        <v>117</v>
      </c>
      <c r="L4" t="s">
        <v>118</v>
      </c>
      <c r="M4" t="s">
        <v>119</v>
      </c>
      <c r="N4" t="s">
        <v>120</v>
      </c>
      <c r="O4" t="s">
        <v>121</v>
      </c>
      <c r="P4" t="s">
        <v>122</v>
      </c>
      <c r="Q4" t="s">
        <v>123</v>
      </c>
      <c r="R4" t="s">
        <v>124</v>
      </c>
      <c r="S4" t="s">
        <v>51</v>
      </c>
      <c r="T4" t="s">
        <v>125</v>
      </c>
      <c r="U4" t="s">
        <v>106</v>
      </c>
      <c r="V4" t="s">
        <v>52</v>
      </c>
      <c r="W4" t="s">
        <v>126</v>
      </c>
      <c r="X4" t="s">
        <v>113</v>
      </c>
    </row>
    <row r="5" spans="3:24" x14ac:dyDescent="0.25">
      <c r="C5" t="s">
        <v>127</v>
      </c>
      <c r="D5">
        <v>2015</v>
      </c>
      <c r="E5" t="s">
        <v>128</v>
      </c>
      <c r="F5" t="s">
        <v>55</v>
      </c>
      <c r="G5" t="s">
        <v>129</v>
      </c>
      <c r="H5">
        <v>93.911879418471997</v>
      </c>
      <c r="I5">
        <v>93.911879393950898</v>
      </c>
      <c r="J5">
        <v>94.244959655278706</v>
      </c>
      <c r="K5">
        <v>107.247488851326</v>
      </c>
      <c r="L5">
        <v>101.33349490058001</v>
      </c>
      <c r="M5">
        <v>94.587455794271193</v>
      </c>
      <c r="N5">
        <v>94.282725196139793</v>
      </c>
      <c r="O5">
        <v>95.098294630127398</v>
      </c>
      <c r="P5">
        <v>96.495766553960195</v>
      </c>
      <c r="Q5">
        <v>95.113686938693206</v>
      </c>
      <c r="R5">
        <v>100.93879165377599</v>
      </c>
      <c r="S5">
        <v>90.514998513129797</v>
      </c>
      <c r="T5">
        <v>96.839084444936006</v>
      </c>
      <c r="U5">
        <v>93.155618102195604</v>
      </c>
      <c r="V5">
        <v>94.736185934092205</v>
      </c>
      <c r="W5">
        <v>97.331183808331801</v>
      </c>
      <c r="X5">
        <v>95.825893908912803</v>
      </c>
    </row>
    <row r="6" spans="3:24" x14ac:dyDescent="0.25">
      <c r="C6" t="s">
        <v>127</v>
      </c>
      <c r="D6">
        <v>2015</v>
      </c>
      <c r="E6" t="s">
        <v>128</v>
      </c>
      <c r="F6" t="s">
        <v>55</v>
      </c>
      <c r="G6" t="s">
        <v>62</v>
      </c>
      <c r="H6">
        <v>53.056667619098498</v>
      </c>
      <c r="I6">
        <v>53.056667605244897</v>
      </c>
      <c r="J6">
        <v>53.056666676961001</v>
      </c>
      <c r="K6">
        <v>53.056666392254897</v>
      </c>
      <c r="L6">
        <v>53.0566661217009</v>
      </c>
      <c r="M6">
        <v>53.056665785156902</v>
      </c>
      <c r="N6">
        <v>53.056667198792198</v>
      </c>
      <c r="O6">
        <v>53.056666723429103</v>
      </c>
      <c r="P6">
        <v>53.056666947955897</v>
      </c>
      <c r="Q6">
        <v>53.0566673555523</v>
      </c>
      <c r="R6">
        <v>53.056666012628398</v>
      </c>
      <c r="S6">
        <v>53.056667584487201</v>
      </c>
      <c r="T6">
        <v>53.056666863605898</v>
      </c>
      <c r="U6">
        <v>53.056667569037899</v>
      </c>
      <c r="V6">
        <v>53.056666153750498</v>
      </c>
      <c r="W6">
        <v>53.056665962800402</v>
      </c>
      <c r="X6">
        <v>52.1827017710212</v>
      </c>
    </row>
    <row r="7" spans="3:24" x14ac:dyDescent="0.25">
      <c r="C7" t="s">
        <v>127</v>
      </c>
      <c r="D7">
        <v>2015</v>
      </c>
      <c r="E7" t="s">
        <v>128</v>
      </c>
      <c r="F7" t="s">
        <v>55</v>
      </c>
      <c r="G7" t="s">
        <v>130</v>
      </c>
      <c r="H7">
        <v>78.061271798862705</v>
      </c>
      <c r="I7">
        <v>78.061271778480204</v>
      </c>
      <c r="J7">
        <v>72.050511781551606</v>
      </c>
      <c r="K7">
        <v>74.317083930498598</v>
      </c>
      <c r="L7">
        <v>70.663243338420301</v>
      </c>
      <c r="M7">
        <v>71.128019552121501</v>
      </c>
      <c r="N7">
        <v>78.088920661015607</v>
      </c>
      <c r="O7">
        <v>77.032401122218403</v>
      </c>
      <c r="P7">
        <v>72.045412305347696</v>
      </c>
      <c r="Q7">
        <v>75.078867821071597</v>
      </c>
      <c r="R7">
        <v>77.431722241473807</v>
      </c>
      <c r="S7">
        <v>68.822428629988096</v>
      </c>
      <c r="T7">
        <v>67.354552939427194</v>
      </c>
      <c r="U7">
        <v>68.630645458844398</v>
      </c>
      <c r="V7">
        <v>76.647778590552903</v>
      </c>
      <c r="W7">
        <v>72.909142409136805</v>
      </c>
      <c r="X7">
        <v>78.800000014058796</v>
      </c>
    </row>
    <row r="8" spans="3:24" x14ac:dyDescent="0.25">
      <c r="C8" t="s">
        <v>127</v>
      </c>
      <c r="D8">
        <v>2015</v>
      </c>
      <c r="E8" t="s">
        <v>128</v>
      </c>
      <c r="F8" t="s">
        <v>55</v>
      </c>
      <c r="G8" t="s">
        <v>131</v>
      </c>
      <c r="H8">
        <v>74.077283498920707</v>
      </c>
      <c r="I8">
        <v>74.077283479578497</v>
      </c>
      <c r="J8">
        <v>69.900356281505296</v>
      </c>
      <c r="K8">
        <v>67.744089160454493</v>
      </c>
      <c r="L8">
        <v>69.499227938446296</v>
      </c>
      <c r="M8">
        <v>69.060286982059793</v>
      </c>
      <c r="N8">
        <v>76.297444510992307</v>
      </c>
      <c r="O8">
        <v>72.537223642088904</v>
      </c>
      <c r="P8">
        <v>71.928133385355295</v>
      </c>
      <c r="Q8">
        <v>72.884357311040205</v>
      </c>
      <c r="R8">
        <v>74.828922461760399</v>
      </c>
      <c r="S8">
        <v>76.110369409986802</v>
      </c>
      <c r="T8">
        <v>65.468716939443297</v>
      </c>
      <c r="U8">
        <v>66.402200768881897</v>
      </c>
      <c r="V8">
        <v>74.443293200536999</v>
      </c>
      <c r="W8">
        <v>71.3322929291555</v>
      </c>
      <c r="X8">
        <v>73.150000013767794</v>
      </c>
    </row>
    <row r="9" spans="3:24" x14ac:dyDescent="0.25">
      <c r="C9" t="s">
        <v>127</v>
      </c>
      <c r="D9">
        <v>2020</v>
      </c>
      <c r="E9" t="s">
        <v>128</v>
      </c>
      <c r="F9" t="s">
        <v>55</v>
      </c>
      <c r="G9" t="s">
        <v>129</v>
      </c>
      <c r="H9">
        <v>94.325874571834305</v>
      </c>
      <c r="I9">
        <v>94.325874547205004</v>
      </c>
      <c r="J9">
        <v>95.411334910802097</v>
      </c>
      <c r="K9">
        <v>104.662142578768</v>
      </c>
      <c r="L9">
        <v>101.45129558969499</v>
      </c>
      <c r="M9">
        <v>94.567795912284197</v>
      </c>
      <c r="N9">
        <v>94.103892389427003</v>
      </c>
      <c r="O9">
        <v>94.790239460291104</v>
      </c>
      <c r="P9">
        <v>97.188279363348798</v>
      </c>
      <c r="Q9">
        <v>93.882087613946695</v>
      </c>
      <c r="R9">
        <v>101.105218793817</v>
      </c>
      <c r="S9">
        <v>87.325774571630205</v>
      </c>
      <c r="T9">
        <v>97.076790627032096</v>
      </c>
      <c r="U9">
        <v>93.050740560893999</v>
      </c>
      <c r="V9">
        <v>94.566277205182502</v>
      </c>
      <c r="W9">
        <v>96.435072093095798</v>
      </c>
      <c r="X9">
        <v>95.825909449338198</v>
      </c>
    </row>
    <row r="10" spans="3:24" x14ac:dyDescent="0.25">
      <c r="C10" t="s">
        <v>127</v>
      </c>
      <c r="D10">
        <v>2020</v>
      </c>
      <c r="E10" t="s">
        <v>128</v>
      </c>
      <c r="F10" t="s">
        <v>55</v>
      </c>
      <c r="G10" t="s">
        <v>62</v>
      </c>
      <c r="H10">
        <v>53.056666605971898</v>
      </c>
      <c r="I10">
        <v>53.056666592118397</v>
      </c>
      <c r="J10">
        <v>53.056668152811199</v>
      </c>
      <c r="K10">
        <v>53.0566677806653</v>
      </c>
      <c r="L10">
        <v>53.056667904616198</v>
      </c>
      <c r="M10">
        <v>53.056667640966403</v>
      </c>
      <c r="N10">
        <v>53.056666101324502</v>
      </c>
      <c r="O10">
        <v>53.056665717456298</v>
      </c>
      <c r="P10">
        <v>53.056666118662797</v>
      </c>
      <c r="Q10">
        <v>53.056665668223403</v>
      </c>
      <c r="R10">
        <v>53.056667521371601</v>
      </c>
      <c r="S10">
        <v>53.056666059120403</v>
      </c>
      <c r="T10">
        <v>53.056668377382799</v>
      </c>
      <c r="U10">
        <v>53.056666925215701</v>
      </c>
      <c r="V10">
        <v>53.056667578951803</v>
      </c>
      <c r="W10">
        <v>53.056667154732899</v>
      </c>
      <c r="X10">
        <v>52.182701019695003</v>
      </c>
    </row>
    <row r="11" spans="3:24" x14ac:dyDescent="0.25">
      <c r="C11" t="s">
        <v>127</v>
      </c>
      <c r="D11">
        <v>2020</v>
      </c>
      <c r="E11" t="s">
        <v>128</v>
      </c>
      <c r="F11" t="s">
        <v>55</v>
      </c>
      <c r="G11" t="s">
        <v>130</v>
      </c>
      <c r="H11">
        <v>73.999259039731001</v>
      </c>
      <c r="I11">
        <v>73.999259020409198</v>
      </c>
      <c r="J11">
        <v>70.7934308782161</v>
      </c>
      <c r="K11">
        <v>80.216298697891702</v>
      </c>
      <c r="L11">
        <v>65.179173170977194</v>
      </c>
      <c r="M11">
        <v>67.378606241327105</v>
      </c>
      <c r="N11">
        <v>74.874646310340495</v>
      </c>
      <c r="O11">
        <v>76.215170281442397</v>
      </c>
      <c r="P11">
        <v>69.604638572519903</v>
      </c>
      <c r="Q11">
        <v>75.249581796162701</v>
      </c>
      <c r="R11">
        <v>69.049287298000095</v>
      </c>
      <c r="S11">
        <v>74.602081071035101</v>
      </c>
      <c r="T11">
        <v>68.630556610508094</v>
      </c>
      <c r="U11">
        <v>71.631461612540804</v>
      </c>
      <c r="V11">
        <v>79.939243913874193</v>
      </c>
      <c r="W11">
        <v>74.3087467482855</v>
      </c>
      <c r="X11">
        <v>78.800000015279295</v>
      </c>
    </row>
    <row r="12" spans="3:24" x14ac:dyDescent="0.25">
      <c r="C12" t="s">
        <v>127</v>
      </c>
      <c r="D12">
        <v>2020</v>
      </c>
      <c r="E12" t="s">
        <v>128</v>
      </c>
      <c r="F12" t="s">
        <v>55</v>
      </c>
      <c r="G12" t="s">
        <v>131</v>
      </c>
      <c r="H12">
        <v>72.074558349737998</v>
      </c>
      <c r="I12">
        <v>72.074558330918805</v>
      </c>
      <c r="J12">
        <v>69.187703358256599</v>
      </c>
      <c r="K12">
        <v>66.338844638256404</v>
      </c>
      <c r="L12">
        <v>64.024076950959795</v>
      </c>
      <c r="M12">
        <v>65.419871261288606</v>
      </c>
      <c r="N12">
        <v>72.395236400329196</v>
      </c>
      <c r="O12">
        <v>71.690446941356797</v>
      </c>
      <c r="P12">
        <v>67.581191462446597</v>
      </c>
      <c r="Q12">
        <v>73.061866446274294</v>
      </c>
      <c r="R12">
        <v>73.683299917194702</v>
      </c>
      <c r="S12">
        <v>74.502543471033803</v>
      </c>
      <c r="T12">
        <v>66.451677330492004</v>
      </c>
      <c r="U12">
        <v>69.549093632466906</v>
      </c>
      <c r="V12">
        <v>77.567635143759304</v>
      </c>
      <c r="W12">
        <v>71.904242378340996</v>
      </c>
      <c r="X12">
        <v>73.150000014900797</v>
      </c>
    </row>
    <row r="13" spans="3:24" x14ac:dyDescent="0.25">
      <c r="C13" t="s">
        <v>127</v>
      </c>
      <c r="D13">
        <v>2025</v>
      </c>
      <c r="E13" t="s">
        <v>128</v>
      </c>
      <c r="F13" t="s">
        <v>55</v>
      </c>
      <c r="G13" t="s">
        <v>129</v>
      </c>
      <c r="H13">
        <v>94.325874571834305</v>
      </c>
      <c r="I13">
        <v>94.325874547205004</v>
      </c>
      <c r="J13">
        <v>95.411334910802097</v>
      </c>
      <c r="K13">
        <v>104.662142578768</v>
      </c>
      <c r="L13">
        <v>101.45129558969499</v>
      </c>
      <c r="M13">
        <v>94.567795912284197</v>
      </c>
      <c r="N13">
        <v>94.103892389427003</v>
      </c>
      <c r="O13">
        <v>94.790239460291104</v>
      </c>
      <c r="P13">
        <v>97.188279363348798</v>
      </c>
      <c r="Q13">
        <v>93.882087613946695</v>
      </c>
      <c r="R13">
        <v>101.105218793817</v>
      </c>
      <c r="S13">
        <v>87.325774571630205</v>
      </c>
      <c r="T13">
        <v>97.076790627032096</v>
      </c>
      <c r="U13">
        <v>93.050740560893999</v>
      </c>
      <c r="V13">
        <v>94.566277205182502</v>
      </c>
      <c r="W13">
        <v>96.435072093095798</v>
      </c>
      <c r="X13">
        <v>95.825909449338198</v>
      </c>
    </row>
    <row r="14" spans="3:24" x14ac:dyDescent="0.25">
      <c r="C14" t="s">
        <v>127</v>
      </c>
      <c r="D14">
        <v>2025</v>
      </c>
      <c r="E14" t="s">
        <v>128</v>
      </c>
      <c r="F14" t="s">
        <v>55</v>
      </c>
      <c r="G14" t="s">
        <v>62</v>
      </c>
      <c r="H14">
        <v>53.056666605971898</v>
      </c>
      <c r="I14">
        <v>53.056666592118397</v>
      </c>
      <c r="J14">
        <v>53.056668152811199</v>
      </c>
      <c r="K14">
        <v>53.0566677806653</v>
      </c>
      <c r="L14">
        <v>53.056667904616198</v>
      </c>
      <c r="M14">
        <v>53.056667640966403</v>
      </c>
      <c r="N14">
        <v>53.056666101324502</v>
      </c>
      <c r="O14">
        <v>53.056665717456298</v>
      </c>
      <c r="P14">
        <v>53.056666118662797</v>
      </c>
      <c r="Q14">
        <v>53.056665668223403</v>
      </c>
      <c r="R14">
        <v>53.056667521371601</v>
      </c>
      <c r="S14">
        <v>53.056666059120403</v>
      </c>
      <c r="T14">
        <v>53.056668377382799</v>
      </c>
      <c r="U14">
        <v>53.056666925215701</v>
      </c>
      <c r="V14">
        <v>53.056667578951803</v>
      </c>
      <c r="W14">
        <v>53.056667154732899</v>
      </c>
      <c r="X14">
        <v>52.182701019695003</v>
      </c>
    </row>
    <row r="15" spans="3:24" x14ac:dyDescent="0.25">
      <c r="C15" t="s">
        <v>127</v>
      </c>
      <c r="D15">
        <v>2025</v>
      </c>
      <c r="E15" t="s">
        <v>128</v>
      </c>
      <c r="F15" t="s">
        <v>55</v>
      </c>
      <c r="G15" t="s">
        <v>130</v>
      </c>
      <c r="H15">
        <v>73.999259039731001</v>
      </c>
      <c r="I15">
        <v>73.999259020409198</v>
      </c>
      <c r="J15">
        <v>70.7934308782161</v>
      </c>
      <c r="K15">
        <v>80.216298697891702</v>
      </c>
      <c r="L15">
        <v>65.179173170977194</v>
      </c>
      <c r="M15">
        <v>67.378606241327105</v>
      </c>
      <c r="N15">
        <v>74.874646310340495</v>
      </c>
      <c r="O15">
        <v>76.215170281442397</v>
      </c>
      <c r="P15">
        <v>69.604638572519903</v>
      </c>
      <c r="Q15">
        <v>75.249581796162701</v>
      </c>
      <c r="R15">
        <v>69.049287298000095</v>
      </c>
      <c r="S15">
        <v>74.602081071035101</v>
      </c>
      <c r="T15">
        <v>68.630556610508094</v>
      </c>
      <c r="U15">
        <v>71.631461612540804</v>
      </c>
      <c r="V15">
        <v>79.939243913874193</v>
      </c>
      <c r="W15">
        <v>74.3087467482855</v>
      </c>
      <c r="X15">
        <v>78.800000015279295</v>
      </c>
    </row>
    <row r="16" spans="3:24" x14ac:dyDescent="0.25">
      <c r="C16" t="s">
        <v>127</v>
      </c>
      <c r="D16">
        <v>2025</v>
      </c>
      <c r="E16" t="s">
        <v>128</v>
      </c>
      <c r="F16" t="s">
        <v>55</v>
      </c>
      <c r="G16" t="s">
        <v>131</v>
      </c>
      <c r="H16">
        <v>72.074558349737998</v>
      </c>
      <c r="I16">
        <v>72.074558330918805</v>
      </c>
      <c r="J16">
        <v>69.187703358256599</v>
      </c>
      <c r="K16">
        <v>66.338844638256404</v>
      </c>
      <c r="L16">
        <v>64.024076950959795</v>
      </c>
      <c r="M16">
        <v>65.419871261288606</v>
      </c>
      <c r="N16">
        <v>72.395236400329196</v>
      </c>
      <c r="O16">
        <v>71.690446941356797</v>
      </c>
      <c r="P16">
        <v>67.581191462446597</v>
      </c>
      <c r="Q16">
        <v>73.061866446274294</v>
      </c>
      <c r="R16">
        <v>73.683299917194702</v>
      </c>
      <c r="S16">
        <v>74.502543471033803</v>
      </c>
      <c r="T16">
        <v>66.451677330492004</v>
      </c>
      <c r="U16">
        <v>69.549093632466906</v>
      </c>
      <c r="V16">
        <v>77.567635143759304</v>
      </c>
      <c r="W16">
        <v>71.904242378340996</v>
      </c>
      <c r="X16">
        <v>73.150000014900797</v>
      </c>
    </row>
    <row r="17" spans="3:24" x14ac:dyDescent="0.25">
      <c r="C17" t="s">
        <v>127</v>
      </c>
      <c r="D17">
        <v>2030</v>
      </c>
      <c r="E17" t="s">
        <v>128</v>
      </c>
      <c r="F17" t="s">
        <v>55</v>
      </c>
      <c r="G17" t="s">
        <v>129</v>
      </c>
      <c r="H17">
        <v>94.325874571834305</v>
      </c>
      <c r="I17">
        <v>94.325874547205004</v>
      </c>
      <c r="J17">
        <v>95.411334910802097</v>
      </c>
      <c r="K17">
        <v>104.662142578768</v>
      </c>
      <c r="L17">
        <v>101.45129558969499</v>
      </c>
      <c r="M17">
        <v>94.567795912284197</v>
      </c>
      <c r="N17">
        <v>94.103892389427003</v>
      </c>
      <c r="O17">
        <v>94.790239460291104</v>
      </c>
      <c r="P17">
        <v>97.188279363348798</v>
      </c>
      <c r="Q17">
        <v>93.882087613946695</v>
      </c>
      <c r="R17">
        <v>101.105218793817</v>
      </c>
      <c r="S17">
        <v>87.325774571630205</v>
      </c>
      <c r="T17">
        <v>97.076790627032096</v>
      </c>
      <c r="U17">
        <v>93.050740560893999</v>
      </c>
      <c r="V17">
        <v>94.566277205182502</v>
      </c>
      <c r="W17">
        <v>96.435072093095798</v>
      </c>
      <c r="X17">
        <v>95.825909449338198</v>
      </c>
    </row>
    <row r="18" spans="3:24" x14ac:dyDescent="0.25">
      <c r="C18" t="s">
        <v>127</v>
      </c>
      <c r="D18">
        <v>2030</v>
      </c>
      <c r="E18" t="s">
        <v>128</v>
      </c>
      <c r="F18" t="s">
        <v>55</v>
      </c>
      <c r="G18" t="s">
        <v>62</v>
      </c>
      <c r="H18">
        <v>53.056666605971898</v>
      </c>
      <c r="I18">
        <v>53.056666592118397</v>
      </c>
      <c r="J18">
        <v>53.056668152811199</v>
      </c>
      <c r="K18">
        <v>53.0566677806653</v>
      </c>
      <c r="L18">
        <v>53.056667904616198</v>
      </c>
      <c r="M18">
        <v>53.056667640966403</v>
      </c>
      <c r="N18">
        <v>53.056666101324502</v>
      </c>
      <c r="O18">
        <v>53.056665717456298</v>
      </c>
      <c r="P18">
        <v>53.056666118662797</v>
      </c>
      <c r="Q18">
        <v>53.056665668223403</v>
      </c>
      <c r="R18">
        <v>53.056667521371601</v>
      </c>
      <c r="S18">
        <v>53.056666059120403</v>
      </c>
      <c r="T18">
        <v>53.056668377382799</v>
      </c>
      <c r="U18">
        <v>53.056666925215701</v>
      </c>
      <c r="V18">
        <v>53.056667578951803</v>
      </c>
      <c r="W18">
        <v>53.056667154732899</v>
      </c>
      <c r="X18">
        <v>52.182701019695003</v>
      </c>
    </row>
    <row r="19" spans="3:24" x14ac:dyDescent="0.25">
      <c r="C19" t="s">
        <v>127</v>
      </c>
      <c r="D19">
        <v>2030</v>
      </c>
      <c r="E19" t="s">
        <v>128</v>
      </c>
      <c r="F19" t="s">
        <v>55</v>
      </c>
      <c r="G19" t="s">
        <v>130</v>
      </c>
      <c r="H19">
        <v>73.999259039731001</v>
      </c>
      <c r="I19">
        <v>73.999259020409198</v>
      </c>
      <c r="J19">
        <v>70.7934308782161</v>
      </c>
      <c r="K19">
        <v>80.216298697891702</v>
      </c>
      <c r="L19">
        <v>65.179173170977194</v>
      </c>
      <c r="M19">
        <v>67.378606241327105</v>
      </c>
      <c r="N19">
        <v>74.874646310340495</v>
      </c>
      <c r="O19">
        <v>76.215170281442397</v>
      </c>
      <c r="P19">
        <v>69.604638572519903</v>
      </c>
      <c r="Q19">
        <v>75.249581796162701</v>
      </c>
      <c r="R19">
        <v>69.049287298000095</v>
      </c>
      <c r="S19">
        <v>74.602081071035101</v>
      </c>
      <c r="T19">
        <v>68.630556610508094</v>
      </c>
      <c r="U19">
        <v>71.631461612540804</v>
      </c>
      <c r="V19">
        <v>79.939243913874193</v>
      </c>
      <c r="W19">
        <v>74.3087467482855</v>
      </c>
      <c r="X19">
        <v>78.800000015279295</v>
      </c>
    </row>
    <row r="20" spans="3:24" x14ac:dyDescent="0.25">
      <c r="C20" t="s">
        <v>127</v>
      </c>
      <c r="D20">
        <v>2030</v>
      </c>
      <c r="E20" t="s">
        <v>128</v>
      </c>
      <c r="F20" t="s">
        <v>55</v>
      </c>
      <c r="G20" t="s">
        <v>131</v>
      </c>
      <c r="H20">
        <v>72.074558349737998</v>
      </c>
      <c r="I20">
        <v>72.074558330918805</v>
      </c>
      <c r="J20">
        <v>69.187703358256599</v>
      </c>
      <c r="K20">
        <v>66.338844638256404</v>
      </c>
      <c r="L20">
        <v>64.024076950959795</v>
      </c>
      <c r="M20">
        <v>65.419871261288606</v>
      </c>
      <c r="N20">
        <v>72.395236400329196</v>
      </c>
      <c r="O20">
        <v>71.690446941356797</v>
      </c>
      <c r="P20">
        <v>67.581191462446597</v>
      </c>
      <c r="Q20">
        <v>73.061866446274294</v>
      </c>
      <c r="R20">
        <v>73.683299917194702</v>
      </c>
      <c r="S20">
        <v>74.502543471033803</v>
      </c>
      <c r="T20">
        <v>66.451677330492004</v>
      </c>
      <c r="U20">
        <v>69.549093632466906</v>
      </c>
      <c r="V20">
        <v>77.567635143759304</v>
      </c>
      <c r="W20">
        <v>71.904242378340996</v>
      </c>
      <c r="X20">
        <v>73.150000014900797</v>
      </c>
    </row>
    <row r="21" spans="3:24" x14ac:dyDescent="0.25">
      <c r="C21" t="s">
        <v>127</v>
      </c>
      <c r="D21">
        <v>2035</v>
      </c>
      <c r="E21" t="s">
        <v>128</v>
      </c>
      <c r="F21" t="s">
        <v>55</v>
      </c>
      <c r="G21" t="s">
        <v>129</v>
      </c>
      <c r="H21">
        <v>94.325874571834305</v>
      </c>
      <c r="I21">
        <v>94.325874547205004</v>
      </c>
      <c r="J21">
        <v>95.411334910802097</v>
      </c>
      <c r="K21">
        <v>104.662142578768</v>
      </c>
      <c r="L21">
        <v>101.45129558969499</v>
      </c>
      <c r="M21">
        <v>94.567795912284197</v>
      </c>
      <c r="N21">
        <v>94.103892389427003</v>
      </c>
      <c r="O21">
        <v>94.790239460291104</v>
      </c>
      <c r="P21">
        <v>97.188279363348798</v>
      </c>
      <c r="Q21">
        <v>93.882087613946695</v>
      </c>
      <c r="R21">
        <v>101.105218793817</v>
      </c>
      <c r="S21">
        <v>87.325774571630205</v>
      </c>
      <c r="T21">
        <v>97.076790627032096</v>
      </c>
      <c r="U21">
        <v>93.050740560893999</v>
      </c>
      <c r="V21">
        <v>94.566277205182502</v>
      </c>
      <c r="W21">
        <v>96.435072093095798</v>
      </c>
      <c r="X21">
        <v>95.825909449338198</v>
      </c>
    </row>
    <row r="22" spans="3:24" x14ac:dyDescent="0.25">
      <c r="C22" t="s">
        <v>127</v>
      </c>
      <c r="D22">
        <v>2035</v>
      </c>
      <c r="E22" t="s">
        <v>128</v>
      </c>
      <c r="F22" t="s">
        <v>55</v>
      </c>
      <c r="G22" t="s">
        <v>62</v>
      </c>
      <c r="H22">
        <v>53.056666605971898</v>
      </c>
      <c r="I22">
        <v>53.056666592118397</v>
      </c>
      <c r="J22">
        <v>53.056668152811199</v>
      </c>
      <c r="K22">
        <v>53.0566677806653</v>
      </c>
      <c r="L22">
        <v>53.056667904616198</v>
      </c>
      <c r="M22">
        <v>53.056667640966403</v>
      </c>
      <c r="N22">
        <v>53.056666101324502</v>
      </c>
      <c r="O22">
        <v>53.056665717456298</v>
      </c>
      <c r="P22">
        <v>53.056666118662797</v>
      </c>
      <c r="Q22">
        <v>53.056665668223403</v>
      </c>
      <c r="R22">
        <v>53.056667521371601</v>
      </c>
      <c r="S22">
        <v>53.056666059120403</v>
      </c>
      <c r="T22">
        <v>53.056668377382799</v>
      </c>
      <c r="U22">
        <v>53.056666925215701</v>
      </c>
      <c r="V22">
        <v>53.056667578951803</v>
      </c>
      <c r="W22">
        <v>53.056667154732899</v>
      </c>
      <c r="X22">
        <v>52.182701019695003</v>
      </c>
    </row>
    <row r="23" spans="3:24" x14ac:dyDescent="0.25">
      <c r="C23" t="s">
        <v>127</v>
      </c>
      <c r="D23">
        <v>2035</v>
      </c>
      <c r="E23" t="s">
        <v>128</v>
      </c>
      <c r="F23" t="s">
        <v>55</v>
      </c>
      <c r="G23" t="s">
        <v>130</v>
      </c>
      <c r="H23">
        <v>73.999259039731001</v>
      </c>
      <c r="I23">
        <v>73.999259020409198</v>
      </c>
      <c r="J23">
        <v>70.7934308782161</v>
      </c>
      <c r="K23">
        <v>80.216298697891702</v>
      </c>
      <c r="L23">
        <v>65.179173170977194</v>
      </c>
      <c r="M23">
        <v>67.378606241327105</v>
      </c>
      <c r="N23">
        <v>74.874646310340495</v>
      </c>
      <c r="O23">
        <v>76.215170281442397</v>
      </c>
      <c r="P23">
        <v>69.604638572519903</v>
      </c>
      <c r="Q23">
        <v>75.249581796162701</v>
      </c>
      <c r="R23">
        <v>69.049287298000095</v>
      </c>
      <c r="S23">
        <v>74.602081071035101</v>
      </c>
      <c r="T23">
        <v>68.630556610508094</v>
      </c>
      <c r="U23">
        <v>71.631461612540804</v>
      </c>
      <c r="V23">
        <v>79.939243913874193</v>
      </c>
      <c r="W23">
        <v>74.3087467482855</v>
      </c>
      <c r="X23">
        <v>78.800000015279295</v>
      </c>
    </row>
    <row r="24" spans="3:24" x14ac:dyDescent="0.25">
      <c r="C24" t="s">
        <v>127</v>
      </c>
      <c r="D24">
        <v>2035</v>
      </c>
      <c r="E24" t="s">
        <v>128</v>
      </c>
      <c r="F24" t="s">
        <v>55</v>
      </c>
      <c r="G24" t="s">
        <v>131</v>
      </c>
      <c r="H24">
        <v>72.074558349737998</v>
      </c>
      <c r="I24">
        <v>72.074558330918805</v>
      </c>
      <c r="J24">
        <v>69.187703358256599</v>
      </c>
      <c r="K24">
        <v>66.338844638256404</v>
      </c>
      <c r="L24">
        <v>64.024076950959795</v>
      </c>
      <c r="M24">
        <v>65.419871261288606</v>
      </c>
      <c r="N24">
        <v>72.395236400329196</v>
      </c>
      <c r="O24">
        <v>71.690446941356797</v>
      </c>
      <c r="P24">
        <v>67.581191462446597</v>
      </c>
      <c r="Q24">
        <v>73.061866446274294</v>
      </c>
      <c r="R24">
        <v>73.683299917194702</v>
      </c>
      <c r="S24">
        <v>74.502543471033803</v>
      </c>
      <c r="T24">
        <v>66.451677330492004</v>
      </c>
      <c r="U24">
        <v>69.549093632466906</v>
      </c>
      <c r="V24">
        <v>77.567635143759304</v>
      </c>
      <c r="W24">
        <v>71.904242378340996</v>
      </c>
      <c r="X24">
        <v>73.150000014900797</v>
      </c>
    </row>
    <row r="25" spans="3:24" x14ac:dyDescent="0.25">
      <c r="C25" t="s">
        <v>127</v>
      </c>
      <c r="D25">
        <v>2040</v>
      </c>
      <c r="E25" t="s">
        <v>128</v>
      </c>
      <c r="F25" t="s">
        <v>55</v>
      </c>
      <c r="G25" t="s">
        <v>129</v>
      </c>
      <c r="H25">
        <v>94.325874571834305</v>
      </c>
      <c r="I25">
        <v>94.325874547205004</v>
      </c>
      <c r="J25">
        <v>95.411334910802097</v>
      </c>
      <c r="K25">
        <v>104.662142578768</v>
      </c>
      <c r="L25">
        <v>101.45129558969499</v>
      </c>
      <c r="M25">
        <v>94.567795912284197</v>
      </c>
      <c r="N25">
        <v>94.103892389427003</v>
      </c>
      <c r="O25">
        <v>94.790239460291104</v>
      </c>
      <c r="P25">
        <v>97.188279363348798</v>
      </c>
      <c r="Q25">
        <v>93.882087613946695</v>
      </c>
      <c r="R25">
        <v>101.105218793817</v>
      </c>
      <c r="S25">
        <v>87.325774571630205</v>
      </c>
      <c r="T25">
        <v>97.076790627032096</v>
      </c>
      <c r="U25">
        <v>93.050740560893999</v>
      </c>
      <c r="V25">
        <v>94.566277205182502</v>
      </c>
      <c r="W25">
        <v>96.435072093095798</v>
      </c>
      <c r="X25">
        <v>95.825909449338198</v>
      </c>
    </row>
    <row r="26" spans="3:24" x14ac:dyDescent="0.25">
      <c r="C26" t="s">
        <v>127</v>
      </c>
      <c r="D26">
        <v>2040</v>
      </c>
      <c r="E26" t="s">
        <v>128</v>
      </c>
      <c r="F26" t="s">
        <v>55</v>
      </c>
      <c r="G26" t="s">
        <v>62</v>
      </c>
      <c r="H26">
        <v>53.056666605971898</v>
      </c>
      <c r="I26">
        <v>53.056666592118397</v>
      </c>
      <c r="J26">
        <v>53.056668152811199</v>
      </c>
      <c r="K26">
        <v>53.0566677806653</v>
      </c>
      <c r="L26">
        <v>53.056667904616198</v>
      </c>
      <c r="M26">
        <v>53.056667640966403</v>
      </c>
      <c r="N26">
        <v>53.056666101324502</v>
      </c>
      <c r="O26">
        <v>53.056665717456298</v>
      </c>
      <c r="P26">
        <v>53.056666118662797</v>
      </c>
      <c r="Q26">
        <v>53.056665668223403</v>
      </c>
      <c r="R26">
        <v>53.056667521371601</v>
      </c>
      <c r="S26">
        <v>53.056666059120403</v>
      </c>
      <c r="T26">
        <v>53.056668377382799</v>
      </c>
      <c r="U26">
        <v>53.056666925215701</v>
      </c>
      <c r="V26">
        <v>53.056667578951803</v>
      </c>
      <c r="W26">
        <v>53.056667154732899</v>
      </c>
      <c r="X26">
        <v>52.182701019695003</v>
      </c>
    </row>
    <row r="27" spans="3:24" x14ac:dyDescent="0.25">
      <c r="C27" t="s">
        <v>127</v>
      </c>
      <c r="D27">
        <v>2040</v>
      </c>
      <c r="E27" t="s">
        <v>128</v>
      </c>
      <c r="F27" t="s">
        <v>55</v>
      </c>
      <c r="G27" t="s">
        <v>130</v>
      </c>
      <c r="H27">
        <v>73.999259039731001</v>
      </c>
      <c r="I27">
        <v>73.999259020409198</v>
      </c>
      <c r="J27">
        <v>70.7934308782161</v>
      </c>
      <c r="K27">
        <v>80.216298697891702</v>
      </c>
      <c r="L27">
        <v>65.179173170977194</v>
      </c>
      <c r="M27">
        <v>67.378606241327105</v>
      </c>
      <c r="N27">
        <v>74.874646310340495</v>
      </c>
      <c r="O27">
        <v>76.215170281442397</v>
      </c>
      <c r="P27">
        <v>69.604638572519903</v>
      </c>
      <c r="Q27">
        <v>75.249581796162701</v>
      </c>
      <c r="R27">
        <v>69.049287298000095</v>
      </c>
      <c r="S27">
        <v>74.602081071035101</v>
      </c>
      <c r="T27">
        <v>68.630556610508094</v>
      </c>
      <c r="U27">
        <v>71.631461612540804</v>
      </c>
      <c r="V27">
        <v>79.939243913874193</v>
      </c>
      <c r="W27">
        <v>74.3087467482855</v>
      </c>
      <c r="X27">
        <v>78.800000015279295</v>
      </c>
    </row>
    <row r="28" spans="3:24" x14ac:dyDescent="0.25">
      <c r="C28" t="s">
        <v>127</v>
      </c>
      <c r="D28">
        <v>2040</v>
      </c>
      <c r="E28" t="s">
        <v>128</v>
      </c>
      <c r="F28" t="s">
        <v>55</v>
      </c>
      <c r="G28" t="s">
        <v>131</v>
      </c>
      <c r="H28">
        <v>72.074558349737998</v>
      </c>
      <c r="I28">
        <v>72.074558330918805</v>
      </c>
      <c r="J28">
        <v>69.187703358256599</v>
      </c>
      <c r="K28">
        <v>66.338844638256404</v>
      </c>
      <c r="L28">
        <v>64.024076950959795</v>
      </c>
      <c r="M28">
        <v>65.419871261288606</v>
      </c>
      <c r="N28">
        <v>72.395236400329196</v>
      </c>
      <c r="O28">
        <v>71.690446941356797</v>
      </c>
      <c r="P28">
        <v>67.581191462446597</v>
      </c>
      <c r="Q28">
        <v>73.061866446274294</v>
      </c>
      <c r="R28">
        <v>73.683299917194702</v>
      </c>
      <c r="S28">
        <v>74.502543471033803</v>
      </c>
      <c r="T28">
        <v>66.451677330492004</v>
      </c>
      <c r="U28">
        <v>69.549093632466906</v>
      </c>
      <c r="V28">
        <v>77.567635143759304</v>
      </c>
      <c r="W28">
        <v>71.904242378340996</v>
      </c>
      <c r="X28">
        <v>73.150000014900797</v>
      </c>
    </row>
    <row r="29" spans="3:24" x14ac:dyDescent="0.25">
      <c r="C29" t="s">
        <v>127</v>
      </c>
      <c r="D29">
        <v>2045</v>
      </c>
      <c r="E29" t="s">
        <v>128</v>
      </c>
      <c r="F29" t="s">
        <v>55</v>
      </c>
      <c r="G29" t="s">
        <v>129</v>
      </c>
      <c r="H29">
        <v>94.325874571834305</v>
      </c>
      <c r="I29">
        <v>94.325874547205004</v>
      </c>
      <c r="J29">
        <v>95.411334910802097</v>
      </c>
      <c r="K29">
        <v>104.662142578768</v>
      </c>
      <c r="L29">
        <v>101.45129558969499</v>
      </c>
      <c r="M29">
        <v>94.567795912284197</v>
      </c>
      <c r="N29">
        <v>94.103892389427003</v>
      </c>
      <c r="O29">
        <v>94.790239460291104</v>
      </c>
      <c r="P29">
        <v>97.188279363348798</v>
      </c>
      <c r="Q29">
        <v>93.882087613946695</v>
      </c>
      <c r="R29">
        <v>101.105218793817</v>
      </c>
      <c r="S29">
        <v>87.325774571630205</v>
      </c>
      <c r="T29">
        <v>97.076790627032096</v>
      </c>
      <c r="U29">
        <v>93.050740560893999</v>
      </c>
      <c r="V29">
        <v>94.566277205182502</v>
      </c>
      <c r="W29">
        <v>96.435072093095798</v>
      </c>
      <c r="X29">
        <v>95.825909449338198</v>
      </c>
    </row>
    <row r="30" spans="3:24" x14ac:dyDescent="0.25">
      <c r="C30" t="s">
        <v>127</v>
      </c>
      <c r="D30">
        <v>2045</v>
      </c>
      <c r="E30" t="s">
        <v>128</v>
      </c>
      <c r="F30" t="s">
        <v>55</v>
      </c>
      <c r="G30" t="s">
        <v>62</v>
      </c>
      <c r="H30">
        <v>53.056666605971898</v>
      </c>
      <c r="I30">
        <v>53.056666592118397</v>
      </c>
      <c r="J30">
        <v>53.056668152811199</v>
      </c>
      <c r="K30">
        <v>53.0566677806653</v>
      </c>
      <c r="L30">
        <v>53.056667904616198</v>
      </c>
      <c r="M30">
        <v>53.056667640966403</v>
      </c>
      <c r="N30">
        <v>53.056666101324502</v>
      </c>
      <c r="O30">
        <v>53.056665717456298</v>
      </c>
      <c r="P30">
        <v>53.056666118662797</v>
      </c>
      <c r="Q30">
        <v>53.056665668223403</v>
      </c>
      <c r="R30">
        <v>53.056667521371601</v>
      </c>
      <c r="S30">
        <v>53.056666059120403</v>
      </c>
      <c r="T30">
        <v>53.056668377382799</v>
      </c>
      <c r="U30">
        <v>53.056666925215701</v>
      </c>
      <c r="V30">
        <v>53.056667578951803</v>
      </c>
      <c r="W30">
        <v>53.056667154732899</v>
      </c>
      <c r="X30">
        <v>52.182701019695003</v>
      </c>
    </row>
    <row r="31" spans="3:24" x14ac:dyDescent="0.25">
      <c r="C31" t="s">
        <v>127</v>
      </c>
      <c r="D31">
        <v>2045</v>
      </c>
      <c r="E31" t="s">
        <v>128</v>
      </c>
      <c r="F31" t="s">
        <v>55</v>
      </c>
      <c r="G31" t="s">
        <v>130</v>
      </c>
      <c r="H31">
        <v>73.999259039731001</v>
      </c>
      <c r="I31">
        <v>73.999259020409198</v>
      </c>
      <c r="J31">
        <v>70.7934308782161</v>
      </c>
      <c r="K31">
        <v>80.216298697891702</v>
      </c>
      <c r="L31">
        <v>65.179173170977194</v>
      </c>
      <c r="M31">
        <v>67.378606241327105</v>
      </c>
      <c r="N31">
        <v>74.874646310340495</v>
      </c>
      <c r="O31">
        <v>76.215170281442397</v>
      </c>
      <c r="P31">
        <v>69.604638572519903</v>
      </c>
      <c r="Q31">
        <v>75.249581796162701</v>
      </c>
      <c r="R31">
        <v>69.049287298000095</v>
      </c>
      <c r="S31">
        <v>74.602081071035101</v>
      </c>
      <c r="T31">
        <v>68.630556610508094</v>
      </c>
      <c r="U31">
        <v>71.631461612540804</v>
      </c>
      <c r="V31">
        <v>79.939243913874193</v>
      </c>
      <c r="W31">
        <v>74.3087467482855</v>
      </c>
      <c r="X31">
        <v>78.800000015279295</v>
      </c>
    </row>
    <row r="32" spans="3:24" x14ac:dyDescent="0.25">
      <c r="C32" t="s">
        <v>127</v>
      </c>
      <c r="D32">
        <v>2045</v>
      </c>
      <c r="E32" t="s">
        <v>128</v>
      </c>
      <c r="F32" t="s">
        <v>55</v>
      </c>
      <c r="G32" t="s">
        <v>131</v>
      </c>
      <c r="H32">
        <v>72.074558349737998</v>
      </c>
      <c r="I32">
        <v>72.074558330918805</v>
      </c>
      <c r="J32">
        <v>69.187703358256599</v>
      </c>
      <c r="K32">
        <v>66.338844638256404</v>
      </c>
      <c r="L32">
        <v>64.024076950959795</v>
      </c>
      <c r="M32">
        <v>65.419871261288606</v>
      </c>
      <c r="N32">
        <v>72.395236400329196</v>
      </c>
      <c r="O32">
        <v>71.690446941356797</v>
      </c>
      <c r="P32">
        <v>67.581191462446597</v>
      </c>
      <c r="Q32">
        <v>73.061866446274294</v>
      </c>
      <c r="R32">
        <v>73.683299917194702</v>
      </c>
      <c r="S32">
        <v>74.502543471033803</v>
      </c>
      <c r="T32">
        <v>66.451677330492004</v>
      </c>
      <c r="U32">
        <v>69.549093632466906</v>
      </c>
      <c r="V32">
        <v>77.567635143759304</v>
      </c>
      <c r="W32">
        <v>71.904242378340996</v>
      </c>
      <c r="X32">
        <v>73.150000014900797</v>
      </c>
    </row>
    <row r="33" spans="3:24" x14ac:dyDescent="0.25">
      <c r="C33" t="s">
        <v>127</v>
      </c>
      <c r="D33">
        <v>2050</v>
      </c>
      <c r="E33" t="s">
        <v>128</v>
      </c>
      <c r="F33" t="s">
        <v>55</v>
      </c>
      <c r="G33" t="s">
        <v>129</v>
      </c>
      <c r="H33">
        <v>94.325874571834305</v>
      </c>
      <c r="I33">
        <v>94.325874547205004</v>
      </c>
      <c r="J33">
        <v>95.411334910802097</v>
      </c>
      <c r="K33">
        <v>104.662142578768</v>
      </c>
      <c r="L33">
        <v>101.45129558969499</v>
      </c>
      <c r="M33">
        <v>94.567795912284197</v>
      </c>
      <c r="N33">
        <v>94.103892389427003</v>
      </c>
      <c r="O33">
        <v>94.790239460291104</v>
      </c>
      <c r="P33">
        <v>97.188279363348798</v>
      </c>
      <c r="Q33">
        <v>93.882087613946695</v>
      </c>
      <c r="R33">
        <v>101.105218793817</v>
      </c>
      <c r="S33">
        <v>87.325774571630205</v>
      </c>
      <c r="T33">
        <v>97.076790627032096</v>
      </c>
      <c r="U33">
        <v>93.050740560893999</v>
      </c>
      <c r="V33">
        <v>94.566277205182502</v>
      </c>
      <c r="W33">
        <v>96.435072093095798</v>
      </c>
      <c r="X33">
        <v>95.825909449338198</v>
      </c>
    </row>
    <row r="34" spans="3:24" x14ac:dyDescent="0.25">
      <c r="C34" t="s">
        <v>127</v>
      </c>
      <c r="D34">
        <v>2050</v>
      </c>
      <c r="E34" t="s">
        <v>128</v>
      </c>
      <c r="F34" t="s">
        <v>55</v>
      </c>
      <c r="G34" t="s">
        <v>62</v>
      </c>
      <c r="H34">
        <v>53.056666605971898</v>
      </c>
      <c r="I34">
        <v>53.056666592118397</v>
      </c>
      <c r="J34">
        <v>53.056668152811199</v>
      </c>
      <c r="K34">
        <v>53.0566677806653</v>
      </c>
      <c r="L34">
        <v>53.056667904616198</v>
      </c>
      <c r="M34">
        <v>53.056667640966403</v>
      </c>
      <c r="N34">
        <v>53.056666101324502</v>
      </c>
      <c r="O34">
        <v>53.056665717456298</v>
      </c>
      <c r="P34">
        <v>53.056666118662797</v>
      </c>
      <c r="Q34">
        <v>53.056665668223403</v>
      </c>
      <c r="R34">
        <v>53.056667521371601</v>
      </c>
      <c r="S34">
        <v>53.056666059120403</v>
      </c>
      <c r="T34">
        <v>53.056668377382799</v>
      </c>
      <c r="U34">
        <v>53.056666925215701</v>
      </c>
      <c r="V34">
        <v>53.056667578951803</v>
      </c>
      <c r="W34">
        <v>53.056667154732899</v>
      </c>
      <c r="X34">
        <v>52.182701019695003</v>
      </c>
    </row>
    <row r="35" spans="3:24" x14ac:dyDescent="0.25">
      <c r="C35" t="s">
        <v>127</v>
      </c>
      <c r="D35">
        <v>2050</v>
      </c>
      <c r="E35" t="s">
        <v>128</v>
      </c>
      <c r="F35" t="s">
        <v>55</v>
      </c>
      <c r="G35" t="s">
        <v>130</v>
      </c>
      <c r="H35">
        <v>73.999259039731001</v>
      </c>
      <c r="I35">
        <v>73.999259020409198</v>
      </c>
      <c r="J35">
        <v>70.7934308782161</v>
      </c>
      <c r="K35">
        <v>80.216298697891702</v>
      </c>
      <c r="L35">
        <v>65.179173170977194</v>
      </c>
      <c r="M35">
        <v>67.378606241327105</v>
      </c>
      <c r="N35">
        <v>74.874646310340495</v>
      </c>
      <c r="O35">
        <v>76.215170281442397</v>
      </c>
      <c r="P35">
        <v>69.604638572519903</v>
      </c>
      <c r="Q35">
        <v>75.249581796162701</v>
      </c>
      <c r="R35">
        <v>69.049287298000095</v>
      </c>
      <c r="S35">
        <v>74.602081071035101</v>
      </c>
      <c r="T35">
        <v>68.630556610508094</v>
      </c>
      <c r="U35">
        <v>71.631461612540804</v>
      </c>
      <c r="V35">
        <v>79.939243913874193</v>
      </c>
      <c r="W35">
        <v>74.3087467482855</v>
      </c>
      <c r="X35">
        <v>78.800000015279295</v>
      </c>
    </row>
    <row r="36" spans="3:24" x14ac:dyDescent="0.25">
      <c r="C36" t="s">
        <v>127</v>
      </c>
      <c r="D36">
        <v>2050</v>
      </c>
      <c r="E36" t="s">
        <v>128</v>
      </c>
      <c r="F36" t="s">
        <v>55</v>
      </c>
      <c r="G36" t="s">
        <v>131</v>
      </c>
      <c r="H36">
        <v>72.074558349737998</v>
      </c>
      <c r="I36">
        <v>72.074558330918805</v>
      </c>
      <c r="J36">
        <v>69.187703358256599</v>
      </c>
      <c r="K36">
        <v>66.338844638256404</v>
      </c>
      <c r="L36">
        <v>64.024076950959795</v>
      </c>
      <c r="M36">
        <v>65.419871261288606</v>
      </c>
      <c r="N36">
        <v>72.395236400329196</v>
      </c>
      <c r="O36">
        <v>71.690446941356797</v>
      </c>
      <c r="P36">
        <v>67.581191462446597</v>
      </c>
      <c r="Q36">
        <v>73.061866446274294</v>
      </c>
      <c r="R36">
        <v>73.683299917194702</v>
      </c>
      <c r="S36">
        <v>74.502543471033803</v>
      </c>
      <c r="T36">
        <v>66.451677330492004</v>
      </c>
      <c r="U36">
        <v>69.549093632466906</v>
      </c>
      <c r="V36">
        <v>77.567635143759304</v>
      </c>
      <c r="W36">
        <v>71.904242378340996</v>
      </c>
      <c r="X36">
        <v>73.150000014900797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2:H8"/>
  <sheetViews>
    <sheetView workbookViewId="0"/>
  </sheetViews>
  <sheetFormatPr defaultColWidth="8.85546875" defaultRowHeight="15" x14ac:dyDescent="0.25"/>
  <cols>
    <col min="1" max="2" width="8.85546875" customWidth="1"/>
    <col min="3" max="3" width="10.140625" bestFit="1" customWidth="1"/>
    <col min="4" max="4" width="14.28515625" bestFit="1" customWidth="1"/>
    <col min="5" max="5" width="10.85546875" bestFit="1" customWidth="1"/>
    <col min="6" max="6" width="24.28515625" bestFit="1" customWidth="1"/>
    <col min="7" max="7" width="14.28515625" bestFit="1" customWidth="1"/>
    <col min="8" max="8" width="10.42578125" bestFit="1" customWidth="1"/>
    <col min="9" max="9" width="8.42578125" bestFit="1" customWidth="1"/>
  </cols>
  <sheetData>
    <row r="2" spans="3:8" x14ac:dyDescent="0.25">
      <c r="C2" t="s">
        <v>26</v>
      </c>
    </row>
    <row r="3" spans="3:8" x14ac:dyDescent="0.25">
      <c r="C3" t="s">
        <v>1</v>
      </c>
      <c r="D3" t="s">
        <v>25</v>
      </c>
      <c r="E3" t="s">
        <v>4</v>
      </c>
      <c r="F3" t="s">
        <v>56</v>
      </c>
      <c r="G3" t="s">
        <v>40</v>
      </c>
      <c r="H3" t="s">
        <v>6</v>
      </c>
    </row>
    <row r="4" spans="3:8" x14ac:dyDescent="0.25">
      <c r="C4" t="s">
        <v>57</v>
      </c>
      <c r="D4" t="s">
        <v>55</v>
      </c>
      <c r="E4">
        <v>0.9</v>
      </c>
      <c r="F4" t="s">
        <v>58</v>
      </c>
      <c r="G4" t="s">
        <v>59</v>
      </c>
      <c r="H4" t="s">
        <v>60</v>
      </c>
    </row>
    <row r="5" spans="3:8" x14ac:dyDescent="0.25">
      <c r="C5" t="s">
        <v>57</v>
      </c>
      <c r="D5" t="s">
        <v>55</v>
      </c>
      <c r="E5">
        <v>0.8</v>
      </c>
      <c r="F5" t="s">
        <v>58</v>
      </c>
      <c r="G5" t="s">
        <v>61</v>
      </c>
      <c r="H5" t="s">
        <v>60</v>
      </c>
    </row>
    <row r="6" spans="3:8" x14ac:dyDescent="0.25">
      <c r="C6" t="s">
        <v>57</v>
      </c>
      <c r="D6" t="s">
        <v>55</v>
      </c>
      <c r="E6">
        <v>0.9</v>
      </c>
      <c r="F6" t="s">
        <v>58</v>
      </c>
      <c r="G6" t="s">
        <v>62</v>
      </c>
      <c r="H6" t="s">
        <v>60</v>
      </c>
    </row>
    <row r="7" spans="3:8" x14ac:dyDescent="0.25">
      <c r="C7" t="s">
        <v>63</v>
      </c>
      <c r="D7" t="s">
        <v>64</v>
      </c>
      <c r="E7">
        <v>1</v>
      </c>
      <c r="F7" t="s">
        <v>55</v>
      </c>
    </row>
    <row r="8" spans="3:8" x14ac:dyDescent="0.25">
      <c r="C8" t="s">
        <v>63</v>
      </c>
      <c r="D8" t="s">
        <v>64</v>
      </c>
      <c r="E8">
        <v>-1</v>
      </c>
      <c r="F8" t="s">
        <v>65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P21"/>
  <sheetViews>
    <sheetView tabSelected="1" workbookViewId="0">
      <selection activeCell="D14" sqref="D14"/>
    </sheetView>
  </sheetViews>
  <sheetFormatPr defaultColWidth="8.85546875" defaultRowHeight="15" x14ac:dyDescent="0.25"/>
  <cols>
    <col min="1" max="1" width="8.85546875" customWidth="1"/>
    <col min="2" max="2" width="24.140625" bestFit="1" customWidth="1"/>
    <col min="3" max="3" width="13.42578125" bestFit="1" customWidth="1"/>
    <col min="4" max="4" width="8.7109375" bestFit="1" customWidth="1"/>
    <col min="5" max="5" width="10.140625" customWidth="1"/>
    <col min="6" max="6" width="7.85546875" bestFit="1" customWidth="1"/>
    <col min="7" max="7" width="12.28515625" bestFit="1" customWidth="1"/>
    <col min="8" max="8" width="10" bestFit="1" customWidth="1"/>
    <col min="9" max="9" width="12" bestFit="1" customWidth="1"/>
  </cols>
  <sheetData>
    <row r="1" spans="2:16" x14ac:dyDescent="0.25">
      <c r="P1" s="6" t="s">
        <v>96</v>
      </c>
    </row>
    <row r="2" spans="2:16" x14ac:dyDescent="0.25">
      <c r="B2" t="s">
        <v>36</v>
      </c>
      <c r="P2" s="6">
        <v>2017</v>
      </c>
    </row>
    <row r="3" spans="2:16" x14ac:dyDescent="0.25">
      <c r="B3" t="s">
        <v>37</v>
      </c>
      <c r="P3">
        <v>2018</v>
      </c>
    </row>
    <row r="4" spans="2:16" x14ac:dyDescent="0.25">
      <c r="E4" t="s">
        <v>67</v>
      </c>
    </row>
    <row r="5" spans="2:16" x14ac:dyDescent="0.25">
      <c r="B5" t="s">
        <v>38</v>
      </c>
      <c r="C5" t="s">
        <v>39</v>
      </c>
      <c r="D5" t="s">
        <v>40</v>
      </c>
      <c r="E5" t="s">
        <v>2</v>
      </c>
      <c r="F5" t="s">
        <v>45</v>
      </c>
      <c r="G5" t="s">
        <v>46</v>
      </c>
      <c r="H5" t="s">
        <v>47</v>
      </c>
      <c r="I5" t="s">
        <v>48</v>
      </c>
      <c r="J5" t="s">
        <v>49</v>
      </c>
    </row>
    <row r="6" spans="2:16" x14ac:dyDescent="0.25">
      <c r="B6" t="s">
        <v>43</v>
      </c>
      <c r="C6" t="s">
        <v>42</v>
      </c>
      <c r="D6" t="s">
        <v>44</v>
      </c>
      <c r="E6" t="s">
        <v>41</v>
      </c>
      <c r="F6">
        <v>1</v>
      </c>
      <c r="G6">
        <v>1</v>
      </c>
      <c r="H6">
        <v>0</v>
      </c>
      <c r="I6">
        <v>5</v>
      </c>
      <c r="J6" t="s">
        <v>50</v>
      </c>
    </row>
    <row r="10" spans="2:16" x14ac:dyDescent="0.25">
      <c r="B10" t="s">
        <v>26</v>
      </c>
    </row>
    <row r="11" spans="2:16" x14ac:dyDescent="0.25">
      <c r="B11" t="s">
        <v>1</v>
      </c>
      <c r="C11" t="s">
        <v>68</v>
      </c>
      <c r="D11" t="s">
        <v>6</v>
      </c>
      <c r="E11" t="s">
        <v>4</v>
      </c>
      <c r="F11" t="s">
        <v>0</v>
      </c>
    </row>
    <row r="12" spans="2:16" x14ac:dyDescent="0.25">
      <c r="B12" t="s">
        <v>69</v>
      </c>
      <c r="C12" t="s">
        <v>70</v>
      </c>
      <c r="D12" t="s">
        <v>71</v>
      </c>
      <c r="E12">
        <v>2</v>
      </c>
      <c r="F12">
        <v>0</v>
      </c>
    </row>
    <row r="13" spans="2:16" x14ac:dyDescent="0.25">
      <c r="B13" t="s">
        <v>94</v>
      </c>
      <c r="C13" t="s">
        <v>95</v>
      </c>
      <c r="E13">
        <f>MAX($P$2:$P$6)+1</f>
        <v>2019</v>
      </c>
    </row>
    <row r="14" spans="2:16" x14ac:dyDescent="0.25">
      <c r="B14" s="13" t="s">
        <v>94</v>
      </c>
      <c r="C14" t="s">
        <v>73</v>
      </c>
      <c r="D14" s="17" t="s">
        <v>165</v>
      </c>
      <c r="E14">
        <v>2100</v>
      </c>
    </row>
    <row r="16" spans="2:16" x14ac:dyDescent="0.25">
      <c r="B16" t="s">
        <v>72</v>
      </c>
      <c r="C16" t="s">
        <v>73</v>
      </c>
      <c r="E16">
        <v>0.4</v>
      </c>
    </row>
    <row r="19" spans="2:4" x14ac:dyDescent="0.25">
      <c r="B19" t="s">
        <v>5</v>
      </c>
    </row>
    <row r="20" spans="2:4" x14ac:dyDescent="0.25">
      <c r="B20" t="s">
        <v>1</v>
      </c>
      <c r="C20" t="s">
        <v>40</v>
      </c>
      <c r="D20" t="s">
        <v>4</v>
      </c>
    </row>
    <row r="21" spans="2:4" x14ac:dyDescent="0.25">
      <c r="B21" t="s">
        <v>107</v>
      </c>
      <c r="C21" t="s">
        <v>108</v>
      </c>
      <c r="D21">
        <f>3412/8198</f>
        <v>0.41619907294462066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44EC5-FF0A-4D97-9DD5-92FC9B400207}">
  <dimension ref="A1:G6"/>
  <sheetViews>
    <sheetView workbookViewId="0">
      <selection activeCell="A4" sqref="A4"/>
    </sheetView>
  </sheetViews>
  <sheetFormatPr defaultRowHeight="15" x14ac:dyDescent="0.25"/>
  <cols>
    <col min="2" max="2" width="12.28515625" bestFit="1" customWidth="1"/>
    <col min="3" max="3" width="4.28515625" bestFit="1" customWidth="1"/>
    <col min="4" max="4" width="14.28515625" bestFit="1" customWidth="1"/>
    <col min="5" max="5" width="6.140625" bestFit="1" customWidth="1"/>
  </cols>
  <sheetData>
    <row r="1" spans="1:7" x14ac:dyDescent="0.25">
      <c r="A1" s="12" t="s">
        <v>105</v>
      </c>
    </row>
    <row r="3" spans="1:7" x14ac:dyDescent="0.25">
      <c r="B3" s="13" t="s">
        <v>26</v>
      </c>
      <c r="C3" s="13"/>
      <c r="D3" s="13"/>
      <c r="E3" s="13"/>
      <c r="F3" s="13"/>
      <c r="G3" s="13"/>
    </row>
    <row r="4" spans="1:7" x14ac:dyDescent="0.25">
      <c r="B4" s="13" t="s">
        <v>1</v>
      </c>
      <c r="C4" s="13" t="s">
        <v>98</v>
      </c>
      <c r="D4" s="13" t="s">
        <v>25</v>
      </c>
      <c r="E4" s="13" t="s">
        <v>99</v>
      </c>
      <c r="F4" s="13"/>
      <c r="G4" s="13"/>
    </row>
    <row r="5" spans="1:7" x14ac:dyDescent="0.25">
      <c r="B5" s="13" t="s">
        <v>100</v>
      </c>
      <c r="C5" s="13">
        <v>1</v>
      </c>
      <c r="D5" s="13" t="s">
        <v>101</v>
      </c>
      <c r="E5" s="13">
        <v>1</v>
      </c>
      <c r="F5" s="13"/>
      <c r="G5" s="12" t="s">
        <v>102</v>
      </c>
    </row>
    <row r="6" spans="1:7" x14ac:dyDescent="0.25">
      <c r="B6" s="13" t="s">
        <v>103</v>
      </c>
      <c r="C6" s="13"/>
      <c r="D6" s="13">
        <v>0</v>
      </c>
      <c r="E6" s="13">
        <v>2</v>
      </c>
      <c r="F6" s="13"/>
      <c r="G6" s="12" t="s">
        <v>104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A6D8E-D49B-4A7F-B9F4-3E03F2D2170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Constants</vt:lpstr>
      <vt:lpstr>Wind Costs</vt:lpstr>
      <vt:lpstr>YRFRs</vt:lpstr>
      <vt:lpstr>HydroCF</vt:lpstr>
      <vt:lpstr>WEPSp Demand</vt:lpstr>
      <vt:lpstr>Emission Factors</vt:lpstr>
      <vt:lpstr>Emission - CCS</vt:lpstr>
      <vt:lpstr>RE assumptions</vt:lpstr>
      <vt:lpstr>restart folder options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2009-05-27T15:40:55Z</dcterms:created>
  <dcterms:modified xsi:type="dcterms:W3CDTF">2021-10-29T11:19:49Z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976268947124481</vt:r8>
  </property>
</Properties>
</file>