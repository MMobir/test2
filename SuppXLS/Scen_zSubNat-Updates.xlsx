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EMM\IEMM_MIG\IEMM_V60_10-1\SuppXLS\"/>
    </mc:Choice>
  </mc:AlternateContent>
  <xr:revisionPtr revIDLastSave="0" documentId="13_ncr:1_{62A8405A-970D-4392-8740-56D4BC66AC3C}" xr6:coauthVersionLast="47" xr6:coauthVersionMax="47" xr10:uidLastSave="{00000000-0000-0000-0000-000000000000}"/>
  <bookViews>
    <workbookView xWindow="1560" yWindow="1560" windowWidth="21600" windowHeight="11385" activeTab="2" xr2:uid="{8854F010-3B4C-4568-ACE3-0C4219CF9C7C}"/>
  </bookViews>
  <sheets>
    <sheet name="readme" sheetId="4" r:id="rId1"/>
    <sheet name="wind_existing_cap" sheetId="5" r:id="rId2"/>
    <sheet name="cap bnd" sheetId="1" r:id="rId3"/>
    <sheet name="coal regional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28" i="1" l="1"/>
  <c r="AB28" i="1"/>
  <c r="AA28" i="1"/>
  <c r="Z28" i="1"/>
  <c r="Q28" i="1"/>
  <c r="P28" i="1"/>
  <c r="O28" i="1"/>
  <c r="N28" i="1"/>
  <c r="AK27" i="1"/>
  <c r="AJ27" i="1"/>
  <c r="AI27" i="1"/>
  <c r="AH27" i="1"/>
  <c r="AC27" i="1"/>
  <c r="AB27" i="1"/>
  <c r="AA27" i="1"/>
  <c r="Z27" i="1"/>
  <c r="Y27" i="1"/>
  <c r="X27" i="1"/>
  <c r="W27" i="1"/>
  <c r="V27" i="1"/>
  <c r="Q27" i="1"/>
  <c r="Q30" i="1" s="1"/>
  <c r="P27" i="1"/>
  <c r="P30" i="1" s="1"/>
  <c r="O27" i="1"/>
  <c r="O30" i="1" s="1"/>
  <c r="N27" i="1"/>
  <c r="N30" i="1" s="1"/>
  <c r="M27" i="1"/>
  <c r="L27" i="1"/>
  <c r="K27" i="1"/>
  <c r="J27" i="1"/>
  <c r="AK26" i="1"/>
  <c r="AJ26" i="1"/>
  <c r="AI26" i="1"/>
  <c r="AH26" i="1"/>
  <c r="AG26" i="1"/>
  <c r="AF26" i="1"/>
  <c r="AE26" i="1"/>
  <c r="AD26" i="1"/>
  <c r="AD27" i="1" s="1"/>
  <c r="AC26" i="1"/>
  <c r="AC29" i="1" s="1"/>
  <c r="AB26" i="1"/>
  <c r="AB29" i="1" s="1"/>
  <c r="AA26" i="1"/>
  <c r="AA29" i="1" s="1"/>
  <c r="Z26" i="1"/>
  <c r="Z29" i="1" s="1"/>
  <c r="Y26" i="1"/>
  <c r="X26" i="1"/>
  <c r="W26" i="1"/>
  <c r="W28" i="1" s="1"/>
  <c r="V26" i="1"/>
  <c r="U26" i="1"/>
  <c r="T26" i="1"/>
  <c r="S26" i="1"/>
  <c r="S27" i="1" s="1"/>
  <c r="R26" i="1"/>
  <c r="Q26" i="1"/>
  <c r="Q29" i="1" s="1"/>
  <c r="P26" i="1"/>
  <c r="P29" i="1" s="1"/>
  <c r="O26" i="1"/>
  <c r="O29" i="1" s="1"/>
  <c r="N26" i="1"/>
  <c r="N29" i="1" s="1"/>
  <c r="M26" i="1"/>
  <c r="L26" i="1"/>
  <c r="K26" i="1"/>
  <c r="J26" i="1"/>
  <c r="I26" i="1"/>
  <c r="H26" i="1"/>
  <c r="G26" i="1"/>
  <c r="F26" i="1"/>
  <c r="D26" i="1"/>
  <c r="E31" i="1"/>
  <c r="E30" i="1"/>
  <c r="E29" i="1"/>
  <c r="E28" i="1"/>
  <c r="E27" i="1"/>
  <c r="E26" i="1"/>
  <c r="C31" i="1"/>
  <c r="C30" i="1"/>
  <c r="C29" i="1"/>
  <c r="C28" i="1"/>
  <c r="C27" i="1"/>
  <c r="C26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P31" i="1" l="1"/>
  <c r="Z31" i="1"/>
  <c r="AA30" i="1"/>
  <c r="AA31" i="1" s="1"/>
  <c r="AB30" i="1"/>
  <c r="AB31" i="1" s="1"/>
  <c r="N31" i="1"/>
  <c r="O31" i="1"/>
  <c r="Q31" i="1"/>
  <c r="Z30" i="1"/>
  <c r="AC30" i="1"/>
  <c r="AC31" i="1"/>
  <c r="AD28" i="1"/>
  <c r="AD29" i="1" s="1"/>
  <c r="F28" i="1"/>
  <c r="G28" i="1"/>
  <c r="W29" i="1"/>
  <c r="W30" i="1" s="1"/>
  <c r="X29" i="1"/>
  <c r="F27" i="1"/>
  <c r="J28" i="1"/>
  <c r="J29" i="1" s="1"/>
  <c r="G27" i="1"/>
  <c r="K28" i="1"/>
  <c r="AI28" i="1"/>
  <c r="S30" i="1"/>
  <c r="S31" i="1" s="1"/>
  <c r="S29" i="1"/>
  <c r="AH29" i="1"/>
  <c r="AH31" i="1" s="1"/>
  <c r="S28" i="1"/>
  <c r="U28" i="1"/>
  <c r="R27" i="1"/>
  <c r="V28" i="1"/>
  <c r="AE27" i="1"/>
  <c r="H27" i="1"/>
  <c r="H28" i="1" s="1"/>
  <c r="T27" i="1"/>
  <c r="AF27" i="1"/>
  <c r="AF28" i="1" s="1"/>
  <c r="L28" i="1"/>
  <c r="L29" i="1" s="1"/>
  <c r="X28" i="1"/>
  <c r="AJ28" i="1"/>
  <c r="U29" i="1"/>
  <c r="U31" i="1" s="1"/>
  <c r="T28" i="1"/>
  <c r="T29" i="1" s="1"/>
  <c r="AH28" i="1"/>
  <c r="AH30" i="1" s="1"/>
  <c r="I27" i="1"/>
  <c r="I28" i="1" s="1"/>
  <c r="U27" i="1"/>
  <c r="U30" i="1" s="1"/>
  <c r="AG27" i="1"/>
  <c r="AG28" i="1" s="1"/>
  <c r="M28" i="1"/>
  <c r="Y28" i="1"/>
  <c r="Y29" i="1" s="1"/>
  <c r="AK28" i="1"/>
  <c r="AK29" i="1" s="1"/>
  <c r="AK30" i="1" s="1"/>
  <c r="D27" i="1"/>
  <c r="C24" i="1"/>
  <c r="C23" i="1"/>
  <c r="C22" i="1"/>
  <c r="C21" i="1"/>
  <c r="C20" i="1"/>
  <c r="C19" i="1"/>
  <c r="H29" i="1" l="1"/>
  <c r="H30" i="1"/>
  <c r="H31" i="1" s="1"/>
  <c r="AG29" i="1"/>
  <c r="AG30" i="1" s="1"/>
  <c r="AG31" i="1" s="1"/>
  <c r="F30" i="1"/>
  <c r="V30" i="1"/>
  <c r="AD31" i="1"/>
  <c r="L30" i="1"/>
  <c r="L31" i="1" s="1"/>
  <c r="AF29" i="1"/>
  <c r="AF30" i="1"/>
  <c r="AF31" i="1"/>
  <c r="J30" i="1"/>
  <c r="J31" i="1" s="1"/>
  <c r="AE30" i="1"/>
  <c r="AE31" i="1" s="1"/>
  <c r="X31" i="1"/>
  <c r="I29" i="1"/>
  <c r="I30" i="1" s="1"/>
  <c r="X30" i="1"/>
  <c r="AE29" i="1"/>
  <c r="V29" i="1"/>
  <c r="AI29" i="1"/>
  <c r="AI31" i="1" s="1"/>
  <c r="T30" i="1"/>
  <c r="T31" i="1" s="1"/>
  <c r="Y30" i="1"/>
  <c r="Y31" i="1"/>
  <c r="G29" i="1"/>
  <c r="G30" i="1" s="1"/>
  <c r="AI30" i="1"/>
  <c r="AJ29" i="1"/>
  <c r="AJ30" i="1" s="1"/>
  <c r="F29" i="1"/>
  <c r="AE28" i="1"/>
  <c r="AD30" i="1"/>
  <c r="W31" i="1"/>
  <c r="M29" i="1"/>
  <c r="AK31" i="1"/>
  <c r="R28" i="1"/>
  <c r="K29" i="1"/>
  <c r="K31" i="1" s="1"/>
  <c r="K30" i="1"/>
  <c r="D28" i="1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I31" i="1" l="1"/>
  <c r="V31" i="1"/>
  <c r="G31" i="1"/>
  <c r="M30" i="1"/>
  <c r="M31" i="1" s="1"/>
  <c r="R29" i="1"/>
  <c r="R30" i="1" s="1"/>
  <c r="F31" i="1"/>
  <c r="AJ31" i="1"/>
  <c r="D29" i="1"/>
  <c r="D30" i="1" s="1"/>
  <c r="D31" i="1" s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1" i="1"/>
  <c r="D12" i="1"/>
  <c r="D13" i="1"/>
  <c r="D14" i="1"/>
  <c r="D15" i="1"/>
  <c r="D10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V4" i="1"/>
  <c r="AW4" i="1"/>
  <c r="AX4" i="1"/>
  <c r="AY4" i="1"/>
  <c r="AZ4" i="1"/>
  <c r="BA4" i="1"/>
  <c r="AV5" i="1"/>
  <c r="AW5" i="1"/>
  <c r="AX5" i="1"/>
  <c r="AY5" i="1"/>
  <c r="AZ5" i="1"/>
  <c r="BA5" i="1"/>
  <c r="AV6" i="1"/>
  <c r="AW6" i="1"/>
  <c r="AX6" i="1"/>
  <c r="AY6" i="1"/>
  <c r="AZ6" i="1"/>
  <c r="BA6" i="1"/>
  <c r="AV7" i="1"/>
  <c r="AW7" i="1"/>
  <c r="AX7" i="1"/>
  <c r="AY7" i="1"/>
  <c r="AZ7" i="1"/>
  <c r="BA7" i="1"/>
  <c r="AV8" i="1"/>
  <c r="AW8" i="1"/>
  <c r="AX8" i="1"/>
  <c r="AY8" i="1"/>
  <c r="AZ8" i="1"/>
  <c r="BA8" i="1"/>
  <c r="AV9" i="1"/>
  <c r="AW9" i="1"/>
  <c r="AX9" i="1"/>
  <c r="AY9" i="1"/>
  <c r="AZ9" i="1"/>
  <c r="BA9" i="1"/>
  <c r="AV10" i="1"/>
  <c r="AW10" i="1"/>
  <c r="AX10" i="1"/>
  <c r="AY10" i="1"/>
  <c r="AZ10" i="1"/>
  <c r="BA10" i="1"/>
  <c r="AV11" i="1"/>
  <c r="AW11" i="1"/>
  <c r="AX11" i="1"/>
  <c r="AY11" i="1"/>
  <c r="AZ11" i="1"/>
  <c r="BA11" i="1"/>
  <c r="AV12" i="1"/>
  <c r="AW12" i="1"/>
  <c r="AX12" i="1"/>
  <c r="AY12" i="1"/>
  <c r="AZ12" i="1"/>
  <c r="BA12" i="1"/>
  <c r="AV13" i="1"/>
  <c r="AW13" i="1"/>
  <c r="AX13" i="1"/>
  <c r="AY13" i="1"/>
  <c r="AZ13" i="1"/>
  <c r="BA13" i="1"/>
  <c r="AV14" i="1"/>
  <c r="AW14" i="1"/>
  <c r="AX14" i="1"/>
  <c r="AY14" i="1"/>
  <c r="AZ14" i="1"/>
  <c r="BA14" i="1"/>
  <c r="AV15" i="1"/>
  <c r="AW15" i="1"/>
  <c r="AX15" i="1"/>
  <c r="AY15" i="1"/>
  <c r="AZ15" i="1"/>
  <c r="BA15" i="1"/>
  <c r="AV16" i="1"/>
  <c r="AW16" i="1"/>
  <c r="AX16" i="1"/>
  <c r="AY16" i="1"/>
  <c r="AZ16" i="1"/>
  <c r="BA16" i="1"/>
  <c r="AV17" i="1"/>
  <c r="AW17" i="1"/>
  <c r="AX17" i="1"/>
  <c r="AY17" i="1"/>
  <c r="AZ17" i="1"/>
  <c r="BA17" i="1"/>
  <c r="AV18" i="1"/>
  <c r="AW18" i="1"/>
  <c r="AX18" i="1"/>
  <c r="AY18" i="1"/>
  <c r="AZ18" i="1"/>
  <c r="BA18" i="1"/>
  <c r="AV19" i="1"/>
  <c r="AW19" i="1"/>
  <c r="AX19" i="1"/>
  <c r="AY19" i="1"/>
  <c r="AZ19" i="1"/>
  <c r="BA19" i="1"/>
  <c r="AV20" i="1"/>
  <c r="AW20" i="1"/>
  <c r="AX20" i="1"/>
  <c r="AY20" i="1"/>
  <c r="AZ20" i="1"/>
  <c r="BA20" i="1"/>
  <c r="AV21" i="1"/>
  <c r="AW21" i="1"/>
  <c r="AX21" i="1"/>
  <c r="AY21" i="1"/>
  <c r="AZ21" i="1"/>
  <c r="BA21" i="1"/>
  <c r="AV22" i="1"/>
  <c r="AW22" i="1"/>
  <c r="AX22" i="1"/>
  <c r="AY22" i="1"/>
  <c r="AZ22" i="1"/>
  <c r="BA22" i="1"/>
  <c r="AV23" i="1"/>
  <c r="AW23" i="1"/>
  <c r="AX23" i="1"/>
  <c r="AY23" i="1"/>
  <c r="AZ23" i="1"/>
  <c r="BA23" i="1"/>
  <c r="AV24" i="1"/>
  <c r="AW24" i="1"/>
  <c r="AX24" i="1"/>
  <c r="AY24" i="1"/>
  <c r="AZ24" i="1"/>
  <c r="BA24" i="1"/>
  <c r="AV25" i="1"/>
  <c r="AW25" i="1"/>
  <c r="AX25" i="1"/>
  <c r="AY25" i="1"/>
  <c r="AZ25" i="1"/>
  <c r="BA25" i="1"/>
  <c r="AV26" i="1"/>
  <c r="AW26" i="1"/>
  <c r="AX26" i="1"/>
  <c r="AY26" i="1"/>
  <c r="AZ26" i="1"/>
  <c r="BA26" i="1"/>
  <c r="AV27" i="1"/>
  <c r="AW27" i="1"/>
  <c r="AX27" i="1"/>
  <c r="AY27" i="1"/>
  <c r="AZ27" i="1"/>
  <c r="BA27" i="1"/>
  <c r="AV28" i="1"/>
  <c r="AW28" i="1"/>
  <c r="AX28" i="1"/>
  <c r="AY28" i="1"/>
  <c r="AZ28" i="1"/>
  <c r="BA28" i="1"/>
  <c r="AV29" i="1"/>
  <c r="AW29" i="1"/>
  <c r="AX29" i="1"/>
  <c r="AY29" i="1"/>
  <c r="AZ29" i="1"/>
  <c r="BA29" i="1"/>
  <c r="AV30" i="1"/>
  <c r="AW30" i="1"/>
  <c r="AX30" i="1"/>
  <c r="AY30" i="1"/>
  <c r="AZ30" i="1"/>
  <c r="BA30" i="1"/>
  <c r="AV31" i="1"/>
  <c r="AW31" i="1"/>
  <c r="AX31" i="1"/>
  <c r="AY31" i="1"/>
  <c r="AZ31" i="1"/>
  <c r="BA31" i="1"/>
  <c r="AV32" i="1"/>
  <c r="AW32" i="1"/>
  <c r="AX32" i="1"/>
  <c r="AY32" i="1"/>
  <c r="AZ32" i="1"/>
  <c r="BA32" i="1"/>
  <c r="AV33" i="1"/>
  <c r="AW33" i="1"/>
  <c r="AX33" i="1"/>
  <c r="AY33" i="1"/>
  <c r="AZ33" i="1"/>
  <c r="BA33" i="1"/>
  <c r="AV34" i="1"/>
  <c r="AW34" i="1"/>
  <c r="AX34" i="1"/>
  <c r="AY34" i="1"/>
  <c r="AZ34" i="1"/>
  <c r="BA34" i="1"/>
  <c r="AV35" i="1"/>
  <c r="AW35" i="1"/>
  <c r="AX35" i="1"/>
  <c r="AY35" i="1"/>
  <c r="AZ35" i="1"/>
  <c r="BA35" i="1"/>
  <c r="AV36" i="1"/>
  <c r="AW36" i="1"/>
  <c r="AX36" i="1"/>
  <c r="AY36" i="1"/>
  <c r="AZ36" i="1"/>
  <c r="BA36" i="1"/>
  <c r="AV37" i="1"/>
  <c r="AW37" i="1"/>
  <c r="AX37" i="1"/>
  <c r="AY37" i="1"/>
  <c r="AZ37" i="1"/>
  <c r="BA37" i="1"/>
  <c r="AW3" i="1"/>
  <c r="AX3" i="1"/>
  <c r="AY3" i="1"/>
  <c r="AZ3" i="1"/>
  <c r="BA3" i="1"/>
  <c r="AV3" i="1"/>
  <c r="R31" i="1" l="1"/>
  <c r="AP12" i="1"/>
  <c r="AP13" i="1"/>
  <c r="AP14" i="1"/>
  <c r="AP15" i="1"/>
  <c r="AP11" i="1"/>
  <c r="AP6" i="1"/>
  <c r="AP7" i="1"/>
  <c r="AP8" i="1"/>
  <c r="AP9" i="1"/>
  <c r="AP10" i="1"/>
  <c r="AP5" i="1"/>
  <c r="AP4" i="1"/>
  <c r="AP3" i="1"/>
  <c r="AR6" i="1" l="1"/>
  <c r="AR4" i="1"/>
  <c r="AR3" i="1"/>
  <c r="AR5" i="1"/>
  <c r="AR8" i="1"/>
  <c r="AR7" i="1"/>
  <c r="S23" i="1" l="1"/>
  <c r="L19" i="1"/>
  <c r="L20" i="1"/>
  <c r="R21" i="1"/>
  <c r="AB22" i="1"/>
  <c r="P24" i="1"/>
  <c r="H19" i="1"/>
  <c r="N19" i="1"/>
  <c r="AD19" i="1"/>
  <c r="AB20" i="1"/>
  <c r="M20" i="1"/>
  <c r="Q20" i="1"/>
  <c r="AC20" i="1"/>
  <c r="Y20" i="1"/>
  <c r="O20" i="1"/>
  <c r="AD20" i="1"/>
  <c r="AI20" i="1"/>
  <c r="Z20" i="1"/>
  <c r="AK20" i="1"/>
  <c r="AG20" i="1"/>
  <c r="N20" i="1"/>
  <c r="R20" i="1"/>
  <c r="AF20" i="1"/>
  <c r="AH20" i="1"/>
  <c r="S20" i="1"/>
  <c r="U20" i="1"/>
  <c r="K20" i="1"/>
  <c r="D20" i="1"/>
  <c r="AI23" i="1"/>
  <c r="D23" i="1"/>
  <c r="AB23" i="1"/>
  <c r="AE23" i="1"/>
  <c r="W23" i="1"/>
  <c r="U23" i="1"/>
  <c r="M23" i="1"/>
  <c r="L23" i="1"/>
  <c r="G21" i="1"/>
  <c r="U21" i="1"/>
  <c r="W21" i="1"/>
  <c r="AH21" i="1"/>
  <c r="L21" i="1"/>
  <c r="V20" i="1"/>
  <c r="I19" i="1"/>
  <c r="M19" i="1"/>
  <c r="X23" i="1"/>
  <c r="Q19" i="1"/>
  <c r="H23" i="1"/>
  <c r="Z23" i="1"/>
  <c r="U19" i="1"/>
  <c r="Y19" i="1"/>
  <c r="I23" i="1"/>
  <c r="AI21" i="1"/>
  <c r="T19" i="1"/>
  <c r="AI19" i="1"/>
  <c r="D19" i="1"/>
  <c r="Z19" i="1"/>
  <c r="W19" i="1"/>
  <c r="Q23" i="1"/>
  <c r="J19" i="1"/>
  <c r="S19" i="1"/>
  <c r="E19" i="1"/>
  <c r="AG19" i="1"/>
  <c r="AJ19" i="1"/>
  <c r="AA19" i="1"/>
  <c r="K23" i="1"/>
  <c r="AK19" i="1"/>
  <c r="AF19" i="1"/>
  <c r="AB19" i="1"/>
  <c r="H21" i="1"/>
  <c r="I21" i="1"/>
  <c r="AC19" i="1"/>
  <c r="P19" i="1"/>
  <c r="G19" i="1"/>
  <c r="AH19" i="1"/>
  <c r="AE19" i="1"/>
  <c r="R19" i="1"/>
  <c r="X19" i="1"/>
  <c r="AJ23" i="1"/>
  <c r="Q21" i="1"/>
  <c r="O23" i="1"/>
  <c r="F19" i="1"/>
  <c r="F23" i="1"/>
  <c r="T21" i="1"/>
  <c r="R23" i="1"/>
  <c r="H20" i="1"/>
  <c r="K19" i="1"/>
  <c r="O19" i="1"/>
  <c r="AA24" i="1"/>
  <c r="AK24" i="1"/>
  <c r="E22" i="1"/>
  <c r="P23" i="1"/>
  <c r="F22" i="1"/>
  <c r="L22" i="1"/>
  <c r="X22" i="1"/>
  <c r="O24" i="1"/>
  <c r="AJ22" i="1"/>
  <c r="AG23" i="1"/>
  <c r="Y23" i="1"/>
  <c r="Z21" i="1"/>
  <c r="Q22" i="1"/>
  <c r="V24" i="1"/>
  <c r="AE21" i="1"/>
  <c r="V23" i="1"/>
  <c r="I22" i="1"/>
  <c r="G23" i="1"/>
  <c r="AD23" i="1"/>
  <c r="J23" i="1"/>
  <c r="N22" i="1"/>
  <c r="AK21" i="1"/>
  <c r="AC21" i="1"/>
  <c r="AH23" i="1"/>
  <c r="E23" i="1"/>
  <c r="AF23" i="1"/>
  <c r="P21" i="1"/>
  <c r="T23" i="1"/>
  <c r="AC23" i="1" l="1"/>
  <c r="AA23" i="1"/>
  <c r="AK23" i="1"/>
  <c r="N23" i="1"/>
  <c r="R24" i="1"/>
  <c r="G24" i="1"/>
  <c r="M24" i="1"/>
  <c r="X24" i="1"/>
  <c r="J24" i="1"/>
  <c r="AF24" i="1"/>
  <c r="AH24" i="1"/>
  <c r="P22" i="1"/>
  <c r="N24" i="1"/>
  <c r="AK22" i="1"/>
  <c r="Y24" i="1"/>
  <c r="H22" i="1"/>
  <c r="J22" i="1"/>
  <c r="E24" i="1"/>
  <c r="AF22" i="1"/>
  <c r="S21" i="1"/>
  <c r="N21" i="1"/>
  <c r="K21" i="1"/>
  <c r="F21" i="1"/>
  <c r="U24" i="1"/>
  <c r="L24" i="1"/>
  <c r="R22" i="1"/>
  <c r="W20" i="1"/>
  <c r="AF21" i="1"/>
  <c r="AB21" i="1"/>
  <c r="Y22" i="1"/>
  <c r="Y21" i="1"/>
  <c r="J20" i="1"/>
  <c r="AE20" i="1"/>
  <c r="J21" i="1"/>
  <c r="AH22" i="1"/>
  <c r="T22" i="1"/>
  <c r="S22" i="1"/>
  <c r="AA20" i="1"/>
  <c r="V19" i="1"/>
  <c r="AD21" i="1"/>
  <c r="AJ21" i="1"/>
  <c r="P20" i="1"/>
  <c r="I20" i="1"/>
  <c r="AG24" i="1"/>
  <c r="W24" i="1"/>
  <c r="H24" i="1"/>
  <c r="O22" i="1"/>
  <c r="T24" i="1"/>
  <c r="Z22" i="1"/>
  <c r="AE24" i="1"/>
  <c r="AE22" i="1"/>
  <c r="AG21" i="1"/>
  <c r="D22" i="1"/>
  <c r="AG22" i="1"/>
  <c r="AD24" i="1"/>
  <c r="K22" i="1"/>
  <c r="E21" i="1"/>
  <c r="AA22" i="1"/>
  <c r="AI24" i="1"/>
  <c r="I24" i="1"/>
  <c r="K24" i="1"/>
  <c r="X20" i="1"/>
  <c r="V22" i="1"/>
  <c r="V21" i="1"/>
  <c r="U22" i="1"/>
  <c r="D21" i="1"/>
  <c r="AC24" i="1"/>
  <c r="T20" i="1"/>
  <c r="F20" i="1"/>
  <c r="E20" i="1"/>
  <c r="S24" i="1"/>
  <c r="AB24" i="1"/>
  <c r="F24" i="1"/>
  <c r="W22" i="1"/>
  <c r="AA21" i="1"/>
  <c r="O21" i="1"/>
  <c r="G22" i="1"/>
  <c r="D24" i="1"/>
  <c r="Z24" i="1"/>
  <c r="X21" i="1"/>
  <c r="AC22" i="1"/>
  <c r="M21" i="1"/>
  <c r="AI22" i="1"/>
  <c r="Q24" i="1"/>
  <c r="AJ24" i="1"/>
  <c r="AD22" i="1"/>
  <c r="M22" i="1"/>
  <c r="AJ20" i="1"/>
  <c r="G20" i="1"/>
</calcChain>
</file>

<file path=xl/sharedStrings.xml><?xml version="1.0" encoding="utf-8"?>
<sst xmlns="http://schemas.openxmlformats.org/spreadsheetml/2006/main" count="296" uniqueCount="139">
  <si>
    <t>process</t>
  </si>
  <si>
    <t>E_WON_Far_C1_IND</t>
  </si>
  <si>
    <t>E_WON_Far_C4_IND</t>
  </si>
  <si>
    <t>E_WON_Near_C1_IND</t>
  </si>
  <si>
    <t>E_WON_Near_C2_IND</t>
  </si>
  <si>
    <t>E_WON_Near_C3_IND</t>
  </si>
  <si>
    <t>E_WON_Near_C4_IND</t>
  </si>
  <si>
    <t>E_WON_Near_C5_IND</t>
  </si>
  <si>
    <t>E_WON_Near_C6_IND</t>
  </si>
  <si>
    <t>E_WON_Trans_C1_IND</t>
  </si>
  <si>
    <t>E_WON_Trans_C2_IND</t>
  </si>
  <si>
    <t>E_WON_Trans_C3_IND</t>
  </si>
  <si>
    <t>E_WON_Trans_C4_IND</t>
  </si>
  <si>
    <t>E_WON_Trans_C5_IND</t>
  </si>
  <si>
    <t>C1</t>
  </si>
  <si>
    <t>C4</t>
  </si>
  <si>
    <t>C2</t>
  </si>
  <si>
    <t>C3</t>
  </si>
  <si>
    <t>C5</t>
  </si>
  <si>
    <t>C6</t>
  </si>
  <si>
    <t>PSET_PN</t>
  </si>
  <si>
    <t>Attribute</t>
  </si>
  <si>
    <t>CAP_BND</t>
  </si>
  <si>
    <t>IND-AN</t>
  </si>
  <si>
    <t>IND-AP</t>
  </si>
  <si>
    <t>IND-AR</t>
  </si>
  <si>
    <t>IND-AS</t>
  </si>
  <si>
    <t>IND-BR</t>
  </si>
  <si>
    <t>IND-CT</t>
  </si>
  <si>
    <t>IND-DD</t>
  </si>
  <si>
    <t>IND-DL</t>
  </si>
  <si>
    <t>IND-DN</t>
  </si>
  <si>
    <t>IND-GA</t>
  </si>
  <si>
    <t>IND-GJ</t>
  </si>
  <si>
    <t>IND-HP</t>
  </si>
  <si>
    <t>IND-HR</t>
  </si>
  <si>
    <t>IND-JH</t>
  </si>
  <si>
    <t>IND-JK</t>
  </si>
  <si>
    <t>IND-KA</t>
  </si>
  <si>
    <t>IND-KL</t>
  </si>
  <si>
    <t>IND-MH</t>
  </si>
  <si>
    <t>IND-ML</t>
  </si>
  <si>
    <t>IND-MN</t>
  </si>
  <si>
    <t>IND-MP</t>
  </si>
  <si>
    <t>IND-MZ</t>
  </si>
  <si>
    <t>IND-NL</t>
  </si>
  <si>
    <t>IND-OR</t>
  </si>
  <si>
    <t>IND-PB</t>
  </si>
  <si>
    <t>IND-PY</t>
  </si>
  <si>
    <t>IND-RJ</t>
  </si>
  <si>
    <t>IND-SK</t>
  </si>
  <si>
    <t>IND-TG</t>
  </si>
  <si>
    <t>IND-TN</t>
  </si>
  <si>
    <t>IND-TR</t>
  </si>
  <si>
    <t>IND-UP</t>
  </si>
  <si>
    <t>IND-UT</t>
  </si>
  <si>
    <t>IND-WB</t>
  </si>
  <si>
    <t>~TFM_INS</t>
  </si>
  <si>
    <t>State</t>
  </si>
  <si>
    <t>C7</t>
  </si>
  <si>
    <t>C8</t>
  </si>
  <si>
    <t>C9</t>
  </si>
  <si>
    <t>Total</t>
  </si>
  <si>
    <t>Andaman and Nicobar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</si>
  <si>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</si>
  <si>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</si>
  <si>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</si>
  <si>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</si>
  <si>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</si>
  <si>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</si>
  <si>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</si>
  <si>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</si>
  <si>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</si>
  <si>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</si>
  <si>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</si>
  <si>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</si>
  <si>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</si>
  <si>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</si>
  <si>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</si>
  <si>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</si>
  <si>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</si>
  <si>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</si>
  <si>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</si>
  <si>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</si>
  <si>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</si>
  <si>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</si>
  <si>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</si>
  <si>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Orissa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</si>
  <si>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</si>
  <si>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</si>
  <si>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</si>
  <si>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</si>
  <si>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</si>
  <si>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</si>
  <si>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</si>
  <si>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</si>
  <si>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</si>
  <si>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</si>
  <si>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AP</t>
  </si>
  <si>
    <t>AR</t>
  </si>
  <si>
    <t>AS</t>
  </si>
  <si>
    <t>BR</t>
  </si>
  <si>
    <t>CT</t>
  </si>
  <si>
    <t>DL</t>
  </si>
  <si>
    <t>GA</t>
  </si>
  <si>
    <t>GJ</t>
  </si>
  <si>
    <t>HP</t>
  </si>
  <si>
    <t>HR</t>
  </si>
  <si>
    <t>JH</t>
  </si>
  <si>
    <t>JK</t>
  </si>
  <si>
    <t>KA</t>
  </si>
  <si>
    <t>KL</t>
  </si>
  <si>
    <t>MH</t>
  </si>
  <si>
    <t>ML</t>
  </si>
  <si>
    <t>MN</t>
  </si>
  <si>
    <t>MP</t>
  </si>
  <si>
    <t>NL</t>
  </si>
  <si>
    <t>OR</t>
  </si>
  <si>
    <t>PB</t>
  </si>
  <si>
    <t>PY</t>
  </si>
  <si>
    <t>RJ</t>
  </si>
  <si>
    <t>SK</t>
  </si>
  <si>
    <t>TG</t>
  </si>
  <si>
    <t>TN</t>
  </si>
  <si>
    <t>TR</t>
  </si>
  <si>
    <t>UT</t>
  </si>
  <si>
    <t>UU</t>
  </si>
  <si>
    <t>WB</t>
  </si>
  <si>
    <t>FT_ELCCOA</t>
  </si>
  <si>
    <t>ACT_COST</t>
  </si>
  <si>
    <t>analyst assumptions</t>
  </si>
  <si>
    <t>to be used only with india subnational model</t>
  </si>
  <si>
    <t>such files will be needed for all subnat models</t>
  </si>
  <si>
    <t>this came from Manussawee</t>
  </si>
  <si>
    <t>*to be allocated to techs, depending on class-wise potentials</t>
  </si>
  <si>
    <t>Region</t>
  </si>
  <si>
    <t>PASTI</t>
  </si>
  <si>
    <t>IND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</si>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</sst>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3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0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A5481-461E-4DA6-9E6D-D54213FAD12C}">
  <dimension ref="A1:A3"/>
  <sheetViews>
    <sheetView workbookViewId="0"/>
  </sheetViews>
  <sheetFormatPr defaultRowHeight="15" x14ac:dyDescent="0.25"/>
  <sheetData>
    <row r="1" spans="1:1" x14ac:dyDescent="0.25">
      <c r="A1" t="s">
        <v>130</v>
      </c>
    </row>
    <row r="2" spans="1:1" x14ac:dyDescent="0.25">
      <c r="A2" t="s">
        <v>131</v>
      </c>
    </row>
    <row r="3" spans="1:1" x14ac:dyDescent="0.25">
      <c r="A3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9F273-3026-4294-9534-5F580D972323}">
  <dimension ref="A1:B15"/>
  <sheetViews>
    <sheetView workbookViewId="0"/>
  </sheetViews>
  <sheetFormatPr defaultRowHeight="15" x14ac:dyDescent="0.25"/>
  <sheetData>
    <row r="1" spans="1:2" x14ac:dyDescent="0.25">
      <c r="A1" s="5" t="s">
        <v>134</v>
      </c>
    </row>
    <row r="4" spans="1:2" x14ac:dyDescent="0.25">
      <c r="A4" t="s">
        <v>135</v>
      </c>
      <c r="B4" t="s">
        <v>136</v>
      </c>
    </row>
    <row r="5" spans="1:2" x14ac:dyDescent="0.25">
      <c r="A5" t="s">
        <v>137</v>
      </c>
      <c r="B5" s="6">
        <v>3.0522159520129332E-2</v>
      </c>
    </row>
    <row r="6" spans="1:2" x14ac:dyDescent="0.25">
      <c r="A6" t="s">
        <v>24</v>
      </c>
      <c r="B6" s="6">
        <v>6.0988824204767518</v>
      </c>
    </row>
    <row r="7" spans="1:2" x14ac:dyDescent="0.25">
      <c r="A7" t="s">
        <v>30</v>
      </c>
      <c r="B7" s="6">
        <v>0.13318760517874617</v>
      </c>
    </row>
    <row r="8" spans="1:2" x14ac:dyDescent="0.25">
      <c r="A8" t="s">
        <v>33</v>
      </c>
      <c r="B8" s="6">
        <v>8.8680747114848497</v>
      </c>
    </row>
    <row r="9" spans="1:2" x14ac:dyDescent="0.25">
      <c r="A9" t="s">
        <v>38</v>
      </c>
      <c r="B9" s="6">
        <v>6.4540493676200752</v>
      </c>
    </row>
    <row r="10" spans="1:2" x14ac:dyDescent="0.25">
      <c r="A10" t="s">
        <v>39</v>
      </c>
      <c r="B10" s="6">
        <v>0.18590769889533321</v>
      </c>
    </row>
    <row r="11" spans="1:2" x14ac:dyDescent="0.25">
      <c r="A11" t="s">
        <v>40</v>
      </c>
      <c r="B11" s="6">
        <v>8.3935938680355662</v>
      </c>
    </row>
    <row r="12" spans="1:2" x14ac:dyDescent="0.25">
      <c r="A12" t="s">
        <v>43</v>
      </c>
      <c r="B12" s="6">
        <v>3.6321369828953904</v>
      </c>
    </row>
    <row r="13" spans="1:2" x14ac:dyDescent="0.25">
      <c r="A13" t="s">
        <v>49</v>
      </c>
      <c r="B13" s="6">
        <v>5.7104185720387424</v>
      </c>
    </row>
    <row r="14" spans="1:2" x14ac:dyDescent="0.25">
      <c r="A14" t="s">
        <v>51</v>
      </c>
      <c r="B14" s="6">
        <v>0.27469943568116401</v>
      </c>
    </row>
    <row r="15" spans="1:2" x14ac:dyDescent="0.25">
      <c r="A15" t="s">
        <v>52</v>
      </c>
      <c r="B15" s="6">
        <v>7.0783662668954488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B4E9-8DA3-45D1-B7D7-3D747678B62D}">
  <dimension ref="A1:CB48"/>
  <sheetViews>
    <sheetView tabSelected="1" workbookViewId="0"/>
  </sheetViews>
  <sheetFormatPr defaultRowHeight="15" x14ac:dyDescent="0.25"/>
  <cols>
    <col min="3" max="3" width="19.7109375" bestFit="1" customWidth="1"/>
    <col min="4" max="4" width="7.7109375" bestFit="1" customWidth="1"/>
    <col min="5" max="6" width="7.42578125" bestFit="1" customWidth="1"/>
    <col min="7" max="8" width="7.28515625" bestFit="1" customWidth="1"/>
    <col min="9" max="9" width="7.140625" bestFit="1" customWidth="1"/>
    <col min="10" max="10" width="7.5703125" bestFit="1" customWidth="1"/>
    <col min="11" max="11" width="7.7109375" bestFit="1" customWidth="1"/>
    <col min="12" max="12" width="7.140625" bestFit="1" customWidth="1"/>
    <col min="13" max="13" width="7.5703125" bestFit="1" customWidth="1"/>
    <col min="14" max="14" width="7" bestFit="1" customWidth="1"/>
    <col min="15" max="16" width="7.42578125" bestFit="1" customWidth="1"/>
    <col min="17" max="17" width="6.85546875" bestFit="1" customWidth="1"/>
    <col min="18" max="18" width="7" bestFit="1" customWidth="1"/>
    <col min="19" max="19" width="7.42578125" bestFit="1" customWidth="1"/>
    <col min="20" max="20" width="7" bestFit="1" customWidth="1"/>
    <col min="21" max="21" width="7.85546875" bestFit="1" customWidth="1"/>
    <col min="22" max="22" width="8" bestFit="1" customWidth="1"/>
    <col min="23" max="23" width="8.140625" bestFit="1" customWidth="1"/>
    <col min="24" max="24" width="7.5703125" bestFit="1" customWidth="1"/>
    <col min="25" max="25" width="7.7109375" bestFit="1" customWidth="1"/>
    <col min="26" max="26" width="7.28515625" bestFit="1" customWidth="1"/>
    <col min="27" max="27" width="7.5703125" bestFit="1" customWidth="1"/>
    <col min="28" max="28" width="7.140625" bestFit="1" customWidth="1"/>
    <col min="29" max="29" width="7.28515625" bestFit="1" customWidth="1"/>
    <col min="30" max="30" width="6.85546875" bestFit="1" customWidth="1"/>
    <col min="31" max="31" width="7.140625" bestFit="1" customWidth="1"/>
    <col min="32" max="32" width="7.42578125" bestFit="1" customWidth="1"/>
    <col min="33" max="33" width="7.28515625" bestFit="1" customWidth="1"/>
    <col min="34" max="34" width="7.140625" bestFit="1" customWidth="1"/>
    <col min="35" max="35" width="7.42578125" bestFit="1" customWidth="1"/>
    <col min="36" max="36" width="7.28515625" bestFit="1" customWidth="1"/>
    <col min="37" max="37" width="8" bestFit="1" customWidth="1"/>
    <col min="39" max="39" width="21.140625" bestFit="1" customWidth="1"/>
    <col min="43" max="43" width="3.140625" bestFit="1" customWidth="1"/>
    <col min="44" max="44" width="5" bestFit="1" customWidth="1"/>
    <col min="45" max="45" width="5" customWidth="1"/>
    <col min="48" max="48" width="12" bestFit="1" customWidth="1"/>
  </cols>
  <sheetData>
    <row r="1" spans="3:70" x14ac:dyDescent="0.25">
      <c r="BH1" s="5" t="s">
        <v>133</v>
      </c>
    </row>
    <row r="2" spans="3:70" x14ac:dyDescent="0.25">
      <c r="AM2" t="s">
        <v>0</v>
      </c>
      <c r="AN2">
        <v>0</v>
      </c>
      <c r="AO2">
        <v>2010</v>
      </c>
      <c r="AU2" t="s">
        <v>58</v>
      </c>
      <c r="AV2" t="s">
        <v>14</v>
      </c>
      <c r="AW2" t="s">
        <v>16</v>
      </c>
      <c r="AX2" t="s">
        <v>17</v>
      </c>
      <c r="AY2" t="s">
        <v>15</v>
      </c>
      <c r="AZ2" t="s">
        <v>18</v>
      </c>
      <c r="BA2" t="s">
        <v>19</v>
      </c>
      <c r="BB2" t="s">
        <v>59</v>
      </c>
      <c r="BC2" t="s">
        <v>60</v>
      </c>
      <c r="BD2" t="s">
        <v>61</v>
      </c>
      <c r="BE2" t="s">
        <v>62</v>
      </c>
      <c r="BH2" t="s">
        <v>58</v>
      </c>
      <c r="BI2" t="s">
        <v>14</v>
      </c>
      <c r="BJ2" t="s">
        <v>16</v>
      </c>
      <c r="BK2" t="s">
        <v>17</v>
      </c>
      <c r="BL2" t="s">
        <v>15</v>
      </c>
      <c r="BM2" t="s">
        <v>18</v>
      </c>
      <c r="BN2" t="s">
        <v>19</v>
      </c>
      <c r="BO2" t="s">
        <v>59</v>
      </c>
      <c r="BP2" t="s">
        <v>60</v>
      </c>
      <c r="BQ2" t="s">
        <v>61</v>
      </c>
      <c r="BR2" t="s">
        <v>62</v>
      </c>
    </row>
    <row r="3" spans="3:70" x14ac:dyDescent="0.25">
      <c r="AM3" t="s">
        <v>1</v>
      </c>
      <c r="AN3">
        <v>3</v>
      </c>
      <c r="AO3">
        <v>0.14524999999999999</v>
      </c>
      <c r="AP3" t="str">
        <f>MID(AM3,11,2)</f>
        <v>C1</v>
      </c>
      <c r="AQ3" t="s">
        <v>19</v>
      </c>
      <c r="AR3" s="1">
        <f>SUMIF($AP$3:$AP$15,AQ3,$AO$3:$AO$15)</f>
        <v>22.327000000000002</v>
      </c>
      <c r="AS3" s="1"/>
      <c r="AT3" t="s">
        <v>23</v>
      </c>
      <c r="AU3" t="s">
        <v>63</v>
      </c>
      <c r="AV3" s="3">
        <f>BI3/BI$38</f>
        <v>4.3985326495081237E-6</v>
      </c>
      <c r="AW3" s="3">
        <f t="shared" ref="AW3:BA3" si="0">BJ3/BJ$38</f>
        <v>7.1355891159229822E-5</v>
      </c>
      <c r="AX3" s="3">
        <f t="shared" si="0"/>
        <v>1.3506990860931623E-4</v>
      </c>
      <c r="AY3" s="3">
        <f t="shared" si="0"/>
        <v>4.8990851536693722E-4</v>
      </c>
      <c r="AZ3" s="3">
        <f t="shared" si="0"/>
        <v>1.2009816719753537E-3</v>
      </c>
      <c r="BA3" s="3">
        <f t="shared" si="0"/>
        <v>8.9577641420701397E-5</v>
      </c>
      <c r="BB3">
        <v>0</v>
      </c>
      <c r="BC3">
        <v>0</v>
      </c>
      <c r="BD3">
        <v>0</v>
      </c>
      <c r="BE3">
        <v>554</v>
      </c>
      <c r="BH3" t="s">
        <v>63</v>
      </c>
      <c r="BI3">
        <v>11</v>
      </c>
      <c r="BJ3">
        <v>127</v>
      </c>
      <c r="BK3">
        <v>136</v>
      </c>
      <c r="BL3">
        <v>233</v>
      </c>
      <c r="BM3">
        <v>46</v>
      </c>
      <c r="BN3">
        <v>2</v>
      </c>
      <c r="BO3">
        <v>0</v>
      </c>
      <c r="BP3">
        <v>0</v>
      </c>
      <c r="BQ3">
        <v>0</v>
      </c>
      <c r="BR3">
        <v>554</v>
      </c>
    </row>
    <row r="4" spans="3:70" x14ac:dyDescent="0.25">
      <c r="AM4" t="s">
        <v>2</v>
      </c>
      <c r="AN4">
        <v>3</v>
      </c>
      <c r="AO4">
        <v>0.41599999999999998</v>
      </c>
      <c r="AP4" t="str">
        <f t="shared" ref="AP4" si="1">MID(AM4,11,2)</f>
        <v>C4</v>
      </c>
      <c r="AQ4" t="s">
        <v>18</v>
      </c>
      <c r="AR4" s="1">
        <f t="shared" ref="AR4:AR8" si="2">SUMIF($AP$3:$AP$15,AQ4,$AO$3:$AO$15)</f>
        <v>38.301500000000004</v>
      </c>
      <c r="AS4" s="1"/>
      <c r="AT4" t="s">
        <v>24</v>
      </c>
      <c r="AU4" t="s">
        <v>64</v>
      </c>
      <c r="AV4" s="3">
        <f t="shared" ref="AV4:AV37" si="3">BI4/BI$38</f>
        <v>1.8834516805193786E-2</v>
      </c>
      <c r="AW4" s="3">
        <f t="shared" ref="AW4:AW37" si="4">BJ4/BJ$38</f>
        <v>5.3470846061744758E-2</v>
      </c>
      <c r="AX4" s="3">
        <f t="shared" ref="AX4:AX37" si="5">BK4/BK$38</f>
        <v>7.8926512038105606E-2</v>
      </c>
      <c r="AY4" s="3">
        <f t="shared" ref="AY4:AY37" si="6">BL4/BL$38</f>
        <v>3.6953399817913832E-2</v>
      </c>
      <c r="AZ4" s="3">
        <f t="shared" ref="AZ4:AZ37" si="7">BM4/BM$38</f>
        <v>2.6473813377891495E-2</v>
      </c>
      <c r="BA4" s="3">
        <f t="shared" ref="BA4:BA37" si="8">BN4/BN$38</f>
        <v>6.3600125408697986E-3</v>
      </c>
      <c r="BB4">
        <v>0</v>
      </c>
      <c r="BC4">
        <v>0</v>
      </c>
      <c r="BD4">
        <v>0</v>
      </c>
      <c r="BE4" s="2">
        <v>240471</v>
      </c>
      <c r="BH4" t="s">
        <v>64</v>
      </c>
      <c r="BI4" s="2">
        <v>47102</v>
      </c>
      <c r="BJ4" s="2">
        <v>95168</v>
      </c>
      <c r="BK4" s="2">
        <v>79470</v>
      </c>
      <c r="BL4" s="2">
        <v>17575</v>
      </c>
      <c r="BM4" s="2">
        <v>1014</v>
      </c>
      <c r="BN4">
        <v>142</v>
      </c>
      <c r="BO4">
        <v>0</v>
      </c>
      <c r="BP4">
        <v>0</v>
      </c>
      <c r="BQ4">
        <v>0</v>
      </c>
      <c r="BR4" s="2">
        <v>240471</v>
      </c>
    </row>
    <row r="5" spans="3:70" x14ac:dyDescent="0.25">
      <c r="AM5" t="s">
        <v>3</v>
      </c>
      <c r="AN5">
        <v>3</v>
      </c>
      <c r="AO5">
        <v>2414.2109999999998</v>
      </c>
      <c r="AP5" t="str">
        <f>MID(AM5,12,2)</f>
        <v>C1</v>
      </c>
      <c r="AQ5" t="s">
        <v>15</v>
      </c>
      <c r="AR5" s="1">
        <f t="shared" si="2"/>
        <v>475.59899999999999</v>
      </c>
      <c r="AS5" s="1"/>
      <c r="AT5" t="s">
        <v>25</v>
      </c>
      <c r="AU5" t="s">
        <v>65</v>
      </c>
      <c r="AV5" s="3">
        <f t="shared" si="3"/>
        <v>2.3796061633838952E-3</v>
      </c>
      <c r="AW5" s="3">
        <f t="shared" si="4"/>
        <v>1.5125201496113913E-3</v>
      </c>
      <c r="AX5" s="3">
        <f t="shared" si="5"/>
        <v>3.2178419403984166E-3</v>
      </c>
      <c r="AY5" s="3">
        <f t="shared" si="6"/>
        <v>1.4583714431695609E-2</v>
      </c>
      <c r="AZ5" s="3">
        <f t="shared" si="7"/>
        <v>3.5193984648321235E-2</v>
      </c>
      <c r="BA5" s="3">
        <f t="shared" si="8"/>
        <v>6.7496752810498495E-2</v>
      </c>
      <c r="BB5">
        <v>0</v>
      </c>
      <c r="BC5">
        <v>0</v>
      </c>
      <c r="BD5">
        <v>0</v>
      </c>
      <c r="BE5" s="2">
        <v>21674</v>
      </c>
      <c r="BH5" t="s">
        <v>65</v>
      </c>
      <c r="BI5" s="2">
        <v>5951</v>
      </c>
      <c r="BJ5" s="2">
        <v>2692</v>
      </c>
      <c r="BK5" s="2">
        <v>3240</v>
      </c>
      <c r="BL5" s="2">
        <v>6936</v>
      </c>
      <c r="BM5" s="2">
        <v>1348</v>
      </c>
      <c r="BN5" s="2">
        <v>1507</v>
      </c>
      <c r="BO5">
        <v>0</v>
      </c>
      <c r="BP5">
        <v>0</v>
      </c>
      <c r="BQ5">
        <v>0</v>
      </c>
      <c r="BR5" s="2">
        <v>21674</v>
      </c>
    </row>
    <row r="6" spans="3:70" x14ac:dyDescent="0.25">
      <c r="AM6" t="s">
        <v>4</v>
      </c>
      <c r="AN6">
        <v>3</v>
      </c>
      <c r="AO6">
        <v>1743.9427499999999</v>
      </c>
      <c r="AP6" t="str">
        <f t="shared" ref="AP6:AP10" si="9">MID(AM6,12,2)</f>
        <v>C2</v>
      </c>
      <c r="AQ6" t="s">
        <v>17</v>
      </c>
      <c r="AR6" s="1">
        <f t="shared" si="2"/>
        <v>1006.8862499999999</v>
      </c>
      <c r="AS6" s="1"/>
      <c r="AT6" t="s">
        <v>26</v>
      </c>
      <c r="AU6" t="s">
        <v>66</v>
      </c>
      <c r="AV6" s="3">
        <f t="shared" si="3"/>
        <v>6.1683422410283928E-3</v>
      </c>
      <c r="AW6" s="3">
        <f t="shared" si="4"/>
        <v>3.7082589106371405E-4</v>
      </c>
      <c r="AX6" s="3">
        <f t="shared" si="5"/>
        <v>0</v>
      </c>
      <c r="AY6" s="3">
        <f t="shared" si="6"/>
        <v>0</v>
      </c>
      <c r="AZ6" s="3">
        <f t="shared" si="7"/>
        <v>0</v>
      </c>
      <c r="BA6" s="3">
        <f t="shared" si="8"/>
        <v>0</v>
      </c>
      <c r="BB6">
        <v>0</v>
      </c>
      <c r="BC6">
        <v>0</v>
      </c>
      <c r="BD6">
        <v>0</v>
      </c>
      <c r="BE6" s="2">
        <v>16086</v>
      </c>
      <c r="BH6" t="s">
        <v>66</v>
      </c>
      <c r="BI6" s="2">
        <v>15426</v>
      </c>
      <c r="BJ6">
        <v>660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 s="2">
        <v>16086</v>
      </c>
    </row>
    <row r="7" spans="3:70" x14ac:dyDescent="0.25">
      <c r="AM7" t="s">
        <v>5</v>
      </c>
      <c r="AN7">
        <v>3</v>
      </c>
      <c r="AO7">
        <v>975.94674999999995</v>
      </c>
      <c r="AP7" t="str">
        <f t="shared" si="9"/>
        <v>C3</v>
      </c>
      <c r="AQ7" t="s">
        <v>16</v>
      </c>
      <c r="AR7" s="1">
        <f t="shared" si="2"/>
        <v>1779.8107499999999</v>
      </c>
      <c r="AS7" s="1"/>
      <c r="AT7" t="s">
        <v>27</v>
      </c>
      <c r="AU7" t="s">
        <v>67</v>
      </c>
      <c r="AV7" s="3">
        <f t="shared" si="3"/>
        <v>4.4288025514688301E-2</v>
      </c>
      <c r="AW7" s="3">
        <f t="shared" si="4"/>
        <v>4.841525308024279E-3</v>
      </c>
      <c r="AX7" s="3">
        <f t="shared" si="5"/>
        <v>0</v>
      </c>
      <c r="AY7" s="3">
        <f t="shared" si="6"/>
        <v>0</v>
      </c>
      <c r="AZ7" s="3">
        <f t="shared" si="7"/>
        <v>0</v>
      </c>
      <c r="BA7" s="3">
        <f t="shared" si="8"/>
        <v>0</v>
      </c>
      <c r="BB7">
        <v>0</v>
      </c>
      <c r="BC7">
        <v>0</v>
      </c>
      <c r="BD7">
        <v>0</v>
      </c>
      <c r="BE7" s="2">
        <v>119374</v>
      </c>
      <c r="BH7" t="s">
        <v>67</v>
      </c>
      <c r="BI7" s="2">
        <v>110757</v>
      </c>
      <c r="BJ7" s="2">
        <v>8617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 s="2">
        <v>119374</v>
      </c>
    </row>
    <row r="8" spans="3:70" x14ac:dyDescent="0.25">
      <c r="AM8" t="s">
        <v>6</v>
      </c>
      <c r="AN8">
        <v>3</v>
      </c>
      <c r="AO8">
        <v>467.6225</v>
      </c>
      <c r="AP8" t="str">
        <f t="shared" si="9"/>
        <v>C4</v>
      </c>
      <c r="AQ8" t="s">
        <v>14</v>
      </c>
      <c r="AR8" s="1">
        <f t="shared" si="2"/>
        <v>2500.8342499999999</v>
      </c>
      <c r="AS8" s="1"/>
      <c r="AU8" t="s">
        <v>68</v>
      </c>
      <c r="AV8" s="3">
        <f t="shared" si="3"/>
        <v>5.6781057839104875E-5</v>
      </c>
      <c r="AW8" s="3">
        <f t="shared" si="4"/>
        <v>0</v>
      </c>
      <c r="AX8" s="3">
        <f t="shared" si="5"/>
        <v>0</v>
      </c>
      <c r="AY8" s="3">
        <f t="shared" si="6"/>
        <v>0</v>
      </c>
      <c r="AZ8" s="3">
        <f t="shared" si="7"/>
        <v>0</v>
      </c>
      <c r="BA8" s="3">
        <f t="shared" si="8"/>
        <v>0</v>
      </c>
      <c r="BB8">
        <v>0</v>
      </c>
      <c r="BC8">
        <v>0</v>
      </c>
      <c r="BD8">
        <v>0</v>
      </c>
      <c r="BE8">
        <v>142</v>
      </c>
      <c r="BH8" t="s">
        <v>68</v>
      </c>
      <c r="BI8">
        <v>142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142</v>
      </c>
    </row>
    <row r="9" spans="3:70" x14ac:dyDescent="0.25">
      <c r="AM9" t="s">
        <v>7</v>
      </c>
      <c r="AN9">
        <v>3</v>
      </c>
      <c r="AO9">
        <v>32.716500000000003</v>
      </c>
      <c r="AP9" t="str">
        <f t="shared" si="9"/>
        <v>C5</v>
      </c>
      <c r="AT9" t="s">
        <v>28</v>
      </c>
      <c r="AU9" t="s">
        <v>69</v>
      </c>
      <c r="AV9" s="3">
        <f t="shared" si="3"/>
        <v>6.7085220370484408E-2</v>
      </c>
      <c r="AW9" s="3">
        <f t="shared" si="4"/>
        <v>9.7931746685462674E-4</v>
      </c>
      <c r="AX9" s="3">
        <f t="shared" si="5"/>
        <v>1.1222720347685835E-4</v>
      </c>
      <c r="AY9" s="3">
        <f t="shared" si="6"/>
        <v>0</v>
      </c>
      <c r="AZ9" s="3">
        <f t="shared" si="7"/>
        <v>0</v>
      </c>
      <c r="BA9" s="3">
        <f t="shared" si="8"/>
        <v>0</v>
      </c>
      <c r="BB9">
        <v>0</v>
      </c>
      <c r="BC9">
        <v>0</v>
      </c>
      <c r="BD9">
        <v>0</v>
      </c>
      <c r="BE9" s="2">
        <v>169625</v>
      </c>
      <c r="BH9" t="s">
        <v>69</v>
      </c>
      <c r="BI9" s="2">
        <v>167769</v>
      </c>
      <c r="BJ9" s="2">
        <v>1743</v>
      </c>
      <c r="BK9">
        <v>113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 s="2">
        <v>169625</v>
      </c>
    </row>
    <row r="10" spans="3:70" x14ac:dyDescent="0.25">
      <c r="C10" t="s">
        <v>19</v>
      </c>
      <c r="D10" s="3">
        <f>SUMIF($AT$43:$AT$48,$C10,AU$43:AU$48)</f>
        <v>8.9577641420701397E-5</v>
      </c>
      <c r="E10" s="3">
        <f t="shared" ref="E10:AK15" si="10">SUMIF($AT$43:$AT$48,$C10,AV$43:AV$48)</f>
        <v>6.3600125408697986E-3</v>
      </c>
      <c r="F10" s="3">
        <f t="shared" si="10"/>
        <v>6.7496752810498495E-2</v>
      </c>
      <c r="G10" s="3">
        <f t="shared" si="10"/>
        <v>0</v>
      </c>
      <c r="H10" s="3">
        <f t="shared" si="10"/>
        <v>0</v>
      </c>
      <c r="I10" s="3">
        <f t="shared" si="10"/>
        <v>0</v>
      </c>
      <c r="J10" s="3">
        <f t="shared" si="10"/>
        <v>0</v>
      </c>
      <c r="K10" s="3">
        <f t="shared" si="10"/>
        <v>0</v>
      </c>
      <c r="L10" s="3">
        <f t="shared" si="10"/>
        <v>0</v>
      </c>
      <c r="M10" s="3">
        <f t="shared" si="10"/>
        <v>0</v>
      </c>
      <c r="N10" s="3">
        <f t="shared" si="10"/>
        <v>6.5167734133560265E-2</v>
      </c>
      <c r="O10" s="3">
        <f t="shared" si="10"/>
        <v>0</v>
      </c>
      <c r="P10" s="3">
        <f t="shared" si="10"/>
        <v>8.8592287365073671E-2</v>
      </c>
      <c r="Q10" s="3">
        <f t="shared" si="10"/>
        <v>0.66600976396291489</v>
      </c>
      <c r="R10" s="3">
        <f t="shared" si="10"/>
        <v>0</v>
      </c>
      <c r="S10" s="3">
        <f t="shared" si="10"/>
        <v>2.1140323375285527E-2</v>
      </c>
      <c r="T10" s="3">
        <f t="shared" si="10"/>
        <v>3.1352174497245485E-4</v>
      </c>
      <c r="U10" s="3">
        <f t="shared" si="10"/>
        <v>2.2394410355175347E-4</v>
      </c>
      <c r="V10" s="3">
        <f t="shared" si="10"/>
        <v>8.7338200385183862E-3</v>
      </c>
      <c r="W10" s="3">
        <f t="shared" si="10"/>
        <v>0</v>
      </c>
      <c r="X10" s="3">
        <f t="shared" si="10"/>
        <v>0</v>
      </c>
      <c r="Y10" s="3">
        <f t="shared" si="10"/>
        <v>0</v>
      </c>
      <c r="Z10" s="3">
        <f t="shared" si="10"/>
        <v>0</v>
      </c>
      <c r="AA10" s="3">
        <f t="shared" si="10"/>
        <v>0</v>
      </c>
      <c r="AB10" s="3">
        <f t="shared" si="10"/>
        <v>0</v>
      </c>
      <c r="AC10" s="3">
        <f t="shared" si="10"/>
        <v>0</v>
      </c>
      <c r="AD10" s="3">
        <f t="shared" si="10"/>
        <v>2.7321180633313926E-3</v>
      </c>
      <c r="AE10" s="3">
        <f t="shared" si="10"/>
        <v>1.9169615264030097E-2</v>
      </c>
      <c r="AF10" s="3">
        <f t="shared" si="10"/>
        <v>4.5236708917454202E-3</v>
      </c>
      <c r="AG10" s="3">
        <f t="shared" si="10"/>
        <v>0</v>
      </c>
      <c r="AH10" s="3">
        <f t="shared" si="10"/>
        <v>0</v>
      </c>
      <c r="AI10" s="3">
        <f t="shared" si="10"/>
        <v>0</v>
      </c>
      <c r="AJ10" s="3">
        <f t="shared" si="10"/>
        <v>4.9491646884937519E-2</v>
      </c>
      <c r="AK10" s="3">
        <f t="shared" si="10"/>
        <v>0</v>
      </c>
      <c r="AM10" t="s">
        <v>8</v>
      </c>
      <c r="AN10">
        <v>3</v>
      </c>
      <c r="AO10">
        <v>22.327000000000002</v>
      </c>
      <c r="AP10" t="str">
        <f t="shared" si="9"/>
        <v>C6</v>
      </c>
      <c r="AT10" t="s">
        <v>29</v>
      </c>
      <c r="AU10" t="s">
        <v>70</v>
      </c>
      <c r="AV10" s="3">
        <f t="shared" si="3"/>
        <v>2.4311889553644905E-4</v>
      </c>
      <c r="AW10" s="3">
        <f t="shared" si="4"/>
        <v>3.3486701677874786E-4</v>
      </c>
      <c r="AX10" s="3">
        <f t="shared" si="5"/>
        <v>1.1322036456957391E-4</v>
      </c>
      <c r="AY10" s="3">
        <f t="shared" si="6"/>
        <v>0</v>
      </c>
      <c r="AZ10" s="3">
        <f t="shared" si="7"/>
        <v>0</v>
      </c>
      <c r="BA10" s="3">
        <f t="shared" si="8"/>
        <v>0</v>
      </c>
      <c r="BB10">
        <v>0</v>
      </c>
      <c r="BC10">
        <v>0</v>
      </c>
      <c r="BD10">
        <v>0</v>
      </c>
      <c r="BE10" s="2">
        <v>1318</v>
      </c>
      <c r="BH10" t="s">
        <v>70</v>
      </c>
      <c r="BI10">
        <v>608</v>
      </c>
      <c r="BJ10">
        <v>596</v>
      </c>
      <c r="BK10">
        <v>114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 s="2">
        <v>1318</v>
      </c>
    </row>
    <row r="11" spans="3:70" x14ac:dyDescent="0.25">
      <c r="C11" t="s">
        <v>18</v>
      </c>
      <c r="D11" s="3">
        <f t="shared" ref="D11:D15" si="11">SUMIF($AT$43:$AT$48,$C11,AU$43:AU$48)</f>
        <v>1.2009816719753537E-3</v>
      </c>
      <c r="E11" s="3">
        <f t="shared" si="10"/>
        <v>2.6473813377891495E-2</v>
      </c>
      <c r="F11" s="3">
        <f t="shared" si="10"/>
        <v>3.5193984648321235E-2</v>
      </c>
      <c r="G11" s="3">
        <f t="shared" si="10"/>
        <v>0</v>
      </c>
      <c r="H11" s="3">
        <f t="shared" si="10"/>
        <v>0</v>
      </c>
      <c r="I11" s="3">
        <f t="shared" si="10"/>
        <v>0</v>
      </c>
      <c r="J11" s="3">
        <f t="shared" si="10"/>
        <v>0</v>
      </c>
      <c r="K11" s="3">
        <f t="shared" si="10"/>
        <v>1.4359563469270534E-3</v>
      </c>
      <c r="L11" s="3">
        <f t="shared" si="10"/>
        <v>0</v>
      </c>
      <c r="M11" s="3">
        <f t="shared" si="10"/>
        <v>0</v>
      </c>
      <c r="N11" s="3">
        <f t="shared" si="10"/>
        <v>0.36436739595843559</v>
      </c>
      <c r="O11" s="3">
        <f t="shared" si="10"/>
        <v>0</v>
      </c>
      <c r="P11" s="3">
        <f t="shared" si="10"/>
        <v>5.0858962978434549E-2</v>
      </c>
      <c r="Q11" s="3">
        <f t="shared" si="10"/>
        <v>0.26071745600751917</v>
      </c>
      <c r="R11" s="3">
        <f t="shared" si="10"/>
        <v>0</v>
      </c>
      <c r="S11" s="3">
        <f t="shared" si="10"/>
        <v>0.13761683463004543</v>
      </c>
      <c r="T11" s="3">
        <f t="shared" si="10"/>
        <v>0</v>
      </c>
      <c r="U11" s="3">
        <f t="shared" si="10"/>
        <v>1.8275808051798861E-4</v>
      </c>
      <c r="V11" s="3">
        <f t="shared" si="10"/>
        <v>3.2426505143334554E-2</v>
      </c>
      <c r="W11" s="3">
        <f t="shared" si="10"/>
        <v>2.6108297216855516E-5</v>
      </c>
      <c r="X11" s="3">
        <f t="shared" si="10"/>
        <v>0</v>
      </c>
      <c r="Y11" s="3">
        <f t="shared" si="10"/>
        <v>0</v>
      </c>
      <c r="Z11" s="3">
        <f t="shared" si="10"/>
        <v>5.2216594433711031E-5</v>
      </c>
      <c r="AA11" s="3">
        <f t="shared" si="10"/>
        <v>8.0935721372252104E-4</v>
      </c>
      <c r="AB11" s="3">
        <f t="shared" si="10"/>
        <v>0</v>
      </c>
      <c r="AC11" s="3">
        <f t="shared" si="10"/>
        <v>0</v>
      </c>
      <c r="AD11" s="3">
        <f t="shared" si="10"/>
        <v>9.4250952952848414E-3</v>
      </c>
      <c r="AE11" s="3">
        <f t="shared" si="10"/>
        <v>7.4147564095869666E-3</v>
      </c>
      <c r="AF11" s="3">
        <f t="shared" si="10"/>
        <v>4.1982141924703668E-2</v>
      </c>
      <c r="AG11" s="3">
        <f t="shared" si="10"/>
        <v>1.566497833011331E-4</v>
      </c>
      <c r="AH11" s="3">
        <f t="shared" si="10"/>
        <v>0</v>
      </c>
      <c r="AI11" s="3">
        <f t="shared" si="10"/>
        <v>0</v>
      </c>
      <c r="AJ11" s="3">
        <f t="shared" si="10"/>
        <v>2.9659025638347866E-2</v>
      </c>
      <c r="AK11" s="3">
        <f t="shared" si="10"/>
        <v>7.832489165056655E-5</v>
      </c>
      <c r="AM11" t="s">
        <v>9</v>
      </c>
      <c r="AN11">
        <v>3</v>
      </c>
      <c r="AO11">
        <v>86.477999999999994</v>
      </c>
      <c r="AP11" t="str">
        <f>MID(AM11,13,2)</f>
        <v>C1</v>
      </c>
      <c r="AT11" t="s">
        <v>31</v>
      </c>
      <c r="AU11" t="s">
        <v>71</v>
      </c>
      <c r="AV11" s="3">
        <f t="shared" si="3"/>
        <v>0</v>
      </c>
      <c r="AW11" s="3">
        <f t="shared" si="4"/>
        <v>0</v>
      </c>
      <c r="AX11" s="3">
        <f t="shared" si="5"/>
        <v>3.3529118490077327E-3</v>
      </c>
      <c r="AY11" s="3">
        <f t="shared" si="6"/>
        <v>3.7195200158116398E-3</v>
      </c>
      <c r="AZ11" s="3">
        <f t="shared" si="7"/>
        <v>1.4359563469270534E-3</v>
      </c>
      <c r="BA11" s="3">
        <f t="shared" si="8"/>
        <v>0</v>
      </c>
      <c r="BB11">
        <v>0</v>
      </c>
      <c r="BC11">
        <v>0</v>
      </c>
      <c r="BD11">
        <v>0</v>
      </c>
      <c r="BE11" s="2">
        <v>5201</v>
      </c>
      <c r="BH11" t="s">
        <v>71</v>
      </c>
      <c r="BI11">
        <v>0</v>
      </c>
      <c r="BJ11">
        <v>0</v>
      </c>
      <c r="BK11" s="2">
        <v>3376</v>
      </c>
      <c r="BL11" s="2">
        <v>1769</v>
      </c>
      <c r="BM11">
        <v>55</v>
      </c>
      <c r="BN11">
        <v>0</v>
      </c>
      <c r="BO11">
        <v>0</v>
      </c>
      <c r="BP11">
        <v>0</v>
      </c>
      <c r="BQ11">
        <v>0</v>
      </c>
      <c r="BR11" s="2">
        <v>5201</v>
      </c>
    </row>
    <row r="12" spans="3:70" x14ac:dyDescent="0.25">
      <c r="C12" t="s">
        <v>15</v>
      </c>
      <c r="D12" s="3">
        <f t="shared" si="11"/>
        <v>4.8990851536693722E-4</v>
      </c>
      <c r="E12" s="3">
        <f t="shared" si="10"/>
        <v>3.6953399817913832E-2</v>
      </c>
      <c r="F12" s="3">
        <f t="shared" si="10"/>
        <v>1.4583714431695609E-2</v>
      </c>
      <c r="G12" s="3">
        <f t="shared" si="10"/>
        <v>0</v>
      </c>
      <c r="H12" s="3">
        <f t="shared" si="10"/>
        <v>0</v>
      </c>
      <c r="I12" s="3">
        <f t="shared" si="10"/>
        <v>0</v>
      </c>
      <c r="J12" s="3">
        <f t="shared" si="10"/>
        <v>0</v>
      </c>
      <c r="K12" s="3">
        <f t="shared" si="10"/>
        <v>3.7195200158116398E-3</v>
      </c>
      <c r="L12" s="3">
        <f t="shared" si="10"/>
        <v>0</v>
      </c>
      <c r="M12" s="3">
        <f t="shared" si="10"/>
        <v>1.0513058269676765E-5</v>
      </c>
      <c r="N12" s="3">
        <f t="shared" si="10"/>
        <v>0.22831839427753212</v>
      </c>
      <c r="O12" s="3">
        <f t="shared" si="10"/>
        <v>1.3246453419792724E-4</v>
      </c>
      <c r="P12" s="3">
        <f t="shared" si="10"/>
        <v>1.9205254847045515E-2</v>
      </c>
      <c r="Q12" s="3">
        <f t="shared" si="10"/>
        <v>8.1505638153150026E-2</v>
      </c>
      <c r="R12" s="3">
        <f t="shared" si="10"/>
        <v>0</v>
      </c>
      <c r="S12" s="3">
        <f t="shared" si="10"/>
        <v>0.47691647795727071</v>
      </c>
      <c r="T12" s="3">
        <f t="shared" si="10"/>
        <v>4.4154844732642415E-5</v>
      </c>
      <c r="U12" s="3">
        <f t="shared" si="10"/>
        <v>2.0563541975487753E-3</v>
      </c>
      <c r="V12" s="3">
        <f t="shared" si="10"/>
        <v>3.6638008069823529E-2</v>
      </c>
      <c r="W12" s="3">
        <f t="shared" si="10"/>
        <v>1.2405408758218582E-4</v>
      </c>
      <c r="X12" s="3">
        <f t="shared" si="10"/>
        <v>0</v>
      </c>
      <c r="Y12" s="3">
        <f t="shared" si="10"/>
        <v>0</v>
      </c>
      <c r="Z12" s="3">
        <f t="shared" si="10"/>
        <v>0</v>
      </c>
      <c r="AA12" s="3">
        <f t="shared" si="10"/>
        <v>1.6148057502223512E-3</v>
      </c>
      <c r="AB12" s="3">
        <f t="shared" si="10"/>
        <v>2.1026116539353533E-6</v>
      </c>
      <c r="AC12" s="3">
        <f t="shared" si="10"/>
        <v>0</v>
      </c>
      <c r="AD12" s="3">
        <f t="shared" si="10"/>
        <v>4.6860905931257212E-2</v>
      </c>
      <c r="AE12" s="3">
        <f t="shared" si="10"/>
        <v>2.548365324569648E-3</v>
      </c>
      <c r="AF12" s="3">
        <f t="shared" si="10"/>
        <v>2.9167428863391218E-2</v>
      </c>
      <c r="AG12" s="3">
        <f t="shared" si="10"/>
        <v>4.6404639202353246E-3</v>
      </c>
      <c r="AH12" s="3">
        <f t="shared" si="10"/>
        <v>0</v>
      </c>
      <c r="AI12" s="3">
        <f t="shared" si="10"/>
        <v>0</v>
      </c>
      <c r="AJ12" s="3">
        <f t="shared" si="10"/>
        <v>1.4398684606149298E-2</v>
      </c>
      <c r="AK12" s="3">
        <f t="shared" si="10"/>
        <v>6.9386184579866653E-5</v>
      </c>
      <c r="AM12" t="s">
        <v>10</v>
      </c>
      <c r="AN12">
        <v>3</v>
      </c>
      <c r="AO12">
        <v>35.868000000000002</v>
      </c>
      <c r="AP12" t="str">
        <f t="shared" ref="AP12:AP15" si="12">MID(AM12,13,2)</f>
        <v>C2</v>
      </c>
      <c r="AT12" t="s">
        <v>30</v>
      </c>
      <c r="AU12" t="s">
        <v>72</v>
      </c>
      <c r="AV12" s="3">
        <f t="shared" si="3"/>
        <v>7.8173921179894388E-4</v>
      </c>
      <c r="AW12" s="3">
        <f t="shared" si="4"/>
        <v>0</v>
      </c>
      <c r="AX12" s="3">
        <f t="shared" si="5"/>
        <v>0</v>
      </c>
      <c r="AY12" s="3">
        <f t="shared" si="6"/>
        <v>0</v>
      </c>
      <c r="AZ12" s="3">
        <f t="shared" si="7"/>
        <v>0</v>
      </c>
      <c r="BA12" s="3">
        <f t="shared" si="8"/>
        <v>0</v>
      </c>
      <c r="BB12">
        <v>0</v>
      </c>
      <c r="BC12">
        <v>0</v>
      </c>
      <c r="BD12">
        <v>0</v>
      </c>
      <c r="BE12" s="2">
        <v>1955</v>
      </c>
      <c r="BH12" t="s">
        <v>72</v>
      </c>
      <c r="BI12" s="2">
        <v>1955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 s="2">
        <v>1955</v>
      </c>
    </row>
    <row r="13" spans="3:70" x14ac:dyDescent="0.25">
      <c r="C13" t="s">
        <v>17</v>
      </c>
      <c r="D13" s="3">
        <f t="shared" si="11"/>
        <v>1.3506990860931623E-4</v>
      </c>
      <c r="E13" s="3">
        <f t="shared" si="10"/>
        <v>7.8926512038105606E-2</v>
      </c>
      <c r="F13" s="3">
        <f t="shared" si="10"/>
        <v>3.2178419403984166E-3</v>
      </c>
      <c r="G13" s="3">
        <f t="shared" si="10"/>
        <v>0</v>
      </c>
      <c r="H13" s="3">
        <f t="shared" si="10"/>
        <v>0</v>
      </c>
      <c r="I13" s="3">
        <f t="shared" si="10"/>
        <v>1.1222720347685835E-4</v>
      </c>
      <c r="J13" s="3">
        <f t="shared" si="10"/>
        <v>1.1322036456957391E-4</v>
      </c>
      <c r="K13" s="3">
        <f t="shared" si="10"/>
        <v>3.3529118490077327E-3</v>
      </c>
      <c r="L13" s="3">
        <f t="shared" si="10"/>
        <v>0</v>
      </c>
      <c r="M13" s="3">
        <f t="shared" si="10"/>
        <v>1.996253796358277E-4</v>
      </c>
      <c r="N13" s="3">
        <f t="shared" si="10"/>
        <v>0.33304465450905069</v>
      </c>
      <c r="O13" s="3">
        <f t="shared" si="10"/>
        <v>1.1917933112586728E-5</v>
      </c>
      <c r="P13" s="3">
        <f t="shared" si="10"/>
        <v>5.513037225664077E-3</v>
      </c>
      <c r="Q13" s="3">
        <f t="shared" si="10"/>
        <v>1.8675401187423401E-2</v>
      </c>
      <c r="R13" s="3">
        <f t="shared" si="10"/>
        <v>1.9863221854311214E-5</v>
      </c>
      <c r="S13" s="3">
        <f t="shared" si="10"/>
        <v>0.37274229654598434</v>
      </c>
      <c r="T13" s="3">
        <f t="shared" si="10"/>
        <v>1.9763905745039657E-4</v>
      </c>
      <c r="U13" s="3">
        <f t="shared" si="10"/>
        <v>3.0986626092725494E-3</v>
      </c>
      <c r="V13" s="3">
        <f t="shared" si="10"/>
        <v>6.4077760540915255E-2</v>
      </c>
      <c r="W13" s="3">
        <f t="shared" si="10"/>
        <v>5.0651215728493595E-5</v>
      </c>
      <c r="X13" s="3">
        <f t="shared" si="10"/>
        <v>0</v>
      </c>
      <c r="Y13" s="3">
        <f t="shared" si="10"/>
        <v>2.9794832781466821E-6</v>
      </c>
      <c r="Z13" s="3">
        <f t="shared" si="10"/>
        <v>7.9452887417244856E-6</v>
      </c>
      <c r="AA13" s="3">
        <f t="shared" si="10"/>
        <v>3.3469528824514394E-3</v>
      </c>
      <c r="AB13" s="3">
        <f t="shared" si="10"/>
        <v>3.1284574420540159E-4</v>
      </c>
      <c r="AC13" s="3">
        <f t="shared" si="10"/>
        <v>0</v>
      </c>
      <c r="AD13" s="3">
        <f t="shared" si="10"/>
        <v>8.1784829662940983E-2</v>
      </c>
      <c r="AE13" s="3">
        <f t="shared" si="10"/>
        <v>4.2407978658954437E-4</v>
      </c>
      <c r="AF13" s="3">
        <f t="shared" si="10"/>
        <v>1.7540218058449516E-2</v>
      </c>
      <c r="AG13" s="3">
        <f t="shared" si="10"/>
        <v>7.5162431496713627E-3</v>
      </c>
      <c r="AH13" s="3">
        <f t="shared" si="10"/>
        <v>0</v>
      </c>
      <c r="AI13" s="3">
        <f t="shared" si="10"/>
        <v>0</v>
      </c>
      <c r="AJ13" s="3">
        <f t="shared" si="10"/>
        <v>5.1465607824520351E-3</v>
      </c>
      <c r="AK13" s="3">
        <f t="shared" si="10"/>
        <v>4.2606610877497553E-4</v>
      </c>
      <c r="AM13" t="s">
        <v>11</v>
      </c>
      <c r="AN13">
        <v>3</v>
      </c>
      <c r="AO13">
        <v>30.939499999999999</v>
      </c>
      <c r="AP13" t="str">
        <f t="shared" si="12"/>
        <v>C3</v>
      </c>
      <c r="AT13" t="s">
        <v>32</v>
      </c>
      <c r="AU13" t="s">
        <v>73</v>
      </c>
      <c r="AV13" s="3">
        <f t="shared" si="3"/>
        <v>1.0528487696504446E-3</v>
      </c>
      <c r="AW13" s="3">
        <f t="shared" si="4"/>
        <v>1.3102514817584564E-3</v>
      </c>
      <c r="AX13" s="3">
        <f t="shared" si="5"/>
        <v>1.996253796358277E-4</v>
      </c>
      <c r="AY13" s="3">
        <f t="shared" si="6"/>
        <v>1.0513058269676765E-5</v>
      </c>
      <c r="AZ13" s="3">
        <f t="shared" si="7"/>
        <v>0</v>
      </c>
      <c r="BA13" s="3">
        <f t="shared" si="8"/>
        <v>0</v>
      </c>
      <c r="BB13">
        <v>0</v>
      </c>
      <c r="BC13">
        <v>0</v>
      </c>
      <c r="BD13">
        <v>0</v>
      </c>
      <c r="BE13" s="2">
        <v>5171</v>
      </c>
      <c r="BH13" t="s">
        <v>73</v>
      </c>
      <c r="BI13" s="2">
        <v>2633</v>
      </c>
      <c r="BJ13" s="2">
        <v>2332</v>
      </c>
      <c r="BK13">
        <v>201</v>
      </c>
      <c r="BL13">
        <v>5</v>
      </c>
      <c r="BM13">
        <v>0</v>
      </c>
      <c r="BN13">
        <v>0</v>
      </c>
      <c r="BO13">
        <v>0</v>
      </c>
      <c r="BP13">
        <v>0</v>
      </c>
      <c r="BQ13">
        <v>0</v>
      </c>
      <c r="BR13" s="2">
        <v>5171</v>
      </c>
    </row>
    <row r="14" spans="3:70" x14ac:dyDescent="0.25">
      <c r="C14" t="s">
        <v>16</v>
      </c>
      <c r="D14" s="3">
        <f t="shared" si="11"/>
        <v>7.1355891159229822E-5</v>
      </c>
      <c r="E14" s="3">
        <f t="shared" si="10"/>
        <v>5.3470846061744758E-2</v>
      </c>
      <c r="F14" s="3">
        <f t="shared" si="10"/>
        <v>1.5125201496113913E-3</v>
      </c>
      <c r="G14" s="3">
        <f t="shared" si="10"/>
        <v>3.7082589106371405E-4</v>
      </c>
      <c r="H14" s="3">
        <f t="shared" si="10"/>
        <v>4.841525308024279E-3</v>
      </c>
      <c r="I14" s="3">
        <f t="shared" si="10"/>
        <v>9.7931746685462674E-4</v>
      </c>
      <c r="J14" s="3">
        <f t="shared" si="10"/>
        <v>3.3486701677874786E-4</v>
      </c>
      <c r="K14" s="3">
        <f t="shared" si="10"/>
        <v>0</v>
      </c>
      <c r="L14" s="3">
        <f t="shared" si="10"/>
        <v>0</v>
      </c>
      <c r="M14" s="3">
        <f t="shared" si="10"/>
        <v>1.3102514817584564E-3</v>
      </c>
      <c r="N14" s="3">
        <f t="shared" si="10"/>
        <v>0.2075782203840745</v>
      </c>
      <c r="O14" s="3">
        <f t="shared" si="10"/>
        <v>1.3877878044354149E-4</v>
      </c>
      <c r="P14" s="3">
        <f t="shared" si="10"/>
        <v>3.1660665093091343E-3</v>
      </c>
      <c r="Q14" s="3">
        <f t="shared" si="10"/>
        <v>9.3054824360564135E-3</v>
      </c>
      <c r="R14" s="3">
        <f t="shared" si="10"/>
        <v>9.5515759819441505E-5</v>
      </c>
      <c r="S14" s="3">
        <f t="shared" si="10"/>
        <v>0.10873795026550571</v>
      </c>
      <c r="T14" s="3">
        <f t="shared" si="10"/>
        <v>3.657691743673907E-4</v>
      </c>
      <c r="U14" s="3">
        <f t="shared" si="10"/>
        <v>9.1657484980146767E-2</v>
      </c>
      <c r="V14" s="3">
        <f t="shared" si="10"/>
        <v>0.19612812821136627</v>
      </c>
      <c r="W14" s="3">
        <f t="shared" si="10"/>
        <v>2.9216585356535049E-5</v>
      </c>
      <c r="X14" s="3">
        <f t="shared" si="10"/>
        <v>0</v>
      </c>
      <c r="Y14" s="3">
        <f t="shared" si="10"/>
        <v>1.6855722321077912E-6</v>
      </c>
      <c r="Z14" s="3">
        <f t="shared" si="10"/>
        <v>1.7417579731780508E-5</v>
      </c>
      <c r="AA14" s="3">
        <f t="shared" si="10"/>
        <v>1.1501783054492865E-2</v>
      </c>
      <c r="AB14" s="3">
        <f t="shared" si="10"/>
        <v>1.1405705437262721E-4</v>
      </c>
      <c r="AC14" s="3">
        <f t="shared" si="10"/>
        <v>0</v>
      </c>
      <c r="AD14" s="3">
        <f t="shared" si="10"/>
        <v>0.20386378104191963</v>
      </c>
      <c r="AE14" s="3">
        <f t="shared" si="10"/>
        <v>1.9159337704958561E-4</v>
      </c>
      <c r="AF14" s="3">
        <f t="shared" si="10"/>
        <v>2.0876373952065697E-2</v>
      </c>
      <c r="AG14" s="3">
        <f t="shared" si="10"/>
        <v>4.201625902975091E-2</v>
      </c>
      <c r="AH14" s="3">
        <f t="shared" si="10"/>
        <v>0</v>
      </c>
      <c r="AI14" s="3">
        <f t="shared" si="10"/>
        <v>3.5744244754077822E-2</v>
      </c>
      <c r="AJ14" s="3">
        <f t="shared" si="10"/>
        <v>3.9639040325068226E-3</v>
      </c>
      <c r="AK14" s="3">
        <f t="shared" si="10"/>
        <v>1.6142163409485614E-3</v>
      </c>
      <c r="AM14" t="s">
        <v>12</v>
      </c>
      <c r="AN14">
        <v>3</v>
      </c>
      <c r="AO14">
        <v>7.5605000000000002</v>
      </c>
      <c r="AP14" t="str">
        <f t="shared" si="12"/>
        <v>C4</v>
      </c>
      <c r="AT14" t="s">
        <v>33</v>
      </c>
      <c r="AU14" t="s">
        <v>74</v>
      </c>
      <c r="AV14" s="3">
        <f t="shared" si="3"/>
        <v>2.7874301133141984E-2</v>
      </c>
      <c r="AW14" s="3">
        <f t="shared" si="4"/>
        <v>0.2075782203840745</v>
      </c>
      <c r="AX14" s="3">
        <f t="shared" si="5"/>
        <v>0.33304465450905069</v>
      </c>
      <c r="AY14" s="3">
        <f t="shared" si="6"/>
        <v>0.22831839427753212</v>
      </c>
      <c r="AZ14" s="3">
        <f t="shared" si="7"/>
        <v>0.36436739595843559</v>
      </c>
      <c r="BA14" s="3">
        <f t="shared" si="8"/>
        <v>6.5167734133560265E-2</v>
      </c>
      <c r="BB14">
        <v>0</v>
      </c>
      <c r="BC14">
        <v>0</v>
      </c>
      <c r="BD14">
        <v>0</v>
      </c>
      <c r="BE14" s="2">
        <v>898496</v>
      </c>
      <c r="BH14" t="s">
        <v>74</v>
      </c>
      <c r="BI14" s="2">
        <v>69709</v>
      </c>
      <c r="BJ14" s="2">
        <v>369450</v>
      </c>
      <c r="BK14" s="2">
        <v>335338</v>
      </c>
      <c r="BL14" s="2">
        <v>108588</v>
      </c>
      <c r="BM14" s="2">
        <v>13956</v>
      </c>
      <c r="BN14" s="2">
        <v>1455</v>
      </c>
      <c r="BO14">
        <v>0</v>
      </c>
      <c r="BP14">
        <v>0</v>
      </c>
      <c r="BQ14">
        <v>0</v>
      </c>
      <c r="BR14" s="2">
        <v>898496</v>
      </c>
    </row>
    <row r="15" spans="3:70" x14ac:dyDescent="0.25">
      <c r="C15" t="s">
        <v>14</v>
      </c>
      <c r="D15" s="3">
        <f t="shared" si="11"/>
        <v>4.3985326495081237E-6</v>
      </c>
      <c r="E15" s="3">
        <f t="shared" si="10"/>
        <v>1.8834516805193786E-2</v>
      </c>
      <c r="F15" s="3">
        <f t="shared" si="10"/>
        <v>2.3796061633838952E-3</v>
      </c>
      <c r="G15" s="3">
        <f t="shared" si="10"/>
        <v>6.1683422410283928E-3</v>
      </c>
      <c r="H15" s="3">
        <f t="shared" si="10"/>
        <v>4.4288025514688301E-2</v>
      </c>
      <c r="I15" s="3">
        <f t="shared" si="10"/>
        <v>6.7085220370484408E-2</v>
      </c>
      <c r="J15" s="3">
        <f t="shared" si="10"/>
        <v>2.4311889553644905E-4</v>
      </c>
      <c r="K15" s="3">
        <f t="shared" si="10"/>
        <v>0</v>
      </c>
      <c r="L15" s="3">
        <f t="shared" si="10"/>
        <v>7.8173921179894388E-4</v>
      </c>
      <c r="M15" s="3">
        <f t="shared" si="10"/>
        <v>1.0528487696504446E-3</v>
      </c>
      <c r="N15" s="3">
        <f t="shared" si="10"/>
        <v>2.7874301133141984E-2</v>
      </c>
      <c r="O15" s="3">
        <f t="shared" si="10"/>
        <v>2.7833914606087411E-2</v>
      </c>
      <c r="P15" s="3">
        <f t="shared" si="10"/>
        <v>7.9905343577382579E-3</v>
      </c>
      <c r="Q15" s="3">
        <f t="shared" si="10"/>
        <v>1.400132915659336E-2</v>
      </c>
      <c r="R15" s="3">
        <f t="shared" si="10"/>
        <v>3.2250841119402567E-2</v>
      </c>
      <c r="S15" s="3">
        <f t="shared" si="10"/>
        <v>1.1942416010019058E-2</v>
      </c>
      <c r="T15" s="3">
        <f t="shared" si="10"/>
        <v>7.8025970536229113E-3</v>
      </c>
      <c r="U15" s="3">
        <f t="shared" si="10"/>
        <v>0.16941588286147741</v>
      </c>
      <c r="V15" s="3">
        <f t="shared" si="10"/>
        <v>9.987388207294047E-2</v>
      </c>
      <c r="W15" s="3">
        <f t="shared" si="10"/>
        <v>5.3981991607599704E-4</v>
      </c>
      <c r="X15" s="3">
        <f t="shared" si="10"/>
        <v>9.92468912370833E-4</v>
      </c>
      <c r="Y15" s="3">
        <f t="shared" si="10"/>
        <v>4.2385860077078285E-5</v>
      </c>
      <c r="Z15" s="3">
        <f t="shared" si="10"/>
        <v>4.094634030087563E-4</v>
      </c>
      <c r="AA15" s="3">
        <f t="shared" si="10"/>
        <v>5.0815048099953852E-2</v>
      </c>
      <c r="AB15" s="3">
        <f t="shared" si="10"/>
        <v>4.4385193099581981E-5</v>
      </c>
      <c r="AC15" s="3">
        <f t="shared" si="10"/>
        <v>1.289129946249931E-2</v>
      </c>
      <c r="AD15" s="3">
        <f t="shared" si="10"/>
        <v>0.17760874972109306</v>
      </c>
      <c r="AE15" s="3">
        <f t="shared" si="10"/>
        <v>7.1576122205632204E-5</v>
      </c>
      <c r="AF15" s="3">
        <f t="shared" si="10"/>
        <v>6.1183589154658003E-3</v>
      </c>
      <c r="AG15" s="3">
        <f t="shared" si="10"/>
        <v>4.0282161870799901E-2</v>
      </c>
      <c r="AH15" s="3">
        <f t="shared" si="10"/>
        <v>3.6347874349117133E-4</v>
      </c>
      <c r="AI15" s="3">
        <f t="shared" si="10"/>
        <v>0.13566274290896557</v>
      </c>
      <c r="AJ15" s="3">
        <f t="shared" si="10"/>
        <v>9.3836696078188325E-3</v>
      </c>
      <c r="AK15" s="3">
        <f t="shared" si="10"/>
        <v>2.4894095329797979E-2</v>
      </c>
      <c r="AM15" t="s">
        <v>13</v>
      </c>
      <c r="AN15">
        <v>3</v>
      </c>
      <c r="AO15">
        <v>5.585</v>
      </c>
      <c r="AP15" t="str">
        <f t="shared" si="12"/>
        <v>C5</v>
      </c>
      <c r="AT15" t="s">
        <v>35</v>
      </c>
      <c r="AU15" t="s">
        <v>75</v>
      </c>
      <c r="AV15" s="3">
        <f t="shared" si="3"/>
        <v>2.7833914606087411E-2</v>
      </c>
      <c r="AW15" s="3">
        <f t="shared" si="4"/>
        <v>1.3877878044354149E-4</v>
      </c>
      <c r="AX15" s="3">
        <f t="shared" si="5"/>
        <v>1.1917933112586728E-5</v>
      </c>
      <c r="AY15" s="3">
        <f t="shared" si="6"/>
        <v>1.3246453419792724E-4</v>
      </c>
      <c r="AZ15" s="3">
        <f t="shared" si="7"/>
        <v>0</v>
      </c>
      <c r="BA15" s="3">
        <f t="shared" si="8"/>
        <v>0</v>
      </c>
      <c r="BB15">
        <v>0</v>
      </c>
      <c r="BC15">
        <v>0</v>
      </c>
      <c r="BD15">
        <v>0</v>
      </c>
      <c r="BE15" s="2">
        <v>69930</v>
      </c>
      <c r="BH15" t="s">
        <v>75</v>
      </c>
      <c r="BI15" s="2">
        <v>69608</v>
      </c>
      <c r="BJ15">
        <v>247</v>
      </c>
      <c r="BK15">
        <v>12</v>
      </c>
      <c r="BL15">
        <v>63</v>
      </c>
      <c r="BM15">
        <v>0</v>
      </c>
      <c r="BN15">
        <v>0</v>
      </c>
      <c r="BO15">
        <v>0</v>
      </c>
      <c r="BP15">
        <v>0</v>
      </c>
      <c r="BQ15">
        <v>0</v>
      </c>
      <c r="BR15" s="2">
        <v>69930</v>
      </c>
    </row>
    <row r="16" spans="3:70" x14ac:dyDescent="0.25">
      <c r="AT16" t="s">
        <v>34</v>
      </c>
      <c r="AU16" t="s">
        <v>76</v>
      </c>
      <c r="AV16" s="3">
        <f t="shared" si="3"/>
        <v>7.9905343577382579E-3</v>
      </c>
      <c r="AW16" s="3">
        <f t="shared" si="4"/>
        <v>3.1660665093091343E-3</v>
      </c>
      <c r="AX16" s="3">
        <f t="shared" si="5"/>
        <v>5.513037225664077E-3</v>
      </c>
      <c r="AY16" s="3">
        <f t="shared" si="6"/>
        <v>1.9205254847045515E-2</v>
      </c>
      <c r="AZ16" s="3">
        <f t="shared" si="7"/>
        <v>5.0858962978434549E-2</v>
      </c>
      <c r="BA16" s="3">
        <f t="shared" si="8"/>
        <v>8.8592287365073671E-2</v>
      </c>
      <c r="BB16">
        <v>0</v>
      </c>
      <c r="BC16">
        <v>0</v>
      </c>
      <c r="BD16">
        <v>0</v>
      </c>
      <c r="BE16" s="2">
        <v>44229</v>
      </c>
      <c r="BH16" t="s">
        <v>76</v>
      </c>
      <c r="BI16" s="2">
        <v>19983</v>
      </c>
      <c r="BJ16" s="2">
        <v>5635</v>
      </c>
      <c r="BK16" s="2">
        <v>5551</v>
      </c>
      <c r="BL16" s="2">
        <v>9134</v>
      </c>
      <c r="BM16" s="2">
        <v>1948</v>
      </c>
      <c r="BN16" s="2">
        <v>1978</v>
      </c>
      <c r="BO16">
        <v>0</v>
      </c>
      <c r="BP16">
        <v>0</v>
      </c>
      <c r="BQ16">
        <v>0</v>
      </c>
      <c r="BR16" s="2">
        <v>44229</v>
      </c>
    </row>
    <row r="17" spans="1:70" x14ac:dyDescent="0.25">
      <c r="B17" t="s">
        <v>57</v>
      </c>
      <c r="AT17" t="s">
        <v>37</v>
      </c>
      <c r="AU17" t="s">
        <v>77</v>
      </c>
      <c r="AV17" s="3">
        <f t="shared" si="3"/>
        <v>1.400132915659336E-2</v>
      </c>
      <c r="AW17" s="3">
        <f t="shared" si="4"/>
        <v>9.3054824360564135E-3</v>
      </c>
      <c r="AX17" s="3">
        <f t="shared" si="5"/>
        <v>1.8675401187423401E-2</v>
      </c>
      <c r="AY17" s="3">
        <f t="shared" si="6"/>
        <v>8.1505638153150026E-2</v>
      </c>
      <c r="AZ17" s="3">
        <f t="shared" si="7"/>
        <v>0.26071745600751917</v>
      </c>
      <c r="BA17" s="3">
        <f t="shared" si="8"/>
        <v>0.66600976396291489</v>
      </c>
      <c r="BB17">
        <v>0</v>
      </c>
      <c r="BC17">
        <v>0</v>
      </c>
      <c r="BD17">
        <v>0</v>
      </c>
      <c r="BE17" s="2">
        <v>134000</v>
      </c>
      <c r="BH17" t="s">
        <v>77</v>
      </c>
      <c r="BI17" s="2">
        <v>35015</v>
      </c>
      <c r="BJ17" s="2">
        <v>16562</v>
      </c>
      <c r="BK17" s="2">
        <v>18804</v>
      </c>
      <c r="BL17" s="2">
        <v>38764</v>
      </c>
      <c r="BM17" s="2">
        <v>9986</v>
      </c>
      <c r="BN17" s="2">
        <v>14870</v>
      </c>
      <c r="BO17">
        <v>0</v>
      </c>
      <c r="BP17">
        <v>0</v>
      </c>
      <c r="BQ17">
        <v>0</v>
      </c>
      <c r="BR17" s="2">
        <v>134000</v>
      </c>
    </row>
    <row r="18" spans="1:70" x14ac:dyDescent="0.25">
      <c r="A18" t="s">
        <v>138</v>
      </c>
      <c r="B18" t="s">
        <v>21</v>
      </c>
      <c r="C18" t="s">
        <v>20</v>
      </c>
      <c r="D18" t="str">
        <f>AU41</f>
        <v>IND-AN</v>
      </c>
      <c r="E18" t="str">
        <f t="shared" ref="E18:AK18" si="13">AV41</f>
        <v>IND-AP</v>
      </c>
      <c r="F18" t="str">
        <f t="shared" si="13"/>
        <v>IND-AR</v>
      </c>
      <c r="G18" t="str">
        <f t="shared" si="13"/>
        <v>IND-AS</v>
      </c>
      <c r="H18" t="str">
        <f t="shared" si="13"/>
        <v>IND-BR</v>
      </c>
      <c r="I18" t="str">
        <f t="shared" si="13"/>
        <v>IND-CT</v>
      </c>
      <c r="J18" t="str">
        <f t="shared" si="13"/>
        <v>IND-DD</v>
      </c>
      <c r="K18" t="str">
        <f t="shared" si="13"/>
        <v>IND-DN</v>
      </c>
      <c r="L18" t="str">
        <f t="shared" si="13"/>
        <v>IND-DL</v>
      </c>
      <c r="M18" t="str">
        <f t="shared" si="13"/>
        <v>IND-GA</v>
      </c>
      <c r="N18" t="str">
        <f t="shared" si="13"/>
        <v>IND-GJ</v>
      </c>
      <c r="O18" t="str">
        <f t="shared" si="13"/>
        <v>IND-HR</v>
      </c>
      <c r="P18" t="str">
        <f t="shared" si="13"/>
        <v>IND-HP</v>
      </c>
      <c r="Q18" t="str">
        <f t="shared" si="13"/>
        <v>IND-JK</v>
      </c>
      <c r="R18" t="str">
        <f t="shared" si="13"/>
        <v>IND-JH</v>
      </c>
      <c r="S18" t="str">
        <f t="shared" si="13"/>
        <v>IND-KA</v>
      </c>
      <c r="T18" t="str">
        <f t="shared" si="13"/>
        <v>IND-KL</v>
      </c>
      <c r="U18" t="str">
        <f t="shared" si="13"/>
        <v>IND-MP</v>
      </c>
      <c r="V18" t="str">
        <f t="shared" si="13"/>
        <v>IND-MH</v>
      </c>
      <c r="W18" t="str">
        <f t="shared" si="13"/>
        <v>IND-MN</v>
      </c>
      <c r="X18" t="str">
        <f t="shared" si="13"/>
        <v>IND-ML</v>
      </c>
      <c r="Y18" t="str">
        <f t="shared" si="13"/>
        <v>IND-MZ</v>
      </c>
      <c r="Z18" t="str">
        <f t="shared" si="13"/>
        <v>IND-NL</v>
      </c>
      <c r="AA18" t="str">
        <f t="shared" si="13"/>
        <v>IND-OR</v>
      </c>
      <c r="AB18" t="str">
        <f t="shared" si="13"/>
        <v>IND-PY</v>
      </c>
      <c r="AC18" t="str">
        <f t="shared" si="13"/>
        <v>IND-PB</v>
      </c>
      <c r="AD18" t="str">
        <f t="shared" si="13"/>
        <v>IND-RJ</v>
      </c>
      <c r="AE18" t="str">
        <f t="shared" si="13"/>
        <v>IND-SK</v>
      </c>
      <c r="AF18" t="str">
        <f t="shared" si="13"/>
        <v>IND-TN</v>
      </c>
      <c r="AG18" t="str">
        <f t="shared" si="13"/>
        <v>IND-TG</v>
      </c>
      <c r="AH18" t="str">
        <f t="shared" si="13"/>
        <v>IND-TR</v>
      </c>
      <c r="AI18" t="str">
        <f t="shared" si="13"/>
        <v>IND-UP</v>
      </c>
      <c r="AJ18" t="str">
        <f t="shared" si="13"/>
        <v>IND-UT</v>
      </c>
      <c r="AK18" t="str">
        <f t="shared" si="13"/>
        <v>IND-WB</v>
      </c>
      <c r="AT18" t="s">
        <v>36</v>
      </c>
      <c r="AU18" t="s">
        <v>78</v>
      </c>
      <c r="AV18" s="3">
        <f t="shared" si="3"/>
        <v>3.2250841119402567E-2</v>
      </c>
      <c r="AW18" s="3">
        <f t="shared" si="4"/>
        <v>9.5515759819441505E-5</v>
      </c>
      <c r="AX18" s="3">
        <f t="shared" si="5"/>
        <v>1.9863221854311214E-5</v>
      </c>
      <c r="AY18" s="3">
        <f t="shared" si="6"/>
        <v>0</v>
      </c>
      <c r="AZ18" s="3">
        <f t="shared" si="7"/>
        <v>0</v>
      </c>
      <c r="BA18" s="3">
        <f t="shared" si="8"/>
        <v>0</v>
      </c>
      <c r="BB18">
        <v>0</v>
      </c>
      <c r="BC18">
        <v>0</v>
      </c>
      <c r="BD18">
        <v>0</v>
      </c>
      <c r="BE18" s="2">
        <v>80844</v>
      </c>
      <c r="BH18" t="s">
        <v>78</v>
      </c>
      <c r="BI18" s="2">
        <v>80654</v>
      </c>
      <c r="BJ18">
        <v>170</v>
      </c>
      <c r="BK18">
        <v>20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 s="2">
        <v>80844</v>
      </c>
    </row>
    <row r="19" spans="1:70" x14ac:dyDescent="0.25">
      <c r="B19" t="s">
        <v>22</v>
      </c>
      <c r="C19" t="str">
        <f>"E_WON-BySt_"&amp;C10&amp;"_IND"</f>
        <v>E_WON-BySt_C6_IND</v>
      </c>
      <c r="D19" s="6">
        <f>D10*$AR3</f>
        <v>2E-3</v>
      </c>
      <c r="E19" s="6">
        <f t="shared" ref="E19:AK19" si="14">E10*$AR3</f>
        <v>0.14200000000000002</v>
      </c>
      <c r="F19" s="6">
        <f t="shared" si="14"/>
        <v>1.5070000000000001</v>
      </c>
      <c r="G19" s="6">
        <f t="shared" si="14"/>
        <v>0</v>
      </c>
      <c r="H19" s="6">
        <f t="shared" si="14"/>
        <v>0</v>
      </c>
      <c r="I19" s="6">
        <f t="shared" si="14"/>
        <v>0</v>
      </c>
      <c r="J19" s="6">
        <f t="shared" si="14"/>
        <v>0</v>
      </c>
      <c r="K19" s="6">
        <f t="shared" si="14"/>
        <v>0</v>
      </c>
      <c r="L19" s="6">
        <f t="shared" si="14"/>
        <v>0</v>
      </c>
      <c r="M19" s="6">
        <f t="shared" si="14"/>
        <v>0</v>
      </c>
      <c r="N19" s="6">
        <f t="shared" si="14"/>
        <v>1.4550000000000001</v>
      </c>
      <c r="O19" s="6">
        <f t="shared" si="14"/>
        <v>0</v>
      </c>
      <c r="P19" s="6">
        <f t="shared" si="14"/>
        <v>1.978</v>
      </c>
      <c r="Q19" s="6">
        <f t="shared" si="14"/>
        <v>14.870000000000003</v>
      </c>
      <c r="R19" s="6">
        <f t="shared" si="14"/>
        <v>0</v>
      </c>
      <c r="S19" s="6">
        <f t="shared" si="14"/>
        <v>0.47200000000000003</v>
      </c>
      <c r="T19" s="6">
        <f t="shared" si="14"/>
        <v>7.0000000000000001E-3</v>
      </c>
      <c r="U19" s="6">
        <f t="shared" si="14"/>
        <v>5.0000000000000001E-3</v>
      </c>
      <c r="V19" s="6">
        <f t="shared" si="14"/>
        <v>0.19500000000000003</v>
      </c>
      <c r="W19" s="6">
        <f t="shared" si="14"/>
        <v>0</v>
      </c>
      <c r="X19" s="6">
        <f t="shared" si="14"/>
        <v>0</v>
      </c>
      <c r="Y19" s="6">
        <f t="shared" si="14"/>
        <v>0</v>
      </c>
      <c r="Z19" s="6">
        <f t="shared" si="14"/>
        <v>0</v>
      </c>
      <c r="AA19" s="6">
        <f t="shared" si="14"/>
        <v>0</v>
      </c>
      <c r="AB19" s="6">
        <f t="shared" si="14"/>
        <v>0</v>
      </c>
      <c r="AC19" s="6">
        <f t="shared" si="14"/>
        <v>0</v>
      </c>
      <c r="AD19" s="6">
        <f t="shared" si="14"/>
        <v>6.1000000000000006E-2</v>
      </c>
      <c r="AE19" s="6">
        <f t="shared" si="14"/>
        <v>0.42799999999999999</v>
      </c>
      <c r="AF19" s="6">
        <f t="shared" si="14"/>
        <v>0.10100000000000001</v>
      </c>
      <c r="AG19" s="6">
        <f t="shared" si="14"/>
        <v>0</v>
      </c>
      <c r="AH19" s="6">
        <f t="shared" si="14"/>
        <v>0</v>
      </c>
      <c r="AI19" s="6">
        <f t="shared" si="14"/>
        <v>0</v>
      </c>
      <c r="AJ19" s="6">
        <f t="shared" si="14"/>
        <v>1.105</v>
      </c>
      <c r="AK19" s="6">
        <f t="shared" si="14"/>
        <v>0</v>
      </c>
      <c r="AT19" t="s">
        <v>38</v>
      </c>
      <c r="AU19" t="s">
        <v>79</v>
      </c>
      <c r="AV19" s="3">
        <f t="shared" si="3"/>
        <v>1.1942416010019058E-2</v>
      </c>
      <c r="AW19" s="3">
        <f t="shared" si="4"/>
        <v>0.10873795026550571</v>
      </c>
      <c r="AX19" s="3">
        <f t="shared" si="5"/>
        <v>0.37274229654598434</v>
      </c>
      <c r="AY19" s="3">
        <f t="shared" si="6"/>
        <v>0.47691647795727071</v>
      </c>
      <c r="AZ19" s="3">
        <f t="shared" si="7"/>
        <v>0.13761683463004543</v>
      </c>
      <c r="BA19" s="3">
        <f t="shared" si="8"/>
        <v>2.1140323375285527E-2</v>
      </c>
      <c r="BB19">
        <v>0</v>
      </c>
      <c r="BC19">
        <v>0</v>
      </c>
      <c r="BD19">
        <v>0</v>
      </c>
      <c r="BE19" s="2">
        <v>831272</v>
      </c>
      <c r="BH19" t="s">
        <v>79</v>
      </c>
      <c r="BI19" s="2">
        <v>29866</v>
      </c>
      <c r="BJ19" s="2">
        <v>193533</v>
      </c>
      <c r="BK19" s="2">
        <v>375309</v>
      </c>
      <c r="BL19" s="2">
        <v>226821</v>
      </c>
      <c r="BM19" s="2">
        <v>5271</v>
      </c>
      <c r="BN19">
        <v>472</v>
      </c>
      <c r="BO19">
        <v>0</v>
      </c>
      <c r="BP19">
        <v>0</v>
      </c>
      <c r="BQ19">
        <v>0</v>
      </c>
      <c r="BR19" s="2">
        <v>831272</v>
      </c>
    </row>
    <row r="20" spans="1:70" x14ac:dyDescent="0.25">
      <c r="B20" t="s">
        <v>22</v>
      </c>
      <c r="C20" t="str">
        <f t="shared" ref="C20:C24" si="15">"E_WON-BySt_"&amp;C11&amp;"_IND"</f>
        <v>E_WON-BySt_C5_IND</v>
      </c>
      <c r="D20" s="6">
        <f t="shared" ref="D20:AK20" si="16">D11*$AR4</f>
        <v>4.5999399509164013E-2</v>
      </c>
      <c r="E20" s="6">
        <f t="shared" si="16"/>
        <v>1.0139867630933113</v>
      </c>
      <c r="F20" s="6">
        <f t="shared" si="16"/>
        <v>1.3479824030076759</v>
      </c>
      <c r="G20" s="6">
        <f t="shared" si="16"/>
        <v>0</v>
      </c>
      <c r="H20" s="6">
        <f t="shared" si="16"/>
        <v>0</v>
      </c>
      <c r="I20" s="6">
        <f t="shared" si="16"/>
        <v>0</v>
      </c>
      <c r="J20" s="6">
        <f t="shared" si="16"/>
        <v>0</v>
      </c>
      <c r="K20" s="6">
        <f t="shared" si="16"/>
        <v>5.4999282021826544E-2</v>
      </c>
      <c r="L20" s="6">
        <f t="shared" si="16"/>
        <v>0</v>
      </c>
      <c r="M20" s="6">
        <f t="shared" si="16"/>
        <v>0</v>
      </c>
      <c r="N20" s="6">
        <f t="shared" si="16"/>
        <v>13.955817816302023</v>
      </c>
      <c r="O20" s="6">
        <f t="shared" si="16"/>
        <v>0</v>
      </c>
      <c r="P20" s="6">
        <f t="shared" si="16"/>
        <v>1.9479745705185112</v>
      </c>
      <c r="Q20" s="6">
        <f t="shared" si="16"/>
        <v>9.9858696412719965</v>
      </c>
      <c r="R20" s="6">
        <f t="shared" si="16"/>
        <v>0</v>
      </c>
      <c r="S20" s="6">
        <f t="shared" si="16"/>
        <v>5.2709311915826857</v>
      </c>
      <c r="T20" s="6">
        <f t="shared" si="16"/>
        <v>0</v>
      </c>
      <c r="U20" s="6">
        <f t="shared" si="16"/>
        <v>6.999908620959742E-3</v>
      </c>
      <c r="V20" s="6">
        <f t="shared" si="16"/>
        <v>1.2419837867474286</v>
      </c>
      <c r="W20" s="6">
        <f t="shared" si="16"/>
        <v>9.9998694585139158E-4</v>
      </c>
      <c r="X20" s="6">
        <f t="shared" si="16"/>
        <v>0</v>
      </c>
      <c r="Y20" s="6">
        <f t="shared" si="16"/>
        <v>0</v>
      </c>
      <c r="Z20" s="6">
        <f t="shared" si="16"/>
        <v>1.9999738917027832E-3</v>
      </c>
      <c r="AA20" s="6">
        <f t="shared" si="16"/>
        <v>3.0999595321393143E-2</v>
      </c>
      <c r="AB20" s="6">
        <f t="shared" si="16"/>
        <v>0</v>
      </c>
      <c r="AC20" s="6">
        <f t="shared" si="16"/>
        <v>0</v>
      </c>
      <c r="AD20" s="6">
        <f t="shared" si="16"/>
        <v>0.36099528745235238</v>
      </c>
      <c r="AE20" s="6">
        <f t="shared" si="16"/>
        <v>0.28399629262179521</v>
      </c>
      <c r="AF20" s="6">
        <f t="shared" si="16"/>
        <v>1.6079790089290378</v>
      </c>
      <c r="AG20" s="6">
        <f t="shared" si="16"/>
        <v>5.9999216751083504E-3</v>
      </c>
      <c r="AH20" s="6">
        <f t="shared" si="16"/>
        <v>0</v>
      </c>
      <c r="AI20" s="6">
        <f t="shared" si="16"/>
        <v>0</v>
      </c>
      <c r="AJ20" s="6">
        <f t="shared" si="16"/>
        <v>1.1359851704871808</v>
      </c>
      <c r="AK20" s="6">
        <f t="shared" si="16"/>
        <v>2.9999608375541752E-3</v>
      </c>
      <c r="AT20" t="s">
        <v>39</v>
      </c>
      <c r="AU20" t="s">
        <v>80</v>
      </c>
      <c r="AV20" s="3">
        <f t="shared" si="3"/>
        <v>7.8025970536229113E-3</v>
      </c>
      <c r="AW20" s="3">
        <f t="shared" si="4"/>
        <v>3.657691743673907E-4</v>
      </c>
      <c r="AX20" s="3">
        <f t="shared" si="5"/>
        <v>1.9763905745039657E-4</v>
      </c>
      <c r="AY20" s="3">
        <f t="shared" si="6"/>
        <v>4.4154844732642415E-5</v>
      </c>
      <c r="AZ20" s="3">
        <f t="shared" si="7"/>
        <v>0</v>
      </c>
      <c r="BA20" s="3">
        <f t="shared" si="8"/>
        <v>3.1352174497245485E-4</v>
      </c>
      <c r="BB20">
        <v>0</v>
      </c>
      <c r="BC20">
        <v>0</v>
      </c>
      <c r="BD20">
        <v>0</v>
      </c>
      <c r="BE20" s="2">
        <v>20392</v>
      </c>
      <c r="BH20" t="s">
        <v>80</v>
      </c>
      <c r="BI20" s="2">
        <v>19513</v>
      </c>
      <c r="BJ20">
        <v>651</v>
      </c>
      <c r="BK20">
        <v>199</v>
      </c>
      <c r="BL20">
        <v>21</v>
      </c>
      <c r="BM20">
        <v>0</v>
      </c>
      <c r="BN20">
        <v>7</v>
      </c>
      <c r="BO20">
        <v>0</v>
      </c>
      <c r="BP20">
        <v>0</v>
      </c>
      <c r="BQ20">
        <v>0</v>
      </c>
      <c r="BR20" s="2">
        <v>20392</v>
      </c>
    </row>
    <row r="21" spans="1:70" x14ac:dyDescent="0.25">
      <c r="B21" t="s">
        <v>22</v>
      </c>
      <c r="C21" t="str">
        <f t="shared" si="15"/>
        <v>E_WON-BySt_C4_IND</v>
      </c>
      <c r="D21" s="6">
        <f t="shared" ref="D21:AK21" si="17">D12*$AR5</f>
        <v>0.23299999999999996</v>
      </c>
      <c r="E21" s="6">
        <f t="shared" si="17"/>
        <v>17.574999999999999</v>
      </c>
      <c r="F21" s="6">
        <f t="shared" si="17"/>
        <v>6.9359999999999999</v>
      </c>
      <c r="G21" s="6">
        <f t="shared" si="17"/>
        <v>0</v>
      </c>
      <c r="H21" s="6">
        <f t="shared" si="17"/>
        <v>0</v>
      </c>
      <c r="I21" s="6">
        <f t="shared" si="17"/>
        <v>0</v>
      </c>
      <c r="J21" s="6">
        <f t="shared" si="17"/>
        <v>0</v>
      </c>
      <c r="K21" s="6">
        <f t="shared" si="17"/>
        <v>1.7690000000000001</v>
      </c>
      <c r="L21" s="6">
        <f t="shared" si="17"/>
        <v>0</v>
      </c>
      <c r="M21" s="6">
        <f t="shared" si="17"/>
        <v>5.0000000000000001E-3</v>
      </c>
      <c r="N21" s="6">
        <f t="shared" si="17"/>
        <v>108.58799999999999</v>
      </c>
      <c r="O21" s="6">
        <f t="shared" si="17"/>
        <v>6.3E-2</v>
      </c>
      <c r="P21" s="6">
        <f t="shared" si="17"/>
        <v>9.1340000000000003</v>
      </c>
      <c r="Q21" s="6">
        <f t="shared" si="17"/>
        <v>38.763999999999996</v>
      </c>
      <c r="R21" s="6">
        <f t="shared" si="17"/>
        <v>0</v>
      </c>
      <c r="S21" s="6">
        <f t="shared" si="17"/>
        <v>226.821</v>
      </c>
      <c r="T21" s="6">
        <f t="shared" si="17"/>
        <v>2.0999999999999998E-2</v>
      </c>
      <c r="U21" s="6">
        <f t="shared" si="17"/>
        <v>0.97799999999999998</v>
      </c>
      <c r="V21" s="6">
        <f t="shared" si="17"/>
        <v>17.425000000000001</v>
      </c>
      <c r="W21" s="6">
        <f t="shared" si="17"/>
        <v>5.8999999999999997E-2</v>
      </c>
      <c r="X21" s="6">
        <f t="shared" si="17"/>
        <v>0</v>
      </c>
      <c r="Y21" s="6">
        <f t="shared" si="17"/>
        <v>0</v>
      </c>
      <c r="Z21" s="6">
        <f t="shared" si="17"/>
        <v>0</v>
      </c>
      <c r="AA21" s="6">
        <f t="shared" si="17"/>
        <v>0.76800000000000002</v>
      </c>
      <c r="AB21" s="6">
        <f t="shared" si="17"/>
        <v>1E-3</v>
      </c>
      <c r="AC21" s="6">
        <f t="shared" si="17"/>
        <v>0</v>
      </c>
      <c r="AD21" s="6">
        <f t="shared" si="17"/>
        <v>22.286999999999999</v>
      </c>
      <c r="AE21" s="6">
        <f t="shared" si="17"/>
        <v>1.212</v>
      </c>
      <c r="AF21" s="6">
        <f t="shared" si="17"/>
        <v>13.872</v>
      </c>
      <c r="AG21" s="6">
        <f t="shared" si="17"/>
        <v>2.2070000000000003</v>
      </c>
      <c r="AH21" s="6">
        <f t="shared" si="17"/>
        <v>0</v>
      </c>
      <c r="AI21" s="6">
        <f t="shared" si="17"/>
        <v>0</v>
      </c>
      <c r="AJ21" s="6">
        <f t="shared" si="17"/>
        <v>6.8479999999999999</v>
      </c>
      <c r="AK21" s="6">
        <f t="shared" si="17"/>
        <v>3.3000000000000002E-2</v>
      </c>
      <c r="AT21" t="s">
        <v>43</v>
      </c>
      <c r="AU21" t="s">
        <v>81</v>
      </c>
      <c r="AV21" s="3">
        <f t="shared" si="3"/>
        <v>0.16941588286147741</v>
      </c>
      <c r="AW21" s="3">
        <f t="shared" si="4"/>
        <v>9.1657484980146767E-2</v>
      </c>
      <c r="AX21" s="3">
        <f t="shared" si="5"/>
        <v>3.0986626092725494E-3</v>
      </c>
      <c r="AY21" s="3">
        <f t="shared" si="6"/>
        <v>2.0563541975487753E-3</v>
      </c>
      <c r="AZ21" s="3">
        <f t="shared" si="7"/>
        <v>1.8275808051798861E-4</v>
      </c>
      <c r="BA21" s="3">
        <f t="shared" si="8"/>
        <v>2.2394410355175347E-4</v>
      </c>
      <c r="BB21">
        <v>0</v>
      </c>
      <c r="BC21">
        <v>0</v>
      </c>
      <c r="BD21">
        <v>0</v>
      </c>
      <c r="BE21" s="2">
        <v>590925</v>
      </c>
      <c r="BH21" t="s">
        <v>81</v>
      </c>
      <c r="BI21" s="2">
        <v>423681</v>
      </c>
      <c r="BJ21" s="2">
        <v>163133</v>
      </c>
      <c r="BK21" s="2">
        <v>3120</v>
      </c>
      <c r="BL21">
        <v>978</v>
      </c>
      <c r="BM21">
        <v>7</v>
      </c>
      <c r="BN21">
        <v>5</v>
      </c>
      <c r="BO21">
        <v>0</v>
      </c>
      <c r="BP21">
        <v>0</v>
      </c>
      <c r="BQ21">
        <v>0</v>
      </c>
      <c r="BR21" s="2">
        <v>590925</v>
      </c>
    </row>
    <row r="22" spans="1:70" x14ac:dyDescent="0.25">
      <c r="B22" t="s">
        <v>22</v>
      </c>
      <c r="C22" t="str">
        <f t="shared" si="15"/>
        <v>E_WON-BySt_C3_IND</v>
      </c>
      <c r="D22" s="6">
        <f t="shared" ref="D22:AK22" si="18">D13*$AR6</f>
        <v>0.13600003376747713</v>
      </c>
      <c r="E22" s="6">
        <f t="shared" si="18"/>
        <v>79.470019731628</v>
      </c>
      <c r="F22" s="6">
        <f t="shared" si="18"/>
        <v>3.2400008044604851</v>
      </c>
      <c r="G22" s="6">
        <f t="shared" si="18"/>
        <v>0</v>
      </c>
      <c r="H22" s="6">
        <f t="shared" si="18"/>
        <v>0</v>
      </c>
      <c r="I22" s="6">
        <f t="shared" si="18"/>
        <v>0.11300002805680086</v>
      </c>
      <c r="J22" s="6">
        <f t="shared" si="18"/>
        <v>0.11400002830509114</v>
      </c>
      <c r="K22" s="6">
        <f t="shared" si="18"/>
        <v>3.376000838227962</v>
      </c>
      <c r="L22" s="6">
        <f t="shared" si="18"/>
        <v>0</v>
      </c>
      <c r="M22" s="6">
        <f t="shared" si="18"/>
        <v>0.2010000499063449</v>
      </c>
      <c r="N22" s="6">
        <f t="shared" si="18"/>
        <v>335.3380832611636</v>
      </c>
      <c r="O22" s="6">
        <f t="shared" si="18"/>
        <v>1.2000002979483278E-2</v>
      </c>
      <c r="P22" s="6">
        <f t="shared" si="18"/>
        <v>5.551001378259306</v>
      </c>
      <c r="Q22" s="6">
        <f t="shared" si="18"/>
        <v>18.804004668850293</v>
      </c>
      <c r="R22" s="6">
        <f t="shared" si="18"/>
        <v>2.0000004965805462E-2</v>
      </c>
      <c r="S22" s="6">
        <f t="shared" si="18"/>
        <v>375.30909318557411</v>
      </c>
      <c r="T22" s="6">
        <f t="shared" si="18"/>
        <v>0.19900004940976435</v>
      </c>
      <c r="U22" s="6">
        <f t="shared" si="18"/>
        <v>3.1200007746656522</v>
      </c>
      <c r="V22" s="6">
        <f t="shared" si="18"/>
        <v>64.51901601944013</v>
      </c>
      <c r="W22" s="6">
        <f t="shared" si="18"/>
        <v>5.1000012662803927E-2</v>
      </c>
      <c r="X22" s="6">
        <f t="shared" si="18"/>
        <v>0</v>
      </c>
      <c r="Y22" s="6">
        <f t="shared" si="18"/>
        <v>3.0000007448708196E-3</v>
      </c>
      <c r="Z22" s="6">
        <f t="shared" si="18"/>
        <v>8.000001986322185E-3</v>
      </c>
      <c r="AA22" s="6">
        <f t="shared" si="18"/>
        <v>3.3700008367382202</v>
      </c>
      <c r="AB22" s="6">
        <f t="shared" si="18"/>
        <v>0.315000078211436</v>
      </c>
      <c r="AC22" s="6">
        <f t="shared" si="18"/>
        <v>0</v>
      </c>
      <c r="AD22" s="6">
        <f t="shared" si="18"/>
        <v>82.3480204462074</v>
      </c>
      <c r="AE22" s="6">
        <f t="shared" si="18"/>
        <v>0.42700010601994659</v>
      </c>
      <c r="AF22" s="6">
        <f t="shared" si="18"/>
        <v>17.661004385054511</v>
      </c>
      <c r="AG22" s="6">
        <f t="shared" si="18"/>
        <v>7.5680018790607866</v>
      </c>
      <c r="AH22" s="6">
        <f t="shared" si="18"/>
        <v>0</v>
      </c>
      <c r="AI22" s="6">
        <f t="shared" si="18"/>
        <v>0</v>
      </c>
      <c r="AJ22" s="6">
        <f t="shared" si="18"/>
        <v>5.1820012866401948</v>
      </c>
      <c r="AK22" s="6">
        <f t="shared" si="18"/>
        <v>0.42900010651652715</v>
      </c>
      <c r="AT22" t="s">
        <v>40</v>
      </c>
      <c r="AU22" t="s">
        <v>82</v>
      </c>
      <c r="AV22" s="3">
        <f t="shared" si="3"/>
        <v>9.987388207294047E-2</v>
      </c>
      <c r="AW22" s="3">
        <f t="shared" si="4"/>
        <v>0.19612812821136627</v>
      </c>
      <c r="AX22" s="3">
        <f t="shared" si="5"/>
        <v>6.4077760540915255E-2</v>
      </c>
      <c r="AY22" s="3">
        <f t="shared" si="6"/>
        <v>3.6638008069823529E-2</v>
      </c>
      <c r="AZ22" s="3">
        <f t="shared" si="7"/>
        <v>3.2426505143334554E-2</v>
      </c>
      <c r="BA22" s="3">
        <f t="shared" si="8"/>
        <v>8.7338200385183862E-3</v>
      </c>
      <c r="BB22">
        <v>0</v>
      </c>
      <c r="BC22">
        <v>0</v>
      </c>
      <c r="BD22">
        <v>0</v>
      </c>
      <c r="BE22" s="2">
        <v>682219</v>
      </c>
      <c r="BH22" t="s">
        <v>82</v>
      </c>
      <c r="BI22" s="2">
        <v>249768</v>
      </c>
      <c r="BJ22" s="2">
        <v>349071</v>
      </c>
      <c r="BK22" s="2">
        <v>64519</v>
      </c>
      <c r="BL22" s="2">
        <v>17425</v>
      </c>
      <c r="BM22" s="2">
        <v>1242</v>
      </c>
      <c r="BN22">
        <v>195</v>
      </c>
      <c r="BO22">
        <v>0</v>
      </c>
      <c r="BP22">
        <v>0</v>
      </c>
      <c r="BQ22">
        <v>0</v>
      </c>
      <c r="BR22" s="2">
        <v>682219</v>
      </c>
    </row>
    <row r="23" spans="1:70" x14ac:dyDescent="0.25">
      <c r="B23" t="s">
        <v>22</v>
      </c>
      <c r="C23" t="str">
        <f t="shared" si="15"/>
        <v>E_WON-BySt_C2_IND</v>
      </c>
      <c r="D23" s="6">
        <f t="shared" ref="D23:AK23" si="19">D14*$AR7</f>
        <v>0.1269999821610272</v>
      </c>
      <c r="E23" s="6">
        <f t="shared" si="19"/>
        <v>95.167986632288475</v>
      </c>
      <c r="F23" s="6">
        <f t="shared" si="19"/>
        <v>2.6919996218699622</v>
      </c>
      <c r="G23" s="6">
        <f t="shared" si="19"/>
        <v>0.6599999072935272</v>
      </c>
      <c r="H23" s="6">
        <f t="shared" si="19"/>
        <v>8.6169987896186733</v>
      </c>
      <c r="I23" s="6">
        <f t="shared" si="19"/>
        <v>1.7429997551706333</v>
      </c>
      <c r="J23" s="6">
        <f t="shared" si="19"/>
        <v>0.59599991628324578</v>
      </c>
      <c r="K23" s="6">
        <f t="shared" si="19"/>
        <v>0</v>
      </c>
      <c r="L23" s="6">
        <f t="shared" si="19"/>
        <v>0</v>
      </c>
      <c r="M23" s="6">
        <f t="shared" si="19"/>
        <v>2.3319996724371292</v>
      </c>
      <c r="N23" s="6">
        <f t="shared" si="19"/>
        <v>369.44994810544489</v>
      </c>
      <c r="O23" s="6">
        <f t="shared" si="19"/>
        <v>0.24699996530530488</v>
      </c>
      <c r="P23" s="6">
        <f t="shared" si="19"/>
        <v>5.6349992084833715</v>
      </c>
      <c r="Q23" s="6">
        <f t="shared" si="19"/>
        <v>16.561997673629392</v>
      </c>
      <c r="R23" s="6">
        <f t="shared" si="19"/>
        <v>0.16999997612106005</v>
      </c>
      <c r="S23" s="6">
        <f t="shared" si="19"/>
        <v>193.53297281551241</v>
      </c>
      <c r="T23" s="6">
        <f t="shared" si="19"/>
        <v>0.6509999085577064</v>
      </c>
      <c r="U23" s="6">
        <f t="shared" si="19"/>
        <v>163.13297708562874</v>
      </c>
      <c r="V23" s="6">
        <f t="shared" si="19"/>
        <v>349.07095096796792</v>
      </c>
      <c r="W23" s="6">
        <f t="shared" si="19"/>
        <v>5.1999992695853661E-2</v>
      </c>
      <c r="X23" s="6">
        <f t="shared" si="19"/>
        <v>0</v>
      </c>
      <c r="Y23" s="6">
        <f t="shared" si="19"/>
        <v>2.9999995786069416E-3</v>
      </c>
      <c r="Z23" s="6">
        <f t="shared" si="19"/>
        <v>3.0999995645605061E-2</v>
      </c>
      <c r="AA23" s="6">
        <f t="shared" si="19"/>
        <v>20.470997124554234</v>
      </c>
      <c r="AB23" s="6">
        <f t="shared" si="19"/>
        <v>0.2029999714857364</v>
      </c>
      <c r="AC23" s="6">
        <f t="shared" si="19"/>
        <v>0</v>
      </c>
      <c r="AD23" s="6">
        <f t="shared" si="19"/>
        <v>362.83894903405474</v>
      </c>
      <c r="AE23" s="6">
        <f t="shared" si="19"/>
        <v>0.34099995210165573</v>
      </c>
      <c r="AF23" s="6">
        <f t="shared" si="19"/>
        <v>37.155994780906511</v>
      </c>
      <c r="AG23" s="6">
        <f t="shared" si="19"/>
        <v>74.780989495935231</v>
      </c>
      <c r="AH23" s="6">
        <f t="shared" si="19"/>
        <v>0</v>
      </c>
      <c r="AI23" s="6">
        <f t="shared" si="19"/>
        <v>63.61799106393881</v>
      </c>
      <c r="AJ23" s="6">
        <f t="shared" si="19"/>
        <v>7.0549990090239918</v>
      </c>
      <c r="AK23" s="6">
        <f t="shared" si="19"/>
        <v>2.8729995964459145</v>
      </c>
      <c r="AT23" t="s">
        <v>42</v>
      </c>
      <c r="AU23" t="s">
        <v>83</v>
      </c>
      <c r="AV23" s="3">
        <f t="shared" si="3"/>
        <v>5.3981991607599704E-4</v>
      </c>
      <c r="AW23" s="3">
        <f t="shared" si="4"/>
        <v>2.9216585356535049E-5</v>
      </c>
      <c r="AX23" s="3">
        <f t="shared" si="5"/>
        <v>5.0651215728493595E-5</v>
      </c>
      <c r="AY23" s="3">
        <f t="shared" si="6"/>
        <v>1.2405408758218582E-4</v>
      </c>
      <c r="AZ23" s="3">
        <f t="shared" si="7"/>
        <v>2.6108297216855516E-5</v>
      </c>
      <c r="BA23" s="3">
        <f t="shared" si="8"/>
        <v>0</v>
      </c>
      <c r="BB23">
        <v>0</v>
      </c>
      <c r="BC23">
        <v>0</v>
      </c>
      <c r="BD23">
        <v>0</v>
      </c>
      <c r="BE23" s="2">
        <v>1513</v>
      </c>
      <c r="BH23" t="s">
        <v>83</v>
      </c>
      <c r="BI23" s="2">
        <v>1350</v>
      </c>
      <c r="BJ23">
        <v>52</v>
      </c>
      <c r="BK23">
        <v>51</v>
      </c>
      <c r="BL23">
        <v>59</v>
      </c>
      <c r="BM23">
        <v>1</v>
      </c>
      <c r="BN23">
        <v>0</v>
      </c>
      <c r="BO23">
        <v>0</v>
      </c>
      <c r="BP23">
        <v>0</v>
      </c>
      <c r="BQ23">
        <v>0</v>
      </c>
      <c r="BR23" s="2">
        <v>1513</v>
      </c>
    </row>
    <row r="24" spans="1:70" x14ac:dyDescent="0.25">
      <c r="B24" t="s">
        <v>22</v>
      </c>
      <c r="C24" t="str">
        <f t="shared" si="15"/>
        <v>E_WON-BySt_C1_IND</v>
      </c>
      <c r="D24" s="6">
        <f t="shared" ref="D24:AK24" si="20">D15*$AR8</f>
        <v>1.1000001099633162E-2</v>
      </c>
      <c r="E24" s="6">
        <f t="shared" si="20"/>
        <v>47.102004708629195</v>
      </c>
      <c r="F24" s="6">
        <f t="shared" si="20"/>
        <v>5.951000594901541</v>
      </c>
      <c r="G24" s="6">
        <f t="shared" si="20"/>
        <v>15.42600154208556</v>
      </c>
      <c r="H24" s="6">
        <f t="shared" si="20"/>
        <v>110.75701107200638</v>
      </c>
      <c r="I24" s="6">
        <f t="shared" si="20"/>
        <v>167.76901677130508</v>
      </c>
      <c r="J24" s="6">
        <f t="shared" si="20"/>
        <v>0.60800006077972391</v>
      </c>
      <c r="K24" s="6">
        <f t="shared" si="20"/>
        <v>0</v>
      </c>
      <c r="L24" s="6">
        <f t="shared" si="20"/>
        <v>1.9550001954348029</v>
      </c>
      <c r="M24" s="6">
        <f t="shared" si="20"/>
        <v>2.6330002632121925</v>
      </c>
      <c r="N24" s="6">
        <f t="shared" si="20"/>
        <v>69.709006968575281</v>
      </c>
      <c r="O24" s="6">
        <f t="shared" si="20"/>
        <v>69.608006958478654</v>
      </c>
      <c r="P24" s="6">
        <f t="shared" si="20"/>
        <v>19.983001997633586</v>
      </c>
      <c r="Q24" s="6">
        <f t="shared" si="20"/>
        <v>35.015003500332284</v>
      </c>
      <c r="R24" s="6">
        <f t="shared" si="20"/>
        <v>80.654008062710275</v>
      </c>
      <c r="S24" s="6">
        <f t="shared" si="20"/>
        <v>29.866002985604002</v>
      </c>
      <c r="T24" s="6">
        <f t="shared" si="20"/>
        <v>19.513001950649262</v>
      </c>
      <c r="U24" s="6">
        <f t="shared" si="20"/>
        <v>423.68104235397067</v>
      </c>
      <c r="V24" s="6">
        <f t="shared" si="20"/>
        <v>249.76802496847051</v>
      </c>
      <c r="W24" s="6">
        <f t="shared" si="20"/>
        <v>1.3500001349549791</v>
      </c>
      <c r="X24" s="6">
        <f t="shared" si="20"/>
        <v>2.4820002481172279</v>
      </c>
      <c r="Y24" s="6">
        <f t="shared" si="20"/>
        <v>0.10600001059646501</v>
      </c>
      <c r="Z24" s="6">
        <f t="shared" si="20"/>
        <v>1.0240001023658507</v>
      </c>
      <c r="AA24" s="6">
        <f t="shared" si="20"/>
        <v>127.08001270376201</v>
      </c>
      <c r="AB24" s="6">
        <f t="shared" si="20"/>
        <v>0.11100001109629827</v>
      </c>
      <c r="AC24" s="6">
        <f t="shared" si="20"/>
        <v>32.239003222824863</v>
      </c>
      <c r="AD24" s="6">
        <f t="shared" si="20"/>
        <v>444.17004440218744</v>
      </c>
      <c r="AE24" s="6">
        <f t="shared" si="20"/>
        <v>0.17900001789403056</v>
      </c>
      <c r="AF24" s="6">
        <f t="shared" si="20"/>
        <v>15.301001529589728</v>
      </c>
      <c r="AG24" s="6">
        <f t="shared" si="20"/>
        <v>100.73901007054046</v>
      </c>
      <c r="AH24" s="6">
        <f t="shared" si="20"/>
        <v>0.90900009086968581</v>
      </c>
      <c r="AI24" s="6">
        <f t="shared" si="20"/>
        <v>339.2700339156857</v>
      </c>
      <c r="AJ24" s="6">
        <f t="shared" si="20"/>
        <v>23.467002345917404</v>
      </c>
      <c r="AK24" s="6">
        <f t="shared" si="20"/>
        <v>62.256006223523826</v>
      </c>
      <c r="AT24" t="s">
        <v>41</v>
      </c>
      <c r="AU24" t="s">
        <v>84</v>
      </c>
      <c r="AV24" s="3">
        <f t="shared" si="3"/>
        <v>9.92468912370833E-4</v>
      </c>
      <c r="AW24" s="3">
        <f t="shared" si="4"/>
        <v>0</v>
      </c>
      <c r="AX24" s="3">
        <f t="shared" si="5"/>
        <v>0</v>
      </c>
      <c r="AY24" s="3">
        <f t="shared" si="6"/>
        <v>0</v>
      </c>
      <c r="AZ24" s="3">
        <f t="shared" si="7"/>
        <v>0</v>
      </c>
      <c r="BA24" s="3">
        <f t="shared" si="8"/>
        <v>0</v>
      </c>
      <c r="BB24">
        <v>0</v>
      </c>
      <c r="BC24">
        <v>0</v>
      </c>
      <c r="BD24">
        <v>0</v>
      </c>
      <c r="BE24" s="2">
        <v>2482</v>
      </c>
      <c r="BH24" t="s">
        <v>84</v>
      </c>
      <c r="BI24" s="2">
        <v>2482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 s="2">
        <v>2482</v>
      </c>
    </row>
    <row r="25" spans="1:70" x14ac:dyDescent="0.25">
      <c r="D25" s="6">
        <f>IFERROR(VLOOKUP(D18,wind_existing_cap!$A$5:$B$167,2,FALSE),0)</f>
        <v>0</v>
      </c>
      <c r="E25" s="6">
        <f>IFERROR(VLOOKUP(E18,wind_existing_cap!$A$5:$B$167,2,FALSE),0)</f>
        <v>6.0988824204767518</v>
      </c>
      <c r="F25" s="6">
        <f>IFERROR(VLOOKUP(F18,wind_existing_cap!$A$5:$B$167,2,FALSE),0)</f>
        <v>0</v>
      </c>
      <c r="G25" s="6">
        <f>IFERROR(VLOOKUP(G18,wind_existing_cap!$A$5:$B$167,2,FALSE),0)</f>
        <v>0</v>
      </c>
      <c r="H25" s="6">
        <f>IFERROR(VLOOKUP(H18,wind_existing_cap!$A$5:$B$167,2,FALSE),0)</f>
        <v>0</v>
      </c>
      <c r="I25" s="6">
        <f>IFERROR(VLOOKUP(I18,wind_existing_cap!$A$5:$B$167,2,FALSE),0)</f>
        <v>0</v>
      </c>
      <c r="J25" s="6">
        <f>IFERROR(VLOOKUP(J18,wind_existing_cap!$A$5:$B$167,2,FALSE),0)</f>
        <v>0</v>
      </c>
      <c r="K25" s="6">
        <f>IFERROR(VLOOKUP(K18,wind_existing_cap!$A$5:$B$167,2,FALSE),0)</f>
        <v>0</v>
      </c>
      <c r="L25" s="6">
        <f>IFERROR(VLOOKUP(L18,wind_existing_cap!$A$5:$B$167,2,FALSE),0)</f>
        <v>0.13318760517874617</v>
      </c>
      <c r="M25" s="6">
        <f>IFERROR(VLOOKUP(M18,wind_existing_cap!$A$5:$B$167,2,FALSE),0)</f>
        <v>0</v>
      </c>
      <c r="N25" s="6">
        <f>IFERROR(VLOOKUP(N18,wind_existing_cap!$A$5:$B$167,2,FALSE),0)</f>
        <v>8.8680747114848497</v>
      </c>
      <c r="O25" s="6">
        <f>IFERROR(VLOOKUP(O18,wind_existing_cap!$A$5:$B$167,2,FALSE),0)</f>
        <v>0</v>
      </c>
      <c r="P25" s="6">
        <f>IFERROR(VLOOKUP(P18,wind_existing_cap!$A$5:$B$167,2,FALSE),0)</f>
        <v>0</v>
      </c>
      <c r="Q25" s="6">
        <f>IFERROR(VLOOKUP(Q18,wind_existing_cap!$A$5:$B$167,2,FALSE),0)</f>
        <v>0</v>
      </c>
      <c r="R25" s="6">
        <f>IFERROR(VLOOKUP(R18,wind_existing_cap!$A$5:$B$167,2,FALSE),0)</f>
        <v>0</v>
      </c>
      <c r="S25" s="6">
        <f>IFERROR(VLOOKUP(S18,wind_existing_cap!$A$5:$B$167,2,FALSE),0)</f>
        <v>6.4540493676200752</v>
      </c>
      <c r="T25" s="6">
        <f>IFERROR(VLOOKUP(T18,wind_existing_cap!$A$5:$B$167,2,FALSE),0)</f>
        <v>0.18590769889533321</v>
      </c>
      <c r="U25" s="6">
        <f>IFERROR(VLOOKUP(U18,wind_existing_cap!$A$5:$B$167,2,FALSE),0)</f>
        <v>3.6321369828953904</v>
      </c>
      <c r="V25" s="6">
        <f>IFERROR(VLOOKUP(V18,wind_existing_cap!$A$5:$B$167,2,FALSE),0)</f>
        <v>8.3935938680355662</v>
      </c>
      <c r="W25" s="6">
        <f>IFERROR(VLOOKUP(W18,wind_existing_cap!$A$5:$B$167,2,FALSE),0)</f>
        <v>0</v>
      </c>
      <c r="X25" s="6">
        <f>IFERROR(VLOOKUP(X18,wind_existing_cap!$A$5:$B$167,2,FALSE),0)</f>
        <v>0</v>
      </c>
      <c r="Y25" s="6">
        <f>IFERROR(VLOOKUP(Y18,wind_existing_cap!$A$5:$B$167,2,FALSE),0)</f>
        <v>0</v>
      </c>
      <c r="Z25" s="6">
        <f>IFERROR(VLOOKUP(Z18,wind_existing_cap!$A$5:$B$167,2,FALSE),0)</f>
        <v>0</v>
      </c>
      <c r="AA25" s="6">
        <f>IFERROR(VLOOKUP(AA18,wind_existing_cap!$A$5:$B$167,2,FALSE),0)</f>
        <v>0</v>
      </c>
      <c r="AB25" s="6">
        <f>IFERROR(VLOOKUP(AB18,wind_existing_cap!$A$5:$B$167,2,FALSE),0)</f>
        <v>0</v>
      </c>
      <c r="AC25" s="6">
        <f>IFERROR(VLOOKUP(AC18,wind_existing_cap!$A$5:$B$167,2,FALSE),0)</f>
        <v>0</v>
      </c>
      <c r="AD25" s="6">
        <f>IFERROR(VLOOKUP(AD18,wind_existing_cap!$A$5:$B$167,2,FALSE),0)</f>
        <v>5.7104185720387424</v>
      </c>
      <c r="AE25" s="6">
        <f>IFERROR(VLOOKUP(AE18,wind_existing_cap!$A$5:$B$167,2,FALSE),0)</f>
        <v>0</v>
      </c>
      <c r="AF25" s="6">
        <f>IFERROR(VLOOKUP(AF18,wind_existing_cap!$A$5:$B$167,2,FALSE),0)</f>
        <v>7.0783662668954488</v>
      </c>
      <c r="AG25" s="6">
        <f>IFERROR(VLOOKUP(AG18,wind_existing_cap!$A$5:$B$167,2,FALSE),0)</f>
        <v>0.27469943568116401</v>
      </c>
      <c r="AH25" s="6">
        <f>IFERROR(VLOOKUP(AH18,wind_existing_cap!$A$5:$B$167,2,FALSE),0)</f>
        <v>0</v>
      </c>
      <c r="AI25" s="6">
        <f>IFERROR(VLOOKUP(AI18,wind_existing_cap!$A$5:$B$167,2,FALSE),0)</f>
        <v>0</v>
      </c>
      <c r="AJ25" s="6">
        <f>IFERROR(VLOOKUP(AJ18,wind_existing_cap!$A$5:$B$167,2,FALSE),0)</f>
        <v>0</v>
      </c>
      <c r="AK25" s="6">
        <f>IFERROR(VLOOKUP(AK18,wind_existing_cap!$A$5:$B$167,2,FALSE),0)</f>
        <v>0</v>
      </c>
      <c r="AT25" t="s">
        <v>44</v>
      </c>
      <c r="AU25" t="s">
        <v>85</v>
      </c>
      <c r="AV25" s="3">
        <f t="shared" si="3"/>
        <v>4.2385860077078285E-5</v>
      </c>
      <c r="AW25" s="3">
        <f t="shared" si="4"/>
        <v>1.6855722321077912E-6</v>
      </c>
      <c r="AX25" s="3">
        <f t="shared" si="5"/>
        <v>2.9794832781466821E-6</v>
      </c>
      <c r="AY25" s="3">
        <f t="shared" si="6"/>
        <v>0</v>
      </c>
      <c r="AZ25" s="3">
        <f t="shared" si="7"/>
        <v>0</v>
      </c>
      <c r="BA25" s="3">
        <f t="shared" si="8"/>
        <v>0</v>
      </c>
      <c r="BB25">
        <v>0</v>
      </c>
      <c r="BC25">
        <v>0</v>
      </c>
      <c r="BD25">
        <v>0</v>
      </c>
      <c r="BE25">
        <v>112</v>
      </c>
      <c r="BH25" t="s">
        <v>85</v>
      </c>
      <c r="BI25">
        <v>106</v>
      </c>
      <c r="BJ25">
        <v>3</v>
      </c>
      <c r="BK25">
        <v>3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112</v>
      </c>
    </row>
    <row r="26" spans="1:70" x14ac:dyDescent="0.25">
      <c r="A26">
        <v>2010</v>
      </c>
      <c r="B26" t="s">
        <v>136</v>
      </c>
      <c r="C26" t="str">
        <f>C19</f>
        <v>E_WON-BySt_C6_IND</v>
      </c>
      <c r="D26" s="6">
        <f>MIN(D19,D$25)</f>
        <v>0</v>
      </c>
      <c r="E26" s="6">
        <f>MIN(E19,E$25)</f>
        <v>0.14200000000000002</v>
      </c>
      <c r="F26" s="6">
        <f t="shared" ref="F26:AK26" si="21">MIN(F19,F$25)</f>
        <v>0</v>
      </c>
      <c r="G26" s="6">
        <f t="shared" si="21"/>
        <v>0</v>
      </c>
      <c r="H26" s="6">
        <f t="shared" si="21"/>
        <v>0</v>
      </c>
      <c r="I26" s="6">
        <f t="shared" si="21"/>
        <v>0</v>
      </c>
      <c r="J26" s="6">
        <f t="shared" si="21"/>
        <v>0</v>
      </c>
      <c r="K26" s="6">
        <f t="shared" si="21"/>
        <v>0</v>
      </c>
      <c r="L26" s="6">
        <f t="shared" si="21"/>
        <v>0</v>
      </c>
      <c r="M26" s="6">
        <f t="shared" si="21"/>
        <v>0</v>
      </c>
      <c r="N26" s="6">
        <f t="shared" si="21"/>
        <v>1.4550000000000001</v>
      </c>
      <c r="O26" s="6">
        <f t="shared" si="21"/>
        <v>0</v>
      </c>
      <c r="P26" s="6">
        <f t="shared" si="21"/>
        <v>0</v>
      </c>
      <c r="Q26" s="6">
        <f t="shared" si="21"/>
        <v>0</v>
      </c>
      <c r="R26" s="6">
        <f t="shared" si="21"/>
        <v>0</v>
      </c>
      <c r="S26" s="6">
        <f t="shared" si="21"/>
        <v>0.47200000000000003</v>
      </c>
      <c r="T26" s="6">
        <f t="shared" si="21"/>
        <v>7.0000000000000001E-3</v>
      </c>
      <c r="U26" s="6">
        <f t="shared" si="21"/>
        <v>5.0000000000000001E-3</v>
      </c>
      <c r="V26" s="6">
        <f t="shared" si="21"/>
        <v>0.19500000000000003</v>
      </c>
      <c r="W26" s="6">
        <f t="shared" si="21"/>
        <v>0</v>
      </c>
      <c r="X26" s="6">
        <f t="shared" si="21"/>
        <v>0</v>
      </c>
      <c r="Y26" s="6">
        <f t="shared" si="21"/>
        <v>0</v>
      </c>
      <c r="Z26" s="6">
        <f t="shared" si="21"/>
        <v>0</v>
      </c>
      <c r="AA26" s="6">
        <f t="shared" si="21"/>
        <v>0</v>
      </c>
      <c r="AB26" s="6">
        <f t="shared" si="21"/>
        <v>0</v>
      </c>
      <c r="AC26" s="6">
        <f t="shared" si="21"/>
        <v>0</v>
      </c>
      <c r="AD26" s="6">
        <f t="shared" si="21"/>
        <v>6.1000000000000006E-2</v>
      </c>
      <c r="AE26" s="6">
        <f t="shared" si="21"/>
        <v>0</v>
      </c>
      <c r="AF26" s="6">
        <f t="shared" si="21"/>
        <v>0.10100000000000001</v>
      </c>
      <c r="AG26" s="6">
        <f t="shared" si="21"/>
        <v>0</v>
      </c>
      <c r="AH26" s="6">
        <f t="shared" si="21"/>
        <v>0</v>
      </c>
      <c r="AI26" s="6">
        <f t="shared" si="21"/>
        <v>0</v>
      </c>
      <c r="AJ26" s="6">
        <f t="shared" si="21"/>
        <v>0</v>
      </c>
      <c r="AK26" s="6">
        <f t="shared" si="21"/>
        <v>0</v>
      </c>
      <c r="AT26" t="s">
        <v>45</v>
      </c>
      <c r="AU26" t="s">
        <v>86</v>
      </c>
      <c r="AV26" s="3">
        <f t="shared" si="3"/>
        <v>4.094634030087563E-4</v>
      </c>
      <c r="AW26" s="3">
        <f t="shared" si="4"/>
        <v>1.7417579731780508E-5</v>
      </c>
      <c r="AX26" s="3">
        <f t="shared" si="5"/>
        <v>7.9452887417244856E-6</v>
      </c>
      <c r="AY26" s="3">
        <f t="shared" si="6"/>
        <v>0</v>
      </c>
      <c r="AZ26" s="3">
        <f t="shared" si="7"/>
        <v>5.2216594433711031E-5</v>
      </c>
      <c r="BA26" s="3">
        <f t="shared" si="8"/>
        <v>0</v>
      </c>
      <c r="BB26">
        <v>0</v>
      </c>
      <c r="BC26">
        <v>0</v>
      </c>
      <c r="BD26">
        <v>0</v>
      </c>
      <c r="BE26" s="2">
        <v>1064</v>
      </c>
      <c r="BH26" t="s">
        <v>86</v>
      </c>
      <c r="BI26" s="2">
        <v>1024</v>
      </c>
      <c r="BJ26">
        <v>31</v>
      </c>
      <c r="BK26">
        <v>8</v>
      </c>
      <c r="BL26">
        <v>0</v>
      </c>
      <c r="BM26">
        <v>2</v>
      </c>
      <c r="BN26">
        <v>0</v>
      </c>
      <c r="BO26">
        <v>0</v>
      </c>
      <c r="BP26">
        <v>0</v>
      </c>
      <c r="BQ26">
        <v>0</v>
      </c>
      <c r="BR26" s="2">
        <v>1064</v>
      </c>
    </row>
    <row r="27" spans="1:70" x14ac:dyDescent="0.25">
      <c r="A27">
        <v>2010</v>
      </c>
      <c r="B27" t="s">
        <v>136</v>
      </c>
      <c r="C27" t="str">
        <f t="shared" ref="C27:C31" si="22">C20</f>
        <v>E_WON-BySt_C5_IND</v>
      </c>
      <c r="D27" s="6">
        <f>MIN(D20,D$25-SUM(D$26:D26))</f>
        <v>0</v>
      </c>
      <c r="E27" s="6">
        <f>MIN(E20,E$25-SUM(E$26:E26))</f>
        <v>1.0139867630933113</v>
      </c>
      <c r="F27" s="6">
        <f>MIN(F20,F$25-SUM(F$26:F26))</f>
        <v>0</v>
      </c>
      <c r="G27" s="6">
        <f>MIN(G20,G$25-SUM(G$26:G26))</f>
        <v>0</v>
      </c>
      <c r="H27" s="6">
        <f>MIN(H20,H$25-SUM(H$26:H26))</f>
        <v>0</v>
      </c>
      <c r="I27" s="6">
        <f>MIN(I20,I$25-SUM(I$26:I26))</f>
        <v>0</v>
      </c>
      <c r="J27" s="6">
        <f>MIN(J20,J$25-SUM(J$26:J26))</f>
        <v>0</v>
      </c>
      <c r="K27" s="6">
        <f>MIN(K20,K$25-SUM(K$26:K26))</f>
        <v>0</v>
      </c>
      <c r="L27" s="6">
        <f>MIN(L20,L$25-SUM(L$26:L26))</f>
        <v>0</v>
      </c>
      <c r="M27" s="6">
        <f>MIN(M20,M$25-SUM(M$26:M26))</f>
        <v>0</v>
      </c>
      <c r="N27" s="6">
        <f>MIN(N20,N$25-SUM(N$26:N26))</f>
        <v>7.4130747114848496</v>
      </c>
      <c r="O27" s="6">
        <f>MIN(O20,O$25-SUM(O$26:O26))</f>
        <v>0</v>
      </c>
      <c r="P27" s="6">
        <f>MIN(P20,P$25-SUM(P$26:P26))</f>
        <v>0</v>
      </c>
      <c r="Q27" s="6">
        <f>MIN(Q20,Q$25-SUM(Q$26:Q26))</f>
        <v>0</v>
      </c>
      <c r="R27" s="6">
        <f>MIN(R20,R$25-SUM(R$26:R26))</f>
        <v>0</v>
      </c>
      <c r="S27" s="6">
        <f>MIN(S20,S$25-SUM(S$26:S26))</f>
        <v>5.2709311915826857</v>
      </c>
      <c r="T27" s="6">
        <f>MIN(T20,T$25-SUM(T$26:T26))</f>
        <v>0</v>
      </c>
      <c r="U27" s="6">
        <f>MIN(U20,U$25-SUM(U$26:U26))</f>
        <v>6.999908620959742E-3</v>
      </c>
      <c r="V27" s="6">
        <f>MIN(V20,V$25-SUM(V$26:V26))</f>
        <v>1.2419837867474286</v>
      </c>
      <c r="W27" s="6">
        <f>MIN(W20,W$25-SUM(W$26:W26))</f>
        <v>0</v>
      </c>
      <c r="X27" s="6">
        <f>MIN(X20,X$25-SUM(X$26:X26))</f>
        <v>0</v>
      </c>
      <c r="Y27" s="6">
        <f>MIN(Y20,Y$25-SUM(Y$26:Y26))</f>
        <v>0</v>
      </c>
      <c r="Z27" s="6">
        <f>MIN(Z20,Z$25-SUM(Z$26:Z26))</f>
        <v>0</v>
      </c>
      <c r="AA27" s="6">
        <f>MIN(AA20,AA$25-SUM(AA$26:AA26))</f>
        <v>0</v>
      </c>
      <c r="AB27" s="6">
        <f>MIN(AB20,AB$25-SUM(AB$26:AB26))</f>
        <v>0</v>
      </c>
      <c r="AC27" s="6">
        <f>MIN(AC20,AC$25-SUM(AC$26:AC26))</f>
        <v>0</v>
      </c>
      <c r="AD27" s="6">
        <f>MIN(AD20,AD$25-SUM(AD$26:AD26))</f>
        <v>0.36099528745235238</v>
      </c>
      <c r="AE27" s="6">
        <f>MIN(AE20,AE$25-SUM(AE$26:AE26))</f>
        <v>0</v>
      </c>
      <c r="AF27" s="6">
        <f>MIN(AF20,AF$25-SUM(AF$26:AF26))</f>
        <v>1.6079790089290378</v>
      </c>
      <c r="AG27" s="6">
        <f>MIN(AG20,AG$25-SUM(AG$26:AG26))</f>
        <v>5.9999216751083504E-3</v>
      </c>
      <c r="AH27" s="6">
        <f>MIN(AH20,AH$25-SUM(AH$26:AH26))</f>
        <v>0</v>
      </c>
      <c r="AI27" s="6">
        <f>MIN(AI20,AI$25-SUM(AI$26:AI26))</f>
        <v>0</v>
      </c>
      <c r="AJ27" s="6">
        <f>MIN(AJ20,AJ$25-SUM(AJ$26:AJ26))</f>
        <v>0</v>
      </c>
      <c r="AK27" s="6">
        <f>MIN(AK20,AK$25-SUM(AK$26:AK26))</f>
        <v>0</v>
      </c>
      <c r="AT27" t="s">
        <v>46</v>
      </c>
      <c r="AU27" t="s">
        <v>87</v>
      </c>
      <c r="AV27" s="3">
        <f t="shared" si="3"/>
        <v>5.0815048099953852E-2</v>
      </c>
      <c r="AW27" s="3">
        <f t="shared" si="4"/>
        <v>1.1501783054492865E-2</v>
      </c>
      <c r="AX27" s="3">
        <f t="shared" si="5"/>
        <v>3.3469528824514394E-3</v>
      </c>
      <c r="AY27" s="3">
        <f t="shared" si="6"/>
        <v>1.6148057502223512E-3</v>
      </c>
      <c r="AZ27" s="3">
        <f t="shared" si="7"/>
        <v>8.0935721372252104E-4</v>
      </c>
      <c r="BA27" s="3">
        <f t="shared" si="8"/>
        <v>0</v>
      </c>
      <c r="BB27">
        <v>0</v>
      </c>
      <c r="BC27">
        <v>0</v>
      </c>
      <c r="BD27">
        <v>0</v>
      </c>
      <c r="BE27" s="2">
        <v>151721</v>
      </c>
      <c r="BH27" t="s">
        <v>87</v>
      </c>
      <c r="BI27" s="2">
        <v>127080</v>
      </c>
      <c r="BJ27" s="2">
        <v>20471</v>
      </c>
      <c r="BK27" s="2">
        <v>3370</v>
      </c>
      <c r="BL27">
        <v>768</v>
      </c>
      <c r="BM27">
        <v>31</v>
      </c>
      <c r="BN27">
        <v>0</v>
      </c>
      <c r="BO27">
        <v>0</v>
      </c>
      <c r="BP27">
        <v>0</v>
      </c>
      <c r="BQ27">
        <v>0</v>
      </c>
      <c r="BR27" s="2">
        <v>151721</v>
      </c>
    </row>
    <row r="28" spans="1:70" x14ac:dyDescent="0.25">
      <c r="A28">
        <v>2010</v>
      </c>
      <c r="B28" t="s">
        <v>136</v>
      </c>
      <c r="C28" t="str">
        <f t="shared" si="22"/>
        <v>E_WON-BySt_C4_IND</v>
      </c>
      <c r="D28" s="6">
        <f>MIN(D21,D$25-SUM(D$26:D27))</f>
        <v>0</v>
      </c>
      <c r="E28" s="6">
        <f>MIN(E21,E$25-SUM(E$26:E27))</f>
        <v>4.9428956573834402</v>
      </c>
      <c r="F28" s="6">
        <f>MIN(F21,F$25-SUM(F$26:F27))</f>
        <v>0</v>
      </c>
      <c r="G28" s="6">
        <f>MIN(G21,G$25-SUM(G$26:G27))</f>
        <v>0</v>
      </c>
      <c r="H28" s="6">
        <f>MIN(H21,H$25-SUM(H$26:H27))</f>
        <v>0</v>
      </c>
      <c r="I28" s="6">
        <f>MIN(I21,I$25-SUM(I$26:I27))</f>
        <v>0</v>
      </c>
      <c r="J28" s="6">
        <f>MIN(J21,J$25-SUM(J$26:J27))</f>
        <v>0</v>
      </c>
      <c r="K28" s="6">
        <f>MIN(K21,K$25-SUM(K$26:K27))</f>
        <v>0</v>
      </c>
      <c r="L28" s="6">
        <f>MIN(L21,L$25-SUM(L$26:L27))</f>
        <v>0</v>
      </c>
      <c r="M28" s="6">
        <f>MIN(M21,M$25-SUM(M$26:M27))</f>
        <v>0</v>
      </c>
      <c r="N28" s="6">
        <f>MIN(N21,N$25-SUM(N$26:N27))</f>
        <v>0</v>
      </c>
      <c r="O28" s="6">
        <f>MIN(O21,O$25-SUM(O$26:O27))</f>
        <v>0</v>
      </c>
      <c r="P28" s="6">
        <f>MIN(P21,P$25-SUM(P$26:P27))</f>
        <v>0</v>
      </c>
      <c r="Q28" s="6">
        <f>MIN(Q21,Q$25-SUM(Q$26:Q27))</f>
        <v>0</v>
      </c>
      <c r="R28" s="6">
        <f>MIN(R21,R$25-SUM(R$26:R27))</f>
        <v>0</v>
      </c>
      <c r="S28" s="6">
        <f>MIN(S21,S$25-SUM(S$26:S27))</f>
        <v>0.71111817603738903</v>
      </c>
      <c r="T28" s="6">
        <f>MIN(T21,T$25-SUM(T$26:T27))</f>
        <v>2.0999999999999998E-2</v>
      </c>
      <c r="U28" s="6">
        <f>MIN(U21,U$25-SUM(U$26:U27))</f>
        <v>0.97799999999999998</v>
      </c>
      <c r="V28" s="6">
        <f>MIN(V21,V$25-SUM(V$26:V27))</f>
        <v>6.9566100812881375</v>
      </c>
      <c r="W28" s="6">
        <f>MIN(W21,W$25-SUM(W$26:W27))</f>
        <v>0</v>
      </c>
      <c r="X28" s="6">
        <f>MIN(X21,X$25-SUM(X$26:X27))</f>
        <v>0</v>
      </c>
      <c r="Y28" s="6">
        <f>MIN(Y21,Y$25-SUM(Y$26:Y27))</f>
        <v>0</v>
      </c>
      <c r="Z28" s="6">
        <f>MIN(Z21,Z$25-SUM(Z$26:Z27))</f>
        <v>0</v>
      </c>
      <c r="AA28" s="6">
        <f>MIN(AA21,AA$25-SUM(AA$26:AA27))</f>
        <v>0</v>
      </c>
      <c r="AB28" s="6">
        <f>MIN(AB21,AB$25-SUM(AB$26:AB27))</f>
        <v>0</v>
      </c>
      <c r="AC28" s="6">
        <f>MIN(AC21,AC$25-SUM(AC$26:AC27))</f>
        <v>0</v>
      </c>
      <c r="AD28" s="6">
        <f>MIN(AD21,AD$25-SUM(AD$26:AD27))</f>
        <v>5.2884232845863899</v>
      </c>
      <c r="AE28" s="6">
        <f>MIN(AE21,AE$25-SUM(AE$26:AE27))</f>
        <v>0</v>
      </c>
      <c r="AF28" s="6">
        <f>MIN(AF21,AF$25-SUM(AF$26:AF27))</f>
        <v>5.3693872579664106</v>
      </c>
      <c r="AG28" s="6">
        <f>MIN(AG21,AG$25-SUM(AG$26:AG27))</f>
        <v>0.26869951400605563</v>
      </c>
      <c r="AH28" s="6">
        <f>MIN(AH21,AH$25-SUM(AH$26:AH27))</f>
        <v>0</v>
      </c>
      <c r="AI28" s="6">
        <f>MIN(AI21,AI$25-SUM(AI$26:AI27))</f>
        <v>0</v>
      </c>
      <c r="AJ28" s="6">
        <f>MIN(AJ21,AJ$25-SUM(AJ$26:AJ27))</f>
        <v>0</v>
      </c>
      <c r="AK28" s="6">
        <f>MIN(AK21,AK$25-SUM(AK$26:AK27))</f>
        <v>0</v>
      </c>
      <c r="AT28" t="s">
        <v>48</v>
      </c>
      <c r="AU28" t="s">
        <v>88</v>
      </c>
      <c r="AV28" s="3">
        <f t="shared" si="3"/>
        <v>4.4385193099581981E-5</v>
      </c>
      <c r="AW28" s="3">
        <f t="shared" si="4"/>
        <v>1.1405705437262721E-4</v>
      </c>
      <c r="AX28" s="3">
        <f t="shared" si="5"/>
        <v>3.1284574420540159E-4</v>
      </c>
      <c r="AY28" s="3">
        <f t="shared" si="6"/>
        <v>2.1026116539353533E-6</v>
      </c>
      <c r="AZ28" s="3">
        <f t="shared" si="7"/>
        <v>0</v>
      </c>
      <c r="BA28" s="3">
        <f t="shared" si="8"/>
        <v>0</v>
      </c>
      <c r="BB28">
        <v>0</v>
      </c>
      <c r="BC28">
        <v>0</v>
      </c>
      <c r="BD28">
        <v>0</v>
      </c>
      <c r="BE28">
        <v>630</v>
      </c>
      <c r="BH28" t="s">
        <v>88</v>
      </c>
      <c r="BI28">
        <v>111</v>
      </c>
      <c r="BJ28">
        <v>203</v>
      </c>
      <c r="BK28">
        <v>315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630</v>
      </c>
    </row>
    <row r="29" spans="1:70" x14ac:dyDescent="0.25">
      <c r="A29">
        <v>2010</v>
      </c>
      <c r="B29" t="s">
        <v>136</v>
      </c>
      <c r="C29" t="str">
        <f t="shared" si="22"/>
        <v>E_WON-BySt_C3_IND</v>
      </c>
      <c r="D29" s="6">
        <f>MIN(D22,D$25-SUM(D$26:D28))</f>
        <v>0</v>
      </c>
      <c r="E29" s="6">
        <f>MIN(E22,E$25-SUM(E$26:E28))</f>
        <v>0</v>
      </c>
      <c r="F29" s="6">
        <f>MIN(F22,F$25-SUM(F$26:F28))</f>
        <v>0</v>
      </c>
      <c r="G29" s="6">
        <f>MIN(G22,G$25-SUM(G$26:G28))</f>
        <v>0</v>
      </c>
      <c r="H29" s="6">
        <f>MIN(H22,H$25-SUM(H$26:H28))</f>
        <v>0</v>
      </c>
      <c r="I29" s="6">
        <f>MIN(I22,I$25-SUM(I$26:I28))</f>
        <v>0</v>
      </c>
      <c r="J29" s="6">
        <f>MIN(J22,J$25-SUM(J$26:J28))</f>
        <v>0</v>
      </c>
      <c r="K29" s="6">
        <f>MIN(K22,K$25-SUM(K$26:K28))</f>
        <v>0</v>
      </c>
      <c r="L29" s="6">
        <f>MIN(L22,L$25-SUM(L$26:L28))</f>
        <v>0</v>
      </c>
      <c r="M29" s="6">
        <f>MIN(M22,M$25-SUM(M$26:M28))</f>
        <v>0</v>
      </c>
      <c r="N29" s="6">
        <f>MIN(N22,N$25-SUM(N$26:N28))</f>
        <v>0</v>
      </c>
      <c r="O29" s="6">
        <f>MIN(O22,O$25-SUM(O$26:O28))</f>
        <v>0</v>
      </c>
      <c r="P29" s="6">
        <f>MIN(P22,P$25-SUM(P$26:P28))</f>
        <v>0</v>
      </c>
      <c r="Q29" s="6">
        <f>MIN(Q22,Q$25-SUM(Q$26:Q28))</f>
        <v>0</v>
      </c>
      <c r="R29" s="6">
        <f>MIN(R22,R$25-SUM(R$26:R28))</f>
        <v>0</v>
      </c>
      <c r="S29" s="6">
        <f>MIN(S22,S$25-SUM(S$26:S28))</f>
        <v>0</v>
      </c>
      <c r="T29" s="6">
        <f>MIN(T22,T$25-SUM(T$26:T28))</f>
        <v>0.15790769889533321</v>
      </c>
      <c r="U29" s="6">
        <f>MIN(U22,U$25-SUM(U$26:U28))</f>
        <v>2.6421370742744306</v>
      </c>
      <c r="V29" s="6">
        <f>MIN(V22,V$25-SUM(V$26:V28))</f>
        <v>0</v>
      </c>
      <c r="W29" s="6">
        <f>MIN(W22,W$25-SUM(W$26:W28))</f>
        <v>0</v>
      </c>
      <c r="X29" s="6">
        <f>MIN(X22,X$25-SUM(X$26:X28))</f>
        <v>0</v>
      </c>
      <c r="Y29" s="6">
        <f>MIN(Y22,Y$25-SUM(Y$26:Y28))</f>
        <v>0</v>
      </c>
      <c r="Z29" s="6">
        <f>MIN(Z22,Z$25-SUM(Z$26:Z28))</f>
        <v>0</v>
      </c>
      <c r="AA29" s="6">
        <f>MIN(AA22,AA$25-SUM(AA$26:AA28))</f>
        <v>0</v>
      </c>
      <c r="AB29" s="6">
        <f>MIN(AB22,AB$25-SUM(AB$26:AB28))</f>
        <v>0</v>
      </c>
      <c r="AC29" s="6">
        <f>MIN(AC22,AC$25-SUM(AC$26:AC28))</f>
        <v>0</v>
      </c>
      <c r="AD29" s="6">
        <f>MIN(AD22,AD$25-SUM(AD$26:AD28))</f>
        <v>0</v>
      </c>
      <c r="AE29" s="6">
        <f>MIN(AE22,AE$25-SUM(AE$26:AE28))</f>
        <v>0</v>
      </c>
      <c r="AF29" s="6">
        <f>MIN(AF22,AF$25-SUM(AF$26:AF28))</f>
        <v>0</v>
      </c>
      <c r="AG29" s="6">
        <f>MIN(AG22,AG$25-SUM(AG$26:AG28))</f>
        <v>0</v>
      </c>
      <c r="AH29" s="6">
        <f>MIN(AH22,AH$25-SUM(AH$26:AH28))</f>
        <v>0</v>
      </c>
      <c r="AI29" s="6">
        <f>MIN(AI22,AI$25-SUM(AI$26:AI28))</f>
        <v>0</v>
      </c>
      <c r="AJ29" s="6">
        <f>MIN(AJ22,AJ$25-SUM(AJ$26:AJ28))</f>
        <v>0</v>
      </c>
      <c r="AK29" s="6">
        <f>MIN(AK22,AK$25-SUM(AK$26:AK28))</f>
        <v>0</v>
      </c>
      <c r="AT29" t="s">
        <v>47</v>
      </c>
      <c r="AU29" t="s">
        <v>89</v>
      </c>
      <c r="AV29" s="3">
        <f t="shared" si="3"/>
        <v>1.289129946249931E-2</v>
      </c>
      <c r="AW29" s="3">
        <f t="shared" si="4"/>
        <v>0</v>
      </c>
      <c r="AX29" s="3">
        <f t="shared" si="5"/>
        <v>0</v>
      </c>
      <c r="AY29" s="3">
        <f t="shared" si="6"/>
        <v>0</v>
      </c>
      <c r="AZ29" s="3">
        <f t="shared" si="7"/>
        <v>0</v>
      </c>
      <c r="BA29" s="3">
        <f t="shared" si="8"/>
        <v>0</v>
      </c>
      <c r="BB29">
        <v>0</v>
      </c>
      <c r="BC29">
        <v>0</v>
      </c>
      <c r="BD29">
        <v>0</v>
      </c>
      <c r="BE29" s="2">
        <v>32239</v>
      </c>
      <c r="BH29" t="s">
        <v>89</v>
      </c>
      <c r="BI29" s="2">
        <v>32239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 s="2">
        <v>32239</v>
      </c>
    </row>
    <row r="30" spans="1:70" x14ac:dyDescent="0.25">
      <c r="A30">
        <v>2010</v>
      </c>
      <c r="B30" t="s">
        <v>136</v>
      </c>
      <c r="C30" t="str">
        <f t="shared" si="22"/>
        <v>E_WON-BySt_C2_IND</v>
      </c>
      <c r="D30" s="6">
        <f>MIN(D23,D$25-SUM(D$26:D29))</f>
        <v>0</v>
      </c>
      <c r="E30" s="6">
        <f>MIN(E23,E$25-SUM(E$26:E29))</f>
        <v>0</v>
      </c>
      <c r="F30" s="6">
        <f>MIN(F23,F$25-SUM(F$26:F29))</f>
        <v>0</v>
      </c>
      <c r="G30" s="6">
        <f>MIN(G23,G$25-SUM(G$26:G29))</f>
        <v>0</v>
      </c>
      <c r="H30" s="6">
        <f>MIN(H23,H$25-SUM(H$26:H29))</f>
        <v>0</v>
      </c>
      <c r="I30" s="6">
        <f>MIN(I23,I$25-SUM(I$26:I29))</f>
        <v>0</v>
      </c>
      <c r="J30" s="6">
        <f>MIN(J23,J$25-SUM(J$26:J29))</f>
        <v>0</v>
      </c>
      <c r="K30" s="6">
        <f>MIN(K23,K$25-SUM(K$26:K29))</f>
        <v>0</v>
      </c>
      <c r="L30" s="6">
        <f>MIN(L23,L$25-SUM(L$26:L29))</f>
        <v>0</v>
      </c>
      <c r="M30" s="6">
        <f>MIN(M23,M$25-SUM(M$26:M29))</f>
        <v>0</v>
      </c>
      <c r="N30" s="6">
        <f>MIN(N23,N$25-SUM(N$26:N29))</f>
        <v>0</v>
      </c>
      <c r="O30" s="6">
        <f>MIN(O23,O$25-SUM(O$26:O29))</f>
        <v>0</v>
      </c>
      <c r="P30" s="6">
        <f>MIN(P23,P$25-SUM(P$26:P29))</f>
        <v>0</v>
      </c>
      <c r="Q30" s="6">
        <f>MIN(Q23,Q$25-SUM(Q$26:Q29))</f>
        <v>0</v>
      </c>
      <c r="R30" s="6">
        <f>MIN(R23,R$25-SUM(R$26:R29))</f>
        <v>0</v>
      </c>
      <c r="S30" s="6">
        <f>MIN(S23,S$25-SUM(S$26:S29))</f>
        <v>0</v>
      </c>
      <c r="T30" s="6">
        <f>MIN(T23,T$25-SUM(T$26:T29))</f>
        <v>0</v>
      </c>
      <c r="U30" s="6">
        <f>MIN(U23,U$25-SUM(U$26:U29))</f>
        <v>0</v>
      </c>
      <c r="V30" s="6">
        <f>MIN(V23,V$25-SUM(V$26:V29))</f>
        <v>0</v>
      </c>
      <c r="W30" s="6">
        <f>MIN(W23,W$25-SUM(W$26:W29))</f>
        <v>0</v>
      </c>
      <c r="X30" s="6">
        <f>MIN(X23,X$25-SUM(X$26:X29))</f>
        <v>0</v>
      </c>
      <c r="Y30" s="6">
        <f>MIN(Y23,Y$25-SUM(Y$26:Y29))</f>
        <v>0</v>
      </c>
      <c r="Z30" s="6">
        <f>MIN(Z23,Z$25-SUM(Z$26:Z29))</f>
        <v>0</v>
      </c>
      <c r="AA30" s="6">
        <f>MIN(AA23,AA$25-SUM(AA$26:AA29))</f>
        <v>0</v>
      </c>
      <c r="AB30" s="6">
        <f>MIN(AB23,AB$25-SUM(AB$26:AB29))</f>
        <v>0</v>
      </c>
      <c r="AC30" s="6">
        <f>MIN(AC23,AC$25-SUM(AC$26:AC29))</f>
        <v>0</v>
      </c>
      <c r="AD30" s="6">
        <f>MIN(AD23,AD$25-SUM(AD$26:AD29))</f>
        <v>0</v>
      </c>
      <c r="AE30" s="6">
        <f>MIN(AE23,AE$25-SUM(AE$26:AE29))</f>
        <v>0</v>
      </c>
      <c r="AF30" s="6">
        <f>MIN(AF23,AF$25-SUM(AF$26:AF29))</f>
        <v>0</v>
      </c>
      <c r="AG30" s="6">
        <f>MIN(AG23,AG$25-SUM(AG$26:AG29))</f>
        <v>0</v>
      </c>
      <c r="AH30" s="6">
        <f>MIN(AH23,AH$25-SUM(AH$26:AH29))</f>
        <v>0</v>
      </c>
      <c r="AI30" s="6">
        <f>MIN(AI23,AI$25-SUM(AI$26:AI29))</f>
        <v>0</v>
      </c>
      <c r="AJ30" s="6">
        <f>MIN(AJ23,AJ$25-SUM(AJ$26:AJ29))</f>
        <v>0</v>
      </c>
      <c r="AK30" s="6">
        <f>MIN(AK23,AK$25-SUM(AK$26:AK29))</f>
        <v>0</v>
      </c>
      <c r="AT30" t="s">
        <v>49</v>
      </c>
      <c r="AU30" t="s">
        <v>90</v>
      </c>
      <c r="AV30" s="3">
        <f t="shared" si="3"/>
        <v>0.17760874972109306</v>
      </c>
      <c r="AW30" s="3">
        <f t="shared" si="4"/>
        <v>0.20386378104191963</v>
      </c>
      <c r="AX30" s="3">
        <f t="shared" si="5"/>
        <v>8.1784829662940983E-2</v>
      </c>
      <c r="AY30" s="3">
        <f t="shared" si="6"/>
        <v>4.6860905931257212E-2</v>
      </c>
      <c r="AZ30" s="3">
        <f t="shared" si="7"/>
        <v>9.4250952952848414E-3</v>
      </c>
      <c r="BA30" s="3">
        <f t="shared" si="8"/>
        <v>2.7321180633313926E-3</v>
      </c>
      <c r="BB30">
        <v>0</v>
      </c>
      <c r="BC30">
        <v>0</v>
      </c>
      <c r="BD30">
        <v>0</v>
      </c>
      <c r="BE30" s="2">
        <v>912065</v>
      </c>
      <c r="BH30" t="s">
        <v>90</v>
      </c>
      <c r="BI30" s="2">
        <v>444170</v>
      </c>
      <c r="BJ30" s="2">
        <v>362839</v>
      </c>
      <c r="BK30" s="2">
        <v>82348</v>
      </c>
      <c r="BL30" s="2">
        <v>22287</v>
      </c>
      <c r="BM30">
        <v>361</v>
      </c>
      <c r="BN30">
        <v>61</v>
      </c>
      <c r="BO30">
        <v>0</v>
      </c>
      <c r="BP30">
        <v>0</v>
      </c>
      <c r="BQ30">
        <v>0</v>
      </c>
      <c r="BR30" s="2">
        <v>912065</v>
      </c>
    </row>
    <row r="31" spans="1:70" x14ac:dyDescent="0.25">
      <c r="A31">
        <v>2010</v>
      </c>
      <c r="B31" t="s">
        <v>136</v>
      </c>
      <c r="C31" t="str">
        <f t="shared" si="22"/>
        <v>E_WON-BySt_C1_IND</v>
      </c>
      <c r="D31" s="6">
        <f>MIN(D24,D$25-SUM(D$26:D30))</f>
        <v>0</v>
      </c>
      <c r="E31" s="6">
        <f>MIN(E24,E$25-SUM(E$26:E30))</f>
        <v>0</v>
      </c>
      <c r="F31" s="6">
        <f>MIN(F24,F$25-SUM(F$26:F30))</f>
        <v>0</v>
      </c>
      <c r="G31" s="6">
        <f>MIN(G24,G$25-SUM(G$26:G30))</f>
        <v>0</v>
      </c>
      <c r="H31" s="6">
        <f>MIN(H24,H$25-SUM(H$26:H30))</f>
        <v>0</v>
      </c>
      <c r="I31" s="6">
        <f>MIN(I24,I$25-SUM(I$26:I30))</f>
        <v>0</v>
      </c>
      <c r="J31" s="6">
        <f>MIN(J24,J$25-SUM(J$26:J30))</f>
        <v>0</v>
      </c>
      <c r="K31" s="6">
        <f>MIN(K24,K$25-SUM(K$26:K30))</f>
        <v>0</v>
      </c>
      <c r="L31" s="6">
        <f>MIN(L24,L$25-SUM(L$26:L30))</f>
        <v>0.13318760517874617</v>
      </c>
      <c r="M31" s="6">
        <f>MIN(M24,M$25-SUM(M$26:M30))</f>
        <v>0</v>
      </c>
      <c r="N31" s="6">
        <f>MIN(N24,N$25-SUM(N$26:N30))</f>
        <v>0</v>
      </c>
      <c r="O31" s="6">
        <f>MIN(O24,O$25-SUM(O$26:O30))</f>
        <v>0</v>
      </c>
      <c r="P31" s="6">
        <f>MIN(P24,P$25-SUM(P$26:P30))</f>
        <v>0</v>
      </c>
      <c r="Q31" s="6">
        <f>MIN(Q24,Q$25-SUM(Q$26:Q30))</f>
        <v>0</v>
      </c>
      <c r="R31" s="6">
        <f>MIN(R24,R$25-SUM(R$26:R30))</f>
        <v>0</v>
      </c>
      <c r="S31" s="6">
        <f>MIN(S24,S$25-SUM(S$26:S30))</f>
        <v>0</v>
      </c>
      <c r="T31" s="6">
        <f>MIN(T24,T$25-SUM(T$26:T30))</f>
        <v>0</v>
      </c>
      <c r="U31" s="6">
        <f>MIN(U24,U$25-SUM(U$26:U30))</f>
        <v>0</v>
      </c>
      <c r="V31" s="6">
        <f>MIN(V24,V$25-SUM(V$26:V30))</f>
        <v>0</v>
      </c>
      <c r="W31" s="6">
        <f>MIN(W24,W$25-SUM(W$26:W30))</f>
        <v>0</v>
      </c>
      <c r="X31" s="6">
        <f>MIN(X24,X$25-SUM(X$26:X30))</f>
        <v>0</v>
      </c>
      <c r="Y31" s="6">
        <f>MIN(Y24,Y$25-SUM(Y$26:Y30))</f>
        <v>0</v>
      </c>
      <c r="Z31" s="6">
        <f>MIN(Z24,Z$25-SUM(Z$26:Z30))</f>
        <v>0</v>
      </c>
      <c r="AA31" s="6">
        <f>MIN(AA24,AA$25-SUM(AA$26:AA30))</f>
        <v>0</v>
      </c>
      <c r="AB31" s="6">
        <f>MIN(AB24,AB$25-SUM(AB$26:AB30))</f>
        <v>0</v>
      </c>
      <c r="AC31" s="6">
        <f>MIN(AC24,AC$25-SUM(AC$26:AC30))</f>
        <v>0</v>
      </c>
      <c r="AD31" s="6">
        <f>MIN(AD24,AD$25-SUM(AD$26:AD30))</f>
        <v>0</v>
      </c>
      <c r="AE31" s="6">
        <f>MIN(AE24,AE$25-SUM(AE$26:AE30))</f>
        <v>0</v>
      </c>
      <c r="AF31" s="6">
        <f>MIN(AF24,AF$25-SUM(AF$26:AF30))</f>
        <v>0</v>
      </c>
      <c r="AG31" s="6">
        <f>MIN(AG24,AG$25-SUM(AG$26:AG30))</f>
        <v>0</v>
      </c>
      <c r="AH31" s="6">
        <f>MIN(AH24,AH$25-SUM(AH$26:AH30))</f>
        <v>0</v>
      </c>
      <c r="AI31" s="6">
        <f>MIN(AI24,AI$25-SUM(AI$26:AI30))</f>
        <v>0</v>
      </c>
      <c r="AJ31" s="6">
        <f>MIN(AJ24,AJ$25-SUM(AJ$26:AJ30))</f>
        <v>0</v>
      </c>
      <c r="AK31" s="6">
        <f>MIN(AK24,AK$25-SUM(AK$26:AK30))</f>
        <v>0</v>
      </c>
      <c r="AT31" t="s">
        <v>50</v>
      </c>
      <c r="AU31" t="s">
        <v>91</v>
      </c>
      <c r="AV31" s="3">
        <f t="shared" si="3"/>
        <v>7.1576122205632204E-5</v>
      </c>
      <c r="AW31" s="3">
        <f t="shared" si="4"/>
        <v>1.9159337704958561E-4</v>
      </c>
      <c r="AX31" s="3">
        <f t="shared" si="5"/>
        <v>4.2407978658954437E-4</v>
      </c>
      <c r="AY31" s="3">
        <f t="shared" si="6"/>
        <v>2.548365324569648E-3</v>
      </c>
      <c r="AZ31" s="3">
        <f t="shared" si="7"/>
        <v>7.4147564095869666E-3</v>
      </c>
      <c r="BA31" s="3">
        <f t="shared" si="8"/>
        <v>1.9169615264030097E-2</v>
      </c>
      <c r="BB31">
        <v>0</v>
      </c>
      <c r="BC31">
        <v>0</v>
      </c>
      <c r="BD31">
        <v>0</v>
      </c>
      <c r="BE31" s="2">
        <v>2871</v>
      </c>
      <c r="BH31" t="s">
        <v>91</v>
      </c>
      <c r="BI31">
        <v>179</v>
      </c>
      <c r="BJ31">
        <v>341</v>
      </c>
      <c r="BK31">
        <v>427</v>
      </c>
      <c r="BL31" s="2">
        <v>1212</v>
      </c>
      <c r="BM31">
        <v>284</v>
      </c>
      <c r="BN31">
        <v>428</v>
      </c>
      <c r="BO31">
        <v>0</v>
      </c>
      <c r="BP31">
        <v>0</v>
      </c>
      <c r="BQ31">
        <v>0</v>
      </c>
      <c r="BR31" s="2">
        <v>2871</v>
      </c>
    </row>
    <row r="32" spans="1:70" x14ac:dyDescent="0.25">
      <c r="AT32" t="s">
        <v>52</v>
      </c>
      <c r="AU32" t="s">
        <v>92</v>
      </c>
      <c r="AV32" s="3">
        <f t="shared" si="3"/>
        <v>6.1183589154658003E-3</v>
      </c>
      <c r="AW32" s="3">
        <f t="shared" si="4"/>
        <v>2.0876373952065697E-2</v>
      </c>
      <c r="AX32" s="3">
        <f t="shared" si="5"/>
        <v>1.7540218058449516E-2</v>
      </c>
      <c r="AY32" s="3">
        <f t="shared" si="6"/>
        <v>2.9167428863391218E-2</v>
      </c>
      <c r="AZ32" s="3">
        <f t="shared" si="7"/>
        <v>4.1982141924703668E-2</v>
      </c>
      <c r="BA32" s="3">
        <f t="shared" si="8"/>
        <v>4.5236708917454202E-3</v>
      </c>
      <c r="BB32">
        <v>0</v>
      </c>
      <c r="BC32">
        <v>0</v>
      </c>
      <c r="BD32">
        <v>0</v>
      </c>
      <c r="BE32" s="2">
        <v>85699</v>
      </c>
      <c r="BH32" t="s">
        <v>92</v>
      </c>
      <c r="BI32" s="2">
        <v>15301</v>
      </c>
      <c r="BJ32" s="2">
        <v>37156</v>
      </c>
      <c r="BK32" s="2">
        <v>17661</v>
      </c>
      <c r="BL32" s="2">
        <v>13872</v>
      </c>
      <c r="BM32" s="2">
        <v>1608</v>
      </c>
      <c r="BN32">
        <v>101</v>
      </c>
      <c r="BO32">
        <v>0</v>
      </c>
      <c r="BP32">
        <v>0</v>
      </c>
      <c r="BQ32">
        <v>0</v>
      </c>
      <c r="BR32" s="2">
        <v>85699</v>
      </c>
    </row>
    <row r="33" spans="46:80" x14ac:dyDescent="0.25">
      <c r="AT33" t="s">
        <v>51</v>
      </c>
      <c r="AU33" t="s">
        <v>93</v>
      </c>
      <c r="AV33" s="3">
        <f t="shared" si="3"/>
        <v>4.0282161870799901E-2</v>
      </c>
      <c r="AW33" s="3">
        <f t="shared" si="4"/>
        <v>4.201625902975091E-2</v>
      </c>
      <c r="AX33" s="3">
        <f t="shared" si="5"/>
        <v>7.5162431496713627E-3</v>
      </c>
      <c r="AY33" s="3">
        <f t="shared" si="6"/>
        <v>4.6404639202353246E-3</v>
      </c>
      <c r="AZ33" s="3">
        <f t="shared" si="7"/>
        <v>1.566497833011331E-4</v>
      </c>
      <c r="BA33" s="3">
        <f t="shared" si="8"/>
        <v>0</v>
      </c>
      <c r="BB33">
        <v>0</v>
      </c>
      <c r="BC33">
        <v>0</v>
      </c>
      <c r="BD33">
        <v>0</v>
      </c>
      <c r="BE33" s="2">
        <v>185301</v>
      </c>
      <c r="BH33" t="s">
        <v>93</v>
      </c>
      <c r="BI33" s="2">
        <v>100739</v>
      </c>
      <c r="BJ33" s="2">
        <v>74781</v>
      </c>
      <c r="BK33" s="2">
        <v>7568</v>
      </c>
      <c r="BL33" s="2">
        <v>2207</v>
      </c>
      <c r="BM33">
        <v>6</v>
      </c>
      <c r="BN33">
        <v>0</v>
      </c>
      <c r="BO33">
        <v>0</v>
      </c>
      <c r="BP33">
        <v>0</v>
      </c>
      <c r="BQ33">
        <v>0</v>
      </c>
      <c r="BR33" s="2">
        <v>185301</v>
      </c>
    </row>
    <row r="34" spans="46:80" x14ac:dyDescent="0.25">
      <c r="AT34" t="s">
        <v>53</v>
      </c>
      <c r="AU34" t="s">
        <v>94</v>
      </c>
      <c r="AV34" s="3">
        <f t="shared" si="3"/>
        <v>3.6347874349117133E-4</v>
      </c>
      <c r="AW34" s="3">
        <f t="shared" si="4"/>
        <v>0</v>
      </c>
      <c r="AX34" s="3">
        <f t="shared" si="5"/>
        <v>0</v>
      </c>
      <c r="AY34" s="3">
        <f t="shared" si="6"/>
        <v>0</v>
      </c>
      <c r="AZ34" s="3">
        <f t="shared" si="7"/>
        <v>0</v>
      </c>
      <c r="BA34" s="3">
        <f t="shared" si="8"/>
        <v>0</v>
      </c>
      <c r="BB34">
        <v>0</v>
      </c>
      <c r="BC34">
        <v>0</v>
      </c>
      <c r="BD34">
        <v>0</v>
      </c>
      <c r="BE34">
        <v>909</v>
      </c>
      <c r="BH34" t="s">
        <v>94</v>
      </c>
      <c r="BI34">
        <v>909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909</v>
      </c>
    </row>
    <row r="35" spans="46:80" x14ac:dyDescent="0.25">
      <c r="AT35" t="s">
        <v>54</v>
      </c>
      <c r="AU35" t="s">
        <v>95</v>
      </c>
      <c r="AV35" s="3">
        <f t="shared" si="3"/>
        <v>0.13566274290896557</v>
      </c>
      <c r="AW35" s="3">
        <f t="shared" si="4"/>
        <v>3.5744244754077822E-2</v>
      </c>
      <c r="AX35" s="3">
        <f t="shared" si="5"/>
        <v>0</v>
      </c>
      <c r="AY35" s="3">
        <f t="shared" si="6"/>
        <v>0</v>
      </c>
      <c r="AZ35" s="3">
        <f t="shared" si="7"/>
        <v>0</v>
      </c>
      <c r="BA35" s="3">
        <f t="shared" si="8"/>
        <v>0</v>
      </c>
      <c r="BB35">
        <v>0</v>
      </c>
      <c r="BC35">
        <v>0</v>
      </c>
      <c r="BD35">
        <v>0</v>
      </c>
      <c r="BE35" s="2">
        <v>402888</v>
      </c>
      <c r="BH35" t="s">
        <v>95</v>
      </c>
      <c r="BI35" s="2">
        <v>339270</v>
      </c>
      <c r="BJ35" s="2">
        <v>63618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 s="2">
        <v>402888</v>
      </c>
    </row>
    <row r="36" spans="46:80" x14ac:dyDescent="0.25">
      <c r="AT36" t="s">
        <v>55</v>
      </c>
      <c r="AU36" t="s">
        <v>96</v>
      </c>
      <c r="AV36" s="3">
        <f t="shared" si="3"/>
        <v>9.3836696078188325E-3</v>
      </c>
      <c r="AW36" s="3">
        <f t="shared" si="4"/>
        <v>3.9639040325068226E-3</v>
      </c>
      <c r="AX36" s="3">
        <f t="shared" si="5"/>
        <v>5.1465607824520351E-3</v>
      </c>
      <c r="AY36" s="3">
        <f t="shared" si="6"/>
        <v>1.4398684606149298E-2</v>
      </c>
      <c r="AZ36" s="3">
        <f t="shared" si="7"/>
        <v>2.9659025638347866E-2</v>
      </c>
      <c r="BA36" s="3">
        <f t="shared" si="8"/>
        <v>4.9491646884937519E-2</v>
      </c>
      <c r="BB36">
        <v>0</v>
      </c>
      <c r="BC36">
        <v>0</v>
      </c>
      <c r="BD36">
        <v>0</v>
      </c>
      <c r="BE36" s="2">
        <v>44793</v>
      </c>
      <c r="BH36" t="s">
        <v>96</v>
      </c>
      <c r="BI36" s="2">
        <v>23467</v>
      </c>
      <c r="BJ36" s="2">
        <v>7055</v>
      </c>
      <c r="BK36" s="2">
        <v>5182</v>
      </c>
      <c r="BL36" s="2">
        <v>6848</v>
      </c>
      <c r="BM36" s="2">
        <v>1136</v>
      </c>
      <c r="BN36" s="2">
        <v>1105</v>
      </c>
      <c r="BO36">
        <v>0</v>
      </c>
      <c r="BP36">
        <v>0</v>
      </c>
      <c r="BQ36">
        <v>0</v>
      </c>
      <c r="BR36" s="2">
        <v>44793</v>
      </c>
    </row>
    <row r="37" spans="46:80" x14ac:dyDescent="0.25">
      <c r="AT37" t="s">
        <v>56</v>
      </c>
      <c r="AU37" t="s">
        <v>97</v>
      </c>
      <c r="AV37" s="3">
        <f t="shared" si="3"/>
        <v>2.4894095329797979E-2</v>
      </c>
      <c r="AW37" s="3">
        <f t="shared" si="4"/>
        <v>1.6142163409485614E-3</v>
      </c>
      <c r="AX37" s="3">
        <f t="shared" si="5"/>
        <v>4.2606610877497553E-4</v>
      </c>
      <c r="AY37" s="3">
        <f t="shared" si="6"/>
        <v>6.9386184579866653E-5</v>
      </c>
      <c r="AZ37" s="3">
        <f t="shared" si="7"/>
        <v>7.832489165056655E-5</v>
      </c>
      <c r="BA37" s="3">
        <f t="shared" si="8"/>
        <v>0</v>
      </c>
      <c r="BB37">
        <v>0</v>
      </c>
      <c r="BC37">
        <v>0</v>
      </c>
      <c r="BD37">
        <v>0</v>
      </c>
      <c r="BE37" s="2">
        <v>65594</v>
      </c>
      <c r="BH37" t="s">
        <v>97</v>
      </c>
      <c r="BI37" s="2">
        <v>62256</v>
      </c>
      <c r="BJ37" s="2">
        <v>2873</v>
      </c>
      <c r="BK37">
        <v>429</v>
      </c>
      <c r="BL37">
        <v>33</v>
      </c>
      <c r="BM37">
        <v>3</v>
      </c>
      <c r="BN37">
        <v>0</v>
      </c>
      <c r="BO37">
        <v>0</v>
      </c>
      <c r="BP37">
        <v>0</v>
      </c>
      <c r="BQ37">
        <v>0</v>
      </c>
      <c r="BR37" s="2">
        <v>65594</v>
      </c>
    </row>
    <row r="38" spans="46:80" x14ac:dyDescent="0.25">
      <c r="AV38" s="3"/>
      <c r="AW38" s="3"/>
      <c r="AX38" s="3"/>
      <c r="AY38" s="3"/>
      <c r="AZ38" s="3"/>
      <c r="BA38" s="3"/>
      <c r="BE38" s="2"/>
      <c r="BI38" s="2">
        <v>2500834</v>
      </c>
      <c r="BJ38" s="2">
        <v>1779811</v>
      </c>
      <c r="BK38" s="2">
        <v>1006886</v>
      </c>
      <c r="BL38" s="2">
        <v>475599</v>
      </c>
      <c r="BM38" s="2">
        <v>38302</v>
      </c>
      <c r="BN38" s="2">
        <v>22327</v>
      </c>
      <c r="BO38">
        <v>0</v>
      </c>
      <c r="BP38">
        <v>0</v>
      </c>
      <c r="BQ38">
        <v>0</v>
      </c>
      <c r="BR38" s="2">
        <v>5823759</v>
      </c>
    </row>
    <row r="41" spans="46:80" x14ac:dyDescent="0.25">
      <c r="AU41" t="s">
        <v>23</v>
      </c>
      <c r="AV41" t="s">
        <v>24</v>
      </c>
      <c r="AW41" t="s">
        <v>25</v>
      </c>
      <c r="AX41" t="s">
        <v>26</v>
      </c>
      <c r="AY41" t="s">
        <v>27</v>
      </c>
      <c r="AZ41" t="s">
        <v>28</v>
      </c>
      <c r="BA41" t="s">
        <v>29</v>
      </c>
      <c r="BB41" t="s">
        <v>31</v>
      </c>
      <c r="BC41" t="s">
        <v>30</v>
      </c>
      <c r="BD41" t="s">
        <v>32</v>
      </c>
      <c r="BE41" t="s">
        <v>33</v>
      </c>
      <c r="BF41" t="s">
        <v>35</v>
      </c>
      <c r="BG41" t="s">
        <v>34</v>
      </c>
      <c r="BH41" t="s">
        <v>37</v>
      </c>
      <c r="BI41" t="s">
        <v>36</v>
      </c>
      <c r="BJ41" t="s">
        <v>38</v>
      </c>
      <c r="BK41" t="s">
        <v>39</v>
      </c>
      <c r="BL41" t="s">
        <v>43</v>
      </c>
      <c r="BM41" t="s">
        <v>40</v>
      </c>
      <c r="BN41" t="s">
        <v>42</v>
      </c>
      <c r="BO41" t="s">
        <v>41</v>
      </c>
      <c r="BP41" t="s">
        <v>44</v>
      </c>
      <c r="BQ41" t="s">
        <v>45</v>
      </c>
      <c r="BR41" t="s">
        <v>46</v>
      </c>
      <c r="BS41" t="s">
        <v>48</v>
      </c>
      <c r="BT41" t="s">
        <v>47</v>
      </c>
      <c r="BU41" t="s">
        <v>49</v>
      </c>
      <c r="BV41" t="s">
        <v>50</v>
      </c>
      <c r="BW41" t="s">
        <v>52</v>
      </c>
      <c r="BX41" t="s">
        <v>51</v>
      </c>
      <c r="BY41" t="s">
        <v>53</v>
      </c>
      <c r="BZ41" t="s">
        <v>54</v>
      </c>
      <c r="CA41" t="s">
        <v>55</v>
      </c>
      <c r="CB41" t="s">
        <v>56</v>
      </c>
    </row>
    <row r="42" spans="46:80" x14ac:dyDescent="0.25">
      <c r="AT42" t="s">
        <v>58</v>
      </c>
      <c r="AU42" t="s">
        <v>63</v>
      </c>
      <c r="AV42" t="s">
        <v>64</v>
      </c>
      <c r="AW42" t="s">
        <v>65</v>
      </c>
      <c r="AX42" t="s">
        <v>66</v>
      </c>
      <c r="AY42" t="s">
        <v>67</v>
      </c>
      <c r="AZ42" t="s">
        <v>69</v>
      </c>
      <c r="BA42" t="s">
        <v>70</v>
      </c>
      <c r="BB42" t="s">
        <v>71</v>
      </c>
      <c r="BC42" t="s">
        <v>72</v>
      </c>
      <c r="BD42" t="s">
        <v>73</v>
      </c>
      <c r="BE42" t="s">
        <v>74</v>
      </c>
      <c r="BF42" t="s">
        <v>75</v>
      </c>
      <c r="BG42" t="s">
        <v>76</v>
      </c>
      <c r="BH42" t="s">
        <v>77</v>
      </c>
      <c r="BI42" t="s">
        <v>78</v>
      </c>
      <c r="BJ42" t="s">
        <v>79</v>
      </c>
      <c r="BK42" t="s">
        <v>80</v>
      </c>
      <c r="BL42" t="s">
        <v>81</v>
      </c>
      <c r="BM42" t="s">
        <v>82</v>
      </c>
      <c r="BN42" t="s">
        <v>83</v>
      </c>
      <c r="BO42" t="s">
        <v>84</v>
      </c>
      <c r="BP42" t="s">
        <v>85</v>
      </c>
      <c r="BQ42" t="s">
        <v>86</v>
      </c>
      <c r="BR42" t="s">
        <v>87</v>
      </c>
      <c r="BS42" t="s">
        <v>88</v>
      </c>
      <c r="BT42" t="s">
        <v>89</v>
      </c>
      <c r="BU42" t="s">
        <v>90</v>
      </c>
      <c r="BV42" t="s">
        <v>91</v>
      </c>
      <c r="BW42" t="s">
        <v>92</v>
      </c>
      <c r="BX42" t="s">
        <v>93</v>
      </c>
      <c r="BY42" t="s">
        <v>94</v>
      </c>
      <c r="BZ42" t="s">
        <v>95</v>
      </c>
      <c r="CA42" t="s">
        <v>96</v>
      </c>
      <c r="CB42" t="s">
        <v>97</v>
      </c>
    </row>
    <row r="43" spans="46:80" x14ac:dyDescent="0.25">
      <c r="AT43" t="s">
        <v>14</v>
      </c>
      <c r="AU43" s="3">
        <v>4.3985326495081237E-6</v>
      </c>
      <c r="AV43" s="3">
        <v>1.8834516805193786E-2</v>
      </c>
      <c r="AW43" s="3">
        <v>2.3796061633838952E-3</v>
      </c>
      <c r="AX43" s="3">
        <v>6.1683422410283928E-3</v>
      </c>
      <c r="AY43" s="3">
        <v>4.4288025514688301E-2</v>
      </c>
      <c r="AZ43" s="3">
        <v>6.7085220370484408E-2</v>
      </c>
      <c r="BA43" s="3">
        <v>2.4311889553644905E-4</v>
      </c>
      <c r="BB43" s="3">
        <v>0</v>
      </c>
      <c r="BC43" s="3">
        <v>7.8173921179894388E-4</v>
      </c>
      <c r="BD43" s="3">
        <v>1.0528487696504446E-3</v>
      </c>
      <c r="BE43" s="3">
        <v>2.7874301133141984E-2</v>
      </c>
      <c r="BF43" s="3">
        <v>2.7833914606087411E-2</v>
      </c>
      <c r="BG43" s="3">
        <v>7.9905343577382579E-3</v>
      </c>
      <c r="BH43" s="3">
        <v>1.400132915659336E-2</v>
      </c>
      <c r="BI43" s="3">
        <v>3.2250841119402567E-2</v>
      </c>
      <c r="BJ43" s="3">
        <v>1.1942416010019058E-2</v>
      </c>
      <c r="BK43" s="3">
        <v>7.8025970536229113E-3</v>
      </c>
      <c r="BL43" s="3">
        <v>0.16941588286147741</v>
      </c>
      <c r="BM43" s="3">
        <v>9.987388207294047E-2</v>
      </c>
      <c r="BN43" s="3">
        <v>5.3981991607599704E-4</v>
      </c>
      <c r="BO43" s="3">
        <v>9.92468912370833E-4</v>
      </c>
      <c r="BP43" s="3">
        <v>4.2385860077078285E-5</v>
      </c>
      <c r="BQ43" s="3">
        <v>4.094634030087563E-4</v>
      </c>
      <c r="BR43" s="3">
        <v>5.0815048099953852E-2</v>
      </c>
      <c r="BS43" s="3">
        <v>4.4385193099581981E-5</v>
      </c>
      <c r="BT43" s="3">
        <v>1.289129946249931E-2</v>
      </c>
      <c r="BU43" s="3">
        <v>0.17760874972109306</v>
      </c>
      <c r="BV43" s="3">
        <v>7.1576122205632204E-5</v>
      </c>
      <c r="BW43" s="3">
        <v>6.1183589154658003E-3</v>
      </c>
      <c r="BX43" s="3">
        <v>4.0282161870799901E-2</v>
      </c>
      <c r="BY43" s="3">
        <v>3.6347874349117133E-4</v>
      </c>
      <c r="BZ43" s="3">
        <v>0.13566274290896557</v>
      </c>
      <c r="CA43" s="3">
        <v>9.3836696078188325E-3</v>
      </c>
      <c r="CB43" s="3">
        <v>2.4894095329797979E-2</v>
      </c>
    </row>
    <row r="44" spans="46:80" x14ac:dyDescent="0.25">
      <c r="AT44" t="s">
        <v>16</v>
      </c>
      <c r="AU44" s="3">
        <v>7.1355891159229822E-5</v>
      </c>
      <c r="AV44" s="3">
        <v>5.3470846061744758E-2</v>
      </c>
      <c r="AW44" s="3">
        <v>1.5125201496113913E-3</v>
      </c>
      <c r="AX44" s="3">
        <v>3.7082589106371405E-4</v>
      </c>
      <c r="AY44" s="3">
        <v>4.841525308024279E-3</v>
      </c>
      <c r="AZ44" s="3">
        <v>9.7931746685462674E-4</v>
      </c>
      <c r="BA44" s="3">
        <v>3.3486701677874786E-4</v>
      </c>
      <c r="BB44" s="3">
        <v>0</v>
      </c>
      <c r="BC44" s="3">
        <v>0</v>
      </c>
      <c r="BD44" s="3">
        <v>1.3102514817584564E-3</v>
      </c>
      <c r="BE44" s="3">
        <v>0.2075782203840745</v>
      </c>
      <c r="BF44" s="3">
        <v>1.3877878044354149E-4</v>
      </c>
      <c r="BG44" s="3">
        <v>3.1660665093091343E-3</v>
      </c>
      <c r="BH44" s="3">
        <v>9.3054824360564135E-3</v>
      </c>
      <c r="BI44" s="3">
        <v>9.5515759819441505E-5</v>
      </c>
      <c r="BJ44" s="3">
        <v>0.10873795026550571</v>
      </c>
      <c r="BK44" s="3">
        <v>3.657691743673907E-4</v>
      </c>
      <c r="BL44" s="3">
        <v>9.1657484980146767E-2</v>
      </c>
      <c r="BM44" s="3">
        <v>0.19612812821136627</v>
      </c>
      <c r="BN44" s="3">
        <v>2.9216585356535049E-5</v>
      </c>
      <c r="BO44" s="3">
        <v>0</v>
      </c>
      <c r="BP44" s="3">
        <v>1.6855722321077912E-6</v>
      </c>
      <c r="BQ44" s="3">
        <v>1.7417579731780508E-5</v>
      </c>
      <c r="BR44" s="3">
        <v>1.1501783054492865E-2</v>
      </c>
      <c r="BS44" s="3">
        <v>1.1405705437262721E-4</v>
      </c>
      <c r="BT44" s="3">
        <v>0</v>
      </c>
      <c r="BU44" s="3">
        <v>0.20386378104191963</v>
      </c>
      <c r="BV44" s="3">
        <v>1.9159337704958561E-4</v>
      </c>
      <c r="BW44" s="3">
        <v>2.0876373952065697E-2</v>
      </c>
      <c r="BX44" s="3">
        <v>4.201625902975091E-2</v>
      </c>
      <c r="BY44" s="3">
        <v>0</v>
      </c>
      <c r="BZ44" s="3">
        <v>3.5744244754077822E-2</v>
      </c>
      <c r="CA44" s="3">
        <v>3.9639040325068226E-3</v>
      </c>
      <c r="CB44" s="3">
        <v>1.6142163409485614E-3</v>
      </c>
    </row>
    <row r="45" spans="46:80" x14ac:dyDescent="0.25">
      <c r="AT45" t="s">
        <v>17</v>
      </c>
      <c r="AU45" s="3">
        <v>1.3506990860931623E-4</v>
      </c>
      <c r="AV45" s="3">
        <v>7.8926512038105606E-2</v>
      </c>
      <c r="AW45" s="3">
        <v>3.2178419403984166E-3</v>
      </c>
      <c r="AX45" s="3">
        <v>0</v>
      </c>
      <c r="AY45" s="3">
        <v>0</v>
      </c>
      <c r="AZ45" s="3">
        <v>1.1222720347685835E-4</v>
      </c>
      <c r="BA45" s="3">
        <v>1.1322036456957391E-4</v>
      </c>
      <c r="BB45" s="3">
        <v>3.3529118490077327E-3</v>
      </c>
      <c r="BC45" s="3">
        <v>0</v>
      </c>
      <c r="BD45" s="3">
        <v>1.996253796358277E-4</v>
      </c>
      <c r="BE45" s="3">
        <v>0.33304465450905069</v>
      </c>
      <c r="BF45" s="3">
        <v>1.1917933112586728E-5</v>
      </c>
      <c r="BG45" s="3">
        <v>5.513037225664077E-3</v>
      </c>
      <c r="BH45" s="3">
        <v>1.8675401187423401E-2</v>
      </c>
      <c r="BI45" s="3">
        <v>1.9863221854311214E-5</v>
      </c>
      <c r="BJ45" s="3">
        <v>0.37274229654598434</v>
      </c>
      <c r="BK45" s="3">
        <v>1.9763905745039657E-4</v>
      </c>
      <c r="BL45" s="3">
        <v>3.0986626092725494E-3</v>
      </c>
      <c r="BM45" s="3">
        <v>6.4077760540915255E-2</v>
      </c>
      <c r="BN45" s="3">
        <v>5.0651215728493595E-5</v>
      </c>
      <c r="BO45" s="3">
        <v>0</v>
      </c>
      <c r="BP45" s="3">
        <v>2.9794832781466821E-6</v>
      </c>
      <c r="BQ45" s="3">
        <v>7.9452887417244856E-6</v>
      </c>
      <c r="BR45" s="3">
        <v>3.3469528824514394E-3</v>
      </c>
      <c r="BS45" s="3">
        <v>3.1284574420540159E-4</v>
      </c>
      <c r="BT45" s="3">
        <v>0</v>
      </c>
      <c r="BU45" s="3">
        <v>8.1784829662940983E-2</v>
      </c>
      <c r="BV45" s="3">
        <v>4.2407978658954437E-4</v>
      </c>
      <c r="BW45" s="3">
        <v>1.7540218058449516E-2</v>
      </c>
      <c r="BX45" s="3">
        <v>7.5162431496713627E-3</v>
      </c>
      <c r="BY45" s="3">
        <v>0</v>
      </c>
      <c r="BZ45" s="3">
        <v>0</v>
      </c>
      <c r="CA45" s="3">
        <v>5.1465607824520351E-3</v>
      </c>
      <c r="CB45" s="3">
        <v>4.2606610877497553E-4</v>
      </c>
    </row>
    <row r="46" spans="46:80" x14ac:dyDescent="0.25">
      <c r="AT46" t="s">
        <v>15</v>
      </c>
      <c r="AU46" s="3">
        <v>4.8990851536693722E-4</v>
      </c>
      <c r="AV46" s="3">
        <v>3.6953399817913832E-2</v>
      </c>
      <c r="AW46" s="3">
        <v>1.4583714431695609E-2</v>
      </c>
      <c r="AX46" s="3">
        <v>0</v>
      </c>
      <c r="AY46" s="3">
        <v>0</v>
      </c>
      <c r="AZ46" s="3">
        <v>0</v>
      </c>
      <c r="BA46" s="3">
        <v>0</v>
      </c>
      <c r="BB46" s="3">
        <v>3.7195200158116398E-3</v>
      </c>
      <c r="BC46" s="3">
        <v>0</v>
      </c>
      <c r="BD46" s="3">
        <v>1.0513058269676765E-5</v>
      </c>
      <c r="BE46" s="3">
        <v>0.22831839427753212</v>
      </c>
      <c r="BF46" s="3">
        <v>1.3246453419792724E-4</v>
      </c>
      <c r="BG46" s="3">
        <v>1.9205254847045515E-2</v>
      </c>
      <c r="BH46" s="3">
        <v>8.1505638153150026E-2</v>
      </c>
      <c r="BI46" s="3">
        <v>0</v>
      </c>
      <c r="BJ46" s="3">
        <v>0.47691647795727071</v>
      </c>
      <c r="BK46" s="3">
        <v>4.4154844732642415E-5</v>
      </c>
      <c r="BL46" s="3">
        <v>2.0563541975487753E-3</v>
      </c>
      <c r="BM46" s="3">
        <v>3.6638008069823529E-2</v>
      </c>
      <c r="BN46" s="3">
        <v>1.2405408758218582E-4</v>
      </c>
      <c r="BO46" s="3">
        <v>0</v>
      </c>
      <c r="BP46" s="3">
        <v>0</v>
      </c>
      <c r="BQ46" s="3">
        <v>0</v>
      </c>
      <c r="BR46" s="3">
        <v>1.6148057502223512E-3</v>
      </c>
      <c r="BS46" s="3">
        <v>2.1026116539353533E-6</v>
      </c>
      <c r="BT46" s="3">
        <v>0</v>
      </c>
      <c r="BU46" s="3">
        <v>4.6860905931257212E-2</v>
      </c>
      <c r="BV46" s="3">
        <v>2.548365324569648E-3</v>
      </c>
      <c r="BW46" s="3">
        <v>2.9167428863391218E-2</v>
      </c>
      <c r="BX46" s="3">
        <v>4.6404639202353246E-3</v>
      </c>
      <c r="BY46" s="3">
        <v>0</v>
      </c>
      <c r="BZ46" s="3">
        <v>0</v>
      </c>
      <c r="CA46" s="3">
        <v>1.4398684606149298E-2</v>
      </c>
      <c r="CB46" s="3">
        <v>6.9386184579866653E-5</v>
      </c>
    </row>
    <row r="47" spans="46:80" x14ac:dyDescent="0.25">
      <c r="AT47" t="s">
        <v>18</v>
      </c>
      <c r="AU47" s="3">
        <v>1.2009816719753537E-3</v>
      </c>
      <c r="AV47" s="3">
        <v>2.6473813377891495E-2</v>
      </c>
      <c r="AW47" s="3">
        <v>3.5193984648321235E-2</v>
      </c>
      <c r="AX47" s="3">
        <v>0</v>
      </c>
      <c r="AY47" s="3">
        <v>0</v>
      </c>
      <c r="AZ47" s="3">
        <v>0</v>
      </c>
      <c r="BA47" s="3">
        <v>0</v>
      </c>
      <c r="BB47" s="3">
        <v>1.4359563469270534E-3</v>
      </c>
      <c r="BC47" s="3">
        <v>0</v>
      </c>
      <c r="BD47" s="3">
        <v>0</v>
      </c>
      <c r="BE47" s="3">
        <v>0.36436739595843559</v>
      </c>
      <c r="BF47" s="3">
        <v>0</v>
      </c>
      <c r="BG47" s="3">
        <v>5.0858962978434549E-2</v>
      </c>
      <c r="BH47" s="3">
        <v>0.26071745600751917</v>
      </c>
      <c r="BI47" s="3">
        <v>0</v>
      </c>
      <c r="BJ47" s="3">
        <v>0.13761683463004543</v>
      </c>
      <c r="BK47" s="3">
        <v>0</v>
      </c>
      <c r="BL47" s="3">
        <v>1.8275808051798861E-4</v>
      </c>
      <c r="BM47" s="3">
        <v>3.2426505143334554E-2</v>
      </c>
      <c r="BN47" s="3">
        <v>2.6108297216855516E-5</v>
      </c>
      <c r="BO47" s="3">
        <v>0</v>
      </c>
      <c r="BP47" s="3">
        <v>0</v>
      </c>
      <c r="BQ47" s="3">
        <v>5.2216594433711031E-5</v>
      </c>
      <c r="BR47" s="3">
        <v>8.0935721372252104E-4</v>
      </c>
      <c r="BS47" s="3">
        <v>0</v>
      </c>
      <c r="BT47" s="3">
        <v>0</v>
      </c>
      <c r="BU47" s="3">
        <v>9.4250952952848414E-3</v>
      </c>
      <c r="BV47" s="3">
        <v>7.4147564095869666E-3</v>
      </c>
      <c r="BW47" s="3">
        <v>4.1982141924703668E-2</v>
      </c>
      <c r="BX47" s="3">
        <v>1.566497833011331E-4</v>
      </c>
      <c r="BY47" s="3">
        <v>0</v>
      </c>
      <c r="BZ47" s="3">
        <v>0</v>
      </c>
      <c r="CA47" s="3">
        <v>2.9659025638347866E-2</v>
      </c>
      <c r="CB47" s="3">
        <v>7.832489165056655E-5</v>
      </c>
    </row>
    <row r="48" spans="46:80" x14ac:dyDescent="0.25">
      <c r="AT48" t="s">
        <v>19</v>
      </c>
      <c r="AU48" s="3">
        <v>8.9577641420701397E-5</v>
      </c>
      <c r="AV48" s="3">
        <v>6.3600125408697986E-3</v>
      </c>
      <c r="AW48" s="3">
        <v>6.7496752810498495E-2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6.5167734133560265E-2</v>
      </c>
      <c r="BF48" s="3">
        <v>0</v>
      </c>
      <c r="BG48" s="3">
        <v>8.8592287365073671E-2</v>
      </c>
      <c r="BH48" s="3">
        <v>0.66600976396291489</v>
      </c>
      <c r="BI48" s="3">
        <v>0</v>
      </c>
      <c r="BJ48" s="3">
        <v>2.1140323375285527E-2</v>
      </c>
      <c r="BK48" s="3">
        <v>3.1352174497245485E-4</v>
      </c>
      <c r="BL48" s="3">
        <v>2.2394410355175347E-4</v>
      </c>
      <c r="BM48" s="3">
        <v>8.7338200385183862E-3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2.7321180633313926E-3</v>
      </c>
      <c r="BV48" s="3">
        <v>1.9169615264030097E-2</v>
      </c>
      <c r="BW48" s="3">
        <v>4.5236708917454202E-3</v>
      </c>
      <c r="BX48" s="3">
        <v>0</v>
      </c>
      <c r="BY48" s="3">
        <v>0</v>
      </c>
      <c r="BZ48" s="3">
        <v>0</v>
      </c>
      <c r="CA48" s="3">
        <v>4.9491646884937519E-2</v>
      </c>
      <c r="CB48" s="3">
        <v>0</v>
      </c>
    </row>
  </sheetData>
  <sortState xmlns:xlrd2="http://schemas.microsoft.com/office/spreadsheetml/2017/richdata2" ref="C10:C15">
    <sortCondition descending="1" ref="C10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365C-5C75-44B1-A510-2C4CE76C4842}">
  <dimension ref="B3:AG8"/>
  <sheetViews>
    <sheetView workbookViewId="0"/>
  </sheetViews>
  <sheetFormatPr defaultRowHeight="15" x14ac:dyDescent="0.25"/>
  <cols>
    <col min="2" max="2" width="10" bestFit="1" customWidth="1"/>
    <col min="3" max="3" width="10.85546875" bestFit="1" customWidth="1"/>
    <col min="4" max="5" width="7.42578125" bestFit="1" customWidth="1"/>
    <col min="6" max="7" width="7.28515625" bestFit="1" customWidth="1"/>
    <col min="8" max="9" width="7.140625" bestFit="1" customWidth="1"/>
    <col min="10" max="10" width="7.5703125" bestFit="1" customWidth="1"/>
    <col min="11" max="11" width="7" bestFit="1" customWidth="1"/>
    <col min="12" max="13" width="7.42578125" bestFit="1" customWidth="1"/>
    <col min="14" max="14" width="7" bestFit="1" customWidth="1"/>
    <col min="15" max="15" width="6.85546875" bestFit="1" customWidth="1"/>
    <col min="16" max="16" width="7.42578125" bestFit="1" customWidth="1"/>
    <col min="17" max="17" width="7" bestFit="1" customWidth="1"/>
    <col min="18" max="18" width="8" bestFit="1" customWidth="1"/>
    <col min="19" max="19" width="7.5703125" bestFit="1" customWidth="1"/>
    <col min="20" max="20" width="8.140625" bestFit="1" customWidth="1"/>
    <col min="21" max="21" width="7.85546875" bestFit="1" customWidth="1"/>
    <col min="22" max="22" width="7.28515625" bestFit="1" customWidth="1"/>
    <col min="23" max="23" width="7.5703125" bestFit="1" customWidth="1"/>
    <col min="24" max="24" width="7.28515625" bestFit="1" customWidth="1"/>
    <col min="25" max="25" width="7.140625" bestFit="1" customWidth="1"/>
    <col min="26" max="26" width="6.85546875" bestFit="1" customWidth="1"/>
    <col min="27" max="27" width="7.140625" bestFit="1" customWidth="1"/>
    <col min="28" max="28" width="7.28515625" bestFit="1" customWidth="1"/>
    <col min="29" max="29" width="7.42578125" bestFit="1" customWidth="1"/>
    <col min="30" max="30" width="7.140625" bestFit="1" customWidth="1"/>
    <col min="31" max="31" width="7.28515625" bestFit="1" customWidth="1"/>
    <col min="32" max="32" width="7.5703125" bestFit="1" customWidth="1"/>
    <col min="33" max="33" width="8" bestFit="1" customWidth="1"/>
  </cols>
  <sheetData>
    <row r="3" spans="2:33" x14ac:dyDescent="0.25">
      <c r="D3" t="s">
        <v>98</v>
      </c>
      <c r="E3" t="s">
        <v>99</v>
      </c>
      <c r="F3" t="s">
        <v>100</v>
      </c>
      <c r="G3" t="s">
        <v>101</v>
      </c>
      <c r="H3" t="s">
        <v>102</v>
      </c>
      <c r="I3" t="s">
        <v>103</v>
      </c>
      <c r="J3" t="s">
        <v>104</v>
      </c>
      <c r="K3" t="s">
        <v>105</v>
      </c>
      <c r="L3" t="s">
        <v>106</v>
      </c>
      <c r="M3" t="s">
        <v>107</v>
      </c>
      <c r="N3" t="s">
        <v>108</v>
      </c>
      <c r="O3" t="s">
        <v>109</v>
      </c>
      <c r="P3" t="s">
        <v>110</v>
      </c>
      <c r="Q3" t="s">
        <v>111</v>
      </c>
      <c r="R3" t="s">
        <v>112</v>
      </c>
      <c r="S3" t="s">
        <v>113</v>
      </c>
      <c r="T3" t="s">
        <v>114</v>
      </c>
      <c r="U3" t="s">
        <v>115</v>
      </c>
      <c r="V3" t="s">
        <v>116</v>
      </c>
      <c r="W3" t="s">
        <v>117</v>
      </c>
      <c r="X3" t="s">
        <v>118</v>
      </c>
      <c r="Y3" t="s">
        <v>119</v>
      </c>
      <c r="Z3" t="s">
        <v>120</v>
      </c>
      <c r="AA3" t="s">
        <v>121</v>
      </c>
      <c r="AB3" t="s">
        <v>122</v>
      </c>
      <c r="AC3" t="s">
        <v>123</v>
      </c>
      <c r="AD3" t="s">
        <v>124</v>
      </c>
      <c r="AE3" t="s">
        <v>125</v>
      </c>
      <c r="AF3" t="s">
        <v>126</v>
      </c>
      <c r="AG3" t="s">
        <v>127</v>
      </c>
    </row>
    <row r="6" spans="2:33" x14ac:dyDescent="0.25">
      <c r="B6" t="s">
        <v>57</v>
      </c>
    </row>
    <row r="7" spans="2:33" x14ac:dyDescent="0.25">
      <c r="B7" t="s">
        <v>21</v>
      </c>
      <c r="C7" t="s">
        <v>20</v>
      </c>
      <c r="D7" t="str">
        <f>"IND-"&amp;D3</f>
        <v>IND-AP</v>
      </c>
      <c r="E7" t="str">
        <f t="shared" ref="E7:AG7" si="0">"IND-"&amp;E3</f>
        <v>IND-AR</v>
      </c>
      <c r="F7" t="str">
        <f t="shared" si="0"/>
        <v>IND-AS</v>
      </c>
      <c r="G7" t="str">
        <f t="shared" si="0"/>
        <v>IND-BR</v>
      </c>
      <c r="H7" t="str">
        <f t="shared" si="0"/>
        <v>IND-CT</v>
      </c>
      <c r="I7" t="str">
        <f t="shared" si="0"/>
        <v>IND-DL</v>
      </c>
      <c r="J7" t="str">
        <f t="shared" si="0"/>
        <v>IND-GA</v>
      </c>
      <c r="K7" t="str">
        <f t="shared" si="0"/>
        <v>IND-GJ</v>
      </c>
      <c r="L7" t="str">
        <f t="shared" si="0"/>
        <v>IND-HP</v>
      </c>
      <c r="M7" t="str">
        <f t="shared" si="0"/>
        <v>IND-HR</v>
      </c>
      <c r="N7" t="str">
        <f t="shared" si="0"/>
        <v>IND-JH</v>
      </c>
      <c r="O7" t="str">
        <f t="shared" si="0"/>
        <v>IND-JK</v>
      </c>
      <c r="P7" t="str">
        <f t="shared" si="0"/>
        <v>IND-KA</v>
      </c>
      <c r="Q7" t="str">
        <f t="shared" si="0"/>
        <v>IND-KL</v>
      </c>
      <c r="R7" t="str">
        <f t="shared" si="0"/>
        <v>IND-MH</v>
      </c>
      <c r="S7" t="str">
        <f t="shared" si="0"/>
        <v>IND-ML</v>
      </c>
      <c r="T7" t="str">
        <f t="shared" si="0"/>
        <v>IND-MN</v>
      </c>
      <c r="U7" t="str">
        <f t="shared" si="0"/>
        <v>IND-MP</v>
      </c>
      <c r="V7" t="str">
        <f t="shared" si="0"/>
        <v>IND-NL</v>
      </c>
      <c r="W7" t="str">
        <f t="shared" si="0"/>
        <v>IND-OR</v>
      </c>
      <c r="X7" t="str">
        <f t="shared" si="0"/>
        <v>IND-PB</v>
      </c>
      <c r="Y7" t="str">
        <f t="shared" si="0"/>
        <v>IND-PY</v>
      </c>
      <c r="Z7" t="str">
        <f t="shared" si="0"/>
        <v>IND-RJ</v>
      </c>
      <c r="AA7" t="str">
        <f t="shared" si="0"/>
        <v>IND-SK</v>
      </c>
      <c r="AB7" t="str">
        <f t="shared" si="0"/>
        <v>IND-TG</v>
      </c>
      <c r="AC7" t="str">
        <f t="shared" si="0"/>
        <v>IND-TN</v>
      </c>
      <c r="AD7" t="str">
        <f t="shared" si="0"/>
        <v>IND-TR</v>
      </c>
      <c r="AE7" t="str">
        <f t="shared" si="0"/>
        <v>IND-UT</v>
      </c>
      <c r="AF7" t="str">
        <f t="shared" si="0"/>
        <v>IND-UU</v>
      </c>
      <c r="AG7" t="str">
        <f t="shared" si="0"/>
        <v>IND-WB</v>
      </c>
    </row>
    <row r="8" spans="2:33" x14ac:dyDescent="0.25">
      <c r="B8" t="s">
        <v>129</v>
      </c>
      <c r="C8" t="s">
        <v>128</v>
      </c>
      <c r="D8" s="4">
        <v>-0.201887648</v>
      </c>
      <c r="E8" s="4">
        <v>99</v>
      </c>
      <c r="F8" s="4">
        <v>0.293176883</v>
      </c>
      <c r="G8" s="4">
        <v>-0.14023524000000001</v>
      </c>
      <c r="H8" s="4">
        <v>-0.32457708200000002</v>
      </c>
      <c r="I8" s="4">
        <v>0.32617781299999998</v>
      </c>
      <c r="J8" s="4">
        <v>99</v>
      </c>
      <c r="K8" s="4">
        <v>0.126559327</v>
      </c>
      <c r="L8" s="4">
        <v>99</v>
      </c>
      <c r="M8" s="4">
        <v>0.226889335</v>
      </c>
      <c r="N8" s="4">
        <v>-0.26990464400000003</v>
      </c>
      <c r="O8" s="4">
        <v>99</v>
      </c>
      <c r="P8" s="4">
        <v>1.1267897000000001E-2</v>
      </c>
      <c r="Q8" s="4">
        <v>99</v>
      </c>
      <c r="R8" s="4">
        <v>-0.12078598</v>
      </c>
      <c r="S8" s="4">
        <v>99</v>
      </c>
      <c r="T8" s="4">
        <v>99</v>
      </c>
      <c r="U8" s="4">
        <v>-0.16236330800000001</v>
      </c>
      <c r="V8" s="4">
        <v>99</v>
      </c>
      <c r="W8" s="4">
        <v>-0.33962526199999998</v>
      </c>
      <c r="X8" s="4">
        <v>0.36497782699999998</v>
      </c>
      <c r="Y8" s="4">
        <v>99</v>
      </c>
      <c r="Z8" s="4">
        <v>0.17303238000000001</v>
      </c>
      <c r="AA8" s="4">
        <v>99</v>
      </c>
      <c r="AB8" s="4">
        <v>99</v>
      </c>
      <c r="AC8" s="4">
        <v>0.112396754</v>
      </c>
      <c r="AD8" s="4">
        <v>99</v>
      </c>
      <c r="AE8" s="4">
        <v>99</v>
      </c>
      <c r="AF8" s="4">
        <v>-6.5415914000000006E-2</v>
      </c>
      <c r="AG8" s="4">
        <v>-9.6831390000000003E-3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wind_existing_cap</vt:lpstr>
      <vt:lpstr>cap bnd</vt:lpstr>
      <vt:lpstr>coal regional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dcterms:created xsi:type="dcterms:W3CDTF">2020-05-15T08:10:04Z</dcterms:created>
  <dcterms:modified xsi:type="dcterms:W3CDTF">2021-10-28T09:31:07Z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969402492046356</vt:r8>
  </property>
</Properties>
</file>