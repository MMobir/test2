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IEMM_v60_10-1\SuppXLS\"/>
    </mc:Choice>
  </mc:AlternateContent>
  <xr:revisionPtr revIDLastSave="0" documentId="13_ncr:1_{35027D1C-5538-4D4E-B6D0-641E1ED43DAD}" xr6:coauthVersionLast="47" xr6:coauthVersionMax="47" xr10:uidLastSave="{00000000-0000-0000-0000-000000000000}"/>
  <bookViews>
    <workbookView xWindow="-108" yWindow="-108" windowWidth="30936" windowHeight="16776" activeTab="2" xr2:uid="{DCAC5C64-470D-4E30-B4B2-9EA108CA92B0}"/>
  </bookViews>
  <sheets>
    <sheet name="readme" sheetId="3" r:id="rId1"/>
    <sheet name="CO2 Emissions from Veda " sheetId="2" r:id="rId2"/>
    <sheet name="CO2_Target_Power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7" i="1" l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N32" i="1"/>
  <c r="N31" i="1"/>
  <c r="N30" i="1"/>
  <c r="N29" i="1"/>
  <c r="N28" i="1"/>
  <c r="N27" i="1"/>
  <c r="S3" i="1"/>
  <c r="O3" i="1"/>
  <c r="P3" i="1" s="1"/>
  <c r="Q3" i="1" s="1"/>
  <c r="R3" i="1" s="1"/>
  <c r="N3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N12" i="1"/>
</calcChain>
</file>

<file path=xl/sharedStrings.xml><?xml version="1.0" encoding="utf-8"?>
<sst xmlns="http://schemas.openxmlformats.org/spreadsheetml/2006/main" count="101" uniqueCount="46">
  <si>
    <t>UC_N</t>
  </si>
  <si>
    <t>Cset_CN</t>
  </si>
  <si>
    <t>Year</t>
  </si>
  <si>
    <t>Scenario</t>
  </si>
  <si>
    <t>Period</t>
  </si>
  <si>
    <t>AFR_N</t>
  </si>
  <si>
    <t>AFR_S</t>
  </si>
  <si>
    <t>ANZ</t>
  </si>
  <si>
    <t>BRZ</t>
  </si>
  <si>
    <t>CAN</t>
  </si>
  <si>
    <t>CHI</t>
  </si>
  <si>
    <t>CSA</t>
  </si>
  <si>
    <t>EUR</t>
  </si>
  <si>
    <t>IND</t>
  </si>
  <si>
    <t>JPN</t>
  </si>
  <si>
    <t>MID</t>
  </si>
  <si>
    <t>MXC</t>
  </si>
  <si>
    <t>OAS</t>
  </si>
  <si>
    <t>RUS</t>
  </si>
  <si>
    <t>SKO</t>
  </si>
  <si>
    <t>URA</t>
  </si>
  <si>
    <t>USA</t>
  </si>
  <si>
    <t>v59_11-5~0001</t>
  </si>
  <si>
    <t>This UC imposes NZE by 2080 for every region of the model</t>
  </si>
  <si>
    <t>Pset_PN</t>
  </si>
  <si>
    <t>ELCCO2N</t>
  </si>
  <si>
    <t>UC - Each Region/Period</t>
  </si>
  <si>
    <t>~UC_Sets: T_E:</t>
  </si>
  <si>
    <t>~UC_T:UC_RHSRT</t>
  </si>
  <si>
    <t>Pset_Set</t>
  </si>
  <si>
    <t>LimType</t>
  </si>
  <si>
    <t>UC_Desc</t>
  </si>
  <si>
    <t>UP</t>
  </si>
  <si>
    <t>~UC_Sets: R_E: Allregions</t>
  </si>
  <si>
    <t>AU_CO2_BND_ALL</t>
  </si>
  <si>
    <t xml:space="preserve">Net zero emissions from ELE </t>
  </si>
  <si>
    <t>Commodity</t>
  </si>
  <si>
    <t>Region</t>
  </si>
  <si>
    <t xml:space="preserve">Unit </t>
  </si>
  <si>
    <t>Mt</t>
  </si>
  <si>
    <t>Run</t>
  </si>
  <si>
    <t>v59_12-1</t>
  </si>
  <si>
    <t>Relaxation</t>
  </si>
  <si>
    <t>year</t>
  </si>
  <si>
    <t>TOTCO2Net</t>
  </si>
  <si>
    <t>UC_COMNET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</si>
</sst>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_ ;\-0\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sz val="11"/>
      <color theme="1"/>
      <name val="Calibri"/>
      <scheme val="minor"/>
    </font>
    <font>
      <sz val="8.25"/>
      <color rgb="FF2B2C3C"/>
      <name val="Microsoft Sans Serif"/>
    </font>
    <font>
      <sz val="8.25"/>
      <color rgb="FF000000"/>
      <name val="Microsoft Sans Serif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4CB"/>
        <bgColor rgb="FFFFF4CB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696969"/>
      </left>
      <right style="thin">
        <color rgb="FF696969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4" fillId="2" borderId="0" applyNumberFormat="0" applyBorder="0" applyAlignment="0" applyProtection="0"/>
    <xf numFmtId="0" fontId="6" fillId="0" borderId="0"/>
    <xf numFmtId="9" fontId="1" fillId="0" borderId="0" applyFont="0" applyFill="0" applyBorder="0" applyAlignment="0" applyProtection="0"/>
    <xf numFmtId="0" fontId="5" fillId="0" borderId="0"/>
    <xf numFmtId="9" fontId="6" fillId="0" borderId="0" applyFont="0" applyFill="0" applyBorder="0" applyAlignment="0" applyProtection="0"/>
  </cellStyleXfs>
  <cellXfs count="29">
    <xf numFmtId="0" fontId="0" fillId="0" borderId="0" xfId="0"/>
    <xf numFmtId="164" fontId="0" fillId="0" borderId="0" xfId="1" applyNumberFormat="1" applyFont="1"/>
    <xf numFmtId="49" fontId="7" fillId="3" borderId="1" xfId="4" applyNumberFormat="1" applyFont="1" applyFill="1" applyBorder="1" applyAlignment="1">
      <alignment horizontal="left" vertical="center"/>
    </xf>
    <xf numFmtId="49" fontId="8" fillId="4" borderId="1" xfId="4" applyNumberFormat="1" applyFont="1" applyFill="1" applyBorder="1" applyAlignment="1">
      <alignment horizontal="left" vertical="center"/>
    </xf>
    <xf numFmtId="0" fontId="8" fillId="4" borderId="1" xfId="4" applyFont="1" applyFill="1" applyBorder="1" applyAlignment="1">
      <alignment horizontal="right" vertical="center"/>
    </xf>
    <xf numFmtId="2" fontId="8" fillId="5" borderId="1" xfId="4" applyNumberFormat="1" applyFont="1" applyFill="1" applyBorder="1" applyAlignment="1">
      <alignment horizontal="right" vertical="center"/>
    </xf>
    <xf numFmtId="0" fontId="0" fillId="0" borderId="0" xfId="0" quotePrefix="1"/>
    <xf numFmtId="2" fontId="0" fillId="7" borderId="0" xfId="0" applyNumberFormat="1" applyFill="1"/>
    <xf numFmtId="2" fontId="5" fillId="0" borderId="0" xfId="0" applyNumberFormat="1" applyFont="1" applyFill="1" applyBorder="1"/>
    <xf numFmtId="0" fontId="0" fillId="0" borderId="0" xfId="0"/>
    <xf numFmtId="0" fontId="9" fillId="6" borderId="0" xfId="0" applyFont="1" applyFill="1" applyBorder="1"/>
    <xf numFmtId="0" fontId="9" fillId="0" borderId="0" xfId="0" applyFont="1" applyAlignment="1">
      <alignment horizontal="right"/>
    </xf>
    <xf numFmtId="0" fontId="9" fillId="7" borderId="0" xfId="0" applyFont="1" applyFill="1" applyBorder="1"/>
    <xf numFmtId="0" fontId="9" fillId="8" borderId="0" xfId="0" applyFont="1" applyFill="1" applyBorder="1"/>
    <xf numFmtId="0" fontId="3" fillId="0" borderId="0" xfId="2" applyFont="1"/>
    <xf numFmtId="0" fontId="5" fillId="0" borderId="0" xfId="0" applyFont="1" applyFill="1" applyBorder="1"/>
    <xf numFmtId="0" fontId="6" fillId="0" borderId="0" xfId="4" applyNumberFormat="1" applyFont="1" applyFill="1" applyBorder="1" applyAlignment="1" applyProtection="1"/>
    <xf numFmtId="49" fontId="7" fillId="3" borderId="1" xfId="4" applyNumberFormat="1" applyFont="1" applyFill="1" applyBorder="1" applyAlignment="1">
      <alignment horizontal="left" vertical="center"/>
    </xf>
    <xf numFmtId="49" fontId="8" fillId="4" borderId="1" xfId="4" applyNumberFormat="1" applyFont="1" applyFill="1" applyBorder="1" applyAlignment="1">
      <alignment horizontal="left" vertical="center"/>
    </xf>
    <xf numFmtId="0" fontId="8" fillId="4" borderId="1" xfId="4" applyFont="1" applyFill="1" applyBorder="1" applyAlignment="1">
      <alignment horizontal="right" vertical="center"/>
    </xf>
    <xf numFmtId="2" fontId="8" fillId="5" borderId="1" xfId="4" applyNumberFormat="1" applyFont="1" applyFill="1" applyBorder="1" applyAlignment="1">
      <alignment horizontal="right" vertical="center"/>
    </xf>
    <xf numFmtId="0" fontId="8" fillId="5" borderId="1" xfId="4" applyFont="1" applyFill="1" applyBorder="1" applyAlignment="1">
      <alignment horizontal="right" vertical="center"/>
    </xf>
    <xf numFmtId="0" fontId="8" fillId="4" borderId="2" xfId="4" applyNumberFormat="1" applyFont="1" applyFill="1" applyBorder="1" applyAlignment="1" applyProtection="1">
      <alignment horizontal="right" vertical="center"/>
    </xf>
    <xf numFmtId="164" fontId="0" fillId="9" borderId="3" xfId="1" applyNumberFormat="1" applyFont="1" applyFill="1" applyBorder="1"/>
    <xf numFmtId="164" fontId="0" fillId="9" borderId="4" xfId="1" applyNumberFormat="1" applyFont="1" applyFill="1" applyBorder="1"/>
    <xf numFmtId="9" fontId="0" fillId="9" borderId="5" xfId="5" applyFont="1" applyFill="1" applyBorder="1"/>
    <xf numFmtId="9" fontId="0" fillId="9" borderId="6" xfId="5" applyFont="1" applyFill="1" applyBorder="1"/>
    <xf numFmtId="164" fontId="0" fillId="9" borderId="7" xfId="1" applyNumberFormat="1" applyFont="1" applyFill="1" applyBorder="1"/>
    <xf numFmtId="164" fontId="0" fillId="9" borderId="8" xfId="1" applyNumberFormat="1" applyFont="1" applyFill="1" applyBorder="1"/>
  </cellXfs>
  <cellStyles count="8">
    <cellStyle name="Comma" xfId="1" builtinId="3"/>
    <cellStyle name="Neutral 2" xfId="3" xr:uid="{9A6D2D39-85E1-4D98-98F1-7EC25E65B4D6}"/>
    <cellStyle name="Normal" xfId="0" builtinId="0"/>
    <cellStyle name="Normal 10" xfId="6" xr:uid="{9F10E0F5-6143-41F3-9308-FEF6374168D7}"/>
    <cellStyle name="Normal 2" xfId="4" xr:uid="{D7DD9F90-8D8B-4FAC-8EA5-23745BC99E2C}"/>
    <cellStyle name="Normale_Scen_UC_IND-StrucConst" xfId="2" xr:uid="{111C6BD2-EC63-40BD-9194-613B013040C1}"/>
    <cellStyle name="Percent" xfId="5" builtinId="5"/>
    <cellStyle name="Percent 2" xfId="7" xr:uid="{EF1559AD-A49E-48CC-AA3F-D706E18DE9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84930-A2E4-4B91-BBE8-2C98EA838CD2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C7F8-FA1D-41A0-B1B8-7485945E62AD}">
  <dimension ref="A1:S37"/>
  <sheetViews>
    <sheetView workbookViewId="0">
      <selection activeCell="C5" sqref="C5"/>
    </sheetView>
  </sheetViews>
  <sheetFormatPr defaultRowHeight="14.4" x14ac:dyDescent="0.3"/>
  <cols>
    <col min="8" max="8" width="9.21875" bestFit="1" customWidth="1"/>
    <col min="19" max="19" width="9.21875" bestFit="1" customWidth="1"/>
  </cols>
  <sheetData>
    <row r="1" spans="1:19" x14ac:dyDescent="0.3">
      <c r="A1" s="2" t="s">
        <v>3</v>
      </c>
      <c r="B1" s="2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</row>
    <row r="2" spans="1:19" x14ac:dyDescent="0.3">
      <c r="A2" s="3" t="s">
        <v>22</v>
      </c>
      <c r="B2" s="4">
        <v>2017</v>
      </c>
      <c r="C2" s="5">
        <v>186743.02377404401</v>
      </c>
      <c r="D2" s="5">
        <v>370444.62648057903</v>
      </c>
      <c r="E2" s="5">
        <v>193467.47582140201</v>
      </c>
      <c r="F2" s="5">
        <v>67222.346806083195</v>
      </c>
      <c r="G2" s="5">
        <v>93845.818859127903</v>
      </c>
      <c r="H2" s="5">
        <v>4427540.6396633498</v>
      </c>
      <c r="I2" s="5">
        <v>138508.873729566</v>
      </c>
      <c r="J2" s="5">
        <v>1022312.08056983</v>
      </c>
      <c r="K2" s="5">
        <v>1214886.4429595</v>
      </c>
      <c r="L2" s="5">
        <v>534140.61184175406</v>
      </c>
      <c r="M2" s="5">
        <v>550507.47764766903</v>
      </c>
      <c r="N2" s="5">
        <v>194804.92934023199</v>
      </c>
      <c r="O2" s="5">
        <v>861906.93357657106</v>
      </c>
      <c r="P2" s="5">
        <v>388163.07955621701</v>
      </c>
      <c r="Q2" s="5">
        <v>283327.29462664702</v>
      </c>
      <c r="R2" s="5">
        <v>302597.24292158801</v>
      </c>
      <c r="S2" s="5">
        <v>2058309.2703443901</v>
      </c>
    </row>
    <row r="3" spans="1:19" x14ac:dyDescent="0.3">
      <c r="A3" s="3" t="s">
        <v>22</v>
      </c>
      <c r="B3" s="4">
        <v>2018</v>
      </c>
      <c r="C3" s="5">
        <v>191376.556196636</v>
      </c>
      <c r="D3" s="5">
        <v>381128.34467779298</v>
      </c>
      <c r="E3" s="5">
        <v>188483.14327604399</v>
      </c>
      <c r="F3" s="5">
        <v>64100.078943824003</v>
      </c>
      <c r="G3" s="5">
        <v>87148.948013841597</v>
      </c>
      <c r="H3" s="5">
        <v>4764659.2003224501</v>
      </c>
      <c r="I3" s="5">
        <v>138121.21071918801</v>
      </c>
      <c r="J3" s="5">
        <v>991044.13630559098</v>
      </c>
      <c r="K3" s="5">
        <v>1246762.6580973901</v>
      </c>
      <c r="L3" s="5">
        <v>499748.26691097597</v>
      </c>
      <c r="M3" s="5">
        <v>543687.69697880105</v>
      </c>
      <c r="N3" s="5">
        <v>200806.82674927701</v>
      </c>
      <c r="O3" s="5">
        <v>944254.73403391696</v>
      </c>
      <c r="P3" s="5">
        <v>454839.10661393602</v>
      </c>
      <c r="Q3" s="5">
        <v>288713.69027251698</v>
      </c>
      <c r="R3" s="5">
        <v>333051.44026414899</v>
      </c>
      <c r="S3" s="5">
        <v>2100093.97288412</v>
      </c>
    </row>
    <row r="4" spans="1:19" x14ac:dyDescent="0.3">
      <c r="A4" s="3" t="s">
        <v>22</v>
      </c>
      <c r="B4" s="4">
        <v>2019</v>
      </c>
      <c r="C4" s="5">
        <v>204368.01429058699</v>
      </c>
      <c r="D4" s="5">
        <v>390725.91893709602</v>
      </c>
      <c r="E4" s="5">
        <v>191100.20232362</v>
      </c>
      <c r="F4" s="5">
        <v>51509.554322242402</v>
      </c>
      <c r="G4" s="5">
        <v>75437.236001482495</v>
      </c>
      <c r="H4" s="5">
        <v>4846455.2149946801</v>
      </c>
      <c r="I4" s="5">
        <v>140603.37312497001</v>
      </c>
      <c r="J4" s="5">
        <v>1000369.14150407</v>
      </c>
      <c r="K4" s="5">
        <v>1264590.3195946901</v>
      </c>
      <c r="L4" s="5">
        <v>499606.55830230901</v>
      </c>
      <c r="M4" s="5">
        <v>541996.242364445</v>
      </c>
      <c r="N4" s="5">
        <v>194570.01375114601</v>
      </c>
      <c r="O4" s="5">
        <v>998823.39505744597</v>
      </c>
      <c r="P4" s="5">
        <v>493598.106338254</v>
      </c>
      <c r="Q4" s="5">
        <v>247887.22109262299</v>
      </c>
      <c r="R4" s="5">
        <v>290553.92903245502</v>
      </c>
      <c r="S4" s="5">
        <v>2063333.8706680399</v>
      </c>
    </row>
    <row r="5" spans="1:19" x14ac:dyDescent="0.3">
      <c r="A5" s="3" t="s">
        <v>22</v>
      </c>
      <c r="B5" s="4">
        <v>2020</v>
      </c>
      <c r="C5" s="5">
        <v>182496.211893812</v>
      </c>
      <c r="D5" s="5">
        <v>356271.87014975899</v>
      </c>
      <c r="E5" s="5">
        <v>190574.83523757401</v>
      </c>
      <c r="F5" s="5">
        <v>39339.726116908103</v>
      </c>
      <c r="G5" s="5">
        <v>58320.346011243499</v>
      </c>
      <c r="H5" s="5">
        <v>4820844.3224932598</v>
      </c>
      <c r="I5" s="5">
        <v>135113.09921785901</v>
      </c>
      <c r="J5" s="5">
        <v>827248.193072316</v>
      </c>
      <c r="K5" s="5">
        <v>1130906.5240912901</v>
      </c>
      <c r="L5" s="5">
        <v>446338.36482527602</v>
      </c>
      <c r="M5" s="5">
        <v>575912.85844921495</v>
      </c>
      <c r="N5" s="5">
        <v>142421.349979322</v>
      </c>
      <c r="O5" s="5">
        <v>911125.26351887395</v>
      </c>
      <c r="P5" s="5">
        <v>471730.63334206003</v>
      </c>
      <c r="Q5" s="5">
        <v>235082.71234012101</v>
      </c>
      <c r="R5" s="5">
        <v>252460.246138255</v>
      </c>
      <c r="S5" s="5">
        <v>1992924.3030839399</v>
      </c>
    </row>
    <row r="6" spans="1:19" x14ac:dyDescent="0.3">
      <c r="A6" s="3" t="s">
        <v>22</v>
      </c>
      <c r="B6" s="4">
        <v>2021</v>
      </c>
      <c r="C6" s="5">
        <v>179489.26435200599</v>
      </c>
      <c r="D6" s="5">
        <v>282744.04693443701</v>
      </c>
      <c r="E6" s="5">
        <v>135303.962656555</v>
      </c>
      <c r="F6" s="5">
        <v>51897.102212103397</v>
      </c>
      <c r="G6" s="5">
        <v>69109.772285227897</v>
      </c>
      <c r="H6" s="5">
        <v>3651613.9705988402</v>
      </c>
      <c r="I6" s="5">
        <v>139009.933661891</v>
      </c>
      <c r="J6" s="5">
        <v>763682.60663877404</v>
      </c>
      <c r="K6" s="5">
        <v>890809.92701520806</v>
      </c>
      <c r="L6" s="5">
        <v>401999.500225375</v>
      </c>
      <c r="M6" s="5">
        <v>602943.37705840403</v>
      </c>
      <c r="N6" s="5">
        <v>162427.26282307299</v>
      </c>
      <c r="O6" s="5">
        <v>776132.38850724103</v>
      </c>
      <c r="P6" s="5">
        <v>491108.28602399898</v>
      </c>
      <c r="Q6" s="5">
        <v>209943.20578277099</v>
      </c>
      <c r="R6" s="5">
        <v>270161.51072409097</v>
      </c>
      <c r="S6" s="5">
        <v>1744430.8606338799</v>
      </c>
    </row>
    <row r="7" spans="1:19" x14ac:dyDescent="0.3">
      <c r="A7" s="3" t="s">
        <v>22</v>
      </c>
      <c r="B7" s="4">
        <v>2030</v>
      </c>
      <c r="C7" s="5">
        <v>138097.5046319</v>
      </c>
      <c r="D7" s="5">
        <v>136913.23963098699</v>
      </c>
      <c r="E7" s="5">
        <v>46199.054451962802</v>
      </c>
      <c r="F7" s="5">
        <v>26541.4029637725</v>
      </c>
      <c r="G7" s="5">
        <v>27107.303265325201</v>
      </c>
      <c r="H7" s="5">
        <v>3291975.0685678702</v>
      </c>
      <c r="I7" s="5">
        <v>75161.142518457695</v>
      </c>
      <c r="J7" s="5">
        <v>607732.07759189</v>
      </c>
      <c r="K7" s="5">
        <v>368035.45027526701</v>
      </c>
      <c r="L7" s="5">
        <v>207946.398619163</v>
      </c>
      <c r="M7" s="5">
        <v>458689.60059981397</v>
      </c>
      <c r="N7" s="5">
        <v>112225.46131753</v>
      </c>
      <c r="O7" s="5">
        <v>493905.87518272898</v>
      </c>
      <c r="P7" s="5">
        <v>526449.686274576</v>
      </c>
      <c r="Q7" s="5">
        <v>110092.812605962</v>
      </c>
      <c r="R7" s="5">
        <v>248927.711141137</v>
      </c>
      <c r="S7" s="5">
        <v>1012985.41764301</v>
      </c>
    </row>
    <row r="8" spans="1:19" x14ac:dyDescent="0.3">
      <c r="A8" s="3" t="s">
        <v>22</v>
      </c>
      <c r="B8" s="4">
        <v>2040</v>
      </c>
      <c r="C8" s="5">
        <v>112742.063580993</v>
      </c>
      <c r="D8" s="5">
        <v>26583.262403402699</v>
      </c>
      <c r="E8" s="5">
        <v>16958.2820715743</v>
      </c>
      <c r="F8" s="5">
        <v>15004.457186063901</v>
      </c>
      <c r="G8" s="5">
        <v>18440.592447905699</v>
      </c>
      <c r="H8" s="5">
        <v>2281799.1881018202</v>
      </c>
      <c r="I8" s="5">
        <v>49074.247089513003</v>
      </c>
      <c r="J8" s="5">
        <v>456330.89285073598</v>
      </c>
      <c r="K8" s="5">
        <v>157506.45306330599</v>
      </c>
      <c r="L8" s="5">
        <v>146788.82017146301</v>
      </c>
      <c r="M8" s="5">
        <v>342190.24011465401</v>
      </c>
      <c r="N8" s="5">
        <v>75959.788678730198</v>
      </c>
      <c r="O8" s="5">
        <v>310494.13046163</v>
      </c>
      <c r="P8" s="5">
        <v>643056.00413674104</v>
      </c>
      <c r="Q8" s="5">
        <v>87227.330037357606</v>
      </c>
      <c r="R8" s="5">
        <v>231945.18796477999</v>
      </c>
      <c r="S8" s="5">
        <v>749222.60114222101</v>
      </c>
    </row>
    <row r="9" spans="1:19" x14ac:dyDescent="0.3">
      <c r="A9" s="3" t="s">
        <v>22</v>
      </c>
      <c r="B9" s="4">
        <v>2050</v>
      </c>
      <c r="C9" s="5">
        <v>93919.334158026104</v>
      </c>
      <c r="D9" s="5">
        <v>14341.2938035443</v>
      </c>
      <c r="E9" s="5">
        <v>11069.808508690499</v>
      </c>
      <c r="F9" s="5">
        <v>6137.4456072267203</v>
      </c>
      <c r="G9" s="5">
        <v>12420.9342584856</v>
      </c>
      <c r="H9" s="5">
        <v>1990230.1274586499</v>
      </c>
      <c r="I9" s="5">
        <v>35579.454712200903</v>
      </c>
      <c r="J9" s="5">
        <v>244320.22301776701</v>
      </c>
      <c r="K9" s="5">
        <v>64554.756108875401</v>
      </c>
      <c r="L9" s="5">
        <v>201160.276994124</v>
      </c>
      <c r="M9" s="5">
        <v>267449.35404623201</v>
      </c>
      <c r="N9" s="5">
        <v>69084.485306576695</v>
      </c>
      <c r="O9" s="5">
        <v>193868.786520636</v>
      </c>
      <c r="P9" s="5">
        <v>643022.79549128294</v>
      </c>
      <c r="Q9" s="5">
        <v>112405.577502446</v>
      </c>
      <c r="R9" s="5">
        <v>246642.938509172</v>
      </c>
      <c r="S9" s="5">
        <v>755192.79410890199</v>
      </c>
    </row>
    <row r="10" spans="1:19" x14ac:dyDescent="0.3">
      <c r="A10" s="3" t="s">
        <v>22</v>
      </c>
      <c r="B10" s="4">
        <v>2060</v>
      </c>
      <c r="C10" s="5">
        <v>79498.5639773148</v>
      </c>
      <c r="D10" s="5">
        <v>10901.4763194034</v>
      </c>
      <c r="E10" s="5">
        <v>8614.2754074561708</v>
      </c>
      <c r="F10" s="5">
        <v>3008.9700090124902</v>
      </c>
      <c r="G10" s="5">
        <v>11135.317629386</v>
      </c>
      <c r="H10" s="5">
        <v>2454508.31711283</v>
      </c>
      <c r="I10" s="5">
        <v>26505.134856922999</v>
      </c>
      <c r="J10" s="5">
        <v>455079.26474046498</v>
      </c>
      <c r="K10" s="5">
        <v>21564.855058392601</v>
      </c>
      <c r="L10" s="5">
        <v>380517.89008824498</v>
      </c>
      <c r="M10" s="5">
        <v>270003.73631520302</v>
      </c>
      <c r="N10" s="5">
        <v>82379.279639160799</v>
      </c>
      <c r="O10" s="5">
        <v>146143.11808521301</v>
      </c>
      <c r="P10" s="5">
        <v>641934.62707275804</v>
      </c>
      <c r="Q10" s="5">
        <v>212836.76566007899</v>
      </c>
      <c r="R10" s="5">
        <v>266456.63881436799</v>
      </c>
      <c r="S10" s="5">
        <v>743373.54731827695</v>
      </c>
    </row>
    <row r="11" spans="1:19" x14ac:dyDescent="0.3">
      <c r="A11" s="3" t="s">
        <v>22</v>
      </c>
      <c r="B11" s="4">
        <v>2070</v>
      </c>
      <c r="C11" s="5">
        <v>95087.141579296906</v>
      </c>
      <c r="D11" s="5">
        <v>8387.3824324435009</v>
      </c>
      <c r="E11" s="5">
        <v>39116.0954675623</v>
      </c>
      <c r="F11" s="5">
        <v>1248.47465749762</v>
      </c>
      <c r="G11" s="5">
        <v>26256.085479188001</v>
      </c>
      <c r="H11" s="5">
        <v>3178586.3675925299</v>
      </c>
      <c r="I11" s="5">
        <v>61705.664993403101</v>
      </c>
      <c r="J11" s="5">
        <v>940491.39959031704</v>
      </c>
      <c r="K11" s="5">
        <v>18740.517121405301</v>
      </c>
      <c r="L11" s="5">
        <v>443922.98886976001</v>
      </c>
      <c r="M11" s="5">
        <v>259679.851537949</v>
      </c>
      <c r="N11" s="5">
        <v>115734.062307431</v>
      </c>
      <c r="O11" s="5">
        <v>125857.989554899</v>
      </c>
      <c r="P11" s="5">
        <v>722477.01412807498</v>
      </c>
      <c r="Q11" s="5">
        <v>285266.32667115401</v>
      </c>
      <c r="R11" s="5">
        <v>326830.774992664</v>
      </c>
      <c r="S11" s="5">
        <v>738987.03722736996</v>
      </c>
    </row>
    <row r="12" spans="1:19" x14ac:dyDescent="0.3">
      <c r="A12" s="3" t="s">
        <v>22</v>
      </c>
      <c r="B12" s="4">
        <v>2080</v>
      </c>
      <c r="C12" s="5">
        <v>109350.020483356</v>
      </c>
      <c r="D12" s="5">
        <v>19960.020943858301</v>
      </c>
      <c r="E12" s="5">
        <v>123847.03741141599</v>
      </c>
      <c r="F12" s="5">
        <v>441.02131890657103</v>
      </c>
      <c r="G12" s="5">
        <v>157860.993710029</v>
      </c>
      <c r="H12" s="5">
        <v>4247379.3528464697</v>
      </c>
      <c r="I12" s="5">
        <v>120197.273346491</v>
      </c>
      <c r="J12" s="5">
        <v>1746990.7192405399</v>
      </c>
      <c r="K12" s="5">
        <v>18750.069900831299</v>
      </c>
      <c r="L12" s="5">
        <v>381855.45020394702</v>
      </c>
      <c r="M12" s="5">
        <v>247698.853460338</v>
      </c>
      <c r="N12" s="5">
        <v>160490.60978713699</v>
      </c>
      <c r="O12" s="5">
        <v>168255.18747450499</v>
      </c>
      <c r="P12" s="5">
        <v>785127.39737825596</v>
      </c>
      <c r="Q12" s="5">
        <v>208611.64605687599</v>
      </c>
      <c r="R12" s="5">
        <v>341865.49085965601</v>
      </c>
      <c r="S12" s="5">
        <v>896351.02874032699</v>
      </c>
    </row>
    <row r="18" spans="1:9" x14ac:dyDescent="0.3">
      <c r="A18" t="s">
        <v>40</v>
      </c>
      <c r="B18" t="s">
        <v>41</v>
      </c>
    </row>
    <row r="19" spans="1:9" x14ac:dyDescent="0.3">
      <c r="A19" t="s">
        <v>38</v>
      </c>
      <c r="B19" t="s">
        <v>39</v>
      </c>
    </row>
    <row r="20" spans="1:9" x14ac:dyDescent="0.3">
      <c r="A20" s="17" t="s">
        <v>36</v>
      </c>
      <c r="B20" s="17" t="s">
        <v>37</v>
      </c>
      <c r="C20" s="19">
        <v>2020</v>
      </c>
      <c r="D20" s="19">
        <v>2030</v>
      </c>
      <c r="E20" s="19">
        <v>2040</v>
      </c>
      <c r="F20" s="19">
        <v>2050</v>
      </c>
      <c r="G20" s="19">
        <v>2060</v>
      </c>
      <c r="H20" s="19">
        <v>2070</v>
      </c>
      <c r="I20" s="22">
        <v>2080</v>
      </c>
    </row>
    <row r="21" spans="1:9" x14ac:dyDescent="0.3">
      <c r="A21" s="18" t="s">
        <v>25</v>
      </c>
      <c r="B21" s="18" t="s">
        <v>5</v>
      </c>
      <c r="C21" s="20">
        <v>182.06947468860699</v>
      </c>
      <c r="D21" s="20">
        <v>113.896437339746</v>
      </c>
      <c r="E21" s="20">
        <v>101.310164956579</v>
      </c>
      <c r="F21" s="20">
        <v>91.914230604107004</v>
      </c>
      <c r="G21" s="20">
        <v>66.915277694397702</v>
      </c>
      <c r="H21" s="20">
        <v>33.457638847198901</v>
      </c>
      <c r="I21" s="16">
        <v>9.1034737344303505</v>
      </c>
    </row>
    <row r="22" spans="1:9" x14ac:dyDescent="0.3">
      <c r="A22" s="18" t="s">
        <v>25</v>
      </c>
      <c r="B22" s="18" t="s">
        <v>6</v>
      </c>
      <c r="C22" s="20">
        <v>290.98056488634199</v>
      </c>
      <c r="D22" s="20">
        <v>199.28455614756601</v>
      </c>
      <c r="E22" s="20">
        <v>225.69418872589301</v>
      </c>
      <c r="F22" s="20">
        <v>178.13593507488</v>
      </c>
      <c r="G22" s="20">
        <v>118.75729004992</v>
      </c>
      <c r="H22" s="20">
        <v>59.378645024959802</v>
      </c>
      <c r="I22" s="16">
        <v>14.5490282443171</v>
      </c>
    </row>
    <row r="23" spans="1:9" x14ac:dyDescent="0.3">
      <c r="A23" s="18" t="s">
        <v>25</v>
      </c>
      <c r="B23" s="18" t="s">
        <v>7</v>
      </c>
      <c r="C23" s="20">
        <v>178.84057408368599</v>
      </c>
      <c r="D23" s="20">
        <v>115.162905232063</v>
      </c>
      <c r="E23" s="20">
        <v>127.04989015838299</v>
      </c>
      <c r="F23" s="20">
        <v>95.287417618787003</v>
      </c>
      <c r="G23" s="20">
        <v>63.524945079191298</v>
      </c>
      <c r="H23" s="20">
        <v>31.762472539595599</v>
      </c>
      <c r="I23" s="16">
        <v>8.9420287041843007</v>
      </c>
    </row>
    <row r="24" spans="1:9" x14ac:dyDescent="0.3">
      <c r="A24" s="18" t="s">
        <v>25</v>
      </c>
      <c r="B24" s="18" t="s">
        <v>8</v>
      </c>
      <c r="C24" s="20">
        <v>23.2763563590551</v>
      </c>
      <c r="D24" s="20">
        <v>2.0170762658291999</v>
      </c>
      <c r="E24" s="20">
        <v>0.62765979116678094</v>
      </c>
      <c r="F24" s="21"/>
      <c r="G24" s="21"/>
      <c r="H24" s="21"/>
      <c r="I24" s="16">
        <v>1.163817817952755</v>
      </c>
    </row>
    <row r="25" spans="1:9" x14ac:dyDescent="0.3">
      <c r="A25" s="18" t="s">
        <v>25</v>
      </c>
      <c r="B25" s="18" t="s">
        <v>9</v>
      </c>
      <c r="C25" s="20">
        <v>53.912211722061102</v>
      </c>
      <c r="D25" s="20">
        <v>1.4567556540431701</v>
      </c>
      <c r="E25" s="20">
        <v>0.18675498035289301</v>
      </c>
      <c r="F25" s="20">
        <v>11.616098839679699</v>
      </c>
      <c r="G25" s="20">
        <v>19.440115337081199</v>
      </c>
      <c r="H25" s="20">
        <v>9.7200576685405906</v>
      </c>
      <c r="I25" s="16">
        <v>2.6956105861030553</v>
      </c>
    </row>
    <row r="26" spans="1:9" x14ac:dyDescent="0.3">
      <c r="A26" s="18" t="s">
        <v>25</v>
      </c>
      <c r="B26" s="18" t="s">
        <v>10</v>
      </c>
      <c r="C26" s="20">
        <v>2993.6921218580301</v>
      </c>
      <c r="D26" s="20">
        <v>906.25812086724</v>
      </c>
      <c r="E26" s="20">
        <v>1142.84005201383</v>
      </c>
      <c r="F26" s="20">
        <v>1334.0220948819499</v>
      </c>
      <c r="G26" s="20">
        <v>1606.94810749775</v>
      </c>
      <c r="H26" s="20">
        <v>803.47405374887705</v>
      </c>
      <c r="I26" s="16">
        <v>149.6846060929015</v>
      </c>
    </row>
    <row r="27" spans="1:9" x14ac:dyDescent="0.3">
      <c r="A27" s="18" t="s">
        <v>25</v>
      </c>
      <c r="B27" s="18" t="s">
        <v>11</v>
      </c>
      <c r="C27" s="20">
        <v>85.718957077952595</v>
      </c>
      <c r="D27" s="20">
        <v>11.3150319146418</v>
      </c>
      <c r="E27" s="20">
        <v>12.8980407043508</v>
      </c>
      <c r="F27" s="20">
        <v>13.995845491129</v>
      </c>
      <c r="G27" s="20">
        <v>30.7668869050122</v>
      </c>
      <c r="H27" s="20">
        <v>22.518849869643098</v>
      </c>
      <c r="I27" s="16">
        <v>4.2859478538976301</v>
      </c>
    </row>
    <row r="28" spans="1:9" x14ac:dyDescent="0.3">
      <c r="A28" s="18" t="s">
        <v>25</v>
      </c>
      <c r="B28" s="18" t="s">
        <v>12</v>
      </c>
      <c r="C28" s="20">
        <v>545.77751394993697</v>
      </c>
      <c r="D28" s="20">
        <v>68.166241379083402</v>
      </c>
      <c r="E28" s="20">
        <v>178.95311229027101</v>
      </c>
      <c r="F28" s="20">
        <v>230.111610990245</v>
      </c>
      <c r="G28" s="20">
        <v>275.74939769077201</v>
      </c>
      <c r="H28" s="20">
        <v>137.87469884538601</v>
      </c>
      <c r="I28" s="16">
        <v>27.288875697496849</v>
      </c>
    </row>
    <row r="29" spans="1:9" x14ac:dyDescent="0.3">
      <c r="A29" s="18" t="s">
        <v>25</v>
      </c>
      <c r="B29" s="18" t="s">
        <v>13</v>
      </c>
      <c r="C29" s="20">
        <v>1130.9065240912901</v>
      </c>
      <c r="D29" s="20">
        <v>577.80388507039004</v>
      </c>
      <c r="E29" s="20">
        <v>664.302527407806</v>
      </c>
      <c r="F29" s="20">
        <v>565.45326204564606</v>
      </c>
      <c r="G29" s="20">
        <v>376.968841363764</v>
      </c>
      <c r="H29" s="20">
        <v>188.484420681882</v>
      </c>
      <c r="I29" s="16">
        <v>56.545326204564503</v>
      </c>
    </row>
    <row r="30" spans="1:9" x14ac:dyDescent="0.3">
      <c r="A30" s="18" t="s">
        <v>25</v>
      </c>
      <c r="B30" s="18" t="s">
        <v>14</v>
      </c>
      <c r="C30" s="20">
        <v>446.33836482527602</v>
      </c>
      <c r="D30" s="20">
        <v>249.508865440683</v>
      </c>
      <c r="E30" s="20">
        <v>226.11773222410901</v>
      </c>
      <c r="F30" s="20">
        <v>223.16918241263801</v>
      </c>
      <c r="G30" s="20">
        <v>148.77945494175901</v>
      </c>
      <c r="H30" s="20">
        <v>74.389727470879393</v>
      </c>
      <c r="I30" s="16">
        <v>22.316918241263803</v>
      </c>
    </row>
    <row r="31" spans="1:9" x14ac:dyDescent="0.3">
      <c r="A31" s="18" t="s">
        <v>25</v>
      </c>
      <c r="B31" s="18" t="s">
        <v>15</v>
      </c>
      <c r="C31" s="20">
        <v>537.72759580463503</v>
      </c>
      <c r="D31" s="20">
        <v>295.264979586317</v>
      </c>
      <c r="E31" s="20">
        <v>184.28567949812501</v>
      </c>
      <c r="F31" s="20">
        <v>218.57475909711599</v>
      </c>
      <c r="G31" s="20">
        <v>191.970952816405</v>
      </c>
      <c r="H31" s="20">
        <v>95.985476408202601</v>
      </c>
      <c r="I31" s="16">
        <v>26.886379790231754</v>
      </c>
    </row>
    <row r="32" spans="1:9" x14ac:dyDescent="0.3">
      <c r="A32" s="18" t="s">
        <v>25</v>
      </c>
      <c r="B32" s="18" t="s">
        <v>16</v>
      </c>
      <c r="C32" s="20">
        <v>129.18149044172</v>
      </c>
      <c r="D32" s="20">
        <v>93.746640175359104</v>
      </c>
      <c r="E32" s="20">
        <v>83.853419728634094</v>
      </c>
      <c r="F32" s="20">
        <v>71.210674989661001</v>
      </c>
      <c r="G32" s="20">
        <v>47.473783326440703</v>
      </c>
      <c r="H32" s="20">
        <v>23.736891663220302</v>
      </c>
      <c r="I32" s="16">
        <v>6.4590745220860004</v>
      </c>
    </row>
    <row r="33" spans="1:9" x14ac:dyDescent="0.3">
      <c r="A33" s="18" t="s">
        <v>25</v>
      </c>
      <c r="B33" s="18" t="s">
        <v>17</v>
      </c>
      <c r="C33" s="20">
        <v>911.125263518873</v>
      </c>
      <c r="D33" s="20">
        <v>665.48317310170796</v>
      </c>
      <c r="E33" s="20">
        <v>607.41684234591605</v>
      </c>
      <c r="F33" s="20">
        <v>455.56263175943701</v>
      </c>
      <c r="G33" s="20">
        <v>303.70842117295803</v>
      </c>
      <c r="H33" s="20">
        <v>151.85421058647901</v>
      </c>
      <c r="I33" s="16">
        <v>45.556263175943656</v>
      </c>
    </row>
    <row r="34" spans="1:9" x14ac:dyDescent="0.3">
      <c r="A34" s="18" t="s">
        <v>25</v>
      </c>
      <c r="B34" s="18" t="s">
        <v>18</v>
      </c>
      <c r="C34" s="20">
        <v>10.522905917246099</v>
      </c>
      <c r="D34" s="20">
        <v>29.3886646030357</v>
      </c>
      <c r="E34" s="20">
        <v>270.88032631595797</v>
      </c>
      <c r="F34" s="20">
        <v>235.86531667103</v>
      </c>
      <c r="G34" s="20">
        <v>157.243544447354</v>
      </c>
      <c r="H34" s="20">
        <v>78.6217722236767</v>
      </c>
      <c r="I34" s="16">
        <v>0.52614529586230496</v>
      </c>
    </row>
    <row r="35" spans="1:9" x14ac:dyDescent="0.3">
      <c r="A35" s="18" t="s">
        <v>25</v>
      </c>
      <c r="B35" s="18" t="s">
        <v>19</v>
      </c>
      <c r="C35" s="20">
        <v>235.08271234012099</v>
      </c>
      <c r="D35" s="20">
        <v>123.991367859821</v>
      </c>
      <c r="E35" s="20">
        <v>156.72180822674699</v>
      </c>
      <c r="F35" s="20">
        <v>117.54135617006</v>
      </c>
      <c r="G35" s="20">
        <v>78.360904113373707</v>
      </c>
      <c r="H35" s="20">
        <v>39.180452056686804</v>
      </c>
      <c r="I35" s="16">
        <v>11.75413561700605</v>
      </c>
    </row>
    <row r="36" spans="1:9" x14ac:dyDescent="0.3">
      <c r="A36" s="18" t="s">
        <v>25</v>
      </c>
      <c r="B36" s="18" t="s">
        <v>20</v>
      </c>
      <c r="C36" s="20">
        <v>108.45143836848</v>
      </c>
      <c r="D36" s="20">
        <v>32.092870753851699</v>
      </c>
      <c r="E36" s="20">
        <v>71.4164792620914</v>
      </c>
      <c r="F36" s="20">
        <v>85.8556210246429</v>
      </c>
      <c r="G36" s="20">
        <v>84.153415379418306</v>
      </c>
      <c r="H36" s="20">
        <v>42.076707689709103</v>
      </c>
      <c r="I36" s="16">
        <v>5.4225719184240004</v>
      </c>
    </row>
    <row r="37" spans="1:9" x14ac:dyDescent="0.3">
      <c r="A37" s="18" t="s">
        <v>25</v>
      </c>
      <c r="B37" s="18" t="s">
        <v>21</v>
      </c>
      <c r="C37" s="20">
        <v>1990.46534751031</v>
      </c>
      <c r="D37" s="20">
        <v>510.06515723149801</v>
      </c>
      <c r="E37" s="20">
        <v>662.98326275644899</v>
      </c>
      <c r="F37" s="20">
        <v>903.12404320096596</v>
      </c>
      <c r="G37" s="20">
        <v>664.30810102798</v>
      </c>
      <c r="H37" s="20">
        <v>332.15405051399</v>
      </c>
      <c r="I37" s="16">
        <v>99.523267375515502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27793-05B7-4680-AAEB-0249B6B091E4}">
  <dimension ref="F3:AF33"/>
  <sheetViews>
    <sheetView tabSelected="1" zoomScale="70" zoomScaleNormal="70" workbookViewId="0">
      <selection activeCell="J13" sqref="J13"/>
    </sheetView>
  </sheetViews>
  <sheetFormatPr defaultRowHeight="14.4" x14ac:dyDescent="0.3"/>
  <cols>
    <col min="1" max="5" width="8.88671875" style="1"/>
    <col min="6" max="6" width="14.21875" style="1" customWidth="1"/>
    <col min="7" max="7" width="11.5546875" style="1" customWidth="1"/>
    <col min="8" max="8" width="12.33203125" style="1" bestFit="1" customWidth="1"/>
    <col min="9" max="9" width="12.33203125" style="1" customWidth="1"/>
    <col min="10" max="10" width="8.88671875" style="1"/>
    <col min="11" max="11" width="11.88671875" style="1" bestFit="1" customWidth="1"/>
    <col min="12" max="12" width="16.109375" style="1" bestFit="1" customWidth="1"/>
    <col min="13" max="13" width="15.6640625" style="1" bestFit="1" customWidth="1"/>
    <col min="14" max="14" width="14" style="1" bestFit="1" customWidth="1"/>
    <col min="15" max="15" width="14.88671875" style="1" bestFit="1" customWidth="1"/>
    <col min="16" max="16" width="14.21875" style="1" bestFit="1" customWidth="1"/>
    <col min="17" max="17" width="13.5546875" style="1" bestFit="1" customWidth="1"/>
    <col min="18" max="18" width="13.77734375" style="1" bestFit="1" customWidth="1"/>
    <col min="19" max="19" width="14.109375" style="1" bestFit="1" customWidth="1"/>
    <col min="20" max="20" width="13.77734375" style="1" bestFit="1" customWidth="1"/>
    <col min="21" max="21" width="13.6640625" style="1" bestFit="1" customWidth="1"/>
    <col min="22" max="22" width="14.109375" style="1" bestFit="1" customWidth="1"/>
    <col min="23" max="23" width="14.44140625" style="1" bestFit="1" customWidth="1"/>
    <col min="24" max="25" width="14" style="1" bestFit="1" customWidth="1"/>
    <col min="26" max="26" width="13.88671875" style="1" bestFit="1" customWidth="1"/>
    <col min="27" max="27" width="14.21875" style="1" bestFit="1" customWidth="1"/>
    <col min="28" max="28" width="14" style="1" bestFit="1" customWidth="1"/>
    <col min="29" max="29" width="9.5546875" style="1" bestFit="1" customWidth="1"/>
    <col min="30" max="30" width="10.5546875" style="1" bestFit="1" customWidth="1"/>
    <col min="31" max="16384" width="8.88671875" style="1"/>
  </cols>
  <sheetData>
    <row r="3" spans="6:32" x14ac:dyDescent="0.3">
      <c r="L3" s="27" t="s">
        <v>43</v>
      </c>
      <c r="M3" s="23">
        <v>2020</v>
      </c>
      <c r="N3" s="23">
        <f>M3+10</f>
        <v>2030</v>
      </c>
      <c r="O3" s="23">
        <f t="shared" ref="O3:R3" si="0">N3+10</f>
        <v>2040</v>
      </c>
      <c r="P3" s="23">
        <f t="shared" si="0"/>
        <v>2050</v>
      </c>
      <c r="Q3" s="23">
        <f t="shared" si="0"/>
        <v>2060</v>
      </c>
      <c r="R3" s="23">
        <f t="shared" si="0"/>
        <v>2070</v>
      </c>
      <c r="S3" s="24">
        <f>R3+10</f>
        <v>2080</v>
      </c>
    </row>
    <row r="4" spans="6:32" x14ac:dyDescent="0.3">
      <c r="L4" s="28" t="s">
        <v>42</v>
      </c>
      <c r="M4" s="25">
        <v>1.1000000000000001</v>
      </c>
      <c r="N4" s="25">
        <v>0.8</v>
      </c>
      <c r="O4" s="25">
        <v>0.5</v>
      </c>
      <c r="P4" s="25">
        <v>0.35</v>
      </c>
      <c r="Q4" s="25">
        <v>0.2</v>
      </c>
      <c r="R4" s="25">
        <v>0.1</v>
      </c>
      <c r="S4" s="26">
        <v>0.05</v>
      </c>
    </row>
    <row r="8" spans="6:32" x14ac:dyDescent="0.3">
      <c r="F8" s="9" t="s">
        <v>26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6:32" x14ac:dyDescent="0.3">
      <c r="F9" s="9"/>
      <c r="G9" s="14" t="s">
        <v>33</v>
      </c>
      <c r="H9" s="9"/>
      <c r="I9" s="9"/>
      <c r="J9" s="9"/>
      <c r="K9" s="9"/>
      <c r="L9" s="9"/>
      <c r="M9" s="9"/>
      <c r="N9" s="9"/>
      <c r="O9" s="9"/>
      <c r="P9" s="9"/>
      <c r="Q9" s="9"/>
    </row>
    <row r="10" spans="6:32" x14ac:dyDescent="0.3">
      <c r="F10" s="9"/>
      <c r="G10" s="14" t="s">
        <v>27</v>
      </c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6:32" x14ac:dyDescent="0.3">
      <c r="F11" s="9"/>
      <c r="G11" s="9"/>
      <c r="H11" s="9"/>
      <c r="I11" s="9"/>
      <c r="J11" s="9"/>
      <c r="K11" s="9"/>
      <c r="L11" s="9" t="s">
        <v>28</v>
      </c>
      <c r="M11" s="9"/>
      <c r="N11" s="9"/>
      <c r="O11" s="9"/>
      <c r="P11" s="9"/>
      <c r="Q11" s="9"/>
    </row>
    <row r="12" spans="6:32" x14ac:dyDescent="0.3">
      <c r="F12" s="9"/>
      <c r="G12" s="13" t="s">
        <v>0</v>
      </c>
      <c r="H12" s="10" t="s">
        <v>29</v>
      </c>
      <c r="I12" s="10" t="s">
        <v>24</v>
      </c>
      <c r="J12" s="12" t="s">
        <v>1</v>
      </c>
      <c r="K12" s="12" t="s">
        <v>2</v>
      </c>
      <c r="L12" s="12" t="s">
        <v>30</v>
      </c>
      <c r="M12" s="11" t="s">
        <v>45</v>
      </c>
      <c r="N12" s="8" t="str">
        <f>'CO2 Emissions from Veda '!C1</f>
        <v>AFR_N</v>
      </c>
      <c r="O12" s="8" t="str">
        <f>'CO2 Emissions from Veda '!D1</f>
        <v>AFR_S</v>
      </c>
      <c r="P12" s="8" t="str">
        <f>'CO2 Emissions from Veda '!E1</f>
        <v>ANZ</v>
      </c>
      <c r="Q12" s="8" t="str">
        <f>'CO2 Emissions from Veda '!F1</f>
        <v>BRZ</v>
      </c>
      <c r="R12" s="8" t="str">
        <f>'CO2 Emissions from Veda '!G1</f>
        <v>CAN</v>
      </c>
      <c r="S12" s="8" t="str">
        <f>'CO2 Emissions from Veda '!H1</f>
        <v>CHI</v>
      </c>
      <c r="T12" s="8" t="str">
        <f>'CO2 Emissions from Veda '!I1</f>
        <v>CSA</v>
      </c>
      <c r="U12" s="8" t="str">
        <f>'CO2 Emissions from Veda '!J1</f>
        <v>EUR</v>
      </c>
      <c r="V12" s="8" t="str">
        <f>'CO2 Emissions from Veda '!K1</f>
        <v>IND</v>
      </c>
      <c r="W12" s="8" t="str">
        <f>'CO2 Emissions from Veda '!L1</f>
        <v>JPN</v>
      </c>
      <c r="X12" s="8" t="str">
        <f>'CO2 Emissions from Veda '!M1</f>
        <v>MID</v>
      </c>
      <c r="Y12" s="8" t="str">
        <f>'CO2 Emissions from Veda '!N1</f>
        <v>MXC</v>
      </c>
      <c r="Z12" s="8" t="str">
        <f>'CO2 Emissions from Veda '!O1</f>
        <v>OAS</v>
      </c>
      <c r="AA12" s="8" t="str">
        <f>'CO2 Emissions from Veda '!P1</f>
        <v>RUS</v>
      </c>
      <c r="AB12" s="8" t="str">
        <f>'CO2 Emissions from Veda '!Q1</f>
        <v>SKO</v>
      </c>
      <c r="AC12" s="8" t="str">
        <f>'CO2 Emissions from Veda '!R1</f>
        <v>URA</v>
      </c>
      <c r="AD12" s="8" t="str">
        <f>'CO2 Emissions from Veda '!S1</f>
        <v>USA</v>
      </c>
      <c r="AE12" s="15">
        <v>0</v>
      </c>
      <c r="AF12" s="13" t="s">
        <v>31</v>
      </c>
    </row>
    <row r="13" spans="6:32" x14ac:dyDescent="0.3">
      <c r="F13" s="9"/>
      <c r="G13" s="9" t="s">
        <v>34</v>
      </c>
      <c r="H13" s="9"/>
      <c r="I13" s="6"/>
      <c r="J13" s="9" t="s">
        <v>44</v>
      </c>
      <c r="K13" s="9">
        <v>2080</v>
      </c>
      <c r="L13" s="9" t="s">
        <v>32</v>
      </c>
      <c r="M13" s="9">
        <v>1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9">
        <v>5</v>
      </c>
      <c r="AF13" s="9" t="s">
        <v>35</v>
      </c>
    </row>
    <row r="14" spans="6:32" x14ac:dyDescent="0.3">
      <c r="F14" s="9"/>
      <c r="G14" s="9"/>
      <c r="H14" s="9"/>
      <c r="I14" s="6"/>
      <c r="M14" s="9"/>
    </row>
    <row r="15" spans="6:32" x14ac:dyDescent="0.3">
      <c r="F15" s="9"/>
      <c r="G15" s="9"/>
      <c r="H15" s="9"/>
      <c r="I15" s="6"/>
      <c r="M15" s="9"/>
    </row>
    <row r="16" spans="6:32" x14ac:dyDescent="0.3">
      <c r="F16" s="9"/>
      <c r="G16" s="9"/>
      <c r="H16" s="9"/>
      <c r="I16" s="6"/>
      <c r="M16" s="9"/>
    </row>
    <row r="17" spans="6:30" x14ac:dyDescent="0.3">
      <c r="F17" s="9"/>
      <c r="G17" s="9"/>
      <c r="H17" s="9"/>
      <c r="I17" s="6"/>
      <c r="M17" s="9"/>
    </row>
    <row r="18" spans="6:30" x14ac:dyDescent="0.3">
      <c r="H18" s="9"/>
      <c r="I18" s="6"/>
    </row>
    <row r="19" spans="6:30" x14ac:dyDescent="0.3">
      <c r="H19" s="9"/>
      <c r="I19" s="6"/>
    </row>
    <row r="27" spans="6:30" x14ac:dyDescent="0.3">
      <c r="J27" s="9" t="s">
        <v>44</v>
      </c>
      <c r="K27" s="9">
        <v>2030</v>
      </c>
      <c r="L27" s="9" t="s">
        <v>32</v>
      </c>
      <c r="N27" s="7">
        <f>'CO2 Emissions from Veda '!C$5*$M$4</f>
        <v>200745.83308319323</v>
      </c>
      <c r="O27" s="7">
        <f>'CO2 Emissions from Veda '!D$5*$M$4</f>
        <v>391899.05716473493</v>
      </c>
      <c r="P27" s="7">
        <f>'CO2 Emissions from Veda '!E$5*$M$4</f>
        <v>209632.31876133144</v>
      </c>
      <c r="Q27" s="7">
        <f>'CO2 Emissions from Veda '!F$5*$M$4</f>
        <v>43273.698728598916</v>
      </c>
      <c r="R27" s="7">
        <f>'CO2 Emissions from Veda '!G$5*$M$4</f>
        <v>64152.380612367851</v>
      </c>
      <c r="S27" s="7">
        <f>'CO2 Emissions from Veda '!H$5*$M$4</f>
        <v>5302928.7547425861</v>
      </c>
      <c r="T27" s="7">
        <f>'CO2 Emissions from Veda '!I$5*$M$4</f>
        <v>148624.40913964494</v>
      </c>
      <c r="U27" s="7">
        <f>'CO2 Emissions from Veda '!J$5*$M$4</f>
        <v>909973.0123795477</v>
      </c>
      <c r="V27" s="7">
        <f>'CO2 Emissions from Veda '!K$5*$M$4</f>
        <v>1243997.1765004192</v>
      </c>
      <c r="W27" s="7">
        <f>'CO2 Emissions from Veda '!L$5*$M$4</f>
        <v>490972.20130780368</v>
      </c>
      <c r="X27" s="7">
        <f>'CO2 Emissions from Veda '!M$5*$M$4</f>
        <v>633504.14429413655</v>
      </c>
      <c r="Y27" s="7">
        <f>'CO2 Emissions from Veda '!N$5*$M$4</f>
        <v>156663.48497725421</v>
      </c>
      <c r="Z27" s="7">
        <f>'CO2 Emissions from Veda '!O$5*$M$4</f>
        <v>1002237.7898707615</v>
      </c>
      <c r="AA27" s="7">
        <f>'CO2 Emissions from Veda '!P$5*$M$4</f>
        <v>518903.69667626609</v>
      </c>
      <c r="AB27" s="7">
        <f>'CO2 Emissions from Veda '!Q$5*$M$4</f>
        <v>258590.98357413313</v>
      </c>
      <c r="AC27" s="7">
        <f>'CO2 Emissions from Veda '!R$5*$M$4</f>
        <v>277706.27075208054</v>
      </c>
      <c r="AD27" s="7">
        <f>'CO2 Emissions from Veda '!S$5*$M$4</f>
        <v>2192216.7333923341</v>
      </c>
    </row>
    <row r="28" spans="6:30" x14ac:dyDescent="0.3">
      <c r="J28" s="9" t="s">
        <v>44</v>
      </c>
      <c r="K28" s="9">
        <v>2040</v>
      </c>
      <c r="L28" s="9" t="s">
        <v>32</v>
      </c>
      <c r="N28" s="7">
        <f>'CO2 Emissions from Veda '!C$5*$N$4</f>
        <v>145996.9695150496</v>
      </c>
      <c r="O28" s="7">
        <f>'CO2 Emissions from Veda '!D$5*$N$4</f>
        <v>285017.49611980718</v>
      </c>
      <c r="P28" s="7">
        <f>'CO2 Emissions from Veda '!E$5*$N$4</f>
        <v>152459.86819005921</v>
      </c>
      <c r="Q28" s="7">
        <f>'CO2 Emissions from Veda '!F$5*$N$4</f>
        <v>31471.780893526484</v>
      </c>
      <c r="R28" s="7">
        <f>'CO2 Emissions from Veda '!G$5*$N$4</f>
        <v>46656.2768089948</v>
      </c>
      <c r="S28" s="7">
        <f>'CO2 Emissions from Veda '!H$5*$N$4</f>
        <v>3856675.4579946082</v>
      </c>
      <c r="T28" s="7">
        <f>'CO2 Emissions from Veda '!I$5*$N$4</f>
        <v>108090.47937428721</v>
      </c>
      <c r="U28" s="7">
        <f>'CO2 Emissions from Veda '!J$5*$N$4</f>
        <v>661798.55445785285</v>
      </c>
      <c r="V28" s="7">
        <f>'CO2 Emissions from Veda '!K$5*$N$4</f>
        <v>904725.21927303215</v>
      </c>
      <c r="W28" s="7">
        <f>'CO2 Emissions from Veda '!L$5*$N$4</f>
        <v>357070.69186022086</v>
      </c>
      <c r="X28" s="7">
        <f>'CO2 Emissions from Veda '!M$5*$N$4</f>
        <v>460730.28675937199</v>
      </c>
      <c r="Y28" s="7">
        <f>'CO2 Emissions from Veda '!N$5*$N$4</f>
        <v>113937.0799834576</v>
      </c>
      <c r="Z28" s="7">
        <f>'CO2 Emissions from Veda '!O$5*$N$4</f>
        <v>728900.21081509918</v>
      </c>
      <c r="AA28" s="7">
        <f>'CO2 Emissions from Veda '!P$5*$N$4</f>
        <v>377384.50667364802</v>
      </c>
      <c r="AB28" s="7">
        <f>'CO2 Emissions from Veda '!Q$5*$N$4</f>
        <v>188066.16987209683</v>
      </c>
      <c r="AC28" s="7">
        <f>'CO2 Emissions from Veda '!R$5*$N$4</f>
        <v>201968.19691060402</v>
      </c>
      <c r="AD28" s="7">
        <f>'CO2 Emissions from Veda '!S$5*$N$4</f>
        <v>1594339.4424671521</v>
      </c>
    </row>
    <row r="29" spans="6:30" x14ac:dyDescent="0.3">
      <c r="J29" s="9" t="s">
        <v>44</v>
      </c>
      <c r="K29" s="9">
        <v>2050</v>
      </c>
      <c r="L29" s="9" t="s">
        <v>32</v>
      </c>
      <c r="N29" s="7">
        <f>'CO2 Emissions from Veda '!C$5*$O$4</f>
        <v>91248.105946905998</v>
      </c>
      <c r="O29" s="7">
        <f>'CO2 Emissions from Veda '!D$5*$O$4</f>
        <v>178135.9350748795</v>
      </c>
      <c r="P29" s="7">
        <f>'CO2 Emissions from Veda '!E$5*$O$4</f>
        <v>95287.417618787003</v>
      </c>
      <c r="Q29" s="7">
        <f>'CO2 Emissions from Veda '!F$5*$O$4</f>
        <v>19669.863058454051</v>
      </c>
      <c r="R29" s="7">
        <f>'CO2 Emissions from Veda '!G$5*$O$4</f>
        <v>29160.173005621749</v>
      </c>
      <c r="S29" s="7">
        <f>'CO2 Emissions from Veda '!H$5*$O$4</f>
        <v>2410422.1612466299</v>
      </c>
      <c r="T29" s="7">
        <f>'CO2 Emissions from Veda '!I$5*$O$4</f>
        <v>67556.549608929505</v>
      </c>
      <c r="U29" s="7">
        <f>'CO2 Emissions from Veda '!J$5*$O$4</f>
        <v>413624.096536158</v>
      </c>
      <c r="V29" s="7">
        <f>'CO2 Emissions from Veda '!K$5*$O$4</f>
        <v>565453.26204564504</v>
      </c>
      <c r="W29" s="7">
        <f>'CO2 Emissions from Veda '!L$5*$O$4</f>
        <v>223169.18241263801</v>
      </c>
      <c r="X29" s="7">
        <f>'CO2 Emissions from Veda '!M$5*$O$4</f>
        <v>287956.42922460748</v>
      </c>
      <c r="Y29" s="7">
        <f>'CO2 Emissions from Veda '!N$5*$O$4</f>
        <v>71210.674989660998</v>
      </c>
      <c r="Z29" s="7">
        <f>'CO2 Emissions from Veda '!O$5*$O$4</f>
        <v>455562.63175943698</v>
      </c>
      <c r="AA29" s="7">
        <f>'CO2 Emissions from Veda '!P$5*$O$4</f>
        <v>235865.31667103001</v>
      </c>
      <c r="AB29" s="7">
        <f>'CO2 Emissions from Veda '!Q$5*$O$4</f>
        <v>117541.35617006051</v>
      </c>
      <c r="AC29" s="7">
        <f>'CO2 Emissions from Veda '!R$5*$O$4</f>
        <v>126230.1230691275</v>
      </c>
      <c r="AD29" s="7">
        <f>'CO2 Emissions from Veda '!S$5*$O$4</f>
        <v>996462.15154196997</v>
      </c>
    </row>
    <row r="30" spans="6:30" x14ac:dyDescent="0.3">
      <c r="J30" s="9" t="s">
        <v>44</v>
      </c>
      <c r="K30" s="1">
        <v>2060</v>
      </c>
      <c r="L30" s="9" t="s">
        <v>32</v>
      </c>
      <c r="N30" s="7">
        <f>'CO2 Emissions from Veda '!C$5*$P$4</f>
        <v>63873.674162834192</v>
      </c>
      <c r="O30" s="7">
        <f>'CO2 Emissions from Veda '!D$5*$P$4</f>
        <v>124695.15455241564</v>
      </c>
      <c r="P30" s="7">
        <f>'CO2 Emissions from Veda '!E$5*$P$4</f>
        <v>66701.192333150902</v>
      </c>
      <c r="Q30" s="7">
        <f>'CO2 Emissions from Veda '!F$5*$P$4</f>
        <v>13768.904140917835</v>
      </c>
      <c r="R30" s="7">
        <f>'CO2 Emissions from Veda '!G$5*$P$4</f>
        <v>20412.121103935224</v>
      </c>
      <c r="S30" s="7">
        <f>'CO2 Emissions from Veda '!H$5*$P$4</f>
        <v>1687295.5128726407</v>
      </c>
      <c r="T30" s="7">
        <f>'CO2 Emissions from Veda '!I$5*$P$4</f>
        <v>47289.58472625065</v>
      </c>
      <c r="U30" s="7">
        <f>'CO2 Emissions from Veda '!J$5*$P$4</f>
        <v>289536.86757531058</v>
      </c>
      <c r="V30" s="7">
        <f>'CO2 Emissions from Veda '!K$5*$P$4</f>
        <v>395817.28343195148</v>
      </c>
      <c r="W30" s="7">
        <f>'CO2 Emissions from Veda '!L$5*$P$4</f>
        <v>156218.4276888466</v>
      </c>
      <c r="X30" s="7">
        <f>'CO2 Emissions from Veda '!M$5*$P$4</f>
        <v>201569.50045722522</v>
      </c>
      <c r="Y30" s="7">
        <f>'CO2 Emissions from Veda '!N$5*$P$4</f>
        <v>49847.472492762696</v>
      </c>
      <c r="Z30" s="7">
        <f>'CO2 Emissions from Veda '!O$5*$P$4</f>
        <v>318893.84223160584</v>
      </c>
      <c r="AA30" s="7">
        <f>'CO2 Emissions from Veda '!P$5*$P$4</f>
        <v>165105.72166972101</v>
      </c>
      <c r="AB30" s="7">
        <f>'CO2 Emissions from Veda '!Q$5*$P$4</f>
        <v>82278.949319042353</v>
      </c>
      <c r="AC30" s="7">
        <f>'CO2 Emissions from Veda '!R$5*$P$4</f>
        <v>88361.086148389237</v>
      </c>
      <c r="AD30" s="7">
        <f>'CO2 Emissions from Veda '!S$5*$P$4</f>
        <v>697523.50607937889</v>
      </c>
    </row>
    <row r="31" spans="6:30" x14ac:dyDescent="0.3">
      <c r="J31" s="9" t="s">
        <v>44</v>
      </c>
      <c r="K31" s="1">
        <v>2070</v>
      </c>
      <c r="L31" s="9" t="s">
        <v>32</v>
      </c>
      <c r="N31" s="7">
        <f>'CO2 Emissions from Veda '!C$5*$Q$4</f>
        <v>36499.242378762399</v>
      </c>
      <c r="O31" s="7">
        <f>'CO2 Emissions from Veda '!D$5*$Q$4</f>
        <v>71254.374029951796</v>
      </c>
      <c r="P31" s="7">
        <f>'CO2 Emissions from Veda '!E$5*$Q$4</f>
        <v>38114.967047514801</v>
      </c>
      <c r="Q31" s="7">
        <f>'CO2 Emissions from Veda '!F$5*$Q$4</f>
        <v>7867.945223381621</v>
      </c>
      <c r="R31" s="7">
        <f>'CO2 Emissions from Veda '!G$5*$Q$4</f>
        <v>11664.0692022487</v>
      </c>
      <c r="S31" s="7">
        <f>'CO2 Emissions from Veda '!H$5*$Q$4</f>
        <v>964168.86449865205</v>
      </c>
      <c r="T31" s="7">
        <f>'CO2 Emissions from Veda '!I$5*$Q$4</f>
        <v>27022.619843571803</v>
      </c>
      <c r="U31" s="7">
        <f>'CO2 Emissions from Veda '!J$5*$Q$4</f>
        <v>165449.63861446321</v>
      </c>
      <c r="V31" s="7">
        <f>'CO2 Emissions from Veda '!K$5*$Q$4</f>
        <v>226181.30481825804</v>
      </c>
      <c r="W31" s="7">
        <f>'CO2 Emissions from Veda '!L$5*$Q$4</f>
        <v>89267.672965055215</v>
      </c>
      <c r="X31" s="7">
        <f>'CO2 Emissions from Veda '!M$5*$Q$4</f>
        <v>115182.571689843</v>
      </c>
      <c r="Y31" s="7">
        <f>'CO2 Emissions from Veda '!N$5*$Q$4</f>
        <v>28484.269995864401</v>
      </c>
      <c r="Z31" s="7">
        <f>'CO2 Emissions from Veda '!O$5*$Q$4</f>
        <v>182225.0527037748</v>
      </c>
      <c r="AA31" s="7">
        <f>'CO2 Emissions from Veda '!P$5*$Q$4</f>
        <v>94346.126668412006</v>
      </c>
      <c r="AB31" s="7">
        <f>'CO2 Emissions from Veda '!Q$5*$Q$4</f>
        <v>47016.542468024207</v>
      </c>
      <c r="AC31" s="7">
        <f>'CO2 Emissions from Veda '!R$5*$Q$4</f>
        <v>50492.049227651005</v>
      </c>
      <c r="AD31" s="7">
        <f>'CO2 Emissions from Veda '!S$5*$Q$4</f>
        <v>398584.86061678804</v>
      </c>
    </row>
    <row r="32" spans="6:30" x14ac:dyDescent="0.3">
      <c r="J32" s="9" t="s">
        <v>44</v>
      </c>
      <c r="K32" s="1">
        <v>2080</v>
      </c>
      <c r="L32" s="9" t="s">
        <v>32</v>
      </c>
      <c r="N32" s="7">
        <f>'CO2 Emissions from Veda '!C$5*$R$4</f>
        <v>18249.6211893812</v>
      </c>
      <c r="O32" s="7">
        <f>'CO2 Emissions from Veda '!D$5*$R$4</f>
        <v>35627.187014975898</v>
      </c>
      <c r="P32" s="7">
        <f>'CO2 Emissions from Veda '!E$5*$R$4</f>
        <v>19057.483523757401</v>
      </c>
      <c r="Q32" s="7">
        <f>'CO2 Emissions from Veda '!F$5*$R$4</f>
        <v>3933.9726116908105</v>
      </c>
      <c r="R32" s="7">
        <f>'CO2 Emissions from Veda '!G$5*$R$4</f>
        <v>5832.03460112435</v>
      </c>
      <c r="S32" s="7">
        <f>'CO2 Emissions from Veda '!H$5*$R$4</f>
        <v>482084.43224932603</v>
      </c>
      <c r="T32" s="7">
        <f>'CO2 Emissions from Veda '!I$5*$R$4</f>
        <v>13511.309921785902</v>
      </c>
      <c r="U32" s="7">
        <f>'CO2 Emissions from Veda '!J$5*$R$4</f>
        <v>82724.819307231606</v>
      </c>
      <c r="V32" s="7">
        <f>'CO2 Emissions from Veda '!K$5*$R$4</f>
        <v>113090.65240912902</v>
      </c>
      <c r="W32" s="7">
        <f>'CO2 Emissions from Veda '!L$5*$R$4</f>
        <v>44633.836482527608</v>
      </c>
      <c r="X32" s="7">
        <f>'CO2 Emissions from Veda '!M$5*$R$4</f>
        <v>57591.285844921498</v>
      </c>
      <c r="Y32" s="7">
        <f>'CO2 Emissions from Veda '!N$5*$R$4</f>
        <v>14242.1349979322</v>
      </c>
      <c r="Z32" s="7">
        <f>'CO2 Emissions from Veda '!O$5*$R$4</f>
        <v>91112.526351887398</v>
      </c>
      <c r="AA32" s="7">
        <f>'CO2 Emissions from Veda '!P$5*$R$4</f>
        <v>47173.063334206003</v>
      </c>
      <c r="AB32" s="7">
        <f>'CO2 Emissions from Veda '!Q$5*$R$4</f>
        <v>23508.271234012103</v>
      </c>
      <c r="AC32" s="7">
        <f>'CO2 Emissions from Veda '!R$5*$R$4</f>
        <v>25246.024613825502</v>
      </c>
      <c r="AD32" s="7">
        <f>'CO2 Emissions from Veda '!S$5*$R$4</f>
        <v>199292.43030839402</v>
      </c>
    </row>
    <row r="33" spans="14:30" x14ac:dyDescent="0.3"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CO2 Emissions from Veda </vt:lpstr>
      <vt:lpstr>CO2_Target_Power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Mobir</dc:creator>
  <cp:lastModifiedBy>Mahmoud Mobir</cp:lastModifiedBy>
  <dcterms:created xsi:type="dcterms:W3CDTF">2021-12-09T17:30:32Z</dcterms:created>
  <dcterms:modified xsi:type="dcterms:W3CDTF">2021-12-23T23:59:27Z</dcterms:modified>
</cp:coreProperties>
</file>